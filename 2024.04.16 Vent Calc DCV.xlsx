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 Projects\PsychroCalc\"/>
    </mc:Choice>
  </mc:AlternateContent>
  <xr:revisionPtr revIDLastSave="0" documentId="13_ncr:1_{7C4B37F0-CE99-4DF5-AB19-8DE7B26758D4}" xr6:coauthVersionLast="47" xr6:coauthVersionMax="47" xr10:uidLastSave="{00000000-0000-0000-0000-000000000000}"/>
  <bookViews>
    <workbookView xWindow="30612" yWindow="-108" windowWidth="30936" windowHeight="16776" activeTab="1" xr2:uid="{6B9F5EF9-3AF8-4FB6-A1B4-C75C0E486E65}"/>
  </bookViews>
  <sheets>
    <sheet name="Table 6-1 Rates" sheetId="1" r:id="rId1"/>
    <sheet name="T-24 TAble 120.1-A" sheetId="10" r:id="rId2"/>
    <sheet name="RTU 1-1" sheetId="2" r:id="rId3"/>
    <sheet name="RTU 2-X" sheetId="11" r:id="rId4"/>
    <sheet name="AC-3" sheetId="12" r:id="rId5"/>
    <sheet name="AUTOCAD" sheetId="13" r:id="rId6"/>
  </sheets>
  <externalReferences>
    <externalReference r:id="rId7"/>
  </externalReferences>
  <definedNames>
    <definedName name="Space_air_rates">'[1]Table 6-1 Rates'!$A$5:$F$84</definedName>
    <definedName name="Space_ind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AC9" i="11" s="1"/>
  <c r="H7" i="1"/>
  <c r="AC8" i="11" s="1"/>
  <c r="L55" i="13" s="1"/>
  <c r="G7" i="1"/>
  <c r="AC7" i="11" s="1"/>
  <c r="M55" i="13" s="1"/>
  <c r="D9" i="11"/>
  <c r="C54" i="13"/>
  <c r="C55" i="13"/>
  <c r="C56" i="13"/>
  <c r="C57" i="13"/>
  <c r="C58" i="13"/>
  <c r="C59" i="13"/>
  <c r="A28" i="13" a="1"/>
  <c r="A28" i="13" s="1"/>
  <c r="Y7" i="11"/>
  <c r="M51" i="13" s="1"/>
  <c r="Z7" i="11"/>
  <c r="M52" i="13" s="1"/>
  <c r="Y8" i="11"/>
  <c r="L51" i="13" s="1"/>
  <c r="Z8" i="11"/>
  <c r="L52" i="13" s="1"/>
  <c r="Y9" i="11"/>
  <c r="Z9" i="11"/>
  <c r="Y10" i="11"/>
  <c r="Z10" i="11"/>
  <c r="AA10" i="11"/>
  <c r="AB10" i="11"/>
  <c r="P54" i="13" s="1"/>
  <c r="AC10" i="11"/>
  <c r="P55" i="13" s="1"/>
  <c r="AD10" i="11"/>
  <c r="P56" i="13" s="1"/>
  <c r="Y11" i="11"/>
  <c r="Z11" i="11"/>
  <c r="AA11" i="11"/>
  <c r="AB11" i="11"/>
  <c r="N54" i="13" s="1"/>
  <c r="O54" i="13" s="1"/>
  <c r="AC11" i="11"/>
  <c r="N55" i="13" s="1"/>
  <c r="O55" i="13" s="1"/>
  <c r="AD11" i="11"/>
  <c r="N56" i="13" s="1"/>
  <c r="O56" i="13" s="1"/>
  <c r="AA6" i="11"/>
  <c r="AB6" i="11"/>
  <c r="AC6" i="11"/>
  <c r="AD6" i="11"/>
  <c r="Y6" i="11"/>
  <c r="Z6" i="11"/>
  <c r="L27" i="13"/>
  <c r="M27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W9" i="2"/>
  <c r="I10" i="1"/>
  <c r="M26" i="13" l="1"/>
  <c r="L26" i="13"/>
  <c r="S10" i="2"/>
  <c r="H78" i="1"/>
  <c r="I78" i="1" s="1"/>
  <c r="G78" i="1"/>
  <c r="A4" i="13" a="1"/>
  <c r="A4" i="13" s="1"/>
  <c r="C11" i="12"/>
  <c r="D11" i="12"/>
  <c r="E11" i="12"/>
  <c r="F11" i="12"/>
  <c r="G11" i="12"/>
  <c r="H11" i="12"/>
  <c r="N60" i="13" s="1"/>
  <c r="I11" i="12"/>
  <c r="N61" i="13" s="1"/>
  <c r="J11" i="12"/>
  <c r="N62" i="13" s="1"/>
  <c r="K11" i="12"/>
  <c r="N63" i="13" s="1"/>
  <c r="L11" i="12"/>
  <c r="N64" i="13" s="1"/>
  <c r="M11" i="12"/>
  <c r="N65" i="13" s="1"/>
  <c r="N11" i="12"/>
  <c r="N66" i="13" s="1"/>
  <c r="O11" i="12"/>
  <c r="N67" i="13" s="1"/>
  <c r="P11" i="12"/>
  <c r="N68" i="13" s="1"/>
  <c r="Q11" i="12"/>
  <c r="N69" i="13" s="1"/>
  <c r="R11" i="12"/>
  <c r="N70" i="13" s="1"/>
  <c r="S11" i="12"/>
  <c r="N71" i="13" s="1"/>
  <c r="T11" i="12"/>
  <c r="U11" i="12"/>
  <c r="B11" i="12"/>
  <c r="V5" i="12"/>
  <c r="V6" i="11"/>
  <c r="W6" i="11"/>
  <c r="X6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AE11" i="11"/>
  <c r="N57" i="13" s="1"/>
  <c r="O57" i="13" s="1"/>
  <c r="AF11" i="11"/>
  <c r="N58" i="13" s="1"/>
  <c r="O58" i="13" s="1"/>
  <c r="AG11" i="11"/>
  <c r="N59" i="13" s="1"/>
  <c r="O59" i="13" s="1"/>
  <c r="B11" i="11"/>
  <c r="B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C11" i="2"/>
  <c r="C10" i="2"/>
  <c r="C4" i="13" l="1"/>
  <c r="N39" i="13"/>
  <c r="O39" i="13" s="1"/>
  <c r="N34" i="13"/>
  <c r="O34" i="13" s="1"/>
  <c r="N36" i="13"/>
  <c r="O36" i="13" s="1"/>
  <c r="N43" i="13"/>
  <c r="O43" i="13" s="1"/>
  <c r="N38" i="13"/>
  <c r="O38" i="13" s="1"/>
  <c r="N32" i="13"/>
  <c r="O32" i="13" s="1"/>
  <c r="N31" i="13"/>
  <c r="O31" i="13" s="1"/>
  <c r="N53" i="13"/>
  <c r="O53" i="13" s="1"/>
  <c r="N49" i="13"/>
  <c r="O49" i="13" s="1"/>
  <c r="N44" i="13"/>
  <c r="O44" i="13" s="1"/>
  <c r="N42" i="13"/>
  <c r="O42" i="13" s="1"/>
  <c r="N40" i="13"/>
  <c r="O40" i="13" s="1"/>
  <c r="N33" i="13"/>
  <c r="O33" i="13" s="1"/>
  <c r="N28" i="13"/>
  <c r="O28" i="13" s="1"/>
  <c r="N48" i="13"/>
  <c r="O48" i="13" s="1"/>
  <c r="N37" i="13"/>
  <c r="O37" i="13" s="1"/>
  <c r="N30" i="13"/>
  <c r="O30" i="13" s="1"/>
  <c r="N52" i="13"/>
  <c r="O52" i="13" s="1"/>
  <c r="N47" i="13"/>
  <c r="O47" i="13" s="1"/>
  <c r="N45" i="13"/>
  <c r="O45" i="13" s="1"/>
  <c r="N41" i="13"/>
  <c r="O41" i="13" s="1"/>
  <c r="N35" i="13"/>
  <c r="O35" i="13" s="1"/>
  <c r="N29" i="13"/>
  <c r="O29" i="13" s="1"/>
  <c r="N51" i="13"/>
  <c r="O51" i="13" s="1"/>
  <c r="N50" i="13"/>
  <c r="O50" i="13" s="1"/>
  <c r="N46" i="13"/>
  <c r="O46" i="13" s="1"/>
  <c r="N7" i="13"/>
  <c r="O7" i="13" s="1"/>
  <c r="N6" i="13"/>
  <c r="O6" i="13" s="1"/>
  <c r="P5" i="13"/>
  <c r="N5" i="13"/>
  <c r="O5" i="13" s="1"/>
  <c r="N18" i="13"/>
  <c r="O18" i="13" s="1"/>
  <c r="N13" i="13"/>
  <c r="O13" i="13" s="1"/>
  <c r="N27" i="13"/>
  <c r="O27" i="13" s="1"/>
  <c r="N16" i="13"/>
  <c r="O16" i="13" s="1"/>
  <c r="N26" i="13"/>
  <c r="O26" i="13" s="1"/>
  <c r="N11" i="13"/>
  <c r="O11" i="13" s="1"/>
  <c r="N25" i="13"/>
  <c r="O25" i="13" s="1"/>
  <c r="N24" i="13"/>
  <c r="O24" i="13" s="1"/>
  <c r="N15" i="13"/>
  <c r="O15" i="13" s="1"/>
  <c r="N9" i="13"/>
  <c r="O9" i="13" s="1"/>
  <c r="N23" i="13"/>
  <c r="O23" i="13" s="1"/>
  <c r="N17" i="13"/>
  <c r="O17" i="13" s="1"/>
  <c r="N12" i="13"/>
  <c r="O12" i="13" s="1"/>
  <c r="N22" i="13"/>
  <c r="O22" i="13" s="1"/>
  <c r="N10" i="13"/>
  <c r="O10" i="13" s="1"/>
  <c r="N21" i="13"/>
  <c r="O21" i="13" s="1"/>
  <c r="N19" i="13"/>
  <c r="O19" i="13" s="1"/>
  <c r="N14" i="13"/>
  <c r="O14" i="13" s="1"/>
  <c r="N8" i="13"/>
  <c r="O8" i="13" s="1"/>
  <c r="N20" i="13"/>
  <c r="O20" i="13" s="1"/>
  <c r="N4" i="13"/>
  <c r="O4" i="13" s="1"/>
  <c r="O71" i="13"/>
  <c r="O70" i="13"/>
  <c r="O69" i="13"/>
  <c r="O68" i="13"/>
  <c r="O67" i="13"/>
  <c r="O66" i="13"/>
  <c r="O65" i="13"/>
  <c r="O64" i="13"/>
  <c r="O63" i="13"/>
  <c r="O62" i="13"/>
  <c r="O61" i="13"/>
  <c r="O60" i="13"/>
  <c r="C39" i="13"/>
  <c r="C13" i="13"/>
  <c r="C12" i="13"/>
  <c r="C38" i="13"/>
  <c r="C15" i="13"/>
  <c r="C41" i="13"/>
  <c r="C8" i="13"/>
  <c r="C33" i="13"/>
  <c r="C7" i="13"/>
  <c r="C6" i="13"/>
  <c r="C32" i="13"/>
  <c r="C5" i="13"/>
  <c r="C31" i="13"/>
  <c r="C40" i="13"/>
  <c r="C34" i="13"/>
  <c r="C27" i="13"/>
  <c r="C53" i="13"/>
  <c r="C29" i="13"/>
  <c r="C37" i="13"/>
  <c r="C10" i="13"/>
  <c r="C35" i="13"/>
  <c r="C30" i="13"/>
  <c r="C26" i="13"/>
  <c r="C52" i="13"/>
  <c r="C25" i="13"/>
  <c r="C51" i="13"/>
  <c r="C71" i="13"/>
  <c r="C42" i="13"/>
  <c r="C36" i="13"/>
  <c r="C62" i="13"/>
  <c r="C14" i="13"/>
  <c r="C70" i="13"/>
  <c r="C23" i="13"/>
  <c r="C22" i="13"/>
  <c r="C48" i="13"/>
  <c r="C68" i="13"/>
  <c r="C60" i="13"/>
  <c r="C11" i="13"/>
  <c r="C69" i="13"/>
  <c r="C21" i="13"/>
  <c r="C47" i="13"/>
  <c r="C67" i="13"/>
  <c r="C24" i="13"/>
  <c r="C20" i="13"/>
  <c r="C46" i="13"/>
  <c r="C66" i="13"/>
  <c r="C50" i="13"/>
  <c r="C19" i="13"/>
  <c r="C45" i="13"/>
  <c r="C65" i="13"/>
  <c r="C16" i="13"/>
  <c r="C18" i="13"/>
  <c r="C44" i="13"/>
  <c r="C64" i="13"/>
  <c r="C61" i="13"/>
  <c r="C9" i="13"/>
  <c r="C49" i="13"/>
  <c r="C17" i="13"/>
  <c r="C43" i="13"/>
  <c r="C63" i="13"/>
  <c r="C10" i="12"/>
  <c r="D10" i="12"/>
  <c r="E10" i="12"/>
  <c r="F10" i="12"/>
  <c r="G10" i="12"/>
  <c r="H10" i="12"/>
  <c r="P60" i="13" s="1"/>
  <c r="I10" i="12"/>
  <c r="P61" i="13" s="1"/>
  <c r="J10" i="12"/>
  <c r="P62" i="13" s="1"/>
  <c r="K10" i="12"/>
  <c r="P63" i="13" s="1"/>
  <c r="L10" i="12"/>
  <c r="P64" i="13" s="1"/>
  <c r="M10" i="12"/>
  <c r="P65" i="13" s="1"/>
  <c r="N10" i="12"/>
  <c r="P66" i="13" s="1"/>
  <c r="O10" i="12"/>
  <c r="P67" i="13" s="1"/>
  <c r="P10" i="12"/>
  <c r="P68" i="13" s="1"/>
  <c r="Q10" i="12"/>
  <c r="P69" i="13" s="1"/>
  <c r="R10" i="12"/>
  <c r="P70" i="13" s="1"/>
  <c r="S10" i="12"/>
  <c r="P71" i="13" s="1"/>
  <c r="B10" i="12"/>
  <c r="AF10" i="11"/>
  <c r="AG10" i="11"/>
  <c r="C10" i="11"/>
  <c r="P29" i="13" s="1"/>
  <c r="D10" i="11"/>
  <c r="P30" i="13" s="1"/>
  <c r="E10" i="11"/>
  <c r="P31" i="13" s="1"/>
  <c r="F10" i="11"/>
  <c r="P32" i="13" s="1"/>
  <c r="G10" i="11"/>
  <c r="P33" i="13" s="1"/>
  <c r="H10" i="11"/>
  <c r="P34" i="13" s="1"/>
  <c r="I10" i="11"/>
  <c r="P35" i="13" s="1"/>
  <c r="J10" i="11"/>
  <c r="P36" i="13" s="1"/>
  <c r="K10" i="11"/>
  <c r="P37" i="13" s="1"/>
  <c r="L10" i="11"/>
  <c r="P38" i="13" s="1"/>
  <c r="M10" i="11"/>
  <c r="P39" i="13" s="1"/>
  <c r="N10" i="11"/>
  <c r="P40" i="13" s="1"/>
  <c r="O10" i="11"/>
  <c r="P41" i="13" s="1"/>
  <c r="P10" i="11"/>
  <c r="P42" i="13" s="1"/>
  <c r="Q10" i="11"/>
  <c r="P43" i="13" s="1"/>
  <c r="R10" i="11"/>
  <c r="P44" i="13" s="1"/>
  <c r="S10" i="11"/>
  <c r="P45" i="13" s="1"/>
  <c r="T10" i="11"/>
  <c r="P46" i="13" s="1"/>
  <c r="U10" i="11"/>
  <c r="P47" i="13" s="1"/>
  <c r="V10" i="11"/>
  <c r="P48" i="13" s="1"/>
  <c r="W10" i="11"/>
  <c r="P49" i="13" s="1"/>
  <c r="X10" i="11"/>
  <c r="P50" i="13" s="1"/>
  <c r="AE10" i="11"/>
  <c r="B10" i="11"/>
  <c r="P28" i="13" s="1"/>
  <c r="B10" i="2"/>
  <c r="P4" i="13" s="1"/>
  <c r="E10" i="2"/>
  <c r="P7" i="13" s="1"/>
  <c r="F10" i="2"/>
  <c r="P8" i="13" s="1"/>
  <c r="G10" i="2"/>
  <c r="P9" i="13" s="1"/>
  <c r="H10" i="2"/>
  <c r="P10" i="13" s="1"/>
  <c r="I10" i="2"/>
  <c r="P11" i="13" s="1"/>
  <c r="J10" i="2"/>
  <c r="P12" i="13" s="1"/>
  <c r="K10" i="2"/>
  <c r="P13" i="13" s="1"/>
  <c r="L10" i="2"/>
  <c r="P14" i="13" s="1"/>
  <c r="M10" i="2"/>
  <c r="P15" i="13" s="1"/>
  <c r="N10" i="2"/>
  <c r="P16" i="13" s="1"/>
  <c r="O10" i="2"/>
  <c r="P17" i="13" s="1"/>
  <c r="P10" i="2"/>
  <c r="P18" i="13" s="1"/>
  <c r="Q10" i="2"/>
  <c r="P19" i="13" s="1"/>
  <c r="R10" i="2"/>
  <c r="P20" i="13" s="1"/>
  <c r="P21" i="13"/>
  <c r="T10" i="2"/>
  <c r="P22" i="13" s="1"/>
  <c r="U10" i="2"/>
  <c r="P23" i="13" s="1"/>
  <c r="V10" i="2"/>
  <c r="P24" i="13" s="1"/>
  <c r="W10" i="2"/>
  <c r="P25" i="13" s="1"/>
  <c r="X10" i="2"/>
  <c r="P26" i="13" s="1"/>
  <c r="Y10" i="2"/>
  <c r="P27" i="13" s="1"/>
  <c r="D10" i="2"/>
  <c r="P6" i="13" s="1"/>
  <c r="G19" i="1"/>
  <c r="G20" i="1"/>
  <c r="H19" i="1"/>
  <c r="H20" i="1"/>
  <c r="G33" i="1"/>
  <c r="G40" i="1"/>
  <c r="H40" i="1"/>
  <c r="G43" i="1"/>
  <c r="P51" i="13" l="1"/>
  <c r="P57" i="13"/>
  <c r="P53" i="13"/>
  <c r="P59" i="13"/>
  <c r="P52" i="13"/>
  <c r="P58" i="13"/>
  <c r="C28" i="13"/>
  <c r="W7" i="11"/>
  <c r="M49" i="13" s="1"/>
  <c r="AH5" i="11"/>
  <c r="AB5" i="2"/>
  <c r="M9" i="12"/>
  <c r="F9" i="12"/>
  <c r="T8" i="12"/>
  <c r="M8" i="12"/>
  <c r="F8" i="12"/>
  <c r="T7" i="12"/>
  <c r="M7" i="12"/>
  <c r="L65" i="13" s="1"/>
  <c r="F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M9" i="11"/>
  <c r="W8" i="11"/>
  <c r="L49" i="13" s="1"/>
  <c r="P8" i="11"/>
  <c r="L42" i="13" s="1"/>
  <c r="M8" i="11"/>
  <c r="L39" i="13" s="1"/>
  <c r="L8" i="11"/>
  <c r="L38" i="13" s="1"/>
  <c r="K8" i="11"/>
  <c r="L37" i="13" s="1"/>
  <c r="J8" i="11"/>
  <c r="L36" i="13" s="1"/>
  <c r="H8" i="11"/>
  <c r="L34" i="13" s="1"/>
  <c r="P7" i="11"/>
  <c r="M42" i="13" s="1"/>
  <c r="M7" i="11"/>
  <c r="M39" i="13" s="1"/>
  <c r="L7" i="11"/>
  <c r="M38" i="13" s="1"/>
  <c r="K7" i="11"/>
  <c r="M37" i="13" s="1"/>
  <c r="J7" i="11"/>
  <c r="M36" i="13" s="1"/>
  <c r="H7" i="11"/>
  <c r="M34" i="13" s="1"/>
  <c r="AG6" i="11"/>
  <c r="AF6" i="11"/>
  <c r="AE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I23" i="1"/>
  <c r="I13" i="1"/>
  <c r="L9" i="11"/>
  <c r="I14" i="1"/>
  <c r="I18" i="1"/>
  <c r="I19" i="1"/>
  <c r="I20" i="1"/>
  <c r="I21" i="1"/>
  <c r="I24" i="1"/>
  <c r="I26" i="1"/>
  <c r="G9" i="11" s="1"/>
  <c r="I27" i="1"/>
  <c r="O9" i="11" s="1"/>
  <c r="I28" i="1"/>
  <c r="I31" i="1"/>
  <c r="I32" i="1"/>
  <c r="I33" i="1"/>
  <c r="I35" i="1"/>
  <c r="I39" i="1"/>
  <c r="I40" i="1"/>
  <c r="I46" i="1"/>
  <c r="I47" i="1"/>
  <c r="I48" i="1"/>
  <c r="I50" i="1"/>
  <c r="I51" i="1"/>
  <c r="D9" i="12" s="1"/>
  <c r="I52" i="1"/>
  <c r="I53" i="1"/>
  <c r="I55" i="1"/>
  <c r="I56" i="1"/>
  <c r="I58" i="1"/>
  <c r="I59" i="1"/>
  <c r="I62" i="1"/>
  <c r="I66" i="1"/>
  <c r="I67" i="1"/>
  <c r="AG9" i="11" s="1"/>
  <c r="I73" i="1"/>
  <c r="I77" i="1"/>
  <c r="I80" i="1"/>
  <c r="I81" i="1"/>
  <c r="G79" i="1"/>
  <c r="H79" i="1"/>
  <c r="G80" i="1"/>
  <c r="H80" i="1"/>
  <c r="G81" i="1"/>
  <c r="H81" i="1"/>
  <c r="G82" i="1"/>
  <c r="H82" i="1"/>
  <c r="I82" i="1" s="1"/>
  <c r="G83" i="1"/>
  <c r="H83" i="1"/>
  <c r="I83" i="1" s="1"/>
  <c r="G84" i="1"/>
  <c r="H84" i="1"/>
  <c r="I84" i="1" s="1"/>
  <c r="G77" i="1"/>
  <c r="H77" i="1"/>
  <c r="H10" i="1"/>
  <c r="H11" i="1"/>
  <c r="I11" i="1" s="1"/>
  <c r="H12" i="1"/>
  <c r="I12" i="1" s="1"/>
  <c r="H13" i="1"/>
  <c r="H14" i="1"/>
  <c r="H15" i="1"/>
  <c r="I15" i="1" s="1"/>
  <c r="H16" i="1"/>
  <c r="I16" i="1" s="1"/>
  <c r="H17" i="1"/>
  <c r="I17" i="1" s="1"/>
  <c r="H18" i="1"/>
  <c r="H21" i="1"/>
  <c r="H22" i="1"/>
  <c r="I22" i="1" s="1"/>
  <c r="H23" i="1"/>
  <c r="H24" i="1"/>
  <c r="H25" i="1"/>
  <c r="I25" i="1" s="1"/>
  <c r="H26" i="1"/>
  <c r="H27" i="1"/>
  <c r="X8" i="11" s="1"/>
  <c r="L50" i="13" s="1"/>
  <c r="H28" i="1"/>
  <c r="H29" i="1"/>
  <c r="I29" i="1" s="1"/>
  <c r="H30" i="1"/>
  <c r="I30" i="1" s="1"/>
  <c r="H31" i="1"/>
  <c r="H32" i="1"/>
  <c r="H33" i="1"/>
  <c r="H34" i="1"/>
  <c r="R8" i="2" s="1"/>
  <c r="L20" i="13" s="1"/>
  <c r="H35" i="1"/>
  <c r="H36" i="1"/>
  <c r="I36" i="1" s="1"/>
  <c r="H37" i="1"/>
  <c r="I37" i="1" s="1"/>
  <c r="H38" i="1"/>
  <c r="I38" i="1" s="1"/>
  <c r="H39" i="1"/>
  <c r="H41" i="1"/>
  <c r="I41" i="1" s="1"/>
  <c r="H42" i="1"/>
  <c r="I42" i="1" s="1"/>
  <c r="H43" i="1"/>
  <c r="I43" i="1" s="1"/>
  <c r="H44" i="1"/>
  <c r="I44" i="1" s="1"/>
  <c r="H45" i="1"/>
  <c r="I45" i="1" s="1"/>
  <c r="H46" i="1"/>
  <c r="H47" i="1"/>
  <c r="H48" i="1"/>
  <c r="H49" i="1"/>
  <c r="I49" i="1" s="1"/>
  <c r="H50" i="1"/>
  <c r="H51" i="1"/>
  <c r="D8" i="12" s="1"/>
  <c r="H52" i="1"/>
  <c r="H53" i="1"/>
  <c r="H54" i="1"/>
  <c r="I54" i="1" s="1"/>
  <c r="H55" i="1"/>
  <c r="H56" i="1"/>
  <c r="H57" i="1"/>
  <c r="I57" i="1" s="1"/>
  <c r="H58" i="1"/>
  <c r="H59" i="1"/>
  <c r="H60" i="1"/>
  <c r="I60" i="1" s="1"/>
  <c r="H61" i="1"/>
  <c r="H62" i="1"/>
  <c r="AA8" i="2" s="1"/>
  <c r="H63" i="1"/>
  <c r="I63" i="1" s="1"/>
  <c r="H64" i="1"/>
  <c r="I64" i="1" s="1"/>
  <c r="H65" i="1"/>
  <c r="I65" i="1" s="1"/>
  <c r="H66" i="1"/>
  <c r="H67" i="1"/>
  <c r="AG8" i="11" s="1"/>
  <c r="L59" i="13" s="1"/>
  <c r="H68" i="1"/>
  <c r="I68" i="1" s="1"/>
  <c r="H69" i="1"/>
  <c r="I69" i="1" s="1"/>
  <c r="H70" i="1"/>
  <c r="I70" i="1" s="1"/>
  <c r="H71" i="1"/>
  <c r="I71" i="1" s="1"/>
  <c r="H72" i="1"/>
  <c r="I72" i="1" s="1"/>
  <c r="H73" i="1"/>
  <c r="H74" i="1"/>
  <c r="I74" i="1" s="1"/>
  <c r="H75" i="1"/>
  <c r="I75" i="1" s="1"/>
  <c r="H76" i="1"/>
  <c r="I76" i="1" s="1"/>
  <c r="H8" i="2"/>
  <c r="L10" i="13" s="1"/>
  <c r="G76" i="1"/>
  <c r="G27" i="1"/>
  <c r="G28" i="1"/>
  <c r="G29" i="1"/>
  <c r="G30" i="1"/>
  <c r="G31" i="1"/>
  <c r="G32" i="1"/>
  <c r="R7" i="2"/>
  <c r="M20" i="13" s="1"/>
  <c r="G36" i="1"/>
  <c r="G37" i="1"/>
  <c r="G38" i="1"/>
  <c r="G39" i="1"/>
  <c r="G41" i="1"/>
  <c r="G42" i="1"/>
  <c r="G44" i="1"/>
  <c r="G45" i="1"/>
  <c r="G46" i="1"/>
  <c r="G47" i="1"/>
  <c r="G48" i="1"/>
  <c r="G49" i="1"/>
  <c r="G50" i="1"/>
  <c r="G51" i="1"/>
  <c r="D7" i="12" s="1"/>
  <c r="G52" i="1"/>
  <c r="G53" i="1"/>
  <c r="G54" i="1"/>
  <c r="G55" i="1"/>
  <c r="G56" i="1"/>
  <c r="G57" i="1"/>
  <c r="G58" i="1"/>
  <c r="G59" i="1"/>
  <c r="G60" i="1"/>
  <c r="G61" i="1"/>
  <c r="AB7" i="11" s="1"/>
  <c r="M54" i="13" s="1"/>
  <c r="G62" i="1"/>
  <c r="G63" i="1"/>
  <c r="G64" i="1"/>
  <c r="G65" i="1"/>
  <c r="G66" i="1"/>
  <c r="G67" i="1"/>
  <c r="AG7" i="11" s="1"/>
  <c r="M59" i="13" s="1"/>
  <c r="G68" i="1"/>
  <c r="G69" i="1"/>
  <c r="G70" i="1"/>
  <c r="G71" i="1"/>
  <c r="G72" i="1"/>
  <c r="G73" i="1"/>
  <c r="G74" i="1"/>
  <c r="G75" i="1"/>
  <c r="G10" i="1"/>
  <c r="G11" i="1"/>
  <c r="G12" i="1"/>
  <c r="G13" i="1"/>
  <c r="G14" i="1"/>
  <c r="G15" i="1"/>
  <c r="G16" i="1"/>
  <c r="G17" i="1"/>
  <c r="G18" i="1"/>
  <c r="G21" i="1"/>
  <c r="G22" i="1"/>
  <c r="G23" i="1"/>
  <c r="G24" i="1"/>
  <c r="G25" i="1"/>
  <c r="G26" i="1"/>
  <c r="D7" i="11" s="1"/>
  <c r="M30" i="13" s="1"/>
  <c r="Z6" i="2"/>
  <c r="AA6" i="2"/>
  <c r="S7" i="2"/>
  <c r="M21" i="13" s="1"/>
  <c r="U7" i="2"/>
  <c r="M23" i="13" s="1"/>
  <c r="X9" i="11" l="1"/>
  <c r="B7" i="2"/>
  <c r="M4" i="13" s="1"/>
  <c r="N7" i="11"/>
  <c r="M40" i="13" s="1"/>
  <c r="AD7" i="11"/>
  <c r="M56" i="13" s="1"/>
  <c r="I34" i="1"/>
  <c r="R9" i="2" s="1"/>
  <c r="O7" i="11"/>
  <c r="M41" i="13" s="1"/>
  <c r="AE8" i="11"/>
  <c r="L57" i="13" s="1"/>
  <c r="AA8" i="11"/>
  <c r="L53" i="13" s="1"/>
  <c r="R9" i="12"/>
  <c r="AA9" i="2"/>
  <c r="J9" i="12"/>
  <c r="AD9" i="11"/>
  <c r="X7" i="11"/>
  <c r="M50" i="13" s="1"/>
  <c r="AE7" i="11"/>
  <c r="M57" i="13" s="1"/>
  <c r="AA7" i="11"/>
  <c r="M53" i="13" s="1"/>
  <c r="N8" i="11"/>
  <c r="L40" i="13" s="1"/>
  <c r="AD8" i="11"/>
  <c r="L56" i="13" s="1"/>
  <c r="AE9" i="11"/>
  <c r="AA9" i="11"/>
  <c r="O8" i="11"/>
  <c r="L41" i="13" s="1"/>
  <c r="E8" i="11"/>
  <c r="L31" i="13" s="1"/>
  <c r="AB8" i="11"/>
  <c r="L54" i="13" s="1"/>
  <c r="Q7" i="11"/>
  <c r="M43" i="13" s="1"/>
  <c r="V7" i="11"/>
  <c r="M48" i="13" s="1"/>
  <c r="V6" i="12"/>
  <c r="F8" i="2"/>
  <c r="L8" i="13" s="1"/>
  <c r="I7" i="2"/>
  <c r="M11" i="13" s="1"/>
  <c r="J8" i="2"/>
  <c r="L12" i="13" s="1"/>
  <c r="P7" i="2"/>
  <c r="M18" i="13" s="1"/>
  <c r="R8" i="11"/>
  <c r="L44" i="13" s="1"/>
  <c r="T9" i="11"/>
  <c r="M7" i="2"/>
  <c r="M15" i="13" s="1"/>
  <c r="J7" i="2"/>
  <c r="M12" i="13" s="1"/>
  <c r="Q8" i="11"/>
  <c r="L43" i="13" s="1"/>
  <c r="H9" i="11"/>
  <c r="N9" i="11"/>
  <c r="R7" i="12"/>
  <c r="L70" i="13" s="1"/>
  <c r="S7" i="12"/>
  <c r="L71" i="13" s="1"/>
  <c r="R7" i="11"/>
  <c r="M44" i="13" s="1"/>
  <c r="S7" i="11"/>
  <c r="M45" i="13" s="1"/>
  <c r="T7" i="11"/>
  <c r="M46" i="13" s="1"/>
  <c r="B9" i="12"/>
  <c r="C9" i="12"/>
  <c r="U7" i="12"/>
  <c r="E9" i="12"/>
  <c r="P9" i="11"/>
  <c r="U7" i="11"/>
  <c r="M47" i="13" s="1"/>
  <c r="S8" i="11"/>
  <c r="L45" i="13" s="1"/>
  <c r="T8" i="11"/>
  <c r="L46" i="13" s="1"/>
  <c r="R9" i="11"/>
  <c r="B8" i="12"/>
  <c r="U8" i="11"/>
  <c r="L47" i="13" s="1"/>
  <c r="S9" i="11"/>
  <c r="C8" i="12"/>
  <c r="G9" i="12"/>
  <c r="V8" i="11"/>
  <c r="L48" i="13" s="1"/>
  <c r="H9" i="12"/>
  <c r="U9" i="11"/>
  <c r="E8" i="12"/>
  <c r="I9" i="12"/>
  <c r="B7" i="11"/>
  <c r="M28" i="13" s="1"/>
  <c r="AF7" i="11"/>
  <c r="M58" i="13" s="1"/>
  <c r="B7" i="12"/>
  <c r="C7" i="11"/>
  <c r="M29" i="13" s="1"/>
  <c r="C7" i="12"/>
  <c r="G8" i="12"/>
  <c r="K9" i="12"/>
  <c r="B8" i="11"/>
  <c r="L28" i="13" s="1"/>
  <c r="AF8" i="11"/>
  <c r="L58" i="13" s="1"/>
  <c r="AF9" i="11"/>
  <c r="H8" i="12"/>
  <c r="L9" i="12"/>
  <c r="F7" i="2"/>
  <c r="M8" i="13" s="1"/>
  <c r="E7" i="11"/>
  <c r="M31" i="13" s="1"/>
  <c r="C8" i="11"/>
  <c r="L29" i="13" s="1"/>
  <c r="E7" i="12"/>
  <c r="I8" i="12"/>
  <c r="F7" i="11"/>
  <c r="M32" i="13" s="1"/>
  <c r="D8" i="11"/>
  <c r="L30" i="13" s="1"/>
  <c r="B9" i="11"/>
  <c r="J8" i="12"/>
  <c r="N9" i="12"/>
  <c r="C8" i="2"/>
  <c r="L5" i="13" s="1"/>
  <c r="G7" i="11"/>
  <c r="M33" i="13" s="1"/>
  <c r="C9" i="11"/>
  <c r="G7" i="12"/>
  <c r="K8" i="12"/>
  <c r="O9" i="12"/>
  <c r="T8" i="2"/>
  <c r="L22" i="13" s="1"/>
  <c r="F8" i="11"/>
  <c r="L32" i="13" s="1"/>
  <c r="H7" i="12"/>
  <c r="L60" i="13" s="1"/>
  <c r="L8" i="12"/>
  <c r="P9" i="12"/>
  <c r="I7" i="11"/>
  <c r="M35" i="13" s="1"/>
  <c r="G8" i="11"/>
  <c r="L33" i="13" s="1"/>
  <c r="I7" i="12"/>
  <c r="L61" i="13" s="1"/>
  <c r="Q9" i="12"/>
  <c r="F9" i="11"/>
  <c r="J7" i="12"/>
  <c r="L62" i="13" s="1"/>
  <c r="N8" i="12"/>
  <c r="C9" i="2"/>
  <c r="I8" i="11"/>
  <c r="L35" i="13" s="1"/>
  <c r="K7" i="12"/>
  <c r="L63" i="13" s="1"/>
  <c r="O8" i="12"/>
  <c r="S9" i="12"/>
  <c r="L7" i="12"/>
  <c r="L64" i="13" s="1"/>
  <c r="P8" i="12"/>
  <c r="T9" i="12"/>
  <c r="I9" i="11"/>
  <c r="Q8" i="12"/>
  <c r="U9" i="12"/>
  <c r="W7" i="2"/>
  <c r="M25" i="13" s="1"/>
  <c r="J9" i="11"/>
  <c r="N7" i="12"/>
  <c r="L66" i="13" s="1"/>
  <c r="R8" i="12"/>
  <c r="K9" i="11"/>
  <c r="O7" i="12"/>
  <c r="L67" i="13" s="1"/>
  <c r="S8" i="12"/>
  <c r="P7" i="12"/>
  <c r="L68" i="13" s="1"/>
  <c r="Q7" i="12"/>
  <c r="L69" i="13" s="1"/>
  <c r="U8" i="12"/>
  <c r="W9" i="11"/>
  <c r="AH6" i="11"/>
  <c r="N7" i="2"/>
  <c r="M16" i="13" s="1"/>
  <c r="E8" i="2"/>
  <c r="L7" i="13" s="1"/>
  <c r="Y9" i="2"/>
  <c r="U9" i="2"/>
  <c r="S9" i="2"/>
  <c r="L9" i="2"/>
  <c r="E9" i="2"/>
  <c r="B9" i="2"/>
  <c r="N9" i="2"/>
  <c r="M9" i="2"/>
  <c r="I9" i="2"/>
  <c r="G9" i="2"/>
  <c r="B8" i="2"/>
  <c r="L4" i="13" s="1"/>
  <c r="I61" i="1"/>
  <c r="I79" i="1"/>
  <c r="W8" i="2"/>
  <c r="L25" i="13" s="1"/>
  <c r="L7" i="2"/>
  <c r="M14" i="13" s="1"/>
  <c r="U8" i="2"/>
  <c r="L23" i="13" s="1"/>
  <c r="P8" i="2"/>
  <c r="L18" i="13" s="1"/>
  <c r="M8" i="2"/>
  <c r="L15" i="13" s="1"/>
  <c r="AA7" i="2"/>
  <c r="E7" i="2"/>
  <c r="M7" i="13" s="1"/>
  <c r="N8" i="2"/>
  <c r="L16" i="13" s="1"/>
  <c r="G7" i="2"/>
  <c r="M9" i="13" s="1"/>
  <c r="C7" i="2"/>
  <c r="M5" i="13" s="1"/>
  <c r="S8" i="2"/>
  <c r="L21" i="13" s="1"/>
  <c r="O8" i="2"/>
  <c r="L17" i="13" s="1"/>
  <c r="T7" i="2"/>
  <c r="M22" i="13" s="1"/>
  <c r="O7" i="2"/>
  <c r="M17" i="13" s="1"/>
  <c r="I8" i="2"/>
  <c r="L11" i="13" s="1"/>
  <c r="G8" i="2"/>
  <c r="L9" i="13" s="1"/>
  <c r="Y8" i="2"/>
  <c r="L8" i="2"/>
  <c r="L14" i="13" s="1"/>
  <c r="X8" i="2"/>
  <c r="D8" i="2"/>
  <c r="L6" i="13" s="1"/>
  <c r="V8" i="2"/>
  <c r="L24" i="13" s="1"/>
  <c r="Q8" i="2"/>
  <c r="L19" i="13" s="1"/>
  <c r="K8" i="2"/>
  <c r="L13" i="13" s="1"/>
  <c r="Z8" i="2"/>
  <c r="Q7" i="2"/>
  <c r="M19" i="13" s="1"/>
  <c r="Z7" i="2"/>
  <c r="V7" i="2"/>
  <c r="M24" i="13" s="1"/>
  <c r="D7" i="2"/>
  <c r="M6" i="13" s="1"/>
  <c r="X7" i="2"/>
  <c r="H7" i="2"/>
  <c r="M10" i="13" s="1"/>
  <c r="K7" i="2"/>
  <c r="M13" i="13" s="1"/>
  <c r="S6" i="2"/>
  <c r="X6" i="2"/>
  <c r="U6" i="2"/>
  <c r="V6" i="2"/>
  <c r="W6" i="2"/>
  <c r="F9" i="2" l="1"/>
  <c r="AB9" i="11"/>
  <c r="V9" i="12"/>
  <c r="V12" i="12" s="1"/>
  <c r="V7" i="12"/>
  <c r="V13" i="12" s="1"/>
  <c r="V8" i="12"/>
  <c r="AH7" i="11" a="1"/>
  <c r="AH7" i="11" s="1"/>
  <c r="AH15" i="11" s="1"/>
  <c r="AH8" i="11" a="1"/>
  <c r="AH8" i="11" s="1"/>
  <c r="E9" i="11"/>
  <c r="V9" i="11"/>
  <c r="Q9" i="11"/>
  <c r="J9" i="2"/>
  <c r="P9" i="2"/>
  <c r="AB8" i="2" a="1"/>
  <c r="AB8" i="2" s="1"/>
  <c r="O9" i="2"/>
  <c r="T9" i="2"/>
  <c r="D9" i="2"/>
  <c r="X9" i="2"/>
  <c r="H9" i="2"/>
  <c r="Z9" i="2"/>
  <c r="K9" i="2"/>
  <c r="Q9" i="2"/>
  <c r="V9" i="2"/>
  <c r="Y7" i="2"/>
  <c r="Y6" i="2"/>
  <c r="L6" i="2"/>
  <c r="M6" i="2"/>
  <c r="N6" i="2"/>
  <c r="O6" i="2"/>
  <c r="P6" i="2"/>
  <c r="Q6" i="2"/>
  <c r="R6" i="2"/>
  <c r="T6" i="2"/>
  <c r="B6" i="2"/>
  <c r="C6" i="2"/>
  <c r="D6" i="2"/>
  <c r="E6" i="2"/>
  <c r="F6" i="2"/>
  <c r="G6" i="2"/>
  <c r="H6" i="2"/>
  <c r="I6" i="2"/>
  <c r="J6" i="2"/>
  <c r="K6" i="2"/>
  <c r="AB6" i="2" l="1"/>
  <c r="AH9" i="11" a="1"/>
  <c r="AH9" i="11" s="1"/>
  <c r="AH14" i="11" s="1"/>
  <c r="AB9" i="2" a="1"/>
  <c r="AB9" i="2" s="1"/>
  <c r="AB10" i="2" s="1"/>
  <c r="AB7" i="2" a="1"/>
  <c r="AB7" i="2" s="1"/>
  <c r="AB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<sst xmlns="http://schemas.openxmlformats.org/spreadsheetml/2006/main" count="455" uniqueCount="296">
  <si>
    <t>Standard 62.1 Outdoor Air Rates (Table 6-1)</t>
  </si>
  <si>
    <t>IP</t>
  </si>
  <si>
    <t>SI</t>
  </si>
  <si>
    <t>Default Occupant Density</t>
  </si>
  <si>
    <t>Occupancy Category</t>
  </si>
  <si>
    <r>
      <t>Rp</t>
    </r>
    <r>
      <rPr>
        <b/>
        <sz val="9"/>
        <rFont val="Arial"/>
        <family val="2"/>
      </rPr>
      <t xml:space="preserve"> (cfm/per)</t>
    </r>
  </si>
  <si>
    <r>
      <t>Ra</t>
    </r>
    <r>
      <rPr>
        <b/>
        <sz val="9"/>
        <rFont val="Arial"/>
        <family val="2"/>
      </rPr>
      <t xml:space="preserve"> (cfm/ft2)</t>
    </r>
  </si>
  <si>
    <r>
      <t>Rp</t>
    </r>
    <r>
      <rPr>
        <b/>
        <sz val="9"/>
        <rFont val="Arial"/>
        <family val="2"/>
      </rPr>
      <t xml:space="preserve">
(L/s-per)</t>
    </r>
  </si>
  <si>
    <r>
      <t>Ra</t>
    </r>
    <r>
      <rPr>
        <b/>
        <sz val="9"/>
        <rFont val="Arial"/>
        <family val="2"/>
      </rPr>
      <t xml:space="preserve"> (L/s-m2)</t>
    </r>
  </si>
  <si>
    <r>
      <t>#/1000 ft</t>
    </r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>(#/100 m</t>
    </r>
    <r>
      <rPr>
        <b/>
        <vertAlign val="superscript"/>
        <sz val="9"/>
        <rFont val="Arial"/>
        <family val="2"/>
      </rPr>
      <t>2)</t>
    </r>
  </si>
  <si>
    <t>Exam Room</t>
  </si>
  <si>
    <t>Imaging Room</t>
  </si>
  <si>
    <t>Waiting Room</t>
  </si>
  <si>
    <t>Nurse Station</t>
  </si>
  <si>
    <t>Procedure Room</t>
  </si>
  <si>
    <t>Barracks sleeping areas</t>
  </si>
  <si>
    <t>Bars, cocktail lounges</t>
  </si>
  <si>
    <t>Beauty and nail salons</t>
  </si>
  <si>
    <t>Bedroom/living room</t>
  </si>
  <si>
    <t>Booking/waiting</t>
  </si>
  <si>
    <t>Bowling alley (seating)</t>
  </si>
  <si>
    <t>Break rooms</t>
  </si>
  <si>
    <t>Cafeteria/fast-food dining</t>
  </si>
  <si>
    <t>Cell</t>
  </si>
  <si>
    <t>Coffee stations</t>
  </si>
  <si>
    <t>Coin-operated laundries</t>
  </si>
  <si>
    <t>Common corridors</t>
  </si>
  <si>
    <t>Computer (not printing)</t>
  </si>
  <si>
    <t>Computer lab</t>
  </si>
  <si>
    <t>Conference/meeting</t>
  </si>
  <si>
    <t>Corridors</t>
  </si>
  <si>
    <t>Courtrooms</t>
  </si>
  <si>
    <t>Daycare (through age 4)</t>
  </si>
  <si>
    <t>Daycare sickroom</t>
  </si>
  <si>
    <t>Dayroom</t>
  </si>
  <si>
    <t>Disco/dance floors</t>
  </si>
  <si>
    <t>Dwelling unit</t>
  </si>
  <si>
    <t>Electrical equipment rooms</t>
  </si>
  <si>
    <t>Elevator machine rooms</t>
  </si>
  <si>
    <t>Gambling casinos</t>
  </si>
  <si>
    <t>Game arcades</t>
  </si>
  <si>
    <t>Guard stations</t>
  </si>
  <si>
    <t>Health club/aerobics room</t>
  </si>
  <si>
    <t>Health club/weight rooms</t>
  </si>
  <si>
    <t>Legislative chambers</t>
  </si>
  <si>
    <t>Lobbies</t>
  </si>
  <si>
    <t>Main entry lobbies</t>
  </si>
  <si>
    <t>Media center</t>
  </si>
  <si>
    <t>Multipurpose assembly</t>
  </si>
  <si>
    <t>Museums (children’s)</t>
  </si>
  <si>
    <t>Museums/galleries</t>
  </si>
  <si>
    <t>Music/theater/dance</t>
  </si>
  <si>
    <t>Occupiable storage rooms for liquids or gels</t>
  </si>
  <si>
    <t>Office space</t>
  </si>
  <si>
    <t>Pet shops (animal areas)</t>
  </si>
  <si>
    <t>Pharmacy (prep. area)</t>
  </si>
  <si>
    <t>Photo studios</t>
  </si>
  <si>
    <t>Places of religious worship</t>
  </si>
  <si>
    <t>Reception areas</t>
  </si>
  <si>
    <t>Restaurant dining rooms</t>
  </si>
  <si>
    <t>Science laboratories</t>
  </si>
  <si>
    <t>Shipping/receiving</t>
  </si>
  <si>
    <t>Spectator areas</t>
  </si>
  <si>
    <t>Stages, studios</t>
  </si>
  <si>
    <t>Storage rooms</t>
  </si>
  <si>
    <t>Supermarket</t>
  </si>
  <si>
    <t>Telephone closets</t>
  </si>
  <si>
    <t>Telephone/data entry</t>
  </si>
  <si>
    <t>Transportation waiting</t>
  </si>
  <si>
    <t>University/college laboratories</t>
  </si>
  <si>
    <t>Warehouses</t>
  </si>
  <si>
    <t>Wood/metal shop</t>
  </si>
  <si>
    <t>new zone</t>
  </si>
  <si>
    <t>Totals/averages</t>
  </si>
  <si>
    <t>New zone ID</t>
  </si>
  <si>
    <t>People</t>
  </si>
  <si>
    <t>Area</t>
  </si>
  <si>
    <t>Room Type</t>
  </si>
  <si>
    <t>T24
DCV Minimum</t>
  </si>
  <si>
    <t>T24
Occ Minimum</t>
  </si>
  <si>
    <t>HALLW</t>
  </si>
  <si>
    <t>WSGEN</t>
  </si>
  <si>
    <t>OGENL</t>
  </si>
  <si>
    <t>WTAGN</t>
  </si>
  <si>
    <t>Classrooms (ages 5-8)</t>
  </si>
  <si>
    <t>Classrooms (age 9 -18)</t>
  </si>
  <si>
    <t>Lecture/postsecondary classroom</t>
  </si>
  <si>
    <t>Lecture hall (fixed seats)</t>
  </si>
  <si>
    <t>-</t>
  </si>
  <si>
    <t>Multiuse assembly</t>
  </si>
  <si>
    <t>Kitchen (cooking)</t>
  </si>
  <si>
    <t>Laundry rooms, central</t>
  </si>
  <si>
    <t>Laundry rooms within dwelling units</t>
  </si>
  <si>
    <t>Lobbies/pre-function</t>
  </si>
  <si>
    <t>General manufacturing (excludes heavy industrial and process using chemicals)</t>
  </si>
  <si>
    <t>Sorting, packing, light assembly</t>
  </si>
  <si>
    <t>Libraries (reading rooms and stack areas)</t>
  </si>
  <si>
    <t>Sales (except as below)</t>
  </si>
  <si>
    <t>Mall common areas</t>
  </si>
  <si>
    <t>Gym, sports arena (play area)</t>
  </si>
  <si>
    <t>Occupancy Category</t>
  </si>
  <si>
    <t>Air Class</t>
  </si>
  <si>
    <t>T24
DCV/Occ Standby</t>
  </si>
  <si>
    <t>DESMINOA</t>
  </si>
  <si>
    <t>ABSMIN</t>
  </si>
  <si>
    <t>VareaMin T-24</t>
  </si>
  <si>
    <t>Voccmin T-24 DCV</t>
  </si>
  <si>
    <t>VoccMin OccStandby</t>
  </si>
  <si>
    <t>VAV-3-1</t>
  </si>
  <si>
    <t>VAV-3-2</t>
  </si>
  <si>
    <t>VAV-3-3</t>
  </si>
  <si>
    <t>VAV-3-4</t>
  </si>
  <si>
    <t>VAV-3-5</t>
  </si>
  <si>
    <t>VAV-3-6</t>
  </si>
  <si>
    <t>VAV-3-7</t>
  </si>
  <si>
    <t>VAV-3-8</t>
  </si>
  <si>
    <t>VAV-3-9</t>
  </si>
  <si>
    <t>VAV-3-10</t>
  </si>
  <si>
    <t>VAV-3-11</t>
  </si>
  <si>
    <t>VAV-3-12</t>
  </si>
  <si>
    <t>VAV-3-13</t>
  </si>
  <si>
    <t>VAV-3-14</t>
  </si>
  <si>
    <t>VAV-3-15</t>
  </si>
  <si>
    <t>VAV-3-16</t>
  </si>
  <si>
    <t>VAV-3-17</t>
  </si>
  <si>
    <t>VAV-3-18</t>
  </si>
  <si>
    <t>LOBBY</t>
  </si>
  <si>
    <t>sq. ft.</t>
  </si>
  <si>
    <t>GROUP</t>
  </si>
  <si>
    <t>OEXPO</t>
  </si>
  <si>
    <t>AC-3</t>
  </si>
  <si>
    <t>SQ.FT</t>
  </si>
  <si>
    <t>PEOPLE</t>
  </si>
  <si>
    <t>EXISTING TERMINAL UNIT SCHEDULE</t>
  </si>
  <si>
    <t>TAG</t>
  </si>
  <si>
    <t>PARENT</t>
  </si>
  <si>
    <t>PRIMARY OCCUPANCY</t>
  </si>
  <si>
    <t>AS-BUILT CAPACITIES (SEE NOTE 1)</t>
  </si>
  <si>
    <t>INLET DIAMETER (IN)</t>
  </si>
  <si>
    <t>MAX AIRFLOW (CFM)</t>
  </si>
  <si>
    <t>REHEAT COIL</t>
  </si>
  <si>
    <t>OccSensor Req</t>
  </si>
  <si>
    <t>*DON'T WANT TO MAKE AS AN OFFICE SPACE</t>
  </si>
  <si>
    <t>*CLASS F</t>
  </si>
  <si>
    <t>*SAME AS OFFICE SPACE AND CLASS F</t>
  </si>
  <si>
    <t>co2 REQ?</t>
  </si>
  <si>
    <t>VMIN CFM</t>
  </si>
  <si>
    <t>VHEAT-MAX CFM</t>
  </si>
  <si>
    <t>MAX dt F</t>
  </si>
  <si>
    <t>VHEAT-MIN CFM</t>
  </si>
  <si>
    <t>VOCC-MIN CFM</t>
  </si>
  <si>
    <t>VAREA-MIN CFM</t>
  </si>
  <si>
    <t>GUIDELINES 36 CONTROLS SETPOINTS</t>
  </si>
  <si>
    <t>VCOOL-MAX CFM</t>
  </si>
  <si>
    <t>CO2 SETPOINT</t>
  </si>
  <si>
    <t>CO2 REQUIRED</t>
  </si>
  <si>
    <t>OCC SENSOR REQUIRED</t>
  </si>
  <si>
    <t>OVERRIDDEN</t>
  </si>
  <si>
    <t>Swimming</t>
  </si>
  <si>
    <t>RTU 1-1</t>
  </si>
  <si>
    <t>VAV-1-1-1</t>
  </si>
  <si>
    <t>VAV-1-1-2</t>
  </si>
  <si>
    <t>VAV-1-1-3</t>
  </si>
  <si>
    <t>VAV-1-2-1</t>
  </si>
  <si>
    <t>VAV-1-2-2</t>
  </si>
  <si>
    <t>VAV-1-2-3</t>
  </si>
  <si>
    <t>VAV-1-2-4</t>
  </si>
  <si>
    <t>VAV-1-2-5</t>
  </si>
  <si>
    <t>VAV-1-3-1</t>
  </si>
  <si>
    <t>VAV-1-3-2</t>
  </si>
  <si>
    <t>VAV-1-3-3</t>
  </si>
  <si>
    <t>VAV-1-3-4</t>
  </si>
  <si>
    <t>VAV-1-3-5</t>
  </si>
  <si>
    <t>VAV-1-3-6</t>
  </si>
  <si>
    <t>VAV-1-3-7</t>
  </si>
  <si>
    <t>VAV-1-4-1</t>
  </si>
  <si>
    <t>VAV-1-4-2</t>
  </si>
  <si>
    <t>VAV-1-4-3</t>
  </si>
  <si>
    <t>VAV-1-4-4</t>
  </si>
  <si>
    <t>VAV-1-5-1</t>
  </si>
  <si>
    <t>VAV-1-5-2</t>
  </si>
  <si>
    <t>VAV-1-5-3</t>
  </si>
  <si>
    <t>RTU 2-X</t>
  </si>
  <si>
    <t>VAV-2-1-1</t>
  </si>
  <si>
    <t>VAV-2-1-2</t>
  </si>
  <si>
    <t>VAV-2-1-3</t>
  </si>
  <si>
    <t>VAV-2-2-1</t>
  </si>
  <si>
    <t>VAV-2-2-2</t>
  </si>
  <si>
    <t>VAV-2-2-3</t>
  </si>
  <si>
    <t>VAV-2-2-4</t>
  </si>
  <si>
    <t>VAV-2-2-5</t>
  </si>
  <si>
    <t>VAV-2-2-6</t>
  </si>
  <si>
    <t>VAV-2-3-1</t>
  </si>
  <si>
    <t>VAV-2-3-2</t>
  </si>
  <si>
    <t>VAV-2-3-3</t>
  </si>
  <si>
    <t>VAV-2-3-4</t>
  </si>
  <si>
    <t>VAV-2-3-5</t>
  </si>
  <si>
    <t>VAV-2-3-6</t>
  </si>
  <si>
    <t>VAV-2-3-7</t>
  </si>
  <si>
    <t>VAV-2-4-1</t>
  </si>
  <si>
    <t>VAV-2-4-2</t>
  </si>
  <si>
    <t>VAV-2-4-3</t>
  </si>
  <si>
    <t>VAV-2-4-4</t>
  </si>
  <si>
    <t>VAV-2-4-5</t>
  </si>
  <si>
    <t>VAV-2-4-6</t>
  </si>
  <si>
    <t>VAV-2-4-7</t>
  </si>
  <si>
    <t>VAV-2-4-8</t>
  </si>
  <si>
    <t>VAV-2-4-9</t>
  </si>
  <si>
    <t>VAV-2-5-1</t>
  </si>
  <si>
    <t>VAV-2-5-2</t>
  </si>
  <si>
    <t>VAV-2-5-3</t>
  </si>
  <si>
    <t>VAV-2-5-4</t>
  </si>
  <si>
    <t>VAV-2-5-5</t>
  </si>
  <si>
    <t>VAV-2-5-6</t>
  </si>
  <si>
    <t>VAV-2-5-7</t>
  </si>
  <si>
    <t>ADDED CATEGORY</t>
  </si>
  <si>
    <t>T24
DCV Minimum CFM/sqft</t>
  </si>
  <si>
    <t>T24
Occ Minimum CFM/sqft</t>
  </si>
  <si>
    <t>Educational Facilities - Daycare (through age 4)</t>
  </si>
  <si>
    <t>Educational Facilities - Daycare sickroom</t>
  </si>
  <si>
    <t>Educational Facilities - Classrooms (ages 5-8)</t>
  </si>
  <si>
    <t>Educational Facilities - Classrooms (age 9 -18)</t>
  </si>
  <si>
    <t>Educational Facilities - Lecture/postsecondary classroom</t>
  </si>
  <si>
    <t>Educational Facilities - Lecture hall (fixed seats)</t>
  </si>
  <si>
    <t>Educational Facilities - Art classroom</t>
  </si>
  <si>
    <t>Educational Facilities - Science laboratories</t>
  </si>
  <si>
    <t>Educational Facilities - University/college laboratories</t>
  </si>
  <si>
    <t>Educational Facilities - Computer lab</t>
  </si>
  <si>
    <t>Educational Facilities - Media center</t>
  </si>
  <si>
    <t>Educational Facilities - Music/theater/dance</t>
  </si>
  <si>
    <t>Educational Facilities - Multiuse assembly</t>
  </si>
  <si>
    <t>Food and Beverage Service - Restaurant dining rooms</t>
  </si>
  <si>
    <t>Food and Beverage Service - Cafeteria/fast-food dining</t>
  </si>
  <si>
    <t>Food and Beverage Service - Bars, cocktail lounges</t>
  </si>
  <si>
    <t>Food and Beverage Service - Kitchen (cooking)</t>
  </si>
  <si>
    <t>General - Break rooms (not office)</t>
  </si>
  <si>
    <t>General - Coffee Stations</t>
  </si>
  <si>
    <t>General - Conference/meeting</t>
  </si>
  <si>
    <t>General - Corridors</t>
  </si>
  <si>
    <t>General - Occupiable storage rooms for liquids or gels</t>
  </si>
  <si>
    <t>Hotels, Motels, Resorts, Dormitories - Bedroom/living room</t>
  </si>
  <si>
    <t>Hotels, Motels, Resorts, Dormitories - Barracks sleeping areas</t>
  </si>
  <si>
    <t>Hotels, Motels, Resorts, Dormitories - Laundry rooms, central</t>
  </si>
  <si>
    <t>Hotels, Motels, Resorts, Dormitories - Laundry rooms within dwelling units</t>
  </si>
  <si>
    <t>Hotels, Motels, Resorts, Dormitories - Lobbies/pre-function</t>
  </si>
  <si>
    <t>Hotels, Motels, Resorts, Dormitories - Multipurpose assembly</t>
  </si>
  <si>
    <t>Office Buildings - Break rooms</t>
  </si>
  <si>
    <t>Office Buildings - Main entry lobbies</t>
  </si>
  <si>
    <t>Office Buildings - storage rooms</t>
  </si>
  <si>
    <t>Office Buildings - Office space</t>
  </si>
  <si>
    <t>Office Buildings - Reception areas</t>
  </si>
  <si>
    <t>Office Buildings - Telephone/data entry</t>
  </si>
  <si>
    <t>Miscellaneous Spaces - Bank vaults/safe deposit</t>
  </si>
  <si>
    <t>Miscellaneous Spaces - Banks or bank lobbies</t>
  </si>
  <si>
    <t>Miscellaneous Spaces - Computer (not printing)</t>
  </si>
  <si>
    <t>Miscellaneous Spaces - Freezer and refrigerated spaces (&lt;50oF)</t>
  </si>
  <si>
    <t>Miscellaneous Spaces - General manufacturing (excludes heavy industrial and process using chemicals)</t>
  </si>
  <si>
    <t>Miscellaneous Spaces - Pharmacy (prep. Area)</t>
  </si>
  <si>
    <t>Miscellaneous Spaces - Photo studios</t>
  </si>
  <si>
    <t>Miscellaneous Spaces - Shipping/receiving</t>
  </si>
  <si>
    <t>Miscellaneous Spaces - Sorting, packing, light assembly</t>
  </si>
  <si>
    <t>Miscellaneous Spaces - Telephone closets</t>
  </si>
  <si>
    <t>Miscellaneous Spaces - Transportation waiting</t>
  </si>
  <si>
    <t>Miscellaneous Spaces - Warehouses</t>
  </si>
  <si>
    <t>Miscellaneous Spaces - All others</t>
  </si>
  <si>
    <t>Public Assembly Spaces - Auditorium seating area</t>
  </si>
  <si>
    <t>Public Assembly Spaces - Places of religious worship</t>
  </si>
  <si>
    <t>Public Assembly Spaces - Courtrooms</t>
  </si>
  <si>
    <t>Public Assembly Spaces - Legislative chambers</t>
  </si>
  <si>
    <t>Public Assembly Spaces - Libraries (reading rooms and stack areas)</t>
  </si>
  <si>
    <t>Public Assembly Spaces - Lobbies</t>
  </si>
  <si>
    <t>Public Assembly Spaces - Museums (children’s)</t>
  </si>
  <si>
    <t>Public Assembly Spaces - Museums/galleries</t>
  </si>
  <si>
    <t>Residential - Common corridors</t>
  </si>
  <si>
    <t>Retail - Sales (except as below)</t>
  </si>
  <si>
    <t>Retail - Mall common areas</t>
  </si>
  <si>
    <t>Retail - Barbershop</t>
  </si>
  <si>
    <t>Retail - Beauty and nail salons</t>
  </si>
  <si>
    <t>Retail - Pet shops (animal areas)</t>
  </si>
  <si>
    <t>Retail - Supermarket</t>
  </si>
  <si>
    <t>Retail - Coin-operated laundries</t>
  </si>
  <si>
    <t>Sports and Entertainment - Gym, sports arena (play area)</t>
  </si>
  <si>
    <t>Sports and Entertainment - Spectator areas</t>
  </si>
  <si>
    <t>Sports and Entertainment - Swimming (pool)</t>
  </si>
  <si>
    <t>Sports and Entertainment - Swimming (deck)</t>
  </si>
  <si>
    <t>Sports and Entertainment - Disco/dance floors</t>
  </si>
  <si>
    <t>Sports and Entertainment - Stages, studios</t>
  </si>
  <si>
    <t>Sports and Entertainment - Game arcades</t>
  </si>
  <si>
    <t>Sports and Entertainment - Gambling casinos</t>
  </si>
  <si>
    <t>Sports and Entertainment - Bowling alley (seating)</t>
  </si>
  <si>
    <t>Sports and Entertainment - Health club/weight rooms</t>
  </si>
  <si>
    <t>Sports and Entertainment - Health club/aerobics room</t>
  </si>
  <si>
    <r>
      <t>Total Outdoor Air Rate</t>
    </r>
    <r>
      <rPr>
        <b/>
        <vertAlign val="superscript"/>
        <sz val="10"/>
        <rFont val="Calibri"/>
        <family val="2"/>
      </rPr>
      <t>1</t>
    </r>
    <r>
      <rPr>
        <b/>
        <sz val="10"/>
        <rFont val="Calibri"/>
        <family val="2"/>
      </rPr>
      <t> R</t>
    </r>
    <r>
      <rPr>
        <b/>
        <vertAlign val="subscript"/>
        <sz val="10"/>
        <rFont val="Calibri"/>
        <family val="2"/>
      </rPr>
      <t>t</t>
    </r>
    <r>
      <rPr>
        <b/>
        <sz val="10"/>
        <rFont val="Calibri"/>
        <family val="2"/>
      </rPr>
      <t xml:space="preserve"> (cfm/ft2)</t>
    </r>
  </si>
  <si>
    <r>
      <t>Min Ventilation Air Rate for DCV</t>
    </r>
    <r>
      <rPr>
        <b/>
        <vertAlign val="superscript"/>
        <sz val="10"/>
        <rFont val="Calibri"/>
        <family val="2"/>
      </rPr>
      <t>2</t>
    </r>
    <r>
      <rPr>
        <b/>
        <sz val="10"/>
        <rFont val="Calibri"/>
        <family val="2"/>
      </rPr>
      <t xml:space="preserve"> Ra (cfm/ft2)</t>
    </r>
  </si>
  <si>
    <t>OS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</si>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</sst>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vertAlign val="superscript"/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1"/>
      <color theme="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Arial"/>
      <family val="2"/>
    </font>
    <font>
      <sz val="11"/>
      <name val="Aptos Narrow"/>
      <family val="2"/>
      <scheme val="minor"/>
    </font>
    <font>
      <b/>
      <vertAlign val="superscript"/>
      <sz val="10"/>
      <name val="Calibri"/>
      <family val="2"/>
    </font>
    <font>
      <b/>
      <sz val="10"/>
      <name val="Calibri"/>
      <family val="2"/>
    </font>
    <font>
      <b/>
      <vertAlign val="subscript"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6" fillId="2" borderId="1" xfId="0" applyFont="1" applyFill="1" applyBorder="1" applyAlignment="1" applyProtection="1">
      <alignment horizontal="center" vertical="top" wrapText="1"/>
      <protection locked="0"/>
    </xf>
    <xf numFmtId="0" fontId="6" fillId="2" borderId="2" xfId="0" applyFont="1" applyFill="1" applyBorder="1" applyAlignment="1" applyProtection="1">
      <alignment horizontal="center" vertical="top" wrapText="1"/>
      <protection locked="0"/>
    </xf>
    <xf numFmtId="3" fontId="7" fillId="2" borderId="2" xfId="0" applyNumberFormat="1" applyFont="1" applyFill="1" applyBorder="1" applyAlignment="1" applyProtection="1">
      <alignment horizontal="right" vertical="top" wrapText="1"/>
      <protection locked="0"/>
    </xf>
    <xf numFmtId="3" fontId="7" fillId="2" borderId="1" xfId="0" applyNumberFormat="1" applyFont="1" applyFill="1" applyBorder="1" applyAlignment="1" applyProtection="1">
      <alignment horizontal="right" vertical="top" wrapText="1"/>
      <protection locked="0"/>
    </xf>
    <xf numFmtId="0" fontId="7" fillId="2" borderId="1" xfId="0" applyFont="1" applyFill="1" applyBorder="1" applyAlignment="1" applyProtection="1">
      <alignment horizontal="right" vertical="top" wrapText="1"/>
      <protection locked="0"/>
    </xf>
    <xf numFmtId="3" fontId="0" fillId="0" borderId="0" xfId="0" applyNumberFormat="1"/>
    <xf numFmtId="0" fontId="8" fillId="3" borderId="0" xfId="0" applyFont="1" applyFill="1"/>
    <xf numFmtId="3" fontId="7" fillId="3" borderId="1" xfId="0" applyNumberFormat="1" applyFont="1" applyFill="1" applyBorder="1" applyAlignment="1" applyProtection="1">
      <alignment horizontal="right" vertical="top" wrapText="1"/>
      <protection locked="0"/>
    </xf>
    <xf numFmtId="0" fontId="0" fillId="3" borderId="0" xfId="0" applyFill="1"/>
    <xf numFmtId="0" fontId="8" fillId="3" borderId="0" xfId="0" applyFont="1" applyFill="1" applyAlignment="1">
      <alignment wrapText="1"/>
    </xf>
    <xf numFmtId="0" fontId="0" fillId="0" borderId="1" xfId="0" applyBorder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3" fontId="0" fillId="4" borderId="0" xfId="0" applyNumberFormat="1" applyFill="1"/>
    <xf numFmtId="3" fontId="0" fillId="0" borderId="1" xfId="0" applyNumberFormat="1" applyBorder="1"/>
    <xf numFmtId="0" fontId="8" fillId="0" borderId="1" xfId="0" applyFont="1" applyBorder="1"/>
    <xf numFmtId="0" fontId="0" fillId="5" borderId="1" xfId="0" applyFill="1" applyBorder="1"/>
    <xf numFmtId="0" fontId="12" fillId="4" borderId="1" xfId="0" applyFont="1" applyFill="1" applyBorder="1" applyAlignment="1">
      <alignment horizontal="center" wrapText="1"/>
    </xf>
    <xf numFmtId="0" fontId="11" fillId="0" borderId="0" xfId="0" applyFont="1"/>
    <xf numFmtId="0" fontId="12" fillId="0" borderId="1" xfId="0" applyFont="1" applyBorder="1" applyAlignment="1">
      <alignment horizontal="center" wrapText="1"/>
    </xf>
    <xf numFmtId="0" fontId="0" fillId="6" borderId="0" xfId="0" applyFill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</dxf>
    <dxf>
      <font>
        <b val="0"/>
        <family val="2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/>
        <condense val="0"/>
        <extend val="0"/>
        <color indexed="14"/>
      </font>
    </dxf>
    <dxf>
      <font>
        <b/>
        <i/>
        <condense val="0"/>
        <extend val="0"/>
        <color indexed="14"/>
      </font>
    </dxf>
    <dxf>
      <font>
        <b/>
        <i/>
        <condense val="0"/>
        <extend val="0"/>
        <color indexed="14"/>
      </font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23602\23602.09%20SM%20B2%20DDC\Calculations\HVAC\VENTILATION%20CALC_ZIYAD\Ventillation%20Calcs%20Building%202%20-%20AH-201%20asdasd.xls" TargetMode="External"/><Relationship Id="rId1" Type="http://schemas.openxmlformats.org/officeDocument/2006/relationships/externalLinkPath" Target="file:///P:\23602\23602.09%20SM%20B2%20DDC\Calculations\HVAC\VENTILATION%20CALC_ZIYAD\Ventillation%20Calcs%20Building%202%20-%20AH-201%20asdas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rections"/>
      <sheetName val="Vot Calculation"/>
      <sheetName val="Table 6-1 Rates"/>
      <sheetName val="LEED Comments-1"/>
      <sheetName val="LEED Comments-2"/>
      <sheetName val="LEED Comments-3"/>
      <sheetName val="LEED Comments-4"/>
    </sheetNames>
    <sheetDataSet>
      <sheetData sheetId="0" refreshError="1"/>
      <sheetData sheetId="1" refreshError="1"/>
      <sheetData sheetId="2">
        <row r="5">
          <cell r="A5" t="e">
            <v>#N/A</v>
          </cell>
          <cell r="B5">
            <v>5</v>
          </cell>
          <cell r="C5">
            <v>0.06</v>
          </cell>
          <cell r="D5">
            <v>5</v>
          </cell>
          <cell r="E5">
            <v>0.3</v>
          </cell>
          <cell r="F5">
            <v>5</v>
          </cell>
        </row>
        <row r="6">
          <cell r="A6" t="e">
            <v>#N/A</v>
          </cell>
          <cell r="B6">
            <v>5</v>
          </cell>
          <cell r="C6">
            <v>0.06</v>
          </cell>
          <cell r="D6">
            <v>2.5</v>
          </cell>
          <cell r="E6">
            <v>0.3</v>
          </cell>
          <cell r="F6">
            <v>5</v>
          </cell>
        </row>
        <row r="7">
          <cell r="A7" t="e">
            <v>#N/A</v>
          </cell>
          <cell r="B7">
            <v>5</v>
          </cell>
          <cell r="C7">
            <v>0.06</v>
          </cell>
          <cell r="D7">
            <v>3.8</v>
          </cell>
          <cell r="E7">
            <v>0.3</v>
          </cell>
          <cell r="F7">
            <v>30</v>
          </cell>
        </row>
        <row r="8">
          <cell r="A8" t="str">
            <v>Nurse Station</v>
          </cell>
          <cell r="B8">
            <v>5</v>
          </cell>
          <cell r="C8">
            <v>0.06</v>
          </cell>
          <cell r="D8">
            <v>3.8</v>
          </cell>
          <cell r="E8">
            <v>0.3</v>
          </cell>
          <cell r="F8">
            <v>15</v>
          </cell>
        </row>
        <row r="9">
          <cell r="A9" t="str">
            <v>Procedure Room</v>
          </cell>
          <cell r="B9">
            <v>5</v>
          </cell>
          <cell r="C9">
            <v>0.15</v>
          </cell>
          <cell r="D9">
            <v>5</v>
          </cell>
          <cell r="E9">
            <v>0.3</v>
          </cell>
          <cell r="F9">
            <v>5</v>
          </cell>
        </row>
        <row r="10">
          <cell r="A10" t="str">
            <v>Barracks sleeping areas</v>
          </cell>
          <cell r="B10">
            <v>5</v>
          </cell>
          <cell r="C10">
            <v>0.06</v>
          </cell>
          <cell r="D10">
            <v>2.5</v>
          </cell>
          <cell r="E10">
            <v>0.3</v>
          </cell>
          <cell r="F10">
            <v>20</v>
          </cell>
        </row>
        <row r="11">
          <cell r="A11" t="str">
            <v>Bars, cocktail lounges</v>
          </cell>
          <cell r="B11">
            <v>7.5</v>
          </cell>
          <cell r="C11">
            <v>0.18</v>
          </cell>
          <cell r="D11">
            <v>3.8</v>
          </cell>
          <cell r="E11">
            <v>0.9</v>
          </cell>
          <cell r="F11">
            <v>100</v>
          </cell>
        </row>
        <row r="12">
          <cell r="A12" t="str">
            <v>Beauty and nail salons</v>
          </cell>
          <cell r="B12">
            <v>20</v>
          </cell>
          <cell r="C12">
            <v>0.12</v>
          </cell>
          <cell r="D12">
            <v>10</v>
          </cell>
          <cell r="E12">
            <v>0.6</v>
          </cell>
          <cell r="F12">
            <v>25</v>
          </cell>
        </row>
        <row r="13">
          <cell r="A13" t="str">
            <v>Bedroom/living room</v>
          </cell>
          <cell r="B13">
            <v>5</v>
          </cell>
          <cell r="C13">
            <v>0.06</v>
          </cell>
          <cell r="D13">
            <v>2.5</v>
          </cell>
          <cell r="E13">
            <v>0.3</v>
          </cell>
          <cell r="F13">
            <v>10</v>
          </cell>
        </row>
        <row r="14">
          <cell r="A14" t="str">
            <v>Booking/waiting</v>
          </cell>
          <cell r="B14">
            <v>7.5</v>
          </cell>
          <cell r="C14">
            <v>0.06</v>
          </cell>
          <cell r="D14">
            <v>3.8</v>
          </cell>
          <cell r="E14">
            <v>0.3</v>
          </cell>
          <cell r="F14">
            <v>50</v>
          </cell>
        </row>
        <row r="15">
          <cell r="A15" t="str">
            <v>Bowling alley (seating)</v>
          </cell>
          <cell r="B15">
            <v>10</v>
          </cell>
          <cell r="C15">
            <v>0.12</v>
          </cell>
          <cell r="D15">
            <v>5</v>
          </cell>
          <cell r="E15">
            <v>0.6</v>
          </cell>
          <cell r="F15">
            <v>40</v>
          </cell>
        </row>
        <row r="16">
          <cell r="A16" t="str">
            <v>Break rooms</v>
          </cell>
          <cell r="B16">
            <v>5</v>
          </cell>
          <cell r="C16">
            <v>0.06</v>
          </cell>
          <cell r="D16">
            <v>2.5</v>
          </cell>
          <cell r="E16">
            <v>0.6</v>
          </cell>
          <cell r="F16">
            <v>25</v>
          </cell>
        </row>
        <row r="17">
          <cell r="A17" t="str">
            <v>Cafeteria/fast-food dining</v>
          </cell>
          <cell r="B17">
            <v>7.5</v>
          </cell>
          <cell r="C17">
            <v>0.18</v>
          </cell>
          <cell r="D17">
            <v>3.8</v>
          </cell>
          <cell r="E17">
            <v>0.9</v>
          </cell>
          <cell r="F17">
            <v>100</v>
          </cell>
        </row>
        <row r="18">
          <cell r="A18" t="str">
            <v>Cell</v>
          </cell>
          <cell r="B18">
            <v>5</v>
          </cell>
          <cell r="C18">
            <v>0.12</v>
          </cell>
          <cell r="D18">
            <v>2.5</v>
          </cell>
          <cell r="E18">
            <v>0.6</v>
          </cell>
          <cell r="F18">
            <v>25</v>
          </cell>
        </row>
        <row r="19">
          <cell r="A19" t="str">
            <v>Classrooms (age 9 plus)</v>
          </cell>
          <cell r="B19">
            <v>10</v>
          </cell>
          <cell r="C19">
            <v>0.12</v>
          </cell>
          <cell r="D19">
            <v>5</v>
          </cell>
          <cell r="E19">
            <v>0.6</v>
          </cell>
          <cell r="F19">
            <v>35</v>
          </cell>
        </row>
        <row r="20">
          <cell r="A20" t="str">
            <v>Classrooms (ages 5–8)</v>
          </cell>
          <cell r="B20">
            <v>10</v>
          </cell>
          <cell r="C20">
            <v>0.12</v>
          </cell>
          <cell r="D20">
            <v>5</v>
          </cell>
          <cell r="E20">
            <v>0.6</v>
          </cell>
          <cell r="F20">
            <v>25</v>
          </cell>
        </row>
        <row r="21">
          <cell r="A21" t="str">
            <v>Coffee stations</v>
          </cell>
          <cell r="B21">
            <v>5</v>
          </cell>
          <cell r="C21">
            <v>0.06</v>
          </cell>
          <cell r="D21">
            <v>2.5</v>
          </cell>
          <cell r="E21">
            <v>0.3</v>
          </cell>
          <cell r="F21">
            <v>20</v>
          </cell>
        </row>
        <row r="22">
          <cell r="A22" t="str">
            <v>Coin-operated laundries</v>
          </cell>
          <cell r="B22">
            <v>7.5</v>
          </cell>
          <cell r="C22">
            <v>0.06</v>
          </cell>
          <cell r="D22">
            <v>3.8</v>
          </cell>
          <cell r="E22">
            <v>0.6</v>
          </cell>
          <cell r="F22">
            <v>20</v>
          </cell>
        </row>
        <row r="23">
          <cell r="A23" t="str">
            <v>Common corridors</v>
          </cell>
          <cell r="B23">
            <v>0</v>
          </cell>
          <cell r="C23">
            <v>0.06</v>
          </cell>
          <cell r="D23">
            <v>0</v>
          </cell>
          <cell r="E23">
            <v>0.3</v>
          </cell>
        </row>
        <row r="24">
          <cell r="A24" t="str">
            <v>Computer (not printing)</v>
          </cell>
          <cell r="B24">
            <v>5</v>
          </cell>
          <cell r="C24">
            <v>0.06</v>
          </cell>
          <cell r="D24">
            <v>2.5</v>
          </cell>
          <cell r="E24">
            <v>0.3</v>
          </cell>
          <cell r="F24">
            <v>4</v>
          </cell>
        </row>
        <row r="25">
          <cell r="A25" t="str">
            <v>Computer lab</v>
          </cell>
          <cell r="B25">
            <v>10</v>
          </cell>
          <cell r="C25">
            <v>0.12</v>
          </cell>
          <cell r="D25">
            <v>5</v>
          </cell>
          <cell r="E25">
            <v>0.6</v>
          </cell>
          <cell r="F25">
            <v>25</v>
          </cell>
        </row>
        <row r="26">
          <cell r="A26" t="str">
            <v>Conference/meeting</v>
          </cell>
          <cell r="B26">
            <v>5</v>
          </cell>
          <cell r="C26">
            <v>0.06</v>
          </cell>
          <cell r="D26">
            <v>2.5</v>
          </cell>
          <cell r="E26">
            <v>0.3</v>
          </cell>
          <cell r="F26">
            <v>50</v>
          </cell>
        </row>
        <row r="27">
          <cell r="A27" t="str">
            <v>Corridors</v>
          </cell>
          <cell r="B27">
            <v>0</v>
          </cell>
          <cell r="C27">
            <v>0.06</v>
          </cell>
          <cell r="D27">
            <v>0</v>
          </cell>
          <cell r="E27">
            <v>0.3</v>
          </cell>
          <cell r="F27">
            <v>0</v>
          </cell>
        </row>
        <row r="28">
          <cell r="A28" t="str">
            <v>Courtrooms</v>
          </cell>
          <cell r="B28">
            <v>5</v>
          </cell>
          <cell r="C28">
            <v>0.06</v>
          </cell>
          <cell r="D28">
            <v>2.5</v>
          </cell>
          <cell r="E28">
            <v>0.3</v>
          </cell>
          <cell r="F28">
            <v>70</v>
          </cell>
        </row>
        <row r="29">
          <cell r="A29" t="str">
            <v>Daycare (through age 4)</v>
          </cell>
          <cell r="B29">
            <v>10</v>
          </cell>
          <cell r="C29">
            <v>0.18</v>
          </cell>
          <cell r="D29">
            <v>5</v>
          </cell>
          <cell r="E29">
            <v>0.9</v>
          </cell>
          <cell r="F29">
            <v>25</v>
          </cell>
        </row>
        <row r="30">
          <cell r="A30" t="str">
            <v>Daycare sickroom</v>
          </cell>
          <cell r="B30">
            <v>10</v>
          </cell>
          <cell r="C30">
            <v>0.18</v>
          </cell>
          <cell r="D30">
            <v>5</v>
          </cell>
          <cell r="E30">
            <v>0.9</v>
          </cell>
          <cell r="F30">
            <v>25</v>
          </cell>
        </row>
        <row r="31">
          <cell r="A31" t="str">
            <v>Dayroom</v>
          </cell>
          <cell r="B31">
            <v>5</v>
          </cell>
          <cell r="C31">
            <v>0.06</v>
          </cell>
          <cell r="D31">
            <v>2.5</v>
          </cell>
          <cell r="E31">
            <v>0.3</v>
          </cell>
          <cell r="F31">
            <v>30</v>
          </cell>
        </row>
        <row r="32">
          <cell r="A32" t="str">
            <v>Disco/dance floors</v>
          </cell>
          <cell r="B32">
            <v>20</v>
          </cell>
          <cell r="C32">
            <v>0.06</v>
          </cell>
          <cell r="D32">
            <v>10</v>
          </cell>
          <cell r="E32">
            <v>0.3</v>
          </cell>
          <cell r="F32">
            <v>100</v>
          </cell>
        </row>
        <row r="33">
          <cell r="A33" t="str">
            <v>Dwelling unit</v>
          </cell>
          <cell r="B33">
            <v>5</v>
          </cell>
          <cell r="C33">
            <v>0.06</v>
          </cell>
          <cell r="D33">
            <v>2.5</v>
          </cell>
          <cell r="E33">
            <v>0.3</v>
          </cell>
          <cell r="F33">
            <v>2</v>
          </cell>
        </row>
        <row r="34">
          <cell r="A34" t="str">
            <v>Electrical equipment rooms</v>
          </cell>
          <cell r="B34">
            <v>0</v>
          </cell>
          <cell r="C34">
            <v>0.06</v>
          </cell>
          <cell r="D34">
            <v>0</v>
          </cell>
          <cell r="E34">
            <v>0.3</v>
          </cell>
          <cell r="F34">
            <v>0</v>
          </cell>
        </row>
        <row r="35">
          <cell r="A35" t="str">
            <v>Elevator machine rooms</v>
          </cell>
          <cell r="B35">
            <v>0</v>
          </cell>
          <cell r="C35">
            <v>0.12</v>
          </cell>
          <cell r="D35">
            <v>0</v>
          </cell>
          <cell r="E35">
            <v>0.6</v>
          </cell>
          <cell r="F35">
            <v>0</v>
          </cell>
        </row>
        <row r="36">
          <cell r="A36" t="str">
            <v>Gambling casinos</v>
          </cell>
          <cell r="B36">
            <v>7.5</v>
          </cell>
          <cell r="C36">
            <v>0.18</v>
          </cell>
          <cell r="D36">
            <v>3.8</v>
          </cell>
          <cell r="E36">
            <v>0.9</v>
          </cell>
          <cell r="F36">
            <v>120</v>
          </cell>
        </row>
        <row r="37">
          <cell r="A37" t="str">
            <v>Game arcades</v>
          </cell>
          <cell r="B37">
            <v>7.5</v>
          </cell>
          <cell r="C37">
            <v>0.18</v>
          </cell>
          <cell r="D37">
            <v>3.8</v>
          </cell>
          <cell r="E37">
            <v>0.9</v>
          </cell>
          <cell r="F37">
            <v>20</v>
          </cell>
        </row>
        <row r="38">
          <cell r="A38" t="str">
            <v>General manufacturing (excludes heavy industrial and processes using chemicals)</v>
          </cell>
          <cell r="B38">
            <v>10</v>
          </cell>
          <cell r="C38">
            <v>0.18</v>
          </cell>
          <cell r="D38">
            <v>5</v>
          </cell>
          <cell r="E38">
            <v>0.9</v>
          </cell>
          <cell r="F38">
            <v>7</v>
          </cell>
        </row>
        <row r="39">
          <cell r="A39" t="str">
            <v>Guard stations</v>
          </cell>
          <cell r="B39">
            <v>5</v>
          </cell>
          <cell r="C39">
            <v>0.06</v>
          </cell>
          <cell r="D39">
            <v>2.5</v>
          </cell>
          <cell r="E39">
            <v>0.3</v>
          </cell>
          <cell r="F39">
            <v>15</v>
          </cell>
        </row>
        <row r="40">
          <cell r="A40" t="str">
            <v>Gym, stadium (play area)</v>
          </cell>
          <cell r="B40">
            <v>0</v>
          </cell>
          <cell r="C40">
            <v>0.3</v>
          </cell>
          <cell r="D40">
            <v>0</v>
          </cell>
          <cell r="E40">
            <v>1.5</v>
          </cell>
          <cell r="F40">
            <v>30</v>
          </cell>
        </row>
        <row r="41">
          <cell r="A41" t="str">
            <v>Health club/aerobics room</v>
          </cell>
          <cell r="B41">
            <v>20</v>
          </cell>
          <cell r="C41">
            <v>0.06</v>
          </cell>
          <cell r="D41">
            <v>10</v>
          </cell>
          <cell r="E41">
            <v>0.3</v>
          </cell>
          <cell r="F41">
            <v>40</v>
          </cell>
        </row>
        <row r="42">
          <cell r="A42" t="str">
            <v>Health club/weight rooms</v>
          </cell>
          <cell r="B42">
            <v>20</v>
          </cell>
          <cell r="C42">
            <v>0.06</v>
          </cell>
          <cell r="D42">
            <v>10</v>
          </cell>
          <cell r="E42">
            <v>0.3</v>
          </cell>
          <cell r="F42">
            <v>10</v>
          </cell>
        </row>
        <row r="43">
          <cell r="A43" t="str">
            <v>Kitchen (cooking)</v>
          </cell>
          <cell r="B43">
            <v>7.5</v>
          </cell>
          <cell r="C43">
            <v>0.12</v>
          </cell>
          <cell r="D43">
            <v>3.8</v>
          </cell>
          <cell r="E43">
            <v>0.6</v>
          </cell>
          <cell r="F43">
            <v>20</v>
          </cell>
        </row>
        <row r="44">
          <cell r="A44" t="str">
            <v>Laundry rooms within dwelling units</v>
          </cell>
          <cell r="B44">
            <v>5</v>
          </cell>
          <cell r="C44">
            <v>0.12</v>
          </cell>
          <cell r="D44">
            <v>2.5</v>
          </cell>
          <cell r="E44">
            <v>0.6</v>
          </cell>
          <cell r="F44">
            <v>10</v>
          </cell>
        </row>
        <row r="45">
          <cell r="A45" t="str">
            <v>Laundry rooms, central</v>
          </cell>
          <cell r="B45">
            <v>5</v>
          </cell>
          <cell r="C45">
            <v>0.12</v>
          </cell>
          <cell r="D45">
            <v>2.5</v>
          </cell>
          <cell r="E45">
            <v>0.6</v>
          </cell>
          <cell r="F45">
            <v>10</v>
          </cell>
        </row>
        <row r="46">
          <cell r="A46" t="str">
            <v>Lecture classroom</v>
          </cell>
          <cell r="B46">
            <v>7.5</v>
          </cell>
          <cell r="C46">
            <v>0.06</v>
          </cell>
          <cell r="D46">
            <v>3.8</v>
          </cell>
          <cell r="E46">
            <v>0.3</v>
          </cell>
          <cell r="F46">
            <v>65</v>
          </cell>
        </row>
        <row r="47">
          <cell r="A47" t="str">
            <v>Lecture hall (fixed seats)</v>
          </cell>
          <cell r="B47">
            <v>7.5</v>
          </cell>
          <cell r="C47">
            <v>0.06</v>
          </cell>
          <cell r="D47">
            <v>3.8</v>
          </cell>
          <cell r="E47">
            <v>0.3</v>
          </cell>
          <cell r="F47">
            <v>150</v>
          </cell>
        </row>
        <row r="48">
          <cell r="A48" t="str">
            <v>Legislative chambers</v>
          </cell>
          <cell r="B48">
            <v>5</v>
          </cell>
          <cell r="C48">
            <v>0.06</v>
          </cell>
          <cell r="D48">
            <v>2.5</v>
          </cell>
          <cell r="E48">
            <v>0.3</v>
          </cell>
          <cell r="F48">
            <v>50</v>
          </cell>
        </row>
        <row r="49">
          <cell r="A49" t="str">
            <v>Libraries</v>
          </cell>
          <cell r="B49">
            <v>5</v>
          </cell>
          <cell r="C49">
            <v>0.12</v>
          </cell>
          <cell r="D49">
            <v>2.5</v>
          </cell>
          <cell r="E49">
            <v>0.6</v>
          </cell>
          <cell r="F49">
            <v>10</v>
          </cell>
        </row>
        <row r="50">
          <cell r="A50" t="str">
            <v>Lobbies</v>
          </cell>
          <cell r="B50">
            <v>5</v>
          </cell>
          <cell r="C50">
            <v>0.06</v>
          </cell>
          <cell r="D50">
            <v>2.5</v>
          </cell>
          <cell r="E50">
            <v>0.3</v>
          </cell>
          <cell r="F50">
            <v>150</v>
          </cell>
        </row>
        <row r="51">
          <cell r="A51" t="str">
            <v>Lobbies/prefunction</v>
          </cell>
          <cell r="B51">
            <v>7.5</v>
          </cell>
          <cell r="C51">
            <v>0.06</v>
          </cell>
          <cell r="D51">
            <v>3.8</v>
          </cell>
          <cell r="E51">
            <v>0.3</v>
          </cell>
          <cell r="F51">
            <v>30</v>
          </cell>
        </row>
        <row r="52">
          <cell r="A52" t="str">
            <v>Main entry lobbies</v>
          </cell>
          <cell r="B52">
            <v>5</v>
          </cell>
          <cell r="C52">
            <v>0.06</v>
          </cell>
          <cell r="D52">
            <v>2.5</v>
          </cell>
          <cell r="E52">
            <v>0.3</v>
          </cell>
          <cell r="F52">
            <v>10</v>
          </cell>
        </row>
        <row r="53">
          <cell r="A53" t="str">
            <v>Mall common areas</v>
          </cell>
          <cell r="B53">
            <v>7.5</v>
          </cell>
          <cell r="C53">
            <v>0.06</v>
          </cell>
          <cell r="D53">
            <v>3.8</v>
          </cell>
          <cell r="E53">
            <v>0.3</v>
          </cell>
          <cell r="F53">
            <v>40</v>
          </cell>
        </row>
        <row r="54">
          <cell r="A54" t="str">
            <v>Media center</v>
          </cell>
          <cell r="B54">
            <v>10</v>
          </cell>
          <cell r="C54">
            <v>0.12</v>
          </cell>
          <cell r="D54">
            <v>5</v>
          </cell>
          <cell r="E54">
            <v>0.6</v>
          </cell>
          <cell r="F54">
            <v>25</v>
          </cell>
        </row>
        <row r="55">
          <cell r="A55" t="str">
            <v>Multipurpose assembly</v>
          </cell>
          <cell r="B55">
            <v>5</v>
          </cell>
          <cell r="C55">
            <v>0.06</v>
          </cell>
          <cell r="D55">
            <v>2.5</v>
          </cell>
          <cell r="E55">
            <v>0.3</v>
          </cell>
          <cell r="F55">
            <v>120</v>
          </cell>
        </row>
        <row r="56">
          <cell r="A56" t="str">
            <v>Multi-use assembly</v>
          </cell>
          <cell r="B56">
            <v>7.5</v>
          </cell>
          <cell r="C56">
            <v>0.06</v>
          </cell>
          <cell r="D56">
            <v>3.8</v>
          </cell>
          <cell r="E56">
            <v>0.3</v>
          </cell>
          <cell r="F56">
            <v>100</v>
          </cell>
        </row>
        <row r="57">
          <cell r="A57" t="str">
            <v>Museums (children’s)</v>
          </cell>
          <cell r="B57">
            <v>7.5</v>
          </cell>
          <cell r="C57">
            <v>0.12</v>
          </cell>
          <cell r="D57">
            <v>3.8</v>
          </cell>
          <cell r="E57">
            <v>0.6</v>
          </cell>
          <cell r="F57">
            <v>40</v>
          </cell>
        </row>
        <row r="58">
          <cell r="A58" t="str">
            <v>Museums/galleries</v>
          </cell>
          <cell r="B58">
            <v>7.5</v>
          </cell>
          <cell r="C58">
            <v>0.06</v>
          </cell>
          <cell r="D58">
            <v>3.8</v>
          </cell>
          <cell r="E58">
            <v>0.3</v>
          </cell>
          <cell r="F58">
            <v>40</v>
          </cell>
        </row>
        <row r="59">
          <cell r="A59" t="str">
            <v>Music/theater/dance</v>
          </cell>
          <cell r="B59">
            <v>10</v>
          </cell>
          <cell r="C59">
            <v>0.06</v>
          </cell>
          <cell r="D59">
            <v>5</v>
          </cell>
          <cell r="E59">
            <v>0.3</v>
          </cell>
          <cell r="F59">
            <v>35</v>
          </cell>
        </row>
        <row r="60">
          <cell r="A60" t="str">
            <v>Occupiable storage rooms for liquids or gels</v>
          </cell>
          <cell r="B60">
            <v>5</v>
          </cell>
          <cell r="C60">
            <v>0.12</v>
          </cell>
          <cell r="D60">
            <v>2.5</v>
          </cell>
          <cell r="E60">
            <v>0.6</v>
          </cell>
          <cell r="F60">
            <v>2</v>
          </cell>
        </row>
        <row r="61">
          <cell r="A61" t="str">
            <v>Occupiable storage rooms for dry materials</v>
          </cell>
          <cell r="B61">
            <v>5</v>
          </cell>
          <cell r="C61">
            <v>0.06</v>
          </cell>
          <cell r="D61">
            <v>2.5</v>
          </cell>
          <cell r="E61">
            <v>0.3</v>
          </cell>
          <cell r="F61">
            <v>2</v>
          </cell>
        </row>
        <row r="62">
          <cell r="A62" t="str">
            <v>Office space</v>
          </cell>
          <cell r="B62">
            <v>5</v>
          </cell>
          <cell r="C62">
            <v>0.06</v>
          </cell>
          <cell r="D62">
            <v>2.5</v>
          </cell>
          <cell r="E62">
            <v>0.3</v>
          </cell>
          <cell r="F62">
            <v>5</v>
          </cell>
        </row>
        <row r="63">
          <cell r="A63" t="str">
            <v>Pet shops (animal areas)</v>
          </cell>
          <cell r="B63">
            <v>7.5</v>
          </cell>
          <cell r="C63">
            <v>0.18</v>
          </cell>
          <cell r="D63">
            <v>3.8</v>
          </cell>
          <cell r="E63">
            <v>0.9</v>
          </cell>
          <cell r="F63">
            <v>10</v>
          </cell>
        </row>
        <row r="64">
          <cell r="A64" t="str">
            <v>Pharmacy (prep. area)</v>
          </cell>
          <cell r="B64">
            <v>5</v>
          </cell>
          <cell r="C64">
            <v>0.18</v>
          </cell>
          <cell r="D64">
            <v>2.5</v>
          </cell>
          <cell r="E64">
            <v>0.9</v>
          </cell>
          <cell r="F64">
            <v>10</v>
          </cell>
        </row>
        <row r="65">
          <cell r="A65" t="str">
            <v>Photo studios</v>
          </cell>
          <cell r="B65">
            <v>5</v>
          </cell>
          <cell r="C65">
            <v>0.12</v>
          </cell>
          <cell r="D65">
            <v>2.5</v>
          </cell>
          <cell r="E65">
            <v>0.6</v>
          </cell>
          <cell r="F65">
            <v>10</v>
          </cell>
        </row>
        <row r="66">
          <cell r="A66" t="str">
            <v>Places of religious worship</v>
          </cell>
          <cell r="B66">
            <v>5</v>
          </cell>
          <cell r="C66">
            <v>0.06</v>
          </cell>
          <cell r="D66">
            <v>2.5</v>
          </cell>
          <cell r="E66">
            <v>0.3</v>
          </cell>
          <cell r="F66">
            <v>120</v>
          </cell>
        </row>
        <row r="67">
          <cell r="A67" t="str">
            <v>Reception areas</v>
          </cell>
          <cell r="B67">
            <v>5</v>
          </cell>
          <cell r="C67">
            <v>0.06</v>
          </cell>
          <cell r="D67">
            <v>2.5</v>
          </cell>
          <cell r="E67">
            <v>0.3</v>
          </cell>
          <cell r="F67">
            <v>30</v>
          </cell>
        </row>
        <row r="68">
          <cell r="A68" t="str">
            <v>Restaurant dining rooms</v>
          </cell>
          <cell r="B68">
            <v>7.5</v>
          </cell>
          <cell r="C68">
            <v>0.18</v>
          </cell>
          <cell r="D68">
            <v>3.8</v>
          </cell>
          <cell r="E68">
            <v>0.9</v>
          </cell>
          <cell r="F68">
            <v>70</v>
          </cell>
        </row>
        <row r="69">
          <cell r="A69" t="str">
            <v>Sales</v>
          </cell>
          <cell r="B69">
            <v>7.5</v>
          </cell>
          <cell r="C69">
            <v>0.12</v>
          </cell>
          <cell r="D69">
            <v>3.8</v>
          </cell>
          <cell r="E69">
            <v>0.6</v>
          </cell>
          <cell r="F69">
            <v>15</v>
          </cell>
        </row>
        <row r="70">
          <cell r="A70" t="str">
            <v>Science laboratories</v>
          </cell>
          <cell r="B70">
            <v>10</v>
          </cell>
          <cell r="C70">
            <v>0.18</v>
          </cell>
          <cell r="D70">
            <v>5</v>
          </cell>
          <cell r="E70">
            <v>0.9</v>
          </cell>
          <cell r="F70">
            <v>25</v>
          </cell>
        </row>
        <row r="71">
          <cell r="A71" t="str">
            <v>Shipping/receiving</v>
          </cell>
          <cell r="C71">
            <v>0.12</v>
          </cell>
          <cell r="D71">
            <v>5</v>
          </cell>
          <cell r="E71">
            <v>0.6</v>
          </cell>
          <cell r="F71">
            <v>0</v>
          </cell>
        </row>
        <row r="72">
          <cell r="A72" t="str">
            <v>Sorting, packing, light assembly</v>
          </cell>
          <cell r="B72">
            <v>7.5</v>
          </cell>
          <cell r="C72">
            <v>0.12</v>
          </cell>
          <cell r="D72">
            <v>3.8</v>
          </cell>
          <cell r="E72">
            <v>0.6</v>
          </cell>
          <cell r="F72">
            <v>7</v>
          </cell>
        </row>
        <row r="73">
          <cell r="A73" t="str">
            <v>Spectator areas</v>
          </cell>
          <cell r="B73">
            <v>7.5</v>
          </cell>
          <cell r="C73">
            <v>0.06</v>
          </cell>
          <cell r="D73">
            <v>3.8</v>
          </cell>
          <cell r="E73">
            <v>0.3</v>
          </cell>
          <cell r="F73">
            <v>150</v>
          </cell>
        </row>
        <row r="74">
          <cell r="A74" t="str">
            <v>Sports arena (play area)</v>
          </cell>
          <cell r="B74">
            <v>0</v>
          </cell>
          <cell r="C74">
            <v>0.3</v>
          </cell>
          <cell r="D74">
            <v>0</v>
          </cell>
          <cell r="E74">
            <v>1.5</v>
          </cell>
          <cell r="F74">
            <v>0</v>
          </cell>
        </row>
        <row r="75">
          <cell r="A75" t="str">
            <v>Stages, studios</v>
          </cell>
          <cell r="B75">
            <v>10</v>
          </cell>
          <cell r="C75">
            <v>0.06</v>
          </cell>
          <cell r="D75">
            <v>5</v>
          </cell>
          <cell r="E75">
            <v>0.3</v>
          </cell>
          <cell r="F75">
            <v>70</v>
          </cell>
        </row>
        <row r="76">
          <cell r="A76" t="str">
            <v>Storage rooms</v>
          </cell>
          <cell r="B76">
            <v>0</v>
          </cell>
          <cell r="C76">
            <v>0.12</v>
          </cell>
          <cell r="D76">
            <v>0</v>
          </cell>
          <cell r="E76">
            <v>0.6</v>
          </cell>
          <cell r="F76">
            <v>0</v>
          </cell>
        </row>
        <row r="77">
          <cell r="A77" t="str">
            <v>Supermarket</v>
          </cell>
          <cell r="B77">
            <v>7.5</v>
          </cell>
          <cell r="C77">
            <v>0.06</v>
          </cell>
          <cell r="D77">
            <v>3.8</v>
          </cell>
          <cell r="E77">
            <v>0.3</v>
          </cell>
          <cell r="F77">
            <v>8</v>
          </cell>
        </row>
        <row r="78">
          <cell r="A78" t="str">
            <v>Swimming (pool &amp; deck)</v>
          </cell>
          <cell r="B78">
            <v>0</v>
          </cell>
          <cell r="C78">
            <v>0.48</v>
          </cell>
          <cell r="D78">
            <v>0</v>
          </cell>
          <cell r="E78">
            <v>2.4</v>
          </cell>
          <cell r="F78">
            <v>0</v>
          </cell>
        </row>
        <row r="79">
          <cell r="A79" t="str">
            <v>Telephone closets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 t="str">
            <v>Telephone/data entry</v>
          </cell>
          <cell r="B80">
            <v>5</v>
          </cell>
          <cell r="C80">
            <v>0.06</v>
          </cell>
          <cell r="D80">
            <v>2.5</v>
          </cell>
          <cell r="E80">
            <v>0.3</v>
          </cell>
          <cell r="F80">
            <v>60</v>
          </cell>
        </row>
        <row r="81">
          <cell r="A81" t="str">
            <v>Transportation waiting</v>
          </cell>
          <cell r="B81">
            <v>7.5</v>
          </cell>
          <cell r="C81">
            <v>0.06</v>
          </cell>
          <cell r="D81">
            <v>3.8</v>
          </cell>
          <cell r="E81">
            <v>0.3</v>
          </cell>
          <cell r="F81">
            <v>100</v>
          </cell>
        </row>
        <row r="82">
          <cell r="A82" t="str">
            <v>University/college laboratories</v>
          </cell>
          <cell r="B82">
            <v>10</v>
          </cell>
          <cell r="C82">
            <v>0.18</v>
          </cell>
          <cell r="D82">
            <v>5</v>
          </cell>
          <cell r="E82">
            <v>0.9</v>
          </cell>
          <cell r="F82">
            <v>25</v>
          </cell>
        </row>
        <row r="83">
          <cell r="A83" t="str">
            <v>Warehouses</v>
          </cell>
          <cell r="B83">
            <v>0</v>
          </cell>
          <cell r="C83">
            <v>0.06</v>
          </cell>
          <cell r="D83">
            <v>5</v>
          </cell>
          <cell r="E83">
            <v>0.3</v>
          </cell>
          <cell r="F83">
            <v>0</v>
          </cell>
        </row>
        <row r="84">
          <cell r="A84" t="str">
            <v>Wood/metal shop</v>
          </cell>
          <cell r="B84">
            <v>10</v>
          </cell>
          <cell r="C84">
            <v>0.18</v>
          </cell>
          <cell r="D84">
            <v>5</v>
          </cell>
          <cell r="E84">
            <v>0.9</v>
          </cell>
          <cell r="F84">
            <v>20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A1BF8-58C5-49DD-91D9-28F4313D1F40}" name="Table1" displayName="Table1" ref="A1:E76" totalsRowShown="0" headerRowDxfId="1" dataDxfId="2" tableBorderDxfId="10">
  <autoFilter ref="A1:E76" xr:uid="{38CA1BF8-58C5-49DD-91D9-28F4313D1F40}"/>
  <tableColumns count="5">
    <tableColumn id="1" xr3:uid="{ADDBC312-5F18-4107-AE40-2DE536CF2110}" name="Occupancy Category" dataDxfId="6"/>
    <tableColumn id="2" xr3:uid="{72205AA4-6CFF-49E8-B1E5-0C94ACEF5D0A}" name="Total Outdoor Air Rate1 Rt (cfm/ft2)" dataDxfId="5"/>
    <tableColumn id="3" xr3:uid="{0A674782-983B-4D4C-8818-8304986FF0B9}" name="Min Ventilation Air Rate for DCV2 Ra (cfm/ft2)" dataDxfId="4"/>
    <tableColumn id="4" xr3:uid="{C1F076B2-2B50-4888-962C-1D22EA637A9A}" name="Air Class" dataDxfId="3"/>
    <tableColumn id="8" xr3:uid="{96738735-A2FE-4340-8873-4022384B030E}" name="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AFCD-A06B-4839-BCE2-1CB131B03AED}">
  <sheetPr codeName="Sheet1"/>
  <dimension ref="A2:K84"/>
  <sheetViews>
    <sheetView workbookViewId="0">
      <selection activeCell="I3" sqref="I3"/>
    </sheetView>
  </sheetViews>
  <sheetFormatPr defaultRowHeight="14.4" x14ac:dyDescent="0.3"/>
  <cols>
    <col min="1" max="1" width="36.109375" bestFit="1" customWidth="1"/>
    <col min="2" max="2" width="8.6640625" bestFit="1" customWidth="1"/>
    <col min="3" max="4" width="8.109375" bestFit="1" customWidth="1"/>
    <col min="5" max="5" width="7.88671875" bestFit="1" customWidth="1"/>
    <col min="6" max="6" width="9" bestFit="1" customWidth="1"/>
    <col min="9" max="9" width="9.109375" customWidth="1"/>
    <col min="10" max="10" width="40.44140625" bestFit="1" customWidth="1"/>
  </cols>
  <sheetData>
    <row r="2" spans="1:11" x14ac:dyDescent="0.3">
      <c r="A2" s="1" t="s">
        <v>0</v>
      </c>
      <c r="B2" s="1"/>
      <c r="C2" s="1"/>
      <c r="D2" s="1"/>
      <c r="E2" s="1"/>
      <c r="F2" s="1"/>
      <c r="J2" s="27" t="s">
        <v>157</v>
      </c>
    </row>
    <row r="3" spans="1:11" ht="36.6" x14ac:dyDescent="0.3">
      <c r="A3" s="2"/>
      <c r="B3" s="30" t="s">
        <v>1</v>
      </c>
      <c r="C3" s="30"/>
      <c r="D3" s="30" t="s">
        <v>2</v>
      </c>
      <c r="E3" s="30"/>
      <c r="F3" s="4" t="s">
        <v>3</v>
      </c>
      <c r="G3" s="4" t="s">
        <v>79</v>
      </c>
      <c r="H3" s="4" t="s">
        <v>78</v>
      </c>
      <c r="I3" s="4" t="s">
        <v>102</v>
      </c>
    </row>
    <row r="4" spans="1:11" ht="46.8" x14ac:dyDescent="0.3">
      <c r="A4" s="3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4" t="s">
        <v>9</v>
      </c>
      <c r="G4" s="5" t="s">
        <v>217</v>
      </c>
      <c r="H4" s="5" t="s">
        <v>216</v>
      </c>
      <c r="I4" s="4" t="s">
        <v>102</v>
      </c>
    </row>
    <row r="5" spans="1:11" x14ac:dyDescent="0.3">
      <c r="A5" s="20" t="s">
        <v>10</v>
      </c>
      <c r="B5" s="21">
        <v>5</v>
      </c>
      <c r="C5" s="21">
        <v>0.06</v>
      </c>
      <c r="D5" s="21">
        <v>2.5</v>
      </c>
      <c r="E5" s="21">
        <v>0.3</v>
      </c>
      <c r="F5" s="21">
        <v>5</v>
      </c>
      <c r="G5" s="26">
        <v>0.15</v>
      </c>
      <c r="H5" s="26">
        <v>0</v>
      </c>
      <c r="I5" s="26">
        <v>0.15</v>
      </c>
      <c r="J5" t="s">
        <v>142</v>
      </c>
      <c r="K5" t="s">
        <v>215</v>
      </c>
    </row>
    <row r="6" spans="1:11" x14ac:dyDescent="0.3">
      <c r="A6" s="20" t="s">
        <v>11</v>
      </c>
      <c r="B6" s="21">
        <v>5</v>
      </c>
      <c r="C6" s="21">
        <v>0.06</v>
      </c>
      <c r="D6" s="21">
        <v>2.5</v>
      </c>
      <c r="E6" s="21">
        <v>0.3</v>
      </c>
      <c r="F6" s="21">
        <v>5</v>
      </c>
      <c r="G6" s="26">
        <v>0.15</v>
      </c>
      <c r="H6" s="26">
        <v>0</v>
      </c>
      <c r="I6" s="26">
        <v>0.15</v>
      </c>
      <c r="K6" t="s">
        <v>215</v>
      </c>
    </row>
    <row r="7" spans="1:11" x14ac:dyDescent="0.3">
      <c r="A7" s="20" t="s">
        <v>12</v>
      </c>
      <c r="B7" s="21">
        <v>5</v>
      </c>
      <c r="C7" s="21">
        <v>0.06</v>
      </c>
      <c r="D7" s="21">
        <v>3.8</v>
      </c>
      <c r="E7" s="21">
        <v>0.3</v>
      </c>
      <c r="F7" s="21">
        <v>30</v>
      </c>
      <c r="G7" s="21" t="e">
        <f>VLOOKUP(A7,'T-24 TAble 120.1-A'!$A$2:$D$76,2,FALSE)</f>
        <v>#N/A</v>
      </c>
      <c r="H7" s="21" t="e">
        <f>VLOOKUP(A7,'T-24 TAble 120.1-A'!$A$2:$D$76,3,FALSE)</f>
        <v>#N/A</v>
      </c>
      <c r="I7" s="21" t="e">
        <f>IF(VLOOKUP(A7,'T-24 TAble 120.1-A'!$A$2:$D$76,7,FALSE)="F",0,H7)</f>
        <v>#N/A</v>
      </c>
      <c r="J7" t="s">
        <v>143</v>
      </c>
      <c r="K7" t="s">
        <v>215</v>
      </c>
    </row>
    <row r="8" spans="1:11" x14ac:dyDescent="0.3">
      <c r="A8" s="20" t="s">
        <v>13</v>
      </c>
      <c r="B8" s="21">
        <v>5</v>
      </c>
      <c r="C8" s="21">
        <v>0.06</v>
      </c>
      <c r="D8" s="21">
        <v>3.8</v>
      </c>
      <c r="E8" s="21">
        <v>0.3</v>
      </c>
      <c r="F8" s="21">
        <v>15</v>
      </c>
      <c r="G8" s="26">
        <v>0.15</v>
      </c>
      <c r="H8" s="26">
        <v>0</v>
      </c>
      <c r="I8" s="26">
        <v>0.15</v>
      </c>
      <c r="J8" t="s">
        <v>144</v>
      </c>
      <c r="K8" t="s">
        <v>215</v>
      </c>
    </row>
    <row r="9" spans="1:11" x14ac:dyDescent="0.3">
      <c r="A9" s="20" t="s">
        <v>14</v>
      </c>
      <c r="B9" s="21">
        <v>5</v>
      </c>
      <c r="C9" s="21">
        <v>0.15</v>
      </c>
      <c r="D9" s="21">
        <v>5</v>
      </c>
      <c r="E9" s="21">
        <v>0.3</v>
      </c>
      <c r="F9" s="21">
        <v>5</v>
      </c>
      <c r="G9" s="26">
        <v>0.15</v>
      </c>
      <c r="H9" s="26">
        <v>0</v>
      </c>
      <c r="I9" s="26">
        <v>0.15</v>
      </c>
    </row>
    <row r="10" spans="1:11" x14ac:dyDescent="0.3">
      <c r="A10" s="6" t="s">
        <v>15</v>
      </c>
      <c r="B10" s="7">
        <v>5</v>
      </c>
      <c r="C10" s="7">
        <v>0.06</v>
      </c>
      <c r="D10" s="7">
        <v>2.5</v>
      </c>
      <c r="E10" s="7">
        <v>0.3</v>
      </c>
      <c r="F10" s="7">
        <v>20</v>
      </c>
      <c r="G10" s="7" t="e">
        <f>VLOOKUP(A10,'T-24 TAble 120.1-A'!$A$2:$D$76,2,FALSE)</f>
        <v>#N/A</v>
      </c>
      <c r="H10" s="7" t="e">
        <f>VLOOKUP(A10,'T-24 TAble 120.1-A'!$A$2:$D$76,3,FALSE)</f>
        <v>#N/A</v>
      </c>
      <c r="I10" s="7" t="e">
        <f>IF(VLOOKUP(A10,'T-24 TAble 120.1-A'!$A$2:$D$76,7,FALSE)="F",0,H10)</f>
        <v>#N/A</v>
      </c>
    </row>
    <row r="11" spans="1:11" x14ac:dyDescent="0.3">
      <c r="A11" s="6" t="s">
        <v>16</v>
      </c>
      <c r="B11" s="7">
        <v>7.5</v>
      </c>
      <c r="C11" s="7">
        <v>0.18</v>
      </c>
      <c r="D11" s="7">
        <v>3.8</v>
      </c>
      <c r="E11" s="7">
        <v>0.9</v>
      </c>
      <c r="F11" s="7">
        <v>100</v>
      </c>
      <c r="G11" s="7" t="e">
        <f>VLOOKUP(A11,'T-24 TAble 120.1-A'!$A$2:$D$76,2,FALSE)</f>
        <v>#N/A</v>
      </c>
      <c r="H11" s="7" t="e">
        <f>VLOOKUP(A11,'T-24 TAble 120.1-A'!$A$2:$D$76,3,FALSE)</f>
        <v>#N/A</v>
      </c>
      <c r="I11" s="7" t="e">
        <f>IF(VLOOKUP(A11,'T-24 TAble 120.1-A'!$A$2:$D$76,7,FALSE)="F",0,H11)</f>
        <v>#N/A</v>
      </c>
    </row>
    <row r="12" spans="1:11" x14ac:dyDescent="0.3">
      <c r="A12" s="6" t="s">
        <v>17</v>
      </c>
      <c r="B12" s="7">
        <v>20</v>
      </c>
      <c r="C12" s="7">
        <v>0.12</v>
      </c>
      <c r="D12" s="7">
        <v>10</v>
      </c>
      <c r="E12" s="7">
        <v>0.6</v>
      </c>
      <c r="F12" s="7">
        <v>25</v>
      </c>
      <c r="G12" s="7" t="e">
        <f>VLOOKUP(A12,'T-24 TAble 120.1-A'!$A$2:$D$76,2,FALSE)</f>
        <v>#N/A</v>
      </c>
      <c r="H12" s="7" t="e">
        <f>VLOOKUP(A12,'T-24 TAble 120.1-A'!$A$2:$D$76,3,FALSE)</f>
        <v>#N/A</v>
      </c>
      <c r="I12" s="7" t="e">
        <f>IF(VLOOKUP(A12,'T-24 TAble 120.1-A'!$A$2:$D$76,7,FALSE)="F",0,H12)</f>
        <v>#N/A</v>
      </c>
    </row>
    <row r="13" spans="1:11" x14ac:dyDescent="0.3">
      <c r="A13" s="6" t="s">
        <v>18</v>
      </c>
      <c r="B13" s="7">
        <v>5</v>
      </c>
      <c r="C13" s="7">
        <v>0.06</v>
      </c>
      <c r="D13" s="7">
        <v>2.5</v>
      </c>
      <c r="E13" s="7">
        <v>0.3</v>
      </c>
      <c r="F13" s="7">
        <v>10</v>
      </c>
      <c r="G13" s="7" t="e">
        <f>VLOOKUP(A13,'T-24 TAble 120.1-A'!$A$2:$D$76,2,FALSE)</f>
        <v>#N/A</v>
      </c>
      <c r="H13" s="7" t="e">
        <f>VLOOKUP(A13,'T-24 TAble 120.1-A'!$A$2:$D$76,3,FALSE)</f>
        <v>#N/A</v>
      </c>
      <c r="I13" s="7" t="e">
        <f>IF(VLOOKUP(A13,'T-24 TAble 120.1-A'!$A$2:$D$76,7,FALSE)="F",0,H13)</f>
        <v>#N/A</v>
      </c>
    </row>
    <row r="14" spans="1:11" x14ac:dyDescent="0.3">
      <c r="A14" s="6" t="s">
        <v>19</v>
      </c>
      <c r="B14" s="7">
        <v>7.5</v>
      </c>
      <c r="C14" s="7">
        <v>0.06</v>
      </c>
      <c r="D14" s="7">
        <v>3.8</v>
      </c>
      <c r="E14" s="7">
        <v>0.3</v>
      </c>
      <c r="F14" s="7">
        <v>50</v>
      </c>
      <c r="G14" s="7" t="e">
        <f>VLOOKUP(A14,'T-24 TAble 120.1-A'!$A$2:$D$76,2,FALSE)</f>
        <v>#N/A</v>
      </c>
      <c r="H14" s="7" t="e">
        <f>VLOOKUP(A14,'T-24 TAble 120.1-A'!$A$2:$D$76,3,FALSE)</f>
        <v>#N/A</v>
      </c>
      <c r="I14" s="7" t="e">
        <f>IF(VLOOKUP(A14,'T-24 TAble 120.1-A'!$A$2:$D$76,7,FALSE)="F",0,H14)</f>
        <v>#N/A</v>
      </c>
    </row>
    <row r="15" spans="1:11" x14ac:dyDescent="0.3">
      <c r="A15" s="6" t="s">
        <v>20</v>
      </c>
      <c r="B15" s="7">
        <v>10</v>
      </c>
      <c r="C15" s="7">
        <v>0.12</v>
      </c>
      <c r="D15" s="7">
        <v>5</v>
      </c>
      <c r="E15" s="7">
        <v>0.6</v>
      </c>
      <c r="F15" s="7">
        <v>40</v>
      </c>
      <c r="G15" s="7" t="e">
        <f>VLOOKUP(A15,'T-24 TAble 120.1-A'!$A$2:$D$76,2,FALSE)</f>
        <v>#N/A</v>
      </c>
      <c r="H15" s="7" t="e">
        <f>VLOOKUP(A15,'T-24 TAble 120.1-A'!$A$2:$D$76,3,FALSE)</f>
        <v>#N/A</v>
      </c>
      <c r="I15" s="7" t="e">
        <f>IF(VLOOKUP(A15,'T-24 TAble 120.1-A'!$A$2:$D$76,7,FALSE)="F",0,H15)</f>
        <v>#N/A</v>
      </c>
    </row>
    <row r="16" spans="1:11" x14ac:dyDescent="0.3">
      <c r="A16" s="20" t="s">
        <v>21</v>
      </c>
      <c r="B16" s="21">
        <v>5</v>
      </c>
      <c r="C16" s="21">
        <v>0.06</v>
      </c>
      <c r="D16" s="21">
        <v>2.5</v>
      </c>
      <c r="E16" s="21">
        <v>0.6</v>
      </c>
      <c r="F16" s="21">
        <v>25</v>
      </c>
      <c r="G16" s="21" t="e">
        <f>VLOOKUP(A16,'T-24 TAble 120.1-A'!$A$2:$D$76,2,FALSE)</f>
        <v>#N/A</v>
      </c>
      <c r="H16" s="21" t="e">
        <f>VLOOKUP(A16,'T-24 TAble 120.1-A'!$A$2:$D$76,3,FALSE)</f>
        <v>#N/A</v>
      </c>
      <c r="I16" s="21" t="e">
        <f>IF(VLOOKUP(A16,'T-24 TAble 120.1-A'!$A$2:$D$76,7,FALSE)="F",0,H16)</f>
        <v>#N/A</v>
      </c>
    </row>
    <row r="17" spans="1:9" x14ac:dyDescent="0.3">
      <c r="A17" s="6" t="s">
        <v>22</v>
      </c>
      <c r="B17" s="7">
        <v>7.5</v>
      </c>
      <c r="C17" s="7">
        <v>0.18</v>
      </c>
      <c r="D17" s="7">
        <v>3.8</v>
      </c>
      <c r="E17" s="7">
        <v>0.9</v>
      </c>
      <c r="F17" s="7">
        <v>100</v>
      </c>
      <c r="G17" s="7" t="e">
        <f>VLOOKUP(A17,'T-24 TAble 120.1-A'!$A$2:$D$76,2,FALSE)</f>
        <v>#N/A</v>
      </c>
      <c r="H17" s="7" t="e">
        <f>VLOOKUP(A17,'T-24 TAble 120.1-A'!$A$2:$D$76,3,FALSE)</f>
        <v>#N/A</v>
      </c>
      <c r="I17" s="7" t="e">
        <f>IF(VLOOKUP(A17,'T-24 TAble 120.1-A'!$A$2:$D$76,7,FALSE)="F",0,H17)</f>
        <v>#N/A</v>
      </c>
    </row>
    <row r="18" spans="1:9" x14ac:dyDescent="0.3">
      <c r="A18" s="6" t="s">
        <v>23</v>
      </c>
      <c r="B18" s="7">
        <v>5</v>
      </c>
      <c r="C18" s="7">
        <v>0.12</v>
      </c>
      <c r="D18" s="7">
        <v>2.5</v>
      </c>
      <c r="E18" s="7">
        <v>0.6</v>
      </c>
      <c r="F18" s="7">
        <v>25</v>
      </c>
      <c r="G18" s="7" t="e">
        <f>VLOOKUP(A18,'T-24 TAble 120.1-A'!$A$2:$D$76,2,FALSE)</f>
        <v>#N/A</v>
      </c>
      <c r="H18" s="7" t="e">
        <f>VLOOKUP(A18,'T-24 TAble 120.1-A'!$A$2:$D$76,3,FALSE)</f>
        <v>#N/A</v>
      </c>
      <c r="I18" s="7" t="e">
        <f>IF(VLOOKUP(A18,'T-24 TAble 120.1-A'!$A$2:$D$76,7,FALSE)="F",0,H18)</f>
        <v>#N/A</v>
      </c>
    </row>
    <row r="19" spans="1:9" x14ac:dyDescent="0.3">
      <c r="A19" s="6" t="s">
        <v>85</v>
      </c>
      <c r="B19" s="7">
        <v>10</v>
      </c>
      <c r="C19" s="7">
        <v>0.12</v>
      </c>
      <c r="D19" s="7">
        <v>5</v>
      </c>
      <c r="E19" s="7">
        <v>0.6</v>
      </c>
      <c r="F19" s="7">
        <v>35</v>
      </c>
      <c r="G19" s="7" t="e">
        <f>VLOOKUP(A19,'T-24 TAble 120.1-A'!$A$2:$D$76,2,FALSE)</f>
        <v>#N/A</v>
      </c>
      <c r="H19" s="7" t="e">
        <f>VLOOKUP(A19,'T-24 TAble 120.1-A'!$A$2:$D$76,3,FALSE)</f>
        <v>#N/A</v>
      </c>
      <c r="I19" s="7" t="e">
        <f>IF(VLOOKUP(A19,'T-24 TAble 120.1-A'!$A$2:$D$76,7,FALSE)="F",0,H19)</f>
        <v>#N/A</v>
      </c>
    </row>
    <row r="20" spans="1:9" x14ac:dyDescent="0.3">
      <c r="A20" s="8" t="s">
        <v>84</v>
      </c>
      <c r="B20" s="7">
        <v>10</v>
      </c>
      <c r="C20" s="7">
        <v>0.12</v>
      </c>
      <c r="D20" s="7">
        <v>5</v>
      </c>
      <c r="E20" s="7">
        <v>0.6</v>
      </c>
      <c r="F20" s="7">
        <v>25</v>
      </c>
      <c r="G20" s="7" t="e">
        <f>VLOOKUP(A20,'T-24 TAble 120.1-A'!$A$2:$D$76,2,FALSE)</f>
        <v>#N/A</v>
      </c>
      <c r="H20" s="7" t="e">
        <f>VLOOKUP(A20,'T-24 TAble 120.1-A'!$A$2:$D$76,3,FALSE)</f>
        <v>#N/A</v>
      </c>
      <c r="I20" s="7" t="e">
        <f>IF(VLOOKUP(A20,'T-24 TAble 120.1-A'!$A$2:$D$76,7,FALSE)="F",0,H20)</f>
        <v>#N/A</v>
      </c>
    </row>
    <row r="21" spans="1:9" x14ac:dyDescent="0.3">
      <c r="A21" s="6" t="s">
        <v>24</v>
      </c>
      <c r="B21" s="7">
        <v>5</v>
      </c>
      <c r="C21" s="7">
        <v>0.06</v>
      </c>
      <c r="D21" s="7">
        <v>2.5</v>
      </c>
      <c r="E21" s="7">
        <v>0.3</v>
      </c>
      <c r="F21" s="7">
        <v>20</v>
      </c>
      <c r="G21" s="7" t="e">
        <f>VLOOKUP(A21,'T-24 TAble 120.1-A'!$A$2:$D$76,2,FALSE)</f>
        <v>#N/A</v>
      </c>
      <c r="H21" s="7" t="e">
        <f>VLOOKUP(A21,'T-24 TAble 120.1-A'!$A$2:$D$76,3,FALSE)</f>
        <v>#N/A</v>
      </c>
      <c r="I21" s="7" t="e">
        <f>IF(VLOOKUP(A21,'T-24 TAble 120.1-A'!$A$2:$D$76,7,FALSE)="F",0,H21)</f>
        <v>#N/A</v>
      </c>
    </row>
    <row r="22" spans="1:9" x14ac:dyDescent="0.3">
      <c r="A22" s="6" t="s">
        <v>25</v>
      </c>
      <c r="B22" s="7">
        <v>7.5</v>
      </c>
      <c r="C22" s="7">
        <v>0.06</v>
      </c>
      <c r="D22" s="7">
        <v>3.8</v>
      </c>
      <c r="E22" s="7">
        <v>0.6</v>
      </c>
      <c r="F22" s="7">
        <v>20</v>
      </c>
      <c r="G22" s="7" t="e">
        <f>VLOOKUP(A22,'T-24 TAble 120.1-A'!$A$2:$D$76,2,FALSE)</f>
        <v>#N/A</v>
      </c>
      <c r="H22" s="7" t="e">
        <f>VLOOKUP(A22,'T-24 TAble 120.1-A'!$A$2:$D$76,3,FALSE)</f>
        <v>#N/A</v>
      </c>
      <c r="I22" s="7" t="e">
        <f>IF(VLOOKUP(A22,'T-24 TAble 120.1-A'!$A$2:$D$76,7,FALSE)="F",0,H22)</f>
        <v>#N/A</v>
      </c>
    </row>
    <row r="23" spans="1:9" x14ac:dyDescent="0.3">
      <c r="A23" s="20" t="s">
        <v>26</v>
      </c>
      <c r="B23" s="21">
        <v>0</v>
      </c>
      <c r="C23" s="21">
        <v>0.06</v>
      </c>
      <c r="D23" s="21">
        <v>0</v>
      </c>
      <c r="E23" s="21">
        <v>0.3</v>
      </c>
      <c r="F23" s="21"/>
      <c r="G23" s="21" t="e">
        <f>VLOOKUP(A23,'T-24 TAble 120.1-A'!$A$2:$D$76,2,FALSE)</f>
        <v>#N/A</v>
      </c>
      <c r="H23" s="21" t="e">
        <f>VLOOKUP(A23,'T-24 TAble 120.1-A'!$A$2:$D$76,3,FALSE)</f>
        <v>#N/A</v>
      </c>
      <c r="I23" s="21" t="e">
        <f>IF(VLOOKUP(A23,'T-24 TAble 120.1-A'!$A$2:$D$76,7,FALSE)="F",0,H23)</f>
        <v>#N/A</v>
      </c>
    </row>
    <row r="24" spans="1:9" x14ac:dyDescent="0.3">
      <c r="A24" s="6" t="s">
        <v>27</v>
      </c>
      <c r="B24" s="7">
        <v>5</v>
      </c>
      <c r="C24" s="7">
        <v>0.06</v>
      </c>
      <c r="D24" s="7">
        <v>2.5</v>
      </c>
      <c r="E24" s="7">
        <v>0.3</v>
      </c>
      <c r="F24" s="7">
        <v>4</v>
      </c>
      <c r="G24" s="7" t="e">
        <f>VLOOKUP(A24,'T-24 TAble 120.1-A'!$A$2:$D$76,2,FALSE)</f>
        <v>#N/A</v>
      </c>
      <c r="H24" s="7" t="e">
        <f>VLOOKUP(A24,'T-24 TAble 120.1-A'!$A$2:$D$76,3,FALSE)</f>
        <v>#N/A</v>
      </c>
      <c r="I24" s="7" t="e">
        <f>IF(VLOOKUP(A24,'T-24 TAble 120.1-A'!$A$2:$D$76,7,FALSE)="F",0,H24)</f>
        <v>#N/A</v>
      </c>
    </row>
    <row r="25" spans="1:9" x14ac:dyDescent="0.3">
      <c r="A25" s="6" t="s">
        <v>28</v>
      </c>
      <c r="B25" s="7">
        <v>10</v>
      </c>
      <c r="C25" s="7">
        <v>0.12</v>
      </c>
      <c r="D25" s="7">
        <v>5</v>
      </c>
      <c r="E25" s="7">
        <v>0.6</v>
      </c>
      <c r="F25" s="7">
        <v>25</v>
      </c>
      <c r="G25" s="7" t="e">
        <f>VLOOKUP(A25,'T-24 TAble 120.1-A'!$A$2:$D$76,2,FALSE)</f>
        <v>#N/A</v>
      </c>
      <c r="H25" s="7" t="e">
        <f>VLOOKUP(A25,'T-24 TAble 120.1-A'!$A$2:$D$76,3,FALSE)</f>
        <v>#N/A</v>
      </c>
      <c r="I25" s="7" t="e">
        <f>IF(VLOOKUP(A25,'T-24 TAble 120.1-A'!$A$2:$D$76,7,FALSE)="F",0,H25)</f>
        <v>#N/A</v>
      </c>
    </row>
    <row r="26" spans="1:9" x14ac:dyDescent="0.3">
      <c r="A26" s="20" t="s">
        <v>29</v>
      </c>
      <c r="B26" s="21">
        <v>5</v>
      </c>
      <c r="C26" s="21">
        <v>0.06</v>
      </c>
      <c r="D26" s="21">
        <v>2.5</v>
      </c>
      <c r="E26" s="21">
        <v>0.3</v>
      </c>
      <c r="F26" s="21">
        <v>50</v>
      </c>
      <c r="G26" s="21" t="e">
        <f>VLOOKUP(A26,'T-24 TAble 120.1-A'!$A$2:$D$76,2,FALSE)</f>
        <v>#N/A</v>
      </c>
      <c r="H26" s="21" t="e">
        <f>VLOOKUP(A26,'T-24 TAble 120.1-A'!$A$2:$D$76,3,FALSE)</f>
        <v>#N/A</v>
      </c>
      <c r="I26" s="21" t="e">
        <f>IF(VLOOKUP(A26,'T-24 TAble 120.1-A'!$A$2:$D$76,7,FALSE)="F",0,H26)</f>
        <v>#N/A</v>
      </c>
    </row>
    <row r="27" spans="1:9" x14ac:dyDescent="0.3">
      <c r="A27" s="20" t="s">
        <v>30</v>
      </c>
      <c r="B27" s="21">
        <v>0</v>
      </c>
      <c r="C27" s="21">
        <v>0.06</v>
      </c>
      <c r="D27" s="21">
        <v>0</v>
      </c>
      <c r="E27" s="21">
        <v>0.3</v>
      </c>
      <c r="F27" s="21">
        <v>0</v>
      </c>
      <c r="G27" s="21" t="e">
        <f>VLOOKUP(A27,'T-24 TAble 120.1-A'!$A$2:$D$76,2,FALSE)</f>
        <v>#N/A</v>
      </c>
      <c r="H27" s="21" t="e">
        <f>VLOOKUP(A27,'T-24 TAble 120.1-A'!$A$2:$D$76,3,FALSE)</f>
        <v>#N/A</v>
      </c>
      <c r="I27" s="21" t="e">
        <f>IF(VLOOKUP(A27,'T-24 TAble 120.1-A'!$A$2:$D$76,7,FALSE)="F",0,H27)</f>
        <v>#N/A</v>
      </c>
    </row>
    <row r="28" spans="1:9" x14ac:dyDescent="0.3">
      <c r="A28" s="6" t="s">
        <v>31</v>
      </c>
      <c r="B28" s="7">
        <v>5</v>
      </c>
      <c r="C28" s="7">
        <v>0.06</v>
      </c>
      <c r="D28" s="7">
        <v>2.5</v>
      </c>
      <c r="E28" s="7">
        <v>0.3</v>
      </c>
      <c r="F28" s="7">
        <v>70</v>
      </c>
      <c r="G28" s="7" t="e">
        <f>VLOOKUP(A28,'T-24 TAble 120.1-A'!$A$2:$D$76,2,FALSE)</f>
        <v>#N/A</v>
      </c>
      <c r="H28" s="7" t="e">
        <f>VLOOKUP(A28,'T-24 TAble 120.1-A'!$A$2:$D$76,3,FALSE)</f>
        <v>#N/A</v>
      </c>
      <c r="I28" s="7" t="e">
        <f>IF(VLOOKUP(A28,'T-24 TAble 120.1-A'!$A$2:$D$76,7,FALSE)="F",0,H28)</f>
        <v>#N/A</v>
      </c>
    </row>
    <row r="29" spans="1:9" x14ac:dyDescent="0.3">
      <c r="A29" s="6" t="s">
        <v>32</v>
      </c>
      <c r="B29" s="7">
        <v>10</v>
      </c>
      <c r="C29" s="7">
        <v>0.18</v>
      </c>
      <c r="D29" s="7">
        <v>5</v>
      </c>
      <c r="E29" s="7">
        <v>0.9</v>
      </c>
      <c r="F29" s="7">
        <v>25</v>
      </c>
      <c r="G29" s="7" t="e">
        <f>VLOOKUP(A29,'T-24 TAble 120.1-A'!$A$2:$D$76,2,FALSE)</f>
        <v>#N/A</v>
      </c>
      <c r="H29" s="7" t="e">
        <f>VLOOKUP(A29,'T-24 TAble 120.1-A'!$A$2:$D$76,3,FALSE)</f>
        <v>#N/A</v>
      </c>
      <c r="I29" s="7" t="e">
        <f>IF(VLOOKUP(A29,'T-24 TAble 120.1-A'!$A$2:$D$76,7,FALSE)="F",0,H29)</f>
        <v>#N/A</v>
      </c>
    </row>
    <row r="30" spans="1:9" x14ac:dyDescent="0.3">
      <c r="A30" s="6" t="s">
        <v>33</v>
      </c>
      <c r="B30" s="7">
        <v>10</v>
      </c>
      <c r="C30" s="7">
        <v>0.18</v>
      </c>
      <c r="D30" s="7">
        <v>5</v>
      </c>
      <c r="E30" s="7">
        <v>0.9</v>
      </c>
      <c r="F30" s="7">
        <v>25</v>
      </c>
      <c r="G30" s="7" t="e">
        <f>VLOOKUP(A30,'T-24 TAble 120.1-A'!$A$2:$D$76,2,FALSE)</f>
        <v>#N/A</v>
      </c>
      <c r="H30" s="7" t="e">
        <f>VLOOKUP(A30,'T-24 TAble 120.1-A'!$A$2:$D$76,3,FALSE)</f>
        <v>#N/A</v>
      </c>
      <c r="I30" s="7" t="e">
        <f>IF(VLOOKUP(A30,'T-24 TAble 120.1-A'!$A$2:$D$76,7,FALSE)="F",0,H30)</f>
        <v>#N/A</v>
      </c>
    </row>
    <row r="31" spans="1:9" x14ac:dyDescent="0.3">
      <c r="A31" s="6" t="s">
        <v>34</v>
      </c>
      <c r="B31" s="7">
        <v>5</v>
      </c>
      <c r="C31" s="7">
        <v>0.06</v>
      </c>
      <c r="D31" s="7">
        <v>2.5</v>
      </c>
      <c r="E31" s="7">
        <v>0.3</v>
      </c>
      <c r="F31" s="7">
        <v>30</v>
      </c>
      <c r="G31" s="7" t="e">
        <f>VLOOKUP(A31,'T-24 TAble 120.1-A'!$A$2:$D$76,2,FALSE)</f>
        <v>#N/A</v>
      </c>
      <c r="H31" s="7" t="e">
        <f>VLOOKUP(A31,'T-24 TAble 120.1-A'!$A$2:$D$76,3,FALSE)</f>
        <v>#N/A</v>
      </c>
      <c r="I31" s="7" t="e">
        <f>IF(VLOOKUP(A31,'T-24 TAble 120.1-A'!$A$2:$D$76,7,FALSE)="F",0,H31)</f>
        <v>#N/A</v>
      </c>
    </row>
    <row r="32" spans="1:9" x14ac:dyDescent="0.3">
      <c r="A32" s="6" t="s">
        <v>35</v>
      </c>
      <c r="B32" s="7">
        <v>20</v>
      </c>
      <c r="C32" s="7">
        <v>0.06</v>
      </c>
      <c r="D32" s="7">
        <v>10</v>
      </c>
      <c r="E32" s="7">
        <v>0.3</v>
      </c>
      <c r="F32" s="7">
        <v>100</v>
      </c>
      <c r="G32" s="7" t="e">
        <f>VLOOKUP(A32,'T-24 TAble 120.1-A'!$A$2:$D$76,2,FALSE)</f>
        <v>#N/A</v>
      </c>
      <c r="H32" s="7" t="e">
        <f>VLOOKUP(A32,'T-24 TAble 120.1-A'!$A$2:$D$76,3,FALSE)</f>
        <v>#N/A</v>
      </c>
      <c r="I32" s="7" t="e">
        <f>IF(VLOOKUP(A32,'T-24 TAble 120.1-A'!$A$2:$D$76,7,FALSE)="F",0,H32)</f>
        <v>#N/A</v>
      </c>
    </row>
    <row r="33" spans="1:9" x14ac:dyDescent="0.3">
      <c r="A33" s="6" t="s">
        <v>36</v>
      </c>
      <c r="B33" s="7">
        <v>5</v>
      </c>
      <c r="C33" s="7">
        <v>0.06</v>
      </c>
      <c r="D33" s="7">
        <v>2.5</v>
      </c>
      <c r="E33" s="7">
        <v>0.3</v>
      </c>
      <c r="F33" s="7">
        <v>2</v>
      </c>
      <c r="G33" s="7" t="e">
        <f>VLOOKUP(A33,'T-24 TAble 120.1-A'!$A$2:$D$76,2,FALSE)</f>
        <v>#N/A</v>
      </c>
      <c r="H33" s="7" t="e">
        <f>VLOOKUP(A33,'T-24 TAble 120.1-A'!$A$2:$D$76,3,FALSE)</f>
        <v>#N/A</v>
      </c>
      <c r="I33" s="7" t="e">
        <f>IF(VLOOKUP(A33,'T-24 TAble 120.1-A'!$A$2:$D$76,7,FALSE)="F",0,H33)</f>
        <v>#N/A</v>
      </c>
    </row>
    <row r="34" spans="1:9" x14ac:dyDescent="0.3">
      <c r="A34" s="6" t="s">
        <v>37</v>
      </c>
      <c r="B34" s="7">
        <v>0</v>
      </c>
      <c r="C34" s="7">
        <v>0.06</v>
      </c>
      <c r="D34" s="7">
        <v>0</v>
      </c>
      <c r="E34" s="7">
        <v>0.3</v>
      </c>
      <c r="F34" s="7">
        <v>0</v>
      </c>
      <c r="G34" s="28">
        <v>0.15</v>
      </c>
      <c r="H34" s="7" t="e">
        <f>VLOOKUP(A34,'T-24 TAble 120.1-A'!$A$2:$D$76,3,FALSE)</f>
        <v>#N/A</v>
      </c>
      <c r="I34" s="7" t="e">
        <f>IF(VLOOKUP(A34,'T-24 TAble 120.1-A'!$A$2:$D$76,7,FALSE)="F",0,H34)</f>
        <v>#N/A</v>
      </c>
    </row>
    <row r="35" spans="1:9" x14ac:dyDescent="0.3">
      <c r="A35" s="6" t="s">
        <v>38</v>
      </c>
      <c r="B35" s="7">
        <v>0</v>
      </c>
      <c r="C35" s="7">
        <v>0.12</v>
      </c>
      <c r="D35" s="7">
        <v>0</v>
      </c>
      <c r="E35" s="7">
        <v>0.6</v>
      </c>
      <c r="F35" s="7">
        <v>0</v>
      </c>
      <c r="G35" s="28">
        <v>0.15</v>
      </c>
      <c r="H35" s="7" t="e">
        <f>VLOOKUP(A35,'T-24 TAble 120.1-A'!$A$2:$D$76,3,FALSE)</f>
        <v>#N/A</v>
      </c>
      <c r="I35" s="7" t="e">
        <f>IF(VLOOKUP(A35,'T-24 TAble 120.1-A'!$A$2:$D$76,7,FALSE)="F",0,H35)</f>
        <v>#N/A</v>
      </c>
    </row>
    <row r="36" spans="1:9" x14ac:dyDescent="0.3">
      <c r="A36" s="6" t="s">
        <v>39</v>
      </c>
      <c r="B36" s="7">
        <v>7.5</v>
      </c>
      <c r="C36" s="7">
        <v>0.18</v>
      </c>
      <c r="D36" s="7">
        <v>3.8</v>
      </c>
      <c r="E36" s="7">
        <v>0.9</v>
      </c>
      <c r="F36" s="7">
        <v>120</v>
      </c>
      <c r="G36" s="7" t="e">
        <f>VLOOKUP(A36,'T-24 TAble 120.1-A'!$A$2:$D$76,2,FALSE)</f>
        <v>#N/A</v>
      </c>
      <c r="H36" s="7" t="e">
        <f>VLOOKUP(A36,'T-24 TAble 120.1-A'!$A$2:$D$76,3,FALSE)</f>
        <v>#N/A</v>
      </c>
      <c r="I36" s="7" t="e">
        <f>IF(VLOOKUP(A36,'T-24 TAble 120.1-A'!$A$2:$D$76,7,FALSE)="F",0,H36)</f>
        <v>#N/A</v>
      </c>
    </row>
    <row r="37" spans="1:9" x14ac:dyDescent="0.3">
      <c r="A37" s="6" t="s">
        <v>40</v>
      </c>
      <c r="B37" s="7">
        <v>7.5</v>
      </c>
      <c r="C37" s="7">
        <v>0.18</v>
      </c>
      <c r="D37" s="7">
        <v>3.8</v>
      </c>
      <c r="E37" s="7">
        <v>0.9</v>
      </c>
      <c r="F37" s="7">
        <v>20</v>
      </c>
      <c r="G37" s="7" t="e">
        <f>VLOOKUP(A37,'T-24 TAble 120.1-A'!$A$2:$D$76,2,FALSE)</f>
        <v>#N/A</v>
      </c>
      <c r="H37" s="7" t="e">
        <f>VLOOKUP(A37,'T-24 TAble 120.1-A'!$A$2:$D$76,3,FALSE)</f>
        <v>#N/A</v>
      </c>
      <c r="I37" s="7" t="e">
        <f>IF(VLOOKUP(A37,'T-24 TAble 120.1-A'!$A$2:$D$76,7,FALSE)="F",0,H37)</f>
        <v>#N/A</v>
      </c>
    </row>
    <row r="38" spans="1:9" ht="24" x14ac:dyDescent="0.3">
      <c r="A38" s="6" t="s">
        <v>94</v>
      </c>
      <c r="B38" s="7">
        <v>10</v>
      </c>
      <c r="C38" s="7">
        <v>0.18</v>
      </c>
      <c r="D38" s="7">
        <v>5</v>
      </c>
      <c r="E38" s="7">
        <v>0.9</v>
      </c>
      <c r="F38" s="7">
        <v>7</v>
      </c>
      <c r="G38" s="7" t="e">
        <f>VLOOKUP(A38,'T-24 TAble 120.1-A'!$A$2:$D$76,2,FALSE)</f>
        <v>#N/A</v>
      </c>
      <c r="H38" s="7" t="e">
        <f>VLOOKUP(A38,'T-24 TAble 120.1-A'!$A$2:$D$76,3,FALSE)</f>
        <v>#N/A</v>
      </c>
      <c r="I38" s="7" t="e">
        <f>IF(VLOOKUP(A38,'T-24 TAble 120.1-A'!$A$2:$D$76,7,FALSE)="F",0,H38)</f>
        <v>#N/A</v>
      </c>
    </row>
    <row r="39" spans="1:9" x14ac:dyDescent="0.3">
      <c r="A39" s="6" t="s">
        <v>41</v>
      </c>
      <c r="B39" s="7">
        <v>5</v>
      </c>
      <c r="C39" s="7">
        <v>0.06</v>
      </c>
      <c r="D39" s="7">
        <v>2.5</v>
      </c>
      <c r="E39" s="7">
        <v>0.3</v>
      </c>
      <c r="F39" s="7">
        <v>15</v>
      </c>
      <c r="G39" s="7" t="e">
        <f>VLOOKUP(A39,'T-24 TAble 120.1-A'!$A$2:$D$76,2,FALSE)</f>
        <v>#N/A</v>
      </c>
      <c r="H39" s="7" t="e">
        <f>VLOOKUP(A39,'T-24 TAble 120.1-A'!$A$2:$D$76,3,FALSE)</f>
        <v>#N/A</v>
      </c>
      <c r="I39" s="7" t="e">
        <f>IF(VLOOKUP(A39,'T-24 TAble 120.1-A'!$A$2:$D$76,7,FALSE)="F",0,H39)</f>
        <v>#N/A</v>
      </c>
    </row>
    <row r="40" spans="1:9" x14ac:dyDescent="0.3">
      <c r="A40" s="6" t="s">
        <v>99</v>
      </c>
      <c r="B40" s="7">
        <v>0</v>
      </c>
      <c r="C40" s="7">
        <v>0.3</v>
      </c>
      <c r="D40" s="7">
        <v>0</v>
      </c>
      <c r="E40" s="7">
        <v>1.5</v>
      </c>
      <c r="F40" s="7">
        <v>30</v>
      </c>
      <c r="G40" s="7" t="e">
        <f>VLOOKUP(A40,'T-24 TAble 120.1-A'!$A$2:$D$76,2,FALSE)</f>
        <v>#N/A</v>
      </c>
      <c r="H40" s="7" t="e">
        <f>VLOOKUP(A40,'T-24 TAble 120.1-A'!$A$2:$D$76,3,FALSE)</f>
        <v>#N/A</v>
      </c>
      <c r="I40" s="7" t="e">
        <f>IF(VLOOKUP(A40,'T-24 TAble 120.1-A'!$A$2:$D$76,7,FALSE)="F",0,H40)</f>
        <v>#N/A</v>
      </c>
    </row>
    <row r="41" spans="1:9" x14ac:dyDescent="0.3">
      <c r="A41" s="20" t="s">
        <v>42</v>
      </c>
      <c r="B41" s="21">
        <v>20</v>
      </c>
      <c r="C41" s="21">
        <v>0.06</v>
      </c>
      <c r="D41" s="21">
        <v>10</v>
      </c>
      <c r="E41" s="21">
        <v>0.3</v>
      </c>
      <c r="F41" s="21">
        <v>40</v>
      </c>
      <c r="G41" s="21" t="e">
        <f>VLOOKUP(A41,'T-24 TAble 120.1-A'!$A$2:$D$76,2,FALSE)</f>
        <v>#N/A</v>
      </c>
      <c r="H41" s="21" t="e">
        <f>VLOOKUP(A41,'T-24 TAble 120.1-A'!$A$2:$D$76,3,FALSE)</f>
        <v>#N/A</v>
      </c>
      <c r="I41" s="21" t="e">
        <f>IF(VLOOKUP(A41,'T-24 TAble 120.1-A'!$A$2:$D$76,7,FALSE)="F",0,H41)</f>
        <v>#N/A</v>
      </c>
    </row>
    <row r="42" spans="1:9" x14ac:dyDescent="0.3">
      <c r="A42" s="20" t="s">
        <v>43</v>
      </c>
      <c r="B42" s="21">
        <v>20</v>
      </c>
      <c r="C42" s="21">
        <v>0.06</v>
      </c>
      <c r="D42" s="21">
        <v>10</v>
      </c>
      <c r="E42" s="21">
        <v>0.3</v>
      </c>
      <c r="F42" s="21">
        <v>10</v>
      </c>
      <c r="G42" s="21" t="e">
        <f>VLOOKUP(A42,'T-24 TAble 120.1-A'!$A$2:$D$76,2,FALSE)</f>
        <v>#N/A</v>
      </c>
      <c r="H42" s="21" t="e">
        <f>VLOOKUP(A42,'T-24 TAble 120.1-A'!$A$2:$D$76,3,FALSE)</f>
        <v>#N/A</v>
      </c>
      <c r="I42" s="21" t="e">
        <f>IF(VLOOKUP(A42,'T-24 TAble 120.1-A'!$A$2:$D$76,7,FALSE)="F",0,H42)</f>
        <v>#N/A</v>
      </c>
    </row>
    <row r="43" spans="1:9" x14ac:dyDescent="0.3">
      <c r="A43" s="20" t="s">
        <v>90</v>
      </c>
      <c r="B43" s="21">
        <v>7.5</v>
      </c>
      <c r="C43" s="21">
        <v>0.12</v>
      </c>
      <c r="D43" s="21">
        <v>3.8</v>
      </c>
      <c r="E43" s="21">
        <v>0.6</v>
      </c>
      <c r="F43" s="21">
        <v>20</v>
      </c>
      <c r="G43" s="21" t="e">
        <f>VLOOKUP(A43,'T-24 TAble 120.1-A'!$A$2:$D$76,2,FALSE)</f>
        <v>#N/A</v>
      </c>
      <c r="H43" s="21" t="e">
        <f>VLOOKUP(A43,'T-24 TAble 120.1-A'!$A$2:$D$76,3,FALSE)</f>
        <v>#N/A</v>
      </c>
      <c r="I43" s="21" t="e">
        <f>IF(VLOOKUP(A43,'T-24 TAble 120.1-A'!$A$2:$D$76,7,FALSE)="F",0,H43)</f>
        <v>#N/A</v>
      </c>
    </row>
    <row r="44" spans="1:9" x14ac:dyDescent="0.3">
      <c r="A44" s="6" t="s">
        <v>92</v>
      </c>
      <c r="B44" s="7">
        <v>5</v>
      </c>
      <c r="C44" s="7">
        <v>0.12</v>
      </c>
      <c r="D44" s="7">
        <v>2.5</v>
      </c>
      <c r="E44" s="7">
        <v>0.6</v>
      </c>
      <c r="F44" s="7">
        <v>10</v>
      </c>
      <c r="G44" s="7" t="e">
        <f>VLOOKUP(A44,'T-24 TAble 120.1-A'!$A$2:$D$76,2,FALSE)</f>
        <v>#N/A</v>
      </c>
      <c r="H44" s="7" t="e">
        <f>VLOOKUP(A44,'T-24 TAble 120.1-A'!$A$2:$D$76,3,FALSE)</f>
        <v>#N/A</v>
      </c>
      <c r="I44" s="7" t="e">
        <f>IF(VLOOKUP(A44,'T-24 TAble 120.1-A'!$A$2:$D$76,7,FALSE)="F",0,H44)</f>
        <v>#N/A</v>
      </c>
    </row>
    <row r="45" spans="1:9" x14ac:dyDescent="0.3">
      <c r="A45" s="20" t="s">
        <v>91</v>
      </c>
      <c r="B45" s="21">
        <v>5</v>
      </c>
      <c r="C45" s="21">
        <v>0.12</v>
      </c>
      <c r="D45" s="21">
        <v>2.5</v>
      </c>
      <c r="E45" s="21">
        <v>0.6</v>
      </c>
      <c r="F45" s="21">
        <v>10</v>
      </c>
      <c r="G45" s="21" t="e">
        <f>VLOOKUP(A45,'T-24 TAble 120.1-A'!$A$2:$D$76,2,FALSE)</f>
        <v>#N/A</v>
      </c>
      <c r="H45" s="21" t="e">
        <f>VLOOKUP(A45,'T-24 TAble 120.1-A'!$A$2:$D$76,3,FALSE)</f>
        <v>#N/A</v>
      </c>
      <c r="I45" s="21" t="e">
        <f>IF(VLOOKUP(A45,'T-24 TAble 120.1-A'!$A$2:$D$76,7,FALSE)="F",0,H45)</f>
        <v>#N/A</v>
      </c>
    </row>
    <row r="46" spans="1:9" x14ac:dyDescent="0.3">
      <c r="A46" s="6" t="s">
        <v>86</v>
      </c>
      <c r="B46" s="7">
        <v>7.5</v>
      </c>
      <c r="C46" s="7">
        <v>0.06</v>
      </c>
      <c r="D46" s="7">
        <v>3.8</v>
      </c>
      <c r="E46" s="7">
        <v>0.3</v>
      </c>
      <c r="F46" s="7">
        <v>65</v>
      </c>
      <c r="G46" s="7" t="e">
        <f>VLOOKUP(A46,'T-24 TAble 120.1-A'!$A$2:$D$76,2,FALSE)</f>
        <v>#N/A</v>
      </c>
      <c r="H46" s="7" t="e">
        <f>VLOOKUP(A46,'T-24 TAble 120.1-A'!$A$2:$D$76,3,FALSE)</f>
        <v>#N/A</v>
      </c>
      <c r="I46" s="7" t="e">
        <f>IF(VLOOKUP(A46,'T-24 TAble 120.1-A'!$A$2:$D$76,7,FALSE)="F",0,H46)</f>
        <v>#N/A</v>
      </c>
    </row>
    <row r="47" spans="1:9" x14ac:dyDescent="0.3">
      <c r="A47" s="6" t="s">
        <v>87</v>
      </c>
      <c r="B47" s="7">
        <v>7.5</v>
      </c>
      <c r="C47" s="7">
        <v>0.06</v>
      </c>
      <c r="D47" s="7">
        <v>3.8</v>
      </c>
      <c r="E47" s="7">
        <v>0.3</v>
      </c>
      <c r="F47" s="7">
        <v>150</v>
      </c>
      <c r="G47" s="7" t="e">
        <f>VLOOKUP(A47,'T-24 TAble 120.1-A'!$A$2:$D$76,2,FALSE)</f>
        <v>#N/A</v>
      </c>
      <c r="H47" s="7" t="e">
        <f>VLOOKUP(A47,'T-24 TAble 120.1-A'!$A$2:$D$76,3,FALSE)</f>
        <v>#N/A</v>
      </c>
      <c r="I47" s="7" t="e">
        <f>IF(VLOOKUP(A47,'T-24 TAble 120.1-A'!$A$2:$D$76,7,FALSE)="F",0,H47)</f>
        <v>#N/A</v>
      </c>
    </row>
    <row r="48" spans="1:9" x14ac:dyDescent="0.3">
      <c r="A48" s="6" t="s">
        <v>44</v>
      </c>
      <c r="B48" s="7">
        <v>5</v>
      </c>
      <c r="C48" s="7">
        <v>0.06</v>
      </c>
      <c r="D48" s="7">
        <v>2.5</v>
      </c>
      <c r="E48" s="7">
        <v>0.3</v>
      </c>
      <c r="F48" s="7">
        <v>50</v>
      </c>
      <c r="G48" s="7" t="e">
        <f>VLOOKUP(A48,'T-24 TAble 120.1-A'!$A$2:$D$76,2,FALSE)</f>
        <v>#N/A</v>
      </c>
      <c r="H48" s="7" t="e">
        <f>VLOOKUP(A48,'T-24 TAble 120.1-A'!$A$2:$D$76,3,FALSE)</f>
        <v>#N/A</v>
      </c>
      <c r="I48" s="7" t="e">
        <f>IF(VLOOKUP(A48,'T-24 TAble 120.1-A'!$A$2:$D$76,7,FALSE)="F",0,H48)</f>
        <v>#N/A</v>
      </c>
    </row>
    <row r="49" spans="1:9" x14ac:dyDescent="0.3">
      <c r="A49" s="6" t="s">
        <v>96</v>
      </c>
      <c r="B49" s="7">
        <v>5</v>
      </c>
      <c r="C49" s="7">
        <v>0.12</v>
      </c>
      <c r="D49" s="7">
        <v>2.5</v>
      </c>
      <c r="E49" s="7">
        <v>0.6</v>
      </c>
      <c r="F49" s="7">
        <v>10</v>
      </c>
      <c r="G49" s="7" t="e">
        <f>VLOOKUP(A49,'T-24 TAble 120.1-A'!$A$2:$D$76,2,FALSE)</f>
        <v>#N/A</v>
      </c>
      <c r="H49" s="7" t="e">
        <f>VLOOKUP(A49,'T-24 TAble 120.1-A'!$A$2:$D$76,3,FALSE)</f>
        <v>#N/A</v>
      </c>
      <c r="I49" s="7" t="e">
        <f>IF(VLOOKUP(A49,'T-24 TAble 120.1-A'!$A$2:$D$76,7,FALSE)="F",0,H49)</f>
        <v>#N/A</v>
      </c>
    </row>
    <row r="50" spans="1:9" x14ac:dyDescent="0.3">
      <c r="A50" s="20" t="s">
        <v>45</v>
      </c>
      <c r="B50" s="21">
        <v>5</v>
      </c>
      <c r="C50" s="21">
        <v>0.06</v>
      </c>
      <c r="D50" s="21">
        <v>2.5</v>
      </c>
      <c r="E50" s="21">
        <v>0.3</v>
      </c>
      <c r="F50" s="21">
        <v>150</v>
      </c>
      <c r="G50" s="21" t="e">
        <f>VLOOKUP(A50,'T-24 TAble 120.1-A'!$A$2:$D$76,2,FALSE)</f>
        <v>#N/A</v>
      </c>
      <c r="H50" s="21" t="e">
        <f>VLOOKUP(A50,'T-24 TAble 120.1-A'!$A$2:$D$76,3,FALSE)</f>
        <v>#N/A</v>
      </c>
      <c r="I50" s="21" t="e">
        <f>IF(VLOOKUP(A50,'T-24 TAble 120.1-A'!$A$2:$D$76,7,FALSE)="F",0,H50)</f>
        <v>#N/A</v>
      </c>
    </row>
    <row r="51" spans="1:9" x14ac:dyDescent="0.3">
      <c r="A51" s="20" t="s">
        <v>93</v>
      </c>
      <c r="B51" s="21">
        <v>7.5</v>
      </c>
      <c r="C51" s="21">
        <v>0.06</v>
      </c>
      <c r="D51" s="21">
        <v>3.8</v>
      </c>
      <c r="E51" s="21">
        <v>0.3</v>
      </c>
      <c r="F51" s="21">
        <v>30</v>
      </c>
      <c r="G51" s="21" t="e">
        <f>VLOOKUP(A51,'T-24 TAble 120.1-A'!$A$2:$D$76,2,FALSE)</f>
        <v>#N/A</v>
      </c>
      <c r="H51" s="21" t="e">
        <f>VLOOKUP(A51,'T-24 TAble 120.1-A'!$A$2:$D$76,3,FALSE)</f>
        <v>#N/A</v>
      </c>
      <c r="I51" s="21" t="e">
        <f>IF(VLOOKUP(A51,'T-24 TAble 120.1-A'!$A$2:$D$76,7,FALSE)="F",0,H51)</f>
        <v>#N/A</v>
      </c>
    </row>
    <row r="52" spans="1:9" x14ac:dyDescent="0.3">
      <c r="A52" s="20" t="s">
        <v>46</v>
      </c>
      <c r="B52" s="21">
        <v>5</v>
      </c>
      <c r="C52" s="21">
        <v>0.06</v>
      </c>
      <c r="D52" s="21">
        <v>2.5</v>
      </c>
      <c r="E52" s="21">
        <v>0.3</v>
      </c>
      <c r="F52" s="21">
        <v>10</v>
      </c>
      <c r="G52" s="21" t="e">
        <f>VLOOKUP(A52,'T-24 TAble 120.1-A'!$A$2:$D$76,2,FALSE)</f>
        <v>#N/A</v>
      </c>
      <c r="H52" s="21" t="e">
        <f>VLOOKUP(A52,'T-24 TAble 120.1-A'!$A$2:$D$76,3,FALSE)</f>
        <v>#N/A</v>
      </c>
      <c r="I52" s="21" t="e">
        <f>IF(VLOOKUP(A52,'T-24 TAble 120.1-A'!$A$2:$D$76,7,FALSE)="F",0,H52)</f>
        <v>#N/A</v>
      </c>
    </row>
    <row r="53" spans="1:9" x14ac:dyDescent="0.3">
      <c r="A53" s="6" t="s">
        <v>98</v>
      </c>
      <c r="B53" s="7">
        <v>7.5</v>
      </c>
      <c r="C53" s="7">
        <v>0.06</v>
      </c>
      <c r="D53" s="7">
        <v>3.8</v>
      </c>
      <c r="E53" s="7">
        <v>0.3</v>
      </c>
      <c r="F53" s="7">
        <v>40</v>
      </c>
      <c r="G53" s="7" t="e">
        <f>VLOOKUP(A53,'T-24 TAble 120.1-A'!$A$2:$D$76,2,FALSE)</f>
        <v>#N/A</v>
      </c>
      <c r="H53" s="7" t="e">
        <f>VLOOKUP(A53,'T-24 TAble 120.1-A'!$A$2:$D$76,3,FALSE)</f>
        <v>#N/A</v>
      </c>
      <c r="I53" s="7" t="e">
        <f>IF(VLOOKUP(A53,'T-24 TAble 120.1-A'!$A$2:$D$76,7,FALSE)="F",0,H53)</f>
        <v>#N/A</v>
      </c>
    </row>
    <row r="54" spans="1:9" x14ac:dyDescent="0.3">
      <c r="A54" s="8" t="s">
        <v>47</v>
      </c>
      <c r="B54" s="7">
        <v>10</v>
      </c>
      <c r="C54" s="7">
        <v>0.12</v>
      </c>
      <c r="D54" s="7">
        <v>5</v>
      </c>
      <c r="E54" s="7">
        <v>0.6</v>
      </c>
      <c r="F54" s="7">
        <v>25</v>
      </c>
      <c r="G54" s="7" t="e">
        <f>VLOOKUP(A54,'T-24 TAble 120.1-A'!$A$2:$D$76,2,FALSE)</f>
        <v>#N/A</v>
      </c>
      <c r="H54" s="7" t="e">
        <f>VLOOKUP(A54,'T-24 TAble 120.1-A'!$A$2:$D$76,3,FALSE)</f>
        <v>#N/A</v>
      </c>
      <c r="I54" s="7" t="e">
        <f>IF(VLOOKUP(A54,'T-24 TAble 120.1-A'!$A$2:$D$76,7,FALSE)="F",0,H54)</f>
        <v>#N/A</v>
      </c>
    </row>
    <row r="55" spans="1:9" x14ac:dyDescent="0.3">
      <c r="A55" s="6" t="s">
        <v>48</v>
      </c>
      <c r="B55" s="7">
        <v>5</v>
      </c>
      <c r="C55" s="7">
        <v>0.06</v>
      </c>
      <c r="D55" s="7">
        <v>2.5</v>
      </c>
      <c r="E55" s="7">
        <v>0.3</v>
      </c>
      <c r="F55" s="7">
        <v>120</v>
      </c>
      <c r="G55" s="7" t="e">
        <f>VLOOKUP(A55,'T-24 TAble 120.1-A'!$A$2:$D$76,2,FALSE)</f>
        <v>#N/A</v>
      </c>
      <c r="H55" s="7" t="e">
        <f>VLOOKUP(A55,'T-24 TAble 120.1-A'!$A$2:$D$76,3,FALSE)</f>
        <v>#N/A</v>
      </c>
      <c r="I55" s="7" t="e">
        <f>IF(VLOOKUP(A55,'T-24 TAble 120.1-A'!$A$2:$D$76,7,FALSE)="F",0,H55)</f>
        <v>#N/A</v>
      </c>
    </row>
    <row r="56" spans="1:9" x14ac:dyDescent="0.3">
      <c r="A56" s="6" t="s">
        <v>89</v>
      </c>
      <c r="B56" s="7">
        <v>7.5</v>
      </c>
      <c r="C56" s="7">
        <v>0.06</v>
      </c>
      <c r="D56" s="7">
        <v>3.8</v>
      </c>
      <c r="E56" s="7">
        <v>0.3</v>
      </c>
      <c r="F56" s="7">
        <v>100</v>
      </c>
      <c r="G56" s="7" t="e">
        <f>VLOOKUP(A56,'T-24 TAble 120.1-A'!$A$2:$D$76,2,FALSE)</f>
        <v>#N/A</v>
      </c>
      <c r="H56" s="7" t="e">
        <f>VLOOKUP(A56,'T-24 TAble 120.1-A'!$A$2:$D$76,3,FALSE)</f>
        <v>#N/A</v>
      </c>
      <c r="I56" s="7" t="e">
        <f>IF(VLOOKUP(A56,'T-24 TAble 120.1-A'!$A$2:$D$76,7,FALSE)="F",0,H56)</f>
        <v>#N/A</v>
      </c>
    </row>
    <row r="57" spans="1:9" x14ac:dyDescent="0.3">
      <c r="A57" s="6" t="s">
        <v>49</v>
      </c>
      <c r="B57" s="7">
        <v>7.5</v>
      </c>
      <c r="C57" s="7">
        <v>0.12</v>
      </c>
      <c r="D57" s="7">
        <v>3.8</v>
      </c>
      <c r="E57" s="7">
        <v>0.6</v>
      </c>
      <c r="F57" s="7">
        <v>40</v>
      </c>
      <c r="G57" s="7" t="e">
        <f>VLOOKUP(A57,'T-24 TAble 120.1-A'!$A$2:$D$76,2,FALSE)</f>
        <v>#N/A</v>
      </c>
      <c r="H57" s="7" t="e">
        <f>VLOOKUP(A57,'T-24 TAble 120.1-A'!$A$2:$D$76,3,FALSE)</f>
        <v>#N/A</v>
      </c>
      <c r="I57" s="7" t="e">
        <f>IF(VLOOKUP(A57,'T-24 TAble 120.1-A'!$A$2:$D$76,7,FALSE)="F",0,H57)</f>
        <v>#N/A</v>
      </c>
    </row>
    <row r="58" spans="1:9" x14ac:dyDescent="0.3">
      <c r="A58" s="6" t="s">
        <v>50</v>
      </c>
      <c r="B58" s="7">
        <v>7.5</v>
      </c>
      <c r="C58" s="7">
        <v>0.06</v>
      </c>
      <c r="D58" s="7">
        <v>3.8</v>
      </c>
      <c r="E58" s="7">
        <v>0.3</v>
      </c>
      <c r="F58" s="7">
        <v>40</v>
      </c>
      <c r="G58" s="7" t="e">
        <f>VLOOKUP(A58,'T-24 TAble 120.1-A'!$A$2:$D$76,2,FALSE)</f>
        <v>#N/A</v>
      </c>
      <c r="H58" s="7" t="e">
        <f>VLOOKUP(A58,'T-24 TAble 120.1-A'!$A$2:$D$76,3,FALSE)</f>
        <v>#N/A</v>
      </c>
      <c r="I58" s="7" t="e">
        <f>IF(VLOOKUP(A58,'T-24 TAble 120.1-A'!$A$2:$D$76,7,FALSE)="F",0,H58)</f>
        <v>#N/A</v>
      </c>
    </row>
    <row r="59" spans="1:9" x14ac:dyDescent="0.3">
      <c r="A59" s="6" t="s">
        <v>51</v>
      </c>
      <c r="B59" s="7">
        <v>10</v>
      </c>
      <c r="C59" s="7">
        <v>0.06</v>
      </c>
      <c r="D59" s="7">
        <v>5</v>
      </c>
      <c r="E59" s="7">
        <v>0.3</v>
      </c>
      <c r="F59" s="7">
        <v>35</v>
      </c>
      <c r="G59" s="7" t="e">
        <f>VLOOKUP(A59,'T-24 TAble 120.1-A'!$A$2:$D$76,2,FALSE)</f>
        <v>#N/A</v>
      </c>
      <c r="H59" s="7" t="e">
        <f>VLOOKUP(A59,'T-24 TAble 120.1-A'!$A$2:$D$76,3,FALSE)</f>
        <v>#N/A</v>
      </c>
      <c r="I59" s="7" t="e">
        <f>IF(VLOOKUP(A59,'T-24 TAble 120.1-A'!$A$2:$D$76,7,FALSE)="F",0,H59)</f>
        <v>#N/A</v>
      </c>
    </row>
    <row r="60" spans="1:9" x14ac:dyDescent="0.3">
      <c r="A60" s="6" t="s">
        <v>52</v>
      </c>
      <c r="B60" s="7">
        <v>5</v>
      </c>
      <c r="C60" s="7">
        <v>0.12</v>
      </c>
      <c r="D60" s="7">
        <v>2.5</v>
      </c>
      <c r="E60" s="7">
        <v>0.6</v>
      </c>
      <c r="F60" s="7">
        <v>2</v>
      </c>
      <c r="G60" s="7" t="e">
        <f>VLOOKUP(A60,'T-24 TAble 120.1-A'!$A$2:$D$76,2,FALSE)</f>
        <v>#N/A</v>
      </c>
      <c r="H60" s="7" t="e">
        <f>VLOOKUP(A60,'T-24 TAble 120.1-A'!$A$2:$D$76,3,FALSE)</f>
        <v>#N/A</v>
      </c>
      <c r="I60" s="7" t="e">
        <f>IF(VLOOKUP(A60,'T-24 TAble 120.1-A'!$A$2:$D$76,7,FALSE)="F",0,H60)</f>
        <v>#N/A</v>
      </c>
    </row>
    <row r="61" spans="1:9" x14ac:dyDescent="0.3">
      <c r="A61" s="20" t="s">
        <v>64</v>
      </c>
      <c r="B61" s="21">
        <v>5</v>
      </c>
      <c r="C61" s="21">
        <v>0.06</v>
      </c>
      <c r="D61" s="21">
        <v>2.5</v>
      </c>
      <c r="E61" s="21">
        <v>0.3</v>
      </c>
      <c r="F61" s="21">
        <v>2</v>
      </c>
      <c r="G61" s="21" t="e">
        <f>VLOOKUP(A61,'T-24 TAble 120.1-A'!$A$2:$D$76,2,FALSE)</f>
        <v>#N/A</v>
      </c>
      <c r="H61" s="21" t="e">
        <f>VLOOKUP(A61,'T-24 TAble 120.1-A'!$A$2:$D$76,3,FALSE)</f>
        <v>#N/A</v>
      </c>
      <c r="I61" s="21" t="e">
        <f>IF(VLOOKUP(A61,'T-24 TAble 120.1-A'!$A$2:$D$76,7,FALSE)="F",0,H61)</f>
        <v>#N/A</v>
      </c>
    </row>
    <row r="62" spans="1:9" x14ac:dyDescent="0.3">
      <c r="A62" s="20" t="s">
        <v>53</v>
      </c>
      <c r="B62" s="21">
        <v>5</v>
      </c>
      <c r="C62" s="21">
        <v>0.06</v>
      </c>
      <c r="D62" s="21">
        <v>2.5</v>
      </c>
      <c r="E62" s="21">
        <v>0.3</v>
      </c>
      <c r="F62" s="21">
        <v>5</v>
      </c>
      <c r="G62" s="21" t="e">
        <f>VLOOKUP(A62,'T-24 TAble 120.1-A'!$A$2:$D$76,2,FALSE)</f>
        <v>#N/A</v>
      </c>
      <c r="H62" s="21" t="e">
        <f>VLOOKUP(A62,'T-24 TAble 120.1-A'!$A$2:$D$76,3,FALSE)</f>
        <v>#N/A</v>
      </c>
      <c r="I62" s="21" t="e">
        <f>IF(VLOOKUP(A62,'T-24 TAble 120.1-A'!$A$2:$D$76,7,FALSE)="F",0,H62)</f>
        <v>#N/A</v>
      </c>
    </row>
    <row r="63" spans="1:9" x14ac:dyDescent="0.3">
      <c r="A63" s="6" t="s">
        <v>54</v>
      </c>
      <c r="B63" s="7">
        <v>7.5</v>
      </c>
      <c r="C63" s="7">
        <v>0.18</v>
      </c>
      <c r="D63" s="7">
        <v>3.8</v>
      </c>
      <c r="E63" s="7">
        <v>0.9</v>
      </c>
      <c r="F63" s="7">
        <v>10</v>
      </c>
      <c r="G63" s="7" t="e">
        <f>VLOOKUP(A63,'T-24 TAble 120.1-A'!$A$2:$D$76,2,FALSE)</f>
        <v>#N/A</v>
      </c>
      <c r="H63" s="7" t="e">
        <f>VLOOKUP(A63,'T-24 TAble 120.1-A'!$A$2:$D$76,3,FALSE)</f>
        <v>#N/A</v>
      </c>
      <c r="I63" s="7" t="e">
        <f>IF(VLOOKUP(A63,'T-24 TAble 120.1-A'!$A$2:$D$76,7,FALSE)="F",0,H63)</f>
        <v>#N/A</v>
      </c>
    </row>
    <row r="64" spans="1:9" x14ac:dyDescent="0.3">
      <c r="A64" s="20" t="s">
        <v>55</v>
      </c>
      <c r="B64" s="21">
        <v>5</v>
      </c>
      <c r="C64" s="21">
        <v>0.18</v>
      </c>
      <c r="D64" s="21">
        <v>2.5</v>
      </c>
      <c r="E64" s="21">
        <v>0.9</v>
      </c>
      <c r="F64" s="21">
        <v>10</v>
      </c>
      <c r="G64" s="21" t="e">
        <f>VLOOKUP(A64,'T-24 TAble 120.1-A'!$A$2:$D$76,2,FALSE)</f>
        <v>#N/A</v>
      </c>
      <c r="H64" s="21" t="e">
        <f>VLOOKUP(A64,'T-24 TAble 120.1-A'!$A$2:$D$76,3,FALSE)</f>
        <v>#N/A</v>
      </c>
      <c r="I64" s="21" t="e">
        <f>IF(VLOOKUP(A64,'T-24 TAble 120.1-A'!$A$2:$D$76,7,FALSE)="F",0,H64)</f>
        <v>#N/A</v>
      </c>
    </row>
    <row r="65" spans="1:9" x14ac:dyDescent="0.3">
      <c r="A65" s="6" t="s">
        <v>56</v>
      </c>
      <c r="B65" s="7">
        <v>5</v>
      </c>
      <c r="C65" s="7">
        <v>0.12</v>
      </c>
      <c r="D65" s="7">
        <v>2.5</v>
      </c>
      <c r="E65" s="7">
        <v>0.6</v>
      </c>
      <c r="F65" s="7">
        <v>10</v>
      </c>
      <c r="G65" s="7" t="e">
        <f>VLOOKUP(A65,'T-24 TAble 120.1-A'!$A$2:$D$76,2,FALSE)</f>
        <v>#N/A</v>
      </c>
      <c r="H65" s="7" t="e">
        <f>VLOOKUP(A65,'T-24 TAble 120.1-A'!$A$2:$D$76,3,FALSE)</f>
        <v>#N/A</v>
      </c>
      <c r="I65" s="7" t="e">
        <f>IF(VLOOKUP(A65,'T-24 TAble 120.1-A'!$A$2:$D$76,7,FALSE)="F",0,H65)</f>
        <v>#N/A</v>
      </c>
    </row>
    <row r="66" spans="1:9" x14ac:dyDescent="0.3">
      <c r="A66" s="6" t="s">
        <v>57</v>
      </c>
      <c r="B66" s="7">
        <v>5</v>
      </c>
      <c r="C66" s="7">
        <v>0.06</v>
      </c>
      <c r="D66" s="7">
        <v>2.5</v>
      </c>
      <c r="E66" s="7">
        <v>0.3</v>
      </c>
      <c r="F66" s="7">
        <v>120</v>
      </c>
      <c r="G66" s="7" t="e">
        <f>VLOOKUP(A66,'T-24 TAble 120.1-A'!$A$2:$D$76,2,FALSE)</f>
        <v>#N/A</v>
      </c>
      <c r="H66" s="7" t="e">
        <f>VLOOKUP(A66,'T-24 TAble 120.1-A'!$A$2:$D$76,3,FALSE)</f>
        <v>#N/A</v>
      </c>
      <c r="I66" s="7" t="e">
        <f>IF(VLOOKUP(A66,'T-24 TAble 120.1-A'!$A$2:$D$76,7,FALSE)="F",0,H66)</f>
        <v>#N/A</v>
      </c>
    </row>
    <row r="67" spans="1:9" x14ac:dyDescent="0.3">
      <c r="A67" s="20" t="s">
        <v>58</v>
      </c>
      <c r="B67" s="21">
        <v>5</v>
      </c>
      <c r="C67" s="21">
        <v>0.06</v>
      </c>
      <c r="D67" s="21">
        <v>2.5</v>
      </c>
      <c r="E67" s="21">
        <v>0.3</v>
      </c>
      <c r="F67" s="21">
        <v>30</v>
      </c>
      <c r="G67" s="21" t="e">
        <f>VLOOKUP(A67,'T-24 TAble 120.1-A'!$A$2:$D$76,2,FALSE)</f>
        <v>#N/A</v>
      </c>
      <c r="H67" s="21" t="e">
        <f>VLOOKUP(A67,'T-24 TAble 120.1-A'!$A$2:$D$76,3,FALSE)</f>
        <v>#N/A</v>
      </c>
      <c r="I67" s="21" t="e">
        <f>IF(VLOOKUP(A67,'T-24 TAble 120.1-A'!$A$2:$D$76,7,FALSE)="F",0,H67)</f>
        <v>#N/A</v>
      </c>
    </row>
    <row r="68" spans="1:9" x14ac:dyDescent="0.3">
      <c r="A68" s="6" t="s">
        <v>59</v>
      </c>
      <c r="B68" s="7">
        <v>7.5</v>
      </c>
      <c r="C68" s="7">
        <v>0.18</v>
      </c>
      <c r="D68" s="7">
        <v>3.8</v>
      </c>
      <c r="E68" s="7">
        <v>0.9</v>
      </c>
      <c r="F68" s="7">
        <v>70</v>
      </c>
      <c r="G68" s="7" t="e">
        <f>VLOOKUP(A68,'T-24 TAble 120.1-A'!$A$2:$D$76,2,FALSE)</f>
        <v>#N/A</v>
      </c>
      <c r="H68" s="7" t="e">
        <f>VLOOKUP(A68,'T-24 TAble 120.1-A'!$A$2:$D$76,3,FALSE)</f>
        <v>#N/A</v>
      </c>
      <c r="I68" s="7" t="e">
        <f>IF(VLOOKUP(A68,'T-24 TAble 120.1-A'!$A$2:$D$76,7,FALSE)="F",0,H68)</f>
        <v>#N/A</v>
      </c>
    </row>
    <row r="69" spans="1:9" x14ac:dyDescent="0.3">
      <c r="A69" s="6" t="s">
        <v>97</v>
      </c>
      <c r="B69" s="7">
        <v>7.5</v>
      </c>
      <c r="C69" s="7">
        <v>0.12</v>
      </c>
      <c r="D69" s="7">
        <v>3.8</v>
      </c>
      <c r="E69" s="7">
        <v>0.6</v>
      </c>
      <c r="F69" s="7">
        <v>15</v>
      </c>
      <c r="G69" s="7" t="e">
        <f>VLOOKUP(A69,'T-24 TAble 120.1-A'!$A$2:$D$76,2,FALSE)</f>
        <v>#N/A</v>
      </c>
      <c r="H69" s="7" t="e">
        <f>VLOOKUP(A69,'T-24 TAble 120.1-A'!$A$2:$D$76,3,FALSE)</f>
        <v>#N/A</v>
      </c>
      <c r="I69" s="7" t="e">
        <f>IF(VLOOKUP(A69,'T-24 TAble 120.1-A'!$A$2:$D$76,7,FALSE)="F",0,H69)</f>
        <v>#N/A</v>
      </c>
    </row>
    <row r="70" spans="1:9" x14ac:dyDescent="0.3">
      <c r="A70" s="6" t="s">
        <v>60</v>
      </c>
      <c r="B70" s="7">
        <v>10</v>
      </c>
      <c r="C70" s="7">
        <v>0.18</v>
      </c>
      <c r="D70" s="7">
        <v>5</v>
      </c>
      <c r="E70" s="7">
        <v>0.9</v>
      </c>
      <c r="F70" s="7">
        <v>25</v>
      </c>
      <c r="G70" s="7" t="e">
        <f>VLOOKUP(A70,'T-24 TAble 120.1-A'!$A$2:$D$76,2,FALSE)</f>
        <v>#N/A</v>
      </c>
      <c r="H70" s="7" t="e">
        <f>VLOOKUP(A70,'T-24 TAble 120.1-A'!$A$2:$D$76,3,FALSE)</f>
        <v>#N/A</v>
      </c>
      <c r="I70" s="7" t="e">
        <f>IF(VLOOKUP(A70,'T-24 TAble 120.1-A'!$A$2:$D$76,7,FALSE)="F",0,H70)</f>
        <v>#N/A</v>
      </c>
    </row>
    <row r="71" spans="1:9" x14ac:dyDescent="0.3">
      <c r="A71" s="20" t="s">
        <v>61</v>
      </c>
      <c r="B71" s="21"/>
      <c r="C71" s="21">
        <v>0.12</v>
      </c>
      <c r="D71" s="21">
        <v>5</v>
      </c>
      <c r="E71" s="21">
        <v>0.6</v>
      </c>
      <c r="F71" s="21">
        <v>0</v>
      </c>
      <c r="G71" s="21" t="e">
        <f>VLOOKUP(A71,'T-24 TAble 120.1-A'!$A$2:$D$76,2,FALSE)</f>
        <v>#N/A</v>
      </c>
      <c r="H71" s="21" t="e">
        <f>VLOOKUP(A71,'T-24 TAble 120.1-A'!$A$2:$D$76,3,FALSE)</f>
        <v>#N/A</v>
      </c>
      <c r="I71" s="21" t="e">
        <f>IF(VLOOKUP(A71,'T-24 TAble 120.1-A'!$A$2:$D$76,7,FALSE)="F",0,H71)</f>
        <v>#N/A</v>
      </c>
    </row>
    <row r="72" spans="1:9" x14ac:dyDescent="0.3">
      <c r="A72" s="6" t="s">
        <v>95</v>
      </c>
      <c r="B72" s="7">
        <v>7.5</v>
      </c>
      <c r="C72" s="7">
        <v>0.12</v>
      </c>
      <c r="D72" s="7">
        <v>3.8</v>
      </c>
      <c r="E72" s="7">
        <v>0.6</v>
      </c>
      <c r="F72" s="7">
        <v>7</v>
      </c>
      <c r="G72" s="7" t="e">
        <f>VLOOKUP(A72,'T-24 TAble 120.1-A'!$A$2:$D$76,2,FALSE)</f>
        <v>#N/A</v>
      </c>
      <c r="H72" s="7" t="e">
        <f>VLOOKUP(A72,'T-24 TAble 120.1-A'!$A$2:$D$76,3,FALSE)</f>
        <v>#N/A</v>
      </c>
      <c r="I72" s="7" t="e">
        <f>IF(VLOOKUP(A72,'T-24 TAble 120.1-A'!$A$2:$D$76,7,FALSE)="F",0,H72)</f>
        <v>#N/A</v>
      </c>
    </row>
    <row r="73" spans="1:9" x14ac:dyDescent="0.3">
      <c r="A73" s="6" t="s">
        <v>62</v>
      </c>
      <c r="B73" s="7">
        <v>7.5</v>
      </c>
      <c r="C73" s="7">
        <v>0.06</v>
      </c>
      <c r="D73" s="7">
        <v>3.8</v>
      </c>
      <c r="E73" s="7">
        <v>0.3</v>
      </c>
      <c r="F73" s="7">
        <v>150</v>
      </c>
      <c r="G73" s="7" t="e">
        <f>VLOOKUP(A73,'T-24 TAble 120.1-A'!$A$2:$D$76,2,FALSE)</f>
        <v>#N/A</v>
      </c>
      <c r="H73" s="7" t="e">
        <f>VLOOKUP(A73,'T-24 TAble 120.1-A'!$A$2:$D$76,3,FALSE)</f>
        <v>#N/A</v>
      </c>
      <c r="I73" s="7" t="e">
        <f>IF(VLOOKUP(A73,'T-24 TAble 120.1-A'!$A$2:$D$76,7,FALSE)="F",0,H73)</f>
        <v>#N/A</v>
      </c>
    </row>
    <row r="74" spans="1:9" x14ac:dyDescent="0.3">
      <c r="A74" s="6" t="s">
        <v>99</v>
      </c>
      <c r="B74" s="7">
        <v>0</v>
      </c>
      <c r="C74" s="7">
        <v>0.3</v>
      </c>
      <c r="D74" s="7">
        <v>0</v>
      </c>
      <c r="E74" s="7">
        <v>1.5</v>
      </c>
      <c r="F74" s="7">
        <v>0</v>
      </c>
      <c r="G74" s="7" t="e">
        <f>VLOOKUP(A74,'T-24 TAble 120.1-A'!$A$2:$D$76,2,FALSE)</f>
        <v>#N/A</v>
      </c>
      <c r="H74" s="7" t="e">
        <f>VLOOKUP(A74,'T-24 TAble 120.1-A'!$A$2:$D$76,3,FALSE)</f>
        <v>#N/A</v>
      </c>
      <c r="I74" s="7" t="e">
        <f>IF(VLOOKUP(A74,'T-24 TAble 120.1-A'!$A$2:$D$76,7,FALSE)="F",0,H74)</f>
        <v>#N/A</v>
      </c>
    </row>
    <row r="75" spans="1:9" x14ac:dyDescent="0.3">
      <c r="A75" s="6" t="s">
        <v>63</v>
      </c>
      <c r="B75" s="7">
        <v>10</v>
      </c>
      <c r="C75" s="7">
        <v>0.06</v>
      </c>
      <c r="D75" s="7">
        <v>5</v>
      </c>
      <c r="E75" s="7">
        <v>0.3</v>
      </c>
      <c r="F75" s="7">
        <v>70</v>
      </c>
      <c r="G75" s="7" t="e">
        <f>VLOOKUP(A75,'T-24 TAble 120.1-A'!$A$2:$D$76,2,FALSE)</f>
        <v>#N/A</v>
      </c>
      <c r="H75" s="7" t="e">
        <f>VLOOKUP(A75,'T-24 TAble 120.1-A'!$A$2:$D$76,3,FALSE)</f>
        <v>#N/A</v>
      </c>
      <c r="I75" s="7" t="e">
        <f>IF(VLOOKUP(A75,'T-24 TAble 120.1-A'!$A$2:$D$76,7,FALSE)="F",0,H75)</f>
        <v>#N/A</v>
      </c>
    </row>
    <row r="76" spans="1:9" x14ac:dyDescent="0.3">
      <c r="A76" s="20" t="s">
        <v>64</v>
      </c>
      <c r="B76" s="21">
        <v>0</v>
      </c>
      <c r="C76" s="21">
        <v>0.12</v>
      </c>
      <c r="D76" s="21">
        <v>0</v>
      </c>
      <c r="E76" s="21">
        <v>0.6</v>
      </c>
      <c r="F76" s="21">
        <v>0</v>
      </c>
      <c r="G76" s="21" t="e">
        <f>VLOOKUP(A76,'T-24 TAble 120.1-A'!$A$2:$D$76,2,FALSE)</f>
        <v>#N/A</v>
      </c>
      <c r="H76" s="21" t="e">
        <f>VLOOKUP(A76,'T-24 TAble 120.1-A'!$A$2:$D$76,3,FALSE)</f>
        <v>#N/A</v>
      </c>
      <c r="I76" s="21" t="e">
        <f>IF(VLOOKUP(A76,'T-24 TAble 120.1-A'!$A$2:$D$76,7,FALSE)="F",0,H76)</f>
        <v>#N/A</v>
      </c>
    </row>
    <row r="77" spans="1:9" x14ac:dyDescent="0.3">
      <c r="A77" s="6" t="s">
        <v>65</v>
      </c>
      <c r="B77" s="7">
        <v>7.5</v>
      </c>
      <c r="C77" s="7">
        <v>0.06</v>
      </c>
      <c r="D77" s="7">
        <v>3.8</v>
      </c>
      <c r="E77" s="7">
        <v>0.3</v>
      </c>
      <c r="F77" s="7">
        <v>8</v>
      </c>
      <c r="G77" s="7" t="e">
        <f>VLOOKUP(A77,'T-24 TAble 120.1-A'!$A$2:$D$76,2,FALSE)</f>
        <v>#N/A</v>
      </c>
      <c r="H77" s="7" t="e">
        <f>VLOOKUP(A77,'T-24 TAble 120.1-A'!$A$2:$D$76,3,FALSE)</f>
        <v>#N/A</v>
      </c>
      <c r="I77" s="7" t="e">
        <f>IF(VLOOKUP(A77,'T-24 TAble 120.1-A'!$A$2:$D$76,7,FALSE)="F",0,H77)</f>
        <v>#N/A</v>
      </c>
    </row>
    <row r="78" spans="1:9" x14ac:dyDescent="0.3">
      <c r="A78" s="6" t="s">
        <v>158</v>
      </c>
      <c r="B78" s="7">
        <v>0</v>
      </c>
      <c r="C78" s="7">
        <v>0.48</v>
      </c>
      <c r="D78" s="7">
        <v>0</v>
      </c>
      <c r="E78" s="7">
        <v>2.4</v>
      </c>
      <c r="F78" s="7">
        <v>0</v>
      </c>
      <c r="G78" s="7">
        <f>VLOOKUP("*"&amp;A78&amp;"*",'T-24 TAble 120.1-A'!$A$2:$D$76,2,FALSE)</f>
        <v>0.15</v>
      </c>
      <c r="H78" s="7">
        <f>VLOOKUP("*"&amp;A78&amp;"*",'T-24 TAble 120.1-A'!$A$2:$D$76,3,FALSE)</f>
        <v>0</v>
      </c>
      <c r="I78" s="7" t="e">
        <f>IF(VLOOKUP("*"&amp;A78&amp;"*",'T-24 TAble 120.1-A'!$A$2:$D$76,7,FALSE)="F",0,H78)</f>
        <v>#REF!</v>
      </c>
    </row>
    <row r="79" spans="1:9" x14ac:dyDescent="0.3">
      <c r="A79" s="6" t="s">
        <v>66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 t="e">
        <f>VLOOKUP(A79,'T-24 TAble 120.1-A'!$A$2:$D$76,2,FALSE)</f>
        <v>#N/A</v>
      </c>
      <c r="H79" s="7" t="e">
        <f>VLOOKUP(A79,'T-24 TAble 120.1-A'!$A$2:$D$76,3,FALSE)</f>
        <v>#N/A</v>
      </c>
      <c r="I79" s="7" t="e">
        <f>IF(VLOOKUP(A79,'T-24 TAble 120.1-A'!$A$2:$D$76,7,FALSE)="F",0,H79)</f>
        <v>#N/A</v>
      </c>
    </row>
    <row r="80" spans="1:9" x14ac:dyDescent="0.3">
      <c r="A80" s="6" t="s">
        <v>67</v>
      </c>
      <c r="B80" s="7">
        <v>5</v>
      </c>
      <c r="C80" s="7">
        <v>0.06</v>
      </c>
      <c r="D80" s="7">
        <v>2.5</v>
      </c>
      <c r="E80" s="7">
        <v>0.3</v>
      </c>
      <c r="F80" s="7">
        <v>60</v>
      </c>
      <c r="G80" s="7" t="e">
        <f>VLOOKUP(A80,'T-24 TAble 120.1-A'!$A$2:$D$76,2,FALSE)</f>
        <v>#N/A</v>
      </c>
      <c r="H80" s="7" t="e">
        <f>VLOOKUP(A80,'T-24 TAble 120.1-A'!$A$2:$D$76,3,FALSE)</f>
        <v>#N/A</v>
      </c>
      <c r="I80" s="7" t="e">
        <f>IF(VLOOKUP(A80,'T-24 TAble 120.1-A'!$A$2:$D$76,7,FALSE)="F",0,H80)</f>
        <v>#N/A</v>
      </c>
    </row>
    <row r="81" spans="1:9" x14ac:dyDescent="0.3">
      <c r="A81" s="20" t="s">
        <v>68</v>
      </c>
      <c r="B81" s="21">
        <v>7.5</v>
      </c>
      <c r="C81" s="21">
        <v>0.06</v>
      </c>
      <c r="D81" s="21">
        <v>3.8</v>
      </c>
      <c r="E81" s="21">
        <v>0.3</v>
      </c>
      <c r="F81" s="21">
        <v>100</v>
      </c>
      <c r="G81" s="21" t="e">
        <f>VLOOKUP(A81,'T-24 TAble 120.1-A'!$A$2:$D$76,2,FALSE)</f>
        <v>#N/A</v>
      </c>
      <c r="H81" s="21" t="e">
        <f>VLOOKUP(A81,'T-24 TAble 120.1-A'!$A$2:$D$76,3,FALSE)</f>
        <v>#N/A</v>
      </c>
      <c r="I81" s="21" t="e">
        <f>IF(VLOOKUP(A81,'T-24 TAble 120.1-A'!$A$2:$D$76,7,FALSE)="F",0,H81)</f>
        <v>#N/A</v>
      </c>
    </row>
    <row r="82" spans="1:9" x14ac:dyDescent="0.3">
      <c r="A82" s="6" t="s">
        <v>69</v>
      </c>
      <c r="B82" s="7">
        <v>10</v>
      </c>
      <c r="C82" s="7">
        <v>0.18</v>
      </c>
      <c r="D82" s="7">
        <v>5</v>
      </c>
      <c r="E82" s="7">
        <v>0.9</v>
      </c>
      <c r="F82" s="7">
        <v>25</v>
      </c>
      <c r="G82" s="7" t="e">
        <f>VLOOKUP(A82,'T-24 TAble 120.1-A'!$A$2:$D$76,2,FALSE)</f>
        <v>#N/A</v>
      </c>
      <c r="H82" s="7" t="e">
        <f>VLOOKUP(A82,'T-24 TAble 120.1-A'!$A$2:$D$76,3,FALSE)</f>
        <v>#N/A</v>
      </c>
      <c r="I82" s="7" t="e">
        <f>IF(VLOOKUP(A82,'T-24 TAble 120.1-A'!$A$2:$D$76,7,FALSE)="F",0,H82)</f>
        <v>#N/A</v>
      </c>
    </row>
    <row r="83" spans="1:9" x14ac:dyDescent="0.3">
      <c r="A83" s="6" t="s">
        <v>70</v>
      </c>
      <c r="B83" s="7">
        <v>0</v>
      </c>
      <c r="C83" s="7">
        <v>0.06</v>
      </c>
      <c r="D83" s="7">
        <v>5</v>
      </c>
      <c r="E83" s="7">
        <v>0.3</v>
      </c>
      <c r="F83" s="7">
        <v>0</v>
      </c>
      <c r="G83" s="7" t="e">
        <f>VLOOKUP(A83,'T-24 TAble 120.1-A'!$A$2:$D$76,2,FALSE)</f>
        <v>#N/A</v>
      </c>
      <c r="H83" s="7" t="e">
        <f>VLOOKUP(A83,'T-24 TAble 120.1-A'!$A$2:$D$76,3,FALSE)</f>
        <v>#N/A</v>
      </c>
      <c r="I83" s="7" t="e">
        <f>IF(VLOOKUP(A83,'T-24 TAble 120.1-A'!$A$2:$D$76,7,FALSE)="F",0,H83)</f>
        <v>#N/A</v>
      </c>
    </row>
    <row r="84" spans="1:9" x14ac:dyDescent="0.3">
      <c r="A84" s="6" t="s">
        <v>71</v>
      </c>
      <c r="B84" s="7">
        <v>10</v>
      </c>
      <c r="C84" s="7">
        <v>0.18</v>
      </c>
      <c r="D84" s="7">
        <v>5</v>
      </c>
      <c r="E84" s="7">
        <v>0.9</v>
      </c>
      <c r="F84" s="7">
        <v>20</v>
      </c>
      <c r="G84" s="7" t="e">
        <f>VLOOKUP(A84,'T-24 TAble 120.1-A'!$A$2:$D$76,2,FALSE)</f>
        <v>#N/A</v>
      </c>
      <c r="H84" s="7" t="e">
        <f>VLOOKUP(A84,'T-24 TAble 120.1-A'!$A$2:$D$76,3,FALSE)</f>
        <v>#N/A</v>
      </c>
      <c r="I84" s="7" t="e">
        <f>IF(VLOOKUP(A84,'T-24 TAble 120.1-A'!$A$2:$D$76,7,FALSE)="F",0,H84)</f>
        <v>#N/A</v>
      </c>
    </row>
  </sheetData>
  <mergeCells count="2">
    <mergeCell ref="B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BC72-844F-4717-AA4F-E1E881F3F8B5}">
  <sheetPr codeName="Sheet2"/>
  <dimension ref="A1:E76"/>
  <sheetViews>
    <sheetView tabSelected="1" zoomScale="130" zoomScaleNormal="130" workbookViewId="0">
      <selection activeCell="I10" sqref="I10"/>
    </sheetView>
  </sheetViews>
  <sheetFormatPr defaultRowHeight="14.4" x14ac:dyDescent="0.3"/>
  <cols>
    <col min="1" max="1" width="24" style="35" bestFit="1" customWidth="1"/>
    <col min="2" max="2" width="14.88671875" style="35" customWidth="1"/>
    <col min="3" max="3" width="18.6640625" style="35" customWidth="1"/>
    <col min="4" max="4" width="12" style="35" bestFit="1" customWidth="1"/>
  </cols>
  <sheetData>
    <row r="1" spans="1:5" s="34" customFormat="1" ht="43.8" x14ac:dyDescent="0.3">
      <c r="A1" s="36" t="s">
        <v>100</v>
      </c>
      <c r="B1" s="36" t="s">
        <v>292</v>
      </c>
      <c r="C1" s="36" t="s">
        <v>293</v>
      </c>
      <c r="D1" s="36" t="s">
        <v>101</v>
      </c>
      <c r="E1" s="36" t="s">
        <v>294</v>
      </c>
    </row>
    <row r="2" spans="1:5" ht="20.399999999999999" x14ac:dyDescent="0.3">
      <c r="A2" s="33" t="s">
        <v>218</v>
      </c>
      <c r="B2" s="33">
        <v>0.21</v>
      </c>
      <c r="C2" s="33">
        <v>0.15</v>
      </c>
      <c r="D2" s="33">
        <v>2</v>
      </c>
      <c r="E2" s="37"/>
    </row>
    <row r="3" spans="1:5" ht="20.399999999999999" x14ac:dyDescent="0.3">
      <c r="A3" s="33" t="s">
        <v>219</v>
      </c>
      <c r="B3" s="33">
        <v>0.15</v>
      </c>
      <c r="C3" s="33"/>
      <c r="D3" s="33">
        <v>3</v>
      </c>
      <c r="E3" s="37"/>
    </row>
    <row r="4" spans="1:5" ht="20.399999999999999" x14ac:dyDescent="0.3">
      <c r="A4" s="33" t="s">
        <v>220</v>
      </c>
      <c r="B4" s="33">
        <v>0.38</v>
      </c>
      <c r="C4" s="33">
        <v>0.15</v>
      </c>
      <c r="D4" s="33">
        <v>1</v>
      </c>
      <c r="E4" s="37"/>
    </row>
    <row r="5" spans="1:5" ht="20.399999999999999" x14ac:dyDescent="0.3">
      <c r="A5" s="33" t="s">
        <v>221</v>
      </c>
      <c r="B5" s="33">
        <v>0.38</v>
      </c>
      <c r="C5" s="33">
        <v>0.15</v>
      </c>
      <c r="D5" s="33">
        <v>1</v>
      </c>
      <c r="E5" s="37"/>
    </row>
    <row r="6" spans="1:5" ht="20.399999999999999" x14ac:dyDescent="0.3">
      <c r="A6" s="33" t="s">
        <v>222</v>
      </c>
      <c r="B6" s="33">
        <v>0.38</v>
      </c>
      <c r="C6" s="33">
        <v>0.15</v>
      </c>
      <c r="D6" s="33">
        <v>1</v>
      </c>
      <c r="E6" s="37" t="s">
        <v>295</v>
      </c>
    </row>
    <row r="7" spans="1:5" ht="20.399999999999999" x14ac:dyDescent="0.3">
      <c r="A7" s="33" t="s">
        <v>223</v>
      </c>
      <c r="B7" s="33">
        <v>0</v>
      </c>
      <c r="C7" s="33">
        <v>0.15</v>
      </c>
      <c r="D7" s="33">
        <v>1</v>
      </c>
      <c r="E7" s="37" t="s">
        <v>295</v>
      </c>
    </row>
    <row r="8" spans="1:5" ht="20.399999999999999" x14ac:dyDescent="0.3">
      <c r="A8" s="33" t="s">
        <v>224</v>
      </c>
      <c r="B8" s="33">
        <v>0.15</v>
      </c>
      <c r="C8" s="33"/>
      <c r="D8" s="33">
        <v>2</v>
      </c>
      <c r="E8" s="37"/>
    </row>
    <row r="9" spans="1:5" ht="20.399999999999999" x14ac:dyDescent="0.3">
      <c r="A9" s="33" t="s">
        <v>225</v>
      </c>
      <c r="B9" s="33">
        <v>0.15</v>
      </c>
      <c r="C9" s="33"/>
      <c r="D9" s="33">
        <v>2</v>
      </c>
      <c r="E9" s="37"/>
    </row>
    <row r="10" spans="1:5" ht="20.399999999999999" x14ac:dyDescent="0.3">
      <c r="A10" s="33" t="s">
        <v>226</v>
      </c>
      <c r="B10" s="33">
        <v>0.15</v>
      </c>
      <c r="C10" s="33"/>
      <c r="D10" s="33">
        <v>2</v>
      </c>
      <c r="E10" s="37"/>
    </row>
    <row r="11" spans="1:5" ht="20.399999999999999" x14ac:dyDescent="0.3">
      <c r="A11" s="33" t="s">
        <v>226</v>
      </c>
      <c r="B11" s="33">
        <v>0.15</v>
      </c>
      <c r="C11" s="33"/>
      <c r="D11" s="33">
        <v>2</v>
      </c>
      <c r="E11" s="37"/>
    </row>
    <row r="12" spans="1:5" x14ac:dyDescent="0.3">
      <c r="A12" s="33" t="s">
        <v>227</v>
      </c>
      <c r="B12" s="33">
        <v>0.15</v>
      </c>
      <c r="C12" s="33"/>
      <c r="D12" s="33">
        <v>1</v>
      </c>
      <c r="E12" s="37"/>
    </row>
    <row r="13" spans="1:5" x14ac:dyDescent="0.3">
      <c r="A13" s="33" t="s">
        <v>228</v>
      </c>
      <c r="B13" s="33">
        <v>0.15</v>
      </c>
      <c r="C13" s="33"/>
      <c r="D13" s="33">
        <v>1</v>
      </c>
      <c r="E13" s="37"/>
    </row>
    <row r="14" spans="1:5" ht="20.399999999999999" x14ac:dyDescent="0.3">
      <c r="A14" s="33" t="s">
        <v>229</v>
      </c>
      <c r="B14" s="33">
        <v>1.07</v>
      </c>
      <c r="C14" s="33">
        <v>0.15</v>
      </c>
      <c r="D14" s="33">
        <v>1</v>
      </c>
      <c r="E14" s="37" t="s">
        <v>295</v>
      </c>
    </row>
    <row r="15" spans="1:5" ht="20.399999999999999" x14ac:dyDescent="0.3">
      <c r="A15" s="33" t="s">
        <v>230</v>
      </c>
      <c r="B15" s="33">
        <v>0.5</v>
      </c>
      <c r="C15" s="33">
        <v>0.15</v>
      </c>
      <c r="D15" s="33">
        <v>1</v>
      </c>
      <c r="E15" s="37" t="s">
        <v>295</v>
      </c>
    </row>
    <row r="16" spans="1:5" ht="20.399999999999999" x14ac:dyDescent="0.3">
      <c r="A16" s="33" t="s">
        <v>231</v>
      </c>
      <c r="B16" s="33">
        <v>0.5</v>
      </c>
      <c r="C16" s="33">
        <v>0.15</v>
      </c>
      <c r="D16" s="33">
        <v>2</v>
      </c>
      <c r="E16" s="37"/>
    </row>
    <row r="17" spans="1:5" ht="20.399999999999999" x14ac:dyDescent="0.3">
      <c r="A17" s="33" t="s">
        <v>232</v>
      </c>
      <c r="B17" s="33">
        <v>0.5</v>
      </c>
      <c r="C17" s="33">
        <v>0.15</v>
      </c>
      <c r="D17" s="33">
        <v>2</v>
      </c>
      <c r="E17" s="37"/>
    </row>
    <row r="18" spans="1:5" ht="34.5" customHeight="1" x14ac:dyDescent="0.3">
      <c r="A18" s="33" t="s">
        <v>233</v>
      </c>
      <c r="B18" s="33">
        <v>0.5</v>
      </c>
      <c r="C18" s="33">
        <v>0.2</v>
      </c>
      <c r="D18" s="33">
        <v>2</v>
      </c>
      <c r="E18" s="37"/>
    </row>
    <row r="19" spans="1:5" ht="20.399999999999999" x14ac:dyDescent="0.3">
      <c r="A19" s="33" t="s">
        <v>234</v>
      </c>
      <c r="B19" s="33">
        <v>0.15</v>
      </c>
      <c r="C19" s="33"/>
      <c r="D19" s="33">
        <v>2</v>
      </c>
      <c r="E19" s="37"/>
    </row>
    <row r="20" spans="1:5" ht="23.25" customHeight="1" x14ac:dyDescent="0.3">
      <c r="A20" s="33" t="s">
        <v>235</v>
      </c>
      <c r="B20" s="33">
        <v>0.5</v>
      </c>
      <c r="C20" s="33">
        <v>0.15</v>
      </c>
      <c r="D20" s="33">
        <v>1</v>
      </c>
      <c r="E20" s="37" t="s">
        <v>295</v>
      </c>
    </row>
    <row r="21" spans="1:5" x14ac:dyDescent="0.3">
      <c r="A21" s="33" t="s">
        <v>236</v>
      </c>
      <c r="B21" s="33">
        <v>0.5</v>
      </c>
      <c r="C21" s="33">
        <v>0.15</v>
      </c>
      <c r="D21" s="33">
        <v>1</v>
      </c>
      <c r="E21" s="37" t="s">
        <v>295</v>
      </c>
    </row>
    <row r="22" spans="1:5" x14ac:dyDescent="0.3">
      <c r="A22" s="33" t="s">
        <v>237</v>
      </c>
      <c r="B22" s="33">
        <v>0.5</v>
      </c>
      <c r="C22" s="33">
        <v>0.15</v>
      </c>
      <c r="D22" s="33">
        <v>1</v>
      </c>
      <c r="E22" s="37" t="s">
        <v>295</v>
      </c>
    </row>
    <row r="23" spans="1:5" x14ac:dyDescent="0.3">
      <c r="A23" s="33" t="s">
        <v>238</v>
      </c>
      <c r="B23" s="33">
        <v>0.15</v>
      </c>
      <c r="C23" s="33"/>
      <c r="D23" s="33">
        <v>1</v>
      </c>
      <c r="E23" s="37" t="s">
        <v>295</v>
      </c>
    </row>
    <row r="24" spans="1:5" ht="57" customHeight="1" x14ac:dyDescent="0.3">
      <c r="A24" s="33" t="s">
        <v>239</v>
      </c>
      <c r="B24" s="33">
        <v>0.15</v>
      </c>
      <c r="C24" s="33"/>
      <c r="D24" s="33">
        <v>2</v>
      </c>
      <c r="E24" s="37" t="s">
        <v>295</v>
      </c>
    </row>
    <row r="25" spans="1:5" ht="23.25" customHeight="1" x14ac:dyDescent="0.3">
      <c r="A25" s="33" t="s">
        <v>240</v>
      </c>
      <c r="B25" s="33">
        <v>0.15</v>
      </c>
      <c r="C25" s="33"/>
      <c r="D25" s="33">
        <v>1</v>
      </c>
      <c r="E25" s="37" t="s">
        <v>295</v>
      </c>
    </row>
    <row r="26" spans="1:5" ht="34.5" customHeight="1" x14ac:dyDescent="0.3">
      <c r="A26" s="33" t="s">
        <v>241</v>
      </c>
      <c r="B26" s="33">
        <v>0.15</v>
      </c>
      <c r="C26" s="33"/>
      <c r="D26" s="33">
        <v>1</v>
      </c>
      <c r="E26" s="37" t="s">
        <v>295</v>
      </c>
    </row>
    <row r="27" spans="1:5" ht="20.399999999999999" x14ac:dyDescent="0.3">
      <c r="A27" s="33" t="s">
        <v>242</v>
      </c>
      <c r="B27" s="33">
        <v>0.15</v>
      </c>
      <c r="C27" s="33"/>
      <c r="D27" s="33">
        <v>2</v>
      </c>
      <c r="E27" s="37"/>
    </row>
    <row r="28" spans="1:5" ht="20.399999999999999" x14ac:dyDescent="0.3">
      <c r="A28" s="33" t="s">
        <v>243</v>
      </c>
      <c r="B28" s="33">
        <v>0.15</v>
      </c>
      <c r="C28" s="33"/>
      <c r="D28" s="33">
        <v>1</v>
      </c>
      <c r="E28" s="37"/>
    </row>
    <row r="29" spans="1:5" ht="20.399999999999999" x14ac:dyDescent="0.3">
      <c r="A29" s="33" t="s">
        <v>244</v>
      </c>
      <c r="B29" s="33">
        <v>0.5</v>
      </c>
      <c r="C29" s="33">
        <v>0.15</v>
      </c>
      <c r="D29" s="33">
        <v>1</v>
      </c>
      <c r="E29" s="37" t="s">
        <v>295</v>
      </c>
    </row>
    <row r="30" spans="1:5" ht="34.5" customHeight="1" x14ac:dyDescent="0.3">
      <c r="A30" s="33" t="s">
        <v>245</v>
      </c>
      <c r="B30" s="33">
        <v>0.5</v>
      </c>
      <c r="C30" s="33"/>
      <c r="D30" s="33">
        <v>1</v>
      </c>
      <c r="E30" s="37" t="s">
        <v>295</v>
      </c>
    </row>
    <row r="31" spans="1:5" x14ac:dyDescent="0.3">
      <c r="A31" s="33" t="s">
        <v>246</v>
      </c>
      <c r="B31" s="33">
        <v>0.5</v>
      </c>
      <c r="C31" s="33">
        <v>0.15</v>
      </c>
      <c r="D31" s="33">
        <v>1</v>
      </c>
      <c r="E31" s="37"/>
    </row>
    <row r="32" spans="1:5" ht="23.25" customHeight="1" x14ac:dyDescent="0.3">
      <c r="A32" s="33" t="s">
        <v>247</v>
      </c>
      <c r="B32" s="33">
        <v>0.5</v>
      </c>
      <c r="C32" s="33">
        <v>0.15</v>
      </c>
      <c r="D32" s="33">
        <v>1</v>
      </c>
      <c r="E32" s="37" t="s">
        <v>295</v>
      </c>
    </row>
    <row r="33" spans="1:5" x14ac:dyDescent="0.3">
      <c r="A33" s="33" t="s">
        <v>248</v>
      </c>
      <c r="B33" s="33">
        <v>0.15</v>
      </c>
      <c r="C33" s="33"/>
      <c r="D33" s="33">
        <v>1</v>
      </c>
      <c r="E33" s="37"/>
    </row>
    <row r="34" spans="1:5" x14ac:dyDescent="0.3">
      <c r="A34" s="33" t="s">
        <v>249</v>
      </c>
      <c r="B34" s="33">
        <v>0.15</v>
      </c>
      <c r="C34" s="33"/>
      <c r="D34" s="33">
        <v>1</v>
      </c>
      <c r="E34" s="37" t="s">
        <v>295</v>
      </c>
    </row>
    <row r="35" spans="1:5" ht="23.25" customHeight="1" x14ac:dyDescent="0.3">
      <c r="A35" s="33" t="s">
        <v>250</v>
      </c>
      <c r="B35" s="33">
        <v>0.15</v>
      </c>
      <c r="C35" s="33"/>
      <c r="D35" s="33">
        <v>1</v>
      </c>
      <c r="E35" s="37" t="s">
        <v>295</v>
      </c>
    </row>
    <row r="36" spans="1:5" ht="23.25" customHeight="1" x14ac:dyDescent="0.3">
      <c r="A36" s="33" t="s">
        <v>251</v>
      </c>
      <c r="B36" s="33">
        <v>0.15</v>
      </c>
      <c r="C36" s="33"/>
      <c r="D36" s="33">
        <v>1</v>
      </c>
      <c r="E36" s="37" t="s">
        <v>295</v>
      </c>
    </row>
    <row r="37" spans="1:5" ht="34.5" customHeight="1" x14ac:dyDescent="0.3">
      <c r="A37" s="33" t="s">
        <v>252</v>
      </c>
      <c r="B37" s="33">
        <v>0.15</v>
      </c>
      <c r="C37" s="33"/>
      <c r="D37" s="33">
        <v>2</v>
      </c>
      <c r="E37" s="37" t="s">
        <v>295</v>
      </c>
    </row>
    <row r="38" spans="1:5" ht="34.5" customHeight="1" x14ac:dyDescent="0.3">
      <c r="A38" s="33" t="s">
        <v>253</v>
      </c>
      <c r="B38" s="33">
        <v>0.15</v>
      </c>
      <c r="C38" s="33"/>
      <c r="D38" s="33">
        <v>1</v>
      </c>
      <c r="E38" s="37" t="s">
        <v>295</v>
      </c>
    </row>
    <row r="39" spans="1:5" ht="34.5" customHeight="1" x14ac:dyDescent="0.3">
      <c r="A39" s="33" t="s">
        <v>254</v>
      </c>
      <c r="B39" s="33">
        <v>0.15</v>
      </c>
      <c r="C39" s="33"/>
      <c r="D39" s="33">
        <v>1</v>
      </c>
      <c r="E39" s="37" t="s">
        <v>295</v>
      </c>
    </row>
    <row r="40" spans="1:5" ht="20.399999999999999" x14ac:dyDescent="0.3">
      <c r="A40" s="33" t="s">
        <v>255</v>
      </c>
      <c r="B40" s="33" t="s">
        <v>88</v>
      </c>
      <c r="C40" s="33"/>
      <c r="D40" s="33">
        <v>2</v>
      </c>
      <c r="E40" s="37"/>
    </row>
    <row r="41" spans="1:5" ht="40.799999999999997" x14ac:dyDescent="0.3">
      <c r="A41" s="33" t="s">
        <v>256</v>
      </c>
      <c r="B41" s="33">
        <v>0.15</v>
      </c>
      <c r="C41" s="33"/>
      <c r="D41" s="33">
        <v>3</v>
      </c>
      <c r="E41" s="37"/>
    </row>
    <row r="42" spans="1:5" ht="20.399999999999999" x14ac:dyDescent="0.3">
      <c r="A42" s="33" t="s">
        <v>257</v>
      </c>
      <c r="B42" s="33">
        <v>0.15</v>
      </c>
      <c r="C42" s="33"/>
      <c r="D42" s="33">
        <v>2</v>
      </c>
      <c r="E42" s="37"/>
    </row>
    <row r="43" spans="1:5" ht="20.399999999999999" x14ac:dyDescent="0.3">
      <c r="A43" s="33" t="s">
        <v>258</v>
      </c>
      <c r="B43" s="33">
        <v>0.15</v>
      </c>
      <c r="C43" s="33"/>
      <c r="D43" s="33">
        <v>1</v>
      </c>
      <c r="E43" s="37"/>
    </row>
    <row r="44" spans="1:5" ht="20.399999999999999" x14ac:dyDescent="0.3">
      <c r="A44" s="33" t="s">
        <v>259</v>
      </c>
      <c r="B44" s="33">
        <v>0.15</v>
      </c>
      <c r="C44" s="33"/>
      <c r="D44" s="33">
        <v>2</v>
      </c>
      <c r="E44" s="37"/>
    </row>
    <row r="45" spans="1:5" ht="20.399999999999999" x14ac:dyDescent="0.3">
      <c r="A45" s="33" t="s">
        <v>260</v>
      </c>
      <c r="B45" s="33">
        <v>0.15</v>
      </c>
      <c r="C45" s="33"/>
      <c r="D45" s="33">
        <v>2</v>
      </c>
      <c r="E45" s="37"/>
    </row>
    <row r="46" spans="1:5" ht="20.399999999999999" x14ac:dyDescent="0.3">
      <c r="A46" s="33" t="s">
        <v>261</v>
      </c>
      <c r="B46" s="33">
        <v>0.15</v>
      </c>
      <c r="C46" s="33"/>
      <c r="D46" s="33">
        <v>1</v>
      </c>
      <c r="E46" s="37"/>
    </row>
    <row r="47" spans="1:5" ht="20.399999999999999" x14ac:dyDescent="0.3">
      <c r="A47" s="33" t="s">
        <v>262</v>
      </c>
      <c r="B47" s="33">
        <v>0.5</v>
      </c>
      <c r="C47" s="33">
        <v>0.15</v>
      </c>
      <c r="D47" s="33">
        <v>1</v>
      </c>
      <c r="E47" s="37" t="s">
        <v>295</v>
      </c>
    </row>
    <row r="48" spans="1:5" x14ac:dyDescent="0.3">
      <c r="A48" s="33" t="s">
        <v>263</v>
      </c>
      <c r="B48" s="33">
        <v>0.15</v>
      </c>
      <c r="C48" s="33"/>
      <c r="D48" s="33">
        <v>2</v>
      </c>
      <c r="E48" s="37"/>
    </row>
    <row r="49" spans="1:5" x14ac:dyDescent="0.3">
      <c r="A49" s="33" t="s">
        <v>264</v>
      </c>
      <c r="B49" s="33">
        <v>0.15</v>
      </c>
      <c r="C49" s="33"/>
      <c r="D49" s="33">
        <v>2</v>
      </c>
      <c r="E49" s="37"/>
    </row>
    <row r="50" spans="1:5" ht="20.399999999999999" x14ac:dyDescent="0.3">
      <c r="A50" s="33" t="s">
        <v>265</v>
      </c>
      <c r="B50" s="33">
        <v>1.07</v>
      </c>
      <c r="C50" s="33">
        <v>0.15</v>
      </c>
      <c r="D50" s="33">
        <v>1</v>
      </c>
      <c r="E50" s="37" t="s">
        <v>295</v>
      </c>
    </row>
    <row r="51" spans="1:5" ht="20.399999999999999" x14ac:dyDescent="0.3">
      <c r="A51" s="33" t="s">
        <v>266</v>
      </c>
      <c r="B51" s="33">
        <v>1.07</v>
      </c>
      <c r="C51" s="33">
        <v>0.15</v>
      </c>
      <c r="D51" s="33">
        <v>1</v>
      </c>
      <c r="E51" s="37" t="s">
        <v>295</v>
      </c>
    </row>
    <row r="52" spans="1:5" x14ac:dyDescent="0.3">
      <c r="A52" s="33" t="s">
        <v>267</v>
      </c>
      <c r="B52" s="33">
        <v>0.19</v>
      </c>
      <c r="C52" s="33">
        <v>0.15</v>
      </c>
      <c r="D52" s="33">
        <v>1</v>
      </c>
      <c r="E52" s="37" t="s">
        <v>295</v>
      </c>
    </row>
    <row r="53" spans="1:5" ht="20.399999999999999" x14ac:dyDescent="0.3">
      <c r="A53" s="33" t="s">
        <v>268</v>
      </c>
      <c r="B53" s="33">
        <v>0.19</v>
      </c>
      <c r="C53" s="33">
        <v>0.15</v>
      </c>
      <c r="D53" s="33">
        <v>1</v>
      </c>
      <c r="E53" s="37" t="s">
        <v>295</v>
      </c>
    </row>
    <row r="54" spans="1:5" ht="20.399999999999999" x14ac:dyDescent="0.3">
      <c r="A54" s="33" t="s">
        <v>269</v>
      </c>
      <c r="B54" s="33">
        <v>0.15</v>
      </c>
      <c r="C54" s="33"/>
      <c r="D54" s="33">
        <v>1</v>
      </c>
      <c r="E54" s="37"/>
    </row>
    <row r="55" spans="1:5" x14ac:dyDescent="0.3">
      <c r="A55" s="33" t="s">
        <v>270</v>
      </c>
      <c r="B55" s="33">
        <v>0.5</v>
      </c>
      <c r="C55" s="33">
        <v>0.15</v>
      </c>
      <c r="D55" s="33">
        <v>1</v>
      </c>
      <c r="E55" s="37" t="s">
        <v>295</v>
      </c>
    </row>
    <row r="56" spans="1:5" ht="20.399999999999999" x14ac:dyDescent="0.3">
      <c r="A56" s="33" t="s">
        <v>271</v>
      </c>
      <c r="B56" s="33">
        <v>0.25</v>
      </c>
      <c r="C56" s="33">
        <v>0.15</v>
      </c>
      <c r="D56" s="33">
        <v>1</v>
      </c>
      <c r="E56" s="37"/>
    </row>
    <row r="57" spans="1:5" ht="20.399999999999999" x14ac:dyDescent="0.3">
      <c r="A57" s="33" t="s">
        <v>272</v>
      </c>
      <c r="B57" s="33">
        <v>0.25</v>
      </c>
      <c r="C57" s="33">
        <v>0.15</v>
      </c>
      <c r="D57" s="33">
        <v>11</v>
      </c>
      <c r="E57" s="37" t="s">
        <v>295</v>
      </c>
    </row>
    <row r="58" spans="1:5" x14ac:dyDescent="0.3">
      <c r="A58" s="33" t="s">
        <v>273</v>
      </c>
      <c r="B58" s="33">
        <v>0</v>
      </c>
      <c r="C58" s="33">
        <v>0</v>
      </c>
      <c r="D58" s="33"/>
      <c r="E58" s="37"/>
    </row>
    <row r="59" spans="1:5" x14ac:dyDescent="0.3">
      <c r="A59" s="33" t="s">
        <v>274</v>
      </c>
      <c r="B59" s="33">
        <v>0.25</v>
      </c>
      <c r="C59" s="33">
        <v>0.2</v>
      </c>
      <c r="D59" s="33">
        <v>2</v>
      </c>
      <c r="E59" s="37"/>
    </row>
    <row r="60" spans="1:5" x14ac:dyDescent="0.3">
      <c r="A60" s="33" t="s">
        <v>275</v>
      </c>
      <c r="B60" s="33">
        <v>0.25</v>
      </c>
      <c r="C60" s="33">
        <v>0.15</v>
      </c>
      <c r="D60" s="33">
        <v>1</v>
      </c>
      <c r="E60" s="37" t="s">
        <v>295</v>
      </c>
    </row>
    <row r="61" spans="1:5" x14ac:dyDescent="0.3">
      <c r="A61" s="33" t="s">
        <v>276</v>
      </c>
      <c r="B61" s="33">
        <v>0.4</v>
      </c>
      <c r="C61" s="33"/>
      <c r="D61" s="33">
        <v>2</v>
      </c>
      <c r="E61" s="37"/>
    </row>
    <row r="62" spans="1:5" x14ac:dyDescent="0.3">
      <c r="A62" s="33" t="s">
        <v>277</v>
      </c>
      <c r="B62" s="33">
        <v>0.4</v>
      </c>
      <c r="C62" s="33"/>
      <c r="D62" s="33">
        <v>2</v>
      </c>
      <c r="E62" s="37"/>
    </row>
    <row r="63" spans="1:5" x14ac:dyDescent="0.3">
      <c r="A63" s="33" t="s">
        <v>278</v>
      </c>
      <c r="B63" s="33">
        <v>0.25</v>
      </c>
      <c r="C63" s="33">
        <v>0.15</v>
      </c>
      <c r="D63" s="33">
        <v>2</v>
      </c>
      <c r="E63" s="37"/>
    </row>
    <row r="64" spans="1:5" x14ac:dyDescent="0.3">
      <c r="A64" s="33" t="s">
        <v>279</v>
      </c>
      <c r="B64" s="33">
        <v>0.25</v>
      </c>
      <c r="C64" s="33">
        <v>0.2</v>
      </c>
      <c r="D64" s="33">
        <v>1</v>
      </c>
      <c r="E64" s="37" t="s">
        <v>295</v>
      </c>
    </row>
    <row r="65" spans="1:5" x14ac:dyDescent="0.3">
      <c r="A65" s="33" t="s">
        <v>280</v>
      </c>
      <c r="B65" s="33">
        <v>0.3</v>
      </c>
      <c r="C65" s="33"/>
      <c r="D65" s="33">
        <v>2</v>
      </c>
      <c r="E65" s="37"/>
    </row>
    <row r="66" spans="1:5" ht="20.399999999999999" x14ac:dyDescent="0.3">
      <c r="A66" s="33" t="s">
        <v>281</v>
      </c>
      <c r="B66" s="33">
        <v>0.5</v>
      </c>
      <c r="C66" s="33">
        <v>0.15</v>
      </c>
      <c r="D66" s="33">
        <v>2</v>
      </c>
      <c r="E66" s="37"/>
    </row>
    <row r="67" spans="1:5" ht="20.399999999999999" x14ac:dyDescent="0.3">
      <c r="A67" s="33" t="s">
        <v>282</v>
      </c>
      <c r="B67" s="33">
        <v>0.5</v>
      </c>
      <c r="C67" s="33">
        <v>0.15</v>
      </c>
      <c r="D67" s="33">
        <v>1</v>
      </c>
      <c r="E67" s="37" t="s">
        <v>295</v>
      </c>
    </row>
    <row r="68" spans="1:5" ht="20.399999999999999" x14ac:dyDescent="0.3">
      <c r="A68" s="33" t="s">
        <v>283</v>
      </c>
      <c r="B68" s="33">
        <v>0.15</v>
      </c>
      <c r="C68" s="33"/>
      <c r="D68" s="33">
        <v>2</v>
      </c>
      <c r="E68" s="37"/>
    </row>
    <row r="69" spans="1:5" ht="20.399999999999999" x14ac:dyDescent="0.3">
      <c r="A69" s="33" t="s">
        <v>284</v>
      </c>
      <c r="B69" s="33">
        <v>0.5</v>
      </c>
      <c r="C69" s="33">
        <v>0.15</v>
      </c>
      <c r="D69" s="33">
        <v>2</v>
      </c>
      <c r="E69" s="37"/>
    </row>
    <row r="70" spans="1:5" ht="20.399999999999999" x14ac:dyDescent="0.3">
      <c r="A70" s="33" t="s">
        <v>285</v>
      </c>
      <c r="B70" s="33">
        <v>1.5</v>
      </c>
      <c r="C70" s="33">
        <v>0.15</v>
      </c>
      <c r="D70" s="33">
        <v>2</v>
      </c>
      <c r="E70" s="37" t="s">
        <v>295</v>
      </c>
    </row>
    <row r="71" spans="1:5" ht="20.399999999999999" x14ac:dyDescent="0.3">
      <c r="A71" s="33" t="s">
        <v>291</v>
      </c>
      <c r="B71" s="33">
        <v>0.15</v>
      </c>
      <c r="C71" s="33"/>
      <c r="D71" s="33">
        <v>2</v>
      </c>
      <c r="E71" s="37"/>
    </row>
    <row r="72" spans="1:5" ht="20.399999999999999" x14ac:dyDescent="0.3">
      <c r="A72" s="33" t="s">
        <v>290</v>
      </c>
      <c r="B72" s="33">
        <v>0.15</v>
      </c>
      <c r="C72" s="33"/>
      <c r="D72" s="33">
        <v>2</v>
      </c>
      <c r="E72" s="37"/>
    </row>
    <row r="73" spans="1:5" ht="20.399999999999999" x14ac:dyDescent="0.3">
      <c r="A73" s="33" t="s">
        <v>289</v>
      </c>
      <c r="B73" s="33">
        <v>1.07</v>
      </c>
      <c r="C73" s="33">
        <v>0.15</v>
      </c>
      <c r="D73" s="33">
        <v>1</v>
      </c>
      <c r="E73" s="37"/>
    </row>
    <row r="74" spans="1:5" ht="20.399999999999999" x14ac:dyDescent="0.3">
      <c r="A74" s="33" t="s">
        <v>288</v>
      </c>
      <c r="B74" s="33">
        <v>0.68</v>
      </c>
      <c r="C74" s="33">
        <v>0.15</v>
      </c>
      <c r="D74" s="33">
        <v>1</v>
      </c>
      <c r="E74" s="37"/>
    </row>
    <row r="75" spans="1:5" ht="20.399999999999999" x14ac:dyDescent="0.3">
      <c r="A75" s="33" t="s">
        <v>287</v>
      </c>
      <c r="B75" s="33">
        <v>0.68</v>
      </c>
      <c r="C75" s="33">
        <v>0.15</v>
      </c>
      <c r="D75" s="33">
        <v>1</v>
      </c>
      <c r="E75" s="37"/>
    </row>
    <row r="76" spans="1:5" ht="20.399999999999999" x14ac:dyDescent="0.3">
      <c r="A76" s="33" t="s">
        <v>286</v>
      </c>
      <c r="B76" s="33">
        <v>0.5</v>
      </c>
      <c r="C76" s="33">
        <v>0.15</v>
      </c>
      <c r="D76" s="33">
        <v>1</v>
      </c>
      <c r="E76" s="37" t="s">
        <v>295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F52E-0318-4B79-A601-C0C5B6E1CCBB}">
  <sheetPr codeName="Sheet3"/>
  <dimension ref="A1:AC11"/>
  <sheetViews>
    <sheetView workbookViewId="0">
      <selection activeCell="F6" sqref="F6"/>
    </sheetView>
  </sheetViews>
  <sheetFormatPr defaultRowHeight="14.4" x14ac:dyDescent="0.3"/>
  <cols>
    <col min="1" max="1" width="22.109375" bestFit="1" customWidth="1"/>
    <col min="2" max="2" width="11.44140625" customWidth="1"/>
    <col min="3" max="3" width="11.33203125" customWidth="1"/>
    <col min="4" max="26" width="12" customWidth="1"/>
  </cols>
  <sheetData>
    <row r="1" spans="1:29" x14ac:dyDescent="0.3">
      <c r="A1" t="s">
        <v>1</v>
      </c>
    </row>
    <row r="2" spans="1:29" x14ac:dyDescent="0.3">
      <c r="B2" s="9" t="s">
        <v>160</v>
      </c>
      <c r="C2" s="9" t="s">
        <v>161</v>
      </c>
      <c r="D2" s="9" t="s">
        <v>162</v>
      </c>
      <c r="E2" s="9" t="s">
        <v>163</v>
      </c>
      <c r="F2" s="9" t="s">
        <v>164</v>
      </c>
      <c r="G2" s="9" t="s">
        <v>165</v>
      </c>
      <c r="H2" s="9" t="s">
        <v>166</v>
      </c>
      <c r="I2" s="9" t="s">
        <v>167</v>
      </c>
      <c r="J2" s="9" t="s">
        <v>168</v>
      </c>
      <c r="K2" s="9" t="s">
        <v>169</v>
      </c>
      <c r="L2" s="9" t="s">
        <v>170</v>
      </c>
      <c r="M2" s="9" t="s">
        <v>171</v>
      </c>
      <c r="N2" s="9" t="s">
        <v>172</v>
      </c>
      <c r="O2" s="9" t="s">
        <v>173</v>
      </c>
      <c r="P2" s="9" t="s">
        <v>174</v>
      </c>
      <c r="Q2" s="9" t="s">
        <v>175</v>
      </c>
      <c r="R2" s="9" t="s">
        <v>176</v>
      </c>
      <c r="S2" s="9" t="s">
        <v>177</v>
      </c>
      <c r="T2" s="9" t="s">
        <v>178</v>
      </c>
      <c r="U2" s="9" t="s">
        <v>179</v>
      </c>
      <c r="V2" s="9" t="s">
        <v>180</v>
      </c>
      <c r="W2" s="9" t="s">
        <v>181</v>
      </c>
      <c r="X2" s="9"/>
      <c r="Y2" s="9"/>
      <c r="Z2" s="10"/>
      <c r="AA2" s="9"/>
      <c r="AB2" t="s">
        <v>72</v>
      </c>
      <c r="AC2" t="s">
        <v>73</v>
      </c>
    </row>
    <row r="3" spans="1:29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9"/>
      <c r="AB3" t="s">
        <v>74</v>
      </c>
    </row>
    <row r="4" spans="1:29" ht="39.6" x14ac:dyDescent="0.3">
      <c r="A4" t="s">
        <v>77</v>
      </c>
      <c r="B4" s="10" t="s">
        <v>97</v>
      </c>
      <c r="C4" s="10" t="s">
        <v>55</v>
      </c>
      <c r="D4" s="10" t="s">
        <v>64</v>
      </c>
      <c r="E4" s="10" t="s">
        <v>10</v>
      </c>
      <c r="F4" s="10" t="s">
        <v>13</v>
      </c>
      <c r="G4" s="10" t="s">
        <v>13</v>
      </c>
      <c r="H4" s="10" t="s">
        <v>13</v>
      </c>
      <c r="I4" s="10" t="s">
        <v>29</v>
      </c>
      <c r="J4" s="10" t="s">
        <v>46</v>
      </c>
      <c r="K4" s="10" t="s">
        <v>64</v>
      </c>
      <c r="L4" s="10" t="s">
        <v>21</v>
      </c>
      <c r="M4" s="10" t="s">
        <v>13</v>
      </c>
      <c r="N4" s="10" t="s">
        <v>53</v>
      </c>
      <c r="O4" s="10" t="s">
        <v>13</v>
      </c>
      <c r="P4" s="10" t="s">
        <v>13</v>
      </c>
      <c r="Q4" s="10" t="s">
        <v>91</v>
      </c>
      <c r="R4" s="10" t="s">
        <v>37</v>
      </c>
      <c r="S4" s="10" t="s">
        <v>13</v>
      </c>
      <c r="T4" s="10" t="s">
        <v>53</v>
      </c>
      <c r="U4" s="10" t="s">
        <v>12</v>
      </c>
      <c r="V4" s="10" t="s">
        <v>12</v>
      </c>
      <c r="W4" s="10" t="s">
        <v>10</v>
      </c>
      <c r="X4" s="10" t="s">
        <v>53</v>
      </c>
      <c r="Y4" s="10" t="s">
        <v>53</v>
      </c>
      <c r="Z4" s="10" t="s">
        <v>53</v>
      </c>
      <c r="AA4" s="10" t="s">
        <v>53</v>
      </c>
      <c r="AB4" t="s">
        <v>53</v>
      </c>
    </row>
    <row r="5" spans="1:29" x14ac:dyDescent="0.3">
      <c r="A5" t="s">
        <v>76</v>
      </c>
      <c r="B5" s="11">
        <v>524</v>
      </c>
      <c r="C5" s="12">
        <v>763</v>
      </c>
      <c r="D5" s="12">
        <v>169</v>
      </c>
      <c r="E5" s="12">
        <v>692.1</v>
      </c>
      <c r="F5" s="12">
        <v>313.89999999999998</v>
      </c>
      <c r="G5" s="12">
        <v>451</v>
      </c>
      <c r="H5" s="12">
        <v>651.1</v>
      </c>
      <c r="I5" s="12">
        <v>390</v>
      </c>
      <c r="J5" s="12">
        <v>641.1</v>
      </c>
      <c r="K5" s="12">
        <v>561.20000000000005</v>
      </c>
      <c r="L5" s="12">
        <v>387</v>
      </c>
      <c r="M5" s="12">
        <v>295.2</v>
      </c>
      <c r="N5" s="12">
        <v>763.4</v>
      </c>
      <c r="O5" s="12">
        <v>190</v>
      </c>
      <c r="P5" s="12">
        <v>292</v>
      </c>
      <c r="Q5" s="12">
        <v>400</v>
      </c>
      <c r="R5" s="12">
        <v>679</v>
      </c>
      <c r="S5" s="12">
        <v>502</v>
      </c>
      <c r="T5" s="12">
        <v>555.5</v>
      </c>
      <c r="U5" s="12">
        <v>672</v>
      </c>
      <c r="V5" s="12">
        <v>228.7</v>
      </c>
      <c r="W5" s="12">
        <v>181.5</v>
      </c>
      <c r="X5" s="12"/>
      <c r="Y5" s="12"/>
      <c r="Z5" s="12"/>
      <c r="AA5" s="12"/>
      <c r="AB5" s="14">
        <f>SUM(B5:AA5)</f>
        <v>10302.700000000001</v>
      </c>
      <c r="AC5" t="s">
        <v>127</v>
      </c>
    </row>
    <row r="6" spans="1:29" x14ac:dyDescent="0.3">
      <c r="A6" t="s">
        <v>75</v>
      </c>
      <c r="B6" s="13">
        <f>B5*VLOOKUP(B4,'Table 6-1 Rates'!$A$4:$F$84,6,FALSE)/IF($A$1="IP",1000,100)</f>
        <v>7.86</v>
      </c>
      <c r="C6" s="13">
        <f>C5*VLOOKUP(C4,'Table 6-1 Rates'!$A$4:$F$84,6,FALSE)/IF($A$1="IP",1000,100)</f>
        <v>7.63</v>
      </c>
      <c r="D6" s="13">
        <f>D5*VLOOKUP(D4,'Table 6-1 Rates'!$A$4:$F$84,6,FALSE)/IF($A$1="IP",1000,100)</f>
        <v>0.33800000000000002</v>
      </c>
      <c r="E6" s="13">
        <f>E5*VLOOKUP(E4,'Table 6-1 Rates'!$A$4:$F$84,6,FALSE)/IF($A$1="IP",1000,100)</f>
        <v>3.4605000000000001</v>
      </c>
      <c r="F6" s="13">
        <f>F5*VLOOKUP(F4,'Table 6-1 Rates'!$A$4:$F$84,6,FALSE)/IF($A$1="IP",1000,100)</f>
        <v>4.7084999999999999</v>
      </c>
      <c r="G6" s="13">
        <f>G5*VLOOKUP(G4,'Table 6-1 Rates'!$A$4:$F$84,6,FALSE)/IF($A$1="IP",1000,100)</f>
        <v>6.7649999999999997</v>
      </c>
      <c r="H6" s="13">
        <f>H5*VLOOKUP(H4,'Table 6-1 Rates'!$A$4:$F$84,6,FALSE)/IF($A$1="IP",1000,100)</f>
        <v>9.7665000000000006</v>
      </c>
      <c r="I6" s="13">
        <f>I5*VLOOKUP(I4,'Table 6-1 Rates'!$A$4:$F$84,6,FALSE)/IF($A$1="IP",1000,100)</f>
        <v>19.5</v>
      </c>
      <c r="J6" s="13">
        <f>J5*VLOOKUP(J4,'Table 6-1 Rates'!$A$4:$F$84,6,FALSE)/IF($A$1="IP",1000,100)</f>
        <v>6.4109999999999996</v>
      </c>
      <c r="K6" s="13">
        <f>K5*VLOOKUP(K4,'Table 6-1 Rates'!$A$4:$F$84,6,FALSE)/IF($A$1="IP",1000,100)</f>
        <v>1.1224000000000001</v>
      </c>
      <c r="L6" s="13">
        <f>L5*VLOOKUP(L4,'Table 6-1 Rates'!$A$4:$F$84,6,FALSE)/IF($A$1="IP",1000,100)</f>
        <v>9.6750000000000007</v>
      </c>
      <c r="M6" s="13">
        <f>M5*VLOOKUP(M4,'Table 6-1 Rates'!$A$4:$F$84,6,FALSE)/IF($A$1="IP",1000,100)</f>
        <v>4.4279999999999999</v>
      </c>
      <c r="N6" s="13">
        <f>N5*VLOOKUP(N4,'Table 6-1 Rates'!$A$4:$F$84,6,FALSE)/IF($A$1="IP",1000,100)</f>
        <v>3.8170000000000002</v>
      </c>
      <c r="O6" s="13">
        <f>O5*VLOOKUP(O4,'Table 6-1 Rates'!$A$4:$F$84,6,FALSE)/IF($A$1="IP",1000,100)</f>
        <v>2.85</v>
      </c>
      <c r="P6" s="13">
        <f>P5*VLOOKUP(P4,'Table 6-1 Rates'!$A$4:$F$84,6,FALSE)/IF($A$1="IP",1000,100)</f>
        <v>4.38</v>
      </c>
      <c r="Q6" s="13">
        <f>Q5*VLOOKUP(Q4,'Table 6-1 Rates'!$A$4:$F$84,6,FALSE)/IF($A$1="IP",1000,100)</f>
        <v>4</v>
      </c>
      <c r="R6" s="13">
        <f>R5*VLOOKUP(R4,'Table 6-1 Rates'!$A$4:$F$84,6,FALSE)/IF($A$1="IP",1000,100)</f>
        <v>0</v>
      </c>
      <c r="S6" s="13">
        <f>S5*VLOOKUP(S4,'Table 6-1 Rates'!$A$4:$F$84,6,FALSE)/IF($A$1="IP",1000,100)</f>
        <v>7.53</v>
      </c>
      <c r="T6" s="13">
        <f>T5*VLOOKUP(T4,'Table 6-1 Rates'!$A$4:$F$84,6,FALSE)/IF($A$1="IP",1000,100)</f>
        <v>2.7774999999999999</v>
      </c>
      <c r="U6" s="13">
        <f>U5*VLOOKUP(U4,'Table 6-1 Rates'!$A$4:$F$84,6,FALSE)/IF($A$1="IP",1000,100)</f>
        <v>20.16</v>
      </c>
      <c r="V6" s="13">
        <f>V5*VLOOKUP(V4,'Table 6-1 Rates'!$A$4:$F$84,6,FALSE)/IF($A$1="IP",1000,100)</f>
        <v>6.8609999999999998</v>
      </c>
      <c r="W6" s="13">
        <f>W5*VLOOKUP(W4,'Table 6-1 Rates'!$A$4:$F$84,6,FALSE)/IF($A$1="IP",1000,100)</f>
        <v>0.90749999999999997</v>
      </c>
      <c r="X6" s="13">
        <f>X5*VLOOKUP(X4,'Table 6-1 Rates'!$A$4:$F$84,6,FALSE)/IF($A$1="IP",1000,100)</f>
        <v>0</v>
      </c>
      <c r="Y6" s="13">
        <f>Y5*VLOOKUP(Y4,'Table 6-1 Rates'!$A$4:$F$84,6,FALSE)/IF($A$1="IP",1000,100)</f>
        <v>0</v>
      </c>
      <c r="Z6" s="13">
        <f>Z5*VLOOKUP(Z4,'Table 6-1 Rates'!$A$4:$F$84,6,FALSE)/IF($A$1="IP",1000,100)</f>
        <v>0</v>
      </c>
      <c r="AA6" s="13">
        <f>AA5*VLOOKUP(AA4,'Table 6-1 Rates'!$A$4:$F$84,6,FALSE)/IF($A$1="IP",1000,100)</f>
        <v>0</v>
      </c>
      <c r="AB6" s="14">
        <f>SUM(B6:AA6)</f>
        <v>134.94789999999998</v>
      </c>
      <c r="AC6" t="s">
        <v>75</v>
      </c>
    </row>
    <row r="7" spans="1:29" s="17" customFormat="1" x14ac:dyDescent="0.3">
      <c r="A7" s="15" t="s">
        <v>105</v>
      </c>
      <c r="B7" s="16" t="e">
        <f>B5*(VLOOKUP(B4,'Table 6-1 Rates'!$A$3:$I$84,7,FALSE))</f>
        <v>#N/A</v>
      </c>
      <c r="C7" s="16" t="e">
        <f>C5*(VLOOKUP(C4,'Table 6-1 Rates'!$A$3:$I$84,7,FALSE))</f>
        <v>#N/A</v>
      </c>
      <c r="D7" s="16" t="e">
        <f>D5*(VLOOKUP(D4,'Table 6-1 Rates'!$A$3:$I$84,7,FALSE))</f>
        <v>#N/A</v>
      </c>
      <c r="E7" s="16">
        <f>E5*(VLOOKUP(E4,'Table 6-1 Rates'!$A$3:$I$84,7,FALSE))</f>
        <v>103.815</v>
      </c>
      <c r="F7" s="16">
        <f>F5*(VLOOKUP(F4,'Table 6-1 Rates'!$A$3:$I$84,7,FALSE))</f>
        <v>47.084999999999994</v>
      </c>
      <c r="G7" s="16">
        <f>G5*(VLOOKUP(G4,'Table 6-1 Rates'!$A$3:$I$84,7,FALSE))</f>
        <v>67.649999999999991</v>
      </c>
      <c r="H7" s="16">
        <f>H5*(VLOOKUP(H4,'Table 6-1 Rates'!$A$3:$I$84,7,FALSE))</f>
        <v>97.665000000000006</v>
      </c>
      <c r="I7" s="16" t="e">
        <f>I5*(VLOOKUP(I4,'Table 6-1 Rates'!$A$3:$I$84,7,FALSE))</f>
        <v>#N/A</v>
      </c>
      <c r="J7" s="16" t="e">
        <f>J5*(VLOOKUP(J4,'Table 6-1 Rates'!$A$3:$I$84,7,FALSE))</f>
        <v>#N/A</v>
      </c>
      <c r="K7" s="16" t="e">
        <f>K5*(VLOOKUP(K4,'Table 6-1 Rates'!$A$3:$I$84,7,FALSE))</f>
        <v>#N/A</v>
      </c>
      <c r="L7" s="16" t="e">
        <f>L5*(VLOOKUP(L4,'Table 6-1 Rates'!$A$3:$I$84,7,FALSE))</f>
        <v>#N/A</v>
      </c>
      <c r="M7" s="16">
        <f>M5*(VLOOKUP(M4,'Table 6-1 Rates'!$A$3:$I$84,7,FALSE))</f>
        <v>44.279999999999994</v>
      </c>
      <c r="N7" s="16" t="e">
        <f>N5*(VLOOKUP(N4,'Table 6-1 Rates'!$A$3:$I$84,7,FALSE))</f>
        <v>#N/A</v>
      </c>
      <c r="O7" s="16">
        <f>O5*(VLOOKUP(O4,'Table 6-1 Rates'!$A$3:$I$84,7,FALSE))</f>
        <v>28.5</v>
      </c>
      <c r="P7" s="16">
        <f>P5*(VLOOKUP(P4,'Table 6-1 Rates'!$A$3:$I$84,7,FALSE))</f>
        <v>43.8</v>
      </c>
      <c r="Q7" s="16" t="e">
        <f>Q5*(VLOOKUP(Q4,'Table 6-1 Rates'!$A$3:$I$84,7,FALSE))</f>
        <v>#N/A</v>
      </c>
      <c r="R7" s="16">
        <f>R5*(VLOOKUP(R4,'Table 6-1 Rates'!$A$3:$I$84,7,FALSE))</f>
        <v>101.85</v>
      </c>
      <c r="S7" s="16">
        <f>S5*(VLOOKUP(S4,'Table 6-1 Rates'!$A$3:$I$84,7,FALSE))</f>
        <v>75.3</v>
      </c>
      <c r="T7" s="16" t="e">
        <f>T5*(VLOOKUP(T4,'Table 6-1 Rates'!$A$3:$I$84,7,FALSE))</f>
        <v>#N/A</v>
      </c>
      <c r="U7" s="16" t="e">
        <f>U5*(VLOOKUP(U4,'Table 6-1 Rates'!$A$3:$I$84,7,FALSE))</f>
        <v>#N/A</v>
      </c>
      <c r="V7" s="16" t="e">
        <f>V5*(VLOOKUP(V4,'Table 6-1 Rates'!$A$3:$I$84,7,FALSE))</f>
        <v>#N/A</v>
      </c>
      <c r="W7" s="16">
        <f>W5*(VLOOKUP(W4,'Table 6-1 Rates'!$A$3:$I$84,7,FALSE))</f>
        <v>27.224999999999998</v>
      </c>
      <c r="X7" s="16" t="e">
        <f>X5*(VLOOKUP(X4,'Table 6-1 Rates'!$A$3:$I$84,7,FALSE))</f>
        <v>#N/A</v>
      </c>
      <c r="Y7" s="16" t="e">
        <f>Y5*(VLOOKUP(Y4,'Table 6-1 Rates'!$A$3:$I$84,7,FALSE))</f>
        <v>#N/A</v>
      </c>
      <c r="Z7" s="16" t="e">
        <f>Z5*(VLOOKUP(Z4,'Table 6-1 Rates'!$A$3:$I$84,7,FALSE))</f>
        <v>#N/A</v>
      </c>
      <c r="AA7" s="16" t="e">
        <f>AA5*(VLOOKUP(AA4,'Table 6-1 Rates'!$A$3:$I$84,7,FALSE))</f>
        <v>#N/A</v>
      </c>
      <c r="AB7" s="17" cm="1">
        <f t="array" ref="AB7">SUM(IFERROR(A7:AA7,0))</f>
        <v>637.16999999999996</v>
      </c>
    </row>
    <row r="8" spans="1:29" s="17" customFormat="1" ht="17.25" customHeight="1" x14ac:dyDescent="0.3">
      <c r="A8" s="18" t="s">
        <v>106</v>
      </c>
      <c r="B8" s="16" t="e">
        <f>B5*(VLOOKUP(B4,'Table 6-1 Rates'!$A$3:$I$84,8,FALSE))</f>
        <v>#N/A</v>
      </c>
      <c r="C8" s="16" t="e">
        <f>C5*(VLOOKUP(C4,'Table 6-1 Rates'!$A$3:$I$84,8,FALSE))</f>
        <v>#N/A</v>
      </c>
      <c r="D8" s="16" t="e">
        <f>D5*(VLOOKUP(D4,'Table 6-1 Rates'!$A$3:$I$84,8,FALSE))</f>
        <v>#N/A</v>
      </c>
      <c r="E8" s="16">
        <f>E5*(VLOOKUP(E4,'Table 6-1 Rates'!$A$3:$I$84,8,FALSE))</f>
        <v>0</v>
      </c>
      <c r="F8" s="16">
        <f>F5*(VLOOKUP(F4,'Table 6-1 Rates'!$A$3:$I$84,8,FALSE))</f>
        <v>0</v>
      </c>
      <c r="G8" s="16">
        <f>G5*(VLOOKUP(G4,'Table 6-1 Rates'!$A$3:$I$84,8,FALSE))</f>
        <v>0</v>
      </c>
      <c r="H8" s="16">
        <f>H5*(VLOOKUP(H4,'Table 6-1 Rates'!$A$3:$I$84,8,FALSE))</f>
        <v>0</v>
      </c>
      <c r="I8" s="16" t="e">
        <f>I5*(VLOOKUP(I4,'Table 6-1 Rates'!$A$3:$I$84,8,FALSE))</f>
        <v>#N/A</v>
      </c>
      <c r="J8" s="16" t="e">
        <f>J5*(VLOOKUP(J4,'Table 6-1 Rates'!$A$3:$I$84,8,FALSE))</f>
        <v>#N/A</v>
      </c>
      <c r="K8" s="16" t="e">
        <f>K5*(VLOOKUP(K4,'Table 6-1 Rates'!$A$3:$I$84,8,FALSE))</f>
        <v>#N/A</v>
      </c>
      <c r="L8" s="16" t="e">
        <f>L5*(VLOOKUP(L4,'Table 6-1 Rates'!$A$3:$I$84,8,FALSE))</f>
        <v>#N/A</v>
      </c>
      <c r="M8" s="16">
        <f>M5*(VLOOKUP(M4,'Table 6-1 Rates'!$A$3:$I$84,8,FALSE))</f>
        <v>0</v>
      </c>
      <c r="N8" s="16" t="e">
        <f>N5*(VLOOKUP(N4,'Table 6-1 Rates'!$A$3:$I$84,8,FALSE))</f>
        <v>#N/A</v>
      </c>
      <c r="O8" s="16">
        <f>O5*(VLOOKUP(O4,'Table 6-1 Rates'!$A$3:$I$84,8,FALSE))</f>
        <v>0</v>
      </c>
      <c r="P8" s="16">
        <f>P5*(VLOOKUP(P4,'Table 6-1 Rates'!$A$3:$I$84,8,FALSE))</f>
        <v>0</v>
      </c>
      <c r="Q8" s="16" t="e">
        <f>Q5*(VLOOKUP(Q4,'Table 6-1 Rates'!$A$3:$I$84,8,FALSE))</f>
        <v>#N/A</v>
      </c>
      <c r="R8" s="16" t="e">
        <f>R5*(VLOOKUP(R4,'Table 6-1 Rates'!$A$3:$I$84,8,FALSE))</f>
        <v>#N/A</v>
      </c>
      <c r="S8" s="16">
        <f>S5*(VLOOKUP(S4,'Table 6-1 Rates'!$A$3:$I$84,8,FALSE))</f>
        <v>0</v>
      </c>
      <c r="T8" s="16" t="e">
        <f>T5*(VLOOKUP(T4,'Table 6-1 Rates'!$A$3:$I$84,8,FALSE))</f>
        <v>#N/A</v>
      </c>
      <c r="U8" s="16" t="e">
        <f>U5*(VLOOKUP(U4,'Table 6-1 Rates'!$A$3:$I$84,8,FALSE))</f>
        <v>#N/A</v>
      </c>
      <c r="V8" s="16" t="e">
        <f>V5*(VLOOKUP(V4,'Table 6-1 Rates'!$A$3:$I$84,8,FALSE))</f>
        <v>#N/A</v>
      </c>
      <c r="W8" s="16">
        <f>W5*(VLOOKUP(W4,'Table 6-1 Rates'!$A$3:$I$84,8,FALSE))</f>
        <v>0</v>
      </c>
      <c r="X8" s="16" t="e">
        <f>X5*(VLOOKUP(X4,'Table 6-1 Rates'!$A$3:$I$84,8,FALSE))</f>
        <v>#N/A</v>
      </c>
      <c r="Y8" s="16" t="e">
        <f>Y5*(VLOOKUP(Y4,'Table 6-1 Rates'!$A$3:$I$84,8,FALSE))</f>
        <v>#N/A</v>
      </c>
      <c r="Z8" s="16" t="e">
        <f>Z5*(VLOOKUP(Z4,'Table 6-1 Rates'!$A$3:$I$84,8,FALSE))</f>
        <v>#N/A</v>
      </c>
      <c r="AA8" s="16" t="e">
        <f>AA5*(VLOOKUP(AA4,'Table 6-1 Rates'!$A$3:$I$84,8,FALSE))</f>
        <v>#N/A</v>
      </c>
      <c r="AB8" s="17" cm="1">
        <f t="array" ref="AB8">SUM(IFERROR(A8:AA8,0))</f>
        <v>0</v>
      </c>
    </row>
    <row r="9" spans="1:29" x14ac:dyDescent="0.3">
      <c r="A9" s="18" t="s">
        <v>107</v>
      </c>
      <c r="B9" s="16" t="e">
        <f>B5*(VLOOKUP(B4,'Table 6-1 Rates'!$A$3:$I$84,9,FALSE))</f>
        <v>#N/A</v>
      </c>
      <c r="C9" s="16" t="e">
        <f>C5*(VLOOKUP(C4,'Table 6-1 Rates'!$A$3:$I$84,9,FALSE))</f>
        <v>#N/A</v>
      </c>
      <c r="D9" s="16" t="e">
        <f>D5*(VLOOKUP(D4,'Table 6-1 Rates'!$A$3:$I$84,9,FALSE))</f>
        <v>#N/A</v>
      </c>
      <c r="E9" s="16">
        <f>E5*(VLOOKUP(E4,'Table 6-1 Rates'!$A$3:$I$84,9,FALSE))</f>
        <v>103.815</v>
      </c>
      <c r="F9" s="16">
        <f>F5*(VLOOKUP(F4,'Table 6-1 Rates'!$A$3:$I$84,9,FALSE))</f>
        <v>47.084999999999994</v>
      </c>
      <c r="G9" s="16">
        <f>G5*(VLOOKUP(G4,'Table 6-1 Rates'!$A$3:$I$84,9,FALSE))</f>
        <v>67.649999999999991</v>
      </c>
      <c r="H9" s="16">
        <f>H5*(VLOOKUP(H4,'Table 6-1 Rates'!$A$3:$I$84,9,FALSE))</f>
        <v>97.665000000000006</v>
      </c>
      <c r="I9" s="16" t="e">
        <f>I5*(VLOOKUP(I4,'Table 6-1 Rates'!$A$3:$I$84,9,FALSE))</f>
        <v>#N/A</v>
      </c>
      <c r="J9" s="16" t="e">
        <f>J5*(VLOOKUP(J4,'Table 6-1 Rates'!$A$3:$I$84,9,FALSE))</f>
        <v>#N/A</v>
      </c>
      <c r="K9" s="16" t="e">
        <f>K5*(VLOOKUP(K4,'Table 6-1 Rates'!$A$3:$I$84,9,FALSE))</f>
        <v>#N/A</v>
      </c>
      <c r="L9" s="16" t="e">
        <f>L5*(VLOOKUP(L4,'Table 6-1 Rates'!$A$3:$I$84,9,FALSE))</f>
        <v>#N/A</v>
      </c>
      <c r="M9" s="16">
        <f>M5*(VLOOKUP(M4,'Table 6-1 Rates'!$A$3:$I$84,9,FALSE))</f>
        <v>44.279999999999994</v>
      </c>
      <c r="N9" s="16" t="e">
        <f>N5*(VLOOKUP(N4,'Table 6-1 Rates'!$A$3:$I$84,9,FALSE))</f>
        <v>#N/A</v>
      </c>
      <c r="O9" s="16">
        <f>O5*(VLOOKUP(O4,'Table 6-1 Rates'!$A$3:$I$84,9,FALSE))</f>
        <v>28.5</v>
      </c>
      <c r="P9" s="16">
        <f>P5*(VLOOKUP(P4,'Table 6-1 Rates'!$A$3:$I$84,9,FALSE))</f>
        <v>43.8</v>
      </c>
      <c r="Q9" s="16" t="e">
        <f>Q5*(VLOOKUP(Q4,'Table 6-1 Rates'!$A$3:$I$84,9,FALSE))</f>
        <v>#N/A</v>
      </c>
      <c r="R9" s="16" t="e">
        <f>R5*(VLOOKUP(R4,'Table 6-1 Rates'!$A$3:$I$84,9,FALSE))</f>
        <v>#N/A</v>
      </c>
      <c r="S9" s="16">
        <f>S5*(VLOOKUP(S4,'Table 6-1 Rates'!$A$3:$I$84,9,FALSE))</f>
        <v>75.3</v>
      </c>
      <c r="T9" s="16" t="e">
        <f>T5*(VLOOKUP(T4,'Table 6-1 Rates'!$A$3:$I$84,9,FALSE))</f>
        <v>#N/A</v>
      </c>
      <c r="U9" s="16" t="e">
        <f>U5*(VLOOKUP(U4,'Table 6-1 Rates'!$A$3:$I$84,9,FALSE))</f>
        <v>#N/A</v>
      </c>
      <c r="V9" s="16" t="e">
        <f>V5*(VLOOKUP(V4,'Table 6-1 Rates'!$A$3:$I$84,9,FALSE))</f>
        <v>#N/A</v>
      </c>
      <c r="W9" s="16">
        <f>W5*(VLOOKUP(W4,'Table 6-1 Rates'!$A$3:$I$84,9,FALSE))</f>
        <v>27.224999999999998</v>
      </c>
      <c r="X9" s="16" t="e">
        <f>X5*(VLOOKUP(X4,'Table 6-1 Rates'!$A$3:$I$84,9,FALSE))</f>
        <v>#N/A</v>
      </c>
      <c r="Y9" s="16" t="e">
        <f>Y5*(VLOOKUP(Y4,'Table 6-1 Rates'!$A$3:$I$84,9,FALSE))</f>
        <v>#N/A</v>
      </c>
      <c r="Z9" s="16" t="e">
        <f>Z5*(VLOOKUP(Z4,'Table 6-1 Rates'!$A$3:$I$84,9,FALSE))</f>
        <v>#N/A</v>
      </c>
      <c r="AA9" s="16" t="e">
        <f>AA5*(VLOOKUP(AA4,'Table 6-1 Rates'!$A$3:$I$84,9,FALSE))</f>
        <v>#N/A</v>
      </c>
      <c r="AB9" s="22" cm="1">
        <f t="array" ref="AB9">SUM(IFERROR(B9:AA9,0))</f>
        <v>535.31999999999994</v>
      </c>
    </row>
    <row r="10" spans="1:29" x14ac:dyDescent="0.3">
      <c r="A10" t="s">
        <v>141</v>
      </c>
      <c r="B10" t="e">
        <f>IF(VLOOKUP('RTU 1-1'!B4,'T-24 TAble 120.1-A'!$A$2:$D$76,7,FALSE)="F","YES","NO")</f>
        <v>#N/A</v>
      </c>
      <c r="C10" t="e">
        <f>IF(VLOOKUP('RTU 1-1'!C4,'T-24 TAble 120.1-A'!$A$2:$D$76,7,FALSE)="F","YES","NO")</f>
        <v>#N/A</v>
      </c>
      <c r="D10" t="e">
        <f>IF(VLOOKUP('RTU 1-1'!D4,'T-24 TAble 120.1-A'!$A$2:$D$76,7,FALSE)="F","YES","NO")</f>
        <v>#N/A</v>
      </c>
      <c r="E10" t="e">
        <f>IF(VLOOKUP('RTU 1-1'!E4,'T-24 TAble 120.1-A'!$A$2:$D$76,7,FALSE)="F","YES","NO")</f>
        <v>#N/A</v>
      </c>
      <c r="F10" t="e">
        <f>IF(VLOOKUP('RTU 1-1'!F4,'T-24 TAble 120.1-A'!$A$2:$D$76,7,FALSE)="F","YES","NO")</f>
        <v>#N/A</v>
      </c>
      <c r="G10" t="e">
        <f>IF(VLOOKUP('RTU 1-1'!G4,'T-24 TAble 120.1-A'!$A$2:$D$76,7,FALSE)="F","YES","NO")</f>
        <v>#N/A</v>
      </c>
      <c r="H10" t="e">
        <f>IF(VLOOKUP('RTU 1-1'!H4,'T-24 TAble 120.1-A'!$A$2:$D$76,7,FALSE)="F","YES","NO")</f>
        <v>#N/A</v>
      </c>
      <c r="I10" t="e">
        <f>IF(VLOOKUP('RTU 1-1'!I4,'T-24 TAble 120.1-A'!$A$2:$D$76,7,FALSE)="F","YES","NO")</f>
        <v>#N/A</v>
      </c>
      <c r="J10" t="e">
        <f>IF(VLOOKUP('RTU 1-1'!J4,'T-24 TAble 120.1-A'!$A$2:$D$76,7,FALSE)="F","YES","NO")</f>
        <v>#N/A</v>
      </c>
      <c r="K10" t="e">
        <f>IF(VLOOKUP('RTU 1-1'!K4,'T-24 TAble 120.1-A'!$A$2:$D$76,7,FALSE)="F","YES","NO")</f>
        <v>#N/A</v>
      </c>
      <c r="L10" t="e">
        <f>IF(VLOOKUP('RTU 1-1'!L4,'T-24 TAble 120.1-A'!$A$2:$D$76,7,FALSE)="F","YES","NO")</f>
        <v>#N/A</v>
      </c>
      <c r="M10" t="e">
        <f>IF(VLOOKUP('RTU 1-1'!M4,'T-24 TAble 120.1-A'!$A$2:$D$76,7,FALSE)="F","YES","NO")</f>
        <v>#N/A</v>
      </c>
      <c r="N10" t="e">
        <f>IF(VLOOKUP('RTU 1-1'!N4,'T-24 TAble 120.1-A'!$A$2:$D$76,7,FALSE)="F","YES","NO")</f>
        <v>#N/A</v>
      </c>
      <c r="O10" t="e">
        <f>IF(VLOOKUP('RTU 1-1'!O4,'T-24 TAble 120.1-A'!$A$2:$D$76,7,FALSE)="F","YES","NO")</f>
        <v>#N/A</v>
      </c>
      <c r="P10" t="e">
        <f>IF(VLOOKUP('RTU 1-1'!P4,'T-24 TAble 120.1-A'!$A$2:$D$76,7,FALSE)="F","YES","NO")</f>
        <v>#N/A</v>
      </c>
      <c r="Q10" t="e">
        <f>IF(VLOOKUP('RTU 1-1'!Q4,'T-24 TAble 120.1-A'!$A$2:$D$76,7,FALSE)="F","YES","NO")</f>
        <v>#N/A</v>
      </c>
      <c r="R10" t="e">
        <f>IF(VLOOKUP('RTU 1-1'!R4,'T-24 TAble 120.1-A'!$A$2:$D$76,7,FALSE)="F","YES","NO")</f>
        <v>#N/A</v>
      </c>
      <c r="S10" t="e">
        <f>IF(VLOOKUP('RTU 1-1'!S4,'T-24 TAble 120.1-A'!$A$2:$D$76,7,FALSE)="F","YES","NO")</f>
        <v>#N/A</v>
      </c>
      <c r="T10" t="e">
        <f>IF(VLOOKUP('RTU 1-1'!T4,'T-24 TAble 120.1-A'!$A$2:$D$76,7,FALSE)="F","YES","NO")</f>
        <v>#N/A</v>
      </c>
      <c r="U10" t="e">
        <f>IF(VLOOKUP('RTU 1-1'!U4,'T-24 TAble 120.1-A'!$A$2:$D$76,7,FALSE)="F","YES","NO")</f>
        <v>#N/A</v>
      </c>
      <c r="V10" t="e">
        <f>IF(VLOOKUP('RTU 1-1'!V4,'T-24 TAble 120.1-A'!$A$2:$D$76,7,FALSE)="F","YES","NO")</f>
        <v>#N/A</v>
      </c>
      <c r="W10" t="e">
        <f>IF(VLOOKUP('RTU 1-1'!W4,'T-24 TAble 120.1-A'!$A$2:$D$76,7,FALSE)="F","YES","NO")</f>
        <v>#N/A</v>
      </c>
      <c r="X10" t="e">
        <f>IF(VLOOKUP('RTU 1-1'!X4,'T-24 TAble 120.1-A'!$A$2:$D$76,7,FALSE)="F","YES","NO")</f>
        <v>#N/A</v>
      </c>
      <c r="Y10" t="e">
        <f>IF(VLOOKUP('RTU 1-1'!Y4,'T-24 TAble 120.1-A'!$A$2:$D$76,7,FALSE)="F","YES","NO")</f>
        <v>#N/A</v>
      </c>
      <c r="Z10" s="31" t="s">
        <v>159</v>
      </c>
      <c r="AA10" s="24" t="s">
        <v>104</v>
      </c>
      <c r="AB10" s="23">
        <f>AB9</f>
        <v>535.31999999999994</v>
      </c>
    </row>
    <row r="11" spans="1:29" x14ac:dyDescent="0.3">
      <c r="A11" t="s">
        <v>145</v>
      </c>
      <c r="B11" t="str">
        <f>IF(VLOOKUP(B4,'Table 6-1 Rates'!$A$5:$I$84,6,FALSE)&gt;25,"YES","NO")</f>
        <v>NO</v>
      </c>
      <c r="C11" t="str">
        <f>IF(VLOOKUP(C4,'Table 6-1 Rates'!$A$5:$I$84,6,FALSE)&gt;25,"YES","NO")</f>
        <v>NO</v>
      </c>
      <c r="D11" t="str">
        <f>IF(VLOOKUP(D4,'Table 6-1 Rates'!$A$5:$I$84,6,FALSE)&gt;25,"YES","NO")</f>
        <v>NO</v>
      </c>
      <c r="E11" t="str">
        <f>IF(VLOOKUP(E4,'Table 6-1 Rates'!$A$5:$I$84,6,FALSE)&gt;25,"YES","NO")</f>
        <v>NO</v>
      </c>
      <c r="F11" t="str">
        <f>IF(VLOOKUP(F4,'Table 6-1 Rates'!$A$5:$I$84,6,FALSE)&gt;25,"YES","NO")</f>
        <v>NO</v>
      </c>
      <c r="G11" t="str">
        <f>IF(VLOOKUP(G4,'Table 6-1 Rates'!$A$5:$I$84,6,FALSE)&gt;25,"YES","NO")</f>
        <v>NO</v>
      </c>
      <c r="H11" t="str">
        <f>IF(VLOOKUP(H4,'Table 6-1 Rates'!$A$5:$I$84,6,FALSE)&gt;25,"YES","NO")</f>
        <v>NO</v>
      </c>
      <c r="I11" t="str">
        <f>IF(VLOOKUP(I4,'Table 6-1 Rates'!$A$5:$I$84,6,FALSE)&gt;25,"YES","NO")</f>
        <v>YES</v>
      </c>
      <c r="J11" t="str">
        <f>IF(VLOOKUP(J4,'Table 6-1 Rates'!$A$5:$I$84,6,FALSE)&gt;25,"YES","NO")</f>
        <v>NO</v>
      </c>
      <c r="K11" t="str">
        <f>IF(VLOOKUP(K4,'Table 6-1 Rates'!$A$5:$I$84,6,FALSE)&gt;25,"YES","NO")</f>
        <v>NO</v>
      </c>
      <c r="L11" t="str">
        <f>IF(VLOOKUP(L4,'Table 6-1 Rates'!$A$5:$I$84,6,FALSE)&gt;25,"YES","NO")</f>
        <v>NO</v>
      </c>
      <c r="M11" t="str">
        <f>IF(VLOOKUP(M4,'Table 6-1 Rates'!$A$5:$I$84,6,FALSE)&gt;25,"YES","NO")</f>
        <v>NO</v>
      </c>
      <c r="N11" t="str">
        <f>IF(VLOOKUP(N4,'Table 6-1 Rates'!$A$5:$I$84,6,FALSE)&gt;25,"YES","NO")</f>
        <v>NO</v>
      </c>
      <c r="O11" t="str">
        <f>IF(VLOOKUP(O4,'Table 6-1 Rates'!$A$5:$I$84,6,FALSE)&gt;25,"YES","NO")</f>
        <v>NO</v>
      </c>
      <c r="P11" t="str">
        <f>IF(VLOOKUP(P4,'Table 6-1 Rates'!$A$5:$I$84,6,FALSE)&gt;25,"YES","NO")</f>
        <v>NO</v>
      </c>
      <c r="Q11" t="str">
        <f>IF(VLOOKUP(Q4,'Table 6-1 Rates'!$A$5:$I$84,6,FALSE)&gt;25,"YES","NO")</f>
        <v>NO</v>
      </c>
      <c r="R11" t="str">
        <f>IF(VLOOKUP(R4,'Table 6-1 Rates'!$A$5:$I$84,6,FALSE)&gt;25,"YES","NO")</f>
        <v>NO</v>
      </c>
      <c r="S11" t="str">
        <f>IF(VLOOKUP(S4,'Table 6-1 Rates'!$A$5:$I$84,6,FALSE)&gt;25,"YES","NO")</f>
        <v>NO</v>
      </c>
      <c r="T11" t="str">
        <f>IF(VLOOKUP(T4,'Table 6-1 Rates'!$A$5:$I$84,6,FALSE)&gt;25,"YES","NO")</f>
        <v>NO</v>
      </c>
      <c r="U11" t="str">
        <f>IF(VLOOKUP(U4,'Table 6-1 Rates'!$A$5:$I$84,6,FALSE)&gt;25,"YES","NO")</f>
        <v>YES</v>
      </c>
      <c r="V11" t="str">
        <f>IF(VLOOKUP(V4,'Table 6-1 Rates'!$A$5:$I$84,6,FALSE)&gt;25,"YES","NO")</f>
        <v>YES</v>
      </c>
      <c r="W11" t="str">
        <f>IF(VLOOKUP(W4,'Table 6-1 Rates'!$A$5:$I$84,6,FALSE)&gt;25,"YES","NO")</f>
        <v>NO</v>
      </c>
      <c r="X11" t="str">
        <f>IF(VLOOKUP(X4,'Table 6-1 Rates'!$A$5:$I$84,6,FALSE)&gt;25,"YES","NO")</f>
        <v>NO</v>
      </c>
      <c r="Y11" t="str">
        <f>IF(VLOOKUP(Y4,'Table 6-1 Rates'!$A$5:$I$84,6,FALSE)&gt;25,"YES","NO")</f>
        <v>NO</v>
      </c>
      <c r="Z11" s="31"/>
      <c r="AA11" s="24" t="s">
        <v>103</v>
      </c>
      <c r="AB11" s="19">
        <f>SUM(AB7)</f>
        <v>637.16999999999996</v>
      </c>
    </row>
  </sheetData>
  <mergeCells count="1">
    <mergeCell ref="Z10:Z11"/>
  </mergeCells>
  <phoneticPr fontId="10" type="noConversion"/>
  <conditionalFormatting sqref="B2:Y2">
    <cfRule type="expression" dxfId="9" priority="1" stopIfTrue="1">
      <formula>B$71=$K$73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Warning: " error="This is not a valid occupancy category selection. Please select a valid occupancy category." xr:uid="{877186F0-678A-4979-81A4-CABA8FD37D6B}">
          <x14:formula1>
            <xm:f>'Table 6-1 Rates'!$A$5:$A$84</xm:f>
          </x14:formula1>
          <xm:sqref>B4:AA4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384E-4F7A-4CA4-944A-A8A677078BDA}">
  <sheetPr codeName="Sheet4"/>
  <dimension ref="A1:AI15"/>
  <sheetViews>
    <sheetView topLeftCell="M1" workbookViewId="0">
      <selection activeCell="D9" sqref="D9"/>
    </sheetView>
  </sheetViews>
  <sheetFormatPr defaultRowHeight="14.4" x14ac:dyDescent="0.3"/>
  <cols>
    <col min="1" max="1" width="22.109375" bestFit="1" customWidth="1"/>
    <col min="2" max="2" width="10.44140625" customWidth="1"/>
    <col min="4" max="32" width="12" customWidth="1"/>
  </cols>
  <sheetData>
    <row r="1" spans="1:35" x14ac:dyDescent="0.3">
      <c r="A1" t="s">
        <v>1</v>
      </c>
    </row>
    <row r="2" spans="1:35" ht="26.4" x14ac:dyDescent="0.3">
      <c r="B2" s="9" t="s">
        <v>183</v>
      </c>
      <c r="C2" s="9" t="s">
        <v>184</v>
      </c>
      <c r="D2" s="9" t="s">
        <v>185</v>
      </c>
      <c r="E2" s="9" t="s">
        <v>186</v>
      </c>
      <c r="F2" s="9" t="s">
        <v>187</v>
      </c>
      <c r="G2" s="9" t="s">
        <v>188</v>
      </c>
      <c r="H2" s="9" t="s">
        <v>189</v>
      </c>
      <c r="I2" s="9" t="s">
        <v>190</v>
      </c>
      <c r="J2" s="9" t="s">
        <v>191</v>
      </c>
      <c r="K2" s="9" t="s">
        <v>192</v>
      </c>
      <c r="L2" s="9" t="s">
        <v>193</v>
      </c>
      <c r="M2" s="9" t="s">
        <v>194</v>
      </c>
      <c r="N2" s="9" t="s">
        <v>195</v>
      </c>
      <c r="O2" s="9" t="s">
        <v>196</v>
      </c>
      <c r="P2" s="9" t="s">
        <v>197</v>
      </c>
      <c r="Q2" s="9" t="s">
        <v>198</v>
      </c>
      <c r="R2" s="9" t="s">
        <v>199</v>
      </c>
      <c r="S2" s="9" t="s">
        <v>200</v>
      </c>
      <c r="T2" s="9" t="s">
        <v>201</v>
      </c>
      <c r="U2" s="9" t="s">
        <v>202</v>
      </c>
      <c r="V2" s="9" t="s">
        <v>203</v>
      </c>
      <c r="W2" s="9" t="s">
        <v>204</v>
      </c>
      <c r="X2" s="9" t="s">
        <v>205</v>
      </c>
      <c r="Y2" s="9" t="s">
        <v>206</v>
      </c>
      <c r="Z2" s="9" t="s">
        <v>207</v>
      </c>
      <c r="AA2" s="9" t="s">
        <v>208</v>
      </c>
      <c r="AB2" s="9" t="s">
        <v>209</v>
      </c>
      <c r="AC2" s="9" t="s">
        <v>210</v>
      </c>
      <c r="AD2" s="9" t="s">
        <v>211</v>
      </c>
      <c r="AE2" s="9" t="s">
        <v>212</v>
      </c>
      <c r="AF2" s="9" t="s">
        <v>213</v>
      </c>
      <c r="AG2" s="9" t="s">
        <v>214</v>
      </c>
      <c r="AH2" t="s">
        <v>72</v>
      </c>
      <c r="AI2" t="s">
        <v>73</v>
      </c>
    </row>
    <row r="3" spans="1:35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9"/>
      <c r="AH3" t="s">
        <v>74</v>
      </c>
    </row>
    <row r="4" spans="1:35" ht="26.4" x14ac:dyDescent="0.3">
      <c r="A4" t="s">
        <v>77</v>
      </c>
      <c r="B4" s="10" t="s">
        <v>30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13</v>
      </c>
      <c r="I4" s="10" t="s">
        <v>12</v>
      </c>
      <c r="J4" s="10" t="s">
        <v>10</v>
      </c>
      <c r="K4" s="10" t="s">
        <v>10</v>
      </c>
      <c r="L4" s="10" t="s">
        <v>10</v>
      </c>
      <c r="M4" s="10" t="s">
        <v>10</v>
      </c>
      <c r="N4" s="10" t="s">
        <v>10</v>
      </c>
      <c r="O4" s="10" t="s">
        <v>30</v>
      </c>
      <c r="P4" s="10" t="s">
        <v>13</v>
      </c>
      <c r="Q4" s="10" t="s">
        <v>29</v>
      </c>
      <c r="R4" s="10" t="s">
        <v>10</v>
      </c>
      <c r="S4" s="10" t="s">
        <v>10</v>
      </c>
      <c r="T4" s="10" t="s">
        <v>10</v>
      </c>
      <c r="U4" s="10" t="s">
        <v>10</v>
      </c>
      <c r="V4" s="10" t="s">
        <v>10</v>
      </c>
      <c r="W4" s="10" t="s">
        <v>10</v>
      </c>
      <c r="X4" s="10" t="s">
        <v>30</v>
      </c>
      <c r="Y4" s="10" t="s">
        <v>10</v>
      </c>
      <c r="Z4" s="10" t="s">
        <v>13</v>
      </c>
      <c r="AA4" s="10" t="s">
        <v>46</v>
      </c>
      <c r="AB4" s="10" t="s">
        <v>64</v>
      </c>
      <c r="AC4" s="10" t="s">
        <v>12</v>
      </c>
      <c r="AD4" s="10" t="s">
        <v>30</v>
      </c>
      <c r="AE4" s="10" t="s">
        <v>12</v>
      </c>
      <c r="AF4" s="10" t="s">
        <v>10</v>
      </c>
      <c r="AG4" s="10" t="s">
        <v>12</v>
      </c>
      <c r="AH4" t="s">
        <v>53</v>
      </c>
    </row>
    <row r="5" spans="1:35" x14ac:dyDescent="0.3">
      <c r="A5" t="s">
        <v>76</v>
      </c>
      <c r="B5" s="11">
        <v>351</v>
      </c>
      <c r="C5" s="12">
        <v>105</v>
      </c>
      <c r="D5" s="12">
        <v>400</v>
      </c>
      <c r="E5" s="12">
        <v>296.8</v>
      </c>
      <c r="F5" s="12">
        <v>379.8</v>
      </c>
      <c r="G5" s="12">
        <v>382.7</v>
      </c>
      <c r="H5" s="12">
        <v>712.8</v>
      </c>
      <c r="I5" s="12">
        <v>361.8</v>
      </c>
      <c r="J5" s="12">
        <v>627.4</v>
      </c>
      <c r="K5" s="12">
        <v>410</v>
      </c>
      <c r="L5" s="12">
        <v>200</v>
      </c>
      <c r="M5" s="12">
        <v>100.8</v>
      </c>
      <c r="N5" s="12">
        <v>105.3</v>
      </c>
      <c r="O5" s="12">
        <v>220</v>
      </c>
      <c r="P5" s="12">
        <v>215</v>
      </c>
      <c r="Q5" s="12">
        <v>312</v>
      </c>
      <c r="R5" s="12">
        <v>109</v>
      </c>
      <c r="S5" s="12">
        <v>297</v>
      </c>
      <c r="T5" s="12">
        <v>297</v>
      </c>
      <c r="U5" s="12">
        <v>198.8</v>
      </c>
      <c r="V5" s="12">
        <v>100.8</v>
      </c>
      <c r="W5" s="12">
        <v>110</v>
      </c>
      <c r="X5" s="12">
        <v>200</v>
      </c>
      <c r="Y5" s="12">
        <v>123.8</v>
      </c>
      <c r="Z5" s="12">
        <v>325</v>
      </c>
      <c r="AA5" s="12">
        <v>440</v>
      </c>
      <c r="AB5" s="12">
        <v>108.8</v>
      </c>
      <c r="AC5" s="12">
        <v>496</v>
      </c>
      <c r="AD5" s="12">
        <v>987</v>
      </c>
      <c r="AE5" s="12">
        <v>131</v>
      </c>
      <c r="AF5" s="12">
        <v>591.4</v>
      </c>
      <c r="AG5" s="12">
        <v>200</v>
      </c>
      <c r="AH5" s="14">
        <f>SUM(B5:AG5)</f>
        <v>9896.0000000000018</v>
      </c>
    </row>
    <row r="6" spans="1:35" x14ac:dyDescent="0.3">
      <c r="A6" t="s">
        <v>75</v>
      </c>
      <c r="B6" s="13">
        <f>B5*VLOOKUP(B4,'Table 6-1 Rates'!$A$4:$F$84,6,FALSE)/IF($A$1="IP",1000,100)</f>
        <v>0</v>
      </c>
      <c r="C6" s="13">
        <f>C5*VLOOKUP(C4,'Table 6-1 Rates'!$A$4:$F$84,6,FALSE)/IF($A$1="IP",1000,100)</f>
        <v>0.52500000000000002</v>
      </c>
      <c r="D6" s="13">
        <f>D5*VLOOKUP(D4,'Table 6-1 Rates'!$A$4:$F$84,6,FALSE)/IF($A$1="IP",1000,100)</f>
        <v>2</v>
      </c>
      <c r="E6" s="13">
        <f>E5*VLOOKUP(E4,'Table 6-1 Rates'!$A$4:$F$84,6,FALSE)/IF($A$1="IP",1000,100)</f>
        <v>1.484</v>
      </c>
      <c r="F6" s="13">
        <f>F5*VLOOKUP(F4,'Table 6-1 Rates'!$A$4:$F$84,6,FALSE)/IF($A$1="IP",1000,100)</f>
        <v>1.899</v>
      </c>
      <c r="G6" s="13">
        <f>G5*VLOOKUP(G4,'Table 6-1 Rates'!$A$4:$F$84,6,FALSE)/IF($A$1="IP",1000,100)</f>
        <v>1.9135</v>
      </c>
      <c r="H6" s="13">
        <f>H5*VLOOKUP(H4,'Table 6-1 Rates'!$A$4:$F$84,6,FALSE)/IF($A$1="IP",1000,100)</f>
        <v>10.692</v>
      </c>
      <c r="I6" s="13">
        <f>I5*VLOOKUP(I4,'Table 6-1 Rates'!$A$4:$F$84,6,FALSE)/IF($A$1="IP",1000,100)</f>
        <v>10.853999999999999</v>
      </c>
      <c r="J6" s="13">
        <f>J5*VLOOKUP(J4,'Table 6-1 Rates'!$A$4:$F$84,6,FALSE)/IF($A$1="IP",1000,100)</f>
        <v>3.137</v>
      </c>
      <c r="K6" s="13">
        <f>K5*VLOOKUP(K4,'Table 6-1 Rates'!$A$4:$F$84,6,FALSE)/IF($A$1="IP",1000,100)</f>
        <v>2.0499999999999998</v>
      </c>
      <c r="L6" s="13">
        <f>L5*VLOOKUP(L4,'Table 6-1 Rates'!$A$4:$F$84,6,FALSE)/IF($A$1="IP",1000,100)</f>
        <v>1</v>
      </c>
      <c r="M6" s="13">
        <f>M5*VLOOKUP(M4,'Table 6-1 Rates'!$A$4:$F$84,6,FALSE)/IF($A$1="IP",1000,100)</f>
        <v>0.504</v>
      </c>
      <c r="N6" s="13">
        <f>N5*VLOOKUP(N4,'Table 6-1 Rates'!$A$4:$F$84,6,FALSE)/IF($A$1="IP",1000,100)</f>
        <v>0.52649999999999997</v>
      </c>
      <c r="O6" s="13">
        <f>O5*VLOOKUP(O4,'Table 6-1 Rates'!$A$4:$F$84,6,FALSE)/IF($A$1="IP",1000,100)</f>
        <v>0</v>
      </c>
      <c r="P6" s="13">
        <f>P5*VLOOKUP(P4,'Table 6-1 Rates'!$A$4:$F$84,6,FALSE)/IF($A$1="IP",1000,100)</f>
        <v>3.2250000000000001</v>
      </c>
      <c r="Q6" s="13">
        <f>Q5*VLOOKUP(Q4,'Table 6-1 Rates'!$A$4:$F$84,6,FALSE)/IF($A$1="IP",1000,100)</f>
        <v>15.6</v>
      </c>
      <c r="R6" s="13">
        <f>R5*VLOOKUP(R4,'Table 6-1 Rates'!$A$4:$F$84,6,FALSE)/IF($A$1="IP",1000,100)</f>
        <v>0.54500000000000004</v>
      </c>
      <c r="S6" s="13">
        <f>S5*VLOOKUP(S4,'Table 6-1 Rates'!$A$4:$F$84,6,FALSE)/IF($A$1="IP",1000,100)</f>
        <v>1.4850000000000001</v>
      </c>
      <c r="T6" s="13">
        <f>T5*VLOOKUP(T4,'Table 6-1 Rates'!$A$4:$F$84,6,FALSE)/IF($A$1="IP",1000,100)</f>
        <v>1.4850000000000001</v>
      </c>
      <c r="U6" s="13">
        <f>U5*VLOOKUP(U4,'Table 6-1 Rates'!$A$4:$F$84,6,FALSE)/IF($A$1="IP",1000,100)</f>
        <v>0.99399999999999999</v>
      </c>
      <c r="V6" s="13">
        <f>V5*VLOOKUP(V4,'Table 6-1 Rates'!$A$4:$F$84,6,FALSE)/IF($A$1="IP",1000,100)</f>
        <v>0.504</v>
      </c>
      <c r="W6" s="13">
        <f>W5*VLOOKUP(W4,'Table 6-1 Rates'!$A$4:$F$84,6,FALSE)/IF($A$1="IP",1000,100)</f>
        <v>0.55000000000000004</v>
      </c>
      <c r="X6" s="13">
        <f>X5*VLOOKUP(X4,'Table 6-1 Rates'!$A$4:$F$84,6,FALSE)/IF($A$1="IP",1000,100)</f>
        <v>0</v>
      </c>
      <c r="Y6" s="13">
        <f>Y5*VLOOKUP(Y4,'Table 6-1 Rates'!$A$4:$F$84,6,FALSE)/IF($A$1="IP",1000,100)</f>
        <v>0.61899999999999999</v>
      </c>
      <c r="Z6" s="13">
        <f>Z5*VLOOKUP(Z4,'Table 6-1 Rates'!$A$4:$F$84,6,FALSE)/IF($A$1="IP",1000,100)</f>
        <v>4.875</v>
      </c>
      <c r="AA6" s="13">
        <f>AA5*VLOOKUP(AA4,'Table 6-1 Rates'!$A$4:$F$84,6,FALSE)/IF($A$1="IP",1000,100)</f>
        <v>4.4000000000000004</v>
      </c>
      <c r="AB6" s="13">
        <f>AB5*VLOOKUP(AB4,'Table 6-1 Rates'!$A$4:$F$84,6,FALSE)/IF($A$1="IP",1000,100)</f>
        <v>0.21759999999999999</v>
      </c>
      <c r="AC6" s="13">
        <f>AC5*VLOOKUP(AC4,'Table 6-1 Rates'!$A$4:$F$84,6,FALSE)/IF($A$1="IP",1000,100)</f>
        <v>14.88</v>
      </c>
      <c r="AD6" s="13">
        <f>AD5*VLOOKUP(AD4,'Table 6-1 Rates'!$A$4:$F$84,6,FALSE)/IF($A$1="IP",1000,100)</f>
        <v>0</v>
      </c>
      <c r="AE6" s="13">
        <f>AE5*VLOOKUP(AE4,'Table 6-1 Rates'!$A$4:$F$84,6,FALSE)/IF($A$1="IP",1000,100)</f>
        <v>3.93</v>
      </c>
      <c r="AF6" s="13">
        <f>AF5*VLOOKUP(AF4,'Table 6-1 Rates'!$A$4:$F$84,6,FALSE)/IF($A$1="IP",1000,100)</f>
        <v>2.9569999999999999</v>
      </c>
      <c r="AG6" s="13">
        <f>AG5*VLOOKUP(AG4,'Table 6-1 Rates'!$A$4:$F$84,6,FALSE)/IF($A$1="IP",1000,100)</f>
        <v>6</v>
      </c>
      <c r="AH6" s="14">
        <f>SUM(B6:AG6)</f>
        <v>98.851599999999991</v>
      </c>
    </row>
    <row r="7" spans="1:35" s="17" customFormat="1" x14ac:dyDescent="0.3">
      <c r="A7" s="15" t="s">
        <v>105</v>
      </c>
      <c r="B7" s="16" t="e">
        <f>B5*(VLOOKUP(B4,'Table 6-1 Rates'!$A$3:$I$84,7,FALSE))</f>
        <v>#N/A</v>
      </c>
      <c r="C7" s="16">
        <f>C5*(VLOOKUP(C4,'Table 6-1 Rates'!$A$3:$I$84,7,FALSE))</f>
        <v>15.75</v>
      </c>
      <c r="D7" s="16">
        <f>D5*(VLOOKUP(D4,'Table 6-1 Rates'!$A$3:$I$84,7,FALSE))</f>
        <v>60</v>
      </c>
      <c r="E7" s="16">
        <f>E5*(VLOOKUP(E4,'Table 6-1 Rates'!$A$3:$I$84,7,FALSE))</f>
        <v>44.52</v>
      </c>
      <c r="F7" s="16">
        <f>F5*(VLOOKUP(F4,'Table 6-1 Rates'!$A$3:$I$84,7,FALSE))</f>
        <v>56.97</v>
      </c>
      <c r="G7" s="16">
        <f>G5*(VLOOKUP(G4,'Table 6-1 Rates'!$A$3:$I$84,7,FALSE))</f>
        <v>57.404999999999994</v>
      </c>
      <c r="H7" s="16">
        <f>H5*(VLOOKUP(H4,'Table 6-1 Rates'!$A$3:$I$84,7,FALSE))</f>
        <v>106.91999999999999</v>
      </c>
      <c r="I7" s="16" t="e">
        <f>I5*(VLOOKUP(I4,'Table 6-1 Rates'!$A$3:$I$84,7,FALSE))</f>
        <v>#N/A</v>
      </c>
      <c r="J7" s="16">
        <f>J5*(VLOOKUP(J4,'Table 6-1 Rates'!$A$3:$I$84,7,FALSE))</f>
        <v>94.11</v>
      </c>
      <c r="K7" s="16">
        <f>K5*(VLOOKUP(K4,'Table 6-1 Rates'!$A$3:$I$84,7,FALSE))</f>
        <v>61.5</v>
      </c>
      <c r="L7" s="16">
        <f>L5*(VLOOKUP(L4,'Table 6-1 Rates'!$A$3:$I$84,7,FALSE))</f>
        <v>30</v>
      </c>
      <c r="M7" s="16">
        <f>M5*(VLOOKUP(M4,'Table 6-1 Rates'!$A$3:$I$84,7,FALSE))</f>
        <v>15.12</v>
      </c>
      <c r="N7" s="16">
        <f>N5*(VLOOKUP(N4,'Table 6-1 Rates'!$A$3:$I$84,7,FALSE))</f>
        <v>15.794999999999998</v>
      </c>
      <c r="O7" s="16" t="e">
        <f>O5*(VLOOKUP(O4,'Table 6-1 Rates'!$A$3:$I$84,7,FALSE))</f>
        <v>#N/A</v>
      </c>
      <c r="P7" s="16">
        <f>P5*(VLOOKUP(P4,'Table 6-1 Rates'!$A$3:$I$84,7,FALSE))</f>
        <v>32.25</v>
      </c>
      <c r="Q7" s="16" t="e">
        <f>Q5*(VLOOKUP(Q4,'Table 6-1 Rates'!$A$3:$I$84,7,FALSE))</f>
        <v>#N/A</v>
      </c>
      <c r="R7" s="16">
        <f>R5*(VLOOKUP(R4,'Table 6-1 Rates'!$A$3:$I$84,7,FALSE))</f>
        <v>16.349999999999998</v>
      </c>
      <c r="S7" s="16">
        <f>S5*(VLOOKUP(S4,'Table 6-1 Rates'!$A$3:$I$84,7,FALSE))</f>
        <v>44.55</v>
      </c>
      <c r="T7" s="16">
        <f>T5*(VLOOKUP(T4,'Table 6-1 Rates'!$A$3:$I$84,7,FALSE))</f>
        <v>44.55</v>
      </c>
      <c r="U7" s="16">
        <f>U5*(VLOOKUP(U4,'Table 6-1 Rates'!$A$3:$I$84,7,FALSE))</f>
        <v>29.82</v>
      </c>
      <c r="V7" s="16">
        <f>V5*(VLOOKUP(V4,'Table 6-1 Rates'!$A$3:$I$84,7,FALSE))</f>
        <v>15.12</v>
      </c>
      <c r="W7" s="16">
        <f>W5*(VLOOKUP(W4,'Table 6-1 Rates'!$A$3:$I$84,7,FALSE))</f>
        <v>16.5</v>
      </c>
      <c r="X7" s="16" t="e">
        <f>X5*(VLOOKUP(X4,'Table 6-1 Rates'!$A$3:$I$84,7,FALSE))</f>
        <v>#N/A</v>
      </c>
      <c r="Y7" s="16">
        <f>Y5*(VLOOKUP(Y4,'Table 6-1 Rates'!$A$3:$I$84,7,FALSE))</f>
        <v>18.57</v>
      </c>
      <c r="Z7" s="16">
        <f>Z5*(VLOOKUP(Z4,'Table 6-1 Rates'!$A$3:$I$84,7,FALSE))</f>
        <v>48.75</v>
      </c>
      <c r="AA7" s="16" t="e">
        <f>AA5*(VLOOKUP(AA4,'Table 6-1 Rates'!$A$3:$I$84,7,FALSE))</f>
        <v>#N/A</v>
      </c>
      <c r="AB7" s="16" t="e">
        <f>AB5*(VLOOKUP(AB4,'Table 6-1 Rates'!$A$3:$I$84,7,FALSE))</f>
        <v>#N/A</v>
      </c>
      <c r="AC7" s="16" t="e">
        <f>AC5*(VLOOKUP(AC4,'Table 6-1 Rates'!$A$3:$I$84,7,FALSE))</f>
        <v>#N/A</v>
      </c>
      <c r="AD7" s="16" t="e">
        <f>AD5*(VLOOKUP(AD4,'Table 6-1 Rates'!$A$3:$I$84,7,FALSE))</f>
        <v>#N/A</v>
      </c>
      <c r="AE7" s="16" t="e">
        <f>AE5*(VLOOKUP(AE4,'Table 6-1 Rates'!$A$3:$I$84,7,FALSE))</f>
        <v>#N/A</v>
      </c>
      <c r="AF7" s="16">
        <f>AF5*(VLOOKUP(AF4,'Table 6-1 Rates'!$A$3:$I$84,7,FALSE))</f>
        <v>88.71</v>
      </c>
      <c r="AG7" s="16" t="e">
        <f>AG5*(VLOOKUP(AG4,'Table 6-1 Rates'!$A$3:$I$84,7,FALSE))</f>
        <v>#N/A</v>
      </c>
      <c r="AH7" s="17" cm="1">
        <f t="array" ref="AH7">SUM(IFERROR(A7:AG7,0))</f>
        <v>913.26</v>
      </c>
    </row>
    <row r="8" spans="1:35" s="17" customFormat="1" ht="17.25" customHeight="1" x14ac:dyDescent="0.3">
      <c r="A8" s="18" t="s">
        <v>106</v>
      </c>
      <c r="B8" s="16" t="e">
        <f>B5*(VLOOKUP(B4,'Table 6-1 Rates'!$A$3:$I$84,8,FALSE))</f>
        <v>#N/A</v>
      </c>
      <c r="C8" s="16">
        <f>C5*(VLOOKUP(C4,'Table 6-1 Rates'!$A$3:$I$84,8,FALSE))</f>
        <v>0</v>
      </c>
      <c r="D8" s="16">
        <f>D5*(VLOOKUP(D4,'Table 6-1 Rates'!$A$3:$I$84,8,FALSE))</f>
        <v>0</v>
      </c>
      <c r="E8" s="16">
        <f>E5*(VLOOKUP(E4,'Table 6-1 Rates'!$A$3:$I$84,8,FALSE))</f>
        <v>0</v>
      </c>
      <c r="F8" s="16">
        <f>F5*(VLOOKUP(F4,'Table 6-1 Rates'!$A$3:$I$84,8,FALSE))</f>
        <v>0</v>
      </c>
      <c r="G8" s="16">
        <f>G5*(VLOOKUP(G4,'Table 6-1 Rates'!$A$3:$I$84,8,FALSE))</f>
        <v>0</v>
      </c>
      <c r="H8" s="16">
        <f>H5*(VLOOKUP(H4,'Table 6-1 Rates'!$A$3:$I$84,8,FALSE))</f>
        <v>0</v>
      </c>
      <c r="I8" s="16" t="e">
        <f>I5*(VLOOKUP(I4,'Table 6-1 Rates'!$A$3:$I$84,8,FALSE))</f>
        <v>#N/A</v>
      </c>
      <c r="J8" s="16">
        <f>J5*(VLOOKUP(J4,'Table 6-1 Rates'!$A$3:$I$84,8,FALSE))</f>
        <v>0</v>
      </c>
      <c r="K8" s="16">
        <f>K5*(VLOOKUP(K4,'Table 6-1 Rates'!$A$3:$I$84,8,FALSE))</f>
        <v>0</v>
      </c>
      <c r="L8" s="16">
        <f>L5*(VLOOKUP(L4,'Table 6-1 Rates'!$A$3:$I$84,8,FALSE))</f>
        <v>0</v>
      </c>
      <c r="M8" s="16">
        <f>M5*(VLOOKUP(M4,'Table 6-1 Rates'!$A$3:$I$84,8,FALSE))</f>
        <v>0</v>
      </c>
      <c r="N8" s="16">
        <f>N5*(VLOOKUP(N4,'Table 6-1 Rates'!$A$3:$I$84,8,FALSE))</f>
        <v>0</v>
      </c>
      <c r="O8" s="16" t="e">
        <f>O5*(VLOOKUP(O4,'Table 6-1 Rates'!$A$3:$I$84,8,FALSE))</f>
        <v>#N/A</v>
      </c>
      <c r="P8" s="16">
        <f>P5*(VLOOKUP(P4,'Table 6-1 Rates'!$A$3:$I$84,8,FALSE))</f>
        <v>0</v>
      </c>
      <c r="Q8" s="16" t="e">
        <f>Q5*(VLOOKUP(Q4,'Table 6-1 Rates'!$A$3:$I$84,8,FALSE))</f>
        <v>#N/A</v>
      </c>
      <c r="R8" s="16">
        <f>R5*(VLOOKUP(R4,'Table 6-1 Rates'!$A$3:$I$84,8,FALSE))</f>
        <v>0</v>
      </c>
      <c r="S8" s="16">
        <f>S5*(VLOOKUP(S4,'Table 6-1 Rates'!$A$3:$I$84,8,FALSE))</f>
        <v>0</v>
      </c>
      <c r="T8" s="16">
        <f>T5*(VLOOKUP(T4,'Table 6-1 Rates'!$A$3:$I$84,8,FALSE))</f>
        <v>0</v>
      </c>
      <c r="U8" s="16">
        <f>U5*(VLOOKUP(U4,'Table 6-1 Rates'!$A$3:$I$84,8,FALSE))</f>
        <v>0</v>
      </c>
      <c r="V8" s="16">
        <f>V5*(VLOOKUP(V4,'Table 6-1 Rates'!$A$3:$I$84,8,FALSE))</f>
        <v>0</v>
      </c>
      <c r="W8" s="16">
        <f>W5*(VLOOKUP(W4,'Table 6-1 Rates'!$A$3:$I$84,8,FALSE))</f>
        <v>0</v>
      </c>
      <c r="X8" s="16" t="e">
        <f>X5*(VLOOKUP(X4,'Table 6-1 Rates'!$A$3:$I$84,8,FALSE))</f>
        <v>#N/A</v>
      </c>
      <c r="Y8" s="16">
        <f>Y5*(VLOOKUP(Y4,'Table 6-1 Rates'!$A$3:$I$84,8,FALSE))</f>
        <v>0</v>
      </c>
      <c r="Z8" s="16">
        <f>Z5*(VLOOKUP(Z4,'Table 6-1 Rates'!$A$3:$I$84,8,FALSE))</f>
        <v>0</v>
      </c>
      <c r="AA8" s="16" t="e">
        <f>AA5*(VLOOKUP(AA4,'Table 6-1 Rates'!$A$3:$I$84,8,FALSE))</f>
        <v>#N/A</v>
      </c>
      <c r="AB8" s="16" t="e">
        <f>AB5*(VLOOKUP(AB4,'Table 6-1 Rates'!$A$3:$I$84,8,FALSE))</f>
        <v>#N/A</v>
      </c>
      <c r="AC8" s="16" t="e">
        <f>AC5*(VLOOKUP(AC4,'Table 6-1 Rates'!$A$3:$I$84,8,FALSE))</f>
        <v>#N/A</v>
      </c>
      <c r="AD8" s="16" t="e">
        <f>AD5*(VLOOKUP(AD4,'Table 6-1 Rates'!$A$3:$I$84,8,FALSE))</f>
        <v>#N/A</v>
      </c>
      <c r="AE8" s="16" t="e">
        <f>AE5*(VLOOKUP(AE4,'Table 6-1 Rates'!$A$3:$I$84,8,FALSE))</f>
        <v>#N/A</v>
      </c>
      <c r="AF8" s="16">
        <f>AF5*(VLOOKUP(AF4,'Table 6-1 Rates'!$A$3:$I$84,8,FALSE))</f>
        <v>0</v>
      </c>
      <c r="AG8" s="16" t="e">
        <f>AG5*(VLOOKUP(AG4,'Table 6-1 Rates'!$A$3:$I$84,8,FALSE))</f>
        <v>#N/A</v>
      </c>
      <c r="AH8" s="17" cm="1">
        <f t="array" ref="AH8">SUM(IFERROR(A8:AG8,0))</f>
        <v>0</v>
      </c>
    </row>
    <row r="9" spans="1:35" x14ac:dyDescent="0.3">
      <c r="A9" s="18" t="s">
        <v>107</v>
      </c>
      <c r="B9" s="16" t="e">
        <f>B5*(VLOOKUP(B4,'Table 6-1 Rates'!$A$3:$I$84,9,FALSE))</f>
        <v>#N/A</v>
      </c>
      <c r="C9" s="16">
        <f>C5*(VLOOKUP(C4,'Table 6-1 Rates'!$A$3:$I$84,9,FALSE))</f>
        <v>15.75</v>
      </c>
      <c r="D9" s="16">
        <f>D5*(VLOOKUP(D4,'Table 6-1 Rates'!$A$3:$I$84,9,FALSE))</f>
        <v>60</v>
      </c>
      <c r="E9" s="16">
        <f>E5*(VLOOKUP(E4,'Table 6-1 Rates'!$A$3:$I$84,9,FALSE))</f>
        <v>44.52</v>
      </c>
      <c r="F9" s="16">
        <f>F5*(VLOOKUP(F4,'Table 6-1 Rates'!$A$3:$I$84,9,FALSE))</f>
        <v>56.97</v>
      </c>
      <c r="G9" s="16">
        <f>G5*(VLOOKUP(G4,'Table 6-1 Rates'!$A$3:$I$84,9,FALSE))</f>
        <v>57.404999999999994</v>
      </c>
      <c r="H9" s="16">
        <f>H5*(VLOOKUP(H4,'Table 6-1 Rates'!$A$3:$I$84,9,FALSE))</f>
        <v>106.91999999999999</v>
      </c>
      <c r="I9" s="16" t="e">
        <f>I5*(VLOOKUP(I4,'Table 6-1 Rates'!$A$3:$I$84,9,FALSE))</f>
        <v>#N/A</v>
      </c>
      <c r="J9" s="16">
        <f>J5*(VLOOKUP(J4,'Table 6-1 Rates'!$A$3:$I$84,9,FALSE))</f>
        <v>94.11</v>
      </c>
      <c r="K9" s="16">
        <f>K5*(VLOOKUP(K4,'Table 6-1 Rates'!$A$3:$I$84,9,FALSE))</f>
        <v>61.5</v>
      </c>
      <c r="L9" s="16">
        <f>L5*(VLOOKUP(L4,'Table 6-1 Rates'!$A$3:$I$84,9,FALSE))</f>
        <v>30</v>
      </c>
      <c r="M9" s="16">
        <f>M5*(VLOOKUP(M4,'Table 6-1 Rates'!$A$3:$I$84,9,FALSE))</f>
        <v>15.12</v>
      </c>
      <c r="N9" s="16">
        <f>N5*(VLOOKUP(N4,'Table 6-1 Rates'!$A$3:$I$84,9,FALSE))</f>
        <v>15.794999999999998</v>
      </c>
      <c r="O9" s="16" t="e">
        <f>O5*(VLOOKUP(O4,'Table 6-1 Rates'!$A$3:$I$84,9,FALSE))</f>
        <v>#N/A</v>
      </c>
      <c r="P9" s="16">
        <f>P5*(VLOOKUP(P4,'Table 6-1 Rates'!$A$3:$I$84,9,FALSE))</f>
        <v>32.25</v>
      </c>
      <c r="Q9" s="16" t="e">
        <f>Q5*(VLOOKUP(Q4,'Table 6-1 Rates'!$A$3:$I$84,9,FALSE))</f>
        <v>#N/A</v>
      </c>
      <c r="R9" s="16">
        <f>R5*(VLOOKUP(R4,'Table 6-1 Rates'!$A$3:$I$84,9,FALSE))</f>
        <v>16.349999999999998</v>
      </c>
      <c r="S9" s="16">
        <f>S5*(VLOOKUP(S4,'Table 6-1 Rates'!$A$3:$I$84,9,FALSE))</f>
        <v>44.55</v>
      </c>
      <c r="T9" s="16">
        <f>T5*(VLOOKUP(T4,'Table 6-1 Rates'!$A$3:$I$84,9,FALSE))</f>
        <v>44.55</v>
      </c>
      <c r="U9" s="16">
        <f>U5*(VLOOKUP(U4,'Table 6-1 Rates'!$A$3:$I$84,9,FALSE))</f>
        <v>29.82</v>
      </c>
      <c r="V9" s="16">
        <f>V5*(VLOOKUP(V4,'Table 6-1 Rates'!$A$3:$I$84,9,FALSE))</f>
        <v>15.12</v>
      </c>
      <c r="W9" s="16">
        <f>W5*(VLOOKUP(W4,'Table 6-1 Rates'!$A$3:$I$84,9,FALSE))</f>
        <v>16.5</v>
      </c>
      <c r="X9" s="16" t="e">
        <f>X5*(VLOOKUP(X4,'Table 6-1 Rates'!$A$3:$I$84,9,FALSE))</f>
        <v>#N/A</v>
      </c>
      <c r="Y9" s="16">
        <f>Y5*(VLOOKUP(Y4,'Table 6-1 Rates'!$A$3:$I$84,9,FALSE))</f>
        <v>18.57</v>
      </c>
      <c r="Z9" s="16">
        <f>Z5*(VLOOKUP(Z4,'Table 6-1 Rates'!$A$3:$I$84,9,FALSE))</f>
        <v>48.75</v>
      </c>
      <c r="AA9" s="16" t="e">
        <f>AA5*(VLOOKUP(AA4,'Table 6-1 Rates'!$A$3:$I$84,9,FALSE))</f>
        <v>#N/A</v>
      </c>
      <c r="AB9" s="16" t="e">
        <f>AB5*(VLOOKUP(AB4,'Table 6-1 Rates'!$A$3:$I$84,9,FALSE))</f>
        <v>#N/A</v>
      </c>
      <c r="AC9" s="16" t="e">
        <f>AC5*(VLOOKUP(AC4,'Table 6-1 Rates'!$A$3:$I$84,9,FALSE))</f>
        <v>#N/A</v>
      </c>
      <c r="AD9" s="16" t="e">
        <f>AD5*(VLOOKUP(AD4,'Table 6-1 Rates'!$A$3:$I$84,9,FALSE))</f>
        <v>#N/A</v>
      </c>
      <c r="AE9" s="16" t="e">
        <f>AE5*(VLOOKUP(AE4,'Table 6-1 Rates'!$A$3:$I$84,9,FALSE))</f>
        <v>#N/A</v>
      </c>
      <c r="AF9" s="16">
        <f>AF5*(VLOOKUP(AF4,'Table 6-1 Rates'!$A$3:$I$84,9,FALSE))</f>
        <v>88.71</v>
      </c>
      <c r="AG9" s="16" t="e">
        <f>AG5*(VLOOKUP(AG4,'Table 6-1 Rates'!$A$3:$I$84,9,FALSE))</f>
        <v>#N/A</v>
      </c>
      <c r="AH9" s="22" cm="1">
        <f t="array" ref="AH9">SUM(IFERROR(B9:AG9,0))</f>
        <v>913.26</v>
      </c>
    </row>
    <row r="10" spans="1:35" x14ac:dyDescent="0.3">
      <c r="A10" t="s">
        <v>141</v>
      </c>
      <c r="B10" t="e">
        <f>IF(VLOOKUP(B4,'T-24 TAble 120.1-A'!$A$2:$D$76,7,FALSE)="F","YES","NO")</f>
        <v>#N/A</v>
      </c>
      <c r="C10" t="e">
        <f>IF(VLOOKUP(C4,'T-24 TAble 120.1-A'!$A$2:$D$76,7,FALSE)="F","YES","NO")</f>
        <v>#N/A</v>
      </c>
      <c r="D10" t="e">
        <f>IF(VLOOKUP(D4,'T-24 TAble 120.1-A'!$A$2:$D$76,7,FALSE)="F","YES","NO")</f>
        <v>#N/A</v>
      </c>
      <c r="E10" t="e">
        <f>IF(VLOOKUP(E4,'T-24 TAble 120.1-A'!$A$2:$D$76,7,FALSE)="F","YES","NO")</f>
        <v>#N/A</v>
      </c>
      <c r="F10" t="e">
        <f>IF(VLOOKUP(F4,'T-24 TAble 120.1-A'!$A$2:$D$76,7,FALSE)="F","YES","NO")</f>
        <v>#N/A</v>
      </c>
      <c r="G10" t="e">
        <f>IF(VLOOKUP(G4,'T-24 TAble 120.1-A'!$A$2:$D$76,7,FALSE)="F","YES","NO")</f>
        <v>#N/A</v>
      </c>
      <c r="H10" t="e">
        <f>IF(VLOOKUP(H4,'T-24 TAble 120.1-A'!$A$2:$D$76,7,FALSE)="F","YES","NO")</f>
        <v>#N/A</v>
      </c>
      <c r="I10" t="e">
        <f>IF(VLOOKUP(I4,'T-24 TAble 120.1-A'!$A$2:$D$76,7,FALSE)="F","YES","NO")</f>
        <v>#N/A</v>
      </c>
      <c r="J10" t="e">
        <f>IF(VLOOKUP(J4,'T-24 TAble 120.1-A'!$A$2:$D$76,7,FALSE)="F","YES","NO")</f>
        <v>#N/A</v>
      </c>
      <c r="K10" t="e">
        <f>IF(VLOOKUP(K4,'T-24 TAble 120.1-A'!$A$2:$D$76,7,FALSE)="F","YES","NO")</f>
        <v>#N/A</v>
      </c>
      <c r="L10" t="e">
        <f>IF(VLOOKUP(L4,'T-24 TAble 120.1-A'!$A$2:$D$76,7,FALSE)="F","YES","NO")</f>
        <v>#N/A</v>
      </c>
      <c r="M10" t="e">
        <f>IF(VLOOKUP(M4,'T-24 TAble 120.1-A'!$A$2:$D$76,7,FALSE)="F","YES","NO")</f>
        <v>#N/A</v>
      </c>
      <c r="N10" t="e">
        <f>IF(VLOOKUP(N4,'T-24 TAble 120.1-A'!$A$2:$D$76,7,FALSE)="F","YES","NO")</f>
        <v>#N/A</v>
      </c>
      <c r="O10" t="e">
        <f>IF(VLOOKUP(O4,'T-24 TAble 120.1-A'!$A$2:$D$76,7,FALSE)="F","YES","NO")</f>
        <v>#N/A</v>
      </c>
      <c r="P10" t="e">
        <f>IF(VLOOKUP(P4,'T-24 TAble 120.1-A'!$A$2:$D$76,7,FALSE)="F","YES","NO")</f>
        <v>#N/A</v>
      </c>
      <c r="Q10" t="e">
        <f>IF(VLOOKUP(Q4,'T-24 TAble 120.1-A'!$A$2:$D$76,7,FALSE)="F","YES","NO")</f>
        <v>#N/A</v>
      </c>
      <c r="R10" t="e">
        <f>IF(VLOOKUP(R4,'T-24 TAble 120.1-A'!$A$2:$D$76,7,FALSE)="F","YES","NO")</f>
        <v>#N/A</v>
      </c>
      <c r="S10" t="e">
        <f>IF(VLOOKUP(S4,'T-24 TAble 120.1-A'!$A$2:$D$76,7,FALSE)="F","YES","NO")</f>
        <v>#N/A</v>
      </c>
      <c r="T10" t="e">
        <f>IF(VLOOKUP(T4,'T-24 TAble 120.1-A'!$A$2:$D$76,7,FALSE)="F","YES","NO")</f>
        <v>#N/A</v>
      </c>
      <c r="U10" t="e">
        <f>IF(VLOOKUP(U4,'T-24 TAble 120.1-A'!$A$2:$D$76,7,FALSE)="F","YES","NO")</f>
        <v>#N/A</v>
      </c>
      <c r="V10" t="e">
        <f>IF(VLOOKUP(V4,'T-24 TAble 120.1-A'!$A$2:$D$76,7,FALSE)="F","YES","NO")</f>
        <v>#N/A</v>
      </c>
      <c r="W10" t="e">
        <f>IF(VLOOKUP(W4,'T-24 TAble 120.1-A'!$A$2:$D$76,7,FALSE)="F","YES","NO")</f>
        <v>#N/A</v>
      </c>
      <c r="X10" t="e">
        <f>IF(VLOOKUP(X4,'T-24 TAble 120.1-A'!$A$2:$D$76,7,FALSE)="F","YES","NO")</f>
        <v>#N/A</v>
      </c>
      <c r="Y10" t="e">
        <f>IF(VLOOKUP(Y4,'T-24 TAble 120.1-A'!$A$2:$D$76,7,FALSE)="F","YES","NO")</f>
        <v>#N/A</v>
      </c>
      <c r="Z10" t="e">
        <f>IF(VLOOKUP(Z4,'T-24 TAble 120.1-A'!$A$2:$D$76,7,FALSE)="F","YES","NO")</f>
        <v>#N/A</v>
      </c>
      <c r="AA10" t="e">
        <f>IF(VLOOKUP(AA4,'T-24 TAble 120.1-A'!$A$2:$D$76,7,FALSE)="F","YES","NO")</f>
        <v>#N/A</v>
      </c>
      <c r="AB10" t="e">
        <f>IF(VLOOKUP(AB4,'T-24 TAble 120.1-A'!$A$2:$D$76,7,FALSE)="F","YES","NO")</f>
        <v>#N/A</v>
      </c>
      <c r="AC10" t="e">
        <f>IF(VLOOKUP(AC4,'T-24 TAble 120.1-A'!$A$2:$D$76,7,FALSE)="F","YES","NO")</f>
        <v>#N/A</v>
      </c>
      <c r="AD10" t="e">
        <f>IF(VLOOKUP(AD4,'T-24 TAble 120.1-A'!$A$2:$D$76,7,FALSE)="F","YES","NO")</f>
        <v>#N/A</v>
      </c>
      <c r="AE10" t="e">
        <f>IF(VLOOKUP(AE4,'T-24 TAble 120.1-A'!$A$2:$D$76,7,FALSE)="F","YES","NO")</f>
        <v>#N/A</v>
      </c>
      <c r="AF10" t="e">
        <f>IF(VLOOKUP(AF4,'T-24 TAble 120.1-A'!$A$2:$D$76,7,FALSE)="F","YES","NO")</f>
        <v>#N/A</v>
      </c>
      <c r="AG10" t="e">
        <f>IF(VLOOKUP(AG4,'T-24 TAble 120.1-A'!$A$2:$D$76,7,FALSE)="F","YES","NO")</f>
        <v>#N/A</v>
      </c>
    </row>
    <row r="11" spans="1:35" x14ac:dyDescent="0.3">
      <c r="A11" t="s">
        <v>145</v>
      </c>
      <c r="B11" t="str">
        <f>IF(VLOOKUP(B4,'Table 6-1 Rates'!$A$5:$I$84,6,FALSE)&gt;25,"YES","NO")</f>
        <v>NO</v>
      </c>
      <c r="C11" t="str">
        <f>IF(VLOOKUP(C4,'Table 6-1 Rates'!$A$5:$I$84,6,FALSE)&gt;25,"YES","NO")</f>
        <v>NO</v>
      </c>
      <c r="D11" t="str">
        <f>IF(VLOOKUP(D4,'Table 6-1 Rates'!$A$5:$I$84,6,FALSE)&gt;25,"YES","NO")</f>
        <v>NO</v>
      </c>
      <c r="E11" t="str">
        <f>IF(VLOOKUP(E4,'Table 6-1 Rates'!$A$5:$I$84,6,FALSE)&gt;25,"YES","NO")</f>
        <v>NO</v>
      </c>
      <c r="F11" t="str">
        <f>IF(VLOOKUP(F4,'Table 6-1 Rates'!$A$5:$I$84,6,FALSE)&gt;25,"YES","NO")</f>
        <v>NO</v>
      </c>
      <c r="G11" t="str">
        <f>IF(VLOOKUP(G4,'Table 6-1 Rates'!$A$5:$I$84,6,FALSE)&gt;25,"YES","NO")</f>
        <v>NO</v>
      </c>
      <c r="H11" t="str">
        <f>IF(VLOOKUP(H4,'Table 6-1 Rates'!$A$5:$I$84,6,FALSE)&gt;25,"YES","NO")</f>
        <v>NO</v>
      </c>
      <c r="I11" t="str">
        <f>IF(VLOOKUP(I4,'Table 6-1 Rates'!$A$5:$I$84,6,FALSE)&gt;25,"YES","NO")</f>
        <v>YES</v>
      </c>
      <c r="J11" t="str">
        <f>IF(VLOOKUP(J4,'Table 6-1 Rates'!$A$5:$I$84,6,FALSE)&gt;25,"YES","NO")</f>
        <v>NO</v>
      </c>
      <c r="K11" t="str">
        <f>IF(VLOOKUP(K4,'Table 6-1 Rates'!$A$5:$I$84,6,FALSE)&gt;25,"YES","NO")</f>
        <v>NO</v>
      </c>
      <c r="L11" t="str">
        <f>IF(VLOOKUP(L4,'Table 6-1 Rates'!$A$5:$I$84,6,FALSE)&gt;25,"YES","NO")</f>
        <v>NO</v>
      </c>
      <c r="M11" t="str">
        <f>IF(VLOOKUP(M4,'Table 6-1 Rates'!$A$5:$I$84,6,FALSE)&gt;25,"YES","NO")</f>
        <v>NO</v>
      </c>
      <c r="N11" t="str">
        <f>IF(VLOOKUP(N4,'Table 6-1 Rates'!$A$5:$I$84,6,FALSE)&gt;25,"YES","NO")</f>
        <v>NO</v>
      </c>
      <c r="O11" t="str">
        <f>IF(VLOOKUP(O4,'Table 6-1 Rates'!$A$5:$I$84,6,FALSE)&gt;25,"YES","NO")</f>
        <v>NO</v>
      </c>
      <c r="P11" t="str">
        <f>IF(VLOOKUP(P4,'Table 6-1 Rates'!$A$5:$I$84,6,FALSE)&gt;25,"YES","NO")</f>
        <v>NO</v>
      </c>
      <c r="Q11" t="str">
        <f>IF(VLOOKUP(Q4,'Table 6-1 Rates'!$A$5:$I$84,6,FALSE)&gt;25,"YES","NO")</f>
        <v>YES</v>
      </c>
      <c r="R11" t="str">
        <f>IF(VLOOKUP(R4,'Table 6-1 Rates'!$A$5:$I$84,6,FALSE)&gt;25,"YES","NO")</f>
        <v>NO</v>
      </c>
      <c r="S11" t="str">
        <f>IF(VLOOKUP(S4,'Table 6-1 Rates'!$A$5:$I$84,6,FALSE)&gt;25,"YES","NO")</f>
        <v>NO</v>
      </c>
      <c r="T11" t="str">
        <f>IF(VLOOKUP(T4,'Table 6-1 Rates'!$A$5:$I$84,6,FALSE)&gt;25,"YES","NO")</f>
        <v>NO</v>
      </c>
      <c r="U11" t="str">
        <f>IF(VLOOKUP(U4,'Table 6-1 Rates'!$A$5:$I$84,6,FALSE)&gt;25,"YES","NO")</f>
        <v>NO</v>
      </c>
      <c r="V11" t="str">
        <f>IF(VLOOKUP(V4,'Table 6-1 Rates'!$A$5:$I$84,6,FALSE)&gt;25,"YES","NO")</f>
        <v>NO</v>
      </c>
      <c r="W11" t="str">
        <f>IF(VLOOKUP(W4,'Table 6-1 Rates'!$A$5:$I$84,6,FALSE)&gt;25,"YES","NO")</f>
        <v>NO</v>
      </c>
      <c r="X11" t="str">
        <f>IF(VLOOKUP(X4,'Table 6-1 Rates'!$A$5:$I$84,6,FALSE)&gt;25,"YES","NO")</f>
        <v>NO</v>
      </c>
      <c r="Y11" t="str">
        <f>IF(VLOOKUP(Y4,'Table 6-1 Rates'!$A$5:$I$84,6,FALSE)&gt;25,"YES","NO")</f>
        <v>NO</v>
      </c>
      <c r="Z11" t="str">
        <f>IF(VLOOKUP(Z4,'Table 6-1 Rates'!$A$5:$I$84,6,FALSE)&gt;25,"YES","NO")</f>
        <v>NO</v>
      </c>
      <c r="AA11" t="str">
        <f>IF(VLOOKUP(AA4,'Table 6-1 Rates'!$A$5:$I$84,6,FALSE)&gt;25,"YES","NO")</f>
        <v>NO</v>
      </c>
      <c r="AB11" t="str">
        <f>IF(VLOOKUP(AB4,'Table 6-1 Rates'!$A$5:$I$84,6,FALSE)&gt;25,"YES","NO")</f>
        <v>NO</v>
      </c>
      <c r="AC11" t="str">
        <f>IF(VLOOKUP(AC4,'Table 6-1 Rates'!$A$5:$I$84,6,FALSE)&gt;25,"YES","NO")</f>
        <v>YES</v>
      </c>
      <c r="AD11" t="str">
        <f>IF(VLOOKUP(AD4,'Table 6-1 Rates'!$A$5:$I$84,6,FALSE)&gt;25,"YES","NO")</f>
        <v>NO</v>
      </c>
      <c r="AE11" t="str">
        <f>IF(VLOOKUP(AE4,'Table 6-1 Rates'!$A$5:$I$84,6,FALSE)&gt;25,"YES","NO")</f>
        <v>YES</v>
      </c>
      <c r="AF11" t="str">
        <f>IF(VLOOKUP(AF4,'Table 6-1 Rates'!$A$5:$I$84,6,FALSE)&gt;25,"YES","NO")</f>
        <v>NO</v>
      </c>
      <c r="AG11" t="str">
        <f>IF(VLOOKUP(AG4,'Table 6-1 Rates'!$A$5:$I$84,6,FALSE)&gt;25,"YES","NO")</f>
        <v>YES</v>
      </c>
    </row>
    <row r="14" spans="1:35" x14ac:dyDescent="0.3">
      <c r="AF14" s="31" t="s">
        <v>182</v>
      </c>
      <c r="AG14" s="24" t="s">
        <v>104</v>
      </c>
      <c r="AH14" s="23">
        <f>AH9</f>
        <v>913.26</v>
      </c>
    </row>
    <row r="15" spans="1:35" x14ac:dyDescent="0.3">
      <c r="AF15" s="31"/>
      <c r="AG15" s="24" t="s">
        <v>103</v>
      </c>
      <c r="AH15" s="19">
        <f>SUM(AH7)</f>
        <v>913.26</v>
      </c>
    </row>
  </sheetData>
  <mergeCells count="1">
    <mergeCell ref="AF14:AF15"/>
  </mergeCells>
  <phoneticPr fontId="10" type="noConversion"/>
  <conditionalFormatting sqref="B2:AG2">
    <cfRule type="expression" dxfId="8" priority="1" stopIfTrue="1">
      <formula>B$72=$K$74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Warning: " error="This is not a valid occupancy category selection. Please select a valid occupancy category." xr:uid="{8511F707-55CA-4611-909C-D9578106E4E1}">
          <x14:formula1>
            <xm:f>'Table 6-1 Rates'!$A$5:$A$84</xm:f>
          </x14:formula1>
          <xm:sqref>B4:AG4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D948-DBE2-443B-B6C8-98BF2EA941B4}">
  <sheetPr codeName="Sheet5"/>
  <dimension ref="A1:W13"/>
  <sheetViews>
    <sheetView workbookViewId="0">
      <selection activeCell="I22" sqref="I22"/>
    </sheetView>
  </sheetViews>
  <sheetFormatPr defaultRowHeight="14.4" x14ac:dyDescent="0.3"/>
  <cols>
    <col min="1" max="1" width="22.109375" bestFit="1" customWidth="1"/>
    <col min="4" max="20" width="12" customWidth="1"/>
  </cols>
  <sheetData>
    <row r="1" spans="1:23" x14ac:dyDescent="0.3">
      <c r="A1" t="s">
        <v>1</v>
      </c>
    </row>
    <row r="2" spans="1:23" x14ac:dyDescent="0.3"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113</v>
      </c>
      <c r="H2" s="9" t="s">
        <v>114</v>
      </c>
      <c r="I2" s="9" t="s">
        <v>115</v>
      </c>
      <c r="J2" s="9" t="s">
        <v>116</v>
      </c>
      <c r="K2" s="9" t="s">
        <v>117</v>
      </c>
      <c r="L2" s="9" t="s">
        <v>118</v>
      </c>
      <c r="M2" s="9" t="s">
        <v>119</v>
      </c>
      <c r="N2" s="9" t="s">
        <v>120</v>
      </c>
      <c r="O2" s="9" t="s">
        <v>121</v>
      </c>
      <c r="P2" s="9" t="s">
        <v>122</v>
      </c>
      <c r="Q2" s="9" t="s">
        <v>123</v>
      </c>
      <c r="R2" s="9" t="s">
        <v>124</v>
      </c>
      <c r="S2" s="9" t="s">
        <v>125</v>
      </c>
      <c r="T2" s="10"/>
      <c r="U2" s="9"/>
      <c r="V2" t="s">
        <v>72</v>
      </c>
      <c r="W2" t="s">
        <v>73</v>
      </c>
    </row>
    <row r="3" spans="1:23" x14ac:dyDescent="0.3">
      <c r="B3" s="9" t="s">
        <v>129</v>
      </c>
      <c r="C3" s="9" t="s">
        <v>80</v>
      </c>
      <c r="D3" s="9" t="s">
        <v>126</v>
      </c>
      <c r="E3" s="9" t="s">
        <v>128</v>
      </c>
      <c r="F3" s="9" t="s">
        <v>83</v>
      </c>
      <c r="G3" s="9" t="s">
        <v>82</v>
      </c>
      <c r="H3" s="9" t="s">
        <v>128</v>
      </c>
      <c r="I3" s="9" t="s">
        <v>129</v>
      </c>
      <c r="J3" s="9" t="s">
        <v>80</v>
      </c>
      <c r="K3" s="9" t="s">
        <v>129</v>
      </c>
      <c r="L3" s="9" t="s">
        <v>129</v>
      </c>
      <c r="M3" s="9" t="s">
        <v>81</v>
      </c>
      <c r="N3" s="9" t="s">
        <v>82</v>
      </c>
      <c r="O3" s="9" t="s">
        <v>129</v>
      </c>
      <c r="P3" s="9" t="s">
        <v>82</v>
      </c>
      <c r="Q3" s="9" t="s">
        <v>129</v>
      </c>
      <c r="R3" s="9" t="s">
        <v>129</v>
      </c>
      <c r="S3" s="9" t="s">
        <v>80</v>
      </c>
      <c r="T3" s="10"/>
      <c r="U3" s="9"/>
      <c r="V3" t="s">
        <v>74</v>
      </c>
    </row>
    <row r="4" spans="1:23" ht="26.4" x14ac:dyDescent="0.3">
      <c r="A4" t="s">
        <v>77</v>
      </c>
      <c r="B4" s="10" t="s">
        <v>53</v>
      </c>
      <c r="C4" s="10" t="s">
        <v>30</v>
      </c>
      <c r="D4" s="10" t="s">
        <v>93</v>
      </c>
      <c r="E4" s="10" t="s">
        <v>29</v>
      </c>
      <c r="F4" s="10" t="s">
        <v>12</v>
      </c>
      <c r="G4" s="10" t="s">
        <v>53</v>
      </c>
      <c r="H4" s="10" t="s">
        <v>29</v>
      </c>
      <c r="I4" s="10" t="s">
        <v>53</v>
      </c>
      <c r="J4" s="10" t="s">
        <v>30</v>
      </c>
      <c r="K4" s="10" t="s">
        <v>53</v>
      </c>
      <c r="L4" s="10" t="s">
        <v>53</v>
      </c>
      <c r="M4" s="10" t="s">
        <v>13</v>
      </c>
      <c r="N4" s="10" t="s">
        <v>53</v>
      </c>
      <c r="O4" s="10" t="s">
        <v>53</v>
      </c>
      <c r="P4" s="10" t="s">
        <v>53</v>
      </c>
      <c r="Q4" s="10" t="s">
        <v>53</v>
      </c>
      <c r="R4" s="10" t="s">
        <v>53</v>
      </c>
      <c r="S4" s="10" t="s">
        <v>30</v>
      </c>
      <c r="T4" s="10" t="s">
        <v>10</v>
      </c>
      <c r="U4" s="9" t="s">
        <v>53</v>
      </c>
    </row>
    <row r="5" spans="1:23" x14ac:dyDescent="0.3">
      <c r="A5" t="s">
        <v>76</v>
      </c>
      <c r="B5" s="11">
        <v>1122</v>
      </c>
      <c r="C5" s="12">
        <v>1492</v>
      </c>
      <c r="D5" s="12">
        <v>1440</v>
      </c>
      <c r="E5" s="12">
        <v>528</v>
      </c>
      <c r="F5" s="12">
        <v>1102</v>
      </c>
      <c r="G5" s="12">
        <v>184</v>
      </c>
      <c r="H5" s="12">
        <v>524</v>
      </c>
      <c r="I5" s="12">
        <v>1129</v>
      </c>
      <c r="J5" s="12">
        <v>969</v>
      </c>
      <c r="K5" s="12">
        <v>1136</v>
      </c>
      <c r="L5" s="12">
        <v>224</v>
      </c>
      <c r="M5" s="12">
        <v>897</v>
      </c>
      <c r="N5" s="12">
        <v>246</v>
      </c>
      <c r="O5" s="12">
        <v>1090</v>
      </c>
      <c r="P5" s="12">
        <v>329</v>
      </c>
      <c r="Q5" s="12">
        <v>674</v>
      </c>
      <c r="R5" s="12">
        <v>667</v>
      </c>
      <c r="S5" s="12">
        <v>942</v>
      </c>
      <c r="T5" s="12"/>
      <c r="U5" s="12"/>
      <c r="V5" s="14">
        <f>SUM(B5:U5)</f>
        <v>14695</v>
      </c>
      <c r="W5" t="s">
        <v>131</v>
      </c>
    </row>
    <row r="6" spans="1:23" x14ac:dyDescent="0.3">
      <c r="A6" t="s">
        <v>75</v>
      </c>
      <c r="B6" s="13">
        <f>B5*VLOOKUP(B4,'Table 6-1 Rates'!$A$4:$F$84,6,FALSE)/IF($A$1="IP",1000,100)</f>
        <v>5.61</v>
      </c>
      <c r="C6" s="13">
        <f>C5*VLOOKUP(C4,'Table 6-1 Rates'!$A$4:$F$84,6,FALSE)/IF($A$1="IP",1000,100)</f>
        <v>0</v>
      </c>
      <c r="D6" s="13">
        <f>D5*VLOOKUP(D4,'Table 6-1 Rates'!$A$4:$F$84,6,FALSE)/IF($A$1="IP",1000,100)</f>
        <v>43.2</v>
      </c>
      <c r="E6" s="13">
        <f>E5*VLOOKUP(E4,'Table 6-1 Rates'!$A$4:$F$84,6,FALSE)/IF($A$1="IP",1000,100)</f>
        <v>26.4</v>
      </c>
      <c r="F6" s="13">
        <f>F5*VLOOKUP(F4,'Table 6-1 Rates'!$A$4:$F$84,6,FALSE)/IF($A$1="IP",1000,100)</f>
        <v>33.06</v>
      </c>
      <c r="G6" s="13">
        <f>G5*VLOOKUP(G4,'Table 6-1 Rates'!$A$4:$F$84,6,FALSE)/IF($A$1="IP",1000,100)</f>
        <v>0.92</v>
      </c>
      <c r="H6" s="13">
        <f>H5*VLOOKUP(H4,'Table 6-1 Rates'!$A$4:$F$84,6,FALSE)/IF($A$1="IP",1000,100)</f>
        <v>26.2</v>
      </c>
      <c r="I6" s="13">
        <f>I5*VLOOKUP(I4,'Table 6-1 Rates'!$A$4:$F$84,6,FALSE)/IF($A$1="IP",1000,100)</f>
        <v>5.6449999999999996</v>
      </c>
      <c r="J6" s="13">
        <f>J5*VLOOKUP(J4,'Table 6-1 Rates'!$A$4:$F$84,6,FALSE)/IF($A$1="IP",1000,100)</f>
        <v>0</v>
      </c>
      <c r="K6" s="13">
        <f>K5*VLOOKUP(K4,'Table 6-1 Rates'!$A$4:$F$84,6,FALSE)/IF($A$1="IP",1000,100)</f>
        <v>5.68</v>
      </c>
      <c r="L6" s="13">
        <f>L5*VLOOKUP(L4,'Table 6-1 Rates'!$A$4:$F$84,6,FALSE)/IF($A$1="IP",1000,100)</f>
        <v>1.1200000000000001</v>
      </c>
      <c r="M6" s="13">
        <f>M5*VLOOKUP(M4,'Table 6-1 Rates'!$A$4:$F$84,6,FALSE)/IF($A$1="IP",1000,100)</f>
        <v>13.455</v>
      </c>
      <c r="N6" s="13">
        <f>N5*VLOOKUP(N4,'Table 6-1 Rates'!$A$4:$F$84,6,FALSE)/IF($A$1="IP",1000,100)</f>
        <v>1.23</v>
      </c>
      <c r="O6" s="13">
        <f>O5*VLOOKUP(O4,'Table 6-1 Rates'!$A$4:$F$84,6,FALSE)/IF($A$1="IP",1000,100)</f>
        <v>5.45</v>
      </c>
      <c r="P6" s="13">
        <f>P5*VLOOKUP(P4,'Table 6-1 Rates'!$A$4:$F$84,6,FALSE)/IF($A$1="IP",1000,100)</f>
        <v>1.645</v>
      </c>
      <c r="Q6" s="13">
        <f>Q5*VLOOKUP(Q4,'Table 6-1 Rates'!$A$4:$F$84,6,FALSE)/IF($A$1="IP",1000,100)</f>
        <v>3.37</v>
      </c>
      <c r="R6" s="13">
        <f>R5*VLOOKUP(R4,'Table 6-1 Rates'!$A$4:$F$84,6,FALSE)/IF($A$1="IP",1000,100)</f>
        <v>3.335</v>
      </c>
      <c r="S6" s="13">
        <f>S5*VLOOKUP(S4,'Table 6-1 Rates'!$A$4:$F$84,6,FALSE)/IF($A$1="IP",1000,100)</f>
        <v>0</v>
      </c>
      <c r="T6" s="13">
        <f>T5*VLOOKUP(T4,'Table 6-1 Rates'!$A$4:$F$84,6,FALSE)/IF($A$1="IP",1000,100)</f>
        <v>0</v>
      </c>
      <c r="U6" s="13">
        <f>U5*VLOOKUP(U4,'Table 6-1 Rates'!$A$4:$F$84,6,FALSE)/IF($A$1="IP",1000,100)</f>
        <v>0</v>
      </c>
      <c r="V6" s="14">
        <f t="shared" ref="V6:V9" si="0">SUM(B6:U6)</f>
        <v>176.32000000000005</v>
      </c>
      <c r="W6" t="s">
        <v>132</v>
      </c>
    </row>
    <row r="7" spans="1:23" s="17" customFormat="1" x14ac:dyDescent="0.3">
      <c r="A7" s="15" t="s">
        <v>105</v>
      </c>
      <c r="B7" s="16" t="e">
        <f>B5*(VLOOKUP(B4,'Table 6-1 Rates'!$A$3:$I$84,7,FALSE))</f>
        <v>#N/A</v>
      </c>
      <c r="C7" s="16" t="e">
        <f>C5*(VLOOKUP(C4,'Table 6-1 Rates'!$A$3:$I$84,7,FALSE))</f>
        <v>#N/A</v>
      </c>
      <c r="D7" s="16" t="e">
        <f>D5*(VLOOKUP(D4,'Table 6-1 Rates'!$A$3:$I$84,7,FALSE))</f>
        <v>#N/A</v>
      </c>
      <c r="E7" s="16" t="e">
        <f>E5*(VLOOKUP(E4,'Table 6-1 Rates'!$A$3:$I$84,7,FALSE))</f>
        <v>#N/A</v>
      </c>
      <c r="F7" s="16" t="e">
        <f>F5*(VLOOKUP(F4,'Table 6-1 Rates'!$A$3:$I$84,7,FALSE))</f>
        <v>#N/A</v>
      </c>
      <c r="G7" s="16" t="e">
        <f>G5*(VLOOKUP(G4,'Table 6-1 Rates'!$A$3:$I$84,7,FALSE))</f>
        <v>#N/A</v>
      </c>
      <c r="H7" s="16" t="e">
        <f>H5*(VLOOKUP(H4,'Table 6-1 Rates'!$A$3:$I$84,7,FALSE))</f>
        <v>#N/A</v>
      </c>
      <c r="I7" s="16" t="e">
        <f>I5*(VLOOKUP(I4,'Table 6-1 Rates'!$A$3:$I$84,7,FALSE))</f>
        <v>#N/A</v>
      </c>
      <c r="J7" s="16" t="e">
        <f>J5*(VLOOKUP(J4,'Table 6-1 Rates'!$A$3:$I$84,7,FALSE))</f>
        <v>#N/A</v>
      </c>
      <c r="K7" s="16" t="e">
        <f>K5*(VLOOKUP(K4,'Table 6-1 Rates'!$A$3:$I$84,7,FALSE))</f>
        <v>#N/A</v>
      </c>
      <c r="L7" s="16" t="e">
        <f>L5*(VLOOKUP(L4,'Table 6-1 Rates'!$A$3:$I$84,7,FALSE))</f>
        <v>#N/A</v>
      </c>
      <c r="M7" s="16">
        <f>M5*(VLOOKUP(M4,'Table 6-1 Rates'!$A$3:$I$84,7,FALSE))</f>
        <v>134.54999999999998</v>
      </c>
      <c r="N7" s="16" t="e">
        <f>N5*(VLOOKUP(N4,'Table 6-1 Rates'!$A$3:$I$84,7,FALSE))</f>
        <v>#N/A</v>
      </c>
      <c r="O7" s="16" t="e">
        <f>O5*(VLOOKUP(O4,'Table 6-1 Rates'!$A$3:$I$84,7,FALSE))</f>
        <v>#N/A</v>
      </c>
      <c r="P7" s="16" t="e">
        <f>P5*(VLOOKUP(P4,'Table 6-1 Rates'!$A$3:$I$84,7,FALSE))</f>
        <v>#N/A</v>
      </c>
      <c r="Q7" s="16" t="e">
        <f>Q5*(VLOOKUP(Q4,'Table 6-1 Rates'!$A$3:$I$84,7,FALSE))</f>
        <v>#N/A</v>
      </c>
      <c r="R7" s="16" t="e">
        <f>R5*(VLOOKUP(R4,'Table 6-1 Rates'!$A$3:$I$84,7,FALSE))</f>
        <v>#N/A</v>
      </c>
      <c r="S7" s="16" t="e">
        <f>S5*(VLOOKUP(S4,'Table 6-1 Rates'!$A$3:$I$84,7,FALSE))</f>
        <v>#N/A</v>
      </c>
      <c r="T7" s="16">
        <f>T5*(VLOOKUP(T4,'Table 6-1 Rates'!$A$3:$I$84,7,FALSE))</f>
        <v>0</v>
      </c>
      <c r="U7" s="16" t="e">
        <f>U5*(VLOOKUP(U4,'Table 6-1 Rates'!$A$3:$I$84,7,FALSE))</f>
        <v>#N/A</v>
      </c>
      <c r="V7" s="14" t="e">
        <f t="shared" si="0"/>
        <v>#N/A</v>
      </c>
    </row>
    <row r="8" spans="1:23" s="17" customFormat="1" ht="17.25" customHeight="1" x14ac:dyDescent="0.3">
      <c r="A8" s="18" t="s">
        <v>106</v>
      </c>
      <c r="B8" s="16" t="e">
        <f>B5*(VLOOKUP(B4,'Table 6-1 Rates'!$A$3:$I$84,8,FALSE))</f>
        <v>#N/A</v>
      </c>
      <c r="C8" s="16" t="e">
        <f>C5*(VLOOKUP(C4,'Table 6-1 Rates'!$A$3:$I$84,8,FALSE))</f>
        <v>#N/A</v>
      </c>
      <c r="D8" s="16" t="e">
        <f>D5*(VLOOKUP(D4,'Table 6-1 Rates'!$A$3:$I$84,8,FALSE))</f>
        <v>#N/A</v>
      </c>
      <c r="E8" s="16" t="e">
        <f>E5*(VLOOKUP(E4,'Table 6-1 Rates'!$A$3:$I$84,8,FALSE))</f>
        <v>#N/A</v>
      </c>
      <c r="F8" s="16" t="e">
        <f>F5*(VLOOKUP(F4,'Table 6-1 Rates'!$A$3:$I$84,8,FALSE))</f>
        <v>#N/A</v>
      </c>
      <c r="G8" s="16" t="e">
        <f>G5*(VLOOKUP(G4,'Table 6-1 Rates'!$A$3:$I$84,8,FALSE))</f>
        <v>#N/A</v>
      </c>
      <c r="H8" s="16" t="e">
        <f>H5*(VLOOKUP(H4,'Table 6-1 Rates'!$A$3:$I$84,8,FALSE))</f>
        <v>#N/A</v>
      </c>
      <c r="I8" s="16" t="e">
        <f>I5*(VLOOKUP(I4,'Table 6-1 Rates'!$A$3:$I$84,8,FALSE))</f>
        <v>#N/A</v>
      </c>
      <c r="J8" s="16" t="e">
        <f>J5*(VLOOKUP(J4,'Table 6-1 Rates'!$A$3:$I$84,8,FALSE))</f>
        <v>#N/A</v>
      </c>
      <c r="K8" s="16" t="e">
        <f>K5*(VLOOKUP(K4,'Table 6-1 Rates'!$A$3:$I$84,8,FALSE))</f>
        <v>#N/A</v>
      </c>
      <c r="L8" s="16" t="e">
        <f>L5*(VLOOKUP(L4,'Table 6-1 Rates'!$A$3:$I$84,8,FALSE))</f>
        <v>#N/A</v>
      </c>
      <c r="M8" s="16">
        <f>M5*(VLOOKUP(M4,'Table 6-1 Rates'!$A$3:$I$84,8,FALSE))</f>
        <v>0</v>
      </c>
      <c r="N8" s="16" t="e">
        <f>N5*(VLOOKUP(N4,'Table 6-1 Rates'!$A$3:$I$84,8,FALSE))</f>
        <v>#N/A</v>
      </c>
      <c r="O8" s="16" t="e">
        <f>O5*(VLOOKUP(O4,'Table 6-1 Rates'!$A$3:$I$84,8,FALSE))</f>
        <v>#N/A</v>
      </c>
      <c r="P8" s="16" t="e">
        <f>P5*(VLOOKUP(P4,'Table 6-1 Rates'!$A$3:$I$84,8,FALSE))</f>
        <v>#N/A</v>
      </c>
      <c r="Q8" s="16" t="e">
        <f>Q5*(VLOOKUP(Q4,'Table 6-1 Rates'!$A$3:$I$84,8,FALSE))</f>
        <v>#N/A</v>
      </c>
      <c r="R8" s="16" t="e">
        <f>R5*(VLOOKUP(R4,'Table 6-1 Rates'!$A$3:$I$84,8,FALSE))</f>
        <v>#N/A</v>
      </c>
      <c r="S8" s="16" t="e">
        <f>S5*(VLOOKUP(S4,'Table 6-1 Rates'!$A$3:$I$84,8,FALSE))</f>
        <v>#N/A</v>
      </c>
      <c r="T8" s="16">
        <f>T5*(VLOOKUP(T4,'Table 6-1 Rates'!$A$3:$I$84,8,FALSE))</f>
        <v>0</v>
      </c>
      <c r="U8" s="16" t="e">
        <f>U5*(VLOOKUP(U4,'Table 6-1 Rates'!$A$3:$I$84,8,FALSE))</f>
        <v>#N/A</v>
      </c>
      <c r="V8" s="14" t="e">
        <f t="shared" si="0"/>
        <v>#N/A</v>
      </c>
    </row>
    <row r="9" spans="1:23" x14ac:dyDescent="0.3">
      <c r="A9" s="18" t="s">
        <v>107</v>
      </c>
      <c r="B9" s="16" t="e">
        <f>B5*(VLOOKUP(B4,'Table 6-1 Rates'!$A$3:$I$84,9,FALSE))</f>
        <v>#N/A</v>
      </c>
      <c r="C9" s="16" t="e">
        <f>C5*(VLOOKUP(C4,'Table 6-1 Rates'!$A$3:$I$84,9,FALSE))</f>
        <v>#N/A</v>
      </c>
      <c r="D9" s="16" t="e">
        <f>D5*(VLOOKUP(D4,'Table 6-1 Rates'!$A$3:$I$84,9,FALSE))</f>
        <v>#N/A</v>
      </c>
      <c r="E9" s="16" t="e">
        <f>E5*(VLOOKUP(E4,'Table 6-1 Rates'!$A$3:$I$84,9,FALSE))</f>
        <v>#N/A</v>
      </c>
      <c r="F9" s="16" t="e">
        <f>F5*(VLOOKUP(F4,'Table 6-1 Rates'!$A$3:$I$84,9,FALSE))</f>
        <v>#N/A</v>
      </c>
      <c r="G9" s="16" t="e">
        <f>G5*(VLOOKUP(G4,'Table 6-1 Rates'!$A$3:$I$84,9,FALSE))</f>
        <v>#N/A</v>
      </c>
      <c r="H9" s="16" t="e">
        <f>H5*(VLOOKUP(H4,'Table 6-1 Rates'!$A$3:$I$84,9,FALSE))</f>
        <v>#N/A</v>
      </c>
      <c r="I9" s="16" t="e">
        <f>I5*(VLOOKUP(I4,'Table 6-1 Rates'!$A$3:$I$84,9,FALSE))</f>
        <v>#N/A</v>
      </c>
      <c r="J9" s="16" t="e">
        <f>J5*(VLOOKUP(J4,'Table 6-1 Rates'!$A$3:$I$84,9,FALSE))</f>
        <v>#N/A</v>
      </c>
      <c r="K9" s="16" t="e">
        <f>K5*(VLOOKUP(K4,'Table 6-1 Rates'!$A$3:$I$84,9,FALSE))</f>
        <v>#N/A</v>
      </c>
      <c r="L9" s="16" t="e">
        <f>L5*(VLOOKUP(L4,'Table 6-1 Rates'!$A$3:$I$84,9,FALSE))</f>
        <v>#N/A</v>
      </c>
      <c r="M9" s="16">
        <f>M5*(VLOOKUP(M4,'Table 6-1 Rates'!$A$3:$I$84,9,FALSE))</f>
        <v>134.54999999999998</v>
      </c>
      <c r="N9" s="16" t="e">
        <f>N5*(VLOOKUP(N4,'Table 6-1 Rates'!$A$3:$I$84,9,FALSE))</f>
        <v>#N/A</v>
      </c>
      <c r="O9" s="16" t="e">
        <f>O5*(VLOOKUP(O4,'Table 6-1 Rates'!$A$3:$I$84,9,FALSE))</f>
        <v>#N/A</v>
      </c>
      <c r="P9" s="16" t="e">
        <f>P5*(VLOOKUP(P4,'Table 6-1 Rates'!$A$3:$I$84,9,FALSE))</f>
        <v>#N/A</v>
      </c>
      <c r="Q9" s="16" t="e">
        <f>Q5*(VLOOKUP(Q4,'Table 6-1 Rates'!$A$3:$I$84,9,FALSE))</f>
        <v>#N/A</v>
      </c>
      <c r="R9" s="16" t="e">
        <f>R5*(VLOOKUP(R4,'Table 6-1 Rates'!$A$3:$I$84,9,FALSE))</f>
        <v>#N/A</v>
      </c>
      <c r="S9" s="16" t="e">
        <f>S5*(VLOOKUP(S4,'Table 6-1 Rates'!$A$3:$I$84,9,FALSE))</f>
        <v>#N/A</v>
      </c>
      <c r="T9" s="16">
        <f>T5*(VLOOKUP(T4,'Table 6-1 Rates'!$A$3:$I$84,9,FALSE))</f>
        <v>0</v>
      </c>
      <c r="U9" s="16" t="e">
        <f>U5*(VLOOKUP(U4,'Table 6-1 Rates'!$A$3:$I$84,9,FALSE))</f>
        <v>#N/A</v>
      </c>
      <c r="V9" s="14" t="e">
        <f t="shared" si="0"/>
        <v>#N/A</v>
      </c>
    </row>
    <row r="10" spans="1:23" x14ac:dyDescent="0.3">
      <c r="A10" t="s">
        <v>141</v>
      </c>
      <c r="B10" t="e">
        <f>IF(VLOOKUP(B4,'T-24 TAble 120.1-A'!$A$2:$D$76,7,FALSE)="F","YES","NO")</f>
        <v>#N/A</v>
      </c>
      <c r="C10" t="e">
        <f>IF(VLOOKUP(C4,'T-24 TAble 120.1-A'!$A$2:$D$76,7,FALSE)="F","YES","NO")</f>
        <v>#N/A</v>
      </c>
      <c r="D10" t="e">
        <f>IF(VLOOKUP(D4,'T-24 TAble 120.1-A'!$A$2:$D$76,7,FALSE)="F","YES","NO")</f>
        <v>#N/A</v>
      </c>
      <c r="E10" t="e">
        <f>IF(VLOOKUP(E4,'T-24 TAble 120.1-A'!$A$2:$D$76,7,FALSE)="F","YES","NO")</f>
        <v>#N/A</v>
      </c>
      <c r="F10" t="e">
        <f>IF(VLOOKUP(F4,'T-24 TAble 120.1-A'!$A$2:$D$76,7,FALSE)="F","YES","NO")</f>
        <v>#N/A</v>
      </c>
      <c r="G10" t="e">
        <f>IF(VLOOKUP(G4,'T-24 TAble 120.1-A'!$A$2:$D$76,7,FALSE)="F","YES","NO")</f>
        <v>#N/A</v>
      </c>
      <c r="H10" t="e">
        <f>IF(VLOOKUP(H4,'T-24 TAble 120.1-A'!$A$2:$D$76,7,FALSE)="F","YES","NO")</f>
        <v>#N/A</v>
      </c>
      <c r="I10" t="e">
        <f>IF(VLOOKUP(I4,'T-24 TAble 120.1-A'!$A$2:$D$76,7,FALSE)="F","YES","NO")</f>
        <v>#N/A</v>
      </c>
      <c r="J10" t="e">
        <f>IF(VLOOKUP(J4,'T-24 TAble 120.1-A'!$A$2:$D$76,7,FALSE)="F","YES","NO")</f>
        <v>#N/A</v>
      </c>
      <c r="K10" t="e">
        <f>IF(VLOOKUP(K4,'T-24 TAble 120.1-A'!$A$2:$D$76,7,FALSE)="F","YES","NO")</f>
        <v>#N/A</v>
      </c>
      <c r="L10" t="e">
        <f>IF(VLOOKUP(L4,'T-24 TAble 120.1-A'!$A$2:$D$76,7,FALSE)="F","YES","NO")</f>
        <v>#N/A</v>
      </c>
      <c r="M10" t="e">
        <f>IF(VLOOKUP(M4,'T-24 TAble 120.1-A'!$A$2:$D$76,7,FALSE)="F","YES","NO")</f>
        <v>#N/A</v>
      </c>
      <c r="N10" t="e">
        <f>IF(VLOOKUP(N4,'T-24 TAble 120.1-A'!$A$2:$D$76,7,FALSE)="F","YES","NO")</f>
        <v>#N/A</v>
      </c>
      <c r="O10" t="e">
        <f>IF(VLOOKUP(O4,'T-24 TAble 120.1-A'!$A$2:$D$76,7,FALSE)="F","YES","NO")</f>
        <v>#N/A</v>
      </c>
      <c r="P10" t="e">
        <f>IF(VLOOKUP(P4,'T-24 TAble 120.1-A'!$A$2:$D$76,7,FALSE)="F","YES","NO")</f>
        <v>#N/A</v>
      </c>
      <c r="Q10" t="e">
        <f>IF(VLOOKUP(Q4,'T-24 TAble 120.1-A'!$A$2:$D$76,7,FALSE)="F","YES","NO")</f>
        <v>#N/A</v>
      </c>
      <c r="R10" t="e">
        <f>IF(VLOOKUP(R4,'T-24 TAble 120.1-A'!$A$2:$D$76,7,FALSE)="F","YES","NO")</f>
        <v>#N/A</v>
      </c>
      <c r="S10" t="e">
        <f>IF(VLOOKUP(S4,'T-24 TAble 120.1-A'!$A$2:$D$76,7,FALSE)="F","YES","NO")</f>
        <v>#N/A</v>
      </c>
    </row>
    <row r="11" spans="1:23" x14ac:dyDescent="0.3">
      <c r="A11" t="s">
        <v>145</v>
      </c>
      <c r="B11" t="str">
        <f>IF(VLOOKUP(B4,'Table 6-1 Rates'!$A$5:$I$84,6,FALSE)&gt;25,"YES","NO")</f>
        <v>NO</v>
      </c>
      <c r="C11" t="str">
        <f>IF(VLOOKUP(C4,'Table 6-1 Rates'!$A$5:$I$84,6,FALSE)&gt;25,"YES","NO")</f>
        <v>NO</v>
      </c>
      <c r="D11" t="str">
        <f>IF(VLOOKUP(D4,'Table 6-1 Rates'!$A$5:$I$84,6,FALSE)&gt;25,"YES","NO")</f>
        <v>YES</v>
      </c>
      <c r="E11" t="str">
        <f>IF(VLOOKUP(E4,'Table 6-1 Rates'!$A$5:$I$84,6,FALSE)&gt;25,"YES","NO")</f>
        <v>YES</v>
      </c>
      <c r="F11" t="str">
        <f>IF(VLOOKUP(F4,'Table 6-1 Rates'!$A$5:$I$84,6,FALSE)&gt;25,"YES","NO")</f>
        <v>YES</v>
      </c>
      <c r="G11" t="str">
        <f>IF(VLOOKUP(G4,'Table 6-1 Rates'!$A$5:$I$84,6,FALSE)&gt;25,"YES","NO")</f>
        <v>NO</v>
      </c>
      <c r="H11" t="str">
        <f>IF(VLOOKUP(H4,'Table 6-1 Rates'!$A$5:$I$84,6,FALSE)&gt;25,"YES","NO")</f>
        <v>YES</v>
      </c>
      <c r="I11" t="str">
        <f>IF(VLOOKUP(I4,'Table 6-1 Rates'!$A$5:$I$84,6,FALSE)&gt;25,"YES","NO")</f>
        <v>NO</v>
      </c>
      <c r="J11" t="str">
        <f>IF(VLOOKUP(J4,'Table 6-1 Rates'!$A$5:$I$84,6,FALSE)&gt;25,"YES","NO")</f>
        <v>NO</v>
      </c>
      <c r="K11" t="str">
        <f>IF(VLOOKUP(K4,'Table 6-1 Rates'!$A$5:$I$84,6,FALSE)&gt;25,"YES","NO")</f>
        <v>NO</v>
      </c>
      <c r="L11" t="str">
        <f>IF(VLOOKUP(L4,'Table 6-1 Rates'!$A$5:$I$84,6,FALSE)&gt;25,"YES","NO")</f>
        <v>NO</v>
      </c>
      <c r="M11" t="str">
        <f>IF(VLOOKUP(M4,'Table 6-1 Rates'!$A$5:$I$84,6,FALSE)&gt;25,"YES","NO")</f>
        <v>NO</v>
      </c>
      <c r="N11" t="str">
        <f>IF(VLOOKUP(N4,'Table 6-1 Rates'!$A$5:$I$84,6,FALSE)&gt;25,"YES","NO")</f>
        <v>NO</v>
      </c>
      <c r="O11" t="str">
        <f>IF(VLOOKUP(O4,'Table 6-1 Rates'!$A$5:$I$84,6,FALSE)&gt;25,"YES","NO")</f>
        <v>NO</v>
      </c>
      <c r="P11" t="str">
        <f>IF(VLOOKUP(P4,'Table 6-1 Rates'!$A$5:$I$84,6,FALSE)&gt;25,"YES","NO")</f>
        <v>NO</v>
      </c>
      <c r="Q11" t="str">
        <f>IF(VLOOKUP(Q4,'Table 6-1 Rates'!$A$5:$I$84,6,FALSE)&gt;25,"YES","NO")</f>
        <v>NO</v>
      </c>
      <c r="R11" t="str">
        <f>IF(VLOOKUP(R4,'Table 6-1 Rates'!$A$5:$I$84,6,FALSE)&gt;25,"YES","NO")</f>
        <v>NO</v>
      </c>
      <c r="S11" t="str">
        <f>IF(VLOOKUP(S4,'Table 6-1 Rates'!$A$5:$I$84,6,FALSE)&gt;25,"YES","NO")</f>
        <v>NO</v>
      </c>
      <c r="T11" t="str">
        <f>IF(VLOOKUP(T4,'Table 6-1 Rates'!$A$5:$I$84,6,FALSE)&gt;25,"YES","NO")</f>
        <v>NO</v>
      </c>
      <c r="U11" t="str">
        <f>IF(VLOOKUP(U4,'Table 6-1 Rates'!$A$5:$I$84,6,FALSE)&gt;25,"YES","NO")</f>
        <v>NO</v>
      </c>
    </row>
    <row r="12" spans="1:23" x14ac:dyDescent="0.3">
      <c r="T12" s="31" t="s">
        <v>130</v>
      </c>
      <c r="U12" s="24" t="s">
        <v>104</v>
      </c>
      <c r="V12" s="23" t="e">
        <f>V9</f>
        <v>#N/A</v>
      </c>
    </row>
    <row r="13" spans="1:23" x14ac:dyDescent="0.3">
      <c r="T13" s="31"/>
      <c r="U13" s="24" t="s">
        <v>103</v>
      </c>
      <c r="V13" s="23" t="e">
        <f>V7</f>
        <v>#N/A</v>
      </c>
    </row>
  </sheetData>
  <mergeCells count="1">
    <mergeCell ref="T12:T13"/>
  </mergeCells>
  <phoneticPr fontId="10" type="noConversion"/>
  <conditionalFormatting sqref="B2:S2">
    <cfRule type="expression" dxfId="7" priority="1" stopIfTrue="1">
      <formula>B$71=$K$73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errorStyle="warning" allowBlank="1" showErrorMessage="1" errorTitle="Warning: " error="This is not a valid occupancy category selection. Please select a valid occupancy category." xr:uid="{E7C4BC24-59E1-453E-92E4-64B8A5FBFF49}">
          <x14:formula1>
            <xm:f>'Table 6-1 Rates'!$A$5:$A$84</xm:f>
          </x14:formula1>
          <xm:sqref>B4:S4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D9EE-449E-4CFA-874F-9EAB5FEA3F1C}">
  <sheetPr codeName="Sheet6"/>
  <dimension ref="A1:Q71"/>
  <sheetViews>
    <sheetView workbookViewId="0">
      <selection activeCell="P11" sqref="P11:P19"/>
    </sheetView>
  </sheetViews>
  <sheetFormatPr defaultRowHeight="14.4" x14ac:dyDescent="0.3"/>
  <cols>
    <col min="1" max="1" width="10" bestFit="1" customWidth="1"/>
    <col min="3" max="3" width="20.33203125" bestFit="1" customWidth="1"/>
    <col min="4" max="4" width="19.109375" bestFit="1" customWidth="1"/>
    <col min="5" max="5" width="19" bestFit="1" customWidth="1"/>
    <col min="6" max="6" width="13.109375" bestFit="1" customWidth="1"/>
    <col min="7" max="7" width="15.88671875" bestFit="1" customWidth="1"/>
    <col min="8" max="8" width="9.88671875" bestFit="1" customWidth="1"/>
    <col min="9" max="9" width="15.44140625" bestFit="1" customWidth="1"/>
    <col min="10" max="10" width="8.44140625" bestFit="1" customWidth="1"/>
    <col min="11" max="11" width="15.109375" bestFit="1" customWidth="1"/>
    <col min="12" max="12" width="14.44140625" bestFit="1" customWidth="1"/>
    <col min="13" max="13" width="15.109375" bestFit="1" customWidth="1"/>
    <col min="14" max="14" width="14" bestFit="1" customWidth="1"/>
    <col min="15" max="15" width="13.6640625" bestFit="1" customWidth="1"/>
    <col min="16" max="16" width="21.88671875" bestFit="1" customWidth="1"/>
  </cols>
  <sheetData>
    <row r="1" spans="1:16" x14ac:dyDescent="0.3">
      <c r="A1" s="32" t="s">
        <v>133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3">
      <c r="A2" s="32" t="s">
        <v>134</v>
      </c>
      <c r="B2" s="32" t="s">
        <v>135</v>
      </c>
      <c r="C2" s="32" t="s">
        <v>136</v>
      </c>
      <c r="D2" s="32" t="s">
        <v>137</v>
      </c>
      <c r="E2" s="32"/>
      <c r="F2" s="32"/>
      <c r="G2" s="32" t="s">
        <v>152</v>
      </c>
      <c r="H2" s="32"/>
      <c r="I2" s="32"/>
      <c r="J2" s="32"/>
      <c r="K2" s="32"/>
      <c r="L2" s="32"/>
      <c r="M2" s="32"/>
      <c r="N2" s="32"/>
      <c r="O2" s="32"/>
      <c r="P2" s="32"/>
    </row>
    <row r="3" spans="1:16" x14ac:dyDescent="0.3">
      <c r="A3" s="32"/>
      <c r="B3" s="32"/>
      <c r="C3" s="32"/>
      <c r="D3" s="24" t="s">
        <v>138</v>
      </c>
      <c r="E3" s="24" t="s">
        <v>139</v>
      </c>
      <c r="F3" s="24" t="s">
        <v>140</v>
      </c>
      <c r="G3" s="24" t="s">
        <v>153</v>
      </c>
      <c r="H3" s="24" t="s">
        <v>146</v>
      </c>
      <c r="I3" s="24" t="s">
        <v>147</v>
      </c>
      <c r="J3" s="24" t="s">
        <v>148</v>
      </c>
      <c r="K3" s="24" t="s">
        <v>149</v>
      </c>
      <c r="L3" s="24" t="s">
        <v>150</v>
      </c>
      <c r="M3" s="24" t="s">
        <v>151</v>
      </c>
      <c r="N3" s="24" t="s">
        <v>155</v>
      </c>
      <c r="O3" s="24" t="s">
        <v>154</v>
      </c>
      <c r="P3" s="24" t="s">
        <v>156</v>
      </c>
    </row>
    <row r="4" spans="1:16" x14ac:dyDescent="0.3">
      <c r="A4" s="19" t="str" cm="1">
        <f t="array" ref="A4:A27">TRANSPOSE('RTU 1-1'!B2:Y2)</f>
        <v>VAV-1-1-1</v>
      </c>
      <c r="B4" s="19"/>
      <c r="C4" s="19">
        <f>HLOOKUP(A4,'RTU 1-1'!$B$2:$Y$11,2,FALSE)</f>
        <v>0</v>
      </c>
      <c r="D4" s="25"/>
      <c r="E4" s="25"/>
      <c r="F4" s="25"/>
      <c r="G4" s="25"/>
      <c r="H4" s="25"/>
      <c r="I4" s="25"/>
      <c r="J4" s="25"/>
      <c r="K4" s="25"/>
      <c r="L4" s="19" t="e">
        <f>HLOOKUP($A4,'RTU 1-1'!$B$2:$Y$11,7,FALSE)</f>
        <v>#N/A</v>
      </c>
      <c r="M4" s="19" t="e">
        <f>HLOOKUP($A4,'RTU 1-1'!$B$2:$Y$11,6,FALSE)</f>
        <v>#N/A</v>
      </c>
      <c r="N4" s="19" t="str">
        <f>HLOOKUP($A4,'RTU 1-1'!$B$2:$Y$11,10,FALSE)</f>
        <v>NO</v>
      </c>
      <c r="O4" s="19" t="str">
        <f>IF(N4="YES",600,"N/A")</f>
        <v>N/A</v>
      </c>
      <c r="P4" s="19" t="e">
        <f>HLOOKUP($A4,'RTU 1-1'!$B$2:$Y$11,9,FALSE)</f>
        <v>#N/A</v>
      </c>
    </row>
    <row r="5" spans="1:16" x14ac:dyDescent="0.3">
      <c r="A5" s="19" t="str">
        <v>VAV-1-1-2</v>
      </c>
      <c r="B5" s="19"/>
      <c r="C5" s="19">
        <f>HLOOKUP(A5,'RTU 1-1'!$B$2:$Y$11,2,FALSE)</f>
        <v>0</v>
      </c>
      <c r="D5" s="25"/>
      <c r="E5" s="25"/>
      <c r="F5" s="25"/>
      <c r="G5" s="25"/>
      <c r="H5" s="25"/>
      <c r="I5" s="25"/>
      <c r="J5" s="25"/>
      <c r="K5" s="25"/>
      <c r="L5" s="19" t="e">
        <f>HLOOKUP($A5,'RTU 1-1'!$B$2:$Y$11,7,FALSE)</f>
        <v>#N/A</v>
      </c>
      <c r="M5" s="19" t="e">
        <f>HLOOKUP($A5,'RTU 1-1'!$B$2:$Y$11,6,FALSE)</f>
        <v>#N/A</v>
      </c>
      <c r="N5" s="19" t="str">
        <f>HLOOKUP($A5,'RTU 1-1'!$B$2:$Y$11,10,FALSE)</f>
        <v>NO</v>
      </c>
      <c r="O5" s="19" t="str">
        <f t="shared" ref="O5:O68" si="0">IF(N5="YES",600,"N/A")</f>
        <v>N/A</v>
      </c>
      <c r="P5" s="19" t="e">
        <f>HLOOKUP($A5,'RTU 1-1'!$B$2:$Y$11,9,FALSE)</f>
        <v>#N/A</v>
      </c>
    </row>
    <row r="6" spans="1:16" x14ac:dyDescent="0.3">
      <c r="A6" s="19" t="str">
        <v>VAV-1-1-3</v>
      </c>
      <c r="B6" s="19"/>
      <c r="C6" s="19">
        <f>HLOOKUP(A6,'RTU 1-1'!$B$2:$Y$11,2,FALSE)</f>
        <v>0</v>
      </c>
      <c r="D6" s="25"/>
      <c r="E6" s="25"/>
      <c r="F6" s="25"/>
      <c r="G6" s="25"/>
      <c r="H6" s="25"/>
      <c r="I6" s="25"/>
      <c r="J6" s="25"/>
      <c r="K6" s="25"/>
      <c r="L6" s="19" t="e">
        <f>HLOOKUP($A6,'RTU 1-1'!$B$2:$Y$11,7,FALSE)</f>
        <v>#N/A</v>
      </c>
      <c r="M6" s="19" t="e">
        <f>HLOOKUP($A6,'RTU 1-1'!$B$2:$Y$11,6,FALSE)</f>
        <v>#N/A</v>
      </c>
      <c r="N6" s="19" t="str">
        <f>HLOOKUP($A6,'RTU 1-1'!$B$2:$Y$11,10,FALSE)</f>
        <v>NO</v>
      </c>
      <c r="O6" s="19" t="str">
        <f t="shared" si="0"/>
        <v>N/A</v>
      </c>
      <c r="P6" s="19" t="e">
        <f>HLOOKUP($A6,'RTU 1-1'!$B$2:$Y$11,9,FALSE)</f>
        <v>#N/A</v>
      </c>
    </row>
    <row r="7" spans="1:16" x14ac:dyDescent="0.3">
      <c r="A7" s="19" t="str">
        <v>VAV-1-2-1</v>
      </c>
      <c r="B7" s="19"/>
      <c r="C7" s="19">
        <f>HLOOKUP(A7,'RTU 1-1'!$B$2:$Y$11,2,FALSE)</f>
        <v>0</v>
      </c>
      <c r="D7" s="25"/>
      <c r="E7" s="25"/>
      <c r="F7" s="25"/>
      <c r="G7" s="25"/>
      <c r="H7" s="25"/>
      <c r="I7" s="25"/>
      <c r="J7" s="25"/>
      <c r="K7" s="25"/>
      <c r="L7" s="19">
        <f>HLOOKUP($A7,'RTU 1-1'!$B$2:$Y$11,7,FALSE)</f>
        <v>0</v>
      </c>
      <c r="M7" s="19">
        <f>HLOOKUP($A7,'RTU 1-1'!$B$2:$Y$11,6,FALSE)</f>
        <v>103.815</v>
      </c>
      <c r="N7" s="19" t="str">
        <f>HLOOKUP($A7,'RTU 1-1'!$B$2:$Y$11,10,FALSE)</f>
        <v>NO</v>
      </c>
      <c r="O7" s="19" t="str">
        <f t="shared" si="0"/>
        <v>N/A</v>
      </c>
      <c r="P7" s="19" t="e">
        <f>HLOOKUP($A7,'RTU 1-1'!$B$2:$Y$11,9,FALSE)</f>
        <v>#N/A</v>
      </c>
    </row>
    <row r="8" spans="1:16" x14ac:dyDescent="0.3">
      <c r="A8" s="19" t="str">
        <v>VAV-1-2-2</v>
      </c>
      <c r="B8" s="19"/>
      <c r="C8" s="19">
        <f>HLOOKUP(A8,'RTU 1-1'!$B$2:$Y$11,2,FALSE)</f>
        <v>0</v>
      </c>
      <c r="D8" s="25"/>
      <c r="E8" s="25"/>
      <c r="F8" s="25"/>
      <c r="G8" s="25"/>
      <c r="H8" s="25"/>
      <c r="I8" s="25"/>
      <c r="J8" s="25"/>
      <c r="K8" s="25"/>
      <c r="L8" s="19">
        <f>HLOOKUP($A8,'RTU 1-1'!$B$2:$Y$11,7,FALSE)</f>
        <v>0</v>
      </c>
      <c r="M8" s="19">
        <f>HLOOKUP($A8,'RTU 1-1'!$B$2:$Y$11,6,FALSE)</f>
        <v>47.084999999999994</v>
      </c>
      <c r="N8" s="19" t="str">
        <f>HLOOKUP($A8,'RTU 1-1'!$B$2:$Y$11,10,FALSE)</f>
        <v>NO</v>
      </c>
      <c r="O8" s="19" t="str">
        <f t="shared" si="0"/>
        <v>N/A</v>
      </c>
      <c r="P8" s="19" t="e">
        <f>HLOOKUP($A8,'RTU 1-1'!$B$2:$Y$11,9,FALSE)</f>
        <v>#N/A</v>
      </c>
    </row>
    <row r="9" spans="1:16" x14ac:dyDescent="0.3">
      <c r="A9" s="19" t="str">
        <v>VAV-1-2-3</v>
      </c>
      <c r="B9" s="19"/>
      <c r="C9" s="19">
        <f>HLOOKUP(A9,'RTU 1-1'!$B$2:$Y$11,2,FALSE)</f>
        <v>0</v>
      </c>
      <c r="D9" s="25"/>
      <c r="E9" s="25"/>
      <c r="F9" s="25"/>
      <c r="G9" s="25"/>
      <c r="H9" s="25"/>
      <c r="I9" s="25"/>
      <c r="J9" s="25"/>
      <c r="K9" s="25"/>
      <c r="L9" s="19">
        <f>HLOOKUP($A9,'RTU 1-1'!$B$2:$Y$11,7,FALSE)</f>
        <v>0</v>
      </c>
      <c r="M9" s="19">
        <f>HLOOKUP($A9,'RTU 1-1'!$B$2:$Y$11,6,FALSE)</f>
        <v>67.649999999999991</v>
      </c>
      <c r="N9" s="19" t="str">
        <f>HLOOKUP($A9,'RTU 1-1'!$B$2:$Y$11,10,FALSE)</f>
        <v>NO</v>
      </c>
      <c r="O9" s="19" t="str">
        <f t="shared" si="0"/>
        <v>N/A</v>
      </c>
      <c r="P9" s="19" t="e">
        <f>HLOOKUP($A9,'RTU 1-1'!$B$2:$Y$11,9,FALSE)</f>
        <v>#N/A</v>
      </c>
    </row>
    <row r="10" spans="1:16" x14ac:dyDescent="0.3">
      <c r="A10" s="19" t="str">
        <v>VAV-1-2-4</v>
      </c>
      <c r="B10" s="19"/>
      <c r="C10" s="19">
        <f>HLOOKUP(A10,'RTU 1-1'!$B$2:$Y$11,2,FALSE)</f>
        <v>0</v>
      </c>
      <c r="D10" s="25"/>
      <c r="E10" s="25"/>
      <c r="F10" s="25"/>
      <c r="G10" s="25"/>
      <c r="H10" s="25"/>
      <c r="I10" s="25"/>
      <c r="J10" s="25"/>
      <c r="K10" s="25"/>
      <c r="L10" s="19">
        <f>HLOOKUP($A10,'RTU 1-1'!$B$2:$Y$11,7,FALSE)</f>
        <v>0</v>
      </c>
      <c r="M10" s="19">
        <f>HLOOKUP($A10,'RTU 1-1'!$B$2:$Y$11,6,FALSE)</f>
        <v>97.665000000000006</v>
      </c>
      <c r="N10" s="19" t="str">
        <f>HLOOKUP($A10,'RTU 1-1'!$B$2:$Y$11,10,FALSE)</f>
        <v>NO</v>
      </c>
      <c r="O10" s="19" t="str">
        <f t="shared" si="0"/>
        <v>N/A</v>
      </c>
      <c r="P10" s="19" t="e">
        <f>HLOOKUP($A10,'RTU 1-1'!$B$2:$Y$11,9,FALSE)</f>
        <v>#N/A</v>
      </c>
    </row>
    <row r="11" spans="1:16" x14ac:dyDescent="0.3">
      <c r="A11" s="19" t="str">
        <v>VAV-1-2-5</v>
      </c>
      <c r="B11" s="19"/>
      <c r="C11" s="19">
        <f>HLOOKUP(A11,'RTU 1-1'!$B$2:$Y$11,2,FALSE)</f>
        <v>0</v>
      </c>
      <c r="D11" s="25"/>
      <c r="E11" s="25"/>
      <c r="F11" s="25"/>
      <c r="G11" s="25"/>
      <c r="H11" s="25"/>
      <c r="I11" s="25"/>
      <c r="J11" s="25"/>
      <c r="K11" s="25"/>
      <c r="L11" s="19" t="e">
        <f>HLOOKUP($A11,'RTU 1-1'!$B$2:$Y$11,7,FALSE)</f>
        <v>#N/A</v>
      </c>
      <c r="M11" s="19" t="e">
        <f>HLOOKUP($A11,'RTU 1-1'!$B$2:$Y$11,6,FALSE)</f>
        <v>#N/A</v>
      </c>
      <c r="N11" s="19" t="str">
        <f>HLOOKUP($A11,'RTU 1-1'!$B$2:$Y$11,10,FALSE)</f>
        <v>YES</v>
      </c>
      <c r="O11" s="19">
        <f t="shared" si="0"/>
        <v>600</v>
      </c>
      <c r="P11" s="19" t="e">
        <f>HLOOKUP($A11,'RTU 1-1'!$B$2:$Y$11,9,FALSE)</f>
        <v>#N/A</v>
      </c>
    </row>
    <row r="12" spans="1:16" x14ac:dyDescent="0.3">
      <c r="A12" s="19" t="str">
        <v>VAV-1-3-1</v>
      </c>
      <c r="B12" s="19"/>
      <c r="C12" s="19">
        <f>HLOOKUP(A12,'RTU 1-1'!$B$2:$Y$11,2,FALSE)</f>
        <v>0</v>
      </c>
      <c r="D12" s="25"/>
      <c r="E12" s="25"/>
      <c r="F12" s="25"/>
      <c r="G12" s="25"/>
      <c r="H12" s="25"/>
      <c r="I12" s="25"/>
      <c r="J12" s="25"/>
      <c r="K12" s="25"/>
      <c r="L12" s="19" t="e">
        <f>HLOOKUP($A12,'RTU 1-1'!$B$2:$Y$11,7,FALSE)</f>
        <v>#N/A</v>
      </c>
      <c r="M12" s="19" t="e">
        <f>HLOOKUP($A12,'RTU 1-1'!$B$2:$Y$11,6,FALSE)</f>
        <v>#N/A</v>
      </c>
      <c r="N12" s="19" t="str">
        <f>HLOOKUP($A12,'RTU 1-1'!$B$2:$Y$11,10,FALSE)</f>
        <v>NO</v>
      </c>
      <c r="O12" s="19" t="str">
        <f t="shared" si="0"/>
        <v>N/A</v>
      </c>
      <c r="P12" s="19" t="e">
        <f>HLOOKUP($A12,'RTU 1-1'!$B$2:$Y$11,9,FALSE)</f>
        <v>#N/A</v>
      </c>
    </row>
    <row r="13" spans="1:16" x14ac:dyDescent="0.3">
      <c r="A13" s="19" t="str">
        <v>VAV-1-3-2</v>
      </c>
      <c r="B13" s="19"/>
      <c r="C13" s="19">
        <f>HLOOKUP(A13,'RTU 1-1'!$B$2:$Y$11,2,FALSE)</f>
        <v>0</v>
      </c>
      <c r="D13" s="25"/>
      <c r="E13" s="25"/>
      <c r="F13" s="25"/>
      <c r="G13" s="25"/>
      <c r="H13" s="25"/>
      <c r="I13" s="25"/>
      <c r="J13" s="25"/>
      <c r="K13" s="25"/>
      <c r="L13" s="19" t="e">
        <f>HLOOKUP($A13,'RTU 1-1'!$B$2:$Y$11,7,FALSE)</f>
        <v>#N/A</v>
      </c>
      <c r="M13" s="19" t="e">
        <f>HLOOKUP($A13,'RTU 1-1'!$B$2:$Y$11,6,FALSE)</f>
        <v>#N/A</v>
      </c>
      <c r="N13" s="19" t="str">
        <f>HLOOKUP($A13,'RTU 1-1'!$B$2:$Y$11,10,FALSE)</f>
        <v>NO</v>
      </c>
      <c r="O13" s="19" t="str">
        <f t="shared" si="0"/>
        <v>N/A</v>
      </c>
      <c r="P13" s="19" t="e">
        <f>HLOOKUP($A13,'RTU 1-1'!$B$2:$Y$11,9,FALSE)</f>
        <v>#N/A</v>
      </c>
    </row>
    <row r="14" spans="1:16" x14ac:dyDescent="0.3">
      <c r="A14" s="19" t="str">
        <v>VAV-1-3-3</v>
      </c>
      <c r="B14" s="19"/>
      <c r="C14" s="19">
        <f>HLOOKUP(A14,'RTU 1-1'!$B$2:$Y$11,2,FALSE)</f>
        <v>0</v>
      </c>
      <c r="D14" s="25"/>
      <c r="E14" s="25"/>
      <c r="F14" s="25"/>
      <c r="G14" s="25"/>
      <c r="H14" s="25"/>
      <c r="I14" s="25"/>
      <c r="J14" s="25"/>
      <c r="K14" s="25"/>
      <c r="L14" s="19" t="e">
        <f>HLOOKUP($A14,'RTU 1-1'!$B$2:$Y$11,7,FALSE)</f>
        <v>#N/A</v>
      </c>
      <c r="M14" s="19" t="e">
        <f>HLOOKUP($A14,'RTU 1-1'!$B$2:$Y$11,6,FALSE)</f>
        <v>#N/A</v>
      </c>
      <c r="N14" s="19" t="str">
        <f>HLOOKUP($A14,'RTU 1-1'!$B$2:$Y$11,10,FALSE)</f>
        <v>NO</v>
      </c>
      <c r="O14" s="19" t="str">
        <f t="shared" si="0"/>
        <v>N/A</v>
      </c>
      <c r="P14" s="19" t="e">
        <f>HLOOKUP($A14,'RTU 1-1'!$B$2:$Y$11,9,FALSE)</f>
        <v>#N/A</v>
      </c>
    </row>
    <row r="15" spans="1:16" x14ac:dyDescent="0.3">
      <c r="A15" s="19" t="str">
        <v>VAV-1-3-4</v>
      </c>
      <c r="B15" s="19"/>
      <c r="C15" s="19">
        <f>HLOOKUP(A15,'RTU 1-1'!$B$2:$Y$11,2,FALSE)</f>
        <v>0</v>
      </c>
      <c r="D15" s="25"/>
      <c r="E15" s="25"/>
      <c r="F15" s="25"/>
      <c r="G15" s="25"/>
      <c r="H15" s="25"/>
      <c r="I15" s="25"/>
      <c r="J15" s="25"/>
      <c r="K15" s="25"/>
      <c r="L15" s="19">
        <f>HLOOKUP($A15,'RTU 1-1'!$B$2:$Y$11,7,FALSE)</f>
        <v>0</v>
      </c>
      <c r="M15" s="19">
        <f>HLOOKUP($A15,'RTU 1-1'!$B$2:$Y$11,6,FALSE)</f>
        <v>44.279999999999994</v>
      </c>
      <c r="N15" s="19" t="str">
        <f>HLOOKUP($A15,'RTU 1-1'!$B$2:$Y$11,10,FALSE)</f>
        <v>NO</v>
      </c>
      <c r="O15" s="19" t="str">
        <f t="shared" si="0"/>
        <v>N/A</v>
      </c>
      <c r="P15" s="19" t="e">
        <f>HLOOKUP($A15,'RTU 1-1'!$B$2:$Y$11,9,FALSE)</f>
        <v>#N/A</v>
      </c>
    </row>
    <row r="16" spans="1:16" x14ac:dyDescent="0.3">
      <c r="A16" s="19" t="str">
        <v>VAV-1-3-5</v>
      </c>
      <c r="B16" s="19"/>
      <c r="C16" s="19">
        <f>HLOOKUP(A16,'RTU 1-1'!$B$2:$Y$11,2,FALSE)</f>
        <v>0</v>
      </c>
      <c r="D16" s="25"/>
      <c r="E16" s="25"/>
      <c r="F16" s="25"/>
      <c r="G16" s="25"/>
      <c r="H16" s="25"/>
      <c r="I16" s="25"/>
      <c r="J16" s="25"/>
      <c r="K16" s="25"/>
      <c r="L16" s="19" t="e">
        <f>HLOOKUP($A16,'RTU 1-1'!$B$2:$Y$11,7,FALSE)</f>
        <v>#N/A</v>
      </c>
      <c r="M16" s="19" t="e">
        <f>HLOOKUP($A16,'RTU 1-1'!$B$2:$Y$11,6,FALSE)</f>
        <v>#N/A</v>
      </c>
      <c r="N16" s="19" t="str">
        <f>HLOOKUP($A16,'RTU 1-1'!$B$2:$Y$11,10,FALSE)</f>
        <v>NO</v>
      </c>
      <c r="O16" s="19" t="str">
        <f t="shared" si="0"/>
        <v>N/A</v>
      </c>
      <c r="P16" s="19" t="e">
        <f>HLOOKUP($A16,'RTU 1-1'!$B$2:$Y$11,9,FALSE)</f>
        <v>#N/A</v>
      </c>
    </row>
    <row r="17" spans="1:16" x14ac:dyDescent="0.3">
      <c r="A17" s="19" t="str">
        <v>VAV-1-3-6</v>
      </c>
      <c r="B17" s="19"/>
      <c r="C17" s="19">
        <f>HLOOKUP(A17,'RTU 1-1'!$B$2:$Y$11,2,FALSE)</f>
        <v>0</v>
      </c>
      <c r="D17" s="25"/>
      <c r="E17" s="25"/>
      <c r="F17" s="25"/>
      <c r="G17" s="25"/>
      <c r="H17" s="25"/>
      <c r="I17" s="25"/>
      <c r="J17" s="25"/>
      <c r="K17" s="25"/>
      <c r="L17" s="19">
        <f>HLOOKUP($A17,'RTU 1-1'!$B$2:$Y$11,7,FALSE)</f>
        <v>0</v>
      </c>
      <c r="M17" s="19">
        <f>HLOOKUP($A17,'RTU 1-1'!$B$2:$Y$11,6,FALSE)</f>
        <v>28.5</v>
      </c>
      <c r="N17" s="19" t="str">
        <f>HLOOKUP($A17,'RTU 1-1'!$B$2:$Y$11,10,FALSE)</f>
        <v>NO</v>
      </c>
      <c r="O17" s="19" t="str">
        <f t="shared" si="0"/>
        <v>N/A</v>
      </c>
      <c r="P17" s="19" t="e">
        <f>HLOOKUP($A17,'RTU 1-1'!$B$2:$Y$11,9,FALSE)</f>
        <v>#N/A</v>
      </c>
    </row>
    <row r="18" spans="1:16" x14ac:dyDescent="0.3">
      <c r="A18" s="19" t="str">
        <v>VAV-1-3-7</v>
      </c>
      <c r="B18" s="19"/>
      <c r="C18" s="19">
        <f>HLOOKUP(A18,'RTU 1-1'!$B$2:$Y$11,2,FALSE)</f>
        <v>0</v>
      </c>
      <c r="D18" s="25"/>
      <c r="E18" s="25"/>
      <c r="F18" s="25"/>
      <c r="G18" s="25"/>
      <c r="H18" s="25"/>
      <c r="I18" s="25"/>
      <c r="J18" s="25"/>
      <c r="K18" s="25"/>
      <c r="L18" s="19">
        <f>HLOOKUP($A18,'RTU 1-1'!$B$2:$Y$11,7,FALSE)</f>
        <v>0</v>
      </c>
      <c r="M18" s="19">
        <f>HLOOKUP($A18,'RTU 1-1'!$B$2:$Y$11,6,FALSE)</f>
        <v>43.8</v>
      </c>
      <c r="N18" s="19" t="str">
        <f>HLOOKUP($A18,'RTU 1-1'!$B$2:$Y$11,10,FALSE)</f>
        <v>NO</v>
      </c>
      <c r="O18" s="19" t="str">
        <f t="shared" si="0"/>
        <v>N/A</v>
      </c>
      <c r="P18" s="19" t="e">
        <f>HLOOKUP($A18,'RTU 1-1'!$B$2:$Y$11,9,FALSE)</f>
        <v>#N/A</v>
      </c>
    </row>
    <row r="19" spans="1:16" x14ac:dyDescent="0.3">
      <c r="A19" s="19" t="str">
        <v>VAV-1-4-1</v>
      </c>
      <c r="B19" s="19"/>
      <c r="C19" s="19">
        <f>HLOOKUP(A19,'RTU 1-1'!$B$2:$Y$11,2,FALSE)</f>
        <v>0</v>
      </c>
      <c r="D19" s="25"/>
      <c r="E19" s="25"/>
      <c r="F19" s="25"/>
      <c r="G19" s="25"/>
      <c r="H19" s="25"/>
      <c r="I19" s="25"/>
      <c r="J19" s="25"/>
      <c r="K19" s="25"/>
      <c r="L19" s="19" t="e">
        <f>HLOOKUP($A19,'RTU 1-1'!$B$2:$Y$11,7,FALSE)</f>
        <v>#N/A</v>
      </c>
      <c r="M19" s="19" t="e">
        <f>HLOOKUP($A19,'RTU 1-1'!$B$2:$Y$11,6,FALSE)</f>
        <v>#N/A</v>
      </c>
      <c r="N19" s="19" t="str">
        <f>HLOOKUP($A19,'RTU 1-1'!$B$2:$Y$11,10,FALSE)</f>
        <v>NO</v>
      </c>
      <c r="O19" s="19" t="str">
        <f t="shared" si="0"/>
        <v>N/A</v>
      </c>
      <c r="P19" s="19" t="e">
        <f>HLOOKUP($A19,'RTU 1-1'!$B$2:$Y$11,9,FALSE)</f>
        <v>#N/A</v>
      </c>
    </row>
    <row r="20" spans="1:16" x14ac:dyDescent="0.3">
      <c r="A20" s="19" t="str">
        <v>VAV-1-4-2</v>
      </c>
      <c r="B20" s="19"/>
      <c r="C20" s="19">
        <f>HLOOKUP(A20,'RTU 1-1'!$B$2:$Y$11,2,FALSE)</f>
        <v>0</v>
      </c>
      <c r="D20" s="25"/>
      <c r="E20" s="25"/>
      <c r="F20" s="25"/>
      <c r="G20" s="25"/>
      <c r="H20" s="25"/>
      <c r="I20" s="25"/>
      <c r="J20" s="25"/>
      <c r="K20" s="25"/>
      <c r="L20" s="19" t="e">
        <f>HLOOKUP($A20,'RTU 1-1'!$B$2:$Y$11,7,FALSE)</f>
        <v>#N/A</v>
      </c>
      <c r="M20" s="19">
        <f>HLOOKUP($A20,'RTU 1-1'!$B$2:$Y$11,6,FALSE)</f>
        <v>101.85</v>
      </c>
      <c r="N20" s="19" t="str">
        <f>HLOOKUP($A20,'RTU 1-1'!$B$2:$Y$11,10,FALSE)</f>
        <v>NO</v>
      </c>
      <c r="O20" s="19" t="str">
        <f t="shared" si="0"/>
        <v>N/A</v>
      </c>
      <c r="P20" s="19" t="e">
        <f>HLOOKUP($A20,'RTU 1-1'!$B$2:$Y$11,9,FALSE)</f>
        <v>#N/A</v>
      </c>
    </row>
    <row r="21" spans="1:16" x14ac:dyDescent="0.3">
      <c r="A21" s="19" t="str">
        <v>VAV-1-4-3</v>
      </c>
      <c r="B21" s="19"/>
      <c r="C21" s="19">
        <f>HLOOKUP(A21,'RTU 1-1'!$B$2:$Y$11,2,FALSE)</f>
        <v>0</v>
      </c>
      <c r="D21" s="25"/>
      <c r="E21" s="25"/>
      <c r="F21" s="25"/>
      <c r="G21" s="25"/>
      <c r="H21" s="25"/>
      <c r="I21" s="25"/>
      <c r="J21" s="25"/>
      <c r="K21" s="25"/>
      <c r="L21" s="19">
        <f>HLOOKUP($A21,'RTU 1-1'!$B$2:$Y$11,7,FALSE)</f>
        <v>0</v>
      </c>
      <c r="M21" s="19">
        <f>HLOOKUP($A21,'RTU 1-1'!$B$2:$Y$11,6,FALSE)</f>
        <v>75.3</v>
      </c>
      <c r="N21" s="19" t="str">
        <f>HLOOKUP($A21,'RTU 1-1'!$B$2:$Y$11,10,FALSE)</f>
        <v>NO</v>
      </c>
      <c r="O21" s="19" t="str">
        <f t="shared" si="0"/>
        <v>N/A</v>
      </c>
      <c r="P21" s="19" t="e">
        <f>HLOOKUP($A21,'RTU 1-1'!$B$2:$Y$11,9,FALSE)</f>
        <v>#N/A</v>
      </c>
    </row>
    <row r="22" spans="1:16" x14ac:dyDescent="0.3">
      <c r="A22" s="19" t="str">
        <v>VAV-1-4-4</v>
      </c>
      <c r="B22" s="19"/>
      <c r="C22" s="19">
        <f>HLOOKUP(A22,'RTU 1-1'!$B$2:$Y$11,2,FALSE)</f>
        <v>0</v>
      </c>
      <c r="D22" s="25"/>
      <c r="E22" s="25"/>
      <c r="F22" s="25"/>
      <c r="G22" s="25"/>
      <c r="H22" s="25"/>
      <c r="I22" s="25"/>
      <c r="J22" s="25"/>
      <c r="K22" s="25"/>
      <c r="L22" s="19" t="e">
        <f>HLOOKUP($A22,'RTU 1-1'!$B$2:$Y$11,7,FALSE)</f>
        <v>#N/A</v>
      </c>
      <c r="M22" s="19" t="e">
        <f>HLOOKUP($A22,'RTU 1-1'!$B$2:$Y$11,6,FALSE)</f>
        <v>#N/A</v>
      </c>
      <c r="N22" s="19" t="str">
        <f>HLOOKUP($A22,'RTU 1-1'!$B$2:$Y$11,10,FALSE)</f>
        <v>NO</v>
      </c>
      <c r="O22" s="19" t="str">
        <f t="shared" si="0"/>
        <v>N/A</v>
      </c>
      <c r="P22" s="19" t="e">
        <f>HLOOKUP($A22,'RTU 1-1'!$B$2:$Y$11,9,FALSE)</f>
        <v>#N/A</v>
      </c>
    </row>
    <row r="23" spans="1:16" x14ac:dyDescent="0.3">
      <c r="A23" s="19" t="str">
        <v>VAV-1-5-1</v>
      </c>
      <c r="B23" s="19"/>
      <c r="C23" s="19">
        <f>HLOOKUP(A23,'RTU 1-1'!$B$2:$Y$11,2,FALSE)</f>
        <v>0</v>
      </c>
      <c r="D23" s="25"/>
      <c r="E23" s="25"/>
      <c r="F23" s="25"/>
      <c r="G23" s="25"/>
      <c r="H23" s="25"/>
      <c r="I23" s="25"/>
      <c r="J23" s="25"/>
      <c r="K23" s="25"/>
      <c r="L23" s="19" t="e">
        <f>HLOOKUP($A23,'RTU 1-1'!$B$2:$Y$11,7,FALSE)</f>
        <v>#N/A</v>
      </c>
      <c r="M23" s="19" t="e">
        <f>HLOOKUP($A23,'RTU 1-1'!$B$2:$Y$11,6,FALSE)</f>
        <v>#N/A</v>
      </c>
      <c r="N23" s="19" t="str">
        <f>HLOOKUP($A23,'RTU 1-1'!$B$2:$Y$11,10,FALSE)</f>
        <v>YES</v>
      </c>
      <c r="O23" s="19">
        <f t="shared" si="0"/>
        <v>600</v>
      </c>
      <c r="P23" s="19" t="e">
        <f>HLOOKUP($A23,'RTU 1-1'!$B$2:$Y$11,9,FALSE)</f>
        <v>#N/A</v>
      </c>
    </row>
    <row r="24" spans="1:16" x14ac:dyDescent="0.3">
      <c r="A24" s="19" t="str">
        <v>VAV-1-5-2</v>
      </c>
      <c r="B24" s="19"/>
      <c r="C24" s="19">
        <f>HLOOKUP(A24,'RTU 1-1'!$B$2:$Y$11,2,FALSE)</f>
        <v>0</v>
      </c>
      <c r="D24" s="25"/>
      <c r="E24" s="25"/>
      <c r="F24" s="25"/>
      <c r="G24" s="25"/>
      <c r="H24" s="25"/>
      <c r="I24" s="25"/>
      <c r="J24" s="25"/>
      <c r="K24" s="25"/>
      <c r="L24" s="19" t="e">
        <f>HLOOKUP($A24,'RTU 1-1'!$B$2:$Y$11,7,FALSE)</f>
        <v>#N/A</v>
      </c>
      <c r="M24" s="19" t="e">
        <f>HLOOKUP($A24,'RTU 1-1'!$B$2:$Y$11,6,FALSE)</f>
        <v>#N/A</v>
      </c>
      <c r="N24" s="19" t="str">
        <f>HLOOKUP($A24,'RTU 1-1'!$B$2:$Y$11,10,FALSE)</f>
        <v>YES</v>
      </c>
      <c r="O24" s="19">
        <f t="shared" si="0"/>
        <v>600</v>
      </c>
      <c r="P24" s="19" t="e">
        <f>HLOOKUP($A24,'RTU 1-1'!$B$2:$Y$11,9,FALSE)</f>
        <v>#N/A</v>
      </c>
    </row>
    <row r="25" spans="1:16" x14ac:dyDescent="0.3">
      <c r="A25" s="19" t="str">
        <v>VAV-1-5-3</v>
      </c>
      <c r="B25" s="19"/>
      <c r="C25" s="19">
        <f>HLOOKUP(A25,'RTU 1-1'!$B$2:$Y$11,2,FALSE)</f>
        <v>0</v>
      </c>
      <c r="D25" s="25"/>
      <c r="E25" s="25"/>
      <c r="F25" s="25"/>
      <c r="G25" s="25"/>
      <c r="H25" s="25"/>
      <c r="I25" s="25"/>
      <c r="J25" s="25"/>
      <c r="K25" s="25"/>
      <c r="L25" s="19">
        <f>HLOOKUP($A25,'RTU 1-1'!$B$2:$Y$11,7,FALSE)</f>
        <v>0</v>
      </c>
      <c r="M25" s="19">
        <f>HLOOKUP($A25,'RTU 1-1'!$B$2:$Y$11,6,FALSE)</f>
        <v>27.224999999999998</v>
      </c>
      <c r="N25" s="19" t="str">
        <f>HLOOKUP($A25,'RTU 1-1'!$B$2:$Y$11,10,FALSE)</f>
        <v>NO</v>
      </c>
      <c r="O25" s="19" t="str">
        <f t="shared" si="0"/>
        <v>N/A</v>
      </c>
      <c r="P25" s="19" t="e">
        <f>HLOOKUP($A25,'RTU 1-1'!$B$2:$Y$11,9,FALSE)</f>
        <v>#N/A</v>
      </c>
    </row>
    <row r="26" spans="1:16" x14ac:dyDescent="0.3">
      <c r="A26" s="19">
        <v>0</v>
      </c>
      <c r="B26" s="19"/>
      <c r="C26" s="19" t="e">
        <f>HLOOKUP(A26,'RTU 1-1'!$B$2:$Y$11,2,FALSE)</f>
        <v>#N/A</v>
      </c>
      <c r="D26" s="25"/>
      <c r="E26" s="25"/>
      <c r="F26" s="25"/>
      <c r="G26" s="25"/>
      <c r="H26" s="25"/>
      <c r="I26" s="25"/>
      <c r="J26" s="25"/>
      <c r="K26" s="25"/>
      <c r="L26" s="19" t="e">
        <f>HLOOKUP($A26,'RTU 1-1'!$B$2:$Y$11,7,FALSE)</f>
        <v>#N/A</v>
      </c>
      <c r="M26" s="19" t="e">
        <f>HLOOKUP($A26,'RTU 1-1'!$B$2:$Y$11,6,FALSE)</f>
        <v>#N/A</v>
      </c>
      <c r="N26" s="19" t="e">
        <f>HLOOKUP($A26,'RTU 1-1'!$B$2:$Y$11,10,FALSE)</f>
        <v>#N/A</v>
      </c>
      <c r="O26" s="19" t="e">
        <f t="shared" si="0"/>
        <v>#N/A</v>
      </c>
      <c r="P26" s="19" t="e">
        <f>HLOOKUP($A26,'RTU 1-1'!$B$2:$Y$11,9,FALSE)</f>
        <v>#N/A</v>
      </c>
    </row>
    <row r="27" spans="1:16" x14ac:dyDescent="0.3">
      <c r="A27" s="19">
        <v>0</v>
      </c>
      <c r="B27" s="19"/>
      <c r="C27" s="19" t="e">
        <f>HLOOKUP(A27,'RTU 1-1'!$B$2:$Y$11,2,FALSE)</f>
        <v>#N/A</v>
      </c>
      <c r="D27" s="25"/>
      <c r="E27" s="25"/>
      <c r="F27" s="25"/>
      <c r="G27" s="25"/>
      <c r="H27" s="25"/>
      <c r="I27" s="25"/>
      <c r="J27" s="25"/>
      <c r="K27" s="25"/>
      <c r="L27" s="19" t="e">
        <f>HLOOKUP($A27,'RTU 1-1'!$B$2:$Y$11,7,FALSE)</f>
        <v>#N/A</v>
      </c>
      <c r="M27" s="19" t="e">
        <f>HLOOKUP($A27,'RTU 1-1'!$B$2:$Y$11,6,FALSE)</f>
        <v>#N/A</v>
      </c>
      <c r="N27" s="19" t="e">
        <f>HLOOKUP($A27,'RTU 1-1'!$B$2:$Y$11,10,FALSE)</f>
        <v>#N/A</v>
      </c>
      <c r="O27" s="19" t="e">
        <f t="shared" si="0"/>
        <v>#N/A</v>
      </c>
      <c r="P27" s="19" t="e">
        <f>HLOOKUP($A27,'RTU 1-1'!$B$2:$Y$11,9,FALSE)</f>
        <v>#N/A</v>
      </c>
    </row>
    <row r="28" spans="1:16" x14ac:dyDescent="0.3">
      <c r="A28" s="19" t="str" cm="1">
        <f t="array" ref="A28:A59">TRANSPOSE('RTU 2-X'!B2:AG2)</f>
        <v>VAV-2-1-1</v>
      </c>
      <c r="B28" s="19"/>
      <c r="C28" s="19">
        <f>HLOOKUP(A28,'RTU 2-X'!$B$2:$AG$10,2,FALSE)</f>
        <v>0</v>
      </c>
      <c r="D28" s="25"/>
      <c r="E28" s="25"/>
      <c r="F28" s="25"/>
      <c r="G28" s="25"/>
      <c r="H28" s="25"/>
      <c r="I28" s="25"/>
      <c r="J28" s="25"/>
      <c r="K28" s="25"/>
      <c r="L28" s="19" t="e">
        <f>HLOOKUP($A28,'RTU 2-X'!$B$2:$AG$10,7,FALSE)</f>
        <v>#N/A</v>
      </c>
      <c r="M28" s="19" t="e">
        <f>HLOOKUP($A28,'RTU 2-X'!$B$2:$AG$10,6,FALSE)</f>
        <v>#N/A</v>
      </c>
      <c r="N28" s="19" t="str">
        <f>HLOOKUP($A28,'RTU 2-X'!$B$2:$AG$11,10,FALSE)</f>
        <v>NO</v>
      </c>
      <c r="O28" s="19" t="str">
        <f t="shared" si="0"/>
        <v>N/A</v>
      </c>
      <c r="P28" s="19" t="e">
        <f>HLOOKUP($A28,'RTU 2-X'!$B$2:$AG$11,9,FALSE)</f>
        <v>#N/A</v>
      </c>
    </row>
    <row r="29" spans="1:16" x14ac:dyDescent="0.3">
      <c r="A29" s="19" t="str">
        <v>VAV-2-1-2</v>
      </c>
      <c r="B29" s="19"/>
      <c r="C29" s="19">
        <f>HLOOKUP(A29,'RTU 2-X'!$B$2:$AG$10,2,FALSE)</f>
        <v>0</v>
      </c>
      <c r="D29" s="25"/>
      <c r="E29" s="25"/>
      <c r="F29" s="25"/>
      <c r="G29" s="25"/>
      <c r="H29" s="25"/>
      <c r="I29" s="25"/>
      <c r="J29" s="25"/>
      <c r="K29" s="25"/>
      <c r="L29" s="19">
        <f>HLOOKUP($A29,'RTU 2-X'!$B$2:$AG$10,7,FALSE)</f>
        <v>0</v>
      </c>
      <c r="M29" s="19">
        <f>HLOOKUP($A29,'RTU 2-X'!$B$2:$AG$10,6,FALSE)</f>
        <v>15.75</v>
      </c>
      <c r="N29" s="19" t="str">
        <f>HLOOKUP($A29,'RTU 2-X'!$B$2:$AG$11,10,FALSE)</f>
        <v>NO</v>
      </c>
      <c r="O29" s="19" t="str">
        <f t="shared" si="0"/>
        <v>N/A</v>
      </c>
      <c r="P29" s="19" t="e">
        <f>HLOOKUP($A29,'RTU 2-X'!$B$2:$AG$11,9,FALSE)</f>
        <v>#N/A</v>
      </c>
    </row>
    <row r="30" spans="1:16" x14ac:dyDescent="0.3">
      <c r="A30" s="19" t="str">
        <v>VAV-2-1-3</v>
      </c>
      <c r="B30" s="19"/>
      <c r="C30" s="19">
        <f>HLOOKUP(A30,'RTU 2-X'!$B$2:$AG$10,2,FALSE)</f>
        <v>0</v>
      </c>
      <c r="D30" s="25"/>
      <c r="E30" s="25"/>
      <c r="F30" s="25"/>
      <c r="G30" s="25"/>
      <c r="H30" s="25"/>
      <c r="I30" s="25"/>
      <c r="J30" s="25"/>
      <c r="K30" s="25"/>
      <c r="L30" s="19">
        <f>HLOOKUP($A30,'RTU 2-X'!$B$2:$AG$10,7,FALSE)</f>
        <v>0</v>
      </c>
      <c r="M30" s="19">
        <f>HLOOKUP($A30,'RTU 2-X'!$B$2:$AG$10,6,FALSE)</f>
        <v>60</v>
      </c>
      <c r="N30" s="19" t="str">
        <f>HLOOKUP($A30,'RTU 2-X'!$B$2:$AG$11,10,FALSE)</f>
        <v>NO</v>
      </c>
      <c r="O30" s="19" t="str">
        <f t="shared" si="0"/>
        <v>N/A</v>
      </c>
      <c r="P30" s="19" t="e">
        <f>HLOOKUP($A30,'RTU 2-X'!$B$2:$AG$11,9,FALSE)</f>
        <v>#N/A</v>
      </c>
    </row>
    <row r="31" spans="1:16" x14ac:dyDescent="0.3">
      <c r="A31" s="19" t="str">
        <v>VAV-2-2-1</v>
      </c>
      <c r="B31" s="19"/>
      <c r="C31" s="19">
        <f>HLOOKUP(A31,'RTU 2-X'!$B$2:$AG$10,2,FALSE)</f>
        <v>0</v>
      </c>
      <c r="D31" s="25"/>
      <c r="E31" s="25"/>
      <c r="F31" s="25"/>
      <c r="G31" s="25"/>
      <c r="H31" s="25"/>
      <c r="I31" s="25"/>
      <c r="J31" s="25"/>
      <c r="K31" s="25"/>
      <c r="L31" s="19">
        <f>HLOOKUP($A31,'RTU 2-X'!$B$2:$AG$10,7,FALSE)</f>
        <v>0</v>
      </c>
      <c r="M31" s="19">
        <f>HLOOKUP($A31,'RTU 2-X'!$B$2:$AG$10,6,FALSE)</f>
        <v>44.52</v>
      </c>
      <c r="N31" s="19" t="str">
        <f>HLOOKUP($A31,'RTU 2-X'!$B$2:$AG$11,10,FALSE)</f>
        <v>NO</v>
      </c>
      <c r="O31" s="19" t="str">
        <f t="shared" si="0"/>
        <v>N/A</v>
      </c>
      <c r="P31" s="19" t="e">
        <f>HLOOKUP($A31,'RTU 2-X'!$B$2:$AG$11,9,FALSE)</f>
        <v>#N/A</v>
      </c>
    </row>
    <row r="32" spans="1:16" x14ac:dyDescent="0.3">
      <c r="A32" s="19" t="str">
        <v>VAV-2-2-2</v>
      </c>
      <c r="B32" s="19"/>
      <c r="C32" s="19">
        <f>HLOOKUP(A32,'RTU 2-X'!$B$2:$AG$10,2,FALSE)</f>
        <v>0</v>
      </c>
      <c r="D32" s="25"/>
      <c r="E32" s="25"/>
      <c r="F32" s="25"/>
      <c r="G32" s="25"/>
      <c r="H32" s="25"/>
      <c r="I32" s="25"/>
      <c r="J32" s="25"/>
      <c r="K32" s="25"/>
      <c r="L32" s="19">
        <f>HLOOKUP($A32,'RTU 2-X'!$B$2:$AG$10,7,FALSE)</f>
        <v>0</v>
      </c>
      <c r="M32" s="19">
        <f>HLOOKUP($A32,'RTU 2-X'!$B$2:$AG$10,6,FALSE)</f>
        <v>56.97</v>
      </c>
      <c r="N32" s="19" t="str">
        <f>HLOOKUP($A32,'RTU 2-X'!$B$2:$AG$11,10,FALSE)</f>
        <v>NO</v>
      </c>
      <c r="O32" s="19" t="str">
        <f t="shared" si="0"/>
        <v>N/A</v>
      </c>
      <c r="P32" s="19" t="e">
        <f>HLOOKUP($A32,'RTU 2-X'!$B$2:$AG$11,9,FALSE)</f>
        <v>#N/A</v>
      </c>
    </row>
    <row r="33" spans="1:17" x14ac:dyDescent="0.3">
      <c r="A33" s="19" t="str">
        <v>VAV-2-2-3</v>
      </c>
      <c r="B33" s="19"/>
      <c r="C33" s="19">
        <f>HLOOKUP(A33,'RTU 2-X'!$B$2:$AG$10,2,FALSE)</f>
        <v>0</v>
      </c>
      <c r="D33" s="25"/>
      <c r="E33" s="25"/>
      <c r="F33" s="25"/>
      <c r="G33" s="25"/>
      <c r="H33" s="25"/>
      <c r="I33" s="25"/>
      <c r="J33" s="25"/>
      <c r="K33" s="25"/>
      <c r="L33" s="19">
        <f>HLOOKUP($A33,'RTU 2-X'!$B$2:$AG$10,7,FALSE)</f>
        <v>0</v>
      </c>
      <c r="M33" s="19">
        <f>HLOOKUP($A33,'RTU 2-X'!$B$2:$AG$10,6,FALSE)</f>
        <v>57.404999999999994</v>
      </c>
      <c r="N33" s="19" t="str">
        <f>HLOOKUP($A33,'RTU 2-X'!$B$2:$AG$11,10,FALSE)</f>
        <v>NO</v>
      </c>
      <c r="O33" s="19" t="str">
        <f t="shared" si="0"/>
        <v>N/A</v>
      </c>
      <c r="P33" s="19" t="e">
        <f>HLOOKUP($A33,'RTU 2-X'!$B$2:$AG$11,9,FALSE)</f>
        <v>#N/A</v>
      </c>
      <c r="Q33" s="29"/>
    </row>
    <row r="34" spans="1:17" x14ac:dyDescent="0.3">
      <c r="A34" s="19" t="str">
        <v>VAV-2-2-4</v>
      </c>
      <c r="B34" s="19"/>
      <c r="C34" s="19">
        <f>HLOOKUP(A34,'RTU 2-X'!$B$2:$AG$10,2,FALSE)</f>
        <v>0</v>
      </c>
      <c r="D34" s="25"/>
      <c r="E34" s="25"/>
      <c r="F34" s="25"/>
      <c r="G34" s="25"/>
      <c r="H34" s="25"/>
      <c r="I34" s="25"/>
      <c r="J34" s="25"/>
      <c r="K34" s="25"/>
      <c r="L34" s="19">
        <f>HLOOKUP($A34,'RTU 2-X'!$B$2:$AG$10,7,FALSE)</f>
        <v>0</v>
      </c>
      <c r="M34" s="19">
        <f>HLOOKUP($A34,'RTU 2-X'!$B$2:$AG$10,6,FALSE)</f>
        <v>106.91999999999999</v>
      </c>
      <c r="N34" s="19" t="str">
        <f>HLOOKUP($A34,'RTU 2-X'!$B$2:$AG$11,10,FALSE)</f>
        <v>NO</v>
      </c>
      <c r="O34" s="19" t="str">
        <f t="shared" si="0"/>
        <v>N/A</v>
      </c>
      <c r="P34" s="19" t="e">
        <f>HLOOKUP($A34,'RTU 2-X'!$B$2:$AG$11,9,FALSE)</f>
        <v>#N/A</v>
      </c>
    </row>
    <row r="35" spans="1:17" x14ac:dyDescent="0.3">
      <c r="A35" s="19" t="str">
        <v>VAV-2-2-5</v>
      </c>
      <c r="B35" s="19"/>
      <c r="C35" s="19">
        <f>HLOOKUP(A35,'RTU 2-X'!$B$2:$AG$10,2,FALSE)</f>
        <v>0</v>
      </c>
      <c r="D35" s="25"/>
      <c r="E35" s="25"/>
      <c r="F35" s="25"/>
      <c r="G35" s="25"/>
      <c r="H35" s="25"/>
      <c r="I35" s="25"/>
      <c r="J35" s="25"/>
      <c r="K35" s="25"/>
      <c r="L35" s="19" t="e">
        <f>HLOOKUP($A35,'RTU 2-X'!$B$2:$AG$10,7,FALSE)</f>
        <v>#N/A</v>
      </c>
      <c r="M35" s="19" t="e">
        <f>HLOOKUP($A35,'RTU 2-X'!$B$2:$AG$10,6,FALSE)</f>
        <v>#N/A</v>
      </c>
      <c r="N35" s="19" t="str">
        <f>HLOOKUP($A35,'RTU 2-X'!$B$2:$AG$11,10,FALSE)</f>
        <v>YES</v>
      </c>
      <c r="O35" s="19">
        <f t="shared" si="0"/>
        <v>600</v>
      </c>
      <c r="P35" s="19" t="e">
        <f>HLOOKUP($A35,'RTU 2-X'!$B$2:$AG$11,9,FALSE)</f>
        <v>#N/A</v>
      </c>
    </row>
    <row r="36" spans="1:17" x14ac:dyDescent="0.3">
      <c r="A36" s="19" t="str">
        <v>VAV-2-2-6</v>
      </c>
      <c r="B36" s="19"/>
      <c r="C36" s="19">
        <f>HLOOKUP(A36,'RTU 2-X'!$B$2:$AG$10,2,FALSE)</f>
        <v>0</v>
      </c>
      <c r="D36" s="25"/>
      <c r="E36" s="25"/>
      <c r="F36" s="25"/>
      <c r="G36" s="25"/>
      <c r="H36" s="25"/>
      <c r="I36" s="25"/>
      <c r="J36" s="25"/>
      <c r="K36" s="25"/>
      <c r="L36" s="19">
        <f>HLOOKUP($A36,'RTU 2-X'!$B$2:$AG$10,7,FALSE)</f>
        <v>0</v>
      </c>
      <c r="M36" s="19">
        <f>HLOOKUP($A36,'RTU 2-X'!$B$2:$AG$10,6,FALSE)</f>
        <v>94.11</v>
      </c>
      <c r="N36" s="19" t="str">
        <f>HLOOKUP($A36,'RTU 2-X'!$B$2:$AG$11,10,FALSE)</f>
        <v>NO</v>
      </c>
      <c r="O36" s="19" t="str">
        <f t="shared" si="0"/>
        <v>N/A</v>
      </c>
      <c r="P36" s="19" t="e">
        <f>HLOOKUP($A36,'RTU 2-X'!$B$2:$AG$11,9,FALSE)</f>
        <v>#N/A</v>
      </c>
    </row>
    <row r="37" spans="1:17" x14ac:dyDescent="0.3">
      <c r="A37" s="19" t="str">
        <v>VAV-2-3-1</v>
      </c>
      <c r="B37" s="19"/>
      <c r="C37" s="19">
        <f>HLOOKUP(A37,'RTU 2-X'!$B$2:$AG$10,2,FALSE)</f>
        <v>0</v>
      </c>
      <c r="D37" s="25"/>
      <c r="E37" s="25"/>
      <c r="F37" s="25"/>
      <c r="G37" s="25"/>
      <c r="H37" s="25"/>
      <c r="I37" s="25"/>
      <c r="J37" s="25"/>
      <c r="K37" s="25"/>
      <c r="L37" s="19">
        <f>HLOOKUP($A37,'RTU 2-X'!$B$2:$AG$10,7,FALSE)</f>
        <v>0</v>
      </c>
      <c r="M37" s="19">
        <f>HLOOKUP($A37,'RTU 2-X'!$B$2:$AG$10,6,FALSE)</f>
        <v>61.5</v>
      </c>
      <c r="N37" s="19" t="str">
        <f>HLOOKUP($A37,'RTU 2-X'!$B$2:$AG$11,10,FALSE)</f>
        <v>NO</v>
      </c>
      <c r="O37" s="19" t="str">
        <f t="shared" si="0"/>
        <v>N/A</v>
      </c>
      <c r="P37" s="19" t="e">
        <f>HLOOKUP($A37,'RTU 2-X'!$B$2:$AG$11,9,FALSE)</f>
        <v>#N/A</v>
      </c>
    </row>
    <row r="38" spans="1:17" x14ac:dyDescent="0.3">
      <c r="A38" s="19" t="str">
        <v>VAV-2-3-2</v>
      </c>
      <c r="B38" s="19"/>
      <c r="C38" s="19">
        <f>HLOOKUP(A38,'RTU 2-X'!$B$2:$AG$10,2,FALSE)</f>
        <v>0</v>
      </c>
      <c r="D38" s="25"/>
      <c r="E38" s="25"/>
      <c r="F38" s="25"/>
      <c r="G38" s="25"/>
      <c r="H38" s="25"/>
      <c r="I38" s="25"/>
      <c r="J38" s="25"/>
      <c r="K38" s="25"/>
      <c r="L38" s="19">
        <f>HLOOKUP($A38,'RTU 2-X'!$B$2:$AG$10,7,FALSE)</f>
        <v>0</v>
      </c>
      <c r="M38" s="19">
        <f>HLOOKUP($A38,'RTU 2-X'!$B$2:$AG$10,6,FALSE)</f>
        <v>30</v>
      </c>
      <c r="N38" s="19" t="str">
        <f>HLOOKUP($A38,'RTU 2-X'!$B$2:$AG$11,10,FALSE)</f>
        <v>NO</v>
      </c>
      <c r="O38" s="19" t="str">
        <f t="shared" si="0"/>
        <v>N/A</v>
      </c>
      <c r="P38" s="19" t="e">
        <f>HLOOKUP($A38,'RTU 2-X'!$B$2:$AG$11,9,FALSE)</f>
        <v>#N/A</v>
      </c>
    </row>
    <row r="39" spans="1:17" x14ac:dyDescent="0.3">
      <c r="A39" s="19" t="str">
        <v>VAV-2-3-3</v>
      </c>
      <c r="B39" s="19"/>
      <c r="C39" s="19">
        <f>HLOOKUP(A39,'RTU 2-X'!$B$2:$AG$10,2,FALSE)</f>
        <v>0</v>
      </c>
      <c r="D39" s="25"/>
      <c r="E39" s="25"/>
      <c r="F39" s="25"/>
      <c r="G39" s="25"/>
      <c r="H39" s="25"/>
      <c r="I39" s="25"/>
      <c r="J39" s="25"/>
      <c r="K39" s="25"/>
      <c r="L39" s="19">
        <f>HLOOKUP($A39,'RTU 2-X'!$B$2:$AG$10,7,FALSE)</f>
        <v>0</v>
      </c>
      <c r="M39" s="19">
        <f>HLOOKUP($A39,'RTU 2-X'!$B$2:$AG$10,6,FALSE)</f>
        <v>15.12</v>
      </c>
      <c r="N39" s="19" t="str">
        <f>HLOOKUP($A39,'RTU 2-X'!$B$2:$AG$11,10,FALSE)</f>
        <v>NO</v>
      </c>
      <c r="O39" s="19" t="str">
        <f t="shared" si="0"/>
        <v>N/A</v>
      </c>
      <c r="P39" s="19" t="e">
        <f>HLOOKUP($A39,'RTU 2-X'!$B$2:$AG$11,9,FALSE)</f>
        <v>#N/A</v>
      </c>
    </row>
    <row r="40" spans="1:17" x14ac:dyDescent="0.3">
      <c r="A40" s="19" t="str">
        <v>VAV-2-3-4</v>
      </c>
      <c r="B40" s="19"/>
      <c r="C40" s="19">
        <f>HLOOKUP(A40,'RTU 2-X'!$B$2:$AG$10,2,FALSE)</f>
        <v>0</v>
      </c>
      <c r="D40" s="25"/>
      <c r="E40" s="25"/>
      <c r="F40" s="25"/>
      <c r="G40" s="25"/>
      <c r="H40" s="25"/>
      <c r="I40" s="25"/>
      <c r="J40" s="25"/>
      <c r="K40" s="25"/>
      <c r="L40" s="19">
        <f>HLOOKUP($A40,'RTU 2-X'!$B$2:$AG$10,7,FALSE)</f>
        <v>0</v>
      </c>
      <c r="M40" s="19">
        <f>HLOOKUP($A40,'RTU 2-X'!$B$2:$AG$10,6,FALSE)</f>
        <v>15.794999999999998</v>
      </c>
      <c r="N40" s="19" t="str">
        <f>HLOOKUP($A40,'RTU 2-X'!$B$2:$AG$11,10,FALSE)</f>
        <v>NO</v>
      </c>
      <c r="O40" s="19" t="str">
        <f t="shared" si="0"/>
        <v>N/A</v>
      </c>
      <c r="P40" s="19" t="e">
        <f>HLOOKUP($A40,'RTU 2-X'!$B$2:$AG$11,9,FALSE)</f>
        <v>#N/A</v>
      </c>
    </row>
    <row r="41" spans="1:17" x14ac:dyDescent="0.3">
      <c r="A41" s="19" t="str">
        <v>VAV-2-3-5</v>
      </c>
      <c r="B41" s="19"/>
      <c r="C41" s="19">
        <f>HLOOKUP(A41,'RTU 2-X'!$B$2:$AG$10,2,FALSE)</f>
        <v>0</v>
      </c>
      <c r="D41" s="25"/>
      <c r="E41" s="25"/>
      <c r="F41" s="25"/>
      <c r="G41" s="25"/>
      <c r="H41" s="25"/>
      <c r="I41" s="25"/>
      <c r="J41" s="25"/>
      <c r="K41" s="25"/>
      <c r="L41" s="19" t="e">
        <f>HLOOKUP($A41,'RTU 2-X'!$B$2:$AG$10,7,FALSE)</f>
        <v>#N/A</v>
      </c>
      <c r="M41" s="19" t="e">
        <f>HLOOKUP($A41,'RTU 2-X'!$B$2:$AG$10,6,FALSE)</f>
        <v>#N/A</v>
      </c>
      <c r="N41" s="19" t="str">
        <f>HLOOKUP($A41,'RTU 2-X'!$B$2:$AG$11,10,FALSE)</f>
        <v>NO</v>
      </c>
      <c r="O41" s="19" t="str">
        <f t="shared" si="0"/>
        <v>N/A</v>
      </c>
      <c r="P41" s="19" t="e">
        <f>HLOOKUP($A41,'RTU 2-X'!$B$2:$AG$11,9,FALSE)</f>
        <v>#N/A</v>
      </c>
    </row>
    <row r="42" spans="1:17" x14ac:dyDescent="0.3">
      <c r="A42" s="19" t="str">
        <v>VAV-2-3-6</v>
      </c>
      <c r="B42" s="19"/>
      <c r="C42" s="19">
        <f>HLOOKUP(A42,'RTU 2-X'!$B$2:$AG$10,2,FALSE)</f>
        <v>0</v>
      </c>
      <c r="D42" s="25"/>
      <c r="E42" s="25"/>
      <c r="F42" s="25"/>
      <c r="G42" s="25"/>
      <c r="H42" s="25"/>
      <c r="I42" s="25"/>
      <c r="J42" s="25"/>
      <c r="K42" s="25"/>
      <c r="L42" s="19">
        <f>HLOOKUP($A42,'RTU 2-X'!$B$2:$AG$10,7,FALSE)</f>
        <v>0</v>
      </c>
      <c r="M42" s="19">
        <f>HLOOKUP($A42,'RTU 2-X'!$B$2:$AG$10,6,FALSE)</f>
        <v>32.25</v>
      </c>
      <c r="N42" s="19" t="str">
        <f>HLOOKUP($A42,'RTU 2-X'!$B$2:$AG$11,10,FALSE)</f>
        <v>NO</v>
      </c>
      <c r="O42" s="19" t="str">
        <f t="shared" si="0"/>
        <v>N/A</v>
      </c>
      <c r="P42" s="19" t="e">
        <f>HLOOKUP($A42,'RTU 2-X'!$B$2:$AG$11,9,FALSE)</f>
        <v>#N/A</v>
      </c>
    </row>
    <row r="43" spans="1:17" x14ac:dyDescent="0.3">
      <c r="A43" s="19" t="str">
        <v>VAV-2-3-7</v>
      </c>
      <c r="B43" s="19"/>
      <c r="C43" s="19">
        <f>HLOOKUP(A43,'RTU 2-X'!$B$2:$AG$10,2,FALSE)</f>
        <v>0</v>
      </c>
      <c r="D43" s="25"/>
      <c r="E43" s="25"/>
      <c r="F43" s="25"/>
      <c r="G43" s="25"/>
      <c r="H43" s="25"/>
      <c r="I43" s="25"/>
      <c r="J43" s="25"/>
      <c r="K43" s="25"/>
      <c r="L43" s="19" t="e">
        <f>HLOOKUP($A43,'RTU 2-X'!$B$2:$AG$10,7,FALSE)</f>
        <v>#N/A</v>
      </c>
      <c r="M43" s="19" t="e">
        <f>HLOOKUP($A43,'RTU 2-X'!$B$2:$AG$10,6,FALSE)</f>
        <v>#N/A</v>
      </c>
      <c r="N43" s="19" t="str">
        <f>HLOOKUP($A43,'RTU 2-X'!$B$2:$AG$11,10,FALSE)</f>
        <v>YES</v>
      </c>
      <c r="O43" s="19">
        <f t="shared" si="0"/>
        <v>600</v>
      </c>
      <c r="P43" s="19" t="e">
        <f>HLOOKUP($A43,'RTU 2-X'!$B$2:$AG$11,9,FALSE)</f>
        <v>#N/A</v>
      </c>
    </row>
    <row r="44" spans="1:17" x14ac:dyDescent="0.3">
      <c r="A44" s="19" t="str">
        <v>VAV-2-4-1</v>
      </c>
      <c r="B44" s="19"/>
      <c r="C44" s="19">
        <f>HLOOKUP(A44,'RTU 2-X'!$B$2:$AG$10,2,FALSE)</f>
        <v>0</v>
      </c>
      <c r="D44" s="25"/>
      <c r="E44" s="25"/>
      <c r="F44" s="25"/>
      <c r="G44" s="25"/>
      <c r="H44" s="25"/>
      <c r="I44" s="25"/>
      <c r="J44" s="25"/>
      <c r="K44" s="25"/>
      <c r="L44" s="19">
        <f>HLOOKUP($A44,'RTU 2-X'!$B$2:$AG$10,7,FALSE)</f>
        <v>0</v>
      </c>
      <c r="M44" s="19">
        <f>HLOOKUP($A44,'RTU 2-X'!$B$2:$AG$10,6,FALSE)</f>
        <v>16.349999999999998</v>
      </c>
      <c r="N44" s="19" t="str">
        <f>HLOOKUP($A44,'RTU 2-X'!$B$2:$AG$11,10,FALSE)</f>
        <v>NO</v>
      </c>
      <c r="O44" s="19" t="str">
        <f t="shared" si="0"/>
        <v>N/A</v>
      </c>
      <c r="P44" s="19" t="e">
        <f>HLOOKUP($A44,'RTU 2-X'!$B$2:$AG$11,9,FALSE)</f>
        <v>#N/A</v>
      </c>
    </row>
    <row r="45" spans="1:17" x14ac:dyDescent="0.3">
      <c r="A45" s="19" t="str">
        <v>VAV-2-4-2</v>
      </c>
      <c r="B45" s="19"/>
      <c r="C45" s="19">
        <f>HLOOKUP(A45,'RTU 2-X'!$B$2:$AG$10,2,FALSE)</f>
        <v>0</v>
      </c>
      <c r="D45" s="25"/>
      <c r="E45" s="25"/>
      <c r="F45" s="25"/>
      <c r="G45" s="25"/>
      <c r="H45" s="25"/>
      <c r="I45" s="25"/>
      <c r="J45" s="25"/>
      <c r="K45" s="25"/>
      <c r="L45" s="19">
        <f>HLOOKUP($A45,'RTU 2-X'!$B$2:$AG$10,7,FALSE)</f>
        <v>0</v>
      </c>
      <c r="M45" s="19">
        <f>HLOOKUP($A45,'RTU 2-X'!$B$2:$AG$10,6,FALSE)</f>
        <v>44.55</v>
      </c>
      <c r="N45" s="19" t="str">
        <f>HLOOKUP($A45,'RTU 2-X'!$B$2:$AG$11,10,FALSE)</f>
        <v>NO</v>
      </c>
      <c r="O45" s="19" t="str">
        <f t="shared" si="0"/>
        <v>N/A</v>
      </c>
      <c r="P45" s="19" t="e">
        <f>HLOOKUP($A45,'RTU 2-X'!$B$2:$AG$11,9,FALSE)</f>
        <v>#N/A</v>
      </c>
    </row>
    <row r="46" spans="1:17" x14ac:dyDescent="0.3">
      <c r="A46" s="19" t="str">
        <v>VAV-2-4-3</v>
      </c>
      <c r="B46" s="19"/>
      <c r="C46" s="19">
        <f>HLOOKUP(A46,'RTU 2-X'!$B$2:$AG$10,2,FALSE)</f>
        <v>0</v>
      </c>
      <c r="D46" s="25"/>
      <c r="E46" s="25"/>
      <c r="F46" s="25"/>
      <c r="G46" s="25"/>
      <c r="H46" s="25"/>
      <c r="I46" s="25"/>
      <c r="J46" s="25"/>
      <c r="K46" s="25"/>
      <c r="L46" s="19">
        <f>HLOOKUP($A46,'RTU 2-X'!$B$2:$AG$10,7,FALSE)</f>
        <v>0</v>
      </c>
      <c r="M46" s="19">
        <f>HLOOKUP($A46,'RTU 2-X'!$B$2:$AG$10,6,FALSE)</f>
        <v>44.55</v>
      </c>
      <c r="N46" s="19" t="str">
        <f>HLOOKUP($A46,'RTU 2-X'!$B$2:$AG$11,10,FALSE)</f>
        <v>NO</v>
      </c>
      <c r="O46" s="19" t="str">
        <f t="shared" si="0"/>
        <v>N/A</v>
      </c>
      <c r="P46" s="19" t="e">
        <f>HLOOKUP($A46,'RTU 2-X'!$B$2:$AG$11,9,FALSE)</f>
        <v>#N/A</v>
      </c>
    </row>
    <row r="47" spans="1:17" x14ac:dyDescent="0.3">
      <c r="A47" s="19" t="str">
        <v>VAV-2-4-4</v>
      </c>
      <c r="B47" s="19"/>
      <c r="C47" s="19">
        <f>HLOOKUP(A47,'RTU 2-X'!$B$2:$AG$10,2,FALSE)</f>
        <v>0</v>
      </c>
      <c r="D47" s="25"/>
      <c r="E47" s="25"/>
      <c r="F47" s="25"/>
      <c r="G47" s="25"/>
      <c r="H47" s="25"/>
      <c r="I47" s="25"/>
      <c r="J47" s="25"/>
      <c r="K47" s="25"/>
      <c r="L47" s="19">
        <f>HLOOKUP($A47,'RTU 2-X'!$B$2:$AG$10,7,FALSE)</f>
        <v>0</v>
      </c>
      <c r="M47" s="19">
        <f>HLOOKUP($A47,'RTU 2-X'!$B$2:$AG$10,6,FALSE)</f>
        <v>29.82</v>
      </c>
      <c r="N47" s="19" t="str">
        <f>HLOOKUP($A47,'RTU 2-X'!$B$2:$AG$11,10,FALSE)</f>
        <v>NO</v>
      </c>
      <c r="O47" s="19" t="str">
        <f t="shared" si="0"/>
        <v>N/A</v>
      </c>
      <c r="P47" s="19" t="e">
        <f>HLOOKUP($A47,'RTU 2-X'!$B$2:$AG$11,9,FALSE)</f>
        <v>#N/A</v>
      </c>
    </row>
    <row r="48" spans="1:17" x14ac:dyDescent="0.3">
      <c r="A48" s="19" t="str">
        <v>VAV-2-4-5</v>
      </c>
      <c r="B48" s="19"/>
      <c r="C48" s="19">
        <f>HLOOKUP(A48,'RTU 2-X'!$B$2:$AG$10,2,FALSE)</f>
        <v>0</v>
      </c>
      <c r="D48" s="25"/>
      <c r="E48" s="25"/>
      <c r="F48" s="25"/>
      <c r="G48" s="25"/>
      <c r="H48" s="25"/>
      <c r="I48" s="25"/>
      <c r="J48" s="25"/>
      <c r="K48" s="25"/>
      <c r="L48" s="19">
        <f>HLOOKUP($A48,'RTU 2-X'!$B$2:$AG$10,7,FALSE)</f>
        <v>0</v>
      </c>
      <c r="M48" s="19">
        <f>HLOOKUP($A48,'RTU 2-X'!$B$2:$AG$10,6,FALSE)</f>
        <v>15.12</v>
      </c>
      <c r="N48" s="19" t="str">
        <f>HLOOKUP($A48,'RTU 2-X'!$B$2:$AG$11,10,FALSE)</f>
        <v>NO</v>
      </c>
      <c r="O48" s="19" t="str">
        <f t="shared" si="0"/>
        <v>N/A</v>
      </c>
      <c r="P48" s="19" t="e">
        <f>HLOOKUP($A48,'RTU 2-X'!$B$2:$AG$11,9,FALSE)</f>
        <v>#N/A</v>
      </c>
    </row>
    <row r="49" spans="1:16" x14ac:dyDescent="0.3">
      <c r="A49" s="19" t="str">
        <v>VAV-2-4-6</v>
      </c>
      <c r="B49" s="19"/>
      <c r="C49" s="19">
        <f>HLOOKUP(A49,'RTU 2-X'!$B$2:$AG$10,2,FALSE)</f>
        <v>0</v>
      </c>
      <c r="D49" s="25"/>
      <c r="E49" s="25"/>
      <c r="F49" s="25"/>
      <c r="G49" s="25"/>
      <c r="H49" s="25"/>
      <c r="I49" s="25"/>
      <c r="J49" s="25"/>
      <c r="K49" s="25"/>
      <c r="L49" s="19">
        <f>HLOOKUP($A49,'RTU 2-X'!$B$2:$AG$10,7,FALSE)</f>
        <v>0</v>
      </c>
      <c r="M49" s="19">
        <f>HLOOKUP($A49,'RTU 2-X'!$B$2:$AG$10,6,FALSE)</f>
        <v>16.5</v>
      </c>
      <c r="N49" s="19" t="str">
        <f>HLOOKUP($A49,'RTU 2-X'!$B$2:$AG$11,10,FALSE)</f>
        <v>NO</v>
      </c>
      <c r="O49" s="19" t="str">
        <f t="shared" si="0"/>
        <v>N/A</v>
      </c>
      <c r="P49" s="19" t="e">
        <f>HLOOKUP($A49,'RTU 2-X'!$B$2:$AG$11,9,FALSE)</f>
        <v>#N/A</v>
      </c>
    </row>
    <row r="50" spans="1:16" x14ac:dyDescent="0.3">
      <c r="A50" s="19" t="str">
        <v>VAV-2-4-7</v>
      </c>
      <c r="B50" s="19"/>
      <c r="C50" s="19">
        <f>HLOOKUP(A50,'RTU 2-X'!$B$2:$AG$10,2,FALSE)</f>
        <v>0</v>
      </c>
      <c r="D50" s="25"/>
      <c r="E50" s="25"/>
      <c r="F50" s="25"/>
      <c r="G50" s="25"/>
      <c r="H50" s="25"/>
      <c r="I50" s="25"/>
      <c r="J50" s="25"/>
      <c r="K50" s="25"/>
      <c r="L50" s="19" t="e">
        <f>HLOOKUP($A50,'RTU 2-X'!$B$2:$AG$10,7,FALSE)</f>
        <v>#N/A</v>
      </c>
      <c r="M50" s="19" t="e">
        <f>HLOOKUP($A50,'RTU 2-X'!$B$2:$AG$10,6,FALSE)</f>
        <v>#N/A</v>
      </c>
      <c r="N50" s="19" t="str">
        <f>HLOOKUP($A50,'RTU 2-X'!$B$2:$AG$11,10,FALSE)</f>
        <v>NO</v>
      </c>
      <c r="O50" s="19" t="str">
        <f t="shared" si="0"/>
        <v>N/A</v>
      </c>
      <c r="P50" s="19" t="e">
        <f>HLOOKUP($A50,'RTU 2-X'!$B$2:$AG$11,9,FALSE)</f>
        <v>#N/A</v>
      </c>
    </row>
    <row r="51" spans="1:16" x14ac:dyDescent="0.3">
      <c r="A51" s="19" t="str">
        <v>VAV-2-4-8</v>
      </c>
      <c r="B51" s="19"/>
      <c r="C51" s="19">
        <f>HLOOKUP(A51,'RTU 2-X'!$B$2:$AG$10,2,FALSE)</f>
        <v>0</v>
      </c>
      <c r="D51" s="25"/>
      <c r="E51" s="25"/>
      <c r="F51" s="25"/>
      <c r="G51" s="25"/>
      <c r="H51" s="25"/>
      <c r="I51" s="25"/>
      <c r="J51" s="25"/>
      <c r="K51" s="25"/>
      <c r="L51" s="19">
        <f>HLOOKUP($A51,'RTU 2-X'!$B$2:$AG$10,7,FALSE)</f>
        <v>0</v>
      </c>
      <c r="M51" s="19">
        <f>HLOOKUP($A51,'RTU 2-X'!$B$2:$AG$10,6,FALSE)</f>
        <v>18.57</v>
      </c>
      <c r="N51" s="19" t="str">
        <f>HLOOKUP($A51,'RTU 2-X'!$B$2:$AG$11,10,FALSE)</f>
        <v>NO</v>
      </c>
      <c r="O51" s="19" t="str">
        <f t="shared" si="0"/>
        <v>N/A</v>
      </c>
      <c r="P51" s="19" t="e">
        <f>HLOOKUP($A51,'RTU 2-X'!$B$2:$AG$11,9,FALSE)</f>
        <v>#N/A</v>
      </c>
    </row>
    <row r="52" spans="1:16" x14ac:dyDescent="0.3">
      <c r="A52" s="19" t="str">
        <v>VAV-2-4-9</v>
      </c>
      <c r="B52" s="19"/>
      <c r="C52" s="19">
        <f>HLOOKUP(A52,'RTU 2-X'!$B$2:$AG$10,2,FALSE)</f>
        <v>0</v>
      </c>
      <c r="D52" s="25"/>
      <c r="E52" s="25"/>
      <c r="F52" s="25"/>
      <c r="G52" s="25"/>
      <c r="H52" s="25"/>
      <c r="I52" s="25"/>
      <c r="J52" s="25"/>
      <c r="K52" s="25"/>
      <c r="L52" s="19">
        <f>HLOOKUP($A52,'RTU 2-X'!$B$2:$AG$10,7,FALSE)</f>
        <v>0</v>
      </c>
      <c r="M52" s="19">
        <f>HLOOKUP($A52,'RTU 2-X'!$B$2:$AG$10,6,FALSE)</f>
        <v>48.75</v>
      </c>
      <c r="N52" s="19" t="str">
        <f>HLOOKUP($A52,'RTU 2-X'!$B$2:$AG$11,10,FALSE)</f>
        <v>NO</v>
      </c>
      <c r="O52" s="19" t="str">
        <f t="shared" si="0"/>
        <v>N/A</v>
      </c>
      <c r="P52" s="19" t="e">
        <f>HLOOKUP($A52,'RTU 2-X'!$B$2:$AG$11,9,FALSE)</f>
        <v>#N/A</v>
      </c>
    </row>
    <row r="53" spans="1:16" x14ac:dyDescent="0.3">
      <c r="A53" s="19" t="str">
        <v>VAV-2-5-1</v>
      </c>
      <c r="B53" s="19"/>
      <c r="C53" s="19">
        <f>HLOOKUP(A53,'RTU 2-X'!$B$2:$AG$10,2,FALSE)</f>
        <v>0</v>
      </c>
      <c r="D53" s="25"/>
      <c r="E53" s="25"/>
      <c r="F53" s="25"/>
      <c r="G53" s="25"/>
      <c r="H53" s="25"/>
      <c r="I53" s="25"/>
      <c r="J53" s="25"/>
      <c r="K53" s="25"/>
      <c r="L53" s="19" t="e">
        <f>HLOOKUP($A53,'RTU 2-X'!$B$2:$AG$10,7,FALSE)</f>
        <v>#N/A</v>
      </c>
      <c r="M53" s="19" t="e">
        <f>HLOOKUP($A53,'RTU 2-X'!$B$2:$AG$10,6,FALSE)</f>
        <v>#N/A</v>
      </c>
      <c r="N53" s="19" t="str">
        <f>HLOOKUP($A53,'RTU 2-X'!$B$2:$AG$11,10,FALSE)</f>
        <v>NO</v>
      </c>
      <c r="O53" s="19" t="str">
        <f t="shared" si="0"/>
        <v>N/A</v>
      </c>
      <c r="P53" s="19" t="e">
        <f>HLOOKUP($A53,'RTU 2-X'!$B$2:$AG$11,9,FALSE)</f>
        <v>#N/A</v>
      </c>
    </row>
    <row r="54" spans="1:16" x14ac:dyDescent="0.3">
      <c r="A54" s="19" t="str">
        <v>VAV-2-5-2</v>
      </c>
      <c r="B54" s="19"/>
      <c r="C54" s="19">
        <f>HLOOKUP(A54,'RTU 2-X'!$B$2:$AG$10,2,FALSE)</f>
        <v>0</v>
      </c>
      <c r="D54" s="25"/>
      <c r="E54" s="25"/>
      <c r="F54" s="25"/>
      <c r="G54" s="25"/>
      <c r="H54" s="25"/>
      <c r="I54" s="25"/>
      <c r="J54" s="25"/>
      <c r="K54" s="25"/>
      <c r="L54" s="19" t="e">
        <f>HLOOKUP($A54,'RTU 2-X'!$B$2:$AG$10,7,FALSE)</f>
        <v>#N/A</v>
      </c>
      <c r="M54" s="19" t="e">
        <f>HLOOKUP($A54,'RTU 2-X'!$B$2:$AG$10,6,FALSE)</f>
        <v>#N/A</v>
      </c>
      <c r="N54" s="19" t="str">
        <f>HLOOKUP($A54,'RTU 2-X'!$B$2:$AG$11,10,FALSE)</f>
        <v>NO</v>
      </c>
      <c r="O54" s="19" t="str">
        <f t="shared" ref="O54:O59" si="1">IF(N54="YES",600,"N/A")</f>
        <v>N/A</v>
      </c>
      <c r="P54" s="19" t="e">
        <f>HLOOKUP($A54,'RTU 2-X'!$B$2:$AG$11,9,FALSE)</f>
        <v>#N/A</v>
      </c>
    </row>
    <row r="55" spans="1:16" x14ac:dyDescent="0.3">
      <c r="A55" s="19" t="str">
        <v>VAV-2-5-3</v>
      </c>
      <c r="B55" s="19"/>
      <c r="C55" s="19">
        <f>HLOOKUP(A55,'RTU 2-X'!$B$2:$AG$10,2,FALSE)</f>
        <v>0</v>
      </c>
      <c r="D55" s="25"/>
      <c r="E55" s="25"/>
      <c r="F55" s="25"/>
      <c r="G55" s="25"/>
      <c r="H55" s="25"/>
      <c r="I55" s="25"/>
      <c r="J55" s="25"/>
      <c r="K55" s="25"/>
      <c r="L55" s="19" t="e">
        <f>HLOOKUP($A55,'RTU 2-X'!$B$2:$AG$10,7,FALSE)</f>
        <v>#N/A</v>
      </c>
      <c r="M55" s="19" t="e">
        <f>HLOOKUP($A55,'RTU 2-X'!$B$2:$AG$10,6,FALSE)</f>
        <v>#N/A</v>
      </c>
      <c r="N55" s="19" t="str">
        <f>HLOOKUP($A55,'RTU 2-X'!$B$2:$AG$11,10,FALSE)</f>
        <v>YES</v>
      </c>
      <c r="O55" s="19">
        <f t="shared" si="1"/>
        <v>600</v>
      </c>
      <c r="P55" s="19" t="e">
        <f>HLOOKUP($A55,'RTU 2-X'!$B$2:$AG$11,9,FALSE)</f>
        <v>#N/A</v>
      </c>
    </row>
    <row r="56" spans="1:16" x14ac:dyDescent="0.3">
      <c r="A56" s="19" t="str">
        <v>VAV-2-5-4</v>
      </c>
      <c r="B56" s="19"/>
      <c r="C56" s="19">
        <f>HLOOKUP(A56,'RTU 2-X'!$B$2:$AG$10,2,FALSE)</f>
        <v>0</v>
      </c>
      <c r="D56" s="25"/>
      <c r="E56" s="25"/>
      <c r="F56" s="25"/>
      <c r="G56" s="25"/>
      <c r="H56" s="25"/>
      <c r="I56" s="25"/>
      <c r="J56" s="25"/>
      <c r="K56" s="25"/>
      <c r="L56" s="19" t="e">
        <f>HLOOKUP($A56,'RTU 2-X'!$B$2:$AG$10,7,FALSE)</f>
        <v>#N/A</v>
      </c>
      <c r="M56" s="19" t="e">
        <f>HLOOKUP($A56,'RTU 2-X'!$B$2:$AG$10,6,FALSE)</f>
        <v>#N/A</v>
      </c>
      <c r="N56" s="19" t="str">
        <f>HLOOKUP($A56,'RTU 2-X'!$B$2:$AG$11,10,FALSE)</f>
        <v>NO</v>
      </c>
      <c r="O56" s="19" t="str">
        <f t="shared" si="1"/>
        <v>N/A</v>
      </c>
      <c r="P56" s="19" t="e">
        <f>HLOOKUP($A56,'RTU 2-X'!$B$2:$AG$11,9,FALSE)</f>
        <v>#N/A</v>
      </c>
    </row>
    <row r="57" spans="1:16" x14ac:dyDescent="0.3">
      <c r="A57" s="19" t="str">
        <v>VAV-2-5-5</v>
      </c>
      <c r="B57" s="19"/>
      <c r="C57" s="19">
        <f>HLOOKUP(A57,'RTU 2-X'!$B$2:$AG$10,2,FALSE)</f>
        <v>0</v>
      </c>
      <c r="D57" s="25"/>
      <c r="E57" s="25"/>
      <c r="F57" s="25"/>
      <c r="G57" s="25"/>
      <c r="H57" s="25"/>
      <c r="I57" s="25"/>
      <c r="J57" s="25"/>
      <c r="K57" s="25"/>
      <c r="L57" s="19" t="e">
        <f>HLOOKUP($A57,'RTU 2-X'!$B$2:$AG$10,7,FALSE)</f>
        <v>#N/A</v>
      </c>
      <c r="M57" s="19" t="e">
        <f>HLOOKUP($A57,'RTU 2-X'!$B$2:$AG$10,6,FALSE)</f>
        <v>#N/A</v>
      </c>
      <c r="N57" s="19" t="str">
        <f>HLOOKUP($A57,'RTU 2-X'!$B$2:$AG$11,10,FALSE)</f>
        <v>YES</v>
      </c>
      <c r="O57" s="19">
        <f t="shared" si="1"/>
        <v>600</v>
      </c>
      <c r="P57" s="19" t="e">
        <f>HLOOKUP($A57,'RTU 2-X'!$B$2:$AG$11,9,FALSE)</f>
        <v>#N/A</v>
      </c>
    </row>
    <row r="58" spans="1:16" x14ac:dyDescent="0.3">
      <c r="A58" s="19" t="str">
        <v>VAV-2-5-6</v>
      </c>
      <c r="B58" s="19"/>
      <c r="C58" s="19">
        <f>HLOOKUP(A58,'RTU 2-X'!$B$2:$AG$10,2,FALSE)</f>
        <v>0</v>
      </c>
      <c r="D58" s="25"/>
      <c r="E58" s="25"/>
      <c r="F58" s="25"/>
      <c r="G58" s="25"/>
      <c r="H58" s="25"/>
      <c r="I58" s="25"/>
      <c r="J58" s="25"/>
      <c r="K58" s="25"/>
      <c r="L58" s="19">
        <f>HLOOKUP($A58,'RTU 2-X'!$B$2:$AG$10,7,FALSE)</f>
        <v>0</v>
      </c>
      <c r="M58" s="19">
        <f>HLOOKUP($A58,'RTU 2-X'!$B$2:$AG$10,6,FALSE)</f>
        <v>88.71</v>
      </c>
      <c r="N58" s="19" t="str">
        <f>HLOOKUP($A58,'RTU 2-X'!$B$2:$AG$11,10,FALSE)</f>
        <v>NO</v>
      </c>
      <c r="O58" s="19" t="str">
        <f t="shared" si="1"/>
        <v>N/A</v>
      </c>
      <c r="P58" s="19" t="e">
        <f>HLOOKUP($A58,'RTU 2-X'!$B$2:$AG$11,9,FALSE)</f>
        <v>#N/A</v>
      </c>
    </row>
    <row r="59" spans="1:16" x14ac:dyDescent="0.3">
      <c r="A59" s="19" t="str">
        <v>VAV-2-5-7</v>
      </c>
      <c r="B59" s="19"/>
      <c r="C59" s="19">
        <f>HLOOKUP(A59,'RTU 2-X'!$B$2:$AG$10,2,FALSE)</f>
        <v>0</v>
      </c>
      <c r="D59" s="25"/>
      <c r="E59" s="25"/>
      <c r="F59" s="25"/>
      <c r="G59" s="25"/>
      <c r="H59" s="25"/>
      <c r="I59" s="25"/>
      <c r="J59" s="25"/>
      <c r="K59" s="25"/>
      <c r="L59" s="19" t="e">
        <f>HLOOKUP($A59,'RTU 2-X'!$B$2:$AG$10,7,FALSE)</f>
        <v>#N/A</v>
      </c>
      <c r="M59" s="19" t="e">
        <f>HLOOKUP($A59,'RTU 2-X'!$B$2:$AG$10,6,FALSE)</f>
        <v>#N/A</v>
      </c>
      <c r="N59" s="19" t="str">
        <f>HLOOKUP($A59,'RTU 2-X'!$B$2:$AG$11,10,FALSE)</f>
        <v>YES</v>
      </c>
      <c r="O59" s="19">
        <f t="shared" si="1"/>
        <v>600</v>
      </c>
      <c r="P59" s="19" t="e">
        <f>HLOOKUP($A59,'RTU 2-X'!$B$2:$AG$11,9,FALSE)</f>
        <v>#N/A</v>
      </c>
    </row>
    <row r="60" spans="1:16" x14ac:dyDescent="0.3">
      <c r="A60" s="19"/>
      <c r="B60" s="19"/>
      <c r="C60" s="19" t="e">
        <f>HLOOKUP(A60,'AC-3'!$B$2:$S$10,2,FALSE)</f>
        <v>#N/A</v>
      </c>
      <c r="D60" s="25"/>
      <c r="E60" s="25"/>
      <c r="F60" s="25"/>
      <c r="G60" s="25"/>
      <c r="H60" s="25"/>
      <c r="I60" s="25"/>
      <c r="J60" s="25"/>
      <c r="K60" s="25"/>
      <c r="L60" s="19" t="e">
        <f>HLOOKUP($A60,'AC-3'!$B$2:$S$10,6,FALSE)</f>
        <v>#N/A</v>
      </c>
      <c r="M60" s="19" t="e">
        <f>HLOOKUP($A60,'AC-3'!$B$2:$S$10,7,FALSE)</f>
        <v>#N/A</v>
      </c>
      <c r="N60" s="19" t="e">
        <f>HLOOKUP($A60,'AC-3'!$B$2:$S$11,10,FALSE)</f>
        <v>#N/A</v>
      </c>
      <c r="O60" s="19" t="e">
        <f t="shared" si="0"/>
        <v>#N/A</v>
      </c>
      <c r="P60" s="19" t="e">
        <f>HLOOKUP($A60,'AC-3'!$B$2:$S$11,9,FALSE)</f>
        <v>#N/A</v>
      </c>
    </row>
    <row r="61" spans="1:16" x14ac:dyDescent="0.3">
      <c r="A61" s="19"/>
      <c r="B61" s="19"/>
      <c r="C61" s="19" t="e">
        <f>HLOOKUP(A61,'AC-3'!$B$2:$S$10,2,FALSE)</f>
        <v>#N/A</v>
      </c>
      <c r="D61" s="25"/>
      <c r="E61" s="25"/>
      <c r="F61" s="25"/>
      <c r="G61" s="25"/>
      <c r="H61" s="25"/>
      <c r="I61" s="25"/>
      <c r="J61" s="25"/>
      <c r="K61" s="25"/>
      <c r="L61" s="19" t="e">
        <f>HLOOKUP($A61,'AC-3'!$B$2:$S$10,6,FALSE)</f>
        <v>#N/A</v>
      </c>
      <c r="M61" s="19" t="e">
        <f>HLOOKUP($A61,'AC-3'!$B$2:$S$10,7,FALSE)</f>
        <v>#N/A</v>
      </c>
      <c r="N61" s="19" t="e">
        <f>HLOOKUP($A61,'AC-3'!$B$2:$S$11,10,FALSE)</f>
        <v>#N/A</v>
      </c>
      <c r="O61" s="19" t="e">
        <f t="shared" si="0"/>
        <v>#N/A</v>
      </c>
      <c r="P61" s="19" t="e">
        <f>HLOOKUP($A61,'AC-3'!$B$2:$S$11,9,FALSE)</f>
        <v>#N/A</v>
      </c>
    </row>
    <row r="62" spans="1:16" x14ac:dyDescent="0.3">
      <c r="A62" s="19"/>
      <c r="B62" s="19"/>
      <c r="C62" s="19" t="e">
        <f>HLOOKUP(A62,'AC-3'!$B$2:$S$10,2,FALSE)</f>
        <v>#N/A</v>
      </c>
      <c r="D62" s="25"/>
      <c r="E62" s="25"/>
      <c r="F62" s="25"/>
      <c r="G62" s="25"/>
      <c r="H62" s="25"/>
      <c r="I62" s="25"/>
      <c r="J62" s="25"/>
      <c r="K62" s="25"/>
      <c r="L62" s="19" t="e">
        <f>HLOOKUP($A62,'AC-3'!$B$2:$S$10,6,FALSE)</f>
        <v>#N/A</v>
      </c>
      <c r="M62" s="19" t="e">
        <f>HLOOKUP($A62,'AC-3'!$B$2:$S$10,7,FALSE)</f>
        <v>#N/A</v>
      </c>
      <c r="N62" s="19" t="e">
        <f>HLOOKUP($A62,'AC-3'!$B$2:$S$11,10,FALSE)</f>
        <v>#N/A</v>
      </c>
      <c r="O62" s="19" t="e">
        <f t="shared" si="0"/>
        <v>#N/A</v>
      </c>
      <c r="P62" s="19" t="e">
        <f>HLOOKUP($A62,'AC-3'!$B$2:$S$11,9,FALSE)</f>
        <v>#N/A</v>
      </c>
    </row>
    <row r="63" spans="1:16" x14ac:dyDescent="0.3">
      <c r="A63" s="19"/>
      <c r="B63" s="19"/>
      <c r="C63" s="19" t="e">
        <f>HLOOKUP(A63,'AC-3'!$B$2:$S$10,2,FALSE)</f>
        <v>#N/A</v>
      </c>
      <c r="D63" s="25"/>
      <c r="E63" s="25"/>
      <c r="F63" s="25"/>
      <c r="G63" s="25"/>
      <c r="H63" s="25"/>
      <c r="I63" s="25"/>
      <c r="J63" s="25"/>
      <c r="K63" s="25"/>
      <c r="L63" s="19" t="e">
        <f>HLOOKUP($A63,'AC-3'!$B$2:$S$10,6,FALSE)</f>
        <v>#N/A</v>
      </c>
      <c r="M63" s="19" t="e">
        <f>HLOOKUP($A63,'AC-3'!$B$2:$S$10,7,FALSE)</f>
        <v>#N/A</v>
      </c>
      <c r="N63" s="19" t="e">
        <f>HLOOKUP($A63,'AC-3'!$B$2:$S$11,10,FALSE)</f>
        <v>#N/A</v>
      </c>
      <c r="O63" s="19" t="e">
        <f t="shared" si="0"/>
        <v>#N/A</v>
      </c>
      <c r="P63" s="19" t="e">
        <f>HLOOKUP($A63,'AC-3'!$B$2:$S$11,9,FALSE)</f>
        <v>#N/A</v>
      </c>
    </row>
    <row r="64" spans="1:16" x14ac:dyDescent="0.3">
      <c r="A64" s="19"/>
      <c r="B64" s="19"/>
      <c r="C64" s="19" t="e">
        <f>HLOOKUP(A64,'AC-3'!$B$2:$S$10,2,FALSE)</f>
        <v>#N/A</v>
      </c>
      <c r="D64" s="25"/>
      <c r="E64" s="25"/>
      <c r="F64" s="25"/>
      <c r="G64" s="25"/>
      <c r="H64" s="25"/>
      <c r="I64" s="25"/>
      <c r="J64" s="25"/>
      <c r="K64" s="25"/>
      <c r="L64" s="19" t="e">
        <f>HLOOKUP($A64,'AC-3'!$B$2:$S$10,6,FALSE)</f>
        <v>#N/A</v>
      </c>
      <c r="M64" s="19" t="e">
        <f>HLOOKUP($A64,'AC-3'!$B$2:$S$10,7,FALSE)</f>
        <v>#N/A</v>
      </c>
      <c r="N64" s="19" t="e">
        <f>HLOOKUP($A64,'AC-3'!$B$2:$S$11,10,FALSE)</f>
        <v>#N/A</v>
      </c>
      <c r="O64" s="19" t="e">
        <f t="shared" si="0"/>
        <v>#N/A</v>
      </c>
      <c r="P64" s="19" t="e">
        <f>HLOOKUP($A64,'AC-3'!$B$2:$S$11,9,FALSE)</f>
        <v>#N/A</v>
      </c>
    </row>
    <row r="65" spans="1:16" x14ac:dyDescent="0.3">
      <c r="A65" s="19"/>
      <c r="B65" s="19"/>
      <c r="C65" s="19" t="e">
        <f>HLOOKUP(A65,'AC-3'!$B$2:$S$10,2,FALSE)</f>
        <v>#N/A</v>
      </c>
      <c r="D65" s="25"/>
      <c r="E65" s="25"/>
      <c r="F65" s="25"/>
      <c r="G65" s="25"/>
      <c r="H65" s="25"/>
      <c r="I65" s="25"/>
      <c r="J65" s="25"/>
      <c r="K65" s="25"/>
      <c r="L65" s="19" t="e">
        <f>HLOOKUP($A65,'AC-3'!$B$2:$S$10,6,FALSE)</f>
        <v>#N/A</v>
      </c>
      <c r="M65" s="19" t="e">
        <f>HLOOKUP($A65,'AC-3'!$B$2:$S$10,7,FALSE)</f>
        <v>#N/A</v>
      </c>
      <c r="N65" s="19" t="e">
        <f>HLOOKUP($A65,'AC-3'!$B$2:$S$11,10,FALSE)</f>
        <v>#N/A</v>
      </c>
      <c r="O65" s="19" t="e">
        <f t="shared" si="0"/>
        <v>#N/A</v>
      </c>
      <c r="P65" s="19" t="e">
        <f>HLOOKUP($A65,'AC-3'!$B$2:$S$11,9,FALSE)</f>
        <v>#N/A</v>
      </c>
    </row>
    <row r="66" spans="1:16" x14ac:dyDescent="0.3">
      <c r="A66" s="19"/>
      <c r="B66" s="19"/>
      <c r="C66" s="19" t="e">
        <f>HLOOKUP(A66,'AC-3'!$B$2:$S$10,2,FALSE)</f>
        <v>#N/A</v>
      </c>
      <c r="D66" s="25"/>
      <c r="E66" s="25"/>
      <c r="F66" s="25"/>
      <c r="G66" s="25"/>
      <c r="H66" s="25"/>
      <c r="I66" s="25"/>
      <c r="J66" s="25"/>
      <c r="K66" s="25"/>
      <c r="L66" s="19" t="e">
        <f>HLOOKUP($A66,'AC-3'!$B$2:$S$10,6,FALSE)</f>
        <v>#N/A</v>
      </c>
      <c r="M66" s="19" t="e">
        <f>HLOOKUP($A66,'AC-3'!$B$2:$S$10,7,FALSE)</f>
        <v>#N/A</v>
      </c>
      <c r="N66" s="19" t="e">
        <f>HLOOKUP($A66,'AC-3'!$B$2:$S$11,10,FALSE)</f>
        <v>#N/A</v>
      </c>
      <c r="O66" s="19" t="e">
        <f t="shared" si="0"/>
        <v>#N/A</v>
      </c>
      <c r="P66" s="19" t="e">
        <f>HLOOKUP($A66,'AC-3'!$B$2:$S$11,9,FALSE)</f>
        <v>#N/A</v>
      </c>
    </row>
    <row r="67" spans="1:16" x14ac:dyDescent="0.3">
      <c r="A67" s="19"/>
      <c r="B67" s="19"/>
      <c r="C67" s="19" t="e">
        <f>HLOOKUP(A67,'AC-3'!$B$2:$S$10,2,FALSE)</f>
        <v>#N/A</v>
      </c>
      <c r="D67" s="25"/>
      <c r="E67" s="25"/>
      <c r="F67" s="25"/>
      <c r="G67" s="25"/>
      <c r="H67" s="25"/>
      <c r="I67" s="25"/>
      <c r="J67" s="25"/>
      <c r="K67" s="25"/>
      <c r="L67" s="19" t="e">
        <f>HLOOKUP($A67,'AC-3'!$B$2:$S$10,6,FALSE)</f>
        <v>#N/A</v>
      </c>
      <c r="M67" s="19" t="e">
        <f>HLOOKUP($A67,'AC-3'!$B$2:$S$10,7,FALSE)</f>
        <v>#N/A</v>
      </c>
      <c r="N67" s="19" t="e">
        <f>HLOOKUP($A67,'AC-3'!$B$2:$S$11,10,FALSE)</f>
        <v>#N/A</v>
      </c>
      <c r="O67" s="19" t="e">
        <f t="shared" si="0"/>
        <v>#N/A</v>
      </c>
      <c r="P67" s="19" t="e">
        <f>HLOOKUP($A67,'AC-3'!$B$2:$S$11,9,FALSE)</f>
        <v>#N/A</v>
      </c>
    </row>
    <row r="68" spans="1:16" x14ac:dyDescent="0.3">
      <c r="A68" s="19"/>
      <c r="B68" s="19"/>
      <c r="C68" s="19" t="e">
        <f>HLOOKUP(A68,'AC-3'!$B$2:$S$10,2,FALSE)</f>
        <v>#N/A</v>
      </c>
      <c r="D68" s="25"/>
      <c r="E68" s="25"/>
      <c r="F68" s="25"/>
      <c r="G68" s="25"/>
      <c r="H68" s="25"/>
      <c r="I68" s="25"/>
      <c r="J68" s="25"/>
      <c r="K68" s="25"/>
      <c r="L68" s="19" t="e">
        <f>HLOOKUP($A68,'AC-3'!$B$2:$S$10,6,FALSE)</f>
        <v>#N/A</v>
      </c>
      <c r="M68" s="19" t="e">
        <f>HLOOKUP($A68,'AC-3'!$B$2:$S$10,7,FALSE)</f>
        <v>#N/A</v>
      </c>
      <c r="N68" s="19" t="e">
        <f>HLOOKUP($A68,'AC-3'!$B$2:$S$11,10,FALSE)</f>
        <v>#N/A</v>
      </c>
      <c r="O68" s="19" t="e">
        <f t="shared" si="0"/>
        <v>#N/A</v>
      </c>
      <c r="P68" s="19" t="e">
        <f>HLOOKUP($A68,'AC-3'!$B$2:$S$11,9,FALSE)</f>
        <v>#N/A</v>
      </c>
    </row>
    <row r="69" spans="1:16" x14ac:dyDescent="0.3">
      <c r="A69" s="19"/>
      <c r="B69" s="19"/>
      <c r="C69" s="19" t="e">
        <f>HLOOKUP(A69,'AC-3'!$B$2:$S$10,2,FALSE)</f>
        <v>#N/A</v>
      </c>
      <c r="D69" s="25"/>
      <c r="E69" s="25"/>
      <c r="F69" s="25"/>
      <c r="G69" s="25"/>
      <c r="H69" s="25"/>
      <c r="I69" s="25"/>
      <c r="J69" s="25"/>
      <c r="K69" s="25"/>
      <c r="L69" s="19" t="e">
        <f>HLOOKUP($A69,'AC-3'!$B$2:$S$10,6,FALSE)</f>
        <v>#N/A</v>
      </c>
      <c r="M69" s="19" t="e">
        <f>HLOOKUP($A69,'AC-3'!$B$2:$S$10,7,FALSE)</f>
        <v>#N/A</v>
      </c>
      <c r="N69" s="19" t="e">
        <f>HLOOKUP($A69,'AC-3'!$B$2:$S$11,10,FALSE)</f>
        <v>#N/A</v>
      </c>
      <c r="O69" s="19" t="e">
        <f t="shared" ref="O69:O71" si="2">IF(N69="YES",600,"N/A")</f>
        <v>#N/A</v>
      </c>
      <c r="P69" s="19" t="e">
        <f>HLOOKUP($A69,'AC-3'!$B$2:$S$11,9,FALSE)</f>
        <v>#N/A</v>
      </c>
    </row>
    <row r="70" spans="1:16" x14ac:dyDescent="0.3">
      <c r="A70" s="19"/>
      <c r="B70" s="19"/>
      <c r="C70" s="19" t="e">
        <f>HLOOKUP(A70,'AC-3'!$B$2:$S$10,2,FALSE)</f>
        <v>#N/A</v>
      </c>
      <c r="D70" s="25"/>
      <c r="E70" s="25"/>
      <c r="F70" s="25"/>
      <c r="G70" s="25"/>
      <c r="H70" s="25"/>
      <c r="I70" s="25"/>
      <c r="J70" s="25"/>
      <c r="K70" s="25"/>
      <c r="L70" s="19" t="e">
        <f>HLOOKUP($A70,'AC-3'!$B$2:$S$10,6,FALSE)</f>
        <v>#N/A</v>
      </c>
      <c r="M70" s="19" t="e">
        <f>HLOOKUP($A70,'AC-3'!$B$2:$S$10,7,FALSE)</f>
        <v>#N/A</v>
      </c>
      <c r="N70" s="19" t="e">
        <f>HLOOKUP($A70,'AC-3'!$B$2:$S$11,10,FALSE)</f>
        <v>#N/A</v>
      </c>
      <c r="O70" s="19" t="e">
        <f t="shared" si="2"/>
        <v>#N/A</v>
      </c>
      <c r="P70" s="19" t="e">
        <f>HLOOKUP($A70,'AC-3'!$B$2:$S$11,9,FALSE)</f>
        <v>#N/A</v>
      </c>
    </row>
    <row r="71" spans="1:16" x14ac:dyDescent="0.3">
      <c r="A71" s="19"/>
      <c r="B71" s="19"/>
      <c r="C71" s="19" t="e">
        <f>HLOOKUP(A71,'AC-3'!$B$2:$S$10,2,FALSE)</f>
        <v>#N/A</v>
      </c>
      <c r="D71" s="25"/>
      <c r="E71" s="25"/>
      <c r="F71" s="25"/>
      <c r="G71" s="25"/>
      <c r="H71" s="25"/>
      <c r="I71" s="25"/>
      <c r="J71" s="25"/>
      <c r="K71" s="25"/>
      <c r="L71" s="19" t="e">
        <f>HLOOKUP($A71,'AC-3'!$B$2:$S$10,6,FALSE)</f>
        <v>#N/A</v>
      </c>
      <c r="M71" s="19" t="e">
        <f>HLOOKUP($A71,'AC-3'!$B$2:$S$10,7,FALSE)</f>
        <v>#N/A</v>
      </c>
      <c r="N71" s="19" t="e">
        <f>HLOOKUP($A71,'AC-3'!$B$2:$S$11,10,FALSE)</f>
        <v>#N/A</v>
      </c>
      <c r="O71" s="19" t="e">
        <f t="shared" si="2"/>
        <v>#N/A</v>
      </c>
      <c r="P71" s="19" t="e">
        <f>HLOOKUP($A71,'AC-3'!$B$2:$S$11,9,FALSE)</f>
        <v>#N/A</v>
      </c>
    </row>
  </sheetData>
  <mergeCells count="6">
    <mergeCell ref="A1:P1"/>
    <mergeCell ref="D2:F2"/>
    <mergeCell ref="A2:A3"/>
    <mergeCell ref="B2:B3"/>
    <mergeCell ref="C2:C3"/>
    <mergeCell ref="G2:P2"/>
  </mergeCells>
  <pageMargins left="0.7" right="0.7" top="0.75" bottom="0.75" header="0.3" footer="0.3"/>
  <pageSetup orientation="portrait" r:id="rId1"/>
  <ignoredErrors>
    <ignoredError sqref="A2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6-1 Rates</vt:lpstr>
      <vt:lpstr>T-24 TAble 120.1-A</vt:lpstr>
      <vt:lpstr>RTU 1-1</vt:lpstr>
      <vt:lpstr>RTU 2-X</vt:lpstr>
      <vt:lpstr>AC-3</vt:lpstr>
      <vt:lpstr>AUTOCAD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Ton-That</dc:creator>
  <cp:lastModifiedBy>Rushikesh Patil</cp:lastModifiedBy>
  <dcterms:created xsi:type="dcterms:W3CDTF">2024-02-13T22:01:30Z</dcterms:created>
  <dcterms:modified xsi:type="dcterms:W3CDTF">2024-05-07T22:41:32Z</dcterms:modified>
</cp:coreProperties>
</file>