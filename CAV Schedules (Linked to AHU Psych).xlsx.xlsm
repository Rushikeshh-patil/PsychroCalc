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Git Projects\PsychroCalc\"/>
    </mc:Choice>
  </mc:AlternateContent>
  <xr:revisionPtr revIDLastSave="0" documentId="13_ncr:1_{AE873581-4ABC-416F-B02C-F4EEBB57D579}" xr6:coauthVersionLast="47" xr6:coauthVersionMax="47" xr10:uidLastSave="{00000000-0000-0000-0000-000000000000}"/>
  <bookViews>
    <workbookView xWindow="30612" yWindow="-108" windowWidth="30936" windowHeight="16776" xr2:uid="{3C0AFE92-E2BB-4D45-9CE2-BCDBC9422C9E}"/>
  </bookViews>
  <sheets>
    <sheet name="AH1_CAV_SCHEDULES" sheetId="2" r:id="rId1"/>
    <sheet name="Sheet1" sheetId="1" r:id="rId2"/>
  </sheets>
  <externalReferences>
    <externalReference r:id="rId3"/>
  </externalReferences>
  <definedNames>
    <definedName name="_CAV1">#REF!</definedName>
    <definedName name="_CAV1.">#REF!</definedName>
    <definedName name="_CAV2">#REF!</definedName>
    <definedName name="_CAV3">#REF!</definedName>
    <definedName name="_CAV4">#REF!</definedName>
    <definedName name="_xleta.CODE" hidden="1" xlm="1">#NAME?</definedName>
    <definedName name="_xleta.INDEX" hidden="1" xlm="1">#NAME?</definedName>
    <definedName name="_xleta.VLOOKUP" hidden="1" xlm="1">#NAME?</definedName>
    <definedName name="AHU_1AC_AV">#REF!</definedName>
    <definedName name="CAV_1A_SCHEDULE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>#REF!</definedName>
    <definedName name="Space_air_rates">#REF!</definedName>
    <definedName name="Space_index">#REF!</definedName>
    <definedName name="VENTILATION_SCHEDULE_AHU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" l="1"/>
  <c r="K6" i="2" s="1"/>
  <c r="L6" i="2" s="1"/>
  <c r="M6" i="2" s="1"/>
  <c r="N6" i="2" s="1"/>
  <c r="R6" i="2"/>
  <c r="Q6" i="2"/>
  <c r="O6" i="2"/>
  <c r="J6" i="2"/>
  <c r="I6" i="2"/>
  <c r="H6" i="2"/>
  <c r="G6" i="2"/>
  <c r="F6" i="2"/>
  <c r="Q5" i="2"/>
  <c r="H5" i="2"/>
  <c r="G5" i="2"/>
  <c r="E6" i="2" l="1"/>
  <c r="P6" i="2" s="1"/>
  <c r="D5" i="2" l="1"/>
  <c r="K5" i="2" l="1"/>
  <c r="E5" i="2"/>
  <c r="P5" i="2" s="1"/>
  <c r="L5" i="2" l="1"/>
  <c r="M5" i="2" s="1"/>
  <c r="K7" i="2"/>
  <c r="M7" i="2" l="1"/>
  <c r="N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tc={2F966DBE-A5C8-406A-8926-094AD9FACE6F}</author>
  </authors>
  <commentList>
    <comment ref="A4" authorId="0" shapeId="0" xr:uid="{2F966DBE-A5C8-406A-8926-094AD9FACE6F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sharedStrings.xml><?xml version="1.0" encoding="utf-8"?>
<sst xmlns="http://schemas.openxmlformats.org/spreadsheetml/2006/main" count="30" uniqueCount="27">
  <si>
    <t xml:space="preserve">SOUND SENSITIVE ROOMS? </t>
  </si>
  <si>
    <t>NO</t>
  </si>
  <si>
    <t>YES</t>
  </si>
  <si>
    <t>ZONE</t>
  </si>
  <si>
    <t>BASIS OF DESIGN 
MANUFACTURER</t>
  </si>
  <si>
    <t>DESCRIPTION</t>
  </si>
  <si>
    <t>CFM</t>
  </si>
  <si>
    <t>CAV INLET SIZE</t>
  </si>
  <si>
    <t>MAX TOTAL CAV PD 
(IN W.G.)</t>
  </si>
  <si>
    <t>EWT</t>
  </si>
  <si>
    <t>DESIGN 
LWT</t>
  </si>
  <si>
    <t>EAT</t>
  </si>
  <si>
    <t>DESIGN 
LAT</t>
  </si>
  <si>
    <t>MIN MBH</t>
  </si>
  <si>
    <t>AGPM</t>
  </si>
  <si>
    <t>GPM</t>
  </si>
  <si>
    <t>Branch Size</t>
  </si>
  <si>
    <t>MAX WATER 
PD (FT)</t>
  </si>
  <si>
    <t>OPER 
WEIGHT
(LBS)</t>
  </si>
  <si>
    <t>MTG 
DETAIL</t>
  </si>
  <si>
    <t>REMARKS</t>
  </si>
  <si>
    <t>CAV-1-01</t>
  </si>
  <si>
    <t>TITUS</t>
  </si>
  <si>
    <t>SINGLE DUCT REHEAT ZONE</t>
  </si>
  <si>
    <t>1, 2</t>
  </si>
  <si>
    <t>CAV-1-02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</si>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</sst>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Aptos Narrow"/>
      <family val="2"/>
      <scheme val="minor"/>
    </font>
    <font>
      <sz val="12"/>
      <color rgb="FF00B050"/>
      <name val="Calibri"/>
      <family val="2"/>
    </font>
    <font>
      <sz val="10"/>
      <name val="Arial"/>
      <family val="2"/>
    </font>
    <font>
      <sz val="12"/>
      <name val="Arial"/>
      <family val="2"/>
    </font>
    <font>
      <b/>
      <sz val="12"/>
      <color theme="3"/>
      <name val="Arial"/>
      <family val="2"/>
    </font>
    <font>
      <sz val="12"/>
      <color theme="1"/>
      <name val="Arial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0" fontId="2" fillId="0" borderId="0" xfId="1"/>
    <xf numFmtId="0" fontId="3" fillId="0" borderId="1" xfId="1" applyFont="1" applyBorder="1" applyAlignment="1">
      <alignment horizontal="center" vertical="center"/>
    </xf>
    <xf numFmtId="49" fontId="4" fillId="2" borderId="1" xfId="1" applyNumberFormat="1" applyFont="1" applyFill="1" applyBorder="1" applyAlignment="1" applyProtection="1">
      <alignment horizontal="center" vertical="center"/>
      <protection locked="0"/>
    </xf>
    <xf numFmtId="0" fontId="5" fillId="3" borderId="1" xfId="1" applyFont="1" applyFill="1" applyBorder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center" vertical="center" wrapText="1"/>
      <protection locked="0"/>
    </xf>
    <xf numFmtId="164" fontId="3" fillId="0" borderId="1" xfId="1" applyNumberFormat="1" applyFont="1" applyBorder="1" applyAlignment="1">
      <alignment horizontal="center" vertical="center"/>
    </xf>
    <xf numFmtId="12" fontId="3" fillId="0" borderId="1" xfId="1" applyNumberFormat="1" applyFont="1" applyBorder="1" applyAlignment="1">
      <alignment horizontal="center" vertical="center"/>
    </xf>
    <xf numFmtId="0" fontId="5" fillId="0" borderId="2" xfId="1" applyFont="1" applyBorder="1" applyAlignment="1" applyProtection="1">
      <alignment horizontal="center" vertical="center" wrapText="1"/>
      <protection locked="0"/>
    </xf>
    <xf numFmtId="0" fontId="5" fillId="0" borderId="3" xfId="1" applyFont="1" applyBorder="1" applyAlignment="1" applyProtection="1">
      <alignment horizontal="center" vertical="center" wrapText="1"/>
      <protection locked="0"/>
    </xf>
    <xf numFmtId="0" fontId="3" fillId="0" borderId="3" xfId="1" applyFont="1" applyBorder="1" applyAlignment="1" applyProtection="1">
      <alignment horizontal="center" vertical="center"/>
      <protection locked="0"/>
    </xf>
    <xf numFmtId="164" fontId="3" fillId="0" borderId="3" xfId="1" applyNumberFormat="1" applyFont="1" applyBorder="1" applyAlignment="1" applyProtection="1">
      <alignment horizontal="center" vertical="center"/>
      <protection locked="0"/>
    </xf>
    <xf numFmtId="0" fontId="3" fillId="0" borderId="4" xfId="1" applyFont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26280683-E0C2-42B7-BB62-FFC477A58EB9}"/>
  </cellStyles>
  <dxfs count="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" formatCode="#\ ?/?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0</xdr:row>
          <xdr:rowOff>76200</xdr:rowOff>
        </xdr:from>
        <xdr:to>
          <xdr:col>1</xdr:col>
          <xdr:colOff>876300</xdr:colOff>
          <xdr:row>2</xdr:row>
          <xdr:rowOff>106680</xdr:rowOff>
        </xdr:to>
        <xdr:sp macro="" textlink="">
          <xdr:nvSpPr>
            <xdr:cNvPr id="2049" name="Button 1" descr="HUMIDIFIC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5C8F0AB-D255-413F-91A0-F530E2B2A4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%20Projects\PsychroCalc\AHU%20Calc%20Sheet.xlsm" TargetMode="External"/><Relationship Id="rId1" Type="http://schemas.openxmlformats.org/officeDocument/2006/relationships/externalLinkPath" Target="AHU%20Calc%20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PUT_OUTPUTS"/>
      <sheetName val="Humidifier_Schedule"/>
      <sheetName val="AshraeTable4a"/>
      <sheetName val="CAV_SCHEDULES"/>
      <sheetName val="VA_Rooms_Calcs"/>
      <sheetName val="62.1_MULTI_ZONE"/>
      <sheetName val="VAV_SCHEDULES"/>
      <sheetName val="Room Temperature"/>
      <sheetName val="ROOM QC"/>
      <sheetName val="AH1"/>
      <sheetName val="AHU_SCHEDULES"/>
      <sheetName val="VA_Room_Data"/>
      <sheetName val="EF_Schedules"/>
      <sheetName val="Sequences"/>
      <sheetName val="HCAI_Fan_Power"/>
      <sheetName val="62.1_SINGLE_ZONE"/>
      <sheetName val="Title_24"/>
      <sheetName val="CH_and_Boiler_Schedule "/>
      <sheetName val="Misc_Rooms"/>
      <sheetName val="FCU_SCHEDULES"/>
      <sheetName val="CALIFORNIA_TABLE"/>
      <sheetName val="ASHRAE Table"/>
      <sheetName val="UMC Table 4-A"/>
      <sheetName val="DO NOT TOUCH"/>
    </sheetNames>
    <definedNames>
      <definedName name="AddRowsToTableWithUserInput"/>
    </definedNames>
    <sheetDataSet>
      <sheetData sheetId="0">
        <row r="16">
          <cell r="C16">
            <v>140</v>
          </cell>
        </row>
        <row r="17">
          <cell r="C17">
            <v>110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9">
          <cell r="C9">
            <v>1</v>
          </cell>
          <cell r="D9">
            <v>6</v>
          </cell>
          <cell r="E9">
            <v>30</v>
          </cell>
        </row>
        <row r="10">
          <cell r="C10">
            <v>400</v>
          </cell>
          <cell r="D10">
            <v>8</v>
          </cell>
          <cell r="E10">
            <v>30</v>
          </cell>
        </row>
        <row r="11">
          <cell r="C11">
            <v>700</v>
          </cell>
          <cell r="D11">
            <v>10</v>
          </cell>
          <cell r="E11">
            <v>35</v>
          </cell>
        </row>
        <row r="12">
          <cell r="C12">
            <v>1000</v>
          </cell>
          <cell r="D12">
            <v>12</v>
          </cell>
          <cell r="E12">
            <v>45</v>
          </cell>
        </row>
        <row r="13">
          <cell r="C13">
            <v>1500</v>
          </cell>
          <cell r="D13">
            <v>14</v>
          </cell>
          <cell r="E13">
            <v>55</v>
          </cell>
        </row>
        <row r="14">
          <cell r="C14">
            <v>2100</v>
          </cell>
          <cell r="D14">
            <v>16</v>
          </cell>
          <cell r="E14">
            <v>60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A5E3F91F-7CF6-4A9E-A486-B061F7B206F3}" userId="S::rdp352@nyu.edu::e20300c4-5136-4b7e-8e5f-b0b27a3a3193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218A82-E719-4735-A347-9F3ED747DE91}" name="AH1_CAV_table" displayName="AH1_CAV_table" ref="A4:R7" totalsRowCount="1" headerRowDxfId="41" dataDxfId="40" totalsRowDxfId="39" headerRowBorderDxfId="37" tableBorderDxfId="38" totalsRowBorderDxfId="36">
  <autoFilter ref="A4:R6" xr:uid="{2A2B6BA6-0EAB-2349-A085-FD569408EC9D}"/>
  <tableColumns count="18">
    <tableColumn id="1" xr3:uid="{247AB8E1-B763-47DE-8DA6-5D3082400CCF}" name="ZONE" totalsRowLabel="Total" dataDxfId="35" totalsRowDxfId="17" totalsRowCellStyle="Normal 2"/>
    <tableColumn id="2" xr3:uid="{8652CF99-8444-4D3C-8CC6-BDFC5FE39CD4}" name="BASIS OF DESIGN _x000a_MANUFACTURER" dataDxfId="34" totalsRowDxfId="16" totalsRowCellStyle="Normal 2"/>
    <tableColumn id="3" xr3:uid="{BBF12E9B-2EAF-4521-8133-DEB279897D09}" name="DESCRIPTION" dataDxfId="33" totalsRowDxfId="15" totalsRowCellStyle="Normal 2"/>
    <tableColumn id="4" xr3:uid="{25F6A1BC-4574-499F-8AAA-5FE4A97BB45F}" name="CFM" dataDxfId="32" totalsRowDxfId="14" totalsRowCellStyle="Normal 2">
      <calculatedColumnFormula>SUMIF([1]!TABLE4A4398[ZONE],AH1_CAV_table[[#This Row],[ZONE]],[1]!TABLE4A4398[DESIGN SA (CFM)])</calculatedColumnFormula>
    </tableColumn>
    <tableColumn id="5" xr3:uid="{E09008BF-463D-4441-8719-CC668F149652}" name="CAV INLET SIZE" dataDxfId="31" totalsRowDxfId="13" totalsRowCellStyle="Normal 2">
      <calculatedColumnFormula>IFERROR((VLOOKUP(D5,'[1]DO NOT TOUCH'!$C$9:$D$14,2,TRUE)),"TBD")</calculatedColumnFormula>
    </tableColumn>
    <tableColumn id="6" xr3:uid="{8BA4F162-1CBD-47EB-B40A-475CCBA176AB}" name="MAX TOTAL CAV PD _x000a_(IN W.G.)" dataDxfId="30" totalsRowDxfId="12" totalsRowCellStyle="Normal 2">
      <calculatedColumnFormula>F4</calculatedColumnFormula>
    </tableColumn>
    <tableColumn id="7" xr3:uid="{0F9C7655-D587-482F-91F7-101C60F7CE41}" name="EWT" dataDxfId="29" totalsRowDxfId="11" totalsRowCellStyle="Normal 2">
      <calculatedColumnFormula>[1]INPUT_OUTPUTS!$C$16</calculatedColumnFormula>
    </tableColumn>
    <tableColumn id="8" xr3:uid="{F92241B5-990F-4B90-9541-EBCF0C6075D5}" name="DESIGN _x000a_LWT" dataDxfId="28" totalsRowDxfId="10" totalsRowCellStyle="Normal 2">
      <calculatedColumnFormula>[1]INPUT_OUTPUTS!$C$17</calculatedColumnFormula>
    </tableColumn>
    <tableColumn id="9" xr3:uid="{34551B69-2CF0-478C-B7FC-0F4411609FFD}" name="EAT" dataDxfId="27" totalsRowDxfId="9" totalsRowCellStyle="Normal 2">
      <calculatedColumnFormula>I4</calculatedColumnFormula>
    </tableColumn>
    <tableColumn id="10" xr3:uid="{7456FEA0-FA55-4AD3-A2C7-30229537681A}" name="DESIGN _x000a_LAT" dataDxfId="26" totalsRowDxfId="8" totalsRowCellStyle="Normal 2">
      <calculatedColumnFormula>J4</calculatedColumnFormula>
    </tableColumn>
    <tableColumn id="11" xr3:uid="{7AFE0384-8D05-4BD0-A13C-9A678B233E3A}" name="MIN MBH" totalsRowFunction="sum" dataDxfId="25" totalsRowDxfId="7" totalsRowCellStyle="Normal 2">
      <calculatedColumnFormula>MROUND((1.08*(J5-I5)*D5)/1000,0.1)</calculatedColumnFormula>
    </tableColumn>
    <tableColumn id="12" xr3:uid="{5817AA63-9F13-4FE7-BDAD-80BF4EC3E336}" name="AGPM" dataDxfId="24" totalsRowDxfId="6" totalsRowCellStyle="Normal 2">
      <calculatedColumnFormula>(K5*1000)/(500*(G5-H5))</calculatedColumnFormula>
    </tableColumn>
    <tableColumn id="13" xr3:uid="{F1525B7C-D431-47FC-9F24-80EFD6E08382}" name="GPM" totalsRowFunction="sum" dataDxfId="23" totalsRowDxfId="5" totalsRowCellStyle="Normal 2">
      <calculatedColumnFormula>IF(L5&lt;0.5,0.5,L5)</calculatedColumnFormula>
    </tableColumn>
    <tableColumn id="18" xr3:uid="{05FB52AA-D49E-44CC-A981-C799E4536A09}" name="Branch Size" dataDxfId="22" totalsRowDxfId="4" totalsRowCellStyle="Normal 2">
      <calculatedColumnFormula>IF($D$2 = "YES",(_xlfn.XLOOKUP(AH1_CAV_table[[#This Row],[GPM]],[1]!Hydronic_Pipe_Size[SOUND SENSITIVE],[1]!Hydronic_Pipe_Size[SIZE],"Not Found",1)),(_xlfn.XLOOKUP(AH1_CAV_table[[#This Row],[GPM]],[1]!Hydronic_Pipe_Size[GPM],[1]!Hydronic_Pipe_Size[SIZE],"Not Found",1)))</calculatedColumnFormula>
    </tableColumn>
    <tableColumn id="14" xr3:uid="{CB07F222-D8E6-4576-8DB3-D9B72A68CC32}" name="MAX WATER _x000a_PD (FT)" dataDxfId="21" totalsRowDxfId="3" totalsRowCellStyle="Normal 2">
      <calculatedColumnFormula>O4</calculatedColumnFormula>
    </tableColumn>
    <tableColumn id="15" xr3:uid="{DE8301E8-B443-4E48-9AB0-2ED44B7A9FAF}" name="OPER _x000a_WEIGHT_x000a_(LBS)" dataDxfId="20" totalsRowDxfId="2" totalsRowCellStyle="Normal 2">
      <calculatedColumnFormula>IFERROR((_xlfn.XLOOKUP(E5,'[1]DO NOT TOUCH'!$D$9:$D$14,'[1]DO NOT TOUCH'!$E$9:$E$14,)),"TBD")</calculatedColumnFormula>
    </tableColumn>
    <tableColumn id="16" xr3:uid="{0F31FA03-8B3B-4F44-AE80-D449E6AD092F}" name="MTG _x000a_DETAIL" dataDxfId="19" totalsRowDxfId="1" totalsRowCellStyle="Normal 2">
      <calculatedColumnFormula>[1]INPUT_OUTPUTS!$C$19</calculatedColumnFormula>
    </tableColumn>
    <tableColumn id="17" xr3:uid="{784F0523-9FA2-45E7-8A1B-794C6427E87E}" name="REMARKS" dataDxfId="18" totalsRowDxfId="0" totalsRowCellStyle="Normal 2">
      <calculatedColumnFormula>R4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4" dT="2023-01-20T03:02:14.75" personId="{A5E3F91F-7CF6-4A9E-A486-B061F7B206F3}" id="{2F966DBE-A5C8-406A-8926-094AD9FACE6F}">
    <text>Increase or decrease number of rows in this table to match the number of zones.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A5898-B7A6-44A7-9786-C29336CF0E83}">
  <sheetPr codeName="Sheet8">
    <tabColor rgb="FF0000FF"/>
  </sheetPr>
  <dimension ref="A2:W7"/>
  <sheetViews>
    <sheetView tabSelected="1" workbookViewId="0">
      <selection activeCell="H27" sqref="H27"/>
    </sheetView>
  </sheetViews>
  <sheetFormatPr defaultRowHeight="13.2" x14ac:dyDescent="0.25"/>
  <cols>
    <col min="1" max="1" width="11.44140625" style="1" bestFit="1" customWidth="1"/>
    <col min="2" max="2" width="22.33203125" style="1" customWidth="1"/>
    <col min="3" max="3" width="38.44140625" style="1" customWidth="1"/>
    <col min="4" max="4" width="10.21875" style="1" bestFit="1" customWidth="1"/>
    <col min="5" max="5" width="11.77734375" style="1" bestFit="1" customWidth="1"/>
    <col min="6" max="6" width="19.6640625" style="1" customWidth="1"/>
    <col min="7" max="7" width="10.44140625" style="1" bestFit="1" customWidth="1"/>
    <col min="8" max="8" width="12.21875" style="1" bestFit="1" customWidth="1"/>
    <col min="9" max="9" width="9.77734375" style="1" bestFit="1" customWidth="1"/>
    <col min="10" max="10" width="12.21875" style="1" bestFit="1" customWidth="1"/>
    <col min="11" max="11" width="10.44140625" style="1" bestFit="1" customWidth="1"/>
    <col min="12" max="12" width="12" style="1" bestFit="1" customWidth="1"/>
    <col min="13" max="13" width="10.5546875" style="1" bestFit="1" customWidth="1"/>
    <col min="14" max="14" width="11.88671875" style="1" bestFit="1" customWidth="1"/>
    <col min="15" max="15" width="12.88671875" style="1" bestFit="1" customWidth="1"/>
    <col min="16" max="16" width="13.21875" style="1" bestFit="1" customWidth="1"/>
    <col min="17" max="17" width="13.33203125" style="1" bestFit="1" customWidth="1"/>
    <col min="18" max="22" width="8.88671875" style="1"/>
    <col min="23" max="23" width="0" style="1" hidden="1" customWidth="1"/>
    <col min="24" max="16384" width="8.88671875" style="1"/>
  </cols>
  <sheetData>
    <row r="2" spans="1:23" ht="15.6" x14ac:dyDescent="0.25">
      <c r="C2" s="2" t="s">
        <v>0</v>
      </c>
      <c r="D2" s="3" t="s">
        <v>1</v>
      </c>
      <c r="W2" s="1" t="s">
        <v>2</v>
      </c>
    </row>
    <row r="3" spans="1:23" x14ac:dyDescent="0.25">
      <c r="W3" s="1" t="s">
        <v>1</v>
      </c>
    </row>
    <row r="4" spans="1:23" ht="45" x14ac:dyDescent="0.25">
      <c r="A4" s="4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4" t="s">
        <v>12</v>
      </c>
      <c r="K4" s="4" t="s">
        <v>13</v>
      </c>
      <c r="L4" s="4" t="s">
        <v>14</v>
      </c>
      <c r="M4" s="4" t="s">
        <v>15</v>
      </c>
      <c r="N4" s="4" t="s">
        <v>16</v>
      </c>
      <c r="O4" s="4" t="s">
        <v>17</v>
      </c>
      <c r="P4" s="4" t="s">
        <v>18</v>
      </c>
      <c r="Q4" s="4" t="s">
        <v>19</v>
      </c>
      <c r="R4" s="4" t="s">
        <v>20</v>
      </c>
    </row>
    <row r="5" spans="1:23" ht="15" x14ac:dyDescent="0.25">
      <c r="A5" s="5" t="s">
        <v>21</v>
      </c>
      <c r="B5" s="5" t="s">
        <v>22</v>
      </c>
      <c r="C5" s="5" t="s">
        <v>23</v>
      </c>
      <c r="D5" s="2">
        <f ca="1">SUMIF([1]!AH1Table4a_Ashrae[ZONE],AH1_CAV_table[[#This Row],[ZONE]],[1]!AH1Table4a_Ashrae[DESIGN SA (CFM)])</f>
        <v>2500</v>
      </c>
      <c r="E5" s="2">
        <f ca="1">IFERROR((VLOOKUP(D5,'[1]DO NOT TOUCH'!$C$9:$D$14,2,TRUE)),"TBD")</f>
        <v>16</v>
      </c>
      <c r="F5" s="2">
        <v>0.5</v>
      </c>
      <c r="G5" s="2">
        <f>[1]INPUT_OUTPUTS!$C$16</f>
        <v>140</v>
      </c>
      <c r="H5" s="2">
        <f>[1]INPUT_OUTPUTS!$C$17</f>
        <v>110</v>
      </c>
      <c r="I5" s="2">
        <v>55</v>
      </c>
      <c r="J5" s="2">
        <v>85</v>
      </c>
      <c r="K5" s="2">
        <f ca="1">MROUND((1.08*(J5-I5)*D5)/1000,0.1)</f>
        <v>81</v>
      </c>
      <c r="L5" s="6">
        <f ca="1">(K5*1000)/(500*(G5-H5))</f>
        <v>5.4</v>
      </c>
      <c r="M5" s="6">
        <f ca="1">IF(L5&lt;0.5,0.5,L5)</f>
        <v>5.4</v>
      </c>
      <c r="N5" s="7">
        <f ca="1">IF($D$2 = "YES",(_xlfn.XLOOKUP(AH1_CAV_table[[#This Row],[GPM]],[1]!Hydronic_Pipe_Size[SOUND SENSITIVE],[1]!Hydronic_Pipe_Size[SIZE],"Not Found",1)),(_xlfn.XLOOKUP(AH1_CAV_table[[#This Row],[GPM]],[1]!Hydronic_Pipe_Size[GPM],[1]!Hydronic_Pipe_Size[SIZE],"Not Found",1)))</f>
        <v>1</v>
      </c>
      <c r="O5" s="6">
        <v>5</v>
      </c>
      <c r="P5" s="6">
        <f ca="1">IFERROR((_xlfn.XLOOKUP(E5,'[1]DO NOT TOUCH'!$D$9:$D$14,'[1]DO NOT TOUCH'!$E$9:$E$14,)),"TBD")</f>
        <v>60</v>
      </c>
      <c r="Q5" s="6">
        <f>[1]INPUT_OUTPUTS!$C$19</f>
        <v>0</v>
      </c>
      <c r="R5" s="2" t="s">
        <v>24</v>
      </c>
    </row>
    <row r="6" spans="1:23" ht="15" x14ac:dyDescent="0.25">
      <c r="A6" s="5" t="s">
        <v>25</v>
      </c>
      <c r="B6" s="5" t="s">
        <v>22</v>
      </c>
      <c r="C6" s="5" t="s">
        <v>23</v>
      </c>
      <c r="D6" s="2">
        <f>SUMIF([1]!AH1Table4a_Ashrae[ZONE],AH1_CAV_table[[#This Row],[ZONE]],[1]!AH1Table4a_Ashrae[DESIGN SA (CFM)])</f>
        <v>0</v>
      </c>
      <c r="E6" s="2" t="str">
        <f>IFERROR((VLOOKUP(D6,'[1]DO NOT TOUCH'!$C$9:$D$14,2,TRUE)),"TBD")</f>
        <v>TBD</v>
      </c>
      <c r="F6" s="2">
        <f>F5</f>
        <v>0.5</v>
      </c>
      <c r="G6" s="2">
        <f>[1]INPUT_OUTPUTS!$C$16</f>
        <v>140</v>
      </c>
      <c r="H6" s="2">
        <f>[1]INPUT_OUTPUTS!$C$17</f>
        <v>110</v>
      </c>
      <c r="I6" s="2">
        <f>I5</f>
        <v>55</v>
      </c>
      <c r="J6" s="2">
        <f>J5</f>
        <v>85</v>
      </c>
      <c r="K6" s="2">
        <f>MROUND((1.08*(J6-I6)*D6)/1000,0.1)</f>
        <v>0</v>
      </c>
      <c r="L6" s="6">
        <f>(K6*1000)/(500*(G6-H6))</f>
        <v>0</v>
      </c>
      <c r="M6" s="6">
        <f>IF(L6&lt;0.5,0.5,L6)</f>
        <v>0.5</v>
      </c>
      <c r="N6" s="7">
        <f>IF($D$2 = "YES",(_xlfn.XLOOKUP(AH1_CAV_table[[#This Row],[GPM]],[1]!Hydronic_Pipe_Size[SOUND SENSITIVE],[1]!Hydronic_Pipe_Size[SIZE],"Not Found",1)),(_xlfn.XLOOKUP(AH1_CAV_table[[#This Row],[GPM]],[1]!Hydronic_Pipe_Size[GPM],[1]!Hydronic_Pipe_Size[SIZE],"Not Found",1)))</f>
        <v>0.75</v>
      </c>
      <c r="O6" s="6">
        <f>O5</f>
        <v>5</v>
      </c>
      <c r="P6" s="6" t="str">
        <f>IFERROR((_xlfn.XLOOKUP(E6,'[1]DO NOT TOUCH'!$D$9:$D$14,'[1]DO NOT TOUCH'!$E$9:$E$14,)),"TBD")</f>
        <v>TBD</v>
      </c>
      <c r="Q6" s="6">
        <f>[1]INPUT_OUTPUTS!$C$19</f>
        <v>0</v>
      </c>
      <c r="R6" s="2" t="str">
        <f>R5</f>
        <v>1, 2</v>
      </c>
    </row>
    <row r="7" spans="1:23" ht="15" x14ac:dyDescent="0.25">
      <c r="A7" s="8" t="s">
        <v>26</v>
      </c>
      <c r="B7" s="9"/>
      <c r="C7" s="9"/>
      <c r="D7" s="10"/>
      <c r="E7" s="10"/>
      <c r="F7" s="10"/>
      <c r="G7" s="10"/>
      <c r="H7" s="10"/>
      <c r="I7" s="10"/>
      <c r="J7" s="10"/>
      <c r="K7" s="10">
        <f ca="1">SUBTOTAL(109,AH1_CAV_table[MIN MBH])</f>
        <v>81</v>
      </c>
      <c r="L7" s="10"/>
      <c r="M7" s="11">
        <f ca="1">SUBTOTAL(109,AH1_CAV_table[GPM])</f>
        <v>5.9</v>
      </c>
      <c r="N7" s="11"/>
      <c r="O7" s="10"/>
      <c r="P7" s="10"/>
      <c r="Q7" s="10"/>
      <c r="R7" s="12"/>
    </row>
  </sheetData>
  <dataValidations count="1">
    <dataValidation type="list" allowBlank="1" showInputMessage="1" showErrorMessage="1" sqref="D2" xr:uid="{CF37ACC3-1322-4FAC-BB00-103220CACE69}">
      <formula1>$W$2:$W$3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AddRowsToTableWithUserInput" altText="HUMIDIFICATION">
                <anchor moveWithCells="1" sizeWithCells="1">
                  <from>
                    <xdr:col>0</xdr:col>
                    <xdr:colOff>335280</xdr:colOff>
                    <xdr:row>0</xdr:row>
                    <xdr:rowOff>76200</xdr:rowOff>
                  </from>
                  <to>
                    <xdr:col>1</xdr:col>
                    <xdr:colOff>876300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1B8A6-8A37-4784-8D3D-33CDA2289ABA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AH1_CAV_SCHEDULES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Rushikesh Patil</dc:creator>
  <cp:lastModifiedBy>Rushikesh Patil</cp:lastModifiedBy>
  <dcterms:created xsi:type="dcterms:W3CDTF">2025-03-31T23:37:22Z</dcterms:created>
  <dcterms:modified xsi:type="dcterms:W3CDTF">2025-03-31T23:37:23Z</dcterms:modified>
</cp:coreProperties>
</file>