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88" documentId="13_ncr:1_{46E01A3D-A747-4F47-88AD-765300EA0B73}" xr6:coauthVersionLast="47" xr6:coauthVersionMax="47" xr10:uidLastSave="{5C223EE4-AC2A-4694-B0BA-A6B868282326}"/>
  <bookViews>
    <workbookView xWindow="-120" yWindow="-120" windowWidth="29040" windowHeight="15840" activeTab="2" xr2:uid="{00000000-000D-0000-FFFF-FFFF00000000}"/>
  </bookViews>
  <sheets>
    <sheet name="INPUT_OUTPUTS" sheetId="64" r:id="rId1"/>
    <sheet name="AhsraeTable4a" sheetId="111" state="hidden" r:id="rId2"/>
    <sheet name="62.1_MULTI_ZONE" sheetId="107" r:id="rId3"/>
    <sheet name="Generic" sheetId="110" state="hidden" r:id="rId4"/>
    <sheet name="AHU_Psych" sheetId="45" r:id="rId5"/>
    <sheet name="CAV_SAMPLE" sheetId="115" r:id="rId6"/>
    <sheet name="62.1_SINGLE_ZONE" sheetId="104" state="hidden" r:id="rId7"/>
    <sheet name="ASHRAE Table" sheetId="105" state="hidden" r:id="rId8"/>
    <sheet name="UMC Table 4-A" sheetId="37" state="hidden" r:id="rId9"/>
    <sheet name="DO NOT TOUCH" sheetId="63" state="hidden" r:id="rId10"/>
  </sheets>
  <functionGroups builtInGroupCount="19"/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AhsraeTable4a!$D$4:$W$17</definedName>
    <definedName name="_xlnm.Print_Area" localSheetId="4">AHU_Psych!$A$8:$BB$13</definedName>
    <definedName name="_xlnm.Print_Area" localSheetId="3">Generic!$D$4:$V$17</definedName>
    <definedName name="_xlnm.Print_Area" localSheetId="8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15" l="1"/>
  <c r="H2" i="115"/>
  <c r="G2" i="115"/>
  <c r="D2" i="115"/>
  <c r="K2" i="115" s="1"/>
  <c r="E2" i="115" l="1"/>
  <c r="O2" i="115" s="1"/>
  <c r="L2" i="115"/>
  <c r="M2" i="115" s="1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J8" i="111" s="1"/>
  <c r="AG9" i="111"/>
  <c r="AH9" i="111"/>
  <c r="AJ9" i="111" s="1"/>
  <c r="AG10" i="111"/>
  <c r="AH10" i="111"/>
  <c r="AJ10" i="111" s="1"/>
  <c r="AG11" i="111"/>
  <c r="AH11" i="111"/>
  <c r="AJ11" i="111" s="1"/>
  <c r="AG12" i="111"/>
  <c r="AH12" i="111"/>
  <c r="AJ12" i="111" s="1"/>
  <c r="AG13" i="111"/>
  <c r="AH13" i="111"/>
  <c r="AJ13" i="111" s="1"/>
  <c r="AG14" i="111"/>
  <c r="AH14" i="111"/>
  <c r="AJ14" i="111" s="1"/>
  <c r="AG15" i="111"/>
  <c r="AH15" i="111"/>
  <c r="AJ15" i="111" s="1"/>
  <c r="AG16" i="111"/>
  <c r="AH16" i="111"/>
  <c r="AJ16" i="111" s="1"/>
  <c r="AG17" i="111"/>
  <c r="AH17" i="111"/>
  <c r="AJ17" i="111" s="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J7" i="111" s="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F6" i="107"/>
  <c r="F7" i="107"/>
  <c r="F5" i="107"/>
  <c r="F4" i="104"/>
  <c r="F5" i="104"/>
  <c r="F3" i="104"/>
  <c r="Z6" i="107"/>
  <c r="AA6" i="107"/>
  <c r="Z7" i="107"/>
  <c r="AA7" i="107"/>
  <c r="AA5" i="107"/>
  <c r="Z5" i="107"/>
  <c r="AB5" i="107" s="1"/>
  <c r="X6" i="107"/>
  <c r="X7" i="107"/>
  <c r="X5" i="107"/>
  <c r="J6" i="107"/>
  <c r="K6" i="107"/>
  <c r="L6" i="107"/>
  <c r="M6" i="107"/>
  <c r="J7" i="107"/>
  <c r="K7" i="107"/>
  <c r="L7" i="107"/>
  <c r="M7" i="107"/>
  <c r="M5" i="107"/>
  <c r="L5" i="107"/>
  <c r="K5" i="107"/>
  <c r="J5" i="107"/>
  <c r="S3" i="104"/>
  <c r="T3" i="104"/>
  <c r="T4" i="104"/>
  <c r="T5" i="104"/>
  <c r="S4" i="104"/>
  <c r="S5" i="104"/>
  <c r="AL17" i="111" a="1"/>
  <c r="AL8" i="111" a="1"/>
  <c r="S12" i="45" a="1"/>
  <c r="AL12" i="111" a="1"/>
  <c r="AL16" i="111" a="1"/>
  <c r="AL14" i="111" a="1"/>
  <c r="AL13" i="111" a="1"/>
  <c r="AL10" i="111" a="1"/>
  <c r="AL7" i="111" a="1"/>
  <c r="AL9" i="111" a="1"/>
  <c r="AL11" i="111" a="1"/>
  <c r="AL15" i="111" a="1"/>
  <c r="C17" i="63" a="1"/>
  <c r="F12" i="45" l="1"/>
  <c r="B12" i="45"/>
  <c r="AL12" i="111"/>
  <c r="AM12" i="111" s="1"/>
  <c r="AL9" i="111"/>
  <c r="AM9" i="111" s="1"/>
  <c r="AL14" i="111"/>
  <c r="AM14" i="111" s="1"/>
  <c r="AL13" i="111"/>
  <c r="AM13" i="111" s="1"/>
  <c r="AL11" i="111"/>
  <c r="AM11" i="111" s="1"/>
  <c r="AR11" i="111" s="1"/>
  <c r="AL15" i="111"/>
  <c r="AM15" i="111" s="1"/>
  <c r="AL17" i="111"/>
  <c r="AM17" i="111" s="1"/>
  <c r="AR17" i="111" s="1"/>
  <c r="AL16" i="111"/>
  <c r="AM16" i="111" s="1"/>
  <c r="AL7" i="111"/>
  <c r="AL8" i="111"/>
  <c r="AM8" i="111" s="1"/>
  <c r="S12" i="45"/>
  <c r="AL10" i="111"/>
  <c r="AM10" i="111" s="1"/>
  <c r="R9" i="111"/>
  <c r="R7" i="111"/>
  <c r="R13" i="111"/>
  <c r="P18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B7" i="107"/>
  <c r="U4" i="104"/>
  <c r="AB6" i="107"/>
  <c r="U3" i="104"/>
  <c r="AN16" i="111" a="1"/>
  <c r="AO16" i="111" a="1"/>
  <c r="AO15" i="111" a="1"/>
  <c r="C18" i="63" a="1"/>
  <c r="AO13" i="111" a="1"/>
  <c r="AN17" i="111" a="1"/>
  <c r="AN8" i="111" a="1"/>
  <c r="AO11" i="111" a="1"/>
  <c r="AO14" i="111" a="1"/>
  <c r="AN10" i="111" a="1"/>
  <c r="AN15" i="111" a="1"/>
  <c r="AN11" i="111" a="1"/>
  <c r="AN14" i="111" a="1"/>
  <c r="AO12" i="111" a="1"/>
  <c r="AN13" i="111" a="1"/>
  <c r="AN9" i="111" a="1"/>
  <c r="AO17" i="111" a="1"/>
  <c r="AO9" i="111" a="1"/>
  <c r="AO8" i="111" a="1"/>
  <c r="AO10" i="111" a="1"/>
  <c r="AN12" i="111" a="1"/>
  <c r="C12" i="45" l="1"/>
  <c r="AS15" i="111"/>
  <c r="AR15" i="111"/>
  <c r="AS10" i="111"/>
  <c r="AR10" i="111"/>
  <c r="AS16" i="111"/>
  <c r="AR16" i="111"/>
  <c r="AS9" i="111"/>
  <c r="AR9" i="111"/>
  <c r="AS8" i="111"/>
  <c r="AR8" i="111"/>
  <c r="AS13" i="111"/>
  <c r="AR13" i="111"/>
  <c r="AS14" i="111"/>
  <c r="AR14" i="111"/>
  <c r="AS12" i="111"/>
  <c r="AR12" i="111"/>
  <c r="AS11" i="111"/>
  <c r="AS17" i="111"/>
  <c r="AN17" i="111"/>
  <c r="AO17" i="111"/>
  <c r="AN11" i="111"/>
  <c r="AO11" i="111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M7" i="111"/>
  <c r="AR7" i="111" s="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AS7" i="111" l="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D16" i="111"/>
  <c r="AE16" i="111" s="1"/>
  <c r="AK16" i="111" s="1"/>
  <c r="AM18" i="111"/>
  <c r="AY2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N21" i="107"/>
  <c r="AO21" i="107"/>
  <c r="AN22" i="107"/>
  <c r="AO22" i="107"/>
  <c r="AN23" i="107"/>
  <c r="AO23" i="107"/>
  <c r="AN24" i="107"/>
  <c r="AO24" i="107"/>
  <c r="AN25" i="107"/>
  <c r="AO25" i="107"/>
  <c r="AN26" i="107"/>
  <c r="AO26" i="107"/>
  <c r="AN27" i="107"/>
  <c r="AO27" i="107"/>
  <c r="AN28" i="107"/>
  <c r="AO28" i="107"/>
  <c r="AN29" i="107"/>
  <c r="AO29" i="107"/>
  <c r="AN30" i="107"/>
  <c r="AO30" i="107"/>
  <c r="AN31" i="107"/>
  <c r="AO31" i="107"/>
  <c r="AN32" i="107"/>
  <c r="AO32" i="107"/>
  <c r="AN33" i="107"/>
  <c r="AO33" i="107"/>
  <c r="AN34" i="107"/>
  <c r="AO34" i="107"/>
  <c r="AN35" i="107"/>
  <c r="AO35" i="107"/>
  <c r="AN36" i="107"/>
  <c r="AO36" i="107"/>
  <c r="AN37" i="107"/>
  <c r="AO37" i="107"/>
  <c r="AN38" i="107"/>
  <c r="AO38" i="107"/>
  <c r="AN39" i="107"/>
  <c r="AO39" i="107"/>
  <c r="AN40" i="107"/>
  <c r="AO40" i="107"/>
  <c r="AN41" i="107"/>
  <c r="AO41" i="107"/>
  <c r="AN42" i="107"/>
  <c r="AO42" i="107"/>
  <c r="AN43" i="107"/>
  <c r="AO43" i="107"/>
  <c r="AN44" i="107"/>
  <c r="AO44" i="107"/>
  <c r="AN45" i="107"/>
  <c r="AO45" i="107"/>
  <c r="AN46" i="107"/>
  <c r="AO46" i="107"/>
  <c r="AN47" i="107"/>
  <c r="AO47" i="107"/>
  <c r="AN48" i="107"/>
  <c r="AO48" i="107"/>
  <c r="AN49" i="107"/>
  <c r="AO49" i="107"/>
  <c r="AN50" i="107"/>
  <c r="AO50" i="107"/>
  <c r="AN51" i="107"/>
  <c r="AO51" i="107"/>
  <c r="AN52" i="107"/>
  <c r="AO52" i="107"/>
  <c r="AN53" i="107"/>
  <c r="AO53" i="107"/>
  <c r="AN54" i="107"/>
  <c r="AO54" i="107"/>
  <c r="AN55" i="107"/>
  <c r="AO55" i="107"/>
  <c r="AN56" i="107"/>
  <c r="AO56" i="107"/>
  <c r="AN57" i="107"/>
  <c r="AO57" i="107"/>
  <c r="AO20" i="107"/>
  <c r="AN20" i="107"/>
  <c r="AI29" i="107"/>
  <c r="AJ29" i="107"/>
  <c r="AK29" i="107" s="1"/>
  <c r="AI30" i="107"/>
  <c r="AJ30" i="107"/>
  <c r="AK30" i="107" s="1"/>
  <c r="AI31" i="107"/>
  <c r="AJ31" i="107"/>
  <c r="AK31" i="107" s="1"/>
  <c r="AI32" i="107"/>
  <c r="AJ32" i="107"/>
  <c r="AK32" i="107" s="1"/>
  <c r="AI33" i="107"/>
  <c r="AJ33" i="107"/>
  <c r="AK33" i="107" s="1"/>
  <c r="AI34" i="107"/>
  <c r="AJ34" i="107"/>
  <c r="AK34" i="107" s="1"/>
  <c r="AI35" i="107"/>
  <c r="AJ35" i="107"/>
  <c r="AK35" i="107" s="1"/>
  <c r="AI36" i="107"/>
  <c r="AJ36" i="107"/>
  <c r="AK36" i="107" s="1"/>
  <c r="AI37" i="107"/>
  <c r="AJ37" i="107"/>
  <c r="AK37" i="107" s="1"/>
  <c r="AI38" i="107"/>
  <c r="AJ38" i="107"/>
  <c r="AK38" i="107" s="1"/>
  <c r="AI39" i="107"/>
  <c r="AJ39" i="107"/>
  <c r="AK39" i="107" s="1"/>
  <c r="AI40" i="107"/>
  <c r="AJ40" i="107"/>
  <c r="AK40" i="107" s="1"/>
  <c r="AI41" i="107"/>
  <c r="AJ41" i="107"/>
  <c r="AK41" i="107" s="1"/>
  <c r="AI42" i="107"/>
  <c r="AJ42" i="107"/>
  <c r="AK42" i="107" s="1"/>
  <c r="AI43" i="107"/>
  <c r="AJ43" i="107"/>
  <c r="AK43" i="107" s="1"/>
  <c r="AI44" i="107"/>
  <c r="AJ44" i="107"/>
  <c r="AK44" i="107" s="1"/>
  <c r="AI45" i="107"/>
  <c r="AJ45" i="107"/>
  <c r="AK45" i="107" s="1"/>
  <c r="AI46" i="107"/>
  <c r="AJ46" i="107"/>
  <c r="AK46" i="107" s="1"/>
  <c r="AI47" i="107"/>
  <c r="AJ47" i="107"/>
  <c r="AK47" i="107" s="1"/>
  <c r="AI48" i="107"/>
  <c r="AJ48" i="107"/>
  <c r="AK48" i="107" s="1"/>
  <c r="AI49" i="107"/>
  <c r="AJ49" i="107"/>
  <c r="AK49" i="107" s="1"/>
  <c r="AI50" i="107"/>
  <c r="AJ50" i="107"/>
  <c r="AK50" i="107" s="1"/>
  <c r="AI51" i="107"/>
  <c r="AJ51" i="107"/>
  <c r="AK51" i="107" s="1"/>
  <c r="AI52" i="107"/>
  <c r="AJ52" i="107"/>
  <c r="AK52" i="107" s="1"/>
  <c r="AI53" i="107"/>
  <c r="AJ53" i="107"/>
  <c r="AK53" i="107" s="1"/>
  <c r="AI54" i="107"/>
  <c r="AJ54" i="107"/>
  <c r="AK54" i="107" s="1"/>
  <c r="AI55" i="107"/>
  <c r="AJ55" i="107"/>
  <c r="AK55" i="107" s="1"/>
  <c r="AI56" i="107"/>
  <c r="AJ56" i="107"/>
  <c r="AK56" i="107" s="1"/>
  <c r="AI57" i="107"/>
  <c r="AJ57" i="107"/>
  <c r="AK57" i="107" s="1"/>
  <c r="AI21" i="107"/>
  <c r="AJ21" i="107"/>
  <c r="AK21" i="107" s="1"/>
  <c r="AI23" i="107"/>
  <c r="AJ23" i="107"/>
  <c r="AK23" i="107" s="1"/>
  <c r="AI24" i="107"/>
  <c r="AJ24" i="107"/>
  <c r="AK24" i="107" s="1"/>
  <c r="AI25" i="107"/>
  <c r="AJ25" i="107"/>
  <c r="AK25" i="107" s="1"/>
  <c r="AI26" i="107"/>
  <c r="AJ26" i="107"/>
  <c r="AK26" i="107" s="1"/>
  <c r="AI27" i="107"/>
  <c r="AJ27" i="107"/>
  <c r="AK27" i="107" s="1"/>
  <c r="AI28" i="107"/>
  <c r="AJ28" i="107"/>
  <c r="AK28" i="107" s="1"/>
  <c r="Y7" i="107"/>
  <c r="S9" i="110" l="1"/>
  <c r="S13" i="110"/>
  <c r="X13" i="110" s="1"/>
  <c r="AK18" i="111"/>
  <c r="BA2" i="111" s="1"/>
  <c r="Y4" i="111" s="1"/>
  <c r="Z26" i="111"/>
  <c r="AT7" i="111"/>
  <c r="S11" i="110"/>
  <c r="T11" i="110" s="1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AM11" i="110"/>
  <c r="AW57" i="107"/>
  <c r="AM57" i="107"/>
  <c r="AV57" i="107"/>
  <c r="AW56" i="107"/>
  <c r="AM56" i="107"/>
  <c r="AV56" i="107"/>
  <c r="AW55" i="107"/>
  <c r="AM55" i="107"/>
  <c r="AV55" i="107"/>
  <c r="AW54" i="107"/>
  <c r="AM54" i="107"/>
  <c r="AV54" i="107"/>
  <c r="AW53" i="107"/>
  <c r="AM53" i="107"/>
  <c r="AV53" i="107"/>
  <c r="AW52" i="107"/>
  <c r="AM52" i="107"/>
  <c r="AV52" i="107"/>
  <c r="AW51" i="107"/>
  <c r="AM51" i="107"/>
  <c r="AV51" i="107"/>
  <c r="AW50" i="107"/>
  <c r="AM50" i="107"/>
  <c r="AV50" i="107"/>
  <c r="AW49" i="107"/>
  <c r="AM49" i="107"/>
  <c r="AV49" i="107"/>
  <c r="AW48" i="107"/>
  <c r="AM48" i="107"/>
  <c r="AV48" i="107"/>
  <c r="AW47" i="107"/>
  <c r="AM47" i="107"/>
  <c r="AV47" i="107"/>
  <c r="AW46" i="107"/>
  <c r="AM46" i="107"/>
  <c r="AV46" i="107"/>
  <c r="AW45" i="107"/>
  <c r="AM45" i="107"/>
  <c r="AV45" i="107"/>
  <c r="AW44" i="107"/>
  <c r="AM44" i="107"/>
  <c r="AV44" i="107"/>
  <c r="AW43" i="107"/>
  <c r="AM43" i="107"/>
  <c r="AV43" i="107"/>
  <c r="AW42" i="107"/>
  <c r="AM42" i="107"/>
  <c r="AV42" i="107"/>
  <c r="AW41" i="107"/>
  <c r="AM41" i="107"/>
  <c r="AV41" i="107"/>
  <c r="AW40" i="107"/>
  <c r="AM40" i="107"/>
  <c r="AV40" i="107"/>
  <c r="AW39" i="107"/>
  <c r="AM39" i="107"/>
  <c r="AV39" i="107"/>
  <c r="AW38" i="107"/>
  <c r="AM38" i="107"/>
  <c r="AV38" i="107"/>
  <c r="AW37" i="107"/>
  <c r="AM37" i="107"/>
  <c r="AV37" i="107"/>
  <c r="AW36" i="107"/>
  <c r="AM36" i="107"/>
  <c r="AV36" i="107"/>
  <c r="AW35" i="107"/>
  <c r="AM35" i="107"/>
  <c r="AV35" i="107"/>
  <c r="AW34" i="107"/>
  <c r="AM34" i="107"/>
  <c r="AV34" i="107"/>
  <c r="AW33" i="107"/>
  <c r="AM33" i="107"/>
  <c r="AV33" i="107"/>
  <c r="AW32" i="107"/>
  <c r="AM32" i="107"/>
  <c r="AV32" i="107"/>
  <c r="AW31" i="107"/>
  <c r="AM31" i="107"/>
  <c r="AV31" i="107"/>
  <c r="AW30" i="107"/>
  <c r="AM30" i="107"/>
  <c r="AV30" i="107"/>
  <c r="AW29" i="107"/>
  <c r="AM29" i="107"/>
  <c r="AV29" i="107"/>
  <c r="AW28" i="107"/>
  <c r="AM28" i="107"/>
  <c r="AV28" i="107"/>
  <c r="AW27" i="107"/>
  <c r="AM27" i="107"/>
  <c r="AV27" i="107"/>
  <c r="AW26" i="107"/>
  <c r="AM26" i="107"/>
  <c r="AV26" i="107"/>
  <c r="AW25" i="107"/>
  <c r="AM25" i="107"/>
  <c r="AV25" i="107"/>
  <c r="AW24" i="107"/>
  <c r="AM24" i="107"/>
  <c r="AV24" i="107"/>
  <c r="AW23" i="107"/>
  <c r="AM23" i="107"/>
  <c r="AV23" i="107"/>
  <c r="G8" i="107"/>
  <c r="D8" i="107"/>
  <c r="C8" i="107"/>
  <c r="AW22" i="107"/>
  <c r="AX21" i="107"/>
  <c r="AX22" i="107" s="1"/>
  <c r="AX23" i="107" s="1"/>
  <c r="AX24" i="107" s="1"/>
  <c r="AX25" i="107" s="1"/>
  <c r="AX26" i="107" s="1"/>
  <c r="AX27" i="107" s="1"/>
  <c r="AX28" i="107" s="1"/>
  <c r="AX29" i="107" s="1"/>
  <c r="AX30" i="107" s="1"/>
  <c r="AX31" i="107" s="1"/>
  <c r="AX32" i="107" s="1"/>
  <c r="AX33" i="107" s="1"/>
  <c r="AX34" i="107" s="1"/>
  <c r="AX35" i="107" s="1"/>
  <c r="AX36" i="107" s="1"/>
  <c r="AX37" i="107" s="1"/>
  <c r="AX38" i="107" s="1"/>
  <c r="AX39" i="107" s="1"/>
  <c r="AX40" i="107" s="1"/>
  <c r="AX41" i="107" s="1"/>
  <c r="AX42" i="107" s="1"/>
  <c r="AX43" i="107" s="1"/>
  <c r="AX44" i="107" s="1"/>
  <c r="AX45" i="107" s="1"/>
  <c r="AX46" i="107" s="1"/>
  <c r="AX47" i="107" s="1"/>
  <c r="AX48" i="107" s="1"/>
  <c r="AX49" i="107" s="1"/>
  <c r="AX50" i="107" s="1"/>
  <c r="AX51" i="107" s="1"/>
  <c r="AX52" i="107" s="1"/>
  <c r="AX53" i="107" s="1"/>
  <c r="AX54" i="107" s="1"/>
  <c r="AX55" i="107" s="1"/>
  <c r="AX56" i="107" s="1"/>
  <c r="AX57" i="107" s="1"/>
  <c r="AW21" i="107"/>
  <c r="AU21" i="107"/>
  <c r="AU22" i="107" s="1"/>
  <c r="AU23" i="107" s="1"/>
  <c r="AU24" i="107" s="1"/>
  <c r="AU25" i="107" s="1"/>
  <c r="AU26" i="107" s="1"/>
  <c r="AU27" i="107" s="1"/>
  <c r="AU28" i="107" s="1"/>
  <c r="AU29" i="107" s="1"/>
  <c r="AU30" i="107" s="1"/>
  <c r="AU31" i="107" s="1"/>
  <c r="AU32" i="107" s="1"/>
  <c r="AU33" i="107" s="1"/>
  <c r="AU34" i="107" s="1"/>
  <c r="AU35" i="107" s="1"/>
  <c r="AU36" i="107" s="1"/>
  <c r="AU37" i="107" s="1"/>
  <c r="AU38" i="107" s="1"/>
  <c r="AU39" i="107" s="1"/>
  <c r="AU40" i="107" s="1"/>
  <c r="AU41" i="107" s="1"/>
  <c r="AU42" i="107" s="1"/>
  <c r="AU43" i="107" s="1"/>
  <c r="AU44" i="107" s="1"/>
  <c r="AU45" i="107" s="1"/>
  <c r="AU46" i="107" s="1"/>
  <c r="AU47" i="107" s="1"/>
  <c r="AU48" i="107" s="1"/>
  <c r="AU49" i="107" s="1"/>
  <c r="AU50" i="107" s="1"/>
  <c r="AU51" i="107" s="1"/>
  <c r="AU52" i="107" s="1"/>
  <c r="AU53" i="107" s="1"/>
  <c r="AU54" i="107" s="1"/>
  <c r="AU55" i="107" s="1"/>
  <c r="AU56" i="107" s="1"/>
  <c r="AU57" i="107" s="1"/>
  <c r="AQ21" i="107"/>
  <c r="AP21" i="107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P45" i="107" s="1"/>
  <c r="AP46" i="107" s="1"/>
  <c r="AP47" i="107" s="1"/>
  <c r="AP48" i="107" s="1"/>
  <c r="AP49" i="107" s="1"/>
  <c r="AP50" i="107" s="1"/>
  <c r="AP51" i="107" s="1"/>
  <c r="AP52" i="107" s="1"/>
  <c r="AP53" i="107" s="1"/>
  <c r="AP54" i="107" s="1"/>
  <c r="AP55" i="107" s="1"/>
  <c r="AP56" i="107" s="1"/>
  <c r="AP57" i="107" s="1"/>
  <c r="AM21" i="107"/>
  <c r="AL21" i="107"/>
  <c r="AL22" i="107" s="1"/>
  <c r="AL23" i="107" s="1"/>
  <c r="AL24" i="107" s="1"/>
  <c r="AL25" i="107" s="1"/>
  <c r="AL26" i="107" s="1"/>
  <c r="AL27" i="107" s="1"/>
  <c r="AL28" i="107" s="1"/>
  <c r="AL29" i="107" s="1"/>
  <c r="AL30" i="107" s="1"/>
  <c r="AL31" i="107" s="1"/>
  <c r="AL32" i="107" s="1"/>
  <c r="AL33" i="107" s="1"/>
  <c r="AL34" i="107" s="1"/>
  <c r="AL35" i="107" s="1"/>
  <c r="AL36" i="107" s="1"/>
  <c r="AL37" i="107" s="1"/>
  <c r="AL38" i="107" s="1"/>
  <c r="AL39" i="107" s="1"/>
  <c r="AL40" i="107" s="1"/>
  <c r="AL41" i="107" s="1"/>
  <c r="AL42" i="107" s="1"/>
  <c r="AL43" i="107" s="1"/>
  <c r="AL44" i="107" s="1"/>
  <c r="AL45" i="107" s="1"/>
  <c r="AL46" i="107" s="1"/>
  <c r="AL47" i="107" s="1"/>
  <c r="AL48" i="107" s="1"/>
  <c r="AL49" i="107" s="1"/>
  <c r="AL50" i="107" s="1"/>
  <c r="AL51" i="107" s="1"/>
  <c r="AL52" i="107" s="1"/>
  <c r="AL53" i="107" s="1"/>
  <c r="AL54" i="107" s="1"/>
  <c r="AL55" i="107" s="1"/>
  <c r="AL56" i="107" s="1"/>
  <c r="AL57" i="107" s="1"/>
  <c r="AV21" i="107"/>
  <c r="Y6" i="107"/>
  <c r="AW20" i="107"/>
  <c r="Y5" i="107"/>
  <c r="C6" i="104"/>
  <c r="D6" i="104"/>
  <c r="G6" i="104"/>
  <c r="N5" i="104"/>
  <c r="N4" i="104"/>
  <c r="N3" i="104"/>
  <c r="Z13" i="110" l="1"/>
  <c r="T13" i="110"/>
  <c r="W13" i="110" s="1"/>
  <c r="AA13" i="110" s="1"/>
  <c r="U13" i="110"/>
  <c r="Z17" i="110"/>
  <c r="U16" i="110"/>
  <c r="AP18" i="111"/>
  <c r="T16" i="110"/>
  <c r="Y16" i="110" s="1"/>
  <c r="X16" i="110"/>
  <c r="BH14" i="111"/>
  <c r="BI14" i="111" s="1"/>
  <c r="BF16" i="111"/>
  <c r="BG15" i="111"/>
  <c r="BH15" i="111" s="1"/>
  <c r="BI15" i="111" s="1"/>
  <c r="AQ22" i="107"/>
  <c r="AQ23" i="107" s="1"/>
  <c r="AR23" i="107" s="1"/>
  <c r="AR21" i="107"/>
  <c r="AS21" i="107" s="1"/>
  <c r="AT21" i="107" s="1"/>
  <c r="W7" i="107"/>
  <c r="N7" i="107"/>
  <c r="W5" i="107"/>
  <c r="N5" i="107"/>
  <c r="W6" i="107"/>
  <c r="N6" i="107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8" i="110"/>
  <c r="Y8" i="107"/>
  <c r="AF5" i="107"/>
  <c r="AF7" i="107"/>
  <c r="AD7" i="107"/>
  <c r="AF6" i="107"/>
  <c r="AD6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Y13" i="110" l="1"/>
  <c r="W16" i="110"/>
  <c r="AA16" i="110" s="1"/>
  <c r="W10" i="110"/>
  <c r="AA10" i="110" s="1"/>
  <c r="U18" i="110"/>
  <c r="AX2" i="110" s="1"/>
  <c r="BF17" i="111"/>
  <c r="BG16" i="111"/>
  <c r="N8" i="107"/>
  <c r="S7" i="107"/>
  <c r="U7" i="107" s="1"/>
  <c r="AC7" i="107" s="1"/>
  <c r="AI22" i="107" s="1"/>
  <c r="AM22" i="107" s="1"/>
  <c r="AR22" i="107" s="1"/>
  <c r="AS22" i="107" s="1"/>
  <c r="AT22" i="107" s="1"/>
  <c r="S6" i="107"/>
  <c r="U6" i="107" s="1"/>
  <c r="AC6" i="107" s="1"/>
  <c r="S5" i="107"/>
  <c r="U5" i="107" s="1"/>
  <c r="AJ22" i="107"/>
  <c r="AK22" i="107" s="1"/>
  <c r="AV22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F8" i="107"/>
  <c r="AD5" i="107"/>
  <c r="AE7" i="107"/>
  <c r="AG7" i="107" s="1"/>
  <c r="AQ24" i="107"/>
  <c r="AR24" i="107" s="1"/>
  <c r="AS23" i="107"/>
  <c r="AT23" i="107" s="1"/>
  <c r="AE6" i="107"/>
  <c r="AG6" i="107" s="1"/>
  <c r="X3" i="104"/>
  <c r="V5" i="104"/>
  <c r="Y4" i="104"/>
  <c r="Q4" i="104"/>
  <c r="R4" i="104" s="1"/>
  <c r="Z4" i="104" s="1"/>
  <c r="O6" i="107" l="1"/>
  <c r="O7" i="107"/>
  <c r="O5" i="107"/>
  <c r="X4" i="110"/>
  <c r="Q5" i="107"/>
  <c r="P6" i="107"/>
  <c r="BH16" i="111"/>
  <c r="BI16" i="111" s="1"/>
  <c r="BF18" i="111"/>
  <c r="BG17" i="111"/>
  <c r="BH17" i="111" s="1"/>
  <c r="BI17" i="111" s="1"/>
  <c r="AJ20" i="107"/>
  <c r="AK20" i="107" s="1"/>
  <c r="AC5" i="107"/>
  <c r="AI20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E5" i="107"/>
  <c r="AG5" i="107" s="1"/>
  <c r="AD8" i="107"/>
  <c r="AQ25" i="107"/>
  <c r="AR25" i="107" s="1"/>
  <c r="Z5" i="104"/>
  <c r="W5" i="104"/>
  <c r="R6" i="104"/>
  <c r="P5" i="107" l="1"/>
  <c r="Q6" i="107"/>
  <c r="R6" i="107" s="1"/>
  <c r="AH6" i="107" s="1"/>
  <c r="W18" i="110"/>
  <c r="P7" i="107"/>
  <c r="P8" i="107" s="1"/>
  <c r="Q7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AM15" i="110"/>
  <c r="AV20" i="107"/>
  <c r="AM20" i="107"/>
  <c r="AR20" i="107" s="1"/>
  <c r="AS20" i="107" s="1"/>
  <c r="AT20" i="107" s="1"/>
  <c r="AE8" i="107"/>
  <c r="R5" i="107"/>
  <c r="AS24" i="107"/>
  <c r="AT24" i="107" s="1"/>
  <c r="AQ26" i="107"/>
  <c r="AR26" i="107" s="1"/>
  <c r="AS25" i="107"/>
  <c r="AT25" i="107" s="1"/>
  <c r="Y5" i="104"/>
  <c r="R7" i="107" l="1"/>
  <c r="AH7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H5" i="107"/>
  <c r="R8" i="107"/>
  <c r="AQ27" i="107"/>
  <c r="AR27" i="107" s="1"/>
  <c r="AS26" i="107"/>
  <c r="AT26" i="107" s="1"/>
  <c r="BF21" i="111" l="1"/>
  <c r="BG20" i="111"/>
  <c r="BH20" i="111" s="1"/>
  <c r="BI20" i="111" s="1"/>
  <c r="AL15" i="110"/>
  <c r="AN14" i="110"/>
  <c r="AO14" i="110" s="1"/>
  <c r="AP14" i="110" s="1"/>
  <c r="AM17" i="110"/>
  <c r="AQ28" i="107"/>
  <c r="AR28" i="107" s="1"/>
  <c r="AS27" i="107"/>
  <c r="AT27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S28" i="107"/>
  <c r="AT28" i="107" s="1"/>
  <c r="AQ29" i="107"/>
  <c r="AR29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Q30" i="107"/>
  <c r="AR30" i="107" s="1"/>
  <c r="AS29" i="107"/>
  <c r="AT29" i="107" s="1"/>
  <c r="BG23" i="111" l="1"/>
  <c r="BH23" i="111" s="1"/>
  <c r="BI23" i="111" s="1"/>
  <c r="BF24" i="111"/>
  <c r="AL18" i="110"/>
  <c r="AN17" i="110"/>
  <c r="AO17" i="110" s="1"/>
  <c r="AP17" i="110" s="1"/>
  <c r="AM20" i="110"/>
  <c r="AQ31" i="107"/>
  <c r="AR31" i="107" s="1"/>
  <c r="AS30" i="107"/>
  <c r="AT30" i="107" s="1"/>
  <c r="BG24" i="111" l="1"/>
  <c r="BH24" i="111" s="1"/>
  <c r="BI24" i="111" s="1"/>
  <c r="BF25" i="111"/>
  <c r="AL19" i="110"/>
  <c r="AN18" i="110"/>
  <c r="AO18" i="110" s="1"/>
  <c r="AP18" i="110" s="1"/>
  <c r="AM21" i="110"/>
  <c r="AQ32" i="107"/>
  <c r="AR32" i="107" s="1"/>
  <c r="AS31" i="107"/>
  <c r="AT31" i="107" s="1"/>
  <c r="BG25" i="111" l="1"/>
  <c r="BH25" i="111" s="1"/>
  <c r="BI25" i="111" s="1"/>
  <c r="BF26" i="111"/>
  <c r="AL20" i="110"/>
  <c r="AN19" i="110"/>
  <c r="AO19" i="110" s="1"/>
  <c r="AP19" i="110" s="1"/>
  <c r="AM22" i="110"/>
  <c r="AS32" i="107"/>
  <c r="AT32" i="107" s="1"/>
  <c r="AQ33" i="107"/>
  <c r="AR33" i="107" s="1"/>
  <c r="BG26" i="111" l="1"/>
  <c r="BH26" i="111" s="1"/>
  <c r="BI26" i="111" s="1"/>
  <c r="BF27" i="111"/>
  <c r="AL21" i="110"/>
  <c r="AN20" i="110"/>
  <c r="AO20" i="110" s="1"/>
  <c r="AP20" i="110" s="1"/>
  <c r="AM23" i="110"/>
  <c r="AQ34" i="107"/>
  <c r="AR34" i="107" s="1"/>
  <c r="AS33" i="107"/>
  <c r="AT33" i="107" s="1"/>
  <c r="BF28" i="111" l="1"/>
  <c r="BG27" i="111"/>
  <c r="BH27" i="111" s="1"/>
  <c r="BI27" i="111" s="1"/>
  <c r="AL22" i="110"/>
  <c r="AN21" i="110"/>
  <c r="AO21" i="110" s="1"/>
  <c r="AP21" i="110" s="1"/>
  <c r="AM24" i="110"/>
  <c r="AQ35" i="107"/>
  <c r="AR35" i="107" s="1"/>
  <c r="AS34" i="107"/>
  <c r="AT34" i="107" s="1"/>
  <c r="BG28" i="111" l="1"/>
  <c r="BH28" i="111" s="1"/>
  <c r="BI28" i="111" s="1"/>
  <c r="BF29" i="111"/>
  <c r="AL23" i="110"/>
  <c r="AN22" i="110"/>
  <c r="AO22" i="110" s="1"/>
  <c r="AP22" i="110" s="1"/>
  <c r="AM25" i="110"/>
  <c r="AQ36" i="107"/>
  <c r="AR36" i="107" s="1"/>
  <c r="AS35" i="107"/>
  <c r="AT35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S36" i="107"/>
  <c r="AT36" i="107" s="1"/>
  <c r="AQ37" i="107"/>
  <c r="AR37" i="107" s="1"/>
  <c r="BG30" i="111" l="1"/>
  <c r="BH30" i="111" s="1"/>
  <c r="BI30" i="111" s="1"/>
  <c r="BF31" i="111"/>
  <c r="AL25" i="110"/>
  <c r="AN24" i="110"/>
  <c r="AO24" i="110" s="1"/>
  <c r="AP24" i="110" s="1"/>
  <c r="AM27" i="110"/>
  <c r="AQ38" i="107"/>
  <c r="AR38" i="107" s="1"/>
  <c r="AS37" i="107"/>
  <c r="AT37" i="107" s="1"/>
  <c r="BG31" i="111" l="1"/>
  <c r="BH31" i="111" s="1"/>
  <c r="BI31" i="111" s="1"/>
  <c r="BF32" i="111"/>
  <c r="AL26" i="110"/>
  <c r="AN25" i="110"/>
  <c r="AO25" i="110" s="1"/>
  <c r="AP25" i="110" s="1"/>
  <c r="AM28" i="110"/>
  <c r="AQ39" i="107"/>
  <c r="AR39" i="107" s="1"/>
  <c r="AS38" i="107"/>
  <c r="AT38" i="107" s="1"/>
  <c r="BF33" i="111" l="1"/>
  <c r="BG32" i="111"/>
  <c r="BH32" i="111" s="1"/>
  <c r="BI32" i="111" s="1"/>
  <c r="AL27" i="110"/>
  <c r="AN26" i="110"/>
  <c r="AO26" i="110" s="1"/>
  <c r="AP26" i="110" s="1"/>
  <c r="AM29" i="110"/>
  <c r="AQ40" i="107"/>
  <c r="AR40" i="107" s="1"/>
  <c r="AS39" i="107"/>
  <c r="AT39" i="107" s="1"/>
  <c r="BG33" i="111" l="1"/>
  <c r="BH33" i="111" s="1"/>
  <c r="BI33" i="111" s="1"/>
  <c r="BF34" i="111"/>
  <c r="AL28" i="110"/>
  <c r="AN27" i="110"/>
  <c r="AO27" i="110" s="1"/>
  <c r="AP27" i="110" s="1"/>
  <c r="AM30" i="110"/>
  <c r="AS40" i="107"/>
  <c r="AT40" i="107" s="1"/>
  <c r="AQ41" i="107"/>
  <c r="AR41" i="107" s="1"/>
  <c r="BF35" i="111" l="1"/>
  <c r="BG34" i="111"/>
  <c r="BH34" i="111" s="1"/>
  <c r="BI34" i="111" s="1"/>
  <c r="AL29" i="110"/>
  <c r="AN28" i="110"/>
  <c r="AO28" i="110" s="1"/>
  <c r="AP28" i="110" s="1"/>
  <c r="AM31" i="110"/>
  <c r="AQ42" i="107"/>
  <c r="AR42" i="107" s="1"/>
  <c r="AS41" i="107"/>
  <c r="AT41" i="107" s="1"/>
  <c r="BG35" i="111" l="1"/>
  <c r="BH35" i="111" s="1"/>
  <c r="BI35" i="111" s="1"/>
  <c r="BF36" i="111"/>
  <c r="AL30" i="110"/>
  <c r="AN29" i="110"/>
  <c r="AO29" i="110" s="1"/>
  <c r="AP29" i="110" s="1"/>
  <c r="AM32" i="110"/>
  <c r="AQ43" i="107"/>
  <c r="AR43" i="107" s="1"/>
  <c r="AS42" i="107"/>
  <c r="AT42" i="107" s="1"/>
  <c r="BF37" i="111" l="1"/>
  <c r="BG36" i="111"/>
  <c r="BH36" i="111" s="1"/>
  <c r="BI36" i="111" s="1"/>
  <c r="AL31" i="110"/>
  <c r="AN30" i="110"/>
  <c r="AO30" i="110" s="1"/>
  <c r="AP30" i="110" s="1"/>
  <c r="AM33" i="110"/>
  <c r="AQ44" i="107"/>
  <c r="AR44" i="107" s="1"/>
  <c r="AS43" i="107"/>
  <c r="AT43" i="107" s="1"/>
  <c r="BG37" i="111" l="1"/>
  <c r="BH37" i="111" s="1"/>
  <c r="BI37" i="111" s="1"/>
  <c r="BF38" i="111"/>
  <c r="AL32" i="110"/>
  <c r="AN31" i="110"/>
  <c r="AO31" i="110" s="1"/>
  <c r="AP31" i="110" s="1"/>
  <c r="AM34" i="110"/>
  <c r="AQ45" i="107"/>
  <c r="AR45" i="107" s="1"/>
  <c r="AS44" i="107"/>
  <c r="AT44" i="107" s="1"/>
  <c r="BG38" i="111" l="1"/>
  <c r="BH38" i="111" s="1"/>
  <c r="BI38" i="111" s="1"/>
  <c r="BF39" i="111"/>
  <c r="AL33" i="110"/>
  <c r="AN32" i="110"/>
  <c r="AO32" i="110" s="1"/>
  <c r="AP32" i="110" s="1"/>
  <c r="AM35" i="110"/>
  <c r="AQ46" i="107"/>
  <c r="AR46" i="107" s="1"/>
  <c r="AS45" i="107"/>
  <c r="AT45" i="107" s="1"/>
  <c r="BF40" i="111" l="1"/>
  <c r="BG39" i="111"/>
  <c r="BH39" i="111" s="1"/>
  <c r="BI39" i="111" s="1"/>
  <c r="AL34" i="110"/>
  <c r="AN33" i="110"/>
  <c r="AO33" i="110" s="1"/>
  <c r="AP33" i="110" s="1"/>
  <c r="AM36" i="110"/>
  <c r="AQ47" i="107"/>
  <c r="AR47" i="107" s="1"/>
  <c r="AS46" i="107"/>
  <c r="AT46" i="107" s="1"/>
  <c r="BG40" i="111" l="1"/>
  <c r="BH40" i="111" s="1"/>
  <c r="BI40" i="111" s="1"/>
  <c r="BF41" i="111"/>
  <c r="AL35" i="110"/>
  <c r="AN34" i="110"/>
  <c r="AO34" i="110" s="1"/>
  <c r="AP34" i="110" s="1"/>
  <c r="AM37" i="110"/>
  <c r="AQ48" i="107"/>
  <c r="AR48" i="107" s="1"/>
  <c r="AS47" i="107"/>
  <c r="AT47" i="107" s="1"/>
  <c r="BF42" i="111" l="1"/>
  <c r="BG41" i="111"/>
  <c r="BH41" i="111" s="1"/>
  <c r="BI41" i="111" s="1"/>
  <c r="AL36" i="110"/>
  <c r="AN35" i="110"/>
  <c r="AO35" i="110" s="1"/>
  <c r="AP35" i="110" s="1"/>
  <c r="AM38" i="110"/>
  <c r="AQ49" i="107"/>
  <c r="AR49" i="107" s="1"/>
  <c r="AS48" i="107"/>
  <c r="AT48" i="107" s="1"/>
  <c r="BG42" i="111" l="1"/>
  <c r="BH42" i="111" s="1"/>
  <c r="BI42" i="111" s="1"/>
  <c r="BF43" i="111"/>
  <c r="AL37" i="110"/>
  <c r="AN36" i="110"/>
  <c r="AO36" i="110" s="1"/>
  <c r="AP36" i="110" s="1"/>
  <c r="AM39" i="110"/>
  <c r="AQ50" i="107"/>
  <c r="AR50" i="107" s="1"/>
  <c r="AS49" i="107"/>
  <c r="AT49" i="107" s="1"/>
  <c r="BG43" i="111" l="1"/>
  <c r="BH43" i="111" s="1"/>
  <c r="BI43" i="111" s="1"/>
  <c r="BF44" i="111"/>
  <c r="AL38" i="110"/>
  <c r="AN37" i="110"/>
  <c r="AO37" i="110" s="1"/>
  <c r="AP37" i="110" s="1"/>
  <c r="AM40" i="110"/>
  <c r="AQ51" i="107"/>
  <c r="AR51" i="107" s="1"/>
  <c r="AS50" i="107"/>
  <c r="AT50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Q52" i="107"/>
  <c r="AR52" i="107" s="1"/>
  <c r="AS51" i="107"/>
  <c r="AT51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Q53" i="107"/>
  <c r="AR53" i="107" s="1"/>
  <c r="AS52" i="107"/>
  <c r="AT52" i="107" s="1"/>
  <c r="AL41" i="110" l="1"/>
  <c r="AN40" i="110"/>
  <c r="AO40" i="110" s="1"/>
  <c r="AP40" i="110" s="1"/>
  <c r="AM43" i="110"/>
  <c r="AQ54" i="107"/>
  <c r="AR54" i="107" s="1"/>
  <c r="AS53" i="107"/>
  <c r="AT53" i="107" s="1"/>
  <c r="AL42" i="110" l="1"/>
  <c r="AN41" i="110"/>
  <c r="AO41" i="110" s="1"/>
  <c r="AP41" i="110" s="1"/>
  <c r="AM44" i="110"/>
  <c r="AQ55" i="107"/>
  <c r="AR55" i="107" s="1"/>
  <c r="AS54" i="107"/>
  <c r="AT54" i="107" s="1"/>
  <c r="AL43" i="110" l="1"/>
  <c r="AN42" i="110"/>
  <c r="AO42" i="110" s="1"/>
  <c r="AP42" i="110" s="1"/>
  <c r="AQ56" i="107"/>
  <c r="AR56" i="107" s="1"/>
  <c r="AS55" i="107"/>
  <c r="AT55" i="107" s="1"/>
  <c r="AL44" i="110" l="1"/>
  <c r="AN44" i="110" s="1"/>
  <c r="AO44" i="110" s="1"/>
  <c r="AP44" i="110" s="1"/>
  <c r="AN43" i="110"/>
  <c r="AS56" i="107"/>
  <c r="AT56" i="107" s="1"/>
  <c r="AQ57" i="107"/>
  <c r="AR57" i="107" s="1"/>
  <c r="AO43" i="110" l="1"/>
  <c r="AP43" i="110" s="1"/>
  <c r="AN45" i="110"/>
  <c r="BB2" i="110" s="1"/>
  <c r="AP45" i="110"/>
  <c r="BA2" i="110" s="1"/>
  <c r="AS57" i="107"/>
  <c r="AT57" i="107" s="1"/>
  <c r="AT58" i="107" s="1"/>
  <c r="AR58" i="107"/>
  <c r="M12" i="45" l="1"/>
  <c r="B13" i="45"/>
  <c r="N12" i="45" a="1"/>
  <c r="O12" i="45" a="1"/>
  <c r="O12" i="45" l="1"/>
  <c r="N12" i="45"/>
  <c r="T12" i="45" s="1"/>
  <c r="AA12" i="45"/>
  <c r="Z12" i="45"/>
  <c r="AF12" i="45" s="1"/>
  <c r="AB12" i="45" a="1"/>
  <c r="AB12" i="45" l="1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tc={6AA7AC04-FAAA-4D66-BDEA-A5CAE99FC69E}</author>
    <author>tc={8B74483E-F39A-48BC-9A4F-F2282AE37744}</author>
  </authors>
  <commentList>
    <comment ref="E4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T4" authorId="1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F19" authorId="2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tc={69305254-A26D-4B9F-9916-A920124F156D}</author>
  </authors>
  <commentList>
    <comment ref="A1" authorId="0" shapeId="0" xr:uid="{69305254-A26D-4B9F-9916-A920124F15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<sst xmlns="http://schemas.openxmlformats.org/spreadsheetml/2006/main" count="2232" uniqueCount="790">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</sst>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67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171" fontId="46" fillId="10" borderId="27" xfId="0" applyNumberFormat="1" applyFont="1" applyFill="1" applyBorder="1" applyAlignment="1">
      <alignment horizontal="center" vertical="center"/>
    </xf>
    <xf numFmtId="0" fontId="46" fillId="0" borderId="27" xfId="0" applyFont="1" applyBorder="1"/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622" dataDxfId="620" headerRowBorderDxfId="621" tableBorderDxfId="619" totalsRowBorderDxfId="61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17"/>
    <tableColumn id="18" xr3:uid="{366DBBF2-20A8-4D60-93FE-3D5A81578DB0}" name="DISCHARGE CONFIG" dataDxfId="616"/>
    <tableColumn id="19" xr3:uid="{0CEE3843-A0BB-4053-8B60-160B8D23C3A1}" name="RETURN CONFIG" dataDxfId="615"/>
    <tableColumn id="2" xr3:uid="{A907651C-1565-4CA5-8395-FBF4A48F82DF}" name="SUPPLY FAN VFD" dataDxfId="614"/>
    <tableColumn id="3" xr3:uid="{A1BA734B-6B37-4C81-BB00-B96C74EABC9E}" name="RETURN FAN" dataDxfId="613"/>
    <tableColumn id="4" xr3:uid="{1A2A118E-5D50-4E1F-8178-C4EFA7C8AFB2}" name="RETURN FAN VFD" dataDxfId="612"/>
    <tableColumn id="5" xr3:uid="{9789DB90-BB58-4C9A-84AA-733010BD2ABF}" name="ECONOMIZER" dataDxfId="611"/>
    <tableColumn id="6" xr3:uid="{7F342EF1-E9D4-4167-9F2C-FB7ECDD16AC5}" name="HEAT RECOVERY" dataDxfId="610"/>
    <tableColumn id="7" xr3:uid="{26A7AB30-2773-4D3A-B047-D020B43C98AD}" name="PREHEAT COIL" dataDxfId="609"/>
    <tableColumn id="8" xr3:uid="{698E1BCF-A037-4D50-BC22-BF171E579A40}" name="REHEAT COIL" dataDxfId="608"/>
    <tableColumn id="9" xr3:uid="{E1206B26-EAF7-482D-90C7-BD9B25AC7DF4}" name="SUPPLY SMOKE" dataDxfId="607"/>
    <tableColumn id="10" xr3:uid="{3C1D9E90-D1DB-4131-ACF1-AE091BA0F570}" name="RETURN SMOKE" dataDxfId="606"/>
    <tableColumn id="11" xr3:uid="{42FFA5A3-94D2-4855-A74E-B15F86BB7CA6}" name="SINGLE POWER" dataDxfId="605"/>
    <tableColumn id="12" xr3:uid="{A9CF85BF-E075-40CD-A3D8-8F54B4742E17}" name="UV LIGHTS" dataDxfId="604"/>
    <tableColumn id="13" xr3:uid="{E6598DEC-673D-4041-8DFD-65E1B4E86C00}" name="PRE FILTER " dataDxfId="603"/>
    <tableColumn id="14" xr3:uid="{A42CA4AB-ECDB-4F8E-9F88-493EE19C6264}" name="INTERMIDIATE FILTER" dataDxfId="602"/>
    <tableColumn id="15" xr3:uid="{7E317255-F402-493B-BA5E-6339E59F2B79}" name="ATFP DAMPERS" dataDxfId="601"/>
    <tableColumn id="16" xr3:uid="{F81087CC-928B-4AE1-A5CB-B814D3F9D515}" name="HUMIDIFIER" dataDxfId="600"/>
    <tableColumn id="17" xr3:uid="{6D8362BD-1A4B-4899-83CC-017029BF5237}" name="HEPA FILTER" dataDxfId="59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598" dataDxfId="597">
  <autoFilter ref="B29:E30" xr:uid="{4581B1AD-A786-2246-8D37-2A5F7703F76B}"/>
  <tableColumns count="4">
    <tableColumn id="1" xr3:uid="{F6DE3AB9-A636-4F44-A1A2-B490A8559CB9}" name="Number of Chillers" dataDxfId="596"/>
    <tableColumn id="2" xr3:uid="{4435B585-7E01-124C-A117-60351029480F}" name="Diversity %" dataDxfId="595" dataCellStyle="Percent"/>
    <tableColumn id="3" xr3:uid="{5593EF6B-BC7D-2545-87E3-670353EFCEA9}" name="number of CHW Pumps" dataDxfId="594"/>
    <tableColumn id="4" xr3:uid="{62962FB5-BAF9-064A-8972-6E8082614CD8}" name="Column1" dataDxfId="59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592" dataDxfId="590" totalsRowDxfId="588" headerRowBorderDxfId="591" tableBorderDxfId="589" totalsRowBorderDxfId="587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86" totalsRowDxfId="585"/>
    <tableColumn id="3" xr3:uid="{0F7C2FD8-8C97-4466-9519-526E2650935C}" name="ROOM" dataDxfId="584" totalsRowDxfId="583"/>
    <tableColumn id="4" xr3:uid="{95B8566D-E230-43A1-95EE-79F6022A54E2}" name="ROOM _x000a_NUMBER" dataDxfId="582" totalsRowDxfId="581"/>
    <tableColumn id="5" xr3:uid="{A005166F-99F0-4977-9137-A971210A2C73}" name="AREA _x000a_(FT²)" totalsRowFunction="sum" dataDxfId="580" totalsRowDxfId="579"/>
    <tableColumn id="6" xr3:uid="{5E622632-BAB2-4765-BF3A-120496AAAC63}" name="HG_x000a_(FT)" dataDxfId="578" totalsRowDxfId="577"/>
    <tableColumn id="8" xr3:uid="{22F7FA9C-5655-4974-885B-464147533B76}" name="100%_x000a_EA" dataDxfId="576" totalsRowDxfId="575">
      <calculatedColumnFormula>VLOOKUP($K7,'UMC Table 4-A'!$A$2:$E$132,5,FALSE)</calculatedColumnFormula>
    </tableColumn>
    <tableColumn id="1" xr3:uid="{E1CF5434-3260-4C6E-8FEF-41A00D79BBCC}" name="Desired Air Balance Difference" dataDxfId="574" totalsRowDxfId="573"/>
    <tableColumn id="10" xr3:uid="{D5D3292B-72B6-490D-9D6C-1DF61B341B89}" name="LOAD _x000a_(CFM)" dataDxfId="572" totalsRowDxfId="571"/>
    <tableColumn id="12" xr3:uid="{8DD58795-6E8A-4E1F-A48E-4C781960455E}" name="1 or 0.5 CFM/SF" dataDxfId="570" totalsRowDxfId="569">
      <calculatedColumnFormula>IF(OR((K7="PATIENT CORRIDOR"),(K7="TOILET")),(E7*0.5),E7)</calculatedColumnFormula>
    </tableColumn>
    <tableColumn id="13" xr3:uid="{73844B7E-2708-4B37-B53F-155B107C314B}" name="FUNCTION OR SPACE" dataDxfId="568" totalsRowDxfId="567"/>
    <tableColumn id="14" xr3:uid="{BF1CC012-1946-46F7-9FD5-D156235B7028}" name="PRESSURE RELATIONSHIP TO ADJACENT AREAS" dataDxfId="566" totalsRowDxfId="565">
      <calculatedColumnFormula>VLOOKUP($K7,'UMC Table 4-A'!$A$2:$E$132,2,FALSE)</calculatedColumnFormula>
    </tableColumn>
    <tableColumn id="15" xr3:uid="{85B7FA28-6671-44B6-9F78-F6F689F47C29}" name="MIN OUTDOOR ACH_x000a_(AC/HR)" dataDxfId="564" totalsRowDxfId="563">
      <calculatedColumnFormula>VLOOKUP($K7,'UMC Table 4-A'!$A$2:$E$132,3,FALSE)</calculatedColumnFormula>
    </tableColumn>
    <tableColumn id="16" xr3:uid="{2DECFFEF-7BC4-4310-8A88-C1EB2C913EAF}" name="MIN OUTDOOR ACH _x000a_(CFM)" totalsRowFunction="sum" dataDxfId="562" totalsRowDxfId="561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60" totalsRowDxfId="559">
      <calculatedColumnFormula>VLOOKUP($K7,'UMC Table 4-A'!$A$2:$E$132,4,FALSE)</calculatedColumnFormula>
    </tableColumn>
    <tableColumn id="11" xr3:uid="{D0F8340D-A3A4-482A-A993-59E8E490E481}" name="MIN TOTAL ACH _x000a_(CFM)" totalsRowFunction="sum" dataDxfId="558" totalsRowDxfId="557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56" totalsRowDxfId="555">
      <calculatedColumnFormula>VLOOKUP($K7,'UMC Table 4-A'!$A$2:$E$132,5,FALSE)</calculatedColumnFormula>
    </tableColumn>
    <tableColumn id="9" xr3:uid="{D61DB494-0A8F-4ACF-83B7-9F7C3E8A654E}" name="MIN EA _x000a_(CFM)" totalsRowFunction="sum" dataDxfId="554" totalsRowDxfId="553">
      <calculatedColumnFormula>IF(G7="Yes",P7,0)</calculatedColumnFormula>
    </tableColumn>
    <tableColumn id="36" xr3:uid="{E8D8DD45-77F8-4F99-9F4B-048638BDC1F6}" name="Exhaust Category" dataDxfId="552" totalsRowDxfId="551"/>
    <tableColumn id="35" xr3:uid="{18022B78-0D85-44BF-9F19-C044E83FFDAA}" name="ASHRAE_x000a_EXHAUST UNIT" dataDxfId="550" totalsRowDxfId="549"/>
    <tableColumn id="31" xr3:uid="{C440ED2D-AFFF-48D0-9FEA-89DC4EFFCF4B}" name="OCCUPANCY CATEGORY" dataDxfId="548" totalsRowDxfId="547"/>
    <tableColumn id="32" xr3:uid="{E2523F8E-F9D6-4E6C-9621-433B3575BF74}" name="RP_x000a_(CFM/PER PERSON)" dataDxfId="546" totalsRowDxfId="545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44" totalsRowDxfId="543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2" totalsRowDxfId="541">
      <calculatedColumnFormula>VLOOKUP(TABLE4A4398[[#This Row],[OCCUPANCY CATEGORY]],Ashrae90.1Vent[#All],4,FALSE)</calculatedColumnFormula>
    </tableColumn>
    <tableColumn id="39" xr3:uid="{820EE2EB-ECBD-4ED5-A5F9-9120E8B40194}" name="Air Class" dataDxfId="540" totalsRowDxfId="539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38" totalsRowDxfId="537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36" totalsRowDxfId="535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34" totalsRowDxfId="533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2" totalsRowDxfId="531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30" totalsRowDxfId="529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28" totalsRowDxfId="527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26" totalsRowDxfId="525"/>
    <tableColumn id="43" xr3:uid="{553E57EC-275A-4C23-ABAA-EE610700AD32}" name="OS" dataDxfId="524" totalsRowDxfId="523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2" totalsRowDxfId="521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0" totalsRowDxfId="519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18" totalsRowDxfId="517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6" totalsRowDxfId="515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4" totalsRowDxfId="513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512" totalsRowDxfId="511">
      <calculatedColumnFormula>TABLE4A4398[[#This Row],[CALCULATED SA 
(CFM)]]</calculatedColumnFormula>
    </tableColumn>
    <tableColumn id="20" xr3:uid="{479DA455-B30F-4304-A6BA-437ABAF457CA}" name="DESIGN RA (CFM)" totalsRowFunction="sum" dataDxfId="510" totalsRowDxfId="509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08" totalsRowDxfId="507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06" totalsRowDxfId="505">
      <calculatedColumnFormula>AM7-AN7-AO7</calculatedColumnFormula>
    </tableColumn>
    <tableColumn id="24" xr3:uid="{AA29B302-8E46-43C4-9201-C349236070AB}" name="CFM/SF" dataDxfId="504" totalsRowDxfId="503">
      <calculatedColumnFormula>IFERROR(AL7/E7,"-")</calculatedColumnFormula>
    </tableColumn>
    <tableColumn id="25" xr3:uid="{47433AF6-25F4-4C77-BBBF-3398F6E4F534}" name="OSA PERCENT" dataDxfId="502" totalsRowDxfId="501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0" totalsRowDxfId="499">
      <calculatedColumnFormula>AM7/E7/F7*60</calculatedColumnFormula>
    </tableColumn>
    <tableColumn id="23" xr3:uid="{96423B94-F9BC-4CDA-872C-3FEFF97968EC}" name="Balance?" dataDxfId="498" totalsRowDxfId="497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496" dataDxfId="494" totalsRowDxfId="492" headerRowBorderDxfId="495" tableBorderDxfId="493" totalsRowBorderDxfId="491">
  <autoFilter ref="AW7:BM45" xr:uid="{2A2B6BA6-0EAB-2349-A085-FD569408EC9D}"/>
  <tableColumns count="17">
    <tableColumn id="1" xr3:uid="{C5D95E6A-0C73-4A74-A2E8-647D33AAD0F9}" name="ZONE" totalsRowLabel="Total" dataDxfId="490" totalsRowDxfId="489"/>
    <tableColumn id="2" xr3:uid="{314B94B0-1389-404F-83E4-4AA1049F1022}" name="BASIS OF DESIGN _x000a_MANUFACTURER" dataDxfId="488" totalsRowDxfId="487"/>
    <tableColumn id="3" xr3:uid="{71BF9071-0B95-45AC-9F78-159F2BBA7A10}" name="DESCRIPTION" dataDxfId="486" totalsRowDxfId="485"/>
    <tableColumn id="4" xr3:uid="{20ABA679-9CAE-46A2-AC75-24E3416F8AE9}" name="CFM" dataDxfId="484" totalsRowDxfId="483">
      <calculatedColumnFormula>SUMIF($B$7:$B$17,AW8,$AM$7:$AM$17)</calculatedColumnFormula>
    </tableColumn>
    <tableColumn id="5" xr3:uid="{EB411437-B53E-4410-9476-63BDC1BDB7B1}" name="CAV INLET SIZE" dataDxfId="482" totalsRowDxfId="481">
      <calculatedColumnFormula>IFERROR((VLOOKUP(AZ8,'DO NOT TOUCH'!$B$9:$C$14,2,TRUE)),"TBD")</calculatedColumnFormula>
    </tableColumn>
    <tableColumn id="6" xr3:uid="{846F714B-F97C-486F-8DDA-40126A6313DE}" name="MAX TOTAL CAV PD _x000a_(IN W.G.)" dataDxfId="480" totalsRowDxfId="479">
      <calculatedColumnFormula>BB7</calculatedColumnFormula>
    </tableColumn>
    <tableColumn id="7" xr3:uid="{66F138FC-ABB7-4803-8215-F15967B905F6}" name="EWT" dataDxfId="478" totalsRowDxfId="477">
      <calculatedColumnFormula>INPUT_OUTPUTS!$C$16</calculatedColumnFormula>
    </tableColumn>
    <tableColumn id="8" xr3:uid="{8FF10AD2-60ED-49B1-A888-0AD5180D7970}" name="DESIGN _x000a_LWT" dataDxfId="476" totalsRowDxfId="475">
      <calculatedColumnFormula>INPUT_OUTPUTS!$C$17</calculatedColumnFormula>
    </tableColumn>
    <tableColumn id="9" xr3:uid="{C39A4342-FBAA-4442-B7BD-4C47556C5075}" name="EAT" dataDxfId="474" totalsRowDxfId="473">
      <calculatedColumnFormula>BE7</calculatedColumnFormula>
    </tableColumn>
    <tableColumn id="10" xr3:uid="{E4F5985D-BEFB-48AF-AE4D-E15C30B92458}" name="DESIGN _x000a_LAT" dataDxfId="472" totalsRowDxfId="471">
      <calculatedColumnFormula>BF7</calculatedColumnFormula>
    </tableColumn>
    <tableColumn id="11" xr3:uid="{4B47405A-0987-490D-A084-8B30200952E4}" name="MIN MBH" totalsRowFunction="sum" dataDxfId="470" totalsRowDxfId="469">
      <calculatedColumnFormula>MROUND((1.08*(BF8-BE8)*AZ8)/1000,0.1)</calculatedColumnFormula>
    </tableColumn>
    <tableColumn id="12" xr3:uid="{2D26F161-8CD4-4ACB-B4CF-1593EEFA24E4}" name="AGPM" dataDxfId="468" totalsRowDxfId="467">
      <calculatedColumnFormula>(BG8*1000)/(500*(BC8-BD8))</calculatedColumnFormula>
    </tableColumn>
    <tableColumn id="13" xr3:uid="{718A9E14-71FB-44FB-A6D9-573969303244}" name="GPM" totalsRowFunction="sum" dataDxfId="466" totalsRowDxfId="465">
      <calculatedColumnFormula>IF(BH8&lt;0.5,0.5,BH8)</calculatedColumnFormula>
    </tableColumn>
    <tableColumn id="14" xr3:uid="{48AA7CC7-F7E3-42B2-8E54-C0090CF73D73}" name="MAX WATER _x000a_PD (FT)" dataDxfId="464" totalsRowDxfId="463">
      <calculatedColumnFormula>BJ7</calculatedColumnFormula>
    </tableColumn>
    <tableColumn id="15" xr3:uid="{2F879E77-08E0-4E86-ABAD-F2EC09E4C2E0}" name="OPER _x000a_WEIGHT_x000a_(LBS)" dataDxfId="462" totalsRowDxfId="461">
      <calculatedColumnFormula>IFERROR((_xlfn.XLOOKUP(BA8,'DO NOT TOUCH'!$C$9:$C$14,'DO NOT TOUCH'!$D$9:$D$14,)),"TBD")</calculatedColumnFormula>
    </tableColumn>
    <tableColumn id="16" xr3:uid="{93897DAB-EFD2-4EDF-9881-CFE7F822A346}" name="MTG _x000a_DETAIL" dataDxfId="460" totalsRowDxfId="459">
      <calculatedColumnFormula>INPUT_OUTPUTS!$C$19</calculatedColumnFormula>
    </tableColumn>
    <tableColumn id="17" xr3:uid="{66A7058D-C4C4-4FEC-BC01-C8C881CF109A}" name="REMARKS" dataDxfId="458" totalsRowDxfId="457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4:AH8" totalsRowCount="1" headerRowDxfId="456" dataDxfId="455" totalsRowDxfId="453" tableBorderDxfId="454">
  <autoFilter ref="A4:AH7" xr:uid="{59B85608-0CD2-47F2-870C-191ADDE0C2B8}"/>
  <tableColumns count="34">
    <tableColumn id="1" xr3:uid="{13F107CA-E395-403B-99B4-65D454865F61}" name="Zone" totalsRowLabel="TOTAL" dataDxfId="452" totalsRowDxfId="40"/>
    <tableColumn id="3" xr3:uid="{F80D1C16-C418-4B4D-A569-08FF0C9FD9A1}" name="Room Number" dataDxfId="451" totalsRowDxfId="39"/>
    <tableColumn id="4" xr3:uid="{216886B4-41A5-46E5-957A-D9BC5211544A}" name="Room" totalsRowFunction="count" dataDxfId="450" totalsRowDxfId="38"/>
    <tableColumn id="6" xr3:uid="{FAEF0092-9267-4494-BA56-051894961217}" name="AREA (FT²)" totalsRowFunction="sum" dataDxfId="449" totalsRowDxfId="37"/>
    <tableColumn id="18" xr3:uid="{85D8CA67-8705-42BF-AC57-76DEABA6CFF8}" name="Exhaust Units" dataDxfId="448" totalsRowDxfId="36"/>
    <tableColumn id="7" xr3:uid="{22DEA9EB-6829-4F94-A62D-70E9DB4118C6}" name="OFFICE STANDARD _x000a_(CFM)" dataDxfId="447" totalsRowDxfId="35">
      <calculatedColumnFormula>IF((VLOOKUP(Ahu_Ashrae_sheet15[[#This Row],[Occupancy Category]],Ashrae90.1Vent[#All],7,FALSE)) = "YES",MROUND(D5/2,5),MROUND(D5,5))</calculatedColumnFormula>
    </tableColumn>
    <tableColumn id="8" xr3:uid="{7E2DDD6E-E4CD-4911-B0AB-66850CA0C7DA}" name="LOAD (CFM)" totalsRowFunction="sum" dataDxfId="446" totalsRowDxfId="34"/>
    <tableColumn id="17" xr3:uid="{AB90DFB5-D9F7-4991-B79C-73953940B8A9}" name="Exhaust Category" dataDxfId="445" totalsRowDxfId="33"/>
    <tableColumn id="5" xr3:uid="{D0FC3464-26A6-4825-B194-880E47740C1D}" name="Occupancy Category" dataDxfId="444" totalsRowDxfId="32"/>
    <tableColumn id="10" xr3:uid="{776D97F5-1DFD-4EF3-AB3B-86F72E19D6E4}" name="RP_x000a_(CFM/PER PERSON)" dataDxfId="443" totalsRowDxfId="31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42" totalsRowDxfId="30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41" totalsRowDxfId="29">
      <calculatedColumnFormula>VLOOKUP(Ahu_Ashrae_sheet15[[#This Row],[Occupancy Category]],Ashrae90.1Vent[#All],4,FALSE)</calculatedColumnFormula>
    </tableColumn>
    <tableColumn id="12" xr3:uid="{A2512039-1BFD-4637-9149-E45B36F1BCBD}" name="Air Class" dataDxfId="440" totalsRowDxfId="28">
      <calculatedColumnFormula>VLOOKUP(Ahu_Ashrae_sheet15[[#This Row],[Occupancy Category]],Ashrae90.1Vent[#All],5,FALSE)</calculatedColumnFormula>
    </tableColumn>
    <tableColumn id="13" xr3:uid="{47B0F9A6-920C-43DF-A14A-8F0C04A59C11}" name="Occupants (Pz)" totalsRowFunction="sum" dataDxfId="2" totalsRowDxfId="27">
      <calculatedColumnFormula>CEILING((L5/1000)*D5,1)</calculatedColumnFormula>
    </tableColumn>
    <tableColumn id="20" xr3:uid="{D88BB767-D9CE-4502-9AE5-38238841E676}" name="DIVERSITY (D)" dataDxfId="0" totalsRowDxfId="26">
      <calculatedColumnFormula>IF(($O$1/Ahu_Ashrae_sheet15[[#Totals],[Occupants (Pz)]])&gt;1,1,$O$1/Ahu_Ashrae_sheet15[[#Totals],[Occupants (Pz)]])</calculatedColumnFormula>
    </tableColumn>
    <tableColumn id="14" xr3:uid="{515960F0-0D57-4682-8B27-4890C0589FBE}" name="Uncorrected OA (Vou)" totalsRowFunction="sum" dataDxfId="1" totalsRowDxfId="25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39" totalsRowDxfId="24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38" totalsRowDxfId="23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37" totalsRowDxfId="22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36" totalsRowDxfId="21"/>
    <tableColumn id="24" xr3:uid="{44A19890-0B61-48FE-AEE6-B4AF44D95889}" name="Zone OA (Voz)" dataDxfId="435" totalsRowDxfId="20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34" totalsRowDxfId="19"/>
    <tableColumn id="33" xr3:uid="{84D3A249-3F9E-4505-B5AC-4AF46EFA1A96}" name="CO2 SENSOR" dataDxfId="433" totalsRowDxfId="18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32" totalsRowDxfId="17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31" totalsRowDxfId="16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30" totalsRowDxfId="15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29" totalsRowDxfId="14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28" totalsRowDxfId="13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27" totalsRowDxfId="12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426" totalsRowDxfId="11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425" totalsRowDxfId="10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424" totalsRowDxfId="9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423" totalsRowDxfId="8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422" totalsRowDxfId="7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F19:AX58" totalsRowCount="1" headerRowDxfId="421" dataDxfId="419" totalsRowDxfId="417" headerRowBorderDxfId="420" tableBorderDxfId="418" totalsRowBorderDxfId="416">
  <autoFilter ref="AF19:AX57" xr:uid="{13D566E9-CE9D-4920-9557-440C01DE1A40}"/>
  <tableColumns count="19">
    <tableColumn id="1" xr3:uid="{F4100601-C8F7-4EDA-B9ED-EC5144A4622B}" name="ZONE" totalsRowLabel="Total" dataDxfId="415" totalsRowDxfId="414"/>
    <tableColumn id="2" xr3:uid="{DE711A04-3BAB-4400-94F9-9EA1A3D93724}" name="BASIS OF DESIGN _x000a_MANUFACTURER" dataDxfId="413" totalsRowDxfId="412"/>
    <tableColumn id="3" xr3:uid="{5EFC2877-1E13-4BC7-9997-881F4F723359}" name="DESCRIPTION" dataDxfId="411" totalsRowDxfId="410"/>
    <tableColumn id="18" xr3:uid="{4BD82A36-B59C-4680-BDCB-C1D5CE6D8206}" name="MIN VAV_x000a_(CFM)" dataDxfId="409" totalsRowDxfId="408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407" totalsRowDxfId="406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405" totalsRowDxfId="404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403" totalsRowDxfId="402">
      <calculatedColumnFormula>AL19</calculatedColumnFormula>
    </tableColumn>
    <tableColumn id="19" xr3:uid="{5F3FB950-6412-4753-A80D-B928E2E9B62C}" name="HEATING AIRFLOW _x000a_(CFM)" dataDxfId="401" totalsRowDxfId="400">
      <calculatedColumnFormula>AHU1_CAV_SCHEDULE4451416[[#This Row],[MIN VAV
(CFM)]]</calculatedColumnFormula>
    </tableColumn>
    <tableColumn id="7" xr3:uid="{252B9BF8-54B1-493D-9221-BD358C10E426}" name="EWT" dataDxfId="399" totalsRowDxfId="398">
      <calculatedColumnFormula>INPUT_OUTPUTS!$C$16</calculatedColumnFormula>
    </tableColumn>
    <tableColumn id="8" xr3:uid="{E16AE38C-7652-4771-A602-4043B581B8CE}" name="DESIGN _x000a_LWT" dataDxfId="397" totalsRowDxfId="396">
      <calculatedColumnFormula>INPUT_OUTPUTS!$C$17</calculatedColumnFormula>
    </tableColumn>
    <tableColumn id="9" xr3:uid="{494A5CA5-FC2F-4016-9EDA-AAD0074B0288}" name="EAT" dataDxfId="395" totalsRowDxfId="394">
      <calculatedColumnFormula>AP19</calculatedColumnFormula>
    </tableColumn>
    <tableColumn id="10" xr3:uid="{7B534454-B13B-4823-B389-688DB1FFC0C2}" name="DESIGN _x000a_LAT" dataDxfId="393" totalsRowDxfId="392">
      <calculatedColumnFormula>AQ19</calculatedColumnFormula>
    </tableColumn>
    <tableColumn id="11" xr3:uid="{58C190FA-9339-4475-8FE4-B94254008B39}" name="MIN MBH" totalsRowFunction="sum" dataDxfId="391" totalsRowDxfId="390">
      <calculatedColumnFormula>MROUND((1.08*(AQ20-AP20)*AHU1_CAV_SCHEDULE4451416[[#This Row],[HEATING AIRFLOW 
(CFM)]])/1000,0.1)</calculatedColumnFormula>
    </tableColumn>
    <tableColumn id="12" xr3:uid="{E8FC4A04-BE1B-467E-A94D-1BC0BAFF2FAC}" name="AGPM" dataDxfId="389" totalsRowDxfId="388">
      <calculatedColumnFormula>(AR20*1000)/(500*(AN20-AO20))</calculatedColumnFormula>
    </tableColumn>
    <tableColumn id="13" xr3:uid="{AAA466EF-B5D0-49B1-A9E7-E101103D64B4}" name="GPM" totalsRowFunction="sum" dataDxfId="387" totalsRowDxfId="386">
      <calculatedColumnFormula>IF(AS20&lt;0.5,0.5,AS20)</calculatedColumnFormula>
    </tableColumn>
    <tableColumn id="14" xr3:uid="{8B37A8C5-27D0-4D67-9351-B38D9137444F}" name="MAX WATER _x000a_PD (FT)" dataDxfId="385" totalsRowDxfId="384">
      <calculatedColumnFormula>AU19</calculatedColumnFormula>
    </tableColumn>
    <tableColumn id="15" xr3:uid="{CE1AD8A3-6CC9-4182-A598-A96DC629A332}" name="OPER _x000a_WEIGHT_x000a_(LBS)" dataDxfId="383" totalsRowDxfId="382">
      <calculatedColumnFormula>IFERROR((_xlfn.XLOOKUP(AK20,'DO NOT TOUCH'!$C$9:$C$14,'DO NOT TOUCH'!$D$9:$D$14,)),"TBD")</calculatedColumnFormula>
    </tableColumn>
    <tableColumn id="16" xr3:uid="{46061A8B-CF07-404A-89CF-B3DC053B9D47}" name="MTG _x000a_DETAIL" dataDxfId="381" totalsRowDxfId="380">
      <calculatedColumnFormula>INPUT_OUTPUTS!$C$19</calculatedColumnFormula>
    </tableColumn>
    <tableColumn id="17" xr3:uid="{AFA49697-1C1E-4B56-9982-63047E73069E}" name="REMARKS" dataDxfId="379" totalsRowDxfId="378">
      <calculatedColumnFormula>AX19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77" dataDxfId="375" totalsRowDxfId="373" headerRowBorderDxfId="376" tableBorderDxfId="374" totalsRowBorderDxfId="372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71" totalsRowDxfId="370"/>
    <tableColumn id="3" xr3:uid="{C2F54D71-F1C6-49DB-922E-7D2631440381}" name="ROOM" dataDxfId="369" totalsRowDxfId="368"/>
    <tableColumn id="4" xr3:uid="{189BFD32-5838-4B8D-83F1-8FF63371B25D}" name="ROOM _x000a_NUMBER" dataDxfId="367" totalsRowDxfId="366"/>
    <tableColumn id="5" xr3:uid="{7FC753AE-3B21-46CB-956D-DCD0916DD59D}" name="AREA _x000a_(FT²)" totalsRowFunction="sum" dataDxfId="365" totalsRowDxfId="364"/>
    <tableColumn id="6" xr3:uid="{212AC2DD-3F08-44C5-838C-413FFEC1F4C6}" name="HG_x000a_(FT)" dataDxfId="363" totalsRowDxfId="362"/>
    <tableColumn id="8" xr3:uid="{B747ED35-F271-4E44-B347-594DCF339F19}" name="100%_x000a_EA" dataDxfId="361" totalsRowDxfId="360">
      <calculatedColumnFormula>VLOOKUP($K7,'UMC Table 4-A'!$A$2:$E$132,5,FALSE)</calculatedColumnFormula>
    </tableColumn>
    <tableColumn id="1" xr3:uid="{4FD13E19-A2C6-4F05-8163-E6C650FDA1DE}" name="Desired Air Balance Difference" dataDxfId="359" totalsRowDxfId="358"/>
    <tableColumn id="10" xr3:uid="{614FC840-D402-45A6-89B3-CE1DEF3FB988}" name="LOAD _x000a_(CFM)" dataDxfId="357" totalsRowDxfId="356"/>
    <tableColumn id="12" xr3:uid="{3BD29DF7-A320-479F-AB6B-6729E84FCEAB}" name="1 or 0.5 CFM/SF" dataDxfId="355" totalsRowDxfId="354">
      <calculatedColumnFormula>IF(OR((K7="PATIENT CORRIDOR"),(K7="TOILET")),(E7*0.5),E7)</calculatedColumnFormula>
    </tableColumn>
    <tableColumn id="13" xr3:uid="{9407B204-8E03-4498-BEE0-3E05952C0289}" name="FUNCTION OR SPACE" dataDxfId="353" totalsRowDxfId="352"/>
    <tableColumn id="14" xr3:uid="{FA54CB06-931D-43A8-B96F-0CBA46308F44}" name="PRESSURE RELATIONSHIP TO ADJACENT AREAS" dataDxfId="351" totalsRowDxfId="350">
      <calculatedColumnFormula>VLOOKUP($K7,'UMC Table 4-A'!$A$2:$E$132,2,FALSE)</calculatedColumnFormula>
    </tableColumn>
    <tableColumn id="15" xr3:uid="{15A74791-FF44-4F36-9B6F-046690A0794D}" name="MIN OUTDOOR ACH_x000a_(AC/HR)" dataDxfId="349" totalsRowDxfId="348">
      <calculatedColumnFormula>VLOOKUP($K7,'UMC Table 4-A'!$A$2:$E$132,3,FALSE)</calculatedColumnFormula>
    </tableColumn>
    <tableColumn id="16" xr3:uid="{87103CC9-4D45-4E78-BF34-B058CC675F73}" name="MIN OUTDOOR ACH _x000a_(CFM)" totalsRowFunction="sum" dataDxfId="347" totalsRowDxfId="346">
      <calculatedColumnFormula>IF(M7&lt;&gt;"NR",ROUNDUP((E7*F7*M7)/60,-1),0)</calculatedColumnFormula>
    </tableColumn>
    <tableColumn id="7" xr3:uid="{1422055C-7D3C-4AC4-BA02-F92D824538A1}" name="MIN TOTAL ACH (AC/HR)" dataDxfId="345" totalsRowDxfId="344">
      <calculatedColumnFormula>VLOOKUP($K7,'UMC Table 4-A'!$A$2:$E$132,4,FALSE)</calculatedColumnFormula>
    </tableColumn>
    <tableColumn id="11" xr3:uid="{503D0C83-9936-4893-B3CE-323297186610}" name="MIN TOTAL ACH _x000a_(CFM)" dataDxfId="343" totalsRowDxfId="342">
      <calculatedColumnFormula>IF(O7&lt;&gt;"NR",ROUNDUP((E7*F7*O7)/60,-1),0)</calculatedColumnFormula>
    </tableColumn>
    <tableColumn id="17" xr3:uid="{3F5F975F-3AF5-49AF-804D-E68DEB3CA6DE}" name="100% EA_x000a_ (YES/NR)" dataDxfId="341" totalsRowDxfId="340">
      <calculatedColumnFormula>VLOOKUP($K7,'UMC Table 4-A'!$A$2:$E$132,5,FALSE)</calculatedColumnFormula>
    </tableColumn>
    <tableColumn id="9" xr3:uid="{28CE80D3-3D31-43C8-8472-BB2E79C01D35}" name="MIN EA _x000a_(CFM)" dataDxfId="339" totalsRowDxfId="338">
      <calculatedColumnFormula>IF(G7="Yes",P7,"-")</calculatedColumnFormula>
    </tableColumn>
    <tableColumn id="18" xr3:uid="{EC1A34C4-186B-4F5D-BBBF-F944DABAE0DE}" name="CALCULATED SA _x000a_(CFM)" totalsRowFunction="sum" dataDxfId="337" totalsRowDxfId="336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35" totalsRowDxfId="334">
      <calculatedColumnFormula>S7</calculatedColumnFormula>
    </tableColumn>
    <tableColumn id="20" xr3:uid="{3EA21BB5-0F64-4AE1-85D8-9CF36F64F169}" name="DESIGN RA_x000a_(CFM)" totalsRowFunction="sum" dataDxfId="333" totalsRowDxfId="332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31" totalsRowDxfId="330">
      <calculatedColumnFormula>IF(Q7="Yes",R7,0)</calculatedColumnFormula>
    </tableColumn>
    <tableColumn id="22" xr3:uid="{670B1646-1347-4231-BEAC-EACE1B9AB3F0}" name="Transfer Air CFM" totalsRowFunction="sum" dataDxfId="329" totalsRowDxfId="328">
      <calculatedColumnFormula>T7-U7-V7</calculatedColumnFormula>
    </tableColumn>
    <tableColumn id="24" xr3:uid="{48A894A3-2372-4DA8-BDE4-ECEEDE3D0EF6}" name="CFM/SF" dataDxfId="327" totalsRowDxfId="326">
      <calculatedColumnFormula>IFERROR(S7/E7,"-")</calculatedColumnFormula>
    </tableColumn>
    <tableColumn id="25" xr3:uid="{9BC6F763-35E7-482F-8273-B0601EC26A45}" name="OSA PERCENT" dataDxfId="325" totalsRowDxfId="324"/>
    <tableColumn id="26" xr3:uid="{E4CF811E-B4F1-4772-93DA-71987AA79E17}" name="ACH/hr" dataDxfId="323" totalsRowDxfId="322"/>
    <tableColumn id="23" xr3:uid="{2AF622FD-992A-4DDD-B9A9-B3EFD3519585}" name="Balance?" dataDxfId="321" totalsRowDxfId="320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19" dataDxfId="317" totalsRowDxfId="315" headerRowBorderDxfId="318" tableBorderDxfId="316" totalsRowBorderDxfId="314">
  <autoFilter ref="AD6:AT44" xr:uid="{2A2B6BA6-0EAB-2349-A085-FD569408EC9D}"/>
  <tableColumns count="17">
    <tableColumn id="1" xr3:uid="{57BE8BDC-A4D3-4989-BC7B-7D4035BFFB37}" name="ZONE" totalsRowLabel="Total" dataDxfId="313" totalsRowDxfId="312"/>
    <tableColumn id="2" xr3:uid="{BC752A02-1DF4-4483-B512-23CC7F568DD8}" name="BASIS OF DESIGN _x000a_MANUFACTURER" dataDxfId="311" totalsRowDxfId="310"/>
    <tableColumn id="3" xr3:uid="{242E7275-C722-4C29-9346-0DF293287756}" name="DESCRIPTION" dataDxfId="309" totalsRowDxfId="308"/>
    <tableColumn id="4" xr3:uid="{22EB9722-D35D-46A4-B4D9-BDCCDDE1D567}" name="CFM" dataDxfId="307" totalsRowDxfId="306">
      <calculatedColumnFormula>SUMIF($B$7:$B$17,AD7,$T$7:$T$17)</calculatedColumnFormula>
    </tableColumn>
    <tableColumn id="5" xr3:uid="{51309487-29A6-4A90-9ACE-1C65D844B978}" name="CAV INLET SIZE" dataDxfId="305" totalsRowDxfId="304">
      <calculatedColumnFormula>IFERROR((VLOOKUP(AG7,'DO NOT TOUCH'!$B$9:$C$14,2,TRUE)),"TBD")</calculatedColumnFormula>
    </tableColumn>
    <tableColumn id="6" xr3:uid="{215C2515-E562-4D91-AA5F-B9EF101C10B1}" name="MAX TOTAL CAV PD _x000a_(IN W.G.)" dataDxfId="303" totalsRowDxfId="302">
      <calculatedColumnFormula>AI6</calculatedColumnFormula>
    </tableColumn>
    <tableColumn id="7" xr3:uid="{44ABD785-5FF4-4BDF-8DA8-ABCB4A3BD858}" name="EWT" dataDxfId="301" totalsRowDxfId="300">
      <calculatedColumnFormula>INPUT_OUTPUTS!$C$16</calculatedColumnFormula>
    </tableColumn>
    <tableColumn id="8" xr3:uid="{D7A38AF8-CCEA-4611-B868-D92E45DFB31D}" name="DESIGN _x000a_LWT" dataDxfId="299" totalsRowDxfId="298">
      <calculatedColumnFormula>INPUT_OUTPUTS!$C$17</calculatedColumnFormula>
    </tableColumn>
    <tableColumn id="9" xr3:uid="{74E9A83C-F72E-4681-B2A6-32313CCD9052}" name="EAT" dataDxfId="297" totalsRowDxfId="296">
      <calculatedColumnFormula>AL6</calculatedColumnFormula>
    </tableColumn>
    <tableColumn id="10" xr3:uid="{8B982646-83B7-4FAB-B9B2-3DE24C1C5929}" name="DESIGN _x000a_LAT" dataDxfId="295" totalsRowDxfId="294">
      <calculatedColumnFormula>AM6</calculatedColumnFormula>
    </tableColumn>
    <tableColumn id="11" xr3:uid="{272BE2CC-D55E-4E27-A9CD-23F7D3C69C7E}" name="MIN MBH" totalsRowFunction="sum" dataDxfId="293" totalsRowDxfId="292">
      <calculatedColumnFormula>MROUND((1.08*(AM7-AL7)*AG7)/1000,0.1)</calculatedColumnFormula>
    </tableColumn>
    <tableColumn id="12" xr3:uid="{7397E695-5680-41E5-BD4B-54E06DBC3660}" name="AGPM" dataDxfId="291" totalsRowDxfId="290">
      <calculatedColumnFormula>(AN7*1000)/(500*(AJ7-AK7))</calculatedColumnFormula>
    </tableColumn>
    <tableColumn id="13" xr3:uid="{414C9995-C808-4163-A7C0-6FBE3CE786D5}" name="GPM" totalsRowFunction="sum" dataDxfId="289" totalsRowDxfId="288">
      <calculatedColumnFormula>IF(AO7&lt;0.5,0.5,AO7)</calculatedColumnFormula>
    </tableColumn>
    <tableColumn id="14" xr3:uid="{FA76CB50-9C92-48CB-9847-CD2C20E3C0EA}" name="MAX WATER _x000a_PD (FT)" dataDxfId="287" totalsRowDxfId="286">
      <calculatedColumnFormula>AQ6</calculatedColumnFormula>
    </tableColumn>
    <tableColumn id="15" xr3:uid="{754EB634-20EB-4627-9050-4DA3F237AC8C}" name="OPER _x000a_WEIGHT_x000a_(LBS)" dataDxfId="285" totalsRowDxfId="284">
      <calculatedColumnFormula>IFERROR((_xlfn.XLOOKUP(AH7,'DO NOT TOUCH'!$C$9:$C$14,'DO NOT TOUCH'!$D$9:$D$14,)),"TBD")</calculatedColumnFormula>
    </tableColumn>
    <tableColumn id="16" xr3:uid="{97D93DD7-F48C-4EE7-8FD7-BFAA5497DDA8}" name="MTG _x000a_DETAIL" dataDxfId="283" totalsRowDxfId="282">
      <calculatedColumnFormula>INPUT_OUTPUTS!$C$19</calculatedColumnFormula>
    </tableColumn>
    <tableColumn id="17" xr3:uid="{E363493A-6B19-483A-BFC0-A10768DD7DBD}" name="REMARKS" dataDxfId="281" totalsRowDxfId="280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79" dataDxfId="277" headerRowBorderDxfId="278" tableBorderDxfId="276">
  <autoFilter ref="A11:BB12" xr:uid="{E6D9D33A-2DE5-364A-B78C-5DD7A614D29B}"/>
  <tableColumns count="54">
    <tableColumn id="1" xr3:uid="{75084425-A44B-8E45-87AE-08AECD33E09D}" name="TAG" totalsRowLabel="Total" dataDxfId="275" totalsRowDxfId="274"/>
    <tableColumn id="2" xr3:uid="{C741F4EF-D022-3147-B8E2-8A68ED8EF0CC}" name="(CFM)" totalsRowFunction="sum" dataDxfId="273" totalsRowDxfId="272">
      <calculatedColumnFormula>SUM(#REF!)*INPUT_OUTPUTS!$C$18</calculatedColumnFormula>
    </tableColumn>
    <tableColumn id="4" xr3:uid="{8F33E354-148B-E049-A9AB-2FEBF1D2ABCF}" name="(CFM)2" dataDxfId="271" totalsRowDxfId="270">
      <calculatedColumnFormula>SUM(#REF!)*INPUT_OUTPUTS!$C$18</calculatedColumnFormula>
    </tableColumn>
    <tableColumn id="6" xr3:uid="{44289BD7-7B7A-5040-A9C3-A81E708605BA}" name="(˚F db)" dataDxfId="269" totalsRowDxfId="268"/>
    <tableColumn id="7" xr3:uid="{A118C93B-9473-8340-A213-7536CC01FA69}" name="(˚F wb)" dataDxfId="267" totalsRowDxfId="266"/>
    <tableColumn id="8" xr3:uid="{BA4E1C0D-A98F-C94F-B5DE-2C36AC9D0BA3}" name="(CFM)3" dataDxfId="265" totalsRowDxfId="264">
      <calculatedColumnFormula>SUM(#REF!)*INPUT_OUTPUTS!$C$18</calculatedColumnFormula>
    </tableColumn>
    <tableColumn id="9" xr3:uid="{8E2A683D-7B4C-954E-A75A-56B4A8A15F0B}" name="(˚F db)4" dataDxfId="263" totalsRowDxfId="262">
      <calculatedColumnFormula>INPUT_OUTPUTS!$C$8</calculatedColumnFormula>
    </tableColumn>
    <tableColumn id="10" xr3:uid="{D83D5AD6-51F5-5E4B-BE3C-C238ECC50CFF}" name="(˚F wb)5" dataDxfId="261" totalsRowDxfId="260">
      <calculatedColumnFormula>INPUT_OUTPUTS!$C$9</calculatedColumnFormula>
    </tableColumn>
    <tableColumn id="11" xr3:uid="{58DDBF84-EFFA-734F-B069-FD929AE8505B}" name="(CFM)6" dataDxfId="259" totalsRowDxfId="258">
      <calculatedColumnFormula>Table7[[#This Row],[(CFM)3]]</calculatedColumnFormula>
    </tableColumn>
    <tableColumn id="12" xr3:uid="{7D7925B1-33E7-A84F-AAEC-67A01BBE986C}" name="(˚F db)7" dataDxfId="257" totalsRowDxfId="256">
      <calculatedColumnFormula>INPUT_OUTPUTS!$C$10</calculatedColumnFormula>
    </tableColumn>
    <tableColumn id="13" xr3:uid="{9E21E0BF-E9C5-C54C-9B8C-005C0935E109}" name="(˚F wb)8" dataDxfId="255" totalsRowDxfId="254">
      <calculatedColumnFormula>INPUT_OUTPUTS!$C$11</calculatedColumnFormula>
    </tableColumn>
    <tableColumn id="14" xr3:uid="{AC23D981-3B01-5147-97B6-3252A7FC953B}" name="(˚F db)9" dataDxfId="253" totalsRowDxfId="252">
      <calculatedColumnFormula>INPUT_OUTPUTS!$F$8</calculatedColumnFormula>
    </tableColumn>
    <tableColumn id="15" xr3:uid="{DB54E7DD-3A47-6447-A89B-94C85E52BE7D}" name="(CFM)10" dataDxfId="251" totalsRowDxfId="250">
      <calculatedColumnFormula>C12+F12-B12</calculatedColumnFormula>
    </tableColumn>
    <tableColumn id="16" xr3:uid="{4FEC2D7C-9758-744F-A9BF-FBA46547E062}" name="(˚F db)11" dataDxfId="249" totalsRowDxfId="248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47" totalsRowDxfId="246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45" totalsRowDxfId="244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43" totalsRowDxfId="242"/>
    <tableColumn id="20" xr3:uid="{069031AB-30B0-304F-BA24-44B4C6E6101C}" name="(˚F wb)14" dataDxfId="241" totalsRowDxfId="240"/>
    <tableColumn id="21" xr3:uid="{1EA24A2B-BE77-6945-9098-6C4501A9902F}" name="(h)15" dataDxfId="239" totalsRowDxfId="238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37" totalsRowDxfId="236">
      <calculatedColumnFormula>B12*1.085*(N12-Q12)</calculatedColumnFormula>
    </tableColumn>
    <tableColumn id="23" xr3:uid="{02C21CA2-732A-8C4C-93ED-640017544BD3}" name="(Btu/hr)16" dataDxfId="235" totalsRowDxfId="234">
      <calculatedColumnFormula>4.5*B12*(P12-S12)</calculatedColumnFormula>
    </tableColumn>
    <tableColumn id="24" xr3:uid="{80183150-6317-2C46-B9FB-5600693E1D79}" name="(Tons)" dataDxfId="233" totalsRowDxfId="232">
      <calculatedColumnFormula>IF(U12&lt;T12,"INVALID POINT",U12/12000)</calculatedColumnFormula>
    </tableColumn>
    <tableColumn id="25" xr3:uid="{8AF1DEDF-1446-A54C-A718-1F4A80DCED1F}" name="(˚F db)17" dataDxfId="231" totalsRowDxfId="230">
      <calculatedColumnFormula>INPUT_OUTPUTS!$C$14</calculatedColumnFormula>
    </tableColumn>
    <tableColumn id="26" xr3:uid="{30713AF6-10A7-A640-9A81-7C9C656F28C6}" name="(˚F db)18" dataDxfId="229" totalsRowDxfId="228">
      <calculatedColumnFormula>INPUT_OUTPUTS!$C$15</calculatedColumnFormula>
    </tableColumn>
    <tableColumn id="27" xr3:uid="{07E9B9A3-68BD-0040-B64A-445B4F7DB78B}" name="GPM" totalsRowFunction="sum" dataDxfId="227" totalsRowDxfId="226">
      <calculatedColumnFormula>U12/(500*(X12-W12))</calculatedColumnFormula>
    </tableColumn>
    <tableColumn id="28" xr3:uid="{63A1C04A-F0C1-344B-9C91-CDCBB09CC808}" name="(˚F db)19" dataDxfId="225" totalsRowDxfId="224">
      <calculatedColumnFormula>D12*((C12-M12)/B12) + J12*(F12/B12)</calculatedColumnFormula>
    </tableColumn>
    <tableColumn id="29" xr3:uid="{6B8C516D-DE70-BF40-8E5C-0B23062187E5}" name="(˚F wb)20" dataDxfId="223" totalsRowDxfId="222">
      <calculatedColumnFormula>TRUNC(E12*((C12-M12)/B12) + K12*(F12/B12),1)</calculatedColumnFormula>
    </tableColumn>
    <tableColumn id="30" xr3:uid="{045EE11E-9647-ED4C-9652-8752BBE74982}" name="(h)21" dataDxfId="221" totalsRowDxfId="220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219" totalsRowDxfId="218">
      <calculatedColumnFormula>Table7[[#This Row],[(˚F db)13]]</calculatedColumnFormula>
    </tableColumn>
    <tableColumn id="32" xr3:uid="{5E7C32E8-28E9-554C-93A3-4ED479273F5C}" name="(˚F wb)23" dataDxfId="217" totalsRowDxfId="216">
      <calculatedColumnFormula>Table7[[#This Row],[(˚F wb)14]]</calculatedColumnFormula>
    </tableColumn>
    <tableColumn id="33" xr3:uid="{7EB81F19-A30A-5844-B465-95995C2169F1}" name="(h)24" dataDxfId="215" totalsRowDxfId="214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213" totalsRowDxfId="212">
      <calculatedColumnFormula>B12*1.085*(Z12-AC12)</calculatedColumnFormula>
    </tableColumn>
    <tableColumn id="38" xr3:uid="{3C9101C2-66E5-5844-8571-55FD8B0FA8E4}" name="(Btu/hr)29" dataDxfId="211" totalsRowDxfId="210">
      <calculatedColumnFormula>4.5*B12*(AB12-AE12)</calculatedColumnFormula>
    </tableColumn>
    <tableColumn id="39" xr3:uid="{611DF507-C49C-8E40-9B22-204394B4D484}" name="(Tons)30" dataDxfId="209" totalsRowDxfId="208">
      <calculatedColumnFormula>IF(AG12&lt;AF12,"INVALID POINT",AG12/12000)</calculatedColumnFormula>
    </tableColumn>
    <tableColumn id="40" xr3:uid="{8D69DAB9-C665-1C40-8BEE-2F67013BDA9E}" name="(˚F db)31" dataDxfId="207" totalsRowDxfId="206">
      <calculatedColumnFormula>INPUT_OUTPUTS!$C$14</calculatedColumnFormula>
    </tableColumn>
    <tableColumn id="41" xr3:uid="{2C7A8B9E-09E2-C245-8AD4-9B511603B988}" name="(˚F db)32" dataDxfId="205" totalsRowDxfId="204">
      <calculatedColumnFormula>INPUT_OUTPUTS!$C$15</calculatedColumnFormula>
    </tableColumn>
    <tableColumn id="42" xr3:uid="{97B72D8E-BA89-4E4A-B5D1-F02C61433D68}" name="GPM33" totalsRowFunction="sum" dataDxfId="203" totalsRowDxfId="202">
      <calculatedColumnFormula>AG12/(500*(AJ12-AI12))</calculatedColumnFormula>
    </tableColumn>
    <tableColumn id="43" xr3:uid="{EE7A438B-ECC2-DF4B-9129-EA55728EFC2E}" name="(Tons)34" totalsRowFunction="sum" dataDxfId="201" totalsRowDxfId="200">
      <calculatedColumnFormula>MAX(AH12,V12)</calculatedColumnFormula>
    </tableColumn>
    <tableColumn id="44" xr3:uid="{B68CC7E9-570D-A84E-8670-D3C2DEA54479}" name="(CFM)35" dataDxfId="199" totalsRowDxfId="198">
      <calculatedColumnFormula>B12/AH12</calculatedColumnFormula>
    </tableColumn>
    <tableColumn id="59" xr3:uid="{2F2BA6E3-EE55-BA45-94DB-4A9361068B22}" name="GPM MAX" totalsRowFunction="sum" dataDxfId="197" totalsRowDxfId="196">
      <calculatedColumnFormula>MAX(Table7[[#This Row],[GPM33]],Table7[[#This Row],[GPM]])</calculatedColumnFormula>
    </tableColumn>
    <tableColumn id="45" xr3:uid="{033D6B36-8B19-EB4B-A1E7-E7585C21489B}" name="(CFM)36" dataDxfId="195" totalsRowDxfId="194">
      <calculatedColumnFormula>IF(Table7[[#This Row],[(˚F db)9]]&lt;35,B12,"NOT NEEDED")</calculatedColumnFormula>
    </tableColumn>
    <tableColumn id="46" xr3:uid="{940C5796-789D-5B4A-9FCD-445173CBE38B}" name="(˚F db)37" dataDxfId="193" totalsRowDxfId="192">
      <calculatedColumnFormula>IF(Table7[[#This Row],[(˚F db)9]]&lt;35,Table7[[#This Row],[(˚F db)9]],"NOT NEEDED")</calculatedColumnFormula>
    </tableColumn>
    <tableColumn id="47" xr3:uid="{33252E21-E95C-E84B-AA5C-160823174238}" name="(˚F db)38" dataDxfId="191" totalsRowDxfId="190">
      <calculatedColumnFormula>IF(Table7[[#This Row],[(˚F db)9]]&lt;35,38,"NOT NEEDED")</calculatedColumnFormula>
    </tableColumn>
    <tableColumn id="48" xr3:uid="{F5FF0CC7-9CD6-DC4B-9AC8-6CF9532FE75F}" name="(MBH)" totalsRowFunction="sum" dataDxfId="189" totalsRowDxfId="188">
      <calculatedColumnFormula>IF(Table7[[#This Row],[(˚F db)9]]&lt;35,AO12*1.085*(AQ12-AP12)/1000,"NOT NEEDED")</calculatedColumnFormula>
    </tableColumn>
    <tableColumn id="49" xr3:uid="{41191CD7-30B2-EE4D-850D-B2169746F6D6}" name="(˚F db)39" dataDxfId="187" totalsRowDxfId="186">
      <calculatedColumnFormula>IF(Table7[[#This Row],[(˚F db)9]]&lt;35,INPUT_OUTPUTS!$C$16,"NOT NEEDED")</calculatedColumnFormula>
    </tableColumn>
    <tableColumn id="50" xr3:uid="{4D3CE10E-9198-0E44-849F-6C7B4A36B8CE}" name="(˚F db)40" dataDxfId="185" totalsRowDxfId="184">
      <calculatedColumnFormula>IF(Table7[[#This Row],[(˚F db)9]]&lt;35,INPUT_OUTPUTS!$C$17,"NOT NEEDED")</calculatedColumnFormula>
    </tableColumn>
    <tableColumn id="51" xr3:uid="{01E8F924-565C-4D42-9E39-E87365245FFA}" name="GPM41" totalsRowFunction="sum" dataDxfId="183" totalsRowDxfId="182">
      <calculatedColumnFormula>IF(Table7[[#This Row],[(˚F db)9]]&lt;35,(AR12*1000)/(500*(AS12-AT12)),"NOT NEEDED")</calculatedColumnFormula>
    </tableColumn>
    <tableColumn id="34" xr3:uid="{7FA025E3-2A8E-4918-AE49-513BEFF26646}" name="CFM" dataDxfId="181" totalsRowDxfId="180"/>
    <tableColumn id="54" xr3:uid="{D0D7EAE6-3EA2-E244-8B8D-01899554629D}" name="(˚F db)43" dataDxfId="179" totalsRowDxfId="178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77" totalsRowDxfId="176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75" totalsRowDxfId="174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73" totalsRowDxfId="172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71" totalsRowDxfId="170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69" totalsRowDxfId="168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D014DA-4A1C-4253-B1EF-A924BD70C8C1}" name="AHU1_CAV_SCHEDULE4411141822" displayName="AHU1_CAV_SCHEDULE4411141822" ref="A1:Q2" totalsRowShown="0" headerRowDxfId="167" dataDxfId="165" totalsRowDxfId="163" headerRowBorderDxfId="166" tableBorderDxfId="164" totalsRowBorderDxfId="162">
  <autoFilter ref="A1:Q2" xr:uid="{77D014DA-4A1C-4253-B1EF-A924BD70C8C1}"/>
  <tableColumns count="17">
    <tableColumn id="1" xr3:uid="{AAE2BE05-8010-42B1-BF05-FE14DBBEC081}" name="ZONE" dataDxfId="161" totalsRowDxfId="160"/>
    <tableColumn id="2" xr3:uid="{6CB993D9-D202-4780-A607-CA5E080EE4BC}" name="BASIS OF DESIGN _x000a_MANUFACTURER" dataDxfId="159" totalsRowDxfId="158"/>
    <tableColumn id="3" xr3:uid="{4C66DB48-BFF4-48D3-B47D-72D6DA14AAAE}" name="DESCRIPTION" dataDxfId="157" totalsRowDxfId="156"/>
    <tableColumn id="4" xr3:uid="{3A21EE65-0D97-495D-A5C5-09A4D9E4F997}" name="CFM" dataDxfId="155" totalsRowDxfId="154">
      <calculatedColumnFormula>SUMIF(#REF!,A2,$AM$7:$AM$17)</calculatedColumnFormula>
    </tableColumn>
    <tableColumn id="5" xr3:uid="{BAF21375-D89B-4143-8D3D-3D81E2C904DE}" name="CAV INLET SIZE" dataDxfId="153" totalsRowDxfId="152">
      <calculatedColumnFormula>IFERROR((VLOOKUP(D2,'DO NOT TOUCH'!$B$9:$C$14,2,TRUE)),"TBD")</calculatedColumnFormula>
    </tableColumn>
    <tableColumn id="6" xr3:uid="{318CA928-F365-4A33-9472-5B8B0BAFF667}" name="MAX TOTAL CAV PD _x000a_(IN W.G.)" dataDxfId="151" totalsRowDxfId="150">
      <calculatedColumnFormula>F1</calculatedColumnFormula>
    </tableColumn>
    <tableColumn id="7" xr3:uid="{089F9BB7-04D0-4DDD-8F62-4C3315B9E379}" name="EWT" dataDxfId="149" totalsRowDxfId="148">
      <calculatedColumnFormula>INPUT_OUTPUTS!$C$16</calculatedColumnFormula>
    </tableColumn>
    <tableColumn id="8" xr3:uid="{402CCA92-6A57-4893-B0FC-83815178D58A}" name="DESIGN _x000a_LWT" dataDxfId="147" totalsRowDxfId="146">
      <calculatedColumnFormula>INPUT_OUTPUTS!$C$17</calculatedColumnFormula>
    </tableColumn>
    <tableColumn id="9" xr3:uid="{911F45FA-6A1B-43F6-9577-C4EBF5FEB8E3}" name="EAT" dataDxfId="145" totalsRowDxfId="144">
      <calculatedColumnFormula>I1</calculatedColumnFormula>
    </tableColumn>
    <tableColumn id="10" xr3:uid="{C8687435-7AA3-4EA3-9D4C-8A0B351F6C9E}" name="DESIGN _x000a_LAT" dataDxfId="143" totalsRowDxfId="142">
      <calculatedColumnFormula>J1</calculatedColumnFormula>
    </tableColumn>
    <tableColumn id="11" xr3:uid="{E8CECC54-655B-4613-84A3-5569F21263BC}" name="MIN MBH" dataDxfId="141" totalsRowDxfId="140">
      <calculatedColumnFormula>MROUND((1.08*(J2-I2)*D2)/1000,0.1)</calculatedColumnFormula>
    </tableColumn>
    <tableColumn id="12" xr3:uid="{79E6FB83-EB95-441F-B54D-44FC87508A7C}" name="AGPM" dataDxfId="139" totalsRowDxfId="138">
      <calculatedColumnFormula>(K2*1000)/(500*(G2-H2))</calculatedColumnFormula>
    </tableColumn>
    <tableColumn id="13" xr3:uid="{A0F794E1-D64D-4644-BC58-90864D772DDA}" name="GPM" dataDxfId="137" totalsRowDxfId="136">
      <calculatedColumnFormula>IF(L2&lt;0.5,0.5,L2)</calculatedColumnFormula>
    </tableColumn>
    <tableColumn id="14" xr3:uid="{653D2AE5-044E-46AA-9790-ACB60E787FE2}" name="MAX WATER _x000a_PD (FT)" dataDxfId="135" totalsRowDxfId="134">
      <calculatedColumnFormula>N1</calculatedColumnFormula>
    </tableColumn>
    <tableColumn id="15" xr3:uid="{D6FE5232-FD8C-4C4F-A159-38418FC2D936}" name="OPER _x000a_WEIGHT_x000a_(LBS)" dataDxfId="133" totalsRowDxfId="132">
      <calculatedColumnFormula>IFERROR((_xlfn.XLOOKUP(E2,'DO NOT TOUCH'!$C$9:$C$14,'DO NOT TOUCH'!$D$9:$D$14,)),"TBD")</calculatedColumnFormula>
    </tableColumn>
    <tableColumn id="16" xr3:uid="{8CEE11C4-2CE9-4FE4-A7FA-91A6FDD8BD9E}" name="MTG _x000a_DETAIL" dataDxfId="131" totalsRowDxfId="130">
      <calculatedColumnFormula>INPUT_OUTPUTS!$C$19</calculatedColumnFormula>
    </tableColumn>
    <tableColumn id="17" xr3:uid="{A4DD5373-48C2-409C-A5E9-F043F09071C4}" name="REMARKS" dataDxfId="129" totalsRowDxfId="128">
      <calculatedColumnFormula>Q1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27" dataDxfId="126" totalsRowDxfId="124" tableBorderDxfId="125">
  <autoFilter ref="A2:Z5" xr:uid="{59B85608-0CD2-47F2-870C-191ADDE0C2B8}"/>
  <tableColumns count="26">
    <tableColumn id="1" xr3:uid="{AACF3619-1A60-4FCF-BCFF-F336ADCF73B8}" name="Zone" totalsRowLabel="TOTAL" dataDxfId="123" totalsRowDxfId="122"/>
    <tableColumn id="3" xr3:uid="{80B2F9E7-1259-4673-96AB-0F4F83EB3D46}" name="Room Number" dataDxfId="121" totalsRowDxfId="120"/>
    <tableColumn id="4" xr3:uid="{0BD09193-37D6-4F7C-BCAE-45CFF2C8A151}" name="Room" totalsRowFunction="count" dataDxfId="119" totalsRowDxfId="118"/>
    <tableColumn id="6" xr3:uid="{E95CEC16-C2FC-4214-A0EB-7A08FDEAF0F9}" name="AREA _x000a_(FT²)" totalsRowFunction="sum" dataDxfId="117" totalsRowDxfId="116"/>
    <tableColumn id="18" xr3:uid="{6DA2FAE7-17CA-4FE0-8359-8C4FF34595A6}" name="Exhaust Units" dataDxfId="115" totalsRowDxfId="114"/>
    <tableColumn id="7" xr3:uid="{583FAE05-9F7D-48E5-BEF5-13CEE070C1D5}" name="OFFICE STANDARD _x000a_(CFM)" dataDxfId="113" totalsRowDxfId="112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11" totalsRowDxfId="110"/>
    <tableColumn id="17" xr3:uid="{9950D068-2B64-41F9-A84D-F7BB46AA37B4}" name="Exhaust Category" dataDxfId="109" totalsRowDxfId="108"/>
    <tableColumn id="5" xr3:uid="{593AD6F9-FDB5-4388-9BB0-C939DB13E66D}" name="Occupancy Category" dataDxfId="107" totalsRowDxfId="106"/>
    <tableColumn id="10" xr3:uid="{7266144B-9C83-4090-884A-1BB5A987F5A7}" name="RP_x000a_(CFM/PER PERSON)" dataDxfId="105" totalsRowDxfId="104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03" totalsRowDxfId="102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01" totalsRowDxfId="100">
      <calculatedColumnFormula>VLOOKUP(Ahu_Ashrae_sheet[[#This Row],[Occupancy Category]],Ashrae90.1Vent[#All],4,FALSE)</calculatedColumnFormula>
    </tableColumn>
    <tableColumn id="12" xr3:uid="{B627EA84-4F12-4D9C-9B2E-8C8B23AA47EF}" name="Air Class" dataDxfId="99" totalsRowDxfId="98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97" totalsRowDxfId="96">
      <calculatedColumnFormula>CEILING((L3/1000)*D3,1)</calculatedColumnFormula>
    </tableColumn>
    <tableColumn id="14" xr3:uid="{F57C4FE9-D689-4840-BE7F-8AAC8AF32E90}" name="Vbz" dataDxfId="95" totalsRowDxfId="94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93" totalsRowDxfId="92"/>
    <tableColumn id="16" xr3:uid="{E815DDA4-80F1-4B30-89A0-831145D8A65F}" name="Voz" dataDxfId="91" totalsRowDxfId="90">
      <calculatedColumnFormula>O3/P3</calculatedColumnFormula>
    </tableColumn>
    <tableColumn id="21" xr3:uid="{3796FC97-1024-4F8D-AF4A-C1BCEDC0304A}" name="OUTSIDE AIRFLOW (CFM) (Vot)" totalsRowFunction="sum" dataDxfId="89" totalsRowDxfId="88">
      <calculatedColumnFormula>Ahu_Ashrae_sheet[[#This Row],[Voz]]</calculatedColumnFormula>
    </tableColumn>
    <tableColumn id="27" xr3:uid="{D6F07612-EAC0-4AD6-8EB3-909D232BF60F}" name="EA RATE_x000a_(CFM/UNIT)" dataDxfId="87" totalsRowDxfId="86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85" totalsRowDxfId="84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83" totalsRowDxfId="82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81" totalsRowDxfId="80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79" totalsRowDxfId="78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77" totalsRowDxfId="76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75" totalsRowDxfId="74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73" totalsRowDxfId="72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71" dataDxfId="70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69" dataCellStyle="Normal 2"/>
    <tableColumn id="3" xr3:uid="{9733D35C-867E-4C4B-8F2B-E086ECB58CD3}" name="RP" dataDxfId="68" dataCellStyle="Normal 2"/>
    <tableColumn id="4" xr3:uid="{8749CE45-D3E3-463B-A943-59B6B0450B44}" name="RA" dataDxfId="67" dataCellStyle="Normal 2"/>
    <tableColumn id="5" xr3:uid="{CD462116-5E1B-4F25-96C0-8DB927D62FAD}" name="OCCUPANT DENSITY" dataDxfId="66" dataCellStyle="Normal 2"/>
    <tableColumn id="6" xr3:uid="{17ED933E-614D-45F6-B2C6-C5FD970DCCC2}" name="AIR CLASS" dataDxfId="65" dataCellStyle="Normal 2"/>
    <tableColumn id="7" xr3:uid="{8990C0AF-57F2-4ABC-A0E1-FC88BC4B024A}" name="OS" dataDxfId="64" dataCellStyle="Normal 2"/>
    <tableColumn id="10" xr3:uid="{2064FBAE-870A-46AE-9F8C-5F5DF7BCEC22}" name="0.5?" dataDxfId="63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62" dataDxfId="61" dataCellStyle="Normal 2">
  <autoFilter ref="J1:N37" xr:uid="{FC3692C1-EB92-41FB-9444-5DAEF8591757}"/>
  <tableColumns count="5">
    <tableColumn id="7" xr3:uid="{CA4FE357-07FF-4EBE-B427-878AF4AE4EB8}" name="Occupancy Category" dataDxfId="60" dataCellStyle="Normal 2"/>
    <tableColumn id="3" xr3:uid="{FF109B0F-3E01-4002-A883-C4CDF4B3E8CA}" name="EXHAUST RATE PER UNIT" dataDxfId="59" dataCellStyle="Normal 2"/>
    <tableColumn id="4" xr3:uid="{9EBCCC92-92E9-4FE1-B17B-CA56536298A4}" name="EXHAUST RATE PER AREA" dataDxfId="58" dataCellStyle="Normal 2"/>
    <tableColumn id="5" xr3:uid="{0075CAEE-1CDF-4D4F-8B21-A29737198283}" name="NOTES" dataDxfId="57" dataCellStyle="Normal 2"/>
    <tableColumn id="6" xr3:uid="{73E3E663-31ED-4991-8F25-4C660DE5C8CC}" name="AIR CLASS " dataDxfId="56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55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54" tableBorderDxfId="53">
  <autoFilter ref="A1:J127" xr:uid="{4540C5B7-7ED8-1346-9688-BBD6F913E0FF}"/>
  <tableColumns count="10">
    <tableColumn id="1" xr3:uid="{7BF2CBE1-A9FA-634B-9D43-EBA146167592}" name="Area Designation" dataDxfId="52"/>
    <tableColumn id="2" xr3:uid="{1460B4E9-9118-944C-9857-493DDFFE200A}" name="Air Balance Rerationship to Adjacent Areas" dataDxfId="51"/>
    <tableColumn id="3" xr3:uid="{25BE9BDC-FBB0-7A47-894B-42F72D14066C}" name="Minimum Air Changes of Outdoor Air per Hour" dataDxfId="50"/>
    <tableColumn id="4" xr3:uid="{82F49D63-6B08-DA45-8A60-1FF0FD6AC5B9}" name="Minimum Total Air Changes per Hour" dataDxfId="49"/>
    <tableColumn id="5" xr3:uid="{4FDAD794-62F4-8F49-87E5-EA2422234CCC}" name="All Air Exhausted Directly To Outdoors_x000a_(j)" dataDxfId="48"/>
    <tableColumn id="6" xr3:uid="{B9C49FC8-C251-2342-AE20-E81B274FAA4A}" name="Air Recirculated by Means of Room Units (a)" dataDxfId="47"/>
    <tableColumn id="7" xr3:uid="{E57842AF-587D-1D42-B911-B576DF543C66}" name="Design Relative Humidity (k)%" dataDxfId="46"/>
    <tableColumn id="8" xr3:uid="{BE19DA4C-3671-2040-8AE0-8608C571F1B5}" name="MIN Design Temperature(l)" dataDxfId="45"/>
    <tableColumn id="10" xr3:uid="{40B13846-A1DF-B641-AA80-2CDFCA140F33}" name="MAX Design Temperature" dataDxfId="44"/>
    <tableColumn id="9" xr3:uid="{D8B11080-DB40-234A-BEF6-09CC488530B9}" name="Notes" dataDxfId="43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42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41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4" dT="2023-04-25T00:29:13.68" personId="{9818FCBF-2832-490A-8648-B86041484521}" id="{4E5A4463-7793-4AC4-A59E-2608060717A3}">
    <text>Number of showers / toilets / urinals</text>
  </threadedComment>
  <threadedComment ref="T4" dT="2023-04-25T00:26:28.36" personId="{9818FCBF-2832-490A-8648-B86041484521}" id="{6AA7AC04-FAAA-4D66-BDEA-A5CAE99FC69E}">
    <text>Pick Based on the zone efficiency table in ASHRAE 62.1</text>
  </threadedComment>
  <threadedComment ref="AF19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69305254-A26D-4B9F-9916-A920124F156D}">
    <text>Increase or decrease number of rows in this table to match the number of zones.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5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P6" sqref="P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20" t="s">
        <v>202</v>
      </c>
      <c r="D2" s="321"/>
      <c r="E2" s="33" t="s">
        <v>203</v>
      </c>
      <c r="F2" s="322"/>
      <c r="G2" s="321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23" t="s">
        <v>208</v>
      </c>
      <c r="C4" s="324"/>
      <c r="D4" s="324"/>
      <c r="E4" s="324"/>
      <c r="F4" s="324"/>
      <c r="G4" s="325"/>
      <c r="J4" s="326" t="s">
        <v>209</v>
      </c>
      <c r="K4" s="326"/>
      <c r="L4" s="326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27" t="s">
        <v>213</v>
      </c>
      <c r="C5" s="327"/>
      <c r="D5" s="327"/>
      <c r="E5" s="327"/>
      <c r="F5" s="327"/>
      <c r="G5" s="327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28" t="s">
        <v>218</v>
      </c>
      <c r="F6" s="329"/>
      <c r="G6" s="150">
        <v>0</v>
      </c>
      <c r="J6" s="317" t="s">
        <v>219</v>
      </c>
      <c r="K6" s="318"/>
      <c r="L6" s="319"/>
      <c r="S6" s="13"/>
      <c r="X6" s="13" t="s">
        <v>220</v>
      </c>
    </row>
    <row r="7" spans="2:25">
      <c r="B7" s="326" t="s">
        <v>221</v>
      </c>
      <c r="C7" s="326"/>
      <c r="D7" s="326"/>
      <c r="E7" s="326" t="s">
        <v>222</v>
      </c>
      <c r="F7" s="326"/>
      <c r="G7" s="326"/>
      <c r="J7" s="29" t="s">
        <v>223</v>
      </c>
      <c r="K7" s="30" t="e">
        <f>Table7[[#Totals],[(Tons)34]]</f>
        <v>#REF!</v>
      </c>
      <c r="L7" s="31" t="s">
        <v>224</v>
      </c>
      <c r="X7" s="13" t="s">
        <v>225</v>
      </c>
    </row>
    <row r="8" spans="2:25">
      <c r="B8" s="310" t="s">
        <v>226</v>
      </c>
      <c r="C8" s="150">
        <v>90</v>
      </c>
      <c r="D8" s="149" t="s">
        <v>227</v>
      </c>
      <c r="E8" s="310" t="s">
        <v>228</v>
      </c>
      <c r="F8" s="311">
        <v>60</v>
      </c>
      <c r="G8" s="310" t="s">
        <v>229</v>
      </c>
      <c r="J8" s="29" t="s">
        <v>230</v>
      </c>
      <c r="K8" s="30" t="e">
        <f>Table7[[#Totals],[GPM MAX]]</f>
        <v>#REF!</v>
      </c>
      <c r="L8" s="31" t="s">
        <v>231</v>
      </c>
      <c r="X8" s="13" t="s">
        <v>232</v>
      </c>
    </row>
    <row r="9" spans="2:25">
      <c r="B9" s="310"/>
      <c r="C9" s="150">
        <v>65</v>
      </c>
      <c r="D9" s="149" t="s">
        <v>233</v>
      </c>
      <c r="E9" s="310"/>
      <c r="F9" s="312"/>
      <c r="G9" s="310"/>
      <c r="J9" s="29" t="s">
        <v>234</v>
      </c>
      <c r="K9" s="30" t="e" cm="1">
        <f t="array" ref="K9">K8/Table1[number of CHW Pumps]</f>
        <v>#REF!</v>
      </c>
      <c r="L9" s="31" t="s">
        <v>231</v>
      </c>
      <c r="X9" s="13" t="s">
        <v>235</v>
      </c>
    </row>
    <row r="10" spans="2:25">
      <c r="B10" s="310" t="s">
        <v>236</v>
      </c>
      <c r="C10" s="151">
        <v>80</v>
      </c>
      <c r="D10" s="149" t="s">
        <v>229</v>
      </c>
      <c r="E10" s="310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10"/>
      <c r="C11" s="151">
        <v>75</v>
      </c>
      <c r="D11" s="149" t="s">
        <v>233</v>
      </c>
      <c r="E11" s="310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26" t="s">
        <v>242</v>
      </c>
      <c r="C13" s="326"/>
      <c r="D13" s="326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16" t="s">
        <v>252</v>
      </c>
      <c r="K20" s="316"/>
      <c r="L20" s="21"/>
    </row>
    <row r="21" spans="2:20">
      <c r="H21" s="21"/>
      <c r="I21" s="21"/>
      <c r="J21" s="21"/>
      <c r="K21" s="21"/>
      <c r="L21" s="21"/>
    </row>
    <row r="23" spans="2:20">
      <c r="B23" s="313" t="s">
        <v>253</v>
      </c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5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T23"/>
    <mergeCell ref="J20:K20"/>
    <mergeCell ref="J6:L6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Q20" sqref="AO20:AQ27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0">
        <v>0</v>
      </c>
      <c r="AA4" s="340"/>
      <c r="AB4" s="39"/>
    </row>
    <row r="5" spans="1:65">
      <c r="B5" s="341" t="s">
        <v>6</v>
      </c>
      <c r="C5" s="342"/>
      <c r="D5" s="342"/>
      <c r="E5" s="342"/>
      <c r="F5" s="342"/>
      <c r="G5" s="342"/>
      <c r="H5" s="343"/>
      <c r="I5" s="105"/>
      <c r="J5" s="121"/>
      <c r="K5" s="339" t="s">
        <v>7</v>
      </c>
      <c r="L5" s="339"/>
      <c r="M5" s="339"/>
      <c r="N5" s="339"/>
      <c r="O5" s="339"/>
      <c r="P5" s="339"/>
      <c r="Q5" s="339"/>
      <c r="R5" s="339"/>
      <c r="S5" s="339" t="s">
        <v>8</v>
      </c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4" t="s">
        <v>53</v>
      </c>
      <c r="AX6" s="344"/>
      <c r="AY6" s="344"/>
      <c r="AZ6" s="344"/>
      <c r="BA6" s="344"/>
      <c r="BB6" s="344"/>
      <c r="BC6" s="344"/>
      <c r="BD6" s="344"/>
      <c r="BE6" s="344"/>
      <c r="BF6" s="344"/>
      <c r="BG6" s="344"/>
      <c r="BH6" s="344"/>
      <c r="BI6" s="344"/>
      <c r="BJ6" s="344"/>
      <c r="BK6" s="344"/>
      <c r="BL6" s="344"/>
      <c r="BM6" s="344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IF(TABLE4A4398[[#This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40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7">
        <f ca="1">TABLE4A4398[[#This Row],[CALCULATED SA 
(CFM)]]</f>
        <v>250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IF(TABLE4A4398[[#This Row],[DESIGN SA (CFM)]]=0,0,(TABLE4A4398[[#This Row],[DESIGN OA (CFM)]]/TABLE4A4398[[#This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IF(TABLE4A4398[[#This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IF(TABLE4A4398[[#This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IF(TABLE4A4398[[#This Row],[FUNCTION OR SPACE]]="NOT PER TABLE 4A",VLOOKUP(TABLE4A4398[[#This Row],[OCCUPANCY CATEGORY]],Ashrae90.1Vent[#All],2,FALSE),"NA")</f>
        <v>NA</v>
      </c>
      <c r="W8" s="124" t="str">
        <f>IF(TABLE4A4398[[#This Row],[FUNCTION OR SPACE]]="NOT PER TABLE 4A", VLOOKUP(TABLE4A4398[[#This Row],[OCCUPANCY CATEGORY]],Ashrae90.1Vent[#All],3,FALSE),"NA")</f>
        <v>NA</v>
      </c>
      <c r="X8" s="124" t="str">
        <f>VLOOKUP(TABLE4A4398[[#This Row],[OCCUPANCY CATEGORY]],Ashrae90.1Vent[#All],4,FALSE)</f>
        <v>NA</v>
      </c>
      <c r="Y8" s="124" t="str">
        <f>IF(TABLE4A4398[[#This Row],[FUNCTION OR SPACE]]="NOT PER TABLE 4A",VLOOKUP(TABLE4A4398[[#This Row],[OCCUPANCY CATEGORY]],Ashrae90.1Vent[#All],5,FALSE),"NA")</f>
        <v>NA</v>
      </c>
      <c r="Z8" s="122" t="str">
        <f>IF(TABLE4A4398[[#This Row],[FUNCTION OR SPACE]]="NOT PER TABLE 4A",TABLE4A4398[[#This Row],[Occupants (Pz)]],"NA")</f>
        <v>NA</v>
      </c>
      <c r="AA8" s="124" t="str">
        <f>IF(TABLE4A4398[[#This Row],[FUNCTION OR SPACE]]="NOT PER TABLE 4A",CEILING((X8/1000)*E8,1),"NA")</f>
        <v>NA</v>
      </c>
      <c r="AB8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6" t="str">
        <f>IF(TABLE4A4398[[#This Row],[FUNCTION OR SPACE]]="NOT PER TABLE 4A",IF(TABLE4A4398[[#This Row],[DIVERSITY (D)]]&lt;0.6,(0.88*TABLE4A4398[[#This Row],[DIVERSITY (D)]]+0.22),0.75),"NA")</f>
        <v>NA</v>
      </c>
      <c r="AE8" s="125" t="str">
        <f>IF(TABLE4A4398[[#This Row],[FUNCTION OR SPACE]]="NOT PER TABLE 4A",TABLE4A4398[[#This Row],[Uncorrected OA (Vou)]]/TABLE4A4398[[#This Row],[System Efficiency (Ev)]],"NA")</f>
        <v>NA</v>
      </c>
      <c r="AF8" s="122" t="s">
        <v>57</v>
      </c>
      <c r="AG8" s="125" t="str">
        <f>VLOOKUP(TABLE4A4398[[#This Row],[OCCUPANCY CATEGORY]],Ashrae90.1Vent[#All],6,FALSE)</f>
        <v>NA</v>
      </c>
      <c r="AH8" s="125" t="str">
        <f>IF(TABLE4A4398[[#This Row],[Exhaust Category]]="NOT APPLICABLE","NA",VLOOKUP(TABLE4A4398[[#This Row],[Exhaust Category]],ASHRAE_EA_Table[#All],2,FALSE))</f>
        <v>NA</v>
      </c>
      <c r="AI8" s="125" t="str">
        <f>IF(TABLE4A4398[[#This Row],[Exhaust Category]]="NOT APPLICABLE","NA",VLOOKUP(TABLE4A4398[[#This Row],[Exhaust Category]],ASHRAE_EA_Table[#All],3,FALSE))</f>
        <v>NA</v>
      </c>
      <c r="AJ8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110">
        <f>MROUND(IF(TABLE4A4398[[#This Row],[FUNCTION OR SPACE]]="NOT PER TABLE 4A",TABLE4A4398[[#This Row],[OUTSIDE AIRFLOW (CFM) (Vot)]],TABLE4A4398[[#This Row],[MIN OUTDOOR ACH 
(CFM)]]),5)</f>
        <v>70</v>
      </c>
      <c r="AL8" s="119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7">
        <f ca="1">TABLE4A4398[[#This Row],[CALCULATED SA 
(CFM)]]</f>
        <v>200</v>
      </c>
      <c r="AN8" s="127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7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IF(TABLE4A4398[[#This Row],[DESIGN SA (CFM)]]=0,0,(TABLE4A4398[[#This Row],[DESIGN OA (CFM)]]/TABLE4A4398[[#This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6"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7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IF(TABLE4A4398[[#This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IF(TABLE4A4398[[#This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IF(TABLE4A4398[[#This Row],[FUNCTION OR SPACE]]="NOT PER TABLE 4A",VLOOKUP(TABLE4A4398[[#This Row],[OCCUPANCY CATEGORY]],Ashrae90.1Vent[#All],2,FALSE),"NA")</f>
        <v>NA</v>
      </c>
      <c r="W9" s="124" t="str">
        <f>IF(TABLE4A4398[[#This Row],[FUNCTION OR SPACE]]="NOT PER TABLE 4A", VLOOKUP(TABLE4A4398[[#This Row],[OCCUPANCY CATEGORY]],Ashrae90.1Vent[#All],3,FALSE),"NA")</f>
        <v>NA</v>
      </c>
      <c r="X9" s="124" t="str">
        <f>VLOOKUP(TABLE4A4398[[#This Row],[OCCUPANCY CATEGORY]],Ashrae90.1Vent[#All],4,FALSE)</f>
        <v>NA</v>
      </c>
      <c r="Y9" s="124" t="str">
        <f>IF(TABLE4A4398[[#This Row],[FUNCTION OR SPACE]]="NOT PER TABLE 4A",VLOOKUP(TABLE4A4398[[#This Row],[OCCUPANCY CATEGORY]],Ashrae90.1Vent[#All],5,FALSE),"NA")</f>
        <v>NA</v>
      </c>
      <c r="Z9" s="122" t="str">
        <f>IF(TABLE4A4398[[#This Row],[FUNCTION OR SPACE]]="NOT PER TABLE 4A",TABLE4A4398[[#This Row],[Occupants (Pz)]],"NA")</f>
        <v>NA</v>
      </c>
      <c r="AA9" s="124" t="str">
        <f>IF(TABLE4A4398[[#This Row],[FUNCTION OR SPACE]]="NOT PER TABLE 4A",CEILING((X9/1000)*E9,1),"NA")</f>
        <v>NA</v>
      </c>
      <c r="AB9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6" t="str">
        <f>IF(TABLE4A4398[[#This Row],[FUNCTION OR SPACE]]="NOT PER TABLE 4A",IF(TABLE4A4398[[#This Row],[DIVERSITY (D)]]&lt;0.6,(0.88*TABLE4A4398[[#This Row],[DIVERSITY (D)]]+0.22),0.75),"NA")</f>
        <v>NA</v>
      </c>
      <c r="AE9" s="125" t="str">
        <f>IF(TABLE4A4398[[#This Row],[FUNCTION OR SPACE]]="NOT PER TABLE 4A",TABLE4A4398[[#This Row],[Uncorrected OA (Vou)]]/TABLE4A4398[[#This Row],[System Efficiency (Ev)]],"NA")</f>
        <v>NA</v>
      </c>
      <c r="AF9" s="122" t="s">
        <v>57</v>
      </c>
      <c r="AG9" s="125" t="str">
        <f>VLOOKUP(TABLE4A4398[[#This Row],[OCCUPANCY CATEGORY]],Ashrae90.1Vent[#All],6,FALSE)</f>
        <v>NA</v>
      </c>
      <c r="AH9" s="125" t="str">
        <f>IF(TABLE4A4398[[#This Row],[Exhaust Category]]="NOT APPLICABLE","NA",VLOOKUP(TABLE4A4398[[#This Row],[Exhaust Category]],ASHRAE_EA_Table[#All],2,FALSE))</f>
        <v>NA</v>
      </c>
      <c r="AI9" s="125" t="str">
        <f>IF(TABLE4A4398[[#This Row],[Exhaust Category]]="NOT APPLICABLE","NA",VLOOKUP(TABLE4A4398[[#This Row],[Exhaust Category]],ASHRAE_EA_Table[#All],3,FALSE))</f>
        <v>NA</v>
      </c>
      <c r="AJ9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110">
        <f>MROUND(IF(TABLE4A4398[[#This Row],[FUNCTION OR SPACE]]="NOT PER TABLE 4A",TABLE4A4398[[#This Row],[OUTSIDE AIRFLOW (CFM) (Vot)]],TABLE4A4398[[#This Row],[MIN OUTDOOR ACH 
(CFM)]]),5)</f>
        <v>0</v>
      </c>
      <c r="AL9" s="119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9" s="127">
        <f ca="1">TABLE4A4398[[#This Row],[CALCULATED SA 
(CFM)]]</f>
        <v>600</v>
      </c>
      <c r="AN9" s="127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7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IF(TABLE4A4398[[#This Row],[DESIGN SA (CFM)]]=0,0,(TABLE4A4398[[#This Row],[DESIGN OA (CFM)]]/TABLE4A4398[[#This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6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7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IF(TABLE4A4398[[#This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IF(TABLE4A4398[[#This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IF(TABLE4A4398[[#This Row],[FUNCTION OR SPACE]]="NOT PER TABLE 4A",VLOOKUP(TABLE4A4398[[#This Row],[OCCUPANCY CATEGORY]],Ashrae90.1Vent[#All],2,FALSE),"NA")</f>
        <v>NA</v>
      </c>
      <c r="W10" s="124" t="str">
        <f>IF(TABLE4A4398[[#This Row],[FUNCTION OR SPACE]]="NOT PER TABLE 4A", VLOOKUP(TABLE4A4398[[#This Row],[OCCUPANCY CATEGORY]],Ashrae90.1Vent[#All],3,FALSE),"NA")</f>
        <v>NA</v>
      </c>
      <c r="X10" s="124" t="str">
        <f>VLOOKUP(TABLE4A4398[[#This Row],[OCCUPANCY CATEGORY]],Ashrae90.1Vent[#All],4,FALSE)</f>
        <v>NA</v>
      </c>
      <c r="Y10" s="124" t="str">
        <f>IF(TABLE4A4398[[#This Row],[FUNCTION OR SPACE]]="NOT PER TABLE 4A",VLOOKUP(TABLE4A4398[[#This Row],[OCCUPANCY CATEGORY]],Ashrae90.1Vent[#All],5,FALSE),"NA")</f>
        <v>NA</v>
      </c>
      <c r="Z10" s="122" t="str">
        <f>IF(TABLE4A4398[[#This Row],[FUNCTION OR SPACE]]="NOT PER TABLE 4A",TABLE4A4398[[#This Row],[Occupants (Pz)]],"NA")</f>
        <v>NA</v>
      </c>
      <c r="AA10" s="124" t="str">
        <f>IF(TABLE4A4398[[#This Row],[FUNCTION OR SPACE]]="NOT PER TABLE 4A",CEILING((X10/1000)*E10,1),"NA")</f>
        <v>NA</v>
      </c>
      <c r="AB10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6" t="str">
        <f>IF(TABLE4A4398[[#This Row],[FUNCTION OR SPACE]]="NOT PER TABLE 4A",IF(TABLE4A4398[[#This Row],[DIVERSITY (D)]]&lt;0.6,(0.88*TABLE4A4398[[#This Row],[DIVERSITY (D)]]+0.22),0.75),"NA")</f>
        <v>NA</v>
      </c>
      <c r="AE10" s="125" t="str">
        <f>IF(TABLE4A4398[[#This Row],[FUNCTION OR SPACE]]="NOT PER TABLE 4A",TABLE4A4398[[#This Row],[Uncorrected OA (Vou)]]/TABLE4A4398[[#This Row],[System Efficiency (Ev)]],"NA")</f>
        <v>NA</v>
      </c>
      <c r="AF10" s="122" t="s">
        <v>57</v>
      </c>
      <c r="AG10" s="125" t="str">
        <f>VLOOKUP(TABLE4A4398[[#This Row],[OCCUPANCY CATEGORY]],Ashrae90.1Vent[#All],6,FALSE)</f>
        <v>NA</v>
      </c>
      <c r="AH10" s="125" t="str">
        <f>IF(TABLE4A4398[[#This Row],[Exhaust Category]]="NOT APPLICABLE","NA",VLOOKUP(TABLE4A4398[[#This Row],[Exhaust Category]],ASHRAE_EA_Table[#All],2,FALSE))</f>
        <v>NA</v>
      </c>
      <c r="AI10" s="125" t="str">
        <f>IF(TABLE4A4398[[#This Row],[Exhaust Category]]="NOT APPLICABLE","NA",VLOOKUP(TABLE4A4398[[#This Row],[Exhaust Category]],ASHRAE_EA_Table[#All],3,FALSE))</f>
        <v>NA</v>
      </c>
      <c r="AJ10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110">
        <f>MROUND(IF(TABLE4A4398[[#This Row],[FUNCTION OR SPACE]]="NOT PER TABLE 4A",TABLE4A4398[[#This Row],[OUTSIDE AIRFLOW (CFM) (Vot)]],TABLE4A4398[[#This Row],[MIN OUTDOOR ACH 
(CFM)]]),5)</f>
        <v>10</v>
      </c>
      <c r="AL10" s="119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7">
        <f ca="1">TABLE4A4398[[#This Row],[CALCULATED SA 
(CFM)]]</f>
        <v>350</v>
      </c>
      <c r="AN10" s="127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7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IF(TABLE4A4398[[#This Row],[DESIGN SA (CFM)]]=0,0,(TABLE4A4398[[#This Row],[DESIGN OA (CFM)]]/TABLE4A4398[[#This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6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7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IF(TABLE4A4398[[#This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IF(TABLE4A4398[[#This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IF(TABLE4A4398[[#This Row],[FUNCTION OR SPACE]]="NOT PER TABLE 4A",VLOOKUP(TABLE4A4398[[#This Row],[OCCUPANCY CATEGORY]],Ashrae90.1Vent[#All],2,FALSE),"NA")</f>
        <v>NA</v>
      </c>
      <c r="W11" s="124" t="str">
        <f>IF(TABLE4A4398[[#This Row],[FUNCTION OR SPACE]]="NOT PER TABLE 4A", VLOOKUP(TABLE4A4398[[#This Row],[OCCUPANCY CATEGORY]],Ashrae90.1Vent[#All],3,FALSE),"NA")</f>
        <v>NA</v>
      </c>
      <c r="X11" s="124" t="str">
        <f>VLOOKUP(TABLE4A4398[[#This Row],[OCCUPANCY CATEGORY]],Ashrae90.1Vent[#All],4,FALSE)</f>
        <v>NA</v>
      </c>
      <c r="Y11" s="124" t="str">
        <f>IF(TABLE4A4398[[#This Row],[FUNCTION OR SPACE]]="NOT PER TABLE 4A",VLOOKUP(TABLE4A4398[[#This Row],[OCCUPANCY CATEGORY]],Ashrae90.1Vent[#All],5,FALSE),"NA")</f>
        <v>NA</v>
      </c>
      <c r="Z11" s="122" t="str">
        <f>IF(TABLE4A4398[[#This Row],[FUNCTION OR SPACE]]="NOT PER TABLE 4A",TABLE4A4398[[#This Row],[Occupants (Pz)]],"NA")</f>
        <v>NA</v>
      </c>
      <c r="AA11" s="124" t="str">
        <f>IF(TABLE4A4398[[#This Row],[FUNCTION OR SPACE]]="NOT PER TABLE 4A",CEILING((X11/1000)*E11,1),"NA")</f>
        <v>NA</v>
      </c>
      <c r="AB11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6" t="str">
        <f>IF(TABLE4A4398[[#This Row],[FUNCTION OR SPACE]]="NOT PER TABLE 4A",IF(TABLE4A4398[[#This Row],[DIVERSITY (D)]]&lt;0.6,(0.88*TABLE4A4398[[#This Row],[DIVERSITY (D)]]+0.22),0.75),"NA")</f>
        <v>NA</v>
      </c>
      <c r="AE11" s="125" t="str">
        <f>IF(TABLE4A4398[[#This Row],[FUNCTION OR SPACE]]="NOT PER TABLE 4A",TABLE4A4398[[#This Row],[Uncorrected OA (Vou)]]/TABLE4A4398[[#This Row],[System Efficiency (Ev)]],"NA")</f>
        <v>NA</v>
      </c>
      <c r="AF11" s="122" t="s">
        <v>57</v>
      </c>
      <c r="AG11" s="125" t="str">
        <f>VLOOKUP(TABLE4A4398[[#This Row],[OCCUPANCY CATEGORY]],Ashrae90.1Vent[#All],6,FALSE)</f>
        <v>NA</v>
      </c>
      <c r="AH11" s="125">
        <f>IF(TABLE4A4398[[#This Row],[Exhaust Category]]="NOT APPLICABLE","NA",VLOOKUP(TABLE4A4398[[#This Row],[Exhaust Category]],ASHRAE_EA_Table[#All],2,FALSE))</f>
        <v>50</v>
      </c>
      <c r="AI11" s="125">
        <f>IF(TABLE4A4398[[#This Row],[Exhaust Category]]="NOT APPLICABLE","NA",VLOOKUP(TABLE4A4398[[#This Row],[Exhaust Category]],ASHRAE_EA_Table[#All],3,FALSE))</f>
        <v>0</v>
      </c>
      <c r="AJ11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50</v>
      </c>
      <c r="AK11" s="110">
        <f>MROUND(IF(TABLE4A4398[[#This Row],[FUNCTION OR SPACE]]="NOT PER TABLE 4A",TABLE4A4398[[#This Row],[OUTSIDE AIRFLOW (CFM) (Vot)]],TABLE4A4398[[#This Row],[MIN OUTDOOR ACH 
(CFM)]]),5)</f>
        <v>20</v>
      </c>
      <c r="AL11" s="119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7">
        <f ca="1">TABLE4A4398[[#This Row],[CALCULATED SA 
(CFM)]]</f>
        <v>600</v>
      </c>
      <c r="AN11" s="127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7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IF(TABLE4A4398[[#This Row],[DESIGN SA (CFM)]]=0,0,(TABLE4A4398[[#This Row],[DESIGN OA (CFM)]]/TABLE4A4398[[#This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6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7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IF(TABLE4A4398[[#This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IF(TABLE4A4398[[#This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IF(TABLE4A4398[[#This Row],[FUNCTION OR SPACE]]="NOT PER TABLE 4A",VLOOKUP(TABLE4A4398[[#This Row],[OCCUPANCY CATEGORY]],Ashrae90.1Vent[#All],2,FALSE),"NA")</f>
        <v>NA</v>
      </c>
      <c r="W12" s="124" t="str">
        <f>IF(TABLE4A4398[[#This Row],[FUNCTION OR SPACE]]="NOT PER TABLE 4A", VLOOKUP(TABLE4A4398[[#This Row],[OCCUPANCY CATEGORY]],Ashrae90.1Vent[#All],3,FALSE),"NA")</f>
        <v>NA</v>
      </c>
      <c r="X12" s="124" t="str">
        <f>VLOOKUP(TABLE4A4398[[#This Row],[OCCUPANCY CATEGORY]],Ashrae90.1Vent[#All],4,FALSE)</f>
        <v>NA</v>
      </c>
      <c r="Y12" s="124" t="str">
        <f>IF(TABLE4A4398[[#This Row],[FUNCTION OR SPACE]]="NOT PER TABLE 4A",VLOOKUP(TABLE4A4398[[#This Row],[OCCUPANCY CATEGORY]],Ashrae90.1Vent[#All],5,FALSE),"NA")</f>
        <v>NA</v>
      </c>
      <c r="Z12" s="122" t="str">
        <f>IF(TABLE4A4398[[#This Row],[FUNCTION OR SPACE]]="NOT PER TABLE 4A",TABLE4A4398[[#This Row],[Occupants (Pz)]],"NA")</f>
        <v>NA</v>
      </c>
      <c r="AA12" s="124" t="str">
        <f>IF(TABLE4A4398[[#This Row],[FUNCTION OR SPACE]]="NOT PER TABLE 4A",CEILING((X12/1000)*E12,1),"NA")</f>
        <v>NA</v>
      </c>
      <c r="AB12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6" t="str">
        <f>IF(TABLE4A4398[[#This Row],[FUNCTION OR SPACE]]="NOT PER TABLE 4A",IF(TABLE4A4398[[#This Row],[DIVERSITY (D)]]&lt;0.6,(0.88*TABLE4A4398[[#This Row],[DIVERSITY (D)]]+0.22),0.75),"NA")</f>
        <v>NA</v>
      </c>
      <c r="AE12" s="125" t="str">
        <f>IF(TABLE4A4398[[#This Row],[FUNCTION OR SPACE]]="NOT PER TABLE 4A",TABLE4A4398[[#This Row],[Uncorrected OA (Vou)]]/TABLE4A4398[[#This Row],[System Efficiency (Ev)]],"NA")</f>
        <v>NA</v>
      </c>
      <c r="AF12" s="122" t="s">
        <v>57</v>
      </c>
      <c r="AG12" s="125" t="str">
        <f>VLOOKUP(TABLE4A4398[[#This Row],[OCCUPANCY CATEGORY]],Ashrae90.1Vent[#All],6,FALSE)</f>
        <v>NA</v>
      </c>
      <c r="AH12" s="125" t="str">
        <f>IF(TABLE4A4398[[#This Row],[Exhaust Category]]="NOT APPLICABLE","NA",VLOOKUP(TABLE4A4398[[#This Row],[Exhaust Category]],ASHRAE_EA_Table[#All],2,FALSE))</f>
        <v>NA</v>
      </c>
      <c r="AI12" s="125" t="str">
        <f>IF(TABLE4A4398[[#This Row],[Exhaust Category]]="NOT APPLICABLE","NA",VLOOKUP(TABLE4A4398[[#This Row],[Exhaust Category]],ASHRAE_EA_Table[#All],3,FALSE))</f>
        <v>NA</v>
      </c>
      <c r="AJ12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110">
        <f>MROUND(IF(TABLE4A4398[[#This Row],[FUNCTION OR SPACE]]="NOT PER TABLE 4A",TABLE4A4398[[#This Row],[OUTSIDE AIRFLOW (CFM) (Vot)]],TABLE4A4398[[#This Row],[MIN OUTDOOR ACH 
(CFM)]]),5)</f>
        <v>80</v>
      </c>
      <c r="AL12" s="119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7">
        <f ca="1">TABLE4A4398[[#This Row],[CALCULATED SA 
(CFM)]]</f>
        <v>210</v>
      </c>
      <c r="AN12" s="127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7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IF(TABLE4A4398[[#This Row],[DESIGN SA (CFM)]]=0,0,(TABLE4A4398[[#This Row],[DESIGN OA (CFM)]]/TABLE4A4398[[#This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6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7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IF(TABLE4A4398[[#This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IF(TABLE4A4398[[#This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IF(TABLE4A4398[[#This Row],[FUNCTION OR SPACE]]="NOT PER TABLE 4A",VLOOKUP(TABLE4A4398[[#This Row],[OCCUPANCY CATEGORY]],Ashrae90.1Vent[#All],2,FALSE),"NA")</f>
        <v>NA</v>
      </c>
      <c r="W13" s="124" t="str">
        <f>IF(TABLE4A4398[[#This Row],[FUNCTION OR SPACE]]="NOT PER TABLE 4A", VLOOKUP(TABLE4A4398[[#This Row],[OCCUPANCY CATEGORY]],Ashrae90.1Vent[#All],3,FALSE),"NA")</f>
        <v>NA</v>
      </c>
      <c r="X13" s="124" t="str">
        <f>VLOOKUP(TABLE4A4398[[#This Row],[OCCUPANCY CATEGORY]],Ashrae90.1Vent[#All],4,FALSE)</f>
        <v>NA</v>
      </c>
      <c r="Y13" s="124" t="str">
        <f>IF(TABLE4A4398[[#This Row],[FUNCTION OR SPACE]]="NOT PER TABLE 4A",VLOOKUP(TABLE4A4398[[#This Row],[OCCUPANCY CATEGORY]],Ashrae90.1Vent[#All],5,FALSE),"NA")</f>
        <v>NA</v>
      </c>
      <c r="Z13" s="122" t="str">
        <f>IF(TABLE4A4398[[#This Row],[FUNCTION OR SPACE]]="NOT PER TABLE 4A",TABLE4A4398[[#This Row],[Occupants (Pz)]],"NA")</f>
        <v>NA</v>
      </c>
      <c r="AA13" s="124" t="str">
        <f>IF(TABLE4A4398[[#This Row],[FUNCTION OR SPACE]]="NOT PER TABLE 4A",CEILING((X13/1000)*E13,1),"NA")</f>
        <v>NA</v>
      </c>
      <c r="AB13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6" t="str">
        <f>IF(TABLE4A4398[[#This Row],[FUNCTION OR SPACE]]="NOT PER TABLE 4A",IF(TABLE4A4398[[#This Row],[DIVERSITY (D)]]&lt;0.6,(0.88*TABLE4A4398[[#This Row],[DIVERSITY (D)]]+0.22),0.75),"NA")</f>
        <v>NA</v>
      </c>
      <c r="AE13" s="125" t="str">
        <f>IF(TABLE4A4398[[#This Row],[FUNCTION OR SPACE]]="NOT PER TABLE 4A",TABLE4A4398[[#This Row],[Uncorrected OA (Vou)]]/TABLE4A4398[[#This Row],[System Efficiency (Ev)]],"NA")</f>
        <v>NA</v>
      </c>
      <c r="AF13" s="122" t="s">
        <v>57</v>
      </c>
      <c r="AG13" s="125" t="str">
        <f>VLOOKUP(TABLE4A4398[[#This Row],[OCCUPANCY CATEGORY]],Ashrae90.1Vent[#All],6,FALSE)</f>
        <v>NA</v>
      </c>
      <c r="AH13" s="125" t="str">
        <f>IF(TABLE4A4398[[#This Row],[Exhaust Category]]="NOT APPLICABLE","NA",VLOOKUP(TABLE4A4398[[#This Row],[Exhaust Category]],ASHRAE_EA_Table[#All],2,FALSE))</f>
        <v>NA</v>
      </c>
      <c r="AI13" s="125" t="str">
        <f>IF(TABLE4A4398[[#This Row],[Exhaust Category]]="NOT APPLICABLE","NA",VLOOKUP(TABLE4A4398[[#This Row],[Exhaust Category]],ASHRAE_EA_Table[#All],3,FALSE))</f>
        <v>NA</v>
      </c>
      <c r="AJ13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3" s="110">
        <f>MROUND(IF(TABLE4A4398[[#This Row],[FUNCTION OR SPACE]]="NOT PER TABLE 4A",TABLE4A4398[[#This Row],[OUTSIDE AIRFLOW (CFM) (Vot)]],TABLE4A4398[[#This Row],[MIN OUTDOOR ACH 
(CFM)]]),5)</f>
        <v>20</v>
      </c>
      <c r="AL13" s="119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7">
        <f ca="1">TABLE4A4398[[#This Row],[CALCULATED SA 
(CFM)]]</f>
        <v>50</v>
      </c>
      <c r="AN13" s="127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7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IF(TABLE4A4398[[#This Row],[DESIGN SA (CFM)]]=0,0,(TABLE4A4398[[#This Row],[DESIGN OA (CFM)]]/TABLE4A4398[[#This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6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7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IF(TABLE4A4398[[#This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IF(TABLE4A4398[[#This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IF(TABLE4A4398[[#This Row],[FUNCTION OR SPACE]]="NOT PER TABLE 4A",VLOOKUP(TABLE4A4398[[#This Row],[OCCUPANCY CATEGORY]],Ashrae90.1Vent[#All],2,FALSE),"NA")</f>
        <v>NA</v>
      </c>
      <c r="W14" s="124" t="str">
        <f>IF(TABLE4A4398[[#This Row],[FUNCTION OR SPACE]]="NOT PER TABLE 4A", VLOOKUP(TABLE4A4398[[#This Row],[OCCUPANCY CATEGORY]],Ashrae90.1Vent[#All],3,FALSE),"NA")</f>
        <v>NA</v>
      </c>
      <c r="X14" s="124" t="str">
        <f>VLOOKUP(TABLE4A4398[[#This Row],[OCCUPANCY CATEGORY]],Ashrae90.1Vent[#All],4,FALSE)</f>
        <v>NA</v>
      </c>
      <c r="Y14" s="124" t="str">
        <f>IF(TABLE4A4398[[#This Row],[FUNCTION OR SPACE]]="NOT PER TABLE 4A",VLOOKUP(TABLE4A4398[[#This Row],[OCCUPANCY CATEGORY]],Ashrae90.1Vent[#All],5,FALSE),"NA")</f>
        <v>NA</v>
      </c>
      <c r="Z14" s="122" t="str">
        <f>IF(TABLE4A4398[[#This Row],[FUNCTION OR SPACE]]="NOT PER TABLE 4A",TABLE4A4398[[#This Row],[Occupants (Pz)]],"NA")</f>
        <v>NA</v>
      </c>
      <c r="AA14" s="124" t="str">
        <f>IF(TABLE4A4398[[#This Row],[FUNCTION OR SPACE]]="NOT PER TABLE 4A",CEILING((X14/1000)*E14,1),"NA")</f>
        <v>NA</v>
      </c>
      <c r="AB14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6" t="str">
        <f>IF(TABLE4A4398[[#This Row],[FUNCTION OR SPACE]]="NOT PER TABLE 4A",IF(TABLE4A4398[[#This Row],[DIVERSITY (D)]]&lt;0.6,(0.88*TABLE4A4398[[#This Row],[DIVERSITY (D)]]+0.22),0.75),"NA")</f>
        <v>NA</v>
      </c>
      <c r="AE14" s="125" t="str">
        <f>IF(TABLE4A4398[[#This Row],[FUNCTION OR SPACE]]="NOT PER TABLE 4A",TABLE4A4398[[#This Row],[Uncorrected OA (Vou)]]/TABLE4A4398[[#This Row],[System Efficiency (Ev)]],"NA")</f>
        <v>NA</v>
      </c>
      <c r="AF14" s="122" t="s">
        <v>57</v>
      </c>
      <c r="AG14" s="125" t="str">
        <f>VLOOKUP(TABLE4A4398[[#This Row],[OCCUPANCY CATEGORY]],Ashrae90.1Vent[#All],6,FALSE)</f>
        <v>NA</v>
      </c>
      <c r="AH14" s="125" t="str">
        <f>IF(TABLE4A4398[[#This Row],[Exhaust Category]]="NOT APPLICABLE","NA",VLOOKUP(TABLE4A4398[[#This Row],[Exhaust Category]],ASHRAE_EA_Table[#All],2,FALSE))</f>
        <v>NA</v>
      </c>
      <c r="AI14" s="125" t="str">
        <f>IF(TABLE4A4398[[#This Row],[Exhaust Category]]="NOT APPLICABLE","NA",VLOOKUP(TABLE4A4398[[#This Row],[Exhaust Category]],ASHRAE_EA_Table[#All],3,FALSE))</f>
        <v>NA</v>
      </c>
      <c r="AJ14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4" s="110">
        <f>MROUND(IF(TABLE4A4398[[#This Row],[FUNCTION OR SPACE]]="NOT PER TABLE 4A",TABLE4A4398[[#This Row],[OUTSIDE AIRFLOW (CFM) (Vot)]],TABLE4A4398[[#This Row],[MIN OUTDOOR ACH 
(CFM)]]),5)</f>
        <v>40</v>
      </c>
      <c r="AL14" s="119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7">
        <f ca="1">TABLE4A4398[[#This Row],[CALCULATED SA 
(CFM)]]</f>
        <v>110</v>
      </c>
      <c r="AN14" s="127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7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IF(TABLE4A4398[[#This Row],[DESIGN SA (CFM)]]=0,0,(TABLE4A4398[[#This Row],[DESIGN OA (CFM)]]/TABLE4A4398[[#This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6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7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IF(TABLE4A4398[[#This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IF(TABLE4A4398[[#This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IF(TABLE4A4398[[#This Row],[FUNCTION OR SPACE]]="NOT PER TABLE 4A",VLOOKUP(TABLE4A4398[[#This Row],[OCCUPANCY CATEGORY]],Ashrae90.1Vent[#All],2,FALSE),"NA")</f>
        <v>NA</v>
      </c>
      <c r="W15" s="124" t="str">
        <f>IF(TABLE4A4398[[#This Row],[FUNCTION OR SPACE]]="NOT PER TABLE 4A", VLOOKUP(TABLE4A4398[[#This Row],[OCCUPANCY CATEGORY]],Ashrae90.1Vent[#All],3,FALSE),"NA")</f>
        <v>NA</v>
      </c>
      <c r="X15" s="124" t="str">
        <f>VLOOKUP(TABLE4A4398[[#This Row],[OCCUPANCY CATEGORY]],Ashrae90.1Vent[#All],4,FALSE)</f>
        <v>NA</v>
      </c>
      <c r="Y15" s="124" t="str">
        <f>IF(TABLE4A4398[[#This Row],[FUNCTION OR SPACE]]="NOT PER TABLE 4A",VLOOKUP(TABLE4A4398[[#This Row],[OCCUPANCY CATEGORY]],Ashrae90.1Vent[#All],5,FALSE),"NA")</f>
        <v>NA</v>
      </c>
      <c r="Z15" s="122" t="str">
        <f>IF(TABLE4A4398[[#This Row],[FUNCTION OR SPACE]]="NOT PER TABLE 4A",TABLE4A4398[[#This Row],[Occupants (Pz)]],"NA")</f>
        <v>NA</v>
      </c>
      <c r="AA15" s="124" t="str">
        <f>IF(TABLE4A4398[[#This Row],[FUNCTION OR SPACE]]="NOT PER TABLE 4A",CEILING((X15/1000)*E15,1),"NA")</f>
        <v>NA</v>
      </c>
      <c r="AB15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6" t="str">
        <f>IF(TABLE4A4398[[#This Row],[FUNCTION OR SPACE]]="NOT PER TABLE 4A",IF(TABLE4A4398[[#This Row],[DIVERSITY (D)]]&lt;0.6,(0.88*TABLE4A4398[[#This Row],[DIVERSITY (D)]]+0.22),0.75),"NA")</f>
        <v>NA</v>
      </c>
      <c r="AE15" s="125" t="str">
        <f>IF(TABLE4A4398[[#This Row],[FUNCTION OR SPACE]]="NOT PER TABLE 4A",TABLE4A4398[[#This Row],[Uncorrected OA (Vou)]]/TABLE4A4398[[#This Row],[System Efficiency (Ev)]],"NA")</f>
        <v>NA</v>
      </c>
      <c r="AF15" s="122" t="s">
        <v>57</v>
      </c>
      <c r="AG15" s="125" t="str">
        <f>VLOOKUP(TABLE4A4398[[#This Row],[OCCUPANCY CATEGORY]],Ashrae90.1Vent[#All],6,FALSE)</f>
        <v>NA</v>
      </c>
      <c r="AH15" s="125" t="str">
        <f>IF(TABLE4A4398[[#This Row],[Exhaust Category]]="NOT APPLICABLE","NA",VLOOKUP(TABLE4A4398[[#This Row],[Exhaust Category]],ASHRAE_EA_Table[#All],2,FALSE))</f>
        <v>NA</v>
      </c>
      <c r="AI15" s="125" t="str">
        <f>IF(TABLE4A4398[[#This Row],[Exhaust Category]]="NOT APPLICABLE","NA",VLOOKUP(TABLE4A4398[[#This Row],[Exhaust Category]],ASHRAE_EA_Table[#All],3,FALSE))</f>
        <v>NA</v>
      </c>
      <c r="AJ15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5" s="110">
        <f>MROUND(IF(TABLE4A4398[[#This Row],[FUNCTION OR SPACE]]="NOT PER TABLE 4A",TABLE4A4398[[#This Row],[OUTSIDE AIRFLOW (CFM) (Vot)]],TABLE4A4398[[#This Row],[MIN OUTDOOR ACH 
(CFM)]]),5)</f>
        <v>90</v>
      </c>
      <c r="AL15" s="119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7">
        <f ca="1">TABLE4A4398[[#This Row],[CALCULATED SA 
(CFM)]]</f>
        <v>255</v>
      </c>
      <c r="AN15" s="127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7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IF(TABLE4A4398[[#This Row],[DESIGN SA (CFM)]]=0,0,(TABLE4A4398[[#This Row],[DESIGN OA (CFM)]]/TABLE4A4398[[#This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6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7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IF(TABLE4A4398[[#This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IF(TABLE4A4398[[#This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IF(TABLE4A4398[[#This Row],[FUNCTION OR SPACE]]="NOT PER TABLE 4A",VLOOKUP(TABLE4A4398[[#This Row],[OCCUPANCY CATEGORY]],Ashrae90.1Vent[#All],2,FALSE),"NA")</f>
        <v>5</v>
      </c>
      <c r="W16" s="124">
        <f>IF(TABLE4A4398[[#This Row],[FUNCTION OR SPACE]]="NOT PER TABLE 4A", VLOOKUP(TABLE4A4398[[#This Row],[OCCUPANCY CATEGORY]],Ashrae90.1Vent[#All],3,FALSE),"NA")</f>
        <v>0.06</v>
      </c>
      <c r="X16" s="124">
        <f>VLOOKUP(TABLE4A4398[[#This Row],[OCCUPANCY CATEGORY]],Ashrae90.1Vent[#All],4,FALSE)</f>
        <v>50</v>
      </c>
      <c r="Y16" s="124">
        <f>IF(TABLE4A4398[[#This Row],[FUNCTION OR SPACE]]="NOT PER TABLE 4A",VLOOKUP(TABLE4A4398[[#This Row],[OCCUPANCY CATEGORY]],Ashrae90.1Vent[#All],5,FALSE),"NA")</f>
        <v>1</v>
      </c>
      <c r="Z16" s="122">
        <f>IF(TABLE4A4398[[#This Row],[FUNCTION OR SPACE]]="NOT PER TABLE 4A",TABLE4A4398[[#This Row],[Occupants (Pz)]],"NA")</f>
        <v>118</v>
      </c>
      <c r="AA16" s="124">
        <f>IF(TABLE4A4398[[#This Row],[FUNCTION OR SPACE]]="NOT PER TABLE 4A",CEILING((X16/1000)*E16,1),"NA")</f>
        <v>118</v>
      </c>
      <c r="AB16" s="124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5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6">
        <f>IF(TABLE4A4398[[#This Row],[FUNCTION OR SPACE]]="NOT PER TABLE 4A",IF(TABLE4A4398[[#This Row],[DIVERSITY (D)]]&lt;0.6,(0.88*TABLE4A4398[[#This Row],[DIVERSITY (D)]]+0.22),0.75),"NA")</f>
        <v>0.75</v>
      </c>
      <c r="AE16" s="125">
        <f>IF(TABLE4A4398[[#This Row],[FUNCTION OR SPACE]]="NOT PER TABLE 4A",TABLE4A4398[[#This Row],[Uncorrected OA (Vou)]]/TABLE4A4398[[#This Row],[System Efficiency (Ev)]],"NA")</f>
        <v>974.42666666666662</v>
      </c>
      <c r="AF16" s="122" t="s">
        <v>57</v>
      </c>
      <c r="AG16" s="125" t="str">
        <f>VLOOKUP(TABLE4A4398[[#This Row],[OCCUPANCY CATEGORY]],Ashrae90.1Vent[#All],6,FALSE)</f>
        <v>YES</v>
      </c>
      <c r="AH16" s="125" t="str">
        <f>IF(TABLE4A4398[[#This Row],[Exhaust Category]]="NOT APPLICABLE","NA",VLOOKUP(TABLE4A4398[[#This Row],[Exhaust Category]],ASHRAE_EA_Table[#All],2,FALSE))</f>
        <v>NA</v>
      </c>
      <c r="AI16" s="125" t="str">
        <f>IF(TABLE4A4398[[#This Row],[Exhaust Category]]="NOT APPLICABLE","NA",VLOOKUP(TABLE4A4398[[#This Row],[Exhaust Category]],ASHRAE_EA_Table[#All],3,FALSE))</f>
        <v>NA</v>
      </c>
      <c r="AJ16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6" s="110">
        <f>MROUND(IF(TABLE4A4398[[#This Row],[FUNCTION OR SPACE]]="NOT PER TABLE 4A",TABLE4A4398[[#This Row],[OUTSIDE AIRFLOW (CFM) (Vot)]],TABLE4A4398[[#This Row],[MIN OUTDOOR ACH 
(CFM)]]),5)</f>
        <v>975</v>
      </c>
      <c r="AL16" s="119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7">
        <f ca="1">TABLE4A4398[[#This Row],[CALCULATED SA 
(CFM)]]</f>
        <v>2345</v>
      </c>
      <c r="AN16" s="127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7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IF(TABLE4A4398[[#This Row],[DESIGN SA (CFM)]]=0,0,(TABLE4A4398[[#This Row],[DESIGN OA (CFM)]]/TABLE4A4398[[#This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6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7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IF(TABLE4A4398[[#This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IF(TABLE4A4398[[#This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IF(TABLE4A4398[[#This Row],[FUNCTION OR SPACE]]="NOT PER TABLE 4A",VLOOKUP(TABLE4A4398[[#This Row],[OCCUPANCY CATEGORY]],Ashrae90.1Vent[#All],2,FALSE),"NA")</f>
        <v>NA</v>
      </c>
      <c r="W17" s="124" t="str">
        <f>IF(TABLE4A4398[[#This Row],[FUNCTION OR SPACE]]="NOT PER TABLE 4A", VLOOKUP(TABLE4A4398[[#This Row],[OCCUPANCY CATEGORY]],Ashrae90.1Vent[#All],3,FALSE),"NA")</f>
        <v>NA</v>
      </c>
      <c r="X17" s="124" t="str">
        <f>VLOOKUP(TABLE4A4398[[#This Row],[OCCUPANCY CATEGORY]],Ashrae90.1Vent[#All],4,FALSE)</f>
        <v>NA</v>
      </c>
      <c r="Y17" s="124" t="str">
        <f>IF(TABLE4A4398[[#This Row],[FUNCTION OR SPACE]]="NOT PER TABLE 4A",VLOOKUP(TABLE4A4398[[#This Row],[OCCUPANCY CATEGORY]],Ashrae90.1Vent[#All],5,FALSE),"NA")</f>
        <v>NA</v>
      </c>
      <c r="Z17" s="122" t="str">
        <f>IF(TABLE4A4398[[#This Row],[FUNCTION OR SPACE]]="NOT PER TABLE 4A",TABLE4A4398[[#This Row],[Occupants (Pz)]],"NA")</f>
        <v>NA</v>
      </c>
      <c r="AA17" s="124" t="str">
        <f>IF(TABLE4A4398[[#This Row],[FUNCTION OR SPACE]]="NOT PER TABLE 4A",CEILING((X17/1000)*E17,1),"NA")</f>
        <v>NA</v>
      </c>
      <c r="AB1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6" t="str">
        <f>IF(TABLE4A4398[[#This Row],[FUNCTION OR SPACE]]="NOT PER TABLE 4A",IF(TABLE4A4398[[#This Row],[DIVERSITY (D)]]&lt;0.6,(0.88*TABLE4A4398[[#This Row],[DIVERSITY (D)]]+0.22),0.75),"NA")</f>
        <v>NA</v>
      </c>
      <c r="AE17" s="125" t="str">
        <f>IF(TABLE4A4398[[#This Row],[FUNCTION OR SPACE]]="NOT PER TABLE 4A",TABLE4A4398[[#This Row],[Uncorrected OA (Vou)]]/TABLE4A4398[[#This Row],[System Efficiency (Ev)]],"NA")</f>
        <v>NA</v>
      </c>
      <c r="AF17" s="122" t="s">
        <v>57</v>
      </c>
      <c r="AG17" s="125" t="str">
        <f>VLOOKUP(TABLE4A4398[[#This Row],[OCCUPANCY CATEGORY]],Ashrae90.1Vent[#All],6,FALSE)</f>
        <v>NA</v>
      </c>
      <c r="AH17" s="125" t="str">
        <f>IF(TABLE4A4398[[#This Row],[Exhaust Category]]="NOT APPLICABLE","NA",VLOOKUP(TABLE4A4398[[#This Row],[Exhaust Category]],ASHRAE_EA_Table[#All],2,FALSE))</f>
        <v>NA</v>
      </c>
      <c r="AI17" s="125" t="str">
        <f>IF(TABLE4A4398[[#This Row],[Exhaust Category]]="NOT APPLICABLE","NA",VLOOKUP(TABLE4A4398[[#This Row],[Exhaust Category]],ASHRAE_EA_Table[#All],3,FALSE))</f>
        <v>NA</v>
      </c>
      <c r="AJ1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7" s="110">
        <f>MROUND(IF(TABLE4A4398[[#This Row],[FUNCTION OR SPACE]]="NOT PER TABLE 4A",TABLE4A4398[[#This Row],[OUTSIDE AIRFLOW (CFM) (Vot)]],TABLE4A4398[[#This Row],[MIN OUTDOOR ACH 
(CFM)]]),5)</f>
        <v>160</v>
      </c>
      <c r="AL17" s="119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7">
        <f ca="1">TABLE4A4398[[#This Row],[CALCULATED SA 
(CFM)]]</f>
        <v>455</v>
      </c>
      <c r="AN17" s="127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7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IF(TABLE4A4398[[#This Row],[DESIGN SA (CFM)]]=0,0,(TABLE4A4398[[#This Row],[DESIGN OA (CFM)]]/TABLE4A4398[[#This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6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7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SUBTOTAL(109,TABLE4A4398[AREA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SUBTOTAL(109,TABLE4A4398[MIN OUTDOOR ACH 
(CFM)])</f>
        <v>530</v>
      </c>
      <c r="O18" s="303"/>
      <c r="P18" s="303">
        <f>SUBTOTAL(109,TABLE4A4398[MIN TOTAL ACH 
(CFM)])</f>
        <v>1550</v>
      </c>
      <c r="Q18" s="303"/>
      <c r="R18" s="303">
        <f>SUBTOTAL(109,TABLE4A4398[MIN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SUBTOTAL(109,TABLE4A4398[Actual Number of  Occupants (Ps)])</f>
        <v>118</v>
      </c>
      <c r="AA18" s="303">
        <f>SUBTOTAL(109,TABLE4A4398[Occupants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SUBTOTAL(109,TABLE4A4398[DESIGN OA (CFM)])</f>
        <v>1505</v>
      </c>
      <c r="AL18" s="303">
        <f ca="1">SUBTOTAL(109,TABLE4A4398[CALCULATED SA 
(CFM)])</f>
        <v>5425</v>
      </c>
      <c r="AM18" s="303">
        <f ca="1">SUBTOTAL(109,TABLE4A4398[DESIGN SA (CFM)])</f>
        <v>5425</v>
      </c>
      <c r="AN18" s="306">
        <f ca="1">SUBTOTAL(109,TABLE4A4398[DESIGN RA (CFM)])</f>
        <v>3925</v>
      </c>
      <c r="AO18" s="303">
        <f ca="1">SUBTOTAL(109,TABLE4A4398[DESIGN EA (CFM)])</f>
        <v>500</v>
      </c>
      <c r="AP18" s="303">
        <f ca="1">SUBTOTAL(109,TABLE4A4398[Transfer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6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7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6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7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6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7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6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7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6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7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6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7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6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7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6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7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SUM(TABLE4A4398[DESIGN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6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7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6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7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6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7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6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7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6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7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6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7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6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7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6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7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6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7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6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7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6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7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6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7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6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7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6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7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6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7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6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7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6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7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6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7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6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7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6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7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49:65" ht="15" customHeight="1">
      <c r="AW47" s="330" t="s">
        <v>130</v>
      </c>
      <c r="AX47" s="331"/>
      <c r="AY47" s="331"/>
      <c r="AZ47" s="331"/>
      <c r="BA47" s="33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2"/>
    </row>
    <row r="48" spans="49:65" ht="15" customHeight="1">
      <c r="AW48" s="333"/>
      <c r="AX48" s="334"/>
      <c r="AY48" s="334"/>
      <c r="AZ48" s="334"/>
      <c r="BA48" s="334"/>
      <c r="BB48" s="334"/>
      <c r="BC48" s="334"/>
      <c r="BD48" s="334"/>
      <c r="BE48" s="334"/>
      <c r="BF48" s="334"/>
      <c r="BG48" s="334"/>
      <c r="BH48" s="334"/>
      <c r="BI48" s="334"/>
      <c r="BJ48" s="334"/>
      <c r="BK48" s="334"/>
      <c r="BL48" s="334"/>
      <c r="BM48" s="335"/>
    </row>
    <row r="49" spans="33:65" ht="15" customHeight="1">
      <c r="AW49" s="333"/>
      <c r="AX49" s="334"/>
      <c r="AY49" s="334"/>
      <c r="AZ49" s="334"/>
      <c r="BA49" s="334"/>
      <c r="BB49" s="334"/>
      <c r="BC49" s="334"/>
      <c r="BD49" s="334"/>
      <c r="BE49" s="334"/>
      <c r="BF49" s="334"/>
      <c r="BG49" s="334"/>
      <c r="BH49" s="334"/>
      <c r="BI49" s="334"/>
      <c r="BJ49" s="334"/>
      <c r="BK49" s="334"/>
      <c r="BL49" s="334"/>
      <c r="BM49" s="335"/>
    </row>
    <row r="50" spans="33:65" ht="15" customHeight="1">
      <c r="AW50" s="336"/>
      <c r="AX50" s="337"/>
      <c r="AY50" s="337"/>
      <c r="AZ50" s="337"/>
      <c r="BA50" s="337"/>
      <c r="BB50" s="337"/>
      <c r="BC50" s="337"/>
      <c r="BD50" s="337"/>
      <c r="BE50" s="337"/>
      <c r="BF50" s="337"/>
      <c r="BG50" s="337"/>
      <c r="BH50" s="337"/>
      <c r="BI50" s="337"/>
      <c r="BJ50" s="337"/>
      <c r="BK50" s="337"/>
      <c r="BL50" s="337"/>
      <c r="BM50" s="338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6" priority="2" operator="greaterThan">
      <formula>$Y$4</formula>
    </cfRule>
  </conditionalFormatting>
  <conditionalFormatting sqref="AP7:AQ7">
    <cfRule type="cellIs" dxfId="5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AX58"/>
  <sheetViews>
    <sheetView tabSelected="1" zoomScaleNormal="100" workbookViewId="0">
      <pane xSplit="3" ySplit="4" topLeftCell="L5" activePane="bottomRight" state="frozen"/>
      <selection pane="topRight" activeCell="D1" sqref="D1"/>
      <selection pane="bottomLeft" activeCell="A3" sqref="A3"/>
      <selection pane="bottomRight" activeCell="P17" sqref="P17"/>
    </sheetView>
  </sheetViews>
  <sheetFormatPr defaultRowHeight="12.75"/>
  <cols>
    <col min="1" max="1" width="21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28.7109375" bestFit="1" customWidth="1"/>
    <col min="15" max="15" width="21.8554687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34">
      <c r="N1" s="366" t="s">
        <v>789</v>
      </c>
      <c r="O1" s="365">
        <v>15</v>
      </c>
    </row>
    <row r="3" spans="1:34">
      <c r="A3" s="345" t="s">
        <v>131</v>
      </c>
      <c r="B3" s="346"/>
      <c r="C3" s="346"/>
      <c r="D3" s="346"/>
      <c r="E3" s="346"/>
      <c r="F3" s="346"/>
      <c r="G3" s="346"/>
      <c r="H3" s="347" t="s">
        <v>132</v>
      </c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  <c r="U3" s="348"/>
      <c r="V3" s="348"/>
      <c r="W3" s="348"/>
      <c r="X3" s="348"/>
      <c r="Y3" s="348"/>
      <c r="Z3" s="348"/>
      <c r="AA3" s="348"/>
      <c r="AB3" s="348"/>
      <c r="AC3" s="348"/>
    </row>
    <row r="4" spans="1:34" s="13" customFormat="1" ht="47.25">
      <c r="A4" s="75" t="s">
        <v>133</v>
      </c>
      <c r="B4" s="76" t="s">
        <v>134</v>
      </c>
      <c r="C4" s="76" t="s">
        <v>135</v>
      </c>
      <c r="D4" s="77" t="s">
        <v>136</v>
      </c>
      <c r="E4" s="77" t="s">
        <v>137</v>
      </c>
      <c r="F4" s="77" t="s">
        <v>138</v>
      </c>
      <c r="G4" s="78" t="s">
        <v>139</v>
      </c>
      <c r="H4" s="78" t="s">
        <v>26</v>
      </c>
      <c r="I4" s="77" t="s">
        <v>140</v>
      </c>
      <c r="J4" s="77" t="s">
        <v>29</v>
      </c>
      <c r="K4" s="77" t="s">
        <v>30</v>
      </c>
      <c r="L4" s="77" t="s">
        <v>31</v>
      </c>
      <c r="M4" s="77" t="s">
        <v>32</v>
      </c>
      <c r="N4" s="78" t="s">
        <v>34</v>
      </c>
      <c r="O4" s="78" t="s">
        <v>35</v>
      </c>
      <c r="P4" s="79" t="s">
        <v>36</v>
      </c>
      <c r="Q4" s="79" t="s">
        <v>37</v>
      </c>
      <c r="R4" s="79" t="s">
        <v>38</v>
      </c>
      <c r="S4" s="89" t="s">
        <v>141</v>
      </c>
      <c r="T4" s="89" t="s">
        <v>142</v>
      </c>
      <c r="U4" s="89" t="s">
        <v>143</v>
      </c>
      <c r="V4" s="89" t="s">
        <v>39</v>
      </c>
      <c r="W4" s="89" t="s">
        <v>144</v>
      </c>
      <c r="X4" s="89" t="s">
        <v>40</v>
      </c>
      <c r="Y4" s="89" t="s">
        <v>145</v>
      </c>
      <c r="Z4" s="78" t="s">
        <v>41</v>
      </c>
      <c r="AA4" s="78" t="s">
        <v>42</v>
      </c>
      <c r="AB4" s="77" t="s">
        <v>43</v>
      </c>
      <c r="AC4" s="79" t="s">
        <v>146</v>
      </c>
      <c r="AD4" s="79" t="s">
        <v>147</v>
      </c>
      <c r="AE4" s="79" t="s">
        <v>148</v>
      </c>
      <c r="AF4" s="77" t="s">
        <v>149</v>
      </c>
      <c r="AG4" s="80" t="s">
        <v>48</v>
      </c>
      <c r="AH4" s="81" t="s">
        <v>150</v>
      </c>
    </row>
    <row r="5" spans="1:34" ht="17.25">
      <c r="A5" s="122" t="s">
        <v>156</v>
      </c>
      <c r="B5" s="122">
        <v>102</v>
      </c>
      <c r="C5" s="122" t="s">
        <v>157</v>
      </c>
      <c r="D5" s="122">
        <v>900</v>
      </c>
      <c r="E5" s="122">
        <v>4</v>
      </c>
      <c r="F5" s="143">
        <f>IF((VLOOKUP(Ahu_Ashrae_sheet15[[#This Row],[Occupancy Category]],Ashrae90.1Vent[#All],7,FALSE)) = "YES",MROUND(D5/2,5),MROUND(D5,5))</f>
        <v>450</v>
      </c>
      <c r="G5" s="122">
        <v>650</v>
      </c>
      <c r="H5" s="122" t="s">
        <v>85</v>
      </c>
      <c r="I5" s="122" t="s">
        <v>158</v>
      </c>
      <c r="J5" s="124">
        <f>VLOOKUP(Ahu_Ashrae_sheet15[[#This Row],[Occupancy Category]],Ashrae90.1Vent[#All],2,FALSE)</f>
        <v>0</v>
      </c>
      <c r="K5" s="124">
        <f>VLOOKUP(Ahu_Ashrae_sheet15[[#This Row],[Occupancy Category]],Ashrae90.1Vent[#All],3,FALSE)</f>
        <v>0</v>
      </c>
      <c r="L5" s="124">
        <f>VLOOKUP(Ahu_Ashrae_sheet15[[#This Row],[Occupancy Category]],Ashrae90.1Vent[#All],4,FALSE)</f>
        <v>0</v>
      </c>
      <c r="M5" s="124">
        <f>VLOOKUP(Ahu_Ashrae_sheet15[[#This Row],[Occupancy Category]],Ashrae90.1Vent[#All],5,FALSE)</f>
        <v>2</v>
      </c>
      <c r="N5" s="124">
        <f>CEILING((L5/1000)*D5,1)</f>
        <v>0</v>
      </c>
      <c r="O5" s="126">
        <f>IF(($O$1/Ahu_Ashrae_sheet15[[#Totals],[Occupants (Pz)]])&gt;1,1,$O$1/Ahu_Ashrae_sheet15[[#Totals],[Occupants (Pz)]])</f>
        <v>0.83333333333333337</v>
      </c>
      <c r="P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Q5" s="126">
        <f>IF(Ahu_Ashrae_sheet15[[#This Row],[DIVERSITY (D)]]&lt;0.6,(0.88*Ahu_Ashrae_sheet15[[#This Row],[DIVERSITY (D)]]+0.22),0.75)</f>
        <v>0.75</v>
      </c>
      <c r="R5" s="125">
        <f>Ahu_Ashrae_sheet15[[#This Row],[Uncorrected OA (Vou)]]/Ahu_Ashrae_sheet15[[#This Row],[System Efficiency (Ev)]]</f>
        <v>0</v>
      </c>
      <c r="S5" s="125">
        <f>(Ahu_Ashrae_sheet15[[#This Row],[RP
(CFM/PER PERSON)]]*Ahu_Ashrae_sheet15[[#This Row],[Occupants (Pz)]])+(Ahu_Ashrae_sheet15[[#This Row],[RA
(CFM/FT²)]]*Ahu_Ashrae_sheet15[[#This Row],[AREA (FT²)]])</f>
        <v>0</v>
      </c>
      <c r="T5" s="122">
        <v>0.8</v>
      </c>
      <c r="U5" s="125">
        <f>Ahu_Ashrae_sheet15[[#This Row],[Breathing Zone OA (Vbz)]]/Ahu_Ashrae_sheet15[[#This Row],[Zone Efficiency (Ez)]]</f>
        <v>0</v>
      </c>
      <c r="V5" s="122" t="s">
        <v>57</v>
      </c>
      <c r="W5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X5" s="125" t="str">
        <f>VLOOKUP(Ahu_Ashrae_sheet15[[#This Row],[Occupancy Category]],Ashrae90.1Vent[#All],6,FALSE)</f>
        <v>NO</v>
      </c>
      <c r="Y5" s="125">
        <f>IF(Ahu_Ashrae_sheet15[[#This Row],[OS]]="YES",0,Ahu_Ashrae_sheet15[[#This Row],[RA
(CFM/FT²)]]*Ahu_Ashrae_sheet15[[#This Row],[AREA (FT²)]])</f>
        <v>0</v>
      </c>
      <c r="Z5" s="125">
        <f>IF(Ahu_Ashrae_sheet15[[#This Row],[Exhaust Category]]="NOT APPLICABLE","NA",VLOOKUP(Ahu_Ashrae_sheet15[[#This Row],[Exhaust Category]],ASHRAE_EA_Table[#All],2,FALSE))</f>
        <v>50</v>
      </c>
      <c r="AA5" s="125">
        <f>IF(Ahu_Ashrae_sheet15[[#This Row],[Exhaust Category]]="NOT APPLICABLE","NA",VLOOKUP(Ahu_Ashrae_sheet15[[#This Row],[Exhaust Category]],ASHRAE_EA_Table[#All],3,FALSE))</f>
        <v>0</v>
      </c>
      <c r="AB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C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D5" s="122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E5" s="122">
        <f>IF(Ahu_Ashrae_sheet15[[#This Row],[MIN ASHRAE EA
(CFM)]]=0,Ahu_Ashrae_sheet15[[#This Row],[DESIGN VAV MAX SA(CFM)]],0)</f>
        <v>0</v>
      </c>
      <c r="AF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G5" s="125">
        <f>Ahu_Ashrae_sheet15[[#This Row],[DESIGN VAV MAX SA(CFM)]]-Ahu_Ashrae_sheet15[[#This Row],[DESIGN RA (CFM)]]-Ahu_Ashrae_sheet15[[#This Row],[DESIGN EA(CFM)]]</f>
        <v>-100</v>
      </c>
      <c r="AH5" s="82">
        <f>Ahu_Ashrae_sheet15[[#This Row],[OUTSIDE AIRFLOW (CFM) (Vot)]]/Ahu_Ashrae_sheet15[[#This Row],[DESIGN VAV MAX SA(CFM)]]</f>
        <v>0</v>
      </c>
    </row>
    <row r="6" spans="1:34" ht="17.25">
      <c r="A6" s="122" t="s">
        <v>156</v>
      </c>
      <c r="B6" s="122">
        <v>103</v>
      </c>
      <c r="C6" s="122" t="s">
        <v>159</v>
      </c>
      <c r="D6" s="122">
        <v>300</v>
      </c>
      <c r="E6" s="122">
        <v>0</v>
      </c>
      <c r="F6" s="143">
        <f>IF((VLOOKUP(Ahu_Ashrae_sheet15[[#This Row],[Occupancy Category]],Ashrae90.1Vent[#All],7,FALSE)) = "YES",MROUND(D6/2,5),MROUND(D6,5))</f>
        <v>300</v>
      </c>
      <c r="G6" s="122">
        <v>280</v>
      </c>
      <c r="H6" s="122" t="s">
        <v>56</v>
      </c>
      <c r="I6" s="122" t="s">
        <v>160</v>
      </c>
      <c r="J6" s="124">
        <f>VLOOKUP(Ahu_Ashrae_sheet15[[#This Row],[Occupancy Category]],Ashrae90.1Vent[#All],2,FALSE)</f>
        <v>10</v>
      </c>
      <c r="K6" s="124">
        <f>VLOOKUP(Ahu_Ashrae_sheet15[[#This Row],[Occupancy Category]],Ashrae90.1Vent[#All],3,FALSE)</f>
        <v>0.18</v>
      </c>
      <c r="L6" s="124">
        <f>VLOOKUP(Ahu_Ashrae_sheet15[[#This Row],[Occupancy Category]],Ashrae90.1Vent[#All],4,FALSE)</f>
        <v>20</v>
      </c>
      <c r="M6" s="124">
        <f>VLOOKUP(Ahu_Ashrae_sheet15[[#This Row],[Occupancy Category]],Ashrae90.1Vent[#All],5,FALSE)</f>
        <v>3</v>
      </c>
      <c r="N6" s="124">
        <f>CEILING((L6/1000)*D6,1)</f>
        <v>6</v>
      </c>
      <c r="O6" s="126">
        <f>IF(($O$1/Ahu_Ashrae_sheet15[[#Totals],[Occupants (Pz)]])&gt;1,1,$O$1/Ahu_Ashrae_sheet15[[#Totals],[Occupants (Pz)]])</f>
        <v>0.83333333333333337</v>
      </c>
      <c r="P6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104</v>
      </c>
      <c r="Q6" s="126">
        <f>IF(Ahu_Ashrae_sheet15[[#This Row],[DIVERSITY (D)]]&lt;0.6,(0.88*Ahu_Ashrae_sheet15[[#This Row],[DIVERSITY (D)]]+0.22),0.75)</f>
        <v>0.75</v>
      </c>
      <c r="R6" s="125">
        <f>Ahu_Ashrae_sheet15[[#This Row],[Uncorrected OA (Vou)]]/Ahu_Ashrae_sheet15[[#This Row],[System Efficiency (Ev)]]</f>
        <v>138.66666666666666</v>
      </c>
      <c r="S6" s="125">
        <f>(Ahu_Ashrae_sheet15[[#This Row],[RP
(CFM/PER PERSON)]]*Ahu_Ashrae_sheet15[[#This Row],[Occupants (Pz)]])+(Ahu_Ashrae_sheet15[[#This Row],[RA
(CFM/FT²)]]*Ahu_Ashrae_sheet15[[#This Row],[AREA (FT²)]])</f>
        <v>114</v>
      </c>
      <c r="T6" s="122">
        <v>0.8</v>
      </c>
      <c r="U6" s="125">
        <f>Ahu_Ashrae_sheet15[[#This Row],[Breathing Zone OA (Vbz)]]/Ahu_Ashrae_sheet15[[#This Row],[Zone Efficiency (Ez)]]</f>
        <v>142.5</v>
      </c>
      <c r="V6" s="122" t="s">
        <v>57</v>
      </c>
      <c r="W6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X6" s="125" t="str">
        <f>VLOOKUP(Ahu_Ashrae_sheet15[[#This Row],[Occupancy Category]],Ashrae90.1Vent[#All],6,FALSE)</f>
        <v>NO</v>
      </c>
      <c r="Y6" s="125">
        <f>IF(Ahu_Ashrae_sheet15[[#This Row],[OS]]="YES",0,Ahu_Ashrae_sheet15[[#This Row],[RA
(CFM/FT²)]]*Ahu_Ashrae_sheet15[[#This Row],[AREA (FT²)]])</f>
        <v>54</v>
      </c>
      <c r="Z6" s="125" t="str">
        <f>IF(Ahu_Ashrae_sheet15[[#This Row],[Exhaust Category]]="NOT APPLICABLE","NA",VLOOKUP(Ahu_Ashrae_sheet15[[#This Row],[Exhaust Category]],ASHRAE_EA_Table[#All],2,FALSE))</f>
        <v>NA</v>
      </c>
      <c r="AA6" s="125" t="str">
        <f>IF(Ahu_Ashrae_sheet15[[#This Row],[Exhaust Category]]="NOT APPLICABLE","NA",VLOOKUP(Ahu_Ashrae_sheet15[[#This Row],[Exhaust Category]],ASHRAE_EA_Table[#All],3,FALSE))</f>
        <v>NA</v>
      </c>
      <c r="AB6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6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D6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E6" s="122">
        <f>IF(Ahu_Ashrae_sheet15[[#This Row],[MIN ASHRAE EA
(CFM)]]=0,Ahu_Ashrae_sheet15[[#This Row],[DESIGN VAV MAX SA(CFM)]],0)</f>
        <v>300</v>
      </c>
      <c r="AF6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6" s="125">
        <f>Ahu_Ashrae_sheet15[[#This Row],[DESIGN VAV MAX SA(CFM)]]-Ahu_Ashrae_sheet15[[#This Row],[DESIGN RA (CFM)]]-Ahu_Ashrae_sheet15[[#This Row],[DESIGN EA(CFM)]]</f>
        <v>0</v>
      </c>
      <c r="AH6" s="82">
        <f>Ahu_Ashrae_sheet15[[#This Row],[OUTSIDE AIRFLOW (CFM) (Vot)]]/Ahu_Ashrae_sheet15[[#This Row],[DESIGN VAV MAX SA(CFM)]]</f>
        <v>0.4622222222222222</v>
      </c>
    </row>
    <row r="7" spans="1:34" ht="17.25">
      <c r="A7" s="122" t="s">
        <v>162</v>
      </c>
      <c r="B7" s="122">
        <v>104</v>
      </c>
      <c r="C7" s="122" t="s">
        <v>163</v>
      </c>
      <c r="D7" s="122">
        <v>1200</v>
      </c>
      <c r="E7" s="122">
        <v>0</v>
      </c>
      <c r="F7" s="143">
        <f>IF((VLOOKUP(Ahu_Ashrae_sheet15[[#This Row],[Occupancy Category]],Ashrae90.1Vent[#All],7,FALSE)) = "YES",MROUND(D7/2,5),MROUND(D7,5))</f>
        <v>1200</v>
      </c>
      <c r="G7" s="122">
        <v>150</v>
      </c>
      <c r="H7" s="122" t="s">
        <v>56</v>
      </c>
      <c r="I7" s="122" t="s">
        <v>164</v>
      </c>
      <c r="J7" s="124">
        <f>VLOOKUP(Ahu_Ashrae_sheet15[[#This Row],[Occupancy Category]],Ashrae90.1Vent[#All],2,FALSE)</f>
        <v>5</v>
      </c>
      <c r="K7" s="124">
        <f>VLOOKUP(Ahu_Ashrae_sheet15[[#This Row],[Occupancy Category]],Ashrae90.1Vent[#All],3,FALSE)</f>
        <v>0.12</v>
      </c>
      <c r="L7" s="124">
        <f>VLOOKUP(Ahu_Ashrae_sheet15[[#This Row],[Occupancy Category]],Ashrae90.1Vent[#All],4,FALSE)</f>
        <v>10</v>
      </c>
      <c r="M7" s="124">
        <f>VLOOKUP(Ahu_Ashrae_sheet15[[#This Row],[Occupancy Category]],Ashrae90.1Vent[#All],5,FALSE)</f>
        <v>0</v>
      </c>
      <c r="N7" s="124">
        <f>CEILING((L7/1000)*D7,1)</f>
        <v>12</v>
      </c>
      <c r="O7" s="126">
        <f>IF(($O$1/Ahu_Ashrae_sheet15[[#Totals],[Occupants (Pz)]])&gt;1,1,$O$1/Ahu_Ashrae_sheet15[[#Totals],[Occupants (Pz)]])</f>
        <v>0.83333333333333337</v>
      </c>
      <c r="P7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194</v>
      </c>
      <c r="Q7" s="126">
        <f>IF(Ahu_Ashrae_sheet15[[#This Row],[DIVERSITY (D)]]&lt;0.6,(0.88*Ahu_Ashrae_sheet15[[#This Row],[DIVERSITY (D)]]+0.22),0.75)</f>
        <v>0.75</v>
      </c>
      <c r="R7" s="125">
        <f>Ahu_Ashrae_sheet15[[#This Row],[Uncorrected OA (Vou)]]/Ahu_Ashrae_sheet15[[#This Row],[System Efficiency (Ev)]]</f>
        <v>258.66666666666669</v>
      </c>
      <c r="S7" s="125">
        <f>(Ahu_Ashrae_sheet15[[#This Row],[RP
(CFM/PER PERSON)]]*Ahu_Ashrae_sheet15[[#This Row],[Occupants (Pz)]])+(Ahu_Ashrae_sheet15[[#This Row],[RA
(CFM/FT²)]]*Ahu_Ashrae_sheet15[[#This Row],[AREA (FT²)]])</f>
        <v>204</v>
      </c>
      <c r="T7" s="122">
        <v>0.8</v>
      </c>
      <c r="U7" s="125">
        <f>Ahu_Ashrae_sheet15[[#This Row],[Breathing Zone OA (Vbz)]]/Ahu_Ashrae_sheet15[[#This Row],[Zone Efficiency (Ez)]]</f>
        <v>255</v>
      </c>
      <c r="V7" s="122" t="s">
        <v>57</v>
      </c>
      <c r="W7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X7" s="125" t="str">
        <f>VLOOKUP(Ahu_Ashrae_sheet15[[#This Row],[Occupancy Category]],Ashrae90.1Vent[#All],6,FALSE)</f>
        <v>NO</v>
      </c>
      <c r="Y7" s="125">
        <f>IF(Ahu_Ashrae_sheet15[[#This Row],[OS]]="YES",0,Ahu_Ashrae_sheet15[[#This Row],[RA
(CFM/FT²)]]*Ahu_Ashrae_sheet15[[#This Row],[AREA (FT²)]])</f>
        <v>144</v>
      </c>
      <c r="Z7" s="125" t="str">
        <f>IF(Ahu_Ashrae_sheet15[[#This Row],[Exhaust Category]]="NOT APPLICABLE","NA",VLOOKUP(Ahu_Ashrae_sheet15[[#This Row],[Exhaust Category]],ASHRAE_EA_Table[#All],2,FALSE))</f>
        <v>NA</v>
      </c>
      <c r="AA7" s="125" t="str">
        <f>IF(Ahu_Ashrae_sheet15[[#This Row],[Exhaust Category]]="NOT APPLICABLE","NA",VLOOKUP(Ahu_Ashrae_sheet15[[#This Row],[Exhaust Category]],ASHRAE_EA_Table[#All],3,FALSE))</f>
        <v>NA</v>
      </c>
      <c r="AB7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7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D7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E7" s="122">
        <f>IF(Ahu_Ashrae_sheet15[[#This Row],[MIN ASHRAE EA
(CFM)]]=0,Ahu_Ashrae_sheet15[[#This Row],[DESIGN VAV MAX SA(CFM)]],0)</f>
        <v>1200</v>
      </c>
      <c r="AF7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7" s="125">
        <f>Ahu_Ashrae_sheet15[[#This Row],[DESIGN VAV MAX SA(CFM)]]-Ahu_Ashrae_sheet15[[#This Row],[DESIGN RA (CFM)]]-Ahu_Ashrae_sheet15[[#This Row],[DESIGN EA(CFM)]]</f>
        <v>0</v>
      </c>
      <c r="AH7" s="82">
        <f>Ahu_Ashrae_sheet15[[#This Row],[OUTSIDE AIRFLOW (CFM) (Vot)]]/Ahu_Ashrae_sheet15[[#This Row],[DESIGN VAV MAX SA(CFM)]]</f>
        <v>0.21555555555555558</v>
      </c>
    </row>
    <row r="8" spans="1:34" ht="15.75">
      <c r="A8" s="76" t="s">
        <v>165</v>
      </c>
      <c r="B8" s="76"/>
      <c r="C8" s="111">
        <f>SUBTOTAL(103,Ahu_Ashrae_sheet15[Room])</f>
        <v>3</v>
      </c>
      <c r="D8" s="112">
        <f>SUBTOTAL(109,Ahu_Ashrae_sheet15[AREA (FT²)])</f>
        <v>2400</v>
      </c>
      <c r="E8" s="113"/>
      <c r="F8" s="114"/>
      <c r="G8" s="115">
        <f>SUBTOTAL(109,Ahu_Ashrae_sheet15[LOAD (CFM)])</f>
        <v>1080</v>
      </c>
      <c r="H8" s="76"/>
      <c r="I8" s="76"/>
      <c r="J8" s="116"/>
      <c r="K8" s="116"/>
      <c r="L8" s="116"/>
      <c r="M8" s="116"/>
      <c r="N8" s="117">
        <f>SUBTOTAL(109,Ahu_Ashrae_sheet15[Occupants (Pz)])</f>
        <v>18</v>
      </c>
      <c r="O8" s="117"/>
      <c r="P8" s="118">
        <f>SUBTOTAL(109,Ahu_Ashrae_sheet15[Uncorrected OA (Vou)])</f>
        <v>298</v>
      </c>
      <c r="Q8" s="116"/>
      <c r="R8" s="118">
        <f>SUBTOTAL(109,Ahu_Ashrae_sheet15[OUTSIDE AIRFLOW (CFM) (Vot)])</f>
        <v>397.33333333333337</v>
      </c>
      <c r="S8" s="118"/>
      <c r="T8" s="118"/>
      <c r="U8" s="118"/>
      <c r="V8" s="118"/>
      <c r="W8" s="118"/>
      <c r="X8" s="118"/>
      <c r="Y8" s="118">
        <f>SUBTOTAL(109,Ahu_Ashrae_sheet15[MIN OA ALLOWABLE (WITH DCV)])</f>
        <v>198</v>
      </c>
      <c r="Z8" s="116"/>
      <c r="AA8" s="116"/>
      <c r="AB8" s="116"/>
      <c r="AC8" s="116"/>
      <c r="AD8" s="118">
        <f>SUBTOTAL(109,Ahu_Ashrae_sheet15[DESIGN VAV MAX SA(CFM)])</f>
        <v>2150</v>
      </c>
      <c r="AE8" s="118">
        <f>SUBTOTAL(109,Ahu_Ashrae_sheet15[DESIGN RA (CFM)])</f>
        <v>1500</v>
      </c>
      <c r="AF8" s="118">
        <f>SUBTOTAL(109,Ahu_Ashrae_sheet15[DESIGN EA(CFM)])</f>
        <v>750</v>
      </c>
      <c r="AG8" s="116"/>
      <c r="AH8" s="88"/>
    </row>
    <row r="19" spans="32:50" ht="60">
      <c r="AF19" s="129" t="s">
        <v>9</v>
      </c>
      <c r="AG19" s="129" t="s">
        <v>58</v>
      </c>
      <c r="AH19" s="129" t="s">
        <v>59</v>
      </c>
      <c r="AI19" s="129" t="s">
        <v>151</v>
      </c>
      <c r="AJ19" s="129" t="s">
        <v>152</v>
      </c>
      <c r="AK19" s="129" t="s">
        <v>153</v>
      </c>
      <c r="AL19" s="129" t="s">
        <v>154</v>
      </c>
      <c r="AM19" s="129" t="s">
        <v>155</v>
      </c>
      <c r="AN19" s="129" t="s">
        <v>63</v>
      </c>
      <c r="AO19" s="129" t="s">
        <v>64</v>
      </c>
      <c r="AP19" s="129" t="s">
        <v>65</v>
      </c>
      <c r="AQ19" s="129" t="s">
        <v>66</v>
      </c>
      <c r="AR19" s="129" t="s">
        <v>67</v>
      </c>
      <c r="AS19" s="129" t="s">
        <v>68</v>
      </c>
      <c r="AT19" s="129" t="s">
        <v>3</v>
      </c>
      <c r="AU19" s="129" t="s">
        <v>69</v>
      </c>
      <c r="AV19" s="129" t="s">
        <v>70</v>
      </c>
      <c r="AW19" s="129" t="s">
        <v>71</v>
      </c>
      <c r="AX19" s="129" t="s">
        <v>72</v>
      </c>
    </row>
    <row r="20" spans="32:50" ht="15">
      <c r="AF20" s="144" t="s">
        <v>156</v>
      </c>
      <c r="AG20" s="144" t="s">
        <v>75</v>
      </c>
      <c r="AH20" s="144" t="s">
        <v>76</v>
      </c>
      <c r="AI20" s="145">
        <f>SUMIF(Ahu_Ashrae_sheet15[Zone],AHU1_CAV_SCHEDULE4451416[[#This Row],[ZONE]],Ahu_Ashrae_sheet15[DESIGN VAV MIN SA(CFM)])</f>
        <v>410</v>
      </c>
      <c r="AJ20" s="144">
        <f>SUMIF(Ahu_Ashrae_sheet15[Zone],AHU1_CAV_SCHEDULE4451416[[#This Row],[ZONE]],Ahu_Ashrae_sheet15[DESIGN VAV MAX SA(CFM)])</f>
        <v>950</v>
      </c>
      <c r="AK20" s="146">
        <f>IFERROR((VLOOKUP(AHU1_CAV_SCHEDULE4451416[[#This Row],[MAX VAV
(CFM)]],'DO NOT TOUCH'!$B$9:$C$14,2,TRUE)),"TBD")</f>
        <v>10</v>
      </c>
      <c r="AL20" s="146">
        <v>0.5</v>
      </c>
      <c r="AM20" s="146">
        <f>AHU1_CAV_SCHEDULE4451416[[#This Row],[MIN VAV
(CFM)]]</f>
        <v>410</v>
      </c>
      <c r="AN20" s="146">
        <f>INPUT_OUTPUTS!$C$16</f>
        <v>140</v>
      </c>
      <c r="AO20" s="146">
        <f>INPUT_OUTPUTS!$C$17</f>
        <v>100</v>
      </c>
      <c r="AP20" s="146">
        <v>55</v>
      </c>
      <c r="AQ20" s="146">
        <v>80</v>
      </c>
      <c r="AR20" s="146">
        <f>MROUND((1.08*(AQ20-AP20)*AHU1_CAV_SCHEDULE4451416[[#This Row],[HEATING AIRFLOW 
(CFM)]])/1000,0.1)</f>
        <v>11.100000000000001</v>
      </c>
      <c r="AS20" s="147">
        <f>(AR20*1000)/(500*(AN20-AO20))</f>
        <v>0.55500000000000005</v>
      </c>
      <c r="AT20" s="147">
        <f>IF(AS20&lt;0.5,0.5,AS20)</f>
        <v>0.55500000000000005</v>
      </c>
      <c r="AU20" s="147">
        <v>5</v>
      </c>
      <c r="AV20" s="147">
        <f>IFERROR((_xlfn.XLOOKUP(AK20,'DO NOT TOUCH'!$C$9:$C$14,'DO NOT TOUCH'!$D$9:$D$14,)),"TBD")</f>
        <v>35</v>
      </c>
      <c r="AW20" s="147">
        <f>INPUT_OUTPUTS!$C$19</f>
        <v>0</v>
      </c>
      <c r="AX20" s="146" t="s">
        <v>77</v>
      </c>
    </row>
    <row r="21" spans="32:50" ht="15">
      <c r="AF21" s="144" t="s">
        <v>161</v>
      </c>
      <c r="AG21" s="144" t="s">
        <v>75</v>
      </c>
      <c r="AH21" s="144" t="s">
        <v>76</v>
      </c>
      <c r="AI21" s="145">
        <f>SUMIF(Ahu_Ashrae_sheet15[Zone],AHU1_CAV_SCHEDULE4451416[[#This Row],[ZONE]],Ahu_Ashrae_sheet15[DESIGN VAV MIN SA(CFM)])</f>
        <v>0</v>
      </c>
      <c r="AJ21" s="144">
        <f>SUMIF(Ahu_Ashrae_sheet15[Zone],AHU1_CAV_SCHEDULE4451416[[#This Row],[ZONE]],Ahu_Ashrae_sheet15[DESIGN VAV MAX SA(CFM)])</f>
        <v>0</v>
      </c>
      <c r="AK21" s="146" t="str">
        <f>IFERROR((VLOOKUP(AHU1_CAV_SCHEDULE4451416[[#This Row],[MAX VAV
(CFM)]],'DO NOT TOUCH'!$B$9:$C$14,2,TRUE)),"TBD")</f>
        <v>TBD</v>
      </c>
      <c r="AL21" s="146">
        <f>AL20</f>
        <v>0.5</v>
      </c>
      <c r="AM21" s="146">
        <f>AHU1_CAV_SCHEDULE4451416[[#This Row],[MIN VAV
(CFM)]]</f>
        <v>0</v>
      </c>
      <c r="AN21" s="146">
        <f>INPUT_OUTPUTS!$C$16</f>
        <v>140</v>
      </c>
      <c r="AO21" s="146">
        <f>INPUT_OUTPUTS!$C$17</f>
        <v>100</v>
      </c>
      <c r="AP21" s="146">
        <f t="shared" ref="AP21:AQ36" si="0">AP20</f>
        <v>55</v>
      </c>
      <c r="AQ21" s="146">
        <f t="shared" si="0"/>
        <v>80</v>
      </c>
      <c r="AR21" s="146">
        <f>MROUND((1.08*(AQ21-AP21)*AHU1_CAV_SCHEDULE4451416[[#This Row],[HEATING AIRFLOW 
(CFM)]])/1000,0.1)</f>
        <v>0</v>
      </c>
      <c r="AS21" s="147">
        <f>(AR21*1000)/(500*(AN21-AO21))</f>
        <v>0</v>
      </c>
      <c r="AT21" s="147">
        <f t="shared" ref="AT21:AT57" si="1">IF(AS21&lt;0.5,0.5,AS21)</f>
        <v>0.5</v>
      </c>
      <c r="AU21" s="147">
        <f>AU20</f>
        <v>5</v>
      </c>
      <c r="AV21" s="147" t="str">
        <f>IFERROR((_xlfn.XLOOKUP(AK21,'DO NOT TOUCH'!$C$9:$C$14,'DO NOT TOUCH'!$D$9:$D$14,)),"TBD")</f>
        <v>TBD</v>
      </c>
      <c r="AW21" s="147">
        <f>INPUT_OUTPUTS!$C$19</f>
        <v>0</v>
      </c>
      <c r="AX21" s="146" t="str">
        <f>AX20</f>
        <v>1, 2</v>
      </c>
    </row>
    <row r="22" spans="32:50" ht="15">
      <c r="AF22" s="144" t="s">
        <v>162</v>
      </c>
      <c r="AG22" s="144" t="s">
        <v>75</v>
      </c>
      <c r="AH22" s="144" t="s">
        <v>76</v>
      </c>
      <c r="AI22" s="145">
        <f>SUMIF(Ahu_Ashrae_sheet15[Zone],AHU1_CAV_SCHEDULE4451416[[#This Row],[ZONE]],Ahu_Ashrae_sheet15[DESIGN VAV MIN SA(CFM)])</f>
        <v>385</v>
      </c>
      <c r="AJ22" s="144">
        <f>SUMIF(Ahu_Ashrae_sheet15[Zone],AHU1_CAV_SCHEDULE4451416[[#This Row],[ZONE]],Ahu_Ashrae_sheet15[DESIGN VAV MAX SA(CFM)])</f>
        <v>1200</v>
      </c>
      <c r="AK22" s="146">
        <f>IFERROR((VLOOKUP(AHU1_CAV_SCHEDULE4451416[[#This Row],[MAX VAV
(CFM)]],'DO NOT TOUCH'!$B$9:$C$14,2,TRUE)),"TBD")</f>
        <v>12</v>
      </c>
      <c r="AL22" s="146">
        <f t="shared" ref="AL22:AL57" si="2">AL21</f>
        <v>0.5</v>
      </c>
      <c r="AM22" s="146">
        <f>AHU1_CAV_SCHEDULE4451416[[#This Row],[MIN VAV
(CFM)]]</f>
        <v>385</v>
      </c>
      <c r="AN22" s="146">
        <f>INPUT_OUTPUTS!$C$16</f>
        <v>140</v>
      </c>
      <c r="AO22" s="146">
        <f>INPUT_OUTPUTS!$C$17</f>
        <v>100</v>
      </c>
      <c r="AP22" s="146">
        <f t="shared" si="0"/>
        <v>55</v>
      </c>
      <c r="AQ22" s="146">
        <f t="shared" si="0"/>
        <v>80</v>
      </c>
      <c r="AR22" s="146">
        <f>MROUND((1.08*(AQ22-AP22)*AHU1_CAV_SCHEDULE4451416[[#This Row],[HEATING AIRFLOW 
(CFM)]])/1000,0.1)</f>
        <v>10.4</v>
      </c>
      <c r="AS22" s="147">
        <f t="shared" ref="AS22:AS57" si="3">(AR22*1000)/(500*(AN22-AO22))</f>
        <v>0.52</v>
      </c>
      <c r="AT22" s="147">
        <f t="shared" si="1"/>
        <v>0.52</v>
      </c>
      <c r="AU22" s="147">
        <f t="shared" ref="AU22:AU57" si="4">AU21</f>
        <v>5</v>
      </c>
      <c r="AV22" s="147">
        <f>IFERROR((_xlfn.XLOOKUP(AK22,'DO NOT TOUCH'!$C$9:$C$14,'DO NOT TOUCH'!$D$9:$D$14,)),"TBD")</f>
        <v>45</v>
      </c>
      <c r="AW22" s="147">
        <f>INPUT_OUTPUTS!$C$19</f>
        <v>0</v>
      </c>
      <c r="AX22" s="146" t="str">
        <f t="shared" ref="AX22:AX57" si="5">AX21</f>
        <v>1, 2</v>
      </c>
    </row>
    <row r="23" spans="32:50" ht="15">
      <c r="AF23" s="144" t="s">
        <v>166</v>
      </c>
      <c r="AG23" s="144" t="s">
        <v>75</v>
      </c>
      <c r="AH23" s="144" t="s">
        <v>76</v>
      </c>
      <c r="AI23" s="145">
        <f>SUMIF(Ahu_Ashrae_sheet15[Zone],AHU1_CAV_SCHEDULE4451416[[#This Row],[ZONE]],Ahu_Ashrae_sheet15[DESIGN VAV MIN SA(CFM)])</f>
        <v>0</v>
      </c>
      <c r="AJ23" s="144">
        <f>SUMIF(Ahu_Ashrae_sheet15[Zone],AHU1_CAV_SCHEDULE4451416[[#This Row],[ZONE]],Ahu_Ashrae_sheet15[DESIGN VAV MAX SA(CFM)])</f>
        <v>0</v>
      </c>
      <c r="AK23" s="146" t="str">
        <f>IFERROR((VLOOKUP(AHU1_CAV_SCHEDULE4451416[[#This Row],[MAX VAV
(CFM)]],'DO NOT TOUCH'!$B$9:$C$14,2,TRUE)),"TBD")</f>
        <v>TBD</v>
      </c>
      <c r="AL23" s="146">
        <f t="shared" si="2"/>
        <v>0.5</v>
      </c>
      <c r="AM23" s="146">
        <f>AHU1_CAV_SCHEDULE4451416[[#This Row],[MIN VAV
(CFM)]]</f>
        <v>0</v>
      </c>
      <c r="AN23" s="146">
        <f>INPUT_OUTPUTS!$C$16</f>
        <v>140</v>
      </c>
      <c r="AO23" s="146">
        <f>INPUT_OUTPUTS!$C$17</f>
        <v>100</v>
      </c>
      <c r="AP23" s="146">
        <f t="shared" si="0"/>
        <v>55</v>
      </c>
      <c r="AQ23" s="146">
        <f t="shared" si="0"/>
        <v>80</v>
      </c>
      <c r="AR23" s="146">
        <f>MROUND((1.08*(AQ23-AP23)*AHU1_CAV_SCHEDULE4451416[[#This Row],[HEATING AIRFLOW 
(CFM)]])/1000,0.1)</f>
        <v>0</v>
      </c>
      <c r="AS23" s="147">
        <f t="shared" si="3"/>
        <v>0</v>
      </c>
      <c r="AT23" s="147">
        <f t="shared" si="1"/>
        <v>0.5</v>
      </c>
      <c r="AU23" s="147">
        <f t="shared" si="4"/>
        <v>5</v>
      </c>
      <c r="AV23" s="147" t="str">
        <f>IFERROR((_xlfn.XLOOKUP(AK23,'DO NOT TOUCH'!$C$9:$C$14,'DO NOT TOUCH'!$D$9:$D$14,)),"TBD")</f>
        <v>TBD</v>
      </c>
      <c r="AW23" s="147">
        <f>INPUT_OUTPUTS!$C$19</f>
        <v>0</v>
      </c>
      <c r="AX23" s="146" t="str">
        <f t="shared" si="5"/>
        <v>1, 2</v>
      </c>
    </row>
    <row r="24" spans="32:50" ht="15">
      <c r="AF24" s="144" t="s">
        <v>167</v>
      </c>
      <c r="AG24" s="144" t="s">
        <v>75</v>
      </c>
      <c r="AH24" s="144" t="s">
        <v>76</v>
      </c>
      <c r="AI24" s="145">
        <f>SUMIF(Ahu_Ashrae_sheet15[Zone],AHU1_CAV_SCHEDULE4451416[[#This Row],[ZONE]],Ahu_Ashrae_sheet15[DESIGN VAV MIN SA(CFM)])</f>
        <v>0</v>
      </c>
      <c r="AJ24" s="144">
        <f>SUMIF(Ahu_Ashrae_sheet15[Zone],AHU1_CAV_SCHEDULE4451416[[#This Row],[ZONE]],Ahu_Ashrae_sheet15[DESIGN VAV MAX SA(CFM)])</f>
        <v>0</v>
      </c>
      <c r="AK24" s="146" t="str">
        <f>IFERROR((VLOOKUP(AHU1_CAV_SCHEDULE4451416[[#This Row],[MAX VAV
(CFM)]],'DO NOT TOUCH'!$B$9:$C$14,2,TRUE)),"TBD")</f>
        <v>TBD</v>
      </c>
      <c r="AL24" s="146">
        <f t="shared" si="2"/>
        <v>0.5</v>
      </c>
      <c r="AM24" s="146">
        <f>AHU1_CAV_SCHEDULE4451416[[#This Row],[MIN VAV
(CFM)]]</f>
        <v>0</v>
      </c>
      <c r="AN24" s="146">
        <f>INPUT_OUTPUTS!$C$16</f>
        <v>140</v>
      </c>
      <c r="AO24" s="146">
        <f>INPUT_OUTPUTS!$C$17</f>
        <v>100</v>
      </c>
      <c r="AP24" s="146">
        <f t="shared" si="0"/>
        <v>55</v>
      </c>
      <c r="AQ24" s="146">
        <f t="shared" si="0"/>
        <v>80</v>
      </c>
      <c r="AR24" s="146">
        <f>MROUND((1.08*(AQ24-AP24)*AHU1_CAV_SCHEDULE4451416[[#This Row],[HEATING AIRFLOW 
(CFM)]])/1000,0.1)</f>
        <v>0</v>
      </c>
      <c r="AS24" s="147">
        <f t="shared" si="3"/>
        <v>0</v>
      </c>
      <c r="AT24" s="147">
        <f t="shared" si="1"/>
        <v>0.5</v>
      </c>
      <c r="AU24" s="147">
        <f t="shared" si="4"/>
        <v>5</v>
      </c>
      <c r="AV24" s="147" t="str">
        <f>IFERROR((_xlfn.XLOOKUP(AK24,'DO NOT TOUCH'!$C$9:$C$14,'DO NOT TOUCH'!$D$9:$D$14,)),"TBD")</f>
        <v>TBD</v>
      </c>
      <c r="AW24" s="147">
        <f>INPUT_OUTPUTS!$C$19</f>
        <v>0</v>
      </c>
      <c r="AX24" s="146" t="str">
        <f t="shared" si="5"/>
        <v>1, 2</v>
      </c>
    </row>
    <row r="25" spans="32:50" ht="15">
      <c r="AF25" s="144" t="s">
        <v>168</v>
      </c>
      <c r="AG25" s="144" t="s">
        <v>75</v>
      </c>
      <c r="AH25" s="144" t="s">
        <v>76</v>
      </c>
      <c r="AI25" s="145">
        <f>SUMIF(Ahu_Ashrae_sheet15[Zone],AHU1_CAV_SCHEDULE4451416[[#This Row],[ZONE]],Ahu_Ashrae_sheet15[DESIGN VAV MIN SA(CFM)])</f>
        <v>0</v>
      </c>
      <c r="AJ25" s="144">
        <f>SUMIF(Ahu_Ashrae_sheet15[Zone],AHU1_CAV_SCHEDULE4451416[[#This Row],[ZONE]],Ahu_Ashrae_sheet15[DESIGN VAV MAX SA(CFM)])</f>
        <v>0</v>
      </c>
      <c r="AK25" s="146" t="str">
        <f>IFERROR((VLOOKUP(AHU1_CAV_SCHEDULE4451416[[#This Row],[MAX VAV
(CFM)]],'DO NOT TOUCH'!$B$9:$C$14,2,TRUE)),"TBD")</f>
        <v>TBD</v>
      </c>
      <c r="AL25" s="146">
        <f t="shared" si="2"/>
        <v>0.5</v>
      </c>
      <c r="AM25" s="146">
        <f>AHU1_CAV_SCHEDULE4451416[[#This Row],[MIN VAV
(CFM)]]</f>
        <v>0</v>
      </c>
      <c r="AN25" s="146">
        <f>INPUT_OUTPUTS!$C$16</f>
        <v>140</v>
      </c>
      <c r="AO25" s="146">
        <f>INPUT_OUTPUTS!$C$17</f>
        <v>100</v>
      </c>
      <c r="AP25" s="146">
        <f t="shared" si="0"/>
        <v>55</v>
      </c>
      <c r="AQ25" s="146">
        <f t="shared" si="0"/>
        <v>80</v>
      </c>
      <c r="AR25" s="146">
        <f>MROUND((1.08*(AQ25-AP25)*AHU1_CAV_SCHEDULE4451416[[#This Row],[HEATING AIRFLOW 
(CFM)]])/1000,0.1)</f>
        <v>0</v>
      </c>
      <c r="AS25" s="147">
        <f t="shared" si="3"/>
        <v>0</v>
      </c>
      <c r="AT25" s="147">
        <f t="shared" si="1"/>
        <v>0.5</v>
      </c>
      <c r="AU25" s="147">
        <f t="shared" si="4"/>
        <v>5</v>
      </c>
      <c r="AV25" s="147" t="str">
        <f>IFERROR((_xlfn.XLOOKUP(AK25,'DO NOT TOUCH'!$C$9:$C$14,'DO NOT TOUCH'!$D$9:$D$14,)),"TBD")</f>
        <v>TBD</v>
      </c>
      <c r="AW25" s="147">
        <f>INPUT_OUTPUTS!$C$19</f>
        <v>0</v>
      </c>
      <c r="AX25" s="146" t="str">
        <f t="shared" si="5"/>
        <v>1, 2</v>
      </c>
    </row>
    <row r="26" spans="32:50" ht="15">
      <c r="AF26" s="144" t="s">
        <v>169</v>
      </c>
      <c r="AG26" s="144" t="s">
        <v>75</v>
      </c>
      <c r="AH26" s="144" t="s">
        <v>76</v>
      </c>
      <c r="AI26" s="145">
        <f>SUMIF(Ahu_Ashrae_sheet15[Zone],AHU1_CAV_SCHEDULE4451416[[#This Row],[ZONE]],Ahu_Ashrae_sheet15[DESIGN VAV MIN SA(CFM)])</f>
        <v>0</v>
      </c>
      <c r="AJ26" s="144">
        <f>SUMIF(Ahu_Ashrae_sheet15[Zone],AHU1_CAV_SCHEDULE4451416[[#This Row],[ZONE]],Ahu_Ashrae_sheet15[DESIGN VAV MAX SA(CFM)])</f>
        <v>0</v>
      </c>
      <c r="AK26" s="146" t="str">
        <f>IFERROR((VLOOKUP(AHU1_CAV_SCHEDULE4451416[[#This Row],[MAX VAV
(CFM)]],'DO NOT TOUCH'!$B$9:$C$14,2,TRUE)),"TBD")</f>
        <v>TBD</v>
      </c>
      <c r="AL26" s="146">
        <f t="shared" si="2"/>
        <v>0.5</v>
      </c>
      <c r="AM26" s="146">
        <f>AHU1_CAV_SCHEDULE4451416[[#This Row],[MIN VAV
(CFM)]]</f>
        <v>0</v>
      </c>
      <c r="AN26" s="146">
        <f>INPUT_OUTPUTS!$C$16</f>
        <v>140</v>
      </c>
      <c r="AO26" s="146">
        <f>INPUT_OUTPUTS!$C$17</f>
        <v>100</v>
      </c>
      <c r="AP26" s="146">
        <f t="shared" si="0"/>
        <v>55</v>
      </c>
      <c r="AQ26" s="146">
        <f t="shared" si="0"/>
        <v>80</v>
      </c>
      <c r="AR26" s="146">
        <f>MROUND((1.08*(AQ26-AP26)*AHU1_CAV_SCHEDULE4451416[[#This Row],[HEATING AIRFLOW 
(CFM)]])/1000,0.1)</f>
        <v>0</v>
      </c>
      <c r="AS26" s="147">
        <f t="shared" si="3"/>
        <v>0</v>
      </c>
      <c r="AT26" s="147">
        <f t="shared" si="1"/>
        <v>0.5</v>
      </c>
      <c r="AU26" s="147">
        <f t="shared" si="4"/>
        <v>5</v>
      </c>
      <c r="AV26" s="147" t="str">
        <f>IFERROR((_xlfn.XLOOKUP(AK26,'DO NOT TOUCH'!$C$9:$C$14,'DO NOT TOUCH'!$D$9:$D$14,)),"TBD")</f>
        <v>TBD</v>
      </c>
      <c r="AW26" s="147">
        <f>INPUT_OUTPUTS!$C$19</f>
        <v>0</v>
      </c>
      <c r="AX26" s="18" t="str">
        <f t="shared" si="5"/>
        <v>1, 2</v>
      </c>
    </row>
    <row r="27" spans="32:50" ht="15">
      <c r="AF27" s="144" t="s">
        <v>170</v>
      </c>
      <c r="AG27" s="144" t="s">
        <v>75</v>
      </c>
      <c r="AH27" s="144" t="s">
        <v>76</v>
      </c>
      <c r="AI27" s="145">
        <f>SUMIF(Ahu_Ashrae_sheet15[Zone],AHU1_CAV_SCHEDULE4451416[[#This Row],[ZONE]],Ahu_Ashrae_sheet15[DESIGN VAV MIN SA(CFM)])</f>
        <v>0</v>
      </c>
      <c r="AJ27" s="144">
        <f>SUMIF(Ahu_Ashrae_sheet15[Zone],AHU1_CAV_SCHEDULE4451416[[#This Row],[ZONE]],Ahu_Ashrae_sheet15[DESIGN VAV MAX SA(CFM)])</f>
        <v>0</v>
      </c>
      <c r="AK27" s="146" t="str">
        <f>IFERROR((VLOOKUP(AHU1_CAV_SCHEDULE4451416[[#This Row],[MAX VAV
(CFM)]],'DO NOT TOUCH'!$B$9:$C$14,2,TRUE)),"TBD")</f>
        <v>TBD</v>
      </c>
      <c r="AL27" s="146">
        <f t="shared" si="2"/>
        <v>0.5</v>
      </c>
      <c r="AM27" s="146">
        <f>AHU1_CAV_SCHEDULE4451416[[#This Row],[MIN VAV
(CFM)]]</f>
        <v>0</v>
      </c>
      <c r="AN27" s="146">
        <f>INPUT_OUTPUTS!$C$16</f>
        <v>140</v>
      </c>
      <c r="AO27" s="146">
        <f>INPUT_OUTPUTS!$C$17</f>
        <v>100</v>
      </c>
      <c r="AP27" s="146">
        <f t="shared" si="0"/>
        <v>55</v>
      </c>
      <c r="AQ27" s="146">
        <f t="shared" si="0"/>
        <v>80</v>
      </c>
      <c r="AR27" s="146">
        <f>MROUND((1.08*(AQ27-AP27)*AHU1_CAV_SCHEDULE4451416[[#This Row],[HEATING AIRFLOW 
(CFM)]])/1000,0.1)</f>
        <v>0</v>
      </c>
      <c r="AS27" s="147">
        <f t="shared" si="3"/>
        <v>0</v>
      </c>
      <c r="AT27" s="147">
        <f t="shared" si="1"/>
        <v>0.5</v>
      </c>
      <c r="AU27" s="147">
        <f t="shared" si="4"/>
        <v>5</v>
      </c>
      <c r="AV27" s="147" t="str">
        <f>IFERROR((_xlfn.XLOOKUP(AK27,'DO NOT TOUCH'!$C$9:$C$14,'DO NOT TOUCH'!$D$9:$D$14,)),"TBD")</f>
        <v>TBD</v>
      </c>
      <c r="AW27" s="147">
        <f>INPUT_OUTPUTS!$C$19</f>
        <v>0</v>
      </c>
      <c r="AX27" s="18" t="str">
        <f t="shared" si="5"/>
        <v>1, 2</v>
      </c>
    </row>
    <row r="28" spans="32:50" ht="15">
      <c r="AF28" s="144" t="s">
        <v>171</v>
      </c>
      <c r="AG28" s="144" t="s">
        <v>75</v>
      </c>
      <c r="AH28" s="144" t="s">
        <v>76</v>
      </c>
      <c r="AI28" s="145">
        <f>SUMIF(Ahu_Ashrae_sheet15[Zone],AHU1_CAV_SCHEDULE4451416[[#This Row],[ZONE]],Ahu_Ashrae_sheet15[DESIGN VAV MIN SA(CFM)])</f>
        <v>0</v>
      </c>
      <c r="AJ28" s="144">
        <f>SUMIF(Ahu_Ashrae_sheet15[Zone],AHU1_CAV_SCHEDULE4451416[[#This Row],[ZONE]],Ahu_Ashrae_sheet15[DESIGN VAV MAX SA(CFM)])</f>
        <v>0</v>
      </c>
      <c r="AK28" s="146" t="str">
        <f>IFERROR((VLOOKUP(AHU1_CAV_SCHEDULE4451416[[#This Row],[MAX VAV
(CFM)]],'DO NOT TOUCH'!$B$9:$C$14,2,TRUE)),"TBD")</f>
        <v>TBD</v>
      </c>
      <c r="AL28" s="146">
        <f t="shared" si="2"/>
        <v>0.5</v>
      </c>
      <c r="AM28" s="146">
        <f>AHU1_CAV_SCHEDULE4451416[[#This Row],[MIN VAV
(CFM)]]</f>
        <v>0</v>
      </c>
      <c r="AN28" s="146">
        <f>INPUT_OUTPUTS!$C$16</f>
        <v>140</v>
      </c>
      <c r="AO28" s="146">
        <f>INPUT_OUTPUTS!$C$17</f>
        <v>100</v>
      </c>
      <c r="AP28" s="146">
        <f t="shared" si="0"/>
        <v>55</v>
      </c>
      <c r="AQ28" s="146">
        <f t="shared" si="0"/>
        <v>80</v>
      </c>
      <c r="AR28" s="146">
        <f>MROUND((1.08*(AQ28-AP28)*AHU1_CAV_SCHEDULE4451416[[#This Row],[HEATING AIRFLOW 
(CFM)]])/1000,0.1)</f>
        <v>0</v>
      </c>
      <c r="AS28" s="147">
        <f t="shared" si="3"/>
        <v>0</v>
      </c>
      <c r="AT28" s="147">
        <f t="shared" si="1"/>
        <v>0.5</v>
      </c>
      <c r="AU28" s="147">
        <f t="shared" si="4"/>
        <v>5</v>
      </c>
      <c r="AV28" s="147" t="str">
        <f>IFERROR((_xlfn.XLOOKUP(AK28,'DO NOT TOUCH'!$C$9:$C$14,'DO NOT TOUCH'!$D$9:$D$14,)),"TBD")</f>
        <v>TBD</v>
      </c>
      <c r="AW28" s="147">
        <f>INPUT_OUTPUTS!$C$19</f>
        <v>0</v>
      </c>
      <c r="AX28" s="18" t="str">
        <f t="shared" si="5"/>
        <v>1, 2</v>
      </c>
    </row>
    <row r="29" spans="32:50" ht="15">
      <c r="AF29" s="144" t="s">
        <v>172</v>
      </c>
      <c r="AG29" s="144" t="s">
        <v>75</v>
      </c>
      <c r="AH29" s="144" t="s">
        <v>76</v>
      </c>
      <c r="AI29" s="145">
        <f>SUMIF(Ahu_Ashrae_sheet15[Zone],AHU1_CAV_SCHEDULE4451416[[#This Row],[ZONE]],Ahu_Ashrae_sheet15[DESIGN VAV MIN SA(CFM)])</f>
        <v>0</v>
      </c>
      <c r="AJ29" s="144">
        <f>SUMIF(Ahu_Ashrae_sheet15[Zone],AHU1_CAV_SCHEDULE4451416[[#This Row],[ZONE]],Ahu_Ashrae_sheet15[DESIGN VAV MAX SA(CFM)])</f>
        <v>0</v>
      </c>
      <c r="AK29" s="146" t="str">
        <f>IFERROR((VLOOKUP(AHU1_CAV_SCHEDULE4451416[[#This Row],[MAX VAV
(CFM)]],'DO NOT TOUCH'!$B$9:$C$14,2,TRUE)),"TBD")</f>
        <v>TBD</v>
      </c>
      <c r="AL29" s="146">
        <f t="shared" si="2"/>
        <v>0.5</v>
      </c>
      <c r="AM29" s="146">
        <f>AHU1_CAV_SCHEDULE4451416[[#This Row],[MIN VAV
(CFM)]]</f>
        <v>0</v>
      </c>
      <c r="AN29" s="146">
        <f>INPUT_OUTPUTS!$C$16</f>
        <v>140</v>
      </c>
      <c r="AO29" s="146">
        <f>INPUT_OUTPUTS!$C$17</f>
        <v>100</v>
      </c>
      <c r="AP29" s="146">
        <f t="shared" si="0"/>
        <v>55</v>
      </c>
      <c r="AQ29" s="146">
        <f t="shared" si="0"/>
        <v>80</v>
      </c>
      <c r="AR29" s="146">
        <f>MROUND((1.08*(AQ29-AP29)*AHU1_CAV_SCHEDULE4451416[[#This Row],[HEATING AIRFLOW 
(CFM)]])/1000,0.1)</f>
        <v>0</v>
      </c>
      <c r="AS29" s="147">
        <f t="shared" si="3"/>
        <v>0</v>
      </c>
      <c r="AT29" s="147">
        <f t="shared" si="1"/>
        <v>0.5</v>
      </c>
      <c r="AU29" s="147">
        <f t="shared" si="4"/>
        <v>5</v>
      </c>
      <c r="AV29" s="147" t="str">
        <f>IFERROR((_xlfn.XLOOKUP(AK29,'DO NOT TOUCH'!$C$9:$C$14,'DO NOT TOUCH'!$D$9:$D$14,)),"TBD")</f>
        <v>TBD</v>
      </c>
      <c r="AW29" s="147">
        <f>INPUT_OUTPUTS!$C$19</f>
        <v>0</v>
      </c>
      <c r="AX29" s="18" t="str">
        <f t="shared" si="5"/>
        <v>1, 2</v>
      </c>
    </row>
    <row r="30" spans="32:50" ht="15">
      <c r="AF30" s="144" t="s">
        <v>173</v>
      </c>
      <c r="AG30" s="144" t="s">
        <v>75</v>
      </c>
      <c r="AH30" s="144" t="s">
        <v>76</v>
      </c>
      <c r="AI30" s="145">
        <f>SUMIF(Ahu_Ashrae_sheet15[Zone],AHU1_CAV_SCHEDULE4451416[[#This Row],[ZONE]],Ahu_Ashrae_sheet15[DESIGN VAV MIN SA(CFM)])</f>
        <v>0</v>
      </c>
      <c r="AJ30" s="144">
        <f>SUMIF(Ahu_Ashrae_sheet15[Zone],AHU1_CAV_SCHEDULE4451416[[#This Row],[ZONE]],Ahu_Ashrae_sheet15[DESIGN VAV MAX SA(CFM)])</f>
        <v>0</v>
      </c>
      <c r="AK30" s="146" t="str">
        <f>IFERROR((VLOOKUP(AHU1_CAV_SCHEDULE4451416[[#This Row],[MAX VAV
(CFM)]],'DO NOT TOUCH'!$B$9:$C$14,2,TRUE)),"TBD")</f>
        <v>TBD</v>
      </c>
      <c r="AL30" s="146">
        <f t="shared" si="2"/>
        <v>0.5</v>
      </c>
      <c r="AM30" s="146">
        <f>AHU1_CAV_SCHEDULE4451416[[#This Row],[MIN VAV
(CFM)]]</f>
        <v>0</v>
      </c>
      <c r="AN30" s="146">
        <f>INPUT_OUTPUTS!$C$16</f>
        <v>140</v>
      </c>
      <c r="AO30" s="146">
        <f>INPUT_OUTPUTS!$C$17</f>
        <v>100</v>
      </c>
      <c r="AP30" s="146">
        <f t="shared" si="0"/>
        <v>55</v>
      </c>
      <c r="AQ30" s="146">
        <f t="shared" si="0"/>
        <v>80</v>
      </c>
      <c r="AR30" s="146">
        <f>MROUND((1.08*(AQ30-AP30)*AHU1_CAV_SCHEDULE4451416[[#This Row],[HEATING AIRFLOW 
(CFM)]])/1000,0.1)</f>
        <v>0</v>
      </c>
      <c r="AS30" s="147">
        <f t="shared" si="3"/>
        <v>0</v>
      </c>
      <c r="AT30" s="147">
        <f t="shared" si="1"/>
        <v>0.5</v>
      </c>
      <c r="AU30" s="147">
        <f t="shared" si="4"/>
        <v>5</v>
      </c>
      <c r="AV30" s="147" t="str">
        <f>IFERROR((_xlfn.XLOOKUP(AK30,'DO NOT TOUCH'!$C$9:$C$14,'DO NOT TOUCH'!$D$9:$D$14,)),"TBD")</f>
        <v>TBD</v>
      </c>
      <c r="AW30" s="147">
        <f>INPUT_OUTPUTS!$C$19</f>
        <v>0</v>
      </c>
      <c r="AX30" s="18" t="str">
        <f t="shared" si="5"/>
        <v>1, 2</v>
      </c>
    </row>
    <row r="31" spans="32:50" ht="15">
      <c r="AF31" s="144" t="s">
        <v>174</v>
      </c>
      <c r="AG31" s="144" t="s">
        <v>75</v>
      </c>
      <c r="AH31" s="144" t="s">
        <v>76</v>
      </c>
      <c r="AI31" s="145">
        <f>SUMIF(Ahu_Ashrae_sheet15[Zone],AHU1_CAV_SCHEDULE4451416[[#This Row],[ZONE]],Ahu_Ashrae_sheet15[DESIGN VAV MIN SA(CFM)])</f>
        <v>0</v>
      </c>
      <c r="AJ31" s="144">
        <f>SUMIF(Ahu_Ashrae_sheet15[Zone],AHU1_CAV_SCHEDULE4451416[[#This Row],[ZONE]],Ahu_Ashrae_sheet15[DESIGN VAV MAX SA(CFM)])</f>
        <v>0</v>
      </c>
      <c r="AK31" s="146" t="str">
        <f>IFERROR((VLOOKUP(AHU1_CAV_SCHEDULE4451416[[#This Row],[MAX VAV
(CFM)]],'DO NOT TOUCH'!$B$9:$C$14,2,TRUE)),"TBD")</f>
        <v>TBD</v>
      </c>
      <c r="AL31" s="146">
        <f t="shared" si="2"/>
        <v>0.5</v>
      </c>
      <c r="AM31" s="146">
        <f>AHU1_CAV_SCHEDULE4451416[[#This Row],[MIN VAV
(CFM)]]</f>
        <v>0</v>
      </c>
      <c r="AN31" s="146">
        <f>INPUT_OUTPUTS!$C$16</f>
        <v>140</v>
      </c>
      <c r="AO31" s="146">
        <f>INPUT_OUTPUTS!$C$17</f>
        <v>100</v>
      </c>
      <c r="AP31" s="146">
        <f t="shared" si="0"/>
        <v>55</v>
      </c>
      <c r="AQ31" s="146">
        <f t="shared" si="0"/>
        <v>80</v>
      </c>
      <c r="AR31" s="146">
        <f>MROUND((1.08*(AQ31-AP31)*AHU1_CAV_SCHEDULE4451416[[#This Row],[HEATING AIRFLOW 
(CFM)]])/1000,0.1)</f>
        <v>0</v>
      </c>
      <c r="AS31" s="147">
        <f t="shared" si="3"/>
        <v>0</v>
      </c>
      <c r="AT31" s="147">
        <f t="shared" si="1"/>
        <v>0.5</v>
      </c>
      <c r="AU31" s="147">
        <f t="shared" si="4"/>
        <v>5</v>
      </c>
      <c r="AV31" s="147" t="str">
        <f>IFERROR((_xlfn.XLOOKUP(AK31,'DO NOT TOUCH'!$C$9:$C$14,'DO NOT TOUCH'!$D$9:$D$14,)),"TBD")</f>
        <v>TBD</v>
      </c>
      <c r="AW31" s="147">
        <f>INPUT_OUTPUTS!$C$19</f>
        <v>0</v>
      </c>
      <c r="AX31" s="18" t="str">
        <f t="shared" si="5"/>
        <v>1, 2</v>
      </c>
    </row>
    <row r="32" spans="32:50" ht="15">
      <c r="AF32" s="144" t="s">
        <v>175</v>
      </c>
      <c r="AG32" s="144" t="s">
        <v>75</v>
      </c>
      <c r="AH32" s="144" t="s">
        <v>76</v>
      </c>
      <c r="AI32" s="145">
        <f>SUMIF(Ahu_Ashrae_sheet15[Zone],AHU1_CAV_SCHEDULE4451416[[#This Row],[ZONE]],Ahu_Ashrae_sheet15[DESIGN VAV MIN SA(CFM)])</f>
        <v>0</v>
      </c>
      <c r="AJ32" s="144">
        <f>SUMIF(Ahu_Ashrae_sheet15[Zone],AHU1_CAV_SCHEDULE4451416[[#This Row],[ZONE]],Ahu_Ashrae_sheet15[DESIGN VAV MAX SA(CFM)])</f>
        <v>0</v>
      </c>
      <c r="AK32" s="146" t="str">
        <f>IFERROR((VLOOKUP(AHU1_CAV_SCHEDULE4451416[[#This Row],[MAX VAV
(CFM)]],'DO NOT TOUCH'!$B$9:$C$14,2,TRUE)),"TBD")</f>
        <v>TBD</v>
      </c>
      <c r="AL32" s="146">
        <f t="shared" si="2"/>
        <v>0.5</v>
      </c>
      <c r="AM32" s="146">
        <f>AHU1_CAV_SCHEDULE4451416[[#This Row],[MIN VAV
(CFM)]]</f>
        <v>0</v>
      </c>
      <c r="AN32" s="146">
        <f>INPUT_OUTPUTS!$C$16</f>
        <v>140</v>
      </c>
      <c r="AO32" s="146">
        <f>INPUT_OUTPUTS!$C$17</f>
        <v>100</v>
      </c>
      <c r="AP32" s="146">
        <f t="shared" si="0"/>
        <v>55</v>
      </c>
      <c r="AQ32" s="146">
        <f t="shared" si="0"/>
        <v>80</v>
      </c>
      <c r="AR32" s="146">
        <f>MROUND((1.08*(AQ32-AP32)*AHU1_CAV_SCHEDULE4451416[[#This Row],[HEATING AIRFLOW 
(CFM)]])/1000,0.1)</f>
        <v>0</v>
      </c>
      <c r="AS32" s="147">
        <f t="shared" si="3"/>
        <v>0</v>
      </c>
      <c r="AT32" s="147">
        <f t="shared" si="1"/>
        <v>0.5</v>
      </c>
      <c r="AU32" s="147">
        <f t="shared" si="4"/>
        <v>5</v>
      </c>
      <c r="AV32" s="147" t="str">
        <f>IFERROR((_xlfn.XLOOKUP(AK32,'DO NOT TOUCH'!$C$9:$C$14,'DO NOT TOUCH'!$D$9:$D$14,)),"TBD")</f>
        <v>TBD</v>
      </c>
      <c r="AW32" s="147">
        <f>INPUT_OUTPUTS!$C$19</f>
        <v>0</v>
      </c>
      <c r="AX32" s="18" t="str">
        <f t="shared" si="5"/>
        <v>1, 2</v>
      </c>
    </row>
    <row r="33" spans="32:50" ht="15">
      <c r="AF33" s="144" t="s">
        <v>176</v>
      </c>
      <c r="AG33" s="144" t="s">
        <v>75</v>
      </c>
      <c r="AH33" s="144" t="s">
        <v>76</v>
      </c>
      <c r="AI33" s="145">
        <f>SUMIF(Ahu_Ashrae_sheet15[Zone],AHU1_CAV_SCHEDULE4451416[[#This Row],[ZONE]],Ahu_Ashrae_sheet15[DESIGN VAV MIN SA(CFM)])</f>
        <v>0</v>
      </c>
      <c r="AJ33" s="144">
        <f>SUMIF(Ahu_Ashrae_sheet15[Zone],AHU1_CAV_SCHEDULE4451416[[#This Row],[ZONE]],Ahu_Ashrae_sheet15[DESIGN VAV MAX SA(CFM)])</f>
        <v>0</v>
      </c>
      <c r="AK33" s="146" t="str">
        <f>IFERROR((VLOOKUP(AHU1_CAV_SCHEDULE4451416[[#This Row],[MAX VAV
(CFM)]],'DO NOT TOUCH'!$B$9:$C$14,2,TRUE)),"TBD")</f>
        <v>TBD</v>
      </c>
      <c r="AL33" s="146">
        <f t="shared" si="2"/>
        <v>0.5</v>
      </c>
      <c r="AM33" s="146">
        <f>AHU1_CAV_SCHEDULE4451416[[#This Row],[MIN VAV
(CFM)]]</f>
        <v>0</v>
      </c>
      <c r="AN33" s="146">
        <f>INPUT_OUTPUTS!$C$16</f>
        <v>140</v>
      </c>
      <c r="AO33" s="146">
        <f>INPUT_OUTPUTS!$C$17</f>
        <v>100</v>
      </c>
      <c r="AP33" s="146">
        <f t="shared" si="0"/>
        <v>55</v>
      </c>
      <c r="AQ33" s="146">
        <f t="shared" si="0"/>
        <v>80</v>
      </c>
      <c r="AR33" s="146">
        <f>MROUND((1.08*(AQ33-AP33)*AHU1_CAV_SCHEDULE4451416[[#This Row],[HEATING AIRFLOW 
(CFM)]])/1000,0.1)</f>
        <v>0</v>
      </c>
      <c r="AS33" s="147">
        <f t="shared" si="3"/>
        <v>0</v>
      </c>
      <c r="AT33" s="147">
        <f t="shared" si="1"/>
        <v>0.5</v>
      </c>
      <c r="AU33" s="147">
        <f t="shared" si="4"/>
        <v>5</v>
      </c>
      <c r="AV33" s="147" t="str">
        <f>IFERROR((_xlfn.XLOOKUP(AK33,'DO NOT TOUCH'!$C$9:$C$14,'DO NOT TOUCH'!$D$9:$D$14,)),"TBD")</f>
        <v>TBD</v>
      </c>
      <c r="AW33" s="147">
        <f>INPUT_OUTPUTS!$C$19</f>
        <v>0</v>
      </c>
      <c r="AX33" s="18" t="str">
        <f t="shared" si="5"/>
        <v>1, 2</v>
      </c>
    </row>
    <row r="34" spans="32:50" ht="15">
      <c r="AF34" s="144" t="s">
        <v>177</v>
      </c>
      <c r="AG34" s="144" t="s">
        <v>75</v>
      </c>
      <c r="AH34" s="144" t="s">
        <v>76</v>
      </c>
      <c r="AI34" s="145">
        <f>SUMIF(Ahu_Ashrae_sheet15[Zone],AHU1_CAV_SCHEDULE4451416[[#This Row],[ZONE]],Ahu_Ashrae_sheet15[DESIGN VAV MIN SA(CFM)])</f>
        <v>0</v>
      </c>
      <c r="AJ34" s="144">
        <f>SUMIF(Ahu_Ashrae_sheet15[Zone],AHU1_CAV_SCHEDULE4451416[[#This Row],[ZONE]],Ahu_Ashrae_sheet15[DESIGN VAV MAX SA(CFM)])</f>
        <v>0</v>
      </c>
      <c r="AK34" s="146" t="str">
        <f>IFERROR((VLOOKUP(AHU1_CAV_SCHEDULE4451416[[#This Row],[MAX VAV
(CFM)]],'DO NOT TOUCH'!$B$9:$C$14,2,TRUE)),"TBD")</f>
        <v>TBD</v>
      </c>
      <c r="AL34" s="146">
        <f t="shared" si="2"/>
        <v>0.5</v>
      </c>
      <c r="AM34" s="146">
        <f>AHU1_CAV_SCHEDULE4451416[[#This Row],[MIN VAV
(CFM)]]</f>
        <v>0</v>
      </c>
      <c r="AN34" s="146">
        <f>INPUT_OUTPUTS!$C$16</f>
        <v>140</v>
      </c>
      <c r="AO34" s="146">
        <f>INPUT_OUTPUTS!$C$17</f>
        <v>100</v>
      </c>
      <c r="AP34" s="146">
        <f t="shared" si="0"/>
        <v>55</v>
      </c>
      <c r="AQ34" s="146">
        <f t="shared" si="0"/>
        <v>80</v>
      </c>
      <c r="AR34" s="146">
        <f>MROUND((1.08*(AQ34-AP34)*AHU1_CAV_SCHEDULE4451416[[#This Row],[HEATING AIRFLOW 
(CFM)]])/1000,0.1)</f>
        <v>0</v>
      </c>
      <c r="AS34" s="147">
        <f t="shared" si="3"/>
        <v>0</v>
      </c>
      <c r="AT34" s="147">
        <f t="shared" si="1"/>
        <v>0.5</v>
      </c>
      <c r="AU34" s="147">
        <f t="shared" si="4"/>
        <v>5</v>
      </c>
      <c r="AV34" s="147" t="str">
        <f>IFERROR((_xlfn.XLOOKUP(AK34,'DO NOT TOUCH'!$C$9:$C$14,'DO NOT TOUCH'!$D$9:$D$14,)),"TBD")</f>
        <v>TBD</v>
      </c>
      <c r="AW34" s="147">
        <f>INPUT_OUTPUTS!$C$19</f>
        <v>0</v>
      </c>
      <c r="AX34" s="18" t="str">
        <f t="shared" si="5"/>
        <v>1, 2</v>
      </c>
    </row>
    <row r="35" spans="32:50" ht="15">
      <c r="AF35" s="144" t="s">
        <v>178</v>
      </c>
      <c r="AG35" s="144" t="s">
        <v>75</v>
      </c>
      <c r="AH35" s="144" t="s">
        <v>76</v>
      </c>
      <c r="AI35" s="145">
        <f>SUMIF(Ahu_Ashrae_sheet15[Zone],AHU1_CAV_SCHEDULE4451416[[#This Row],[ZONE]],Ahu_Ashrae_sheet15[DESIGN VAV MIN SA(CFM)])</f>
        <v>0</v>
      </c>
      <c r="AJ35" s="144">
        <f>SUMIF(Ahu_Ashrae_sheet15[Zone],AHU1_CAV_SCHEDULE4451416[[#This Row],[ZONE]],Ahu_Ashrae_sheet15[DESIGN VAV MAX SA(CFM)])</f>
        <v>0</v>
      </c>
      <c r="AK35" s="146" t="str">
        <f>IFERROR((VLOOKUP(AHU1_CAV_SCHEDULE4451416[[#This Row],[MAX VAV
(CFM)]],'DO NOT TOUCH'!$B$9:$C$14,2,TRUE)),"TBD")</f>
        <v>TBD</v>
      </c>
      <c r="AL35" s="146">
        <f t="shared" si="2"/>
        <v>0.5</v>
      </c>
      <c r="AM35" s="146">
        <f>AHU1_CAV_SCHEDULE4451416[[#This Row],[MIN VAV
(CFM)]]</f>
        <v>0</v>
      </c>
      <c r="AN35" s="146">
        <f>INPUT_OUTPUTS!$C$16</f>
        <v>140</v>
      </c>
      <c r="AO35" s="146">
        <f>INPUT_OUTPUTS!$C$17</f>
        <v>100</v>
      </c>
      <c r="AP35" s="146">
        <f t="shared" si="0"/>
        <v>55</v>
      </c>
      <c r="AQ35" s="146">
        <f t="shared" si="0"/>
        <v>80</v>
      </c>
      <c r="AR35" s="146">
        <f>MROUND((1.08*(AQ35-AP35)*AHU1_CAV_SCHEDULE4451416[[#This Row],[HEATING AIRFLOW 
(CFM)]])/1000,0.1)</f>
        <v>0</v>
      </c>
      <c r="AS35" s="147">
        <f t="shared" si="3"/>
        <v>0</v>
      </c>
      <c r="AT35" s="147">
        <f t="shared" si="1"/>
        <v>0.5</v>
      </c>
      <c r="AU35" s="147">
        <f t="shared" si="4"/>
        <v>5</v>
      </c>
      <c r="AV35" s="147" t="str">
        <f>IFERROR((_xlfn.XLOOKUP(AK35,'DO NOT TOUCH'!$C$9:$C$14,'DO NOT TOUCH'!$D$9:$D$14,)),"TBD")</f>
        <v>TBD</v>
      </c>
      <c r="AW35" s="147">
        <f>INPUT_OUTPUTS!$C$19</f>
        <v>0</v>
      </c>
      <c r="AX35" s="18" t="str">
        <f t="shared" si="5"/>
        <v>1, 2</v>
      </c>
    </row>
    <row r="36" spans="32:50" ht="15">
      <c r="AF36" s="144" t="s">
        <v>179</v>
      </c>
      <c r="AG36" s="144" t="s">
        <v>75</v>
      </c>
      <c r="AH36" s="144" t="s">
        <v>76</v>
      </c>
      <c r="AI36" s="145">
        <f>SUMIF(Ahu_Ashrae_sheet15[Zone],AHU1_CAV_SCHEDULE4451416[[#This Row],[ZONE]],Ahu_Ashrae_sheet15[DESIGN VAV MIN SA(CFM)])</f>
        <v>0</v>
      </c>
      <c r="AJ36" s="144">
        <f>SUMIF(Ahu_Ashrae_sheet15[Zone],AHU1_CAV_SCHEDULE4451416[[#This Row],[ZONE]],Ahu_Ashrae_sheet15[DESIGN VAV MAX SA(CFM)])</f>
        <v>0</v>
      </c>
      <c r="AK36" s="146" t="str">
        <f>IFERROR((VLOOKUP(AHU1_CAV_SCHEDULE4451416[[#This Row],[MAX VAV
(CFM)]],'DO NOT TOUCH'!$B$9:$C$14,2,TRUE)),"TBD")</f>
        <v>TBD</v>
      </c>
      <c r="AL36" s="146">
        <f t="shared" si="2"/>
        <v>0.5</v>
      </c>
      <c r="AM36" s="146">
        <f>AHU1_CAV_SCHEDULE4451416[[#This Row],[MIN VAV
(CFM)]]</f>
        <v>0</v>
      </c>
      <c r="AN36" s="146">
        <f>INPUT_OUTPUTS!$C$16</f>
        <v>140</v>
      </c>
      <c r="AO36" s="146">
        <f>INPUT_OUTPUTS!$C$17</f>
        <v>100</v>
      </c>
      <c r="AP36" s="146">
        <f t="shared" si="0"/>
        <v>55</v>
      </c>
      <c r="AQ36" s="146">
        <f t="shared" si="0"/>
        <v>80</v>
      </c>
      <c r="AR36" s="146">
        <f>MROUND((1.08*(AQ36-AP36)*AHU1_CAV_SCHEDULE4451416[[#This Row],[HEATING AIRFLOW 
(CFM)]])/1000,0.1)</f>
        <v>0</v>
      </c>
      <c r="AS36" s="147">
        <f t="shared" si="3"/>
        <v>0</v>
      </c>
      <c r="AT36" s="147">
        <f t="shared" si="1"/>
        <v>0.5</v>
      </c>
      <c r="AU36" s="147">
        <f t="shared" si="4"/>
        <v>5</v>
      </c>
      <c r="AV36" s="147" t="str">
        <f>IFERROR((_xlfn.XLOOKUP(AK36,'DO NOT TOUCH'!$C$9:$C$14,'DO NOT TOUCH'!$D$9:$D$14,)),"TBD")</f>
        <v>TBD</v>
      </c>
      <c r="AW36" s="147">
        <f>INPUT_OUTPUTS!$C$19</f>
        <v>0</v>
      </c>
      <c r="AX36" s="18" t="str">
        <f t="shared" si="5"/>
        <v>1, 2</v>
      </c>
    </row>
    <row r="37" spans="32:50" ht="15">
      <c r="AF37" s="144" t="s">
        <v>180</v>
      </c>
      <c r="AG37" s="144" t="s">
        <v>75</v>
      </c>
      <c r="AH37" s="144" t="s">
        <v>76</v>
      </c>
      <c r="AI37" s="145">
        <f>SUMIF(Ahu_Ashrae_sheet15[Zone],AHU1_CAV_SCHEDULE4451416[[#This Row],[ZONE]],Ahu_Ashrae_sheet15[DESIGN VAV MIN SA(CFM)])</f>
        <v>0</v>
      </c>
      <c r="AJ37" s="144">
        <f>SUMIF(Ahu_Ashrae_sheet15[Zone],AHU1_CAV_SCHEDULE4451416[[#This Row],[ZONE]],Ahu_Ashrae_sheet15[DESIGN VAV MAX SA(CFM)])</f>
        <v>0</v>
      </c>
      <c r="AK37" s="146" t="str">
        <f>IFERROR((VLOOKUP(AHU1_CAV_SCHEDULE4451416[[#This Row],[MAX VAV
(CFM)]],'DO NOT TOUCH'!$B$9:$C$14,2,TRUE)),"TBD")</f>
        <v>TBD</v>
      </c>
      <c r="AL37" s="146">
        <f t="shared" si="2"/>
        <v>0.5</v>
      </c>
      <c r="AM37" s="146">
        <f>AHU1_CAV_SCHEDULE4451416[[#This Row],[MIN VAV
(CFM)]]</f>
        <v>0</v>
      </c>
      <c r="AN37" s="146">
        <f>INPUT_OUTPUTS!$C$16</f>
        <v>140</v>
      </c>
      <c r="AO37" s="146">
        <f>INPUT_OUTPUTS!$C$17</f>
        <v>100</v>
      </c>
      <c r="AP37" s="146">
        <f t="shared" ref="AP37:AQ52" si="6">AP36</f>
        <v>55</v>
      </c>
      <c r="AQ37" s="146">
        <f t="shared" si="6"/>
        <v>80</v>
      </c>
      <c r="AR37" s="146">
        <f>MROUND((1.08*(AQ37-AP37)*AHU1_CAV_SCHEDULE4451416[[#This Row],[HEATING AIRFLOW 
(CFM)]])/1000,0.1)</f>
        <v>0</v>
      </c>
      <c r="AS37" s="147">
        <f t="shared" si="3"/>
        <v>0</v>
      </c>
      <c r="AT37" s="147">
        <f t="shared" si="1"/>
        <v>0.5</v>
      </c>
      <c r="AU37" s="147">
        <f t="shared" si="4"/>
        <v>5</v>
      </c>
      <c r="AV37" s="147" t="str">
        <f>IFERROR((_xlfn.XLOOKUP(AK37,'DO NOT TOUCH'!$C$9:$C$14,'DO NOT TOUCH'!$D$9:$D$14,)),"TBD")</f>
        <v>TBD</v>
      </c>
      <c r="AW37" s="147">
        <f>INPUT_OUTPUTS!$C$19</f>
        <v>0</v>
      </c>
      <c r="AX37" s="18" t="str">
        <f t="shared" si="5"/>
        <v>1, 2</v>
      </c>
    </row>
    <row r="38" spans="32:50" ht="15">
      <c r="AF38" s="144" t="s">
        <v>181</v>
      </c>
      <c r="AG38" s="144" t="s">
        <v>75</v>
      </c>
      <c r="AH38" s="144" t="s">
        <v>76</v>
      </c>
      <c r="AI38" s="145">
        <f>SUMIF(Ahu_Ashrae_sheet15[Zone],AHU1_CAV_SCHEDULE4451416[[#This Row],[ZONE]],Ahu_Ashrae_sheet15[DESIGN VAV MIN SA(CFM)])</f>
        <v>0</v>
      </c>
      <c r="AJ38" s="144">
        <f>SUMIF(Ahu_Ashrae_sheet15[Zone],AHU1_CAV_SCHEDULE4451416[[#This Row],[ZONE]],Ahu_Ashrae_sheet15[DESIGN VAV MAX SA(CFM)])</f>
        <v>0</v>
      </c>
      <c r="AK38" s="146" t="str">
        <f>IFERROR((VLOOKUP(AHU1_CAV_SCHEDULE4451416[[#This Row],[MAX VAV
(CFM)]],'DO NOT TOUCH'!$B$9:$C$14,2,TRUE)),"TBD")</f>
        <v>TBD</v>
      </c>
      <c r="AL38" s="146">
        <f t="shared" si="2"/>
        <v>0.5</v>
      </c>
      <c r="AM38" s="146">
        <f>AHU1_CAV_SCHEDULE4451416[[#This Row],[MIN VAV
(CFM)]]</f>
        <v>0</v>
      </c>
      <c r="AN38" s="146">
        <f>INPUT_OUTPUTS!$C$16</f>
        <v>140</v>
      </c>
      <c r="AO38" s="146">
        <f>INPUT_OUTPUTS!$C$17</f>
        <v>100</v>
      </c>
      <c r="AP38" s="146">
        <f t="shared" si="6"/>
        <v>55</v>
      </c>
      <c r="AQ38" s="146">
        <f t="shared" si="6"/>
        <v>80</v>
      </c>
      <c r="AR38" s="146">
        <f>MROUND((1.08*(AQ38-AP38)*AHU1_CAV_SCHEDULE4451416[[#This Row],[HEATING AIRFLOW 
(CFM)]])/1000,0.1)</f>
        <v>0</v>
      </c>
      <c r="AS38" s="147">
        <f t="shared" si="3"/>
        <v>0</v>
      </c>
      <c r="AT38" s="147">
        <f t="shared" si="1"/>
        <v>0.5</v>
      </c>
      <c r="AU38" s="147">
        <f t="shared" si="4"/>
        <v>5</v>
      </c>
      <c r="AV38" s="147" t="str">
        <f>IFERROR((_xlfn.XLOOKUP(AK38,'DO NOT TOUCH'!$C$9:$C$14,'DO NOT TOUCH'!$D$9:$D$14,)),"TBD")</f>
        <v>TBD</v>
      </c>
      <c r="AW38" s="147">
        <f>INPUT_OUTPUTS!$C$19</f>
        <v>0</v>
      </c>
      <c r="AX38" s="18" t="str">
        <f t="shared" si="5"/>
        <v>1, 2</v>
      </c>
    </row>
    <row r="39" spans="32:50" ht="15">
      <c r="AF39" s="144" t="s">
        <v>182</v>
      </c>
      <c r="AG39" s="144" t="s">
        <v>75</v>
      </c>
      <c r="AH39" s="144" t="s">
        <v>76</v>
      </c>
      <c r="AI39" s="145">
        <f>SUMIF(Ahu_Ashrae_sheet15[Zone],AHU1_CAV_SCHEDULE4451416[[#This Row],[ZONE]],Ahu_Ashrae_sheet15[DESIGN VAV MIN SA(CFM)])</f>
        <v>0</v>
      </c>
      <c r="AJ39" s="144">
        <f>SUMIF(Ahu_Ashrae_sheet15[Zone],AHU1_CAV_SCHEDULE4451416[[#This Row],[ZONE]],Ahu_Ashrae_sheet15[DESIGN VAV MAX SA(CFM)])</f>
        <v>0</v>
      </c>
      <c r="AK39" s="146" t="str">
        <f>IFERROR((VLOOKUP(AHU1_CAV_SCHEDULE4451416[[#This Row],[MAX VAV
(CFM)]],'DO NOT TOUCH'!$B$9:$C$14,2,TRUE)),"TBD")</f>
        <v>TBD</v>
      </c>
      <c r="AL39" s="146">
        <f t="shared" si="2"/>
        <v>0.5</v>
      </c>
      <c r="AM39" s="146">
        <f>AHU1_CAV_SCHEDULE4451416[[#This Row],[MIN VAV
(CFM)]]</f>
        <v>0</v>
      </c>
      <c r="AN39" s="146">
        <f>INPUT_OUTPUTS!$C$16</f>
        <v>140</v>
      </c>
      <c r="AO39" s="146">
        <f>INPUT_OUTPUTS!$C$17</f>
        <v>100</v>
      </c>
      <c r="AP39" s="146">
        <f t="shared" si="6"/>
        <v>55</v>
      </c>
      <c r="AQ39" s="146">
        <f t="shared" si="6"/>
        <v>80</v>
      </c>
      <c r="AR39" s="146">
        <f>MROUND((1.08*(AQ39-AP39)*AHU1_CAV_SCHEDULE4451416[[#This Row],[HEATING AIRFLOW 
(CFM)]])/1000,0.1)</f>
        <v>0</v>
      </c>
      <c r="AS39" s="147">
        <f t="shared" si="3"/>
        <v>0</v>
      </c>
      <c r="AT39" s="147">
        <f t="shared" si="1"/>
        <v>0.5</v>
      </c>
      <c r="AU39" s="147">
        <f t="shared" si="4"/>
        <v>5</v>
      </c>
      <c r="AV39" s="147" t="str">
        <f>IFERROR((_xlfn.XLOOKUP(AK39,'DO NOT TOUCH'!$C$9:$C$14,'DO NOT TOUCH'!$D$9:$D$14,)),"TBD")</f>
        <v>TBD</v>
      </c>
      <c r="AW39" s="147">
        <f>INPUT_OUTPUTS!$C$19</f>
        <v>0</v>
      </c>
      <c r="AX39" s="18" t="str">
        <f t="shared" si="5"/>
        <v>1, 2</v>
      </c>
    </row>
    <row r="40" spans="32:50" ht="15">
      <c r="AF40" s="144" t="s">
        <v>183</v>
      </c>
      <c r="AG40" s="144" t="s">
        <v>75</v>
      </c>
      <c r="AH40" s="144" t="s">
        <v>76</v>
      </c>
      <c r="AI40" s="145">
        <f>SUMIF(Ahu_Ashrae_sheet15[Zone],AHU1_CAV_SCHEDULE4451416[[#This Row],[ZONE]],Ahu_Ashrae_sheet15[DESIGN VAV MIN SA(CFM)])</f>
        <v>0</v>
      </c>
      <c r="AJ40" s="144">
        <f>SUMIF(Ahu_Ashrae_sheet15[Zone],AHU1_CAV_SCHEDULE4451416[[#This Row],[ZONE]],Ahu_Ashrae_sheet15[DESIGN VAV MAX SA(CFM)])</f>
        <v>0</v>
      </c>
      <c r="AK40" s="146" t="str">
        <f>IFERROR((VLOOKUP(AHU1_CAV_SCHEDULE4451416[[#This Row],[MAX VAV
(CFM)]],'DO NOT TOUCH'!$B$9:$C$14,2,TRUE)),"TBD")</f>
        <v>TBD</v>
      </c>
      <c r="AL40" s="146">
        <f t="shared" si="2"/>
        <v>0.5</v>
      </c>
      <c r="AM40" s="146">
        <f>AHU1_CAV_SCHEDULE4451416[[#This Row],[MIN VAV
(CFM)]]</f>
        <v>0</v>
      </c>
      <c r="AN40" s="146">
        <f>INPUT_OUTPUTS!$C$16</f>
        <v>140</v>
      </c>
      <c r="AO40" s="146">
        <f>INPUT_OUTPUTS!$C$17</f>
        <v>100</v>
      </c>
      <c r="AP40" s="146">
        <f t="shared" si="6"/>
        <v>55</v>
      </c>
      <c r="AQ40" s="146">
        <f t="shared" si="6"/>
        <v>80</v>
      </c>
      <c r="AR40" s="146">
        <f>MROUND((1.08*(AQ40-AP40)*AHU1_CAV_SCHEDULE4451416[[#This Row],[HEATING AIRFLOW 
(CFM)]])/1000,0.1)</f>
        <v>0</v>
      </c>
      <c r="AS40" s="147">
        <f t="shared" si="3"/>
        <v>0</v>
      </c>
      <c r="AT40" s="147">
        <f t="shared" si="1"/>
        <v>0.5</v>
      </c>
      <c r="AU40" s="147">
        <f t="shared" si="4"/>
        <v>5</v>
      </c>
      <c r="AV40" s="147" t="str">
        <f>IFERROR((_xlfn.XLOOKUP(AK40,'DO NOT TOUCH'!$C$9:$C$14,'DO NOT TOUCH'!$D$9:$D$14,)),"TBD")</f>
        <v>TBD</v>
      </c>
      <c r="AW40" s="147">
        <f>INPUT_OUTPUTS!$C$19</f>
        <v>0</v>
      </c>
      <c r="AX40" s="18" t="str">
        <f t="shared" si="5"/>
        <v>1, 2</v>
      </c>
    </row>
    <row r="41" spans="32:50" ht="15">
      <c r="AF41" s="144" t="s">
        <v>184</v>
      </c>
      <c r="AG41" s="144" t="s">
        <v>75</v>
      </c>
      <c r="AH41" s="144" t="s">
        <v>76</v>
      </c>
      <c r="AI41" s="145">
        <f>SUMIF(Ahu_Ashrae_sheet15[Zone],AHU1_CAV_SCHEDULE4451416[[#This Row],[ZONE]],Ahu_Ashrae_sheet15[DESIGN VAV MIN SA(CFM)])</f>
        <v>0</v>
      </c>
      <c r="AJ41" s="144">
        <f>SUMIF(Ahu_Ashrae_sheet15[Zone],AHU1_CAV_SCHEDULE4451416[[#This Row],[ZONE]],Ahu_Ashrae_sheet15[DESIGN VAV MAX SA(CFM)])</f>
        <v>0</v>
      </c>
      <c r="AK41" s="146" t="str">
        <f>IFERROR((VLOOKUP(AHU1_CAV_SCHEDULE4451416[[#This Row],[MAX VAV
(CFM)]],'DO NOT TOUCH'!$B$9:$C$14,2,TRUE)),"TBD")</f>
        <v>TBD</v>
      </c>
      <c r="AL41" s="146">
        <f t="shared" si="2"/>
        <v>0.5</v>
      </c>
      <c r="AM41" s="146">
        <f>AHU1_CAV_SCHEDULE4451416[[#This Row],[MIN VAV
(CFM)]]</f>
        <v>0</v>
      </c>
      <c r="AN41" s="146">
        <f>INPUT_OUTPUTS!$C$16</f>
        <v>140</v>
      </c>
      <c r="AO41" s="146">
        <f>INPUT_OUTPUTS!$C$17</f>
        <v>100</v>
      </c>
      <c r="AP41" s="146">
        <f t="shared" si="6"/>
        <v>55</v>
      </c>
      <c r="AQ41" s="146">
        <f t="shared" si="6"/>
        <v>80</v>
      </c>
      <c r="AR41" s="146">
        <f>MROUND((1.08*(AQ41-AP41)*AHU1_CAV_SCHEDULE4451416[[#This Row],[HEATING AIRFLOW 
(CFM)]])/1000,0.1)</f>
        <v>0</v>
      </c>
      <c r="AS41" s="147">
        <f t="shared" si="3"/>
        <v>0</v>
      </c>
      <c r="AT41" s="147">
        <f t="shared" si="1"/>
        <v>0.5</v>
      </c>
      <c r="AU41" s="147">
        <f t="shared" si="4"/>
        <v>5</v>
      </c>
      <c r="AV41" s="147" t="str">
        <f>IFERROR((_xlfn.XLOOKUP(AK41,'DO NOT TOUCH'!$C$9:$C$14,'DO NOT TOUCH'!$D$9:$D$14,)),"TBD")</f>
        <v>TBD</v>
      </c>
      <c r="AW41" s="147">
        <f>INPUT_OUTPUTS!$C$19</f>
        <v>0</v>
      </c>
      <c r="AX41" s="18" t="str">
        <f t="shared" si="5"/>
        <v>1, 2</v>
      </c>
    </row>
    <row r="42" spans="32:50" ht="15">
      <c r="AF42" s="144" t="s">
        <v>185</v>
      </c>
      <c r="AG42" s="144" t="s">
        <v>75</v>
      </c>
      <c r="AH42" s="144" t="s">
        <v>76</v>
      </c>
      <c r="AI42" s="145">
        <f>SUMIF(Ahu_Ashrae_sheet15[Zone],AHU1_CAV_SCHEDULE4451416[[#This Row],[ZONE]],Ahu_Ashrae_sheet15[DESIGN VAV MIN SA(CFM)])</f>
        <v>0</v>
      </c>
      <c r="AJ42" s="144">
        <f>SUMIF(Ahu_Ashrae_sheet15[Zone],AHU1_CAV_SCHEDULE4451416[[#This Row],[ZONE]],Ahu_Ashrae_sheet15[DESIGN VAV MAX SA(CFM)])</f>
        <v>0</v>
      </c>
      <c r="AK42" s="146" t="str">
        <f>IFERROR((VLOOKUP(AHU1_CAV_SCHEDULE4451416[[#This Row],[MAX VAV
(CFM)]],'DO NOT TOUCH'!$B$9:$C$14,2,TRUE)),"TBD")</f>
        <v>TBD</v>
      </c>
      <c r="AL42" s="146">
        <f t="shared" si="2"/>
        <v>0.5</v>
      </c>
      <c r="AM42" s="146">
        <f>AHU1_CAV_SCHEDULE4451416[[#This Row],[MIN VAV
(CFM)]]</f>
        <v>0</v>
      </c>
      <c r="AN42" s="146">
        <f>INPUT_OUTPUTS!$C$16</f>
        <v>140</v>
      </c>
      <c r="AO42" s="146">
        <f>INPUT_OUTPUTS!$C$17</f>
        <v>100</v>
      </c>
      <c r="AP42" s="146">
        <f t="shared" si="6"/>
        <v>55</v>
      </c>
      <c r="AQ42" s="146">
        <f t="shared" si="6"/>
        <v>80</v>
      </c>
      <c r="AR42" s="146">
        <f>MROUND((1.08*(AQ42-AP42)*AHU1_CAV_SCHEDULE4451416[[#This Row],[HEATING AIRFLOW 
(CFM)]])/1000,0.1)</f>
        <v>0</v>
      </c>
      <c r="AS42" s="147">
        <f t="shared" si="3"/>
        <v>0</v>
      </c>
      <c r="AT42" s="147">
        <f t="shared" si="1"/>
        <v>0.5</v>
      </c>
      <c r="AU42" s="147">
        <f t="shared" si="4"/>
        <v>5</v>
      </c>
      <c r="AV42" s="147" t="str">
        <f>IFERROR((_xlfn.XLOOKUP(AK42,'DO NOT TOUCH'!$C$9:$C$14,'DO NOT TOUCH'!$D$9:$D$14,)),"TBD")</f>
        <v>TBD</v>
      </c>
      <c r="AW42" s="147">
        <f>INPUT_OUTPUTS!$C$19</f>
        <v>0</v>
      </c>
      <c r="AX42" s="18" t="str">
        <f t="shared" si="5"/>
        <v>1, 2</v>
      </c>
    </row>
    <row r="43" spans="32:50" ht="15">
      <c r="AF43" s="144" t="s">
        <v>186</v>
      </c>
      <c r="AG43" s="144" t="s">
        <v>75</v>
      </c>
      <c r="AH43" s="144" t="s">
        <v>76</v>
      </c>
      <c r="AI43" s="145">
        <f>SUMIF(Ahu_Ashrae_sheet15[Zone],AHU1_CAV_SCHEDULE4451416[[#This Row],[ZONE]],Ahu_Ashrae_sheet15[DESIGN VAV MIN SA(CFM)])</f>
        <v>0</v>
      </c>
      <c r="AJ43" s="144">
        <f>SUMIF(Ahu_Ashrae_sheet15[Zone],AHU1_CAV_SCHEDULE4451416[[#This Row],[ZONE]],Ahu_Ashrae_sheet15[DESIGN VAV MAX SA(CFM)])</f>
        <v>0</v>
      </c>
      <c r="AK43" s="146" t="str">
        <f>IFERROR((VLOOKUP(AHU1_CAV_SCHEDULE4451416[[#This Row],[MAX VAV
(CFM)]],'DO NOT TOUCH'!$B$9:$C$14,2,TRUE)),"TBD")</f>
        <v>TBD</v>
      </c>
      <c r="AL43" s="146">
        <f t="shared" si="2"/>
        <v>0.5</v>
      </c>
      <c r="AM43" s="146">
        <f>AHU1_CAV_SCHEDULE4451416[[#This Row],[MIN VAV
(CFM)]]</f>
        <v>0</v>
      </c>
      <c r="AN43" s="146">
        <f>INPUT_OUTPUTS!$C$16</f>
        <v>140</v>
      </c>
      <c r="AO43" s="146">
        <f>INPUT_OUTPUTS!$C$17</f>
        <v>100</v>
      </c>
      <c r="AP43" s="146">
        <f t="shared" si="6"/>
        <v>55</v>
      </c>
      <c r="AQ43" s="146">
        <f t="shared" si="6"/>
        <v>80</v>
      </c>
      <c r="AR43" s="146">
        <f>MROUND((1.08*(AQ43-AP43)*AHU1_CAV_SCHEDULE4451416[[#This Row],[HEATING AIRFLOW 
(CFM)]])/1000,0.1)</f>
        <v>0</v>
      </c>
      <c r="AS43" s="147">
        <f t="shared" si="3"/>
        <v>0</v>
      </c>
      <c r="AT43" s="147">
        <f t="shared" si="1"/>
        <v>0.5</v>
      </c>
      <c r="AU43" s="147">
        <f t="shared" si="4"/>
        <v>5</v>
      </c>
      <c r="AV43" s="147" t="str">
        <f>IFERROR((_xlfn.XLOOKUP(AK43,'DO NOT TOUCH'!$C$9:$C$14,'DO NOT TOUCH'!$D$9:$D$14,)),"TBD")</f>
        <v>TBD</v>
      </c>
      <c r="AW43" s="147">
        <f>INPUT_OUTPUTS!$C$19</f>
        <v>0</v>
      </c>
      <c r="AX43" s="18" t="str">
        <f t="shared" si="5"/>
        <v>1, 2</v>
      </c>
    </row>
    <row r="44" spans="32:50" ht="15">
      <c r="AF44" s="144" t="s">
        <v>187</v>
      </c>
      <c r="AG44" s="144" t="s">
        <v>75</v>
      </c>
      <c r="AH44" s="144" t="s">
        <v>76</v>
      </c>
      <c r="AI44" s="145">
        <f>SUMIF(Ahu_Ashrae_sheet15[Zone],AHU1_CAV_SCHEDULE4451416[[#This Row],[ZONE]],Ahu_Ashrae_sheet15[DESIGN VAV MIN SA(CFM)])</f>
        <v>0</v>
      </c>
      <c r="AJ44" s="144">
        <f>SUMIF(Ahu_Ashrae_sheet15[Zone],AHU1_CAV_SCHEDULE4451416[[#This Row],[ZONE]],Ahu_Ashrae_sheet15[DESIGN VAV MAX SA(CFM)])</f>
        <v>0</v>
      </c>
      <c r="AK44" s="146" t="str">
        <f>IFERROR((VLOOKUP(AHU1_CAV_SCHEDULE4451416[[#This Row],[MAX VAV
(CFM)]],'DO NOT TOUCH'!$B$9:$C$14,2,TRUE)),"TBD")</f>
        <v>TBD</v>
      </c>
      <c r="AL44" s="146">
        <f t="shared" si="2"/>
        <v>0.5</v>
      </c>
      <c r="AM44" s="146">
        <f>AHU1_CAV_SCHEDULE4451416[[#This Row],[MIN VAV
(CFM)]]</f>
        <v>0</v>
      </c>
      <c r="AN44" s="146">
        <f>INPUT_OUTPUTS!$C$16</f>
        <v>140</v>
      </c>
      <c r="AO44" s="146">
        <f>INPUT_OUTPUTS!$C$17</f>
        <v>100</v>
      </c>
      <c r="AP44" s="146">
        <f t="shared" si="6"/>
        <v>55</v>
      </c>
      <c r="AQ44" s="146">
        <f t="shared" si="6"/>
        <v>80</v>
      </c>
      <c r="AR44" s="146">
        <f>MROUND((1.08*(AQ44-AP44)*AHU1_CAV_SCHEDULE4451416[[#This Row],[HEATING AIRFLOW 
(CFM)]])/1000,0.1)</f>
        <v>0</v>
      </c>
      <c r="AS44" s="147">
        <f t="shared" si="3"/>
        <v>0</v>
      </c>
      <c r="AT44" s="147">
        <f t="shared" si="1"/>
        <v>0.5</v>
      </c>
      <c r="AU44" s="147">
        <f t="shared" si="4"/>
        <v>5</v>
      </c>
      <c r="AV44" s="147" t="str">
        <f>IFERROR((_xlfn.XLOOKUP(AK44,'DO NOT TOUCH'!$C$9:$C$14,'DO NOT TOUCH'!$D$9:$D$14,)),"TBD")</f>
        <v>TBD</v>
      </c>
      <c r="AW44" s="147">
        <f>INPUT_OUTPUTS!$C$19</f>
        <v>0</v>
      </c>
      <c r="AX44" s="18" t="str">
        <f t="shared" si="5"/>
        <v>1, 2</v>
      </c>
    </row>
    <row r="45" spans="32:50" ht="15">
      <c r="AF45" s="144" t="s">
        <v>188</v>
      </c>
      <c r="AG45" s="144" t="s">
        <v>75</v>
      </c>
      <c r="AH45" s="144" t="s">
        <v>76</v>
      </c>
      <c r="AI45" s="145">
        <f>SUMIF(Ahu_Ashrae_sheet15[Zone],AHU1_CAV_SCHEDULE4451416[[#This Row],[ZONE]],Ahu_Ashrae_sheet15[DESIGN VAV MIN SA(CFM)])</f>
        <v>0</v>
      </c>
      <c r="AJ45" s="144">
        <f>SUMIF(Ahu_Ashrae_sheet15[Zone],AHU1_CAV_SCHEDULE4451416[[#This Row],[ZONE]],Ahu_Ashrae_sheet15[DESIGN VAV MAX SA(CFM)])</f>
        <v>0</v>
      </c>
      <c r="AK45" s="146" t="str">
        <f>IFERROR((VLOOKUP(AHU1_CAV_SCHEDULE4451416[[#This Row],[MAX VAV
(CFM)]],'DO NOT TOUCH'!$B$9:$C$14,2,TRUE)),"TBD")</f>
        <v>TBD</v>
      </c>
      <c r="AL45" s="146">
        <f t="shared" si="2"/>
        <v>0.5</v>
      </c>
      <c r="AM45" s="146">
        <f>AHU1_CAV_SCHEDULE4451416[[#This Row],[MIN VAV
(CFM)]]</f>
        <v>0</v>
      </c>
      <c r="AN45" s="146">
        <f>INPUT_OUTPUTS!$C$16</f>
        <v>140</v>
      </c>
      <c r="AO45" s="146">
        <f>INPUT_OUTPUTS!$C$17</f>
        <v>100</v>
      </c>
      <c r="AP45" s="146">
        <f t="shared" si="6"/>
        <v>55</v>
      </c>
      <c r="AQ45" s="146">
        <f t="shared" si="6"/>
        <v>80</v>
      </c>
      <c r="AR45" s="146">
        <f>MROUND((1.08*(AQ45-AP45)*AHU1_CAV_SCHEDULE4451416[[#This Row],[HEATING AIRFLOW 
(CFM)]])/1000,0.1)</f>
        <v>0</v>
      </c>
      <c r="AS45" s="147">
        <f t="shared" si="3"/>
        <v>0</v>
      </c>
      <c r="AT45" s="147">
        <f t="shared" si="1"/>
        <v>0.5</v>
      </c>
      <c r="AU45" s="147">
        <f t="shared" si="4"/>
        <v>5</v>
      </c>
      <c r="AV45" s="147" t="str">
        <f>IFERROR((_xlfn.XLOOKUP(AK45,'DO NOT TOUCH'!$C$9:$C$14,'DO NOT TOUCH'!$D$9:$D$14,)),"TBD")</f>
        <v>TBD</v>
      </c>
      <c r="AW45" s="147">
        <f>INPUT_OUTPUTS!$C$19</f>
        <v>0</v>
      </c>
      <c r="AX45" s="18" t="str">
        <f t="shared" si="5"/>
        <v>1, 2</v>
      </c>
    </row>
    <row r="46" spans="32:50" ht="15">
      <c r="AF46" s="144" t="s">
        <v>189</v>
      </c>
      <c r="AG46" s="144" t="s">
        <v>75</v>
      </c>
      <c r="AH46" s="144" t="s">
        <v>76</v>
      </c>
      <c r="AI46" s="145">
        <f>SUMIF(Ahu_Ashrae_sheet15[Zone],AHU1_CAV_SCHEDULE4451416[[#This Row],[ZONE]],Ahu_Ashrae_sheet15[DESIGN VAV MIN SA(CFM)])</f>
        <v>0</v>
      </c>
      <c r="AJ46" s="144">
        <f>SUMIF(Ahu_Ashrae_sheet15[Zone],AHU1_CAV_SCHEDULE4451416[[#This Row],[ZONE]],Ahu_Ashrae_sheet15[DESIGN VAV MAX SA(CFM)])</f>
        <v>0</v>
      </c>
      <c r="AK46" s="146" t="str">
        <f>IFERROR((VLOOKUP(AHU1_CAV_SCHEDULE4451416[[#This Row],[MAX VAV
(CFM)]],'DO NOT TOUCH'!$B$9:$C$14,2,TRUE)),"TBD")</f>
        <v>TBD</v>
      </c>
      <c r="AL46" s="146">
        <f t="shared" si="2"/>
        <v>0.5</v>
      </c>
      <c r="AM46" s="146">
        <f>AHU1_CAV_SCHEDULE4451416[[#This Row],[MIN VAV
(CFM)]]</f>
        <v>0</v>
      </c>
      <c r="AN46" s="146">
        <f>INPUT_OUTPUTS!$C$16</f>
        <v>140</v>
      </c>
      <c r="AO46" s="146">
        <f>INPUT_OUTPUTS!$C$17</f>
        <v>100</v>
      </c>
      <c r="AP46" s="146">
        <f t="shared" si="6"/>
        <v>55</v>
      </c>
      <c r="AQ46" s="146">
        <f t="shared" si="6"/>
        <v>80</v>
      </c>
      <c r="AR46" s="146">
        <f>MROUND((1.08*(AQ46-AP46)*AHU1_CAV_SCHEDULE4451416[[#This Row],[HEATING AIRFLOW 
(CFM)]])/1000,0.1)</f>
        <v>0</v>
      </c>
      <c r="AS46" s="147">
        <f t="shared" si="3"/>
        <v>0</v>
      </c>
      <c r="AT46" s="147">
        <f t="shared" si="1"/>
        <v>0.5</v>
      </c>
      <c r="AU46" s="147">
        <f t="shared" si="4"/>
        <v>5</v>
      </c>
      <c r="AV46" s="147" t="str">
        <f>IFERROR((_xlfn.XLOOKUP(AK46,'DO NOT TOUCH'!$C$9:$C$14,'DO NOT TOUCH'!$D$9:$D$14,)),"TBD")</f>
        <v>TBD</v>
      </c>
      <c r="AW46" s="147">
        <f>INPUT_OUTPUTS!$C$19</f>
        <v>0</v>
      </c>
      <c r="AX46" s="18" t="str">
        <f t="shared" si="5"/>
        <v>1, 2</v>
      </c>
    </row>
    <row r="47" spans="32:50" ht="15">
      <c r="AF47" s="144" t="s">
        <v>190</v>
      </c>
      <c r="AG47" s="144" t="s">
        <v>75</v>
      </c>
      <c r="AH47" s="144" t="s">
        <v>76</v>
      </c>
      <c r="AI47" s="145">
        <f>SUMIF(Ahu_Ashrae_sheet15[Zone],AHU1_CAV_SCHEDULE4451416[[#This Row],[ZONE]],Ahu_Ashrae_sheet15[DESIGN VAV MIN SA(CFM)])</f>
        <v>0</v>
      </c>
      <c r="AJ47" s="144">
        <f>SUMIF(Ahu_Ashrae_sheet15[Zone],AHU1_CAV_SCHEDULE4451416[[#This Row],[ZONE]],Ahu_Ashrae_sheet15[DESIGN VAV MAX SA(CFM)])</f>
        <v>0</v>
      </c>
      <c r="AK47" s="146" t="str">
        <f>IFERROR((VLOOKUP(AHU1_CAV_SCHEDULE4451416[[#This Row],[MAX VAV
(CFM)]],'DO NOT TOUCH'!$B$9:$C$14,2,TRUE)),"TBD")</f>
        <v>TBD</v>
      </c>
      <c r="AL47" s="146">
        <f t="shared" si="2"/>
        <v>0.5</v>
      </c>
      <c r="AM47" s="146">
        <f>AHU1_CAV_SCHEDULE4451416[[#This Row],[MIN VAV
(CFM)]]</f>
        <v>0</v>
      </c>
      <c r="AN47" s="146">
        <f>INPUT_OUTPUTS!$C$16</f>
        <v>140</v>
      </c>
      <c r="AO47" s="146">
        <f>INPUT_OUTPUTS!$C$17</f>
        <v>100</v>
      </c>
      <c r="AP47" s="146">
        <f t="shared" si="6"/>
        <v>55</v>
      </c>
      <c r="AQ47" s="146">
        <f t="shared" si="6"/>
        <v>80</v>
      </c>
      <c r="AR47" s="146">
        <f>MROUND((1.08*(AQ47-AP47)*AHU1_CAV_SCHEDULE4451416[[#This Row],[HEATING AIRFLOW 
(CFM)]])/1000,0.1)</f>
        <v>0</v>
      </c>
      <c r="AS47" s="147">
        <f t="shared" si="3"/>
        <v>0</v>
      </c>
      <c r="AT47" s="147">
        <f t="shared" si="1"/>
        <v>0.5</v>
      </c>
      <c r="AU47" s="147">
        <f t="shared" si="4"/>
        <v>5</v>
      </c>
      <c r="AV47" s="147" t="str">
        <f>IFERROR((_xlfn.XLOOKUP(AK47,'DO NOT TOUCH'!$C$9:$C$14,'DO NOT TOUCH'!$D$9:$D$14,)),"TBD")</f>
        <v>TBD</v>
      </c>
      <c r="AW47" s="147">
        <f>INPUT_OUTPUTS!$C$19</f>
        <v>0</v>
      </c>
      <c r="AX47" s="18" t="str">
        <f t="shared" si="5"/>
        <v>1, 2</v>
      </c>
    </row>
    <row r="48" spans="32:50" ht="15">
      <c r="AF48" s="144" t="s">
        <v>191</v>
      </c>
      <c r="AG48" s="144" t="s">
        <v>75</v>
      </c>
      <c r="AH48" s="144" t="s">
        <v>76</v>
      </c>
      <c r="AI48" s="145">
        <f>SUMIF(Ahu_Ashrae_sheet15[Zone],AHU1_CAV_SCHEDULE4451416[[#This Row],[ZONE]],Ahu_Ashrae_sheet15[DESIGN VAV MIN SA(CFM)])</f>
        <v>0</v>
      </c>
      <c r="AJ48" s="144">
        <f>SUMIF(Ahu_Ashrae_sheet15[Zone],AHU1_CAV_SCHEDULE4451416[[#This Row],[ZONE]],Ahu_Ashrae_sheet15[DESIGN VAV MAX SA(CFM)])</f>
        <v>0</v>
      </c>
      <c r="AK48" s="146" t="str">
        <f>IFERROR((VLOOKUP(AHU1_CAV_SCHEDULE4451416[[#This Row],[MAX VAV
(CFM)]],'DO NOT TOUCH'!$B$9:$C$14,2,TRUE)),"TBD")</f>
        <v>TBD</v>
      </c>
      <c r="AL48" s="146">
        <f t="shared" si="2"/>
        <v>0.5</v>
      </c>
      <c r="AM48" s="146">
        <f>AHU1_CAV_SCHEDULE4451416[[#This Row],[MIN VAV
(CFM)]]</f>
        <v>0</v>
      </c>
      <c r="AN48" s="146">
        <f>INPUT_OUTPUTS!$C$16</f>
        <v>140</v>
      </c>
      <c r="AO48" s="146">
        <f>INPUT_OUTPUTS!$C$17</f>
        <v>100</v>
      </c>
      <c r="AP48" s="146">
        <f t="shared" si="6"/>
        <v>55</v>
      </c>
      <c r="AQ48" s="146">
        <f t="shared" si="6"/>
        <v>80</v>
      </c>
      <c r="AR48" s="146">
        <f>MROUND((1.08*(AQ48-AP48)*AHU1_CAV_SCHEDULE4451416[[#This Row],[HEATING AIRFLOW 
(CFM)]])/1000,0.1)</f>
        <v>0</v>
      </c>
      <c r="AS48" s="147">
        <f t="shared" si="3"/>
        <v>0</v>
      </c>
      <c r="AT48" s="147">
        <f t="shared" si="1"/>
        <v>0.5</v>
      </c>
      <c r="AU48" s="147">
        <f t="shared" si="4"/>
        <v>5</v>
      </c>
      <c r="AV48" s="147" t="str">
        <f>IFERROR((_xlfn.XLOOKUP(AK48,'DO NOT TOUCH'!$C$9:$C$14,'DO NOT TOUCH'!$D$9:$D$14,)),"TBD")</f>
        <v>TBD</v>
      </c>
      <c r="AW48" s="147">
        <f>INPUT_OUTPUTS!$C$19</f>
        <v>0</v>
      </c>
      <c r="AX48" s="18" t="str">
        <f t="shared" si="5"/>
        <v>1, 2</v>
      </c>
    </row>
    <row r="49" spans="32:50" ht="15">
      <c r="AF49" s="144" t="s">
        <v>192</v>
      </c>
      <c r="AG49" s="144" t="s">
        <v>75</v>
      </c>
      <c r="AH49" s="144" t="s">
        <v>76</v>
      </c>
      <c r="AI49" s="145">
        <f>SUMIF(Ahu_Ashrae_sheet15[Zone],AHU1_CAV_SCHEDULE4451416[[#This Row],[ZONE]],Ahu_Ashrae_sheet15[DESIGN VAV MIN SA(CFM)])</f>
        <v>0</v>
      </c>
      <c r="AJ49" s="144">
        <f>SUMIF(Ahu_Ashrae_sheet15[Zone],AHU1_CAV_SCHEDULE4451416[[#This Row],[ZONE]],Ahu_Ashrae_sheet15[DESIGN VAV MAX SA(CFM)])</f>
        <v>0</v>
      </c>
      <c r="AK49" s="146" t="str">
        <f>IFERROR((VLOOKUP(AHU1_CAV_SCHEDULE4451416[[#This Row],[MAX VAV
(CFM)]],'DO NOT TOUCH'!$B$9:$C$14,2,TRUE)),"TBD")</f>
        <v>TBD</v>
      </c>
      <c r="AL49" s="146">
        <f t="shared" si="2"/>
        <v>0.5</v>
      </c>
      <c r="AM49" s="146">
        <f>AHU1_CAV_SCHEDULE4451416[[#This Row],[MIN VAV
(CFM)]]</f>
        <v>0</v>
      </c>
      <c r="AN49" s="146">
        <f>INPUT_OUTPUTS!$C$16</f>
        <v>140</v>
      </c>
      <c r="AO49" s="146">
        <f>INPUT_OUTPUTS!$C$17</f>
        <v>100</v>
      </c>
      <c r="AP49" s="146">
        <f t="shared" si="6"/>
        <v>55</v>
      </c>
      <c r="AQ49" s="146">
        <f t="shared" si="6"/>
        <v>80</v>
      </c>
      <c r="AR49" s="146">
        <f>MROUND((1.08*(AQ49-AP49)*AHU1_CAV_SCHEDULE4451416[[#This Row],[HEATING AIRFLOW 
(CFM)]])/1000,0.1)</f>
        <v>0</v>
      </c>
      <c r="AS49" s="147">
        <f t="shared" si="3"/>
        <v>0</v>
      </c>
      <c r="AT49" s="147">
        <f t="shared" si="1"/>
        <v>0.5</v>
      </c>
      <c r="AU49" s="147">
        <f t="shared" si="4"/>
        <v>5</v>
      </c>
      <c r="AV49" s="147" t="str">
        <f>IFERROR((_xlfn.XLOOKUP(AK49,'DO NOT TOUCH'!$C$9:$C$14,'DO NOT TOUCH'!$D$9:$D$14,)),"TBD")</f>
        <v>TBD</v>
      </c>
      <c r="AW49" s="147">
        <f>INPUT_OUTPUTS!$C$19</f>
        <v>0</v>
      </c>
      <c r="AX49" s="18" t="str">
        <f t="shared" si="5"/>
        <v>1, 2</v>
      </c>
    </row>
    <row r="50" spans="32:50" ht="15">
      <c r="AF50" s="144" t="s">
        <v>193</v>
      </c>
      <c r="AG50" s="144" t="s">
        <v>75</v>
      </c>
      <c r="AH50" s="144" t="s">
        <v>76</v>
      </c>
      <c r="AI50" s="145">
        <f>SUMIF(Ahu_Ashrae_sheet15[Zone],AHU1_CAV_SCHEDULE4451416[[#This Row],[ZONE]],Ahu_Ashrae_sheet15[DESIGN VAV MIN SA(CFM)])</f>
        <v>0</v>
      </c>
      <c r="AJ50" s="144">
        <f>SUMIF(Ahu_Ashrae_sheet15[Zone],AHU1_CAV_SCHEDULE4451416[[#This Row],[ZONE]],Ahu_Ashrae_sheet15[DESIGN VAV MAX SA(CFM)])</f>
        <v>0</v>
      </c>
      <c r="AK50" s="146" t="str">
        <f>IFERROR((VLOOKUP(AHU1_CAV_SCHEDULE4451416[[#This Row],[MAX VAV
(CFM)]],'DO NOT TOUCH'!$B$9:$C$14,2,TRUE)),"TBD")</f>
        <v>TBD</v>
      </c>
      <c r="AL50" s="146">
        <f t="shared" si="2"/>
        <v>0.5</v>
      </c>
      <c r="AM50" s="146">
        <f>AHU1_CAV_SCHEDULE4451416[[#This Row],[MIN VAV
(CFM)]]</f>
        <v>0</v>
      </c>
      <c r="AN50" s="146">
        <f>INPUT_OUTPUTS!$C$16</f>
        <v>140</v>
      </c>
      <c r="AO50" s="146">
        <f>INPUT_OUTPUTS!$C$17</f>
        <v>100</v>
      </c>
      <c r="AP50" s="146">
        <f t="shared" si="6"/>
        <v>55</v>
      </c>
      <c r="AQ50" s="146">
        <f t="shared" si="6"/>
        <v>80</v>
      </c>
      <c r="AR50" s="146">
        <f>MROUND((1.08*(AQ50-AP50)*AHU1_CAV_SCHEDULE4451416[[#This Row],[HEATING AIRFLOW 
(CFM)]])/1000,0.1)</f>
        <v>0</v>
      </c>
      <c r="AS50" s="147">
        <f t="shared" si="3"/>
        <v>0</v>
      </c>
      <c r="AT50" s="147">
        <f t="shared" si="1"/>
        <v>0.5</v>
      </c>
      <c r="AU50" s="147">
        <f t="shared" si="4"/>
        <v>5</v>
      </c>
      <c r="AV50" s="147" t="str">
        <f>IFERROR((_xlfn.XLOOKUP(AK50,'DO NOT TOUCH'!$C$9:$C$14,'DO NOT TOUCH'!$D$9:$D$14,)),"TBD")</f>
        <v>TBD</v>
      </c>
      <c r="AW50" s="147">
        <f>INPUT_OUTPUTS!$C$19</f>
        <v>0</v>
      </c>
      <c r="AX50" s="18" t="str">
        <f t="shared" si="5"/>
        <v>1, 2</v>
      </c>
    </row>
    <row r="51" spans="32:50" ht="15">
      <c r="AF51" s="144" t="s">
        <v>194</v>
      </c>
      <c r="AG51" s="144" t="s">
        <v>75</v>
      </c>
      <c r="AH51" s="144" t="s">
        <v>76</v>
      </c>
      <c r="AI51" s="145">
        <f>SUMIF(Ahu_Ashrae_sheet15[Zone],AHU1_CAV_SCHEDULE4451416[[#This Row],[ZONE]],Ahu_Ashrae_sheet15[DESIGN VAV MIN SA(CFM)])</f>
        <v>0</v>
      </c>
      <c r="AJ51" s="144">
        <f>SUMIF(Ahu_Ashrae_sheet15[Zone],AHU1_CAV_SCHEDULE4451416[[#This Row],[ZONE]],Ahu_Ashrae_sheet15[DESIGN VAV MAX SA(CFM)])</f>
        <v>0</v>
      </c>
      <c r="AK51" s="146" t="str">
        <f>IFERROR((VLOOKUP(AHU1_CAV_SCHEDULE4451416[[#This Row],[MAX VAV
(CFM)]],'DO NOT TOUCH'!$B$9:$C$14,2,TRUE)),"TBD")</f>
        <v>TBD</v>
      </c>
      <c r="AL51" s="146">
        <f t="shared" si="2"/>
        <v>0.5</v>
      </c>
      <c r="AM51" s="146">
        <f>AHU1_CAV_SCHEDULE4451416[[#This Row],[MIN VAV
(CFM)]]</f>
        <v>0</v>
      </c>
      <c r="AN51" s="146">
        <f>INPUT_OUTPUTS!$C$16</f>
        <v>140</v>
      </c>
      <c r="AO51" s="146">
        <f>INPUT_OUTPUTS!$C$17</f>
        <v>100</v>
      </c>
      <c r="AP51" s="146">
        <f t="shared" si="6"/>
        <v>55</v>
      </c>
      <c r="AQ51" s="146">
        <f t="shared" si="6"/>
        <v>80</v>
      </c>
      <c r="AR51" s="146">
        <f>MROUND((1.08*(AQ51-AP51)*AHU1_CAV_SCHEDULE4451416[[#This Row],[HEATING AIRFLOW 
(CFM)]])/1000,0.1)</f>
        <v>0</v>
      </c>
      <c r="AS51" s="147">
        <f t="shared" si="3"/>
        <v>0</v>
      </c>
      <c r="AT51" s="147">
        <f t="shared" si="1"/>
        <v>0.5</v>
      </c>
      <c r="AU51" s="147">
        <f t="shared" si="4"/>
        <v>5</v>
      </c>
      <c r="AV51" s="147" t="str">
        <f>IFERROR((_xlfn.XLOOKUP(AK51,'DO NOT TOUCH'!$C$9:$C$14,'DO NOT TOUCH'!$D$9:$D$14,)),"TBD")</f>
        <v>TBD</v>
      </c>
      <c r="AW51" s="147">
        <f>INPUT_OUTPUTS!$C$19</f>
        <v>0</v>
      </c>
      <c r="AX51" s="18" t="str">
        <f t="shared" si="5"/>
        <v>1, 2</v>
      </c>
    </row>
    <row r="52" spans="32:50" ht="15">
      <c r="AF52" s="144" t="s">
        <v>195</v>
      </c>
      <c r="AG52" s="144" t="s">
        <v>75</v>
      </c>
      <c r="AH52" s="144" t="s">
        <v>76</v>
      </c>
      <c r="AI52" s="145">
        <f>SUMIF(Ahu_Ashrae_sheet15[Zone],AHU1_CAV_SCHEDULE4451416[[#This Row],[ZONE]],Ahu_Ashrae_sheet15[DESIGN VAV MIN SA(CFM)])</f>
        <v>0</v>
      </c>
      <c r="AJ52" s="144">
        <f>SUMIF(Ahu_Ashrae_sheet15[Zone],AHU1_CAV_SCHEDULE4451416[[#This Row],[ZONE]],Ahu_Ashrae_sheet15[DESIGN VAV MAX SA(CFM)])</f>
        <v>0</v>
      </c>
      <c r="AK52" s="146" t="str">
        <f>IFERROR((VLOOKUP(AHU1_CAV_SCHEDULE4451416[[#This Row],[MAX VAV
(CFM)]],'DO NOT TOUCH'!$B$9:$C$14,2,TRUE)),"TBD")</f>
        <v>TBD</v>
      </c>
      <c r="AL52" s="146">
        <f t="shared" si="2"/>
        <v>0.5</v>
      </c>
      <c r="AM52" s="146">
        <f>AHU1_CAV_SCHEDULE4451416[[#This Row],[MIN VAV
(CFM)]]</f>
        <v>0</v>
      </c>
      <c r="AN52" s="146">
        <f>INPUT_OUTPUTS!$C$16</f>
        <v>140</v>
      </c>
      <c r="AO52" s="146">
        <f>INPUT_OUTPUTS!$C$17</f>
        <v>100</v>
      </c>
      <c r="AP52" s="146">
        <f t="shared" si="6"/>
        <v>55</v>
      </c>
      <c r="AQ52" s="146">
        <f t="shared" si="6"/>
        <v>80</v>
      </c>
      <c r="AR52" s="146">
        <f>MROUND((1.08*(AQ52-AP52)*AHU1_CAV_SCHEDULE4451416[[#This Row],[HEATING AIRFLOW 
(CFM)]])/1000,0.1)</f>
        <v>0</v>
      </c>
      <c r="AS52" s="147">
        <f t="shared" si="3"/>
        <v>0</v>
      </c>
      <c r="AT52" s="147">
        <f t="shared" si="1"/>
        <v>0.5</v>
      </c>
      <c r="AU52" s="147">
        <f t="shared" si="4"/>
        <v>5</v>
      </c>
      <c r="AV52" s="147" t="str">
        <f>IFERROR((_xlfn.XLOOKUP(AK52,'DO NOT TOUCH'!$C$9:$C$14,'DO NOT TOUCH'!$D$9:$D$14,)),"TBD")</f>
        <v>TBD</v>
      </c>
      <c r="AW52" s="147">
        <f>INPUT_OUTPUTS!$C$19</f>
        <v>0</v>
      </c>
      <c r="AX52" s="18" t="str">
        <f t="shared" si="5"/>
        <v>1, 2</v>
      </c>
    </row>
    <row r="53" spans="32:50" ht="15">
      <c r="AF53" s="144" t="s">
        <v>196</v>
      </c>
      <c r="AG53" s="144" t="s">
        <v>75</v>
      </c>
      <c r="AH53" s="144" t="s">
        <v>76</v>
      </c>
      <c r="AI53" s="145">
        <f>SUMIF(Ahu_Ashrae_sheet15[Zone],AHU1_CAV_SCHEDULE4451416[[#This Row],[ZONE]],Ahu_Ashrae_sheet15[DESIGN VAV MIN SA(CFM)])</f>
        <v>0</v>
      </c>
      <c r="AJ53" s="144">
        <f>SUMIF(Ahu_Ashrae_sheet15[Zone],AHU1_CAV_SCHEDULE4451416[[#This Row],[ZONE]],Ahu_Ashrae_sheet15[DESIGN VAV MAX SA(CFM)])</f>
        <v>0</v>
      </c>
      <c r="AK53" s="146" t="str">
        <f>IFERROR((VLOOKUP(AHU1_CAV_SCHEDULE4451416[[#This Row],[MAX VAV
(CFM)]],'DO NOT TOUCH'!$B$9:$C$14,2,TRUE)),"TBD")</f>
        <v>TBD</v>
      </c>
      <c r="AL53" s="146">
        <f t="shared" si="2"/>
        <v>0.5</v>
      </c>
      <c r="AM53" s="146">
        <f>AHU1_CAV_SCHEDULE4451416[[#This Row],[MIN VAV
(CFM)]]</f>
        <v>0</v>
      </c>
      <c r="AN53" s="146">
        <f>INPUT_OUTPUTS!$C$16</f>
        <v>140</v>
      </c>
      <c r="AO53" s="146">
        <f>INPUT_OUTPUTS!$C$17</f>
        <v>100</v>
      </c>
      <c r="AP53" s="146">
        <f t="shared" ref="AP53:AQ57" si="7">AP52</f>
        <v>55</v>
      </c>
      <c r="AQ53" s="146">
        <f t="shared" si="7"/>
        <v>80</v>
      </c>
      <c r="AR53" s="146">
        <f>MROUND((1.08*(AQ53-AP53)*AHU1_CAV_SCHEDULE4451416[[#This Row],[HEATING AIRFLOW 
(CFM)]])/1000,0.1)</f>
        <v>0</v>
      </c>
      <c r="AS53" s="147">
        <f t="shared" si="3"/>
        <v>0</v>
      </c>
      <c r="AT53" s="147">
        <f t="shared" si="1"/>
        <v>0.5</v>
      </c>
      <c r="AU53" s="147">
        <f t="shared" si="4"/>
        <v>5</v>
      </c>
      <c r="AV53" s="147" t="str">
        <f>IFERROR((_xlfn.XLOOKUP(AK53,'DO NOT TOUCH'!$C$9:$C$14,'DO NOT TOUCH'!$D$9:$D$14,)),"TBD")</f>
        <v>TBD</v>
      </c>
      <c r="AW53" s="147">
        <f>INPUT_OUTPUTS!$C$19</f>
        <v>0</v>
      </c>
      <c r="AX53" s="18" t="str">
        <f t="shared" si="5"/>
        <v>1, 2</v>
      </c>
    </row>
    <row r="54" spans="32:50" ht="15">
      <c r="AF54" s="144" t="s">
        <v>197</v>
      </c>
      <c r="AG54" s="144" t="s">
        <v>75</v>
      </c>
      <c r="AH54" s="144" t="s">
        <v>76</v>
      </c>
      <c r="AI54" s="145">
        <f>SUMIF(Ahu_Ashrae_sheet15[Zone],AHU1_CAV_SCHEDULE4451416[[#This Row],[ZONE]],Ahu_Ashrae_sheet15[DESIGN VAV MIN SA(CFM)])</f>
        <v>0</v>
      </c>
      <c r="AJ54" s="144">
        <f>SUMIF(Ahu_Ashrae_sheet15[Zone],AHU1_CAV_SCHEDULE4451416[[#This Row],[ZONE]],Ahu_Ashrae_sheet15[DESIGN VAV MAX SA(CFM)])</f>
        <v>0</v>
      </c>
      <c r="AK54" s="146" t="str">
        <f>IFERROR((VLOOKUP(AHU1_CAV_SCHEDULE4451416[[#This Row],[MAX VAV
(CFM)]],'DO NOT TOUCH'!$B$9:$C$14,2,TRUE)),"TBD")</f>
        <v>TBD</v>
      </c>
      <c r="AL54" s="146">
        <f t="shared" si="2"/>
        <v>0.5</v>
      </c>
      <c r="AM54" s="146">
        <f>AHU1_CAV_SCHEDULE4451416[[#This Row],[MIN VAV
(CFM)]]</f>
        <v>0</v>
      </c>
      <c r="AN54" s="146">
        <f>INPUT_OUTPUTS!$C$16</f>
        <v>140</v>
      </c>
      <c r="AO54" s="146">
        <f>INPUT_OUTPUTS!$C$17</f>
        <v>100</v>
      </c>
      <c r="AP54" s="146">
        <f t="shared" si="7"/>
        <v>55</v>
      </c>
      <c r="AQ54" s="146">
        <f t="shared" si="7"/>
        <v>80</v>
      </c>
      <c r="AR54" s="146">
        <f>MROUND((1.08*(AQ54-AP54)*AHU1_CAV_SCHEDULE4451416[[#This Row],[HEATING AIRFLOW 
(CFM)]])/1000,0.1)</f>
        <v>0</v>
      </c>
      <c r="AS54" s="147">
        <f t="shared" si="3"/>
        <v>0</v>
      </c>
      <c r="AT54" s="147">
        <f t="shared" si="1"/>
        <v>0.5</v>
      </c>
      <c r="AU54" s="147">
        <f t="shared" si="4"/>
        <v>5</v>
      </c>
      <c r="AV54" s="147" t="str">
        <f>IFERROR((_xlfn.XLOOKUP(AK54,'DO NOT TOUCH'!$C$9:$C$14,'DO NOT TOUCH'!$D$9:$D$14,)),"TBD")</f>
        <v>TBD</v>
      </c>
      <c r="AW54" s="147">
        <f>INPUT_OUTPUTS!$C$19</f>
        <v>0</v>
      </c>
      <c r="AX54" s="18" t="str">
        <f t="shared" si="5"/>
        <v>1, 2</v>
      </c>
    </row>
    <row r="55" spans="32:50" ht="15">
      <c r="AF55" s="144" t="s">
        <v>198</v>
      </c>
      <c r="AG55" s="144" t="s">
        <v>75</v>
      </c>
      <c r="AH55" s="144" t="s">
        <v>76</v>
      </c>
      <c r="AI55" s="145">
        <f>SUMIF(Ahu_Ashrae_sheet15[Zone],AHU1_CAV_SCHEDULE4451416[[#This Row],[ZONE]],Ahu_Ashrae_sheet15[DESIGN VAV MIN SA(CFM)])</f>
        <v>0</v>
      </c>
      <c r="AJ55" s="144">
        <f>SUMIF(Ahu_Ashrae_sheet15[Zone],AHU1_CAV_SCHEDULE4451416[[#This Row],[ZONE]],Ahu_Ashrae_sheet15[DESIGN VAV MAX SA(CFM)])</f>
        <v>0</v>
      </c>
      <c r="AK55" s="146" t="str">
        <f>IFERROR((VLOOKUP(AHU1_CAV_SCHEDULE4451416[[#This Row],[MAX VAV
(CFM)]],'DO NOT TOUCH'!$B$9:$C$14,2,TRUE)),"TBD")</f>
        <v>TBD</v>
      </c>
      <c r="AL55" s="146">
        <f t="shared" si="2"/>
        <v>0.5</v>
      </c>
      <c r="AM55" s="146">
        <f>AHU1_CAV_SCHEDULE4451416[[#This Row],[MIN VAV
(CFM)]]</f>
        <v>0</v>
      </c>
      <c r="AN55" s="146">
        <f>INPUT_OUTPUTS!$C$16</f>
        <v>140</v>
      </c>
      <c r="AO55" s="146">
        <f>INPUT_OUTPUTS!$C$17</f>
        <v>100</v>
      </c>
      <c r="AP55" s="146">
        <f t="shared" si="7"/>
        <v>55</v>
      </c>
      <c r="AQ55" s="146">
        <f t="shared" si="7"/>
        <v>80</v>
      </c>
      <c r="AR55" s="146">
        <f>MROUND((1.08*(AQ55-AP55)*AHU1_CAV_SCHEDULE4451416[[#This Row],[HEATING AIRFLOW 
(CFM)]])/1000,0.1)</f>
        <v>0</v>
      </c>
      <c r="AS55" s="147">
        <f t="shared" si="3"/>
        <v>0</v>
      </c>
      <c r="AT55" s="147">
        <f t="shared" si="1"/>
        <v>0.5</v>
      </c>
      <c r="AU55" s="147">
        <f t="shared" si="4"/>
        <v>5</v>
      </c>
      <c r="AV55" s="147" t="str">
        <f>IFERROR((_xlfn.XLOOKUP(AK55,'DO NOT TOUCH'!$C$9:$C$14,'DO NOT TOUCH'!$D$9:$D$14,)),"TBD")</f>
        <v>TBD</v>
      </c>
      <c r="AW55" s="147">
        <f>INPUT_OUTPUTS!$C$19</f>
        <v>0</v>
      </c>
      <c r="AX55" s="18" t="str">
        <f t="shared" si="5"/>
        <v>1, 2</v>
      </c>
    </row>
    <row r="56" spans="32:50" ht="15">
      <c r="AF56" s="144" t="s">
        <v>199</v>
      </c>
      <c r="AG56" s="144" t="s">
        <v>75</v>
      </c>
      <c r="AH56" s="144" t="s">
        <v>76</v>
      </c>
      <c r="AI56" s="145">
        <f>SUMIF(Ahu_Ashrae_sheet15[Zone],AHU1_CAV_SCHEDULE4451416[[#This Row],[ZONE]],Ahu_Ashrae_sheet15[DESIGN VAV MIN SA(CFM)])</f>
        <v>0</v>
      </c>
      <c r="AJ56" s="144">
        <f>SUMIF(Ahu_Ashrae_sheet15[Zone],AHU1_CAV_SCHEDULE4451416[[#This Row],[ZONE]],Ahu_Ashrae_sheet15[DESIGN VAV MAX SA(CFM)])</f>
        <v>0</v>
      </c>
      <c r="AK56" s="146" t="str">
        <f>IFERROR((VLOOKUP(AHU1_CAV_SCHEDULE4451416[[#This Row],[MAX VAV
(CFM)]],'DO NOT TOUCH'!$B$9:$C$14,2,TRUE)),"TBD")</f>
        <v>TBD</v>
      </c>
      <c r="AL56" s="146">
        <f t="shared" si="2"/>
        <v>0.5</v>
      </c>
      <c r="AM56" s="146">
        <f>AHU1_CAV_SCHEDULE4451416[[#This Row],[MIN VAV
(CFM)]]</f>
        <v>0</v>
      </c>
      <c r="AN56" s="146">
        <f>INPUT_OUTPUTS!$C$16</f>
        <v>140</v>
      </c>
      <c r="AO56" s="146">
        <f>INPUT_OUTPUTS!$C$17</f>
        <v>100</v>
      </c>
      <c r="AP56" s="146">
        <f t="shared" si="7"/>
        <v>55</v>
      </c>
      <c r="AQ56" s="146">
        <f t="shared" si="7"/>
        <v>80</v>
      </c>
      <c r="AR56" s="146">
        <f>MROUND((1.08*(AQ56-AP56)*AHU1_CAV_SCHEDULE4451416[[#This Row],[HEATING AIRFLOW 
(CFM)]])/1000,0.1)</f>
        <v>0</v>
      </c>
      <c r="AS56" s="147">
        <f t="shared" si="3"/>
        <v>0</v>
      </c>
      <c r="AT56" s="147">
        <f t="shared" si="1"/>
        <v>0.5</v>
      </c>
      <c r="AU56" s="147">
        <f t="shared" si="4"/>
        <v>5</v>
      </c>
      <c r="AV56" s="147" t="str">
        <f>IFERROR((_xlfn.XLOOKUP(AK56,'DO NOT TOUCH'!$C$9:$C$14,'DO NOT TOUCH'!$D$9:$D$14,)),"TBD")</f>
        <v>TBD</v>
      </c>
      <c r="AW56" s="147">
        <f>INPUT_OUTPUTS!$C$19</f>
        <v>0</v>
      </c>
      <c r="AX56" s="18" t="str">
        <f t="shared" si="5"/>
        <v>1, 2</v>
      </c>
    </row>
    <row r="57" spans="32:50" ht="15">
      <c r="AF57" s="144" t="s">
        <v>200</v>
      </c>
      <c r="AG57" s="148" t="s">
        <v>75</v>
      </c>
      <c r="AH57" s="148" t="s">
        <v>76</v>
      </c>
      <c r="AI57" s="145">
        <f>SUMIF(Ahu_Ashrae_sheet15[Zone],AHU1_CAV_SCHEDULE4451416[[#This Row],[ZONE]],Ahu_Ashrae_sheet15[DESIGN VAV MIN SA(CFM)])</f>
        <v>0</v>
      </c>
      <c r="AJ57" s="144">
        <f>SUMIF(Ahu_Ashrae_sheet15[Zone],AHU1_CAV_SCHEDULE4451416[[#This Row],[ZONE]],Ahu_Ashrae_sheet15[DESIGN VAV MAX SA(CFM)])</f>
        <v>0</v>
      </c>
      <c r="AK57" s="146" t="str">
        <f>IFERROR((VLOOKUP(AHU1_CAV_SCHEDULE4451416[[#This Row],[MAX VAV
(CFM)]],'DO NOT TOUCH'!$B$9:$C$14,2,TRUE)),"TBD")</f>
        <v>TBD</v>
      </c>
      <c r="AL57" s="140">
        <f t="shared" si="2"/>
        <v>0.5</v>
      </c>
      <c r="AM57" s="146">
        <f>AHU1_CAV_SCHEDULE4451416[[#This Row],[MIN VAV
(CFM)]]</f>
        <v>0</v>
      </c>
      <c r="AN57" s="146">
        <f>INPUT_OUTPUTS!$C$16</f>
        <v>140</v>
      </c>
      <c r="AO57" s="146">
        <f>INPUT_OUTPUTS!$C$17</f>
        <v>100</v>
      </c>
      <c r="AP57" s="140">
        <f t="shared" si="7"/>
        <v>55</v>
      </c>
      <c r="AQ57" s="140">
        <f t="shared" si="7"/>
        <v>80</v>
      </c>
      <c r="AR57" s="146">
        <f>MROUND((1.08*(AQ57-AP57)*AHU1_CAV_SCHEDULE4451416[[#This Row],[HEATING AIRFLOW 
(CFM)]])/1000,0.1)</f>
        <v>0</v>
      </c>
      <c r="AS57" s="141">
        <f t="shared" si="3"/>
        <v>0</v>
      </c>
      <c r="AT57" s="141">
        <f t="shared" si="1"/>
        <v>0.5</v>
      </c>
      <c r="AU57" s="141">
        <f t="shared" si="4"/>
        <v>5</v>
      </c>
      <c r="AV57" s="141" t="str">
        <f>IFERROR((_xlfn.XLOOKUP(AK57,'DO NOT TOUCH'!$C$9:$C$14,'DO NOT TOUCH'!$D$9:$D$14,)),"TBD")</f>
        <v>TBD</v>
      </c>
      <c r="AW57" s="147">
        <f>INPUT_OUTPUTS!$C$19</f>
        <v>0</v>
      </c>
      <c r="AX57" s="142" t="str">
        <f t="shared" si="5"/>
        <v>1, 2</v>
      </c>
    </row>
    <row r="58" spans="32:50" ht="15">
      <c r="AF58" s="137" t="s">
        <v>129</v>
      </c>
      <c r="AG58" s="138"/>
      <c r="AH58" s="138"/>
      <c r="AI58" s="138"/>
      <c r="AJ58" s="140"/>
      <c r="AK58" s="140"/>
      <c r="AL58" s="140"/>
      <c r="AM58" s="140"/>
      <c r="AN58" s="140"/>
      <c r="AO58" s="140"/>
      <c r="AP58" s="140"/>
      <c r="AQ58" s="140"/>
      <c r="AR58" s="140">
        <f>SUBTOTAL(109,AHU1_CAV_SCHEDULE4451416[MIN MBH])</f>
        <v>21.5</v>
      </c>
      <c r="AS58" s="140"/>
      <c r="AT58" s="141">
        <f>SUBTOTAL(109,AHU1_CAV_SCHEDULE4451416[GPM])</f>
        <v>19.074999999999999</v>
      </c>
      <c r="AU58" s="140"/>
      <c r="AV58" s="140"/>
      <c r="AW58" s="140"/>
      <c r="AX58" s="142"/>
    </row>
  </sheetData>
  <mergeCells count="2">
    <mergeCell ref="A3:G3"/>
    <mergeCell ref="H3:AC3"/>
  </mergeCells>
  <phoneticPr fontId="9" type="noConversion"/>
  <pageMargins left="0.7" right="0.7" top="0.75" bottom="0.75" header="0.3" footer="0.3"/>
  <ignoredErrors>
    <ignoredError sqref="AC5 O5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T5:T7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H5:H7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I5:I7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49">
        <v>0</v>
      </c>
      <c r="Z4" s="349"/>
      <c r="AA4" s="39"/>
    </row>
    <row r="5" spans="1:54">
      <c r="B5" s="341" t="s">
        <v>6</v>
      </c>
      <c r="C5" s="342"/>
      <c r="D5" s="342"/>
      <c r="E5" s="342"/>
      <c r="F5" s="342"/>
      <c r="G5" s="342"/>
      <c r="H5" s="343"/>
      <c r="I5" s="341" t="s">
        <v>277</v>
      </c>
      <c r="J5" s="342"/>
      <c r="K5" s="342"/>
      <c r="L5" s="342"/>
      <c r="M5" s="342"/>
      <c r="N5" s="342"/>
      <c r="O5" s="342"/>
      <c r="P5" s="342"/>
      <c r="Q5" s="342"/>
      <c r="R5" s="343"/>
      <c r="S5" s="341" t="s">
        <v>278</v>
      </c>
      <c r="T5" s="342"/>
      <c r="U5" s="342"/>
      <c r="V5" s="343"/>
      <c r="W5" s="156"/>
      <c r="X5" s="350" t="s">
        <v>279</v>
      </c>
      <c r="Y5" s="351"/>
      <c r="Z5" s="352"/>
      <c r="AD5" s="344" t="s">
        <v>53</v>
      </c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30" t="s">
        <v>130</v>
      </c>
      <c r="AE46" s="331"/>
      <c r="AF46" s="331"/>
      <c r="AG46" s="331"/>
      <c r="AH46" s="331"/>
      <c r="AI46" s="331"/>
      <c r="AJ46" s="331"/>
      <c r="AK46" s="331"/>
      <c r="AL46" s="331"/>
      <c r="AM46" s="331"/>
      <c r="AN46" s="331"/>
      <c r="AO46" s="331"/>
      <c r="AP46" s="331"/>
      <c r="AQ46" s="331"/>
      <c r="AR46" s="331"/>
      <c r="AS46" s="331"/>
      <c r="AT46" s="332"/>
    </row>
    <row r="47" spans="30:46" ht="15" customHeight="1">
      <c r="AD47" s="333"/>
      <c r="AE47" s="334"/>
      <c r="AF47" s="334"/>
      <c r="AG47" s="334"/>
      <c r="AH47" s="334"/>
      <c r="AI47" s="334"/>
      <c r="AJ47" s="334"/>
      <c r="AK47" s="334"/>
      <c r="AL47" s="334"/>
      <c r="AM47" s="334"/>
      <c r="AN47" s="334"/>
      <c r="AO47" s="334"/>
      <c r="AP47" s="334"/>
      <c r="AQ47" s="334"/>
      <c r="AR47" s="334"/>
      <c r="AS47" s="334"/>
      <c r="AT47" s="335"/>
    </row>
    <row r="48" spans="30:46" ht="15" customHeight="1">
      <c r="AD48" s="333"/>
      <c r="AE48" s="334"/>
      <c r="AF48" s="334"/>
      <c r="AG48" s="334"/>
      <c r="AH48" s="334"/>
      <c r="AI48" s="334"/>
      <c r="AJ48" s="334"/>
      <c r="AK48" s="334"/>
      <c r="AL48" s="334"/>
      <c r="AM48" s="334"/>
      <c r="AN48" s="334"/>
      <c r="AO48" s="334"/>
      <c r="AP48" s="334"/>
      <c r="AQ48" s="334"/>
      <c r="AR48" s="334"/>
      <c r="AS48" s="334"/>
      <c r="AT48" s="335"/>
    </row>
    <row r="49" spans="29:46" ht="15" customHeight="1">
      <c r="AD49" s="336"/>
      <c r="AE49" s="337"/>
      <c r="AF49" s="337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338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4" priority="328" operator="greaterThan">
      <formula>$X$4</formula>
    </cfRule>
  </conditionalFormatting>
  <conditionalFormatting sqref="W7:X7">
    <cfRule type="cellIs" dxfId="3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zoomScale="115" zoomScaleNormal="115" workbookViewId="0">
      <pane xSplit="1" ySplit="6" topLeftCell="AN7" activePane="bottomRight" state="frozen"/>
      <selection pane="topRight" activeCell="B1" sqref="B1"/>
      <selection pane="bottomLeft" activeCell="A7" sqref="A7"/>
      <selection pane="bottomRight" activeCell="AV25" sqref="AV2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4"/>
      <c r="B8" s="353" t="s">
        <v>282</v>
      </c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 t="s">
        <v>283</v>
      </c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 t="s">
        <v>284</v>
      </c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 t="s">
        <v>285</v>
      </c>
      <c r="AM8" s="353"/>
      <c r="AN8" s="353"/>
      <c r="AO8" s="353" t="str">
        <f>IF(INPUT_OUTPUTS!F8&lt;32,"FREEZE PROTECTION COIL","FREEZE PROTECTION COIL(NOT NEEDED)")</f>
        <v>FREEZE PROTECTION COIL(NOT NEEDED)</v>
      </c>
      <c r="AP8" s="353"/>
      <c r="AQ8" s="353"/>
      <c r="AR8" s="353"/>
      <c r="AS8" s="353"/>
      <c r="AT8" s="353"/>
      <c r="AU8" s="353"/>
      <c r="AV8" s="353" t="s">
        <v>787</v>
      </c>
      <c r="AW8" s="353"/>
      <c r="AX8" s="353"/>
      <c r="AY8" s="353"/>
      <c r="AZ8" s="353"/>
      <c r="BA8" s="353"/>
      <c r="BB8" s="353"/>
    </row>
    <row r="9" spans="1:54" s="13" customFormat="1" ht="32.25" customHeight="1">
      <c r="A9" s="354"/>
      <c r="B9" s="355" t="s">
        <v>286</v>
      </c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4" t="s">
        <v>287</v>
      </c>
      <c r="N9" s="355" t="s">
        <v>288</v>
      </c>
      <c r="O9" s="355"/>
      <c r="P9" s="355"/>
      <c r="Q9" s="355"/>
      <c r="R9" s="355"/>
      <c r="S9" s="355"/>
      <c r="T9" s="360" t="s">
        <v>289</v>
      </c>
      <c r="U9" s="360"/>
      <c r="V9" s="356" t="s">
        <v>290</v>
      </c>
      <c r="W9" s="354" t="s">
        <v>291</v>
      </c>
      <c r="X9" s="354"/>
      <c r="Y9" s="354"/>
      <c r="Z9" s="355" t="s">
        <v>288</v>
      </c>
      <c r="AA9" s="355"/>
      <c r="AB9" s="355"/>
      <c r="AC9" s="355"/>
      <c r="AD9" s="355"/>
      <c r="AE9" s="355"/>
      <c r="AF9" s="360" t="s">
        <v>292</v>
      </c>
      <c r="AG9" s="360"/>
      <c r="AH9" s="356" t="s">
        <v>290</v>
      </c>
      <c r="AI9" s="354" t="s">
        <v>293</v>
      </c>
      <c r="AJ9" s="354"/>
      <c r="AK9" s="354"/>
      <c r="AL9" s="356" t="s">
        <v>294</v>
      </c>
      <c r="AM9" s="355" t="s">
        <v>295</v>
      </c>
      <c r="AN9" s="355" t="s">
        <v>296</v>
      </c>
      <c r="AO9" s="160"/>
      <c r="AP9" s="355" t="s">
        <v>297</v>
      </c>
      <c r="AQ9" s="355"/>
      <c r="AR9" s="160"/>
      <c r="AS9" s="354" t="s">
        <v>298</v>
      </c>
      <c r="AT9" s="354"/>
      <c r="AU9" s="354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4"/>
      <c r="B10" s="159" t="s">
        <v>299</v>
      </c>
      <c r="C10" s="358" t="s">
        <v>300</v>
      </c>
      <c r="D10" s="358"/>
      <c r="E10" s="359"/>
      <c r="F10" s="357" t="s">
        <v>301</v>
      </c>
      <c r="G10" s="358"/>
      <c r="H10" s="359"/>
      <c r="I10" s="357" t="s">
        <v>302</v>
      </c>
      <c r="J10" s="358"/>
      <c r="K10" s="359"/>
      <c r="L10" s="159" t="s">
        <v>303</v>
      </c>
      <c r="M10" s="354"/>
      <c r="N10" s="354" t="s">
        <v>304</v>
      </c>
      <c r="O10" s="354"/>
      <c r="P10" s="354"/>
      <c r="Q10" s="354" t="s">
        <v>305</v>
      </c>
      <c r="R10" s="354"/>
      <c r="S10" s="354"/>
      <c r="T10" s="159" t="s">
        <v>306</v>
      </c>
      <c r="U10" s="159" t="s">
        <v>307</v>
      </c>
      <c r="V10" s="356"/>
      <c r="W10" s="354"/>
      <c r="X10" s="354"/>
      <c r="Y10" s="354"/>
      <c r="Z10" s="354" t="s">
        <v>304</v>
      </c>
      <c r="AA10" s="354"/>
      <c r="AB10" s="354"/>
      <c r="AC10" s="354" t="s">
        <v>305</v>
      </c>
      <c r="AD10" s="354"/>
      <c r="AE10" s="354"/>
      <c r="AF10" s="159" t="s">
        <v>306</v>
      </c>
      <c r="AG10" s="159" t="s">
        <v>307</v>
      </c>
      <c r="AH10" s="356"/>
      <c r="AI10" s="162" t="s">
        <v>63</v>
      </c>
      <c r="AJ10" s="162" t="s">
        <v>308</v>
      </c>
      <c r="AK10" s="159" t="s">
        <v>309</v>
      </c>
      <c r="AL10" s="356"/>
      <c r="AM10" s="355"/>
      <c r="AN10" s="355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 t="e">
        <f>SUM(#REF!)*INPUT_OUTPUTS!$C$18</f>
        <v>#REF!</v>
      </c>
      <c r="C12" s="169" t="e">
        <f>SUM(#REF!)*INPUT_OUTPUTS!$C$18</f>
        <v>#REF!</v>
      </c>
      <c r="D12" s="170">
        <v>78</v>
      </c>
      <c r="E12" s="170">
        <v>60</v>
      </c>
      <c r="F12" s="169" t="e">
        <f>SUM(#REF!)*INPUT_OUTPUTS!$C$18</f>
        <v>#REF!</v>
      </c>
      <c r="G12" s="161">
        <f>INPUT_OUTPUTS!$C$8</f>
        <v>90</v>
      </c>
      <c r="H12" s="161">
        <f>INPUT_OUTPUTS!$C$9</f>
        <v>65</v>
      </c>
      <c r="I12" s="169" t="e">
        <f>Table7[[#This Row],[(CFM)3]]</f>
        <v>#REF!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 t="e">
        <f>C12+F12-B12</f>
        <v>#REF!</v>
      </c>
      <c r="N12" s="161" t="e" cm="1">
        <f t="array" ref="N12">MixedAirTemp(Table7[[#This Row],[(CFM)3]],Table7[[#This Row],[(˚F db)4]],(Table7[[#This Row],[(CFM)2]]-Table7[[#This Row],[(CFM)10]]),Table7[[#This Row],[(˚F db)]])</f>
        <v>#VALUE!</v>
      </c>
      <c r="O12" s="161" t="e" cm="1">
        <f t="array" ref="O12">MixedAirTemp(Table7[[#This Row],[(CFM)3]],Table7[[#This Row],[(˚F wb)5]],(Table7[[#This Row],[(CFM)2]]-Table7[[#This Row],[(CFM)10]]),Table7[[#This Row],[(˚F wb)]])</f>
        <v>#VALUE!</v>
      </c>
      <c r="P12" s="161" t="e" cm="1">
        <f t="array" ref="P12">GetMoistAirEnthalpy(Table7[[#This Row],[(˚F db)11]],(GetHumRatioFromTWetBulb(Table7[[#This Row],[(˚F db)11]],Table7[[#This Row],[(˚F wb)12]],GetStandardAtmPressure(INPUT_OUTPUTS!$G$6))))</f>
        <v>#N/A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 t="e">
        <f>B12*1.085*(N12-Q12)</f>
        <v>#REF!</v>
      </c>
      <c r="U12" s="169" t="e">
        <f>4.5*B12*(P12-S12)</f>
        <v>#REF!</v>
      </c>
      <c r="V12" s="162" t="e">
        <f>IF(U12&lt;T12,"INVALID POINT",U12/12000)</f>
        <v>#REF!</v>
      </c>
      <c r="W12" s="162">
        <f>INPUT_OUTPUTS!$C$14</f>
        <v>42</v>
      </c>
      <c r="X12" s="162">
        <f>INPUT_OUTPUTS!$C$15</f>
        <v>52</v>
      </c>
      <c r="Y12" s="172" t="e">
        <f t="shared" ref="Y12" si="0">U12/(500*(X12-W12))</f>
        <v>#REF!</v>
      </c>
      <c r="Z12" s="161" t="e">
        <f>D12*((C12-M12)/B12) + J12*(F12/B12)</f>
        <v>#REF!</v>
      </c>
      <c r="AA12" s="161" t="e">
        <f>TRUNC(E12*((C12-M12)/B12) + K12*(F12/B12),1)</f>
        <v>#REF!</v>
      </c>
      <c r="AB12" s="161" t="e" cm="1">
        <f t="array" ref="AB12">GetMoistAirEnthalpy(Table7[[#This Row],[(˚F db)19]],(GetHumRatioFromTWetBulb(Table7[[#This Row],[(˚F db)19]],Table7[[#This Row],[(˚F wb)20]],GetStandardAtmPressure(INPUT_OUTPUTS!$G$6))))</f>
        <v>#N/A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 t="e">
        <f>B12*1.085*(Z12-AC12)</f>
        <v>#REF!</v>
      </c>
      <c r="AG12" s="169" t="e">
        <f>4.5*B12*(AB12-AE12)</f>
        <v>#REF!</v>
      </c>
      <c r="AH12" s="161" t="e">
        <f>IF(AG12&lt;AF12,"INVALID POINT",AG12/12000)</f>
        <v>#REF!</v>
      </c>
      <c r="AI12" s="162">
        <f>INPUT_OUTPUTS!$C$14</f>
        <v>42</v>
      </c>
      <c r="AJ12" s="162">
        <f>INPUT_OUTPUTS!$C$15</f>
        <v>52</v>
      </c>
      <c r="AK12" s="172" t="e">
        <f t="shared" ref="AK12" si="1">AG12/(500*(AJ12-AI12))</f>
        <v>#REF!</v>
      </c>
      <c r="AL12" s="161" t="e">
        <f>MAX(AH12,V12)</f>
        <v>#REF!</v>
      </c>
      <c r="AM12" s="173" t="e">
        <f>B12/AH12</f>
        <v>#REF!</v>
      </c>
      <c r="AN12" s="173" t="e">
        <f>MAX(Table7[[#This Row],[GPM33]],Table7[[#This Row],[GPM]])</f>
        <v>#REF!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 t="e">
        <f>(Table7[[#This Row],[(˚F db)9]]*Table7[[#This Row],[(CFM)3]] + Table7[[#This Row],[(˚F db)]]*(Table7[[#This Row],[CFM]]-Table7[[#This Row],[(CFM)3]]))/Table7[[#This Row],[CFM]]</f>
        <v>#REF!</v>
      </c>
      <c r="AX12" s="161" t="e">
        <f>IF(Table7[[#This Row],[(˚F db)43]]&lt;Table7[[#This Row],[(˚F db)13]],Table7[[#This Row],[(˚F db)13]],"NOT NEEDED")</f>
        <v>#REF!</v>
      </c>
      <c r="AY12" s="175" t="e">
        <f>IF(Table7[[#This Row],[(˚F db)43]]&lt;Table7[[#This Row],[(˚F db)13]],(Table7[[#This Row],[CFM]]*1.08*(Table7[[#This Row],[(˚F db)45]]-Table7[[#This Row],[(˚F db)43]]))/1000,"NOT NEEDED")</f>
        <v>#REF!</v>
      </c>
      <c r="AZ12" s="175" t="e">
        <f>IF(Table7[[#This Row],[(˚F db)43]]&lt;Table7[[#This Row],[(˚F db)13]],INPUT_OUTPUTS!$C$16,"NOT NEEDED")</f>
        <v>#REF!</v>
      </c>
      <c r="BA12" s="175" t="e">
        <f>IF(Table7[[#This Row],[(˚F db)43]]&lt;Table7[[#This Row],[(˚F db)13]],INPUT_OUTPUTS!$C$17,"NOT NEEDED")</f>
        <v>#REF!</v>
      </c>
      <c r="BB12" s="161" t="e">
        <f>IF(Table7[[#This Row],[(˚F db)43]]&lt;Table7[[#This Row],[(˚F db)13]],(Table7[[#This Row],[(mbh)46]]*1000)/(500*(Table7[[#This Row],[(˚F db)392]]-Table7[[#This Row],[(˚F db)403]])),"NOT NEEDED")</f>
        <v>#REF!</v>
      </c>
    </row>
    <row r="13" spans="1:54" ht="18" thickBot="1">
      <c r="A13" s="23" t="s">
        <v>129</v>
      </c>
      <c r="B13" s="24" t="e">
        <f>SUBTOTAL(109,Table7[(CFM)])</f>
        <v>#REF!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 t="e">
        <f>SUBTOTAL(109,Table7[GPM])</f>
        <v>#REF!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 t="e">
        <f>SUBTOTAL(109,Table7[GPM33])</f>
        <v>#REF!</v>
      </c>
      <c r="AL13" s="26" t="e">
        <f>SUBTOTAL(109,Table7[(Tons)34])</f>
        <v>#REF!</v>
      </c>
      <c r="AM13" s="23"/>
      <c r="AN13" s="27" t="e">
        <f>SUBTOTAL(109,Table7[GPM MAX])</f>
        <v>#REF!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 t="e">
        <f>SUBTOTAL(109,Table7[(mbh)46])</f>
        <v>#REF!</v>
      </c>
      <c r="AZ13" s="26"/>
      <c r="BA13" s="26"/>
      <c r="BB13" s="26" t="e">
        <f>SUBTOTAL(109,Table7[(˚F db)46])</f>
        <v>#REF!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</mergeCells>
  <phoneticPr fontId="14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C5F2A-3040-4C73-BA8A-7F914E223F1B}">
  <sheetPr>
    <tabColor rgb="FFFFFF00"/>
  </sheetPr>
  <dimension ref="A1:Q2"/>
  <sheetViews>
    <sheetView zoomScaleNormal="100" workbookViewId="0">
      <selection activeCell="F22" sqref="F22"/>
    </sheetView>
  </sheetViews>
  <sheetFormatPr defaultRowHeight="12.75"/>
  <cols>
    <col min="1" max="1" width="13.7109375" customWidth="1"/>
    <col min="2" max="2" width="22.85546875" customWidth="1"/>
    <col min="3" max="3" width="20.7109375" customWidth="1"/>
    <col min="6" max="6" width="16.28515625" customWidth="1"/>
    <col min="7" max="7" width="13.7109375" customWidth="1"/>
    <col min="8" max="8" width="13" customWidth="1"/>
    <col min="9" max="9" width="11.140625" customWidth="1"/>
    <col min="10" max="10" width="16.85546875" customWidth="1"/>
    <col min="11" max="11" width="11.7109375" customWidth="1"/>
    <col min="12" max="12" width="13.28515625" customWidth="1"/>
    <col min="13" max="13" width="10.85546875" customWidth="1"/>
    <col min="14" max="14" width="14.5703125" customWidth="1"/>
    <col min="15" max="15" width="15" customWidth="1"/>
    <col min="16" max="16" width="12.140625" customWidth="1"/>
    <col min="17" max="17" width="14.7109375" customWidth="1"/>
  </cols>
  <sheetData>
    <row r="1" spans="1:17" ht="45">
      <c r="A1" s="129" t="s">
        <v>9</v>
      </c>
      <c r="B1" s="129" t="s">
        <v>58</v>
      </c>
      <c r="C1" s="129" t="s">
        <v>59</v>
      </c>
      <c r="D1" s="129" t="s">
        <v>60</v>
      </c>
      <c r="E1" s="129" t="s">
        <v>61</v>
      </c>
      <c r="F1" s="129" t="s">
        <v>62</v>
      </c>
      <c r="G1" s="129" t="s">
        <v>63</v>
      </c>
      <c r="H1" s="129" t="s">
        <v>64</v>
      </c>
      <c r="I1" s="129" t="s">
        <v>65</v>
      </c>
      <c r="J1" s="129" t="s">
        <v>66</v>
      </c>
      <c r="K1" s="129" t="s">
        <v>67</v>
      </c>
      <c r="L1" s="129" t="s">
        <v>68</v>
      </c>
      <c r="M1" s="129" t="s">
        <v>3</v>
      </c>
      <c r="N1" s="129" t="s">
        <v>69</v>
      </c>
      <c r="O1" s="129" t="s">
        <v>70</v>
      </c>
      <c r="P1" s="129" t="s">
        <v>71</v>
      </c>
      <c r="Q1" s="129" t="s">
        <v>72</v>
      </c>
    </row>
    <row r="2" spans="1:17" ht="30">
      <c r="A2" s="130" t="s">
        <v>74</v>
      </c>
      <c r="B2" s="130" t="s">
        <v>75</v>
      </c>
      <c r="C2" s="130" t="s">
        <v>76</v>
      </c>
      <c r="D2" s="119" t="e">
        <f>SUMIF(#REF!,A2,$AM$7:$AM$17)</f>
        <v>#REF!</v>
      </c>
      <c r="E2" s="119" t="str">
        <f>IFERROR((VLOOKUP(D2,'DO NOT TOUCH'!$B$9:$C$14,2,TRUE)),"TBD")</f>
        <v>TBD</v>
      </c>
      <c r="F2" s="119">
        <v>0.5</v>
      </c>
      <c r="G2" s="119">
        <f>INPUT_OUTPUTS!$C$16</f>
        <v>140</v>
      </c>
      <c r="H2" s="119">
        <f>INPUT_OUTPUTS!$C$17</f>
        <v>100</v>
      </c>
      <c r="I2" s="119">
        <v>55</v>
      </c>
      <c r="J2" s="119">
        <v>85</v>
      </c>
      <c r="K2" s="119" t="e">
        <f t="shared" ref="K2" si="0">MROUND((1.08*(J2-I2)*D2)/1000,0.1)</f>
        <v>#REF!</v>
      </c>
      <c r="L2" s="131" t="e">
        <f>(K2*1000)/(500*(G2-H2))</f>
        <v>#REF!</v>
      </c>
      <c r="M2" s="131" t="e">
        <f>IF(L2&lt;0.5,0.5,L2)</f>
        <v>#REF!</v>
      </c>
      <c r="N2" s="131">
        <v>5</v>
      </c>
      <c r="O2" s="131" t="str">
        <f>IFERROR((_xlfn.XLOOKUP(E2,'DO NOT TOUCH'!$C$9:$C$14,'DO NOT TOUCH'!$D$9:$D$14,)),"TBD")</f>
        <v>TBD</v>
      </c>
      <c r="P2" s="131">
        <f>INPUT_OUTPUTS!$C$19</f>
        <v>0</v>
      </c>
      <c r="Q2" s="119" t="s">
        <v>77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5" t="s">
        <v>131</v>
      </c>
      <c r="B1" s="346"/>
      <c r="C1" s="346"/>
      <c r="D1" s="346"/>
      <c r="E1" s="346"/>
      <c r="F1" s="346"/>
      <c r="G1" s="346"/>
      <c r="H1" s="345" t="s">
        <v>132</v>
      </c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5" t="s">
        <v>362</v>
      </c>
      <c r="X1" s="346"/>
      <c r="Y1" s="346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8" t="s">
        <v>677</v>
      </c>
      <c r="H5" s="348"/>
      <c r="I5" s="348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61" t="s">
        <v>680</v>
      </c>
      <c r="C7" s="362"/>
      <c r="D7" s="363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4" t="s">
        <v>703</v>
      </c>
      <c r="C16" s="364"/>
      <c r="D16" s="364"/>
      <c r="E16" s="364"/>
      <c r="F16" s="364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INPUT_OUTPUTS</vt:lpstr>
      <vt:lpstr>AhsraeTable4a</vt:lpstr>
      <vt:lpstr>62.1_MULTI_ZONE</vt:lpstr>
      <vt:lpstr>Generic</vt:lpstr>
      <vt:lpstr>AHU_Psych</vt:lpstr>
      <vt:lpstr>CAV_SAMPLE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2023-11-18T00:24:49Z</dcterms:modified>
  <cp:category/>
  <cp:contentStatus/>
</cp:coreProperties>
</file>