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Documents\PsychroCalc\"/>
    </mc:Choice>
  </mc:AlternateContent>
  <xr:revisionPtr revIDLastSave="0" documentId="13_ncr:1_{0569C0C8-9478-4FD8-9B59-504B61C8687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PUT_OUTPUTS" sheetId="64" r:id="rId1"/>
    <sheet name="Generic" sheetId="110" state="hidden" r:id="rId2"/>
    <sheet name="AHU_Psych" sheetId="45" r:id="rId3"/>
    <sheet name="62.1_SINGLE_ZONE" sheetId="104" state="hidden" r:id="rId4"/>
    <sheet name="62.1_MULTI_ZONE" sheetId="107" state="hidden" r:id="rId5"/>
    <sheet name="ASHRAE Table" sheetId="105" state="hidden" r:id="rId6"/>
    <sheet name="UMC Table 4-A" sheetId="37" state="hidden" r:id="rId7"/>
    <sheet name="DO NOT TOUCH" sheetId="63" state="hidden" r:id="rId8"/>
  </sheets>
  <definedNames>
    <definedName name="_CAV1">#REF!</definedName>
    <definedName name="_CAV1." localSheetId="1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Generic!$AD$7:$AP$43</definedName>
    <definedName name="AHU_1AC_AV">#REF!</definedName>
    <definedName name="AHUs" localSheetId="4">Table7[TAG]</definedName>
    <definedName name="CAV_1A_SCHEDULE" localSheetId="1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2">AHU_Psych!$A$8:$AY$13</definedName>
    <definedName name="_xlnm.Print_Area" localSheetId="1">Generic!$D$4:$V$17</definedName>
    <definedName name="_xlnm.Print_Area" localSheetId="6">'UMC Table 4-A'!$A$1:$E$132</definedName>
    <definedName name="_xlnm.Print_Titles" localSheetId="1">Generic!$3:$6</definedName>
    <definedName name="_xlnm.Print_Titles" localSheetId="6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9" i="110" l="1"/>
  <c r="S10" i="110"/>
  <c r="S11" i="110"/>
  <c r="S12" i="110"/>
  <c r="S13" i="110"/>
  <c r="S14" i="110"/>
  <c r="S15" i="110"/>
  <c r="S16" i="110"/>
  <c r="S17" i="110"/>
  <c r="J8" i="110" l="1"/>
  <c r="J9" i="110"/>
  <c r="J10" i="110"/>
  <c r="J11" i="110"/>
  <c r="J12" i="110"/>
  <c r="J13" i="110"/>
  <c r="J14" i="110"/>
  <c r="J15" i="110"/>
  <c r="J16" i="110"/>
  <c r="J17" i="110"/>
  <c r="J7" i="110"/>
  <c r="Q7" i="110"/>
  <c r="AO8" i="45" l="1"/>
  <c r="AS44" i="110" l="1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P14" i="110"/>
  <c r="G14" i="110"/>
  <c r="R14" i="110" s="1"/>
  <c r="O14" i="110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S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V7" i="110"/>
  <c r="M7" i="110"/>
  <c r="N7" i="110" s="1"/>
  <c r="S7" i="110" s="1"/>
  <c r="L7" i="110"/>
  <c r="G7" i="110"/>
  <c r="R7" i="110" s="1"/>
  <c r="O7" i="110"/>
  <c r="P7" i="110" s="1"/>
  <c r="Y5" i="107"/>
  <c r="P5" i="107"/>
  <c r="P4" i="107"/>
  <c r="P3" i="107"/>
  <c r="V5" i="104"/>
  <c r="V4" i="104"/>
  <c r="V3" i="104"/>
  <c r="U4" i="104"/>
  <c r="U5" i="104"/>
  <c r="U3" i="104"/>
  <c r="T4" i="104"/>
  <c r="T5" i="104"/>
  <c r="T3" i="104"/>
  <c r="O4" i="104"/>
  <c r="O5" i="104"/>
  <c r="O3" i="104"/>
  <c r="AU4" i="107"/>
  <c r="AV4" i="107"/>
  <c r="AU5" i="107"/>
  <c r="AV5" i="107"/>
  <c r="AU6" i="107"/>
  <c r="AV6" i="107"/>
  <c r="AU7" i="107"/>
  <c r="AV7" i="107"/>
  <c r="AU8" i="107"/>
  <c r="AV8" i="107"/>
  <c r="AU9" i="107"/>
  <c r="AV9" i="107"/>
  <c r="AU10" i="107"/>
  <c r="AV10" i="107"/>
  <c r="AU11" i="107"/>
  <c r="AV11" i="107"/>
  <c r="AU12" i="107"/>
  <c r="AV12" i="107"/>
  <c r="AU13" i="107"/>
  <c r="AV13" i="107"/>
  <c r="AU14" i="107"/>
  <c r="AV14" i="107"/>
  <c r="AU15" i="107"/>
  <c r="AV15" i="107"/>
  <c r="AU16" i="107"/>
  <c r="AV16" i="107"/>
  <c r="AU17" i="107"/>
  <c r="AV17" i="107"/>
  <c r="AU18" i="107"/>
  <c r="AV18" i="107"/>
  <c r="AU19" i="107"/>
  <c r="AV19" i="107"/>
  <c r="AU20" i="107"/>
  <c r="AV20" i="107"/>
  <c r="AU21" i="107"/>
  <c r="AV21" i="107"/>
  <c r="AU22" i="107"/>
  <c r="AV22" i="107"/>
  <c r="AU23" i="107"/>
  <c r="AV23" i="107"/>
  <c r="AU24" i="107"/>
  <c r="AV24" i="107"/>
  <c r="AU25" i="107"/>
  <c r="AV25" i="107"/>
  <c r="AU26" i="107"/>
  <c r="AV26" i="107"/>
  <c r="AU27" i="107"/>
  <c r="AV27" i="107"/>
  <c r="AU28" i="107"/>
  <c r="AV28" i="107"/>
  <c r="AU29" i="107"/>
  <c r="AV29" i="107"/>
  <c r="AU30" i="107"/>
  <c r="AV30" i="107"/>
  <c r="AU31" i="107"/>
  <c r="AV31" i="107"/>
  <c r="AU32" i="107"/>
  <c r="AV32" i="107"/>
  <c r="AU33" i="107"/>
  <c r="AV33" i="107"/>
  <c r="AU34" i="107"/>
  <c r="AV34" i="107"/>
  <c r="AU35" i="107"/>
  <c r="AV35" i="107"/>
  <c r="AU36" i="107"/>
  <c r="AV36" i="107"/>
  <c r="AU37" i="107"/>
  <c r="AV37" i="107"/>
  <c r="AU38" i="107"/>
  <c r="AV38" i="107"/>
  <c r="AU39" i="107"/>
  <c r="AV39" i="107"/>
  <c r="AU40" i="107"/>
  <c r="AV40" i="107"/>
  <c r="AV3" i="107"/>
  <c r="AU3" i="107"/>
  <c r="AP12" i="107"/>
  <c r="AQ12" i="107"/>
  <c r="AR12" i="107" s="1"/>
  <c r="AP13" i="107"/>
  <c r="AQ13" i="107"/>
  <c r="AR13" i="107" s="1"/>
  <c r="AP14" i="107"/>
  <c r="AQ14" i="107"/>
  <c r="AR14" i="107" s="1"/>
  <c r="AP15" i="107"/>
  <c r="AQ15" i="107"/>
  <c r="AR15" i="107" s="1"/>
  <c r="AP16" i="107"/>
  <c r="AQ16" i="107"/>
  <c r="AP17" i="107"/>
  <c r="AQ17" i="107"/>
  <c r="AP18" i="107"/>
  <c r="AQ18" i="107"/>
  <c r="AR18" i="107" s="1"/>
  <c r="AP19" i="107"/>
  <c r="AQ19" i="107"/>
  <c r="AP20" i="107"/>
  <c r="AQ20" i="107"/>
  <c r="AR20" i="107" s="1"/>
  <c r="AP21" i="107"/>
  <c r="AQ21" i="107"/>
  <c r="AR21" i="107" s="1"/>
  <c r="AP22" i="107"/>
  <c r="AQ22" i="107"/>
  <c r="AR22" i="107" s="1"/>
  <c r="AP23" i="107"/>
  <c r="AQ23" i="107"/>
  <c r="AP24" i="107"/>
  <c r="AQ24" i="107"/>
  <c r="AP25" i="107"/>
  <c r="AQ25" i="107"/>
  <c r="AP26" i="107"/>
  <c r="AQ26" i="107"/>
  <c r="AR26" i="107" s="1"/>
  <c r="AP27" i="107"/>
  <c r="AQ27" i="107"/>
  <c r="AP28" i="107"/>
  <c r="AQ28" i="107"/>
  <c r="AR28" i="107" s="1"/>
  <c r="AP29" i="107"/>
  <c r="AQ29" i="107"/>
  <c r="AP30" i="107"/>
  <c r="AQ30" i="107"/>
  <c r="AR30" i="107" s="1"/>
  <c r="AP31" i="107"/>
  <c r="AQ31" i="107"/>
  <c r="AR31" i="107" s="1"/>
  <c r="AP32" i="107"/>
  <c r="AQ32" i="107"/>
  <c r="AR32" i="107" s="1"/>
  <c r="AP33" i="107"/>
  <c r="AQ33" i="107"/>
  <c r="AR33" i="107" s="1"/>
  <c r="AP34" i="107"/>
  <c r="AQ34" i="107"/>
  <c r="AR34" i="107" s="1"/>
  <c r="AP35" i="107"/>
  <c r="AQ35" i="107"/>
  <c r="AP36" i="107"/>
  <c r="AQ36" i="107"/>
  <c r="AR36" i="107" s="1"/>
  <c r="AP37" i="107"/>
  <c r="AQ37" i="107"/>
  <c r="AR37" i="107" s="1"/>
  <c r="AP38" i="107"/>
  <c r="AQ38" i="107"/>
  <c r="AR38" i="107" s="1"/>
  <c r="AP39" i="107"/>
  <c r="AQ39" i="107"/>
  <c r="AR39" i="107" s="1"/>
  <c r="AP40" i="107"/>
  <c r="AQ40" i="107"/>
  <c r="AR40" i="107" s="1"/>
  <c r="AP4" i="107"/>
  <c r="AQ4" i="107"/>
  <c r="AP6" i="107"/>
  <c r="AQ6" i="107"/>
  <c r="AR6" i="107" s="1"/>
  <c r="AP7" i="107"/>
  <c r="AQ7" i="107"/>
  <c r="AR7" i="107" s="1"/>
  <c r="AP8" i="107"/>
  <c r="AQ8" i="107"/>
  <c r="AR8" i="107" s="1"/>
  <c r="AP9" i="107"/>
  <c r="AQ9" i="107"/>
  <c r="AR9" i="107" s="1"/>
  <c r="AP10" i="107"/>
  <c r="AQ10" i="107"/>
  <c r="AP11" i="107"/>
  <c r="AQ11" i="107"/>
  <c r="AR11" i="107" s="1"/>
  <c r="AR4" i="107"/>
  <c r="AR10" i="107"/>
  <c r="AR16" i="107"/>
  <c r="AR17" i="107"/>
  <c r="AR19" i="107"/>
  <c r="AR23" i="107"/>
  <c r="AR24" i="107"/>
  <c r="AR25" i="107"/>
  <c r="AR27" i="107"/>
  <c r="AR29" i="107"/>
  <c r="AR35" i="107"/>
  <c r="Z4" i="107" a="1"/>
  <c r="Z4" i="107" s="1"/>
  <c r="Z5" i="107" a="1"/>
  <c r="Z5" i="107" s="1"/>
  <c r="AA5" i="107" s="1"/>
  <c r="Z3" i="107" a="1"/>
  <c r="Z3" i="107" s="1"/>
  <c r="U16" i="110" l="1"/>
  <c r="R9" i="110"/>
  <c r="AN7" i="110"/>
  <c r="AO7" i="110" s="1"/>
  <c r="AP7" i="110" s="1"/>
  <c r="T11" i="110"/>
  <c r="Z17" i="110"/>
  <c r="T8" i="110"/>
  <c r="Z10" i="110"/>
  <c r="AN8" i="110"/>
  <c r="AO8" i="110" s="1"/>
  <c r="AP8" i="110" s="1"/>
  <c r="T14" i="110"/>
  <c r="Y14" i="110" s="1"/>
  <c r="AL9" i="110"/>
  <c r="N18" i="110"/>
  <c r="AY2" i="110" s="1"/>
  <c r="Z16" i="110"/>
  <c r="X16" i="110"/>
  <c r="T16" i="110"/>
  <c r="Z13" i="110"/>
  <c r="X13" i="110"/>
  <c r="U13" i="110"/>
  <c r="T13" i="110"/>
  <c r="U17" i="110"/>
  <c r="V9" i="110"/>
  <c r="V18" i="110" s="1"/>
  <c r="AM11" i="110"/>
  <c r="U12" i="110"/>
  <c r="U7" i="110"/>
  <c r="O6" i="107"/>
  <c r="AY12" i="45"/>
  <c r="BD40" i="107"/>
  <c r="AT40" i="107"/>
  <c r="BC40" i="107"/>
  <c r="BD39" i="107"/>
  <c r="AT39" i="107"/>
  <c r="BC39" i="107"/>
  <c r="BD38" i="107"/>
  <c r="AT38" i="107"/>
  <c r="BC38" i="107"/>
  <c r="BD37" i="107"/>
  <c r="AT37" i="107"/>
  <c r="BC37" i="107"/>
  <c r="BD36" i="107"/>
  <c r="AT36" i="107"/>
  <c r="BC36" i="107"/>
  <c r="BD35" i="107"/>
  <c r="AT35" i="107"/>
  <c r="BC35" i="107"/>
  <c r="BD34" i="107"/>
  <c r="AT34" i="107"/>
  <c r="BC34" i="107"/>
  <c r="BD33" i="107"/>
  <c r="AT33" i="107"/>
  <c r="BC33" i="107"/>
  <c r="BD32" i="107"/>
  <c r="AT32" i="107"/>
  <c r="BC32" i="107"/>
  <c r="BD31" i="107"/>
  <c r="AT31" i="107"/>
  <c r="BC31" i="107"/>
  <c r="BD30" i="107"/>
  <c r="AT30" i="107"/>
  <c r="BC30" i="107"/>
  <c r="BD29" i="107"/>
  <c r="AT29" i="107"/>
  <c r="BC29" i="107"/>
  <c r="BD28" i="107"/>
  <c r="AT28" i="107"/>
  <c r="BC28" i="107"/>
  <c r="BD27" i="107"/>
  <c r="AT27" i="107"/>
  <c r="BC27" i="107"/>
  <c r="BD26" i="107"/>
  <c r="AT26" i="107"/>
  <c r="BC26" i="107"/>
  <c r="BD25" i="107"/>
  <c r="AT25" i="107"/>
  <c r="BC25" i="107"/>
  <c r="BD24" i="107"/>
  <c r="AT24" i="107"/>
  <c r="BC24" i="107"/>
  <c r="BD23" i="107"/>
  <c r="AT23" i="107"/>
  <c r="BC23" i="107"/>
  <c r="BD22" i="107"/>
  <c r="AT22" i="107"/>
  <c r="BC22" i="107"/>
  <c r="BD21" i="107"/>
  <c r="AT21" i="107"/>
  <c r="BC21" i="107"/>
  <c r="BD20" i="107"/>
  <c r="AT20" i="107"/>
  <c r="BC20" i="107"/>
  <c r="BD19" i="107"/>
  <c r="AT19" i="107"/>
  <c r="BC19" i="107"/>
  <c r="BD18" i="107"/>
  <c r="AT18" i="107"/>
  <c r="BC18" i="107"/>
  <c r="BD17" i="107"/>
  <c r="AT17" i="107"/>
  <c r="BC17" i="107"/>
  <c r="BD16" i="107"/>
  <c r="AT16" i="107"/>
  <c r="BC16" i="107"/>
  <c r="BD15" i="107"/>
  <c r="AT15" i="107"/>
  <c r="BC15" i="107"/>
  <c r="BD14" i="107"/>
  <c r="AT14" i="107"/>
  <c r="BC14" i="107"/>
  <c r="BD13" i="107"/>
  <c r="AT13" i="107"/>
  <c r="BC13" i="107"/>
  <c r="BD12" i="107"/>
  <c r="AT12" i="107"/>
  <c r="BC12" i="107"/>
  <c r="BD11" i="107"/>
  <c r="AT11" i="107"/>
  <c r="BC11" i="107"/>
  <c r="BD10" i="107"/>
  <c r="AT10" i="107"/>
  <c r="BC10" i="107"/>
  <c r="BD9" i="107"/>
  <c r="AT9" i="107"/>
  <c r="BC9" i="107"/>
  <c r="BD8" i="107"/>
  <c r="AT8" i="107"/>
  <c r="BC8" i="107"/>
  <c r="BD7" i="107"/>
  <c r="AT7" i="107"/>
  <c r="BC7" i="107"/>
  <c r="BD6" i="107"/>
  <c r="AT6" i="107"/>
  <c r="BC6" i="107"/>
  <c r="G6" i="107"/>
  <c r="D6" i="107"/>
  <c r="C6" i="107"/>
  <c r="BD5" i="107"/>
  <c r="AC5" i="107"/>
  <c r="AB5" i="107"/>
  <c r="AD5" i="107" s="1"/>
  <c r="N5" i="107" a="1"/>
  <c r="N5" i="107" s="1"/>
  <c r="M5" i="107" a="1"/>
  <c r="M5" i="107" s="1"/>
  <c r="L5" i="107" a="1"/>
  <c r="L5" i="107" s="1"/>
  <c r="K5" i="107" a="1"/>
  <c r="K5" i="107" s="1"/>
  <c r="F5" i="107"/>
  <c r="BE4" i="107"/>
  <c r="BE5" i="107" s="1"/>
  <c r="BE6" i="107" s="1"/>
  <c r="BE7" i="107" s="1"/>
  <c r="BE8" i="107" s="1"/>
  <c r="BE9" i="107" s="1"/>
  <c r="BE10" i="107" s="1"/>
  <c r="BE11" i="107" s="1"/>
  <c r="BE12" i="107" s="1"/>
  <c r="BE13" i="107" s="1"/>
  <c r="BE14" i="107" s="1"/>
  <c r="BE15" i="107" s="1"/>
  <c r="BE16" i="107" s="1"/>
  <c r="BE17" i="107" s="1"/>
  <c r="BE18" i="107" s="1"/>
  <c r="BE19" i="107" s="1"/>
  <c r="BE20" i="107" s="1"/>
  <c r="BE21" i="107" s="1"/>
  <c r="BE22" i="107" s="1"/>
  <c r="BE23" i="107" s="1"/>
  <c r="BE24" i="107" s="1"/>
  <c r="BE25" i="107" s="1"/>
  <c r="BE26" i="107" s="1"/>
  <c r="BE27" i="107" s="1"/>
  <c r="BE28" i="107" s="1"/>
  <c r="BE29" i="107" s="1"/>
  <c r="BE30" i="107" s="1"/>
  <c r="BE31" i="107" s="1"/>
  <c r="BE32" i="107" s="1"/>
  <c r="BE33" i="107" s="1"/>
  <c r="BE34" i="107" s="1"/>
  <c r="BE35" i="107" s="1"/>
  <c r="BE36" i="107" s="1"/>
  <c r="BE37" i="107" s="1"/>
  <c r="BE38" i="107" s="1"/>
  <c r="BE39" i="107" s="1"/>
  <c r="BE40" i="107" s="1"/>
  <c r="BD4" i="107"/>
  <c r="BB4" i="107"/>
  <c r="BB5" i="107" s="1"/>
  <c r="BB6" i="107" s="1"/>
  <c r="BB7" i="107" s="1"/>
  <c r="BB8" i="107" s="1"/>
  <c r="BB9" i="107" s="1"/>
  <c r="BB10" i="107" s="1"/>
  <c r="BB11" i="107" s="1"/>
  <c r="BB12" i="107" s="1"/>
  <c r="BB13" i="107" s="1"/>
  <c r="BB14" i="107" s="1"/>
  <c r="BB15" i="107" s="1"/>
  <c r="BB16" i="107" s="1"/>
  <c r="BB17" i="107" s="1"/>
  <c r="BB18" i="107" s="1"/>
  <c r="BB19" i="107" s="1"/>
  <c r="BB20" i="107" s="1"/>
  <c r="BB21" i="107" s="1"/>
  <c r="BB22" i="107" s="1"/>
  <c r="BB23" i="107" s="1"/>
  <c r="BB24" i="107" s="1"/>
  <c r="BB25" i="107" s="1"/>
  <c r="BB26" i="107" s="1"/>
  <c r="BB27" i="107" s="1"/>
  <c r="BB28" i="107" s="1"/>
  <c r="BB29" i="107" s="1"/>
  <c r="BB30" i="107" s="1"/>
  <c r="BB31" i="107" s="1"/>
  <c r="BB32" i="107" s="1"/>
  <c r="BB33" i="107" s="1"/>
  <c r="BB34" i="107" s="1"/>
  <c r="BB35" i="107" s="1"/>
  <c r="BB36" i="107" s="1"/>
  <c r="BB37" i="107" s="1"/>
  <c r="BB38" i="107" s="1"/>
  <c r="BB39" i="107" s="1"/>
  <c r="BB40" i="107" s="1"/>
  <c r="AX4" i="107"/>
  <c r="AX5" i="107" s="1"/>
  <c r="AW4" i="107"/>
  <c r="AW5" i="107" s="1"/>
  <c r="AW6" i="107" s="1"/>
  <c r="AW7" i="107" s="1"/>
  <c r="AW8" i="107" s="1"/>
  <c r="AW9" i="107" s="1"/>
  <c r="AW10" i="107" s="1"/>
  <c r="AW11" i="107" s="1"/>
  <c r="AW12" i="107" s="1"/>
  <c r="AW13" i="107" s="1"/>
  <c r="AW14" i="107" s="1"/>
  <c r="AW15" i="107" s="1"/>
  <c r="AW16" i="107" s="1"/>
  <c r="AW17" i="107" s="1"/>
  <c r="AW18" i="107" s="1"/>
  <c r="AW19" i="107" s="1"/>
  <c r="AW20" i="107" s="1"/>
  <c r="AW21" i="107" s="1"/>
  <c r="AW22" i="107" s="1"/>
  <c r="AW23" i="107" s="1"/>
  <c r="AW24" i="107" s="1"/>
  <c r="AW25" i="107" s="1"/>
  <c r="AW26" i="107" s="1"/>
  <c r="AW27" i="107" s="1"/>
  <c r="AW28" i="107" s="1"/>
  <c r="AW29" i="107" s="1"/>
  <c r="AW30" i="107" s="1"/>
  <c r="AW31" i="107" s="1"/>
  <c r="AW32" i="107" s="1"/>
  <c r="AW33" i="107" s="1"/>
  <c r="AW34" i="107" s="1"/>
  <c r="AW35" i="107" s="1"/>
  <c r="AW36" i="107" s="1"/>
  <c r="AW37" i="107" s="1"/>
  <c r="AW38" i="107" s="1"/>
  <c r="AW39" i="107" s="1"/>
  <c r="AW40" i="107" s="1"/>
  <c r="AT4" i="107"/>
  <c r="AS4" i="107"/>
  <c r="AS5" i="107" s="1"/>
  <c r="AS6" i="107" s="1"/>
  <c r="AS7" i="107" s="1"/>
  <c r="AS8" i="107" s="1"/>
  <c r="AS9" i="107" s="1"/>
  <c r="AS10" i="107" s="1"/>
  <c r="AS11" i="107" s="1"/>
  <c r="AS12" i="107" s="1"/>
  <c r="AS13" i="107" s="1"/>
  <c r="AS14" i="107" s="1"/>
  <c r="AS15" i="107" s="1"/>
  <c r="AS16" i="107" s="1"/>
  <c r="AS17" i="107" s="1"/>
  <c r="AS18" i="107" s="1"/>
  <c r="AS19" i="107" s="1"/>
  <c r="AS20" i="107" s="1"/>
  <c r="AS21" i="107" s="1"/>
  <c r="AS22" i="107" s="1"/>
  <c r="AS23" i="107" s="1"/>
  <c r="AS24" i="107" s="1"/>
  <c r="AS25" i="107" s="1"/>
  <c r="AS26" i="107" s="1"/>
  <c r="AS27" i="107" s="1"/>
  <c r="AS28" i="107" s="1"/>
  <c r="AS29" i="107" s="1"/>
  <c r="AS30" i="107" s="1"/>
  <c r="AS31" i="107" s="1"/>
  <c r="AS32" i="107" s="1"/>
  <c r="AS33" i="107" s="1"/>
  <c r="AS34" i="107" s="1"/>
  <c r="AS35" i="107" s="1"/>
  <c r="AS36" i="107" s="1"/>
  <c r="AS37" i="107" s="1"/>
  <c r="AS38" i="107" s="1"/>
  <c r="AS39" i="107" s="1"/>
  <c r="AS40" i="107" s="1"/>
  <c r="BC4" i="107"/>
  <c r="AC4" i="107"/>
  <c r="AB4" i="107"/>
  <c r="AD4" i="107" s="1"/>
  <c r="N4" i="107" a="1"/>
  <c r="N4" i="107" s="1"/>
  <c r="M4" i="107" a="1"/>
  <c r="M4" i="107" s="1"/>
  <c r="Y4" i="107" s="1"/>
  <c r="L4" i="107" a="1"/>
  <c r="L4" i="107" s="1"/>
  <c r="AA4" i="107" s="1"/>
  <c r="K4" i="107" a="1"/>
  <c r="K4" i="107" s="1"/>
  <c r="F4" i="107"/>
  <c r="BD3" i="107"/>
  <c r="AC3" i="107"/>
  <c r="AB3" i="107"/>
  <c r="N3" i="107" a="1"/>
  <c r="N3" i="107" s="1"/>
  <c r="M3" i="107" a="1"/>
  <c r="M3" i="107" s="1"/>
  <c r="Y3" i="107" s="1"/>
  <c r="L3" i="107" a="1"/>
  <c r="L3" i="107" s="1"/>
  <c r="AA3" i="107" s="1"/>
  <c r="K3" i="107" a="1"/>
  <c r="K3" i="107" s="1"/>
  <c r="F3" i="107"/>
  <c r="C6" i="104"/>
  <c r="D6" i="104"/>
  <c r="G6" i="104"/>
  <c r="F5" i="104"/>
  <c r="F3" i="104"/>
  <c r="F4" i="104"/>
  <c r="K5" i="104" a="1"/>
  <c r="K5" i="104" s="1"/>
  <c r="L5" i="104" a="1"/>
  <c r="L5" i="104" s="1"/>
  <c r="M5" i="104" a="1"/>
  <c r="M5" i="104" s="1"/>
  <c r="N5" i="104" a="1"/>
  <c r="N5" i="104" s="1"/>
  <c r="N4" i="104" a="1"/>
  <c r="N4" i="104" s="1"/>
  <c r="N3" i="104" a="1"/>
  <c r="N3" i="104" s="1"/>
  <c r="M4" i="104" a="1"/>
  <c r="M4" i="104" s="1"/>
  <c r="M3" i="104" a="1"/>
  <c r="M3" i="104" s="1"/>
  <c r="L4" i="104" a="1"/>
  <c r="L4" i="104" s="1"/>
  <c r="L3" i="104" a="1"/>
  <c r="L3" i="104" s="1"/>
  <c r="K4" i="104" a="1"/>
  <c r="K4" i="104" s="1"/>
  <c r="K3" i="104" a="1"/>
  <c r="K3" i="104" s="1"/>
  <c r="W16" i="110" l="1"/>
  <c r="AA16" i="110" s="1"/>
  <c r="W13" i="110"/>
  <c r="T17" i="110"/>
  <c r="Y17" i="110" s="1"/>
  <c r="X11" i="110"/>
  <c r="U11" i="110"/>
  <c r="Z11" i="110"/>
  <c r="X8" i="110"/>
  <c r="T10" i="110"/>
  <c r="U10" i="110"/>
  <c r="W10" i="110" s="1"/>
  <c r="AA10" i="110" s="1"/>
  <c r="X10" i="110"/>
  <c r="Z8" i="110"/>
  <c r="X17" i="110"/>
  <c r="U8" i="110"/>
  <c r="W8" i="110" s="1"/>
  <c r="AA8" i="110" s="1"/>
  <c r="AA13" i="110"/>
  <c r="X14" i="110"/>
  <c r="Z14" i="110"/>
  <c r="U14" i="110"/>
  <c r="W14" i="110" s="1"/>
  <c r="AA14" i="110" s="1"/>
  <c r="AL10" i="110"/>
  <c r="AN9" i="110"/>
  <c r="AO9" i="110" s="1"/>
  <c r="AP9" i="110" s="1"/>
  <c r="F12" i="45"/>
  <c r="S18" i="110"/>
  <c r="AM12" i="110"/>
  <c r="T7" i="110"/>
  <c r="Z7" i="110"/>
  <c r="X7" i="110"/>
  <c r="Z15" i="110"/>
  <c r="X15" i="110"/>
  <c r="T15" i="110"/>
  <c r="Y11" i="110"/>
  <c r="W11" i="110"/>
  <c r="AA11" i="110" s="1"/>
  <c r="Y10" i="110"/>
  <c r="Z12" i="110"/>
  <c r="X12" i="110"/>
  <c r="T12" i="110"/>
  <c r="Y16" i="110"/>
  <c r="U15" i="110"/>
  <c r="Y13" i="110"/>
  <c r="Y8" i="110"/>
  <c r="U18" i="110"/>
  <c r="AX2" i="110" s="1"/>
  <c r="AA6" i="107"/>
  <c r="U3" i="107"/>
  <c r="W3" i="107" s="1"/>
  <c r="U4" i="107"/>
  <c r="W4" i="107" s="1"/>
  <c r="U5" i="107"/>
  <c r="W5" i="107" s="1"/>
  <c r="AD3" i="107"/>
  <c r="AH3" i="107" s="1"/>
  <c r="AY4" i="107"/>
  <c r="AZ4" i="107" s="1"/>
  <c r="BA4" i="107" s="1"/>
  <c r="AY3" i="107"/>
  <c r="AZ3" i="107" s="1"/>
  <c r="BA3" i="107" s="1"/>
  <c r="AY5" i="107"/>
  <c r="AZ5" i="107" s="1"/>
  <c r="BA5" i="107" s="1"/>
  <c r="AX6" i="107"/>
  <c r="AH5" i="107"/>
  <c r="AF5" i="107"/>
  <c r="AQ5" i="107" s="1"/>
  <c r="AR5" i="107" s="1"/>
  <c r="BC5" i="107" s="1"/>
  <c r="P6" i="107"/>
  <c r="Q5" i="107" s="1"/>
  <c r="R5" i="107" s="1"/>
  <c r="AH4" i="107"/>
  <c r="AF4" i="107"/>
  <c r="O6" i="104"/>
  <c r="W3" i="104"/>
  <c r="X3" i="104" s="1"/>
  <c r="P5" i="104"/>
  <c r="R5" i="104" s="1"/>
  <c r="S5" i="104" s="1"/>
  <c r="Y5" i="104"/>
  <c r="Y4" i="104"/>
  <c r="W4" i="104" s="1"/>
  <c r="X4" i="104" s="1"/>
  <c r="P3" i="104"/>
  <c r="R3" i="104" s="1"/>
  <c r="S3" i="104" s="1"/>
  <c r="P4" i="104"/>
  <c r="W17" i="110" l="1"/>
  <c r="AA17" i="110" s="1"/>
  <c r="AL11" i="110"/>
  <c r="AN10" i="110"/>
  <c r="AO10" i="110" s="1"/>
  <c r="AP10" i="110" s="1"/>
  <c r="X4" i="110"/>
  <c r="C12" i="45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E5" i="107"/>
  <c r="AP5" i="107" s="1"/>
  <c r="AT5" i="107" s="1"/>
  <c r="AE4" i="107"/>
  <c r="S5" i="107"/>
  <c r="T5" i="107" s="1"/>
  <c r="Q3" i="107"/>
  <c r="Q4" i="107"/>
  <c r="R4" i="107" s="1"/>
  <c r="AH6" i="107"/>
  <c r="AF3" i="107"/>
  <c r="AQ3" i="107" s="1"/>
  <c r="AR3" i="107" s="1"/>
  <c r="AG5" i="107"/>
  <c r="AI5" i="107" s="1"/>
  <c r="AX7" i="107"/>
  <c r="AY6" i="107"/>
  <c r="AZ6" i="107" s="1"/>
  <c r="BA6" i="107" s="1"/>
  <c r="AG4" i="107"/>
  <c r="AI4" i="107" s="1"/>
  <c r="Y3" i="104"/>
  <c r="Y6" i="104" s="1"/>
  <c r="AA3" i="104"/>
  <c r="W5" i="104"/>
  <c r="Z4" i="104"/>
  <c r="R4" i="104"/>
  <c r="S4" i="104" s="1"/>
  <c r="AA4" i="104" s="1"/>
  <c r="AL12" i="110" l="1"/>
  <c r="AN11" i="110"/>
  <c r="AO11" i="110" s="1"/>
  <c r="AP11" i="110" s="1"/>
  <c r="W9" i="110"/>
  <c r="AA9" i="110" s="1"/>
  <c r="Y9" i="110"/>
  <c r="AM14" i="110"/>
  <c r="T18" i="110"/>
  <c r="AW2" i="110" s="1"/>
  <c r="W18" i="110"/>
  <c r="AA7" i="110"/>
  <c r="AG3" i="107"/>
  <c r="AI3" i="107" s="1"/>
  <c r="AE3" i="107"/>
  <c r="AP3" i="107" s="1"/>
  <c r="AJ5" i="107"/>
  <c r="R3" i="107"/>
  <c r="R6" i="107" s="1"/>
  <c r="S3" i="107"/>
  <c r="S4" i="107"/>
  <c r="T4" i="107" s="1"/>
  <c r="AF6" i="107"/>
  <c r="AX8" i="107"/>
  <c r="AY7" i="107"/>
  <c r="AA5" i="104"/>
  <c r="X5" i="104"/>
  <c r="X6" i="104" s="1"/>
  <c r="Z3" i="104"/>
  <c r="W6" i="104"/>
  <c r="S6" i="104"/>
  <c r="AL13" i="110" l="1"/>
  <c r="AN12" i="110"/>
  <c r="AO12" i="110" s="1"/>
  <c r="AP12" i="110" s="1"/>
  <c r="B12" i="45"/>
  <c r="AM15" i="110"/>
  <c r="BC3" i="107"/>
  <c r="AT3" i="107"/>
  <c r="AG6" i="107"/>
  <c r="T3" i="107"/>
  <c r="AJ4" i="107"/>
  <c r="AZ7" i="107"/>
  <c r="BA7" i="107" s="1"/>
  <c r="AX9" i="107"/>
  <c r="AY8" i="107"/>
  <c r="AZ8" i="107" s="1"/>
  <c r="BA8" i="107" s="1"/>
  <c r="Z5" i="104"/>
  <c r="AL14" i="110" l="1"/>
  <c r="AN13" i="110"/>
  <c r="AO13" i="110" s="1"/>
  <c r="AP13" i="110" s="1"/>
  <c r="AM16" i="110"/>
  <c r="AJ3" i="107"/>
  <c r="T6" i="107"/>
  <c r="AX10" i="107"/>
  <c r="AY9" i="107"/>
  <c r="AZ9" i="107" s="1"/>
  <c r="BA9" i="107" s="1"/>
  <c r="AL15" i="110" l="1"/>
  <c r="AN14" i="110"/>
  <c r="AO14" i="110" s="1"/>
  <c r="AP14" i="110" s="1"/>
  <c r="AM17" i="110"/>
  <c r="AX11" i="107"/>
  <c r="AY10" i="107"/>
  <c r="AZ10" i="107" s="1"/>
  <c r="BA10" i="107" s="1"/>
  <c r="AC12" i="45"/>
  <c r="AD12" i="45"/>
  <c r="AE12" i="45" s="1"/>
  <c r="K12" i="45"/>
  <c r="J12" i="45"/>
  <c r="H12" i="45"/>
  <c r="G12" i="45"/>
  <c r="L12" i="45"/>
  <c r="AT12" i="45"/>
  <c r="AS12" i="45"/>
  <c r="AJ12" i="45"/>
  <c r="X12" i="45"/>
  <c r="AI12" i="45"/>
  <c r="W12" i="45"/>
  <c r="S12" i="45"/>
  <c r="AL16" i="110" l="1"/>
  <c r="AN15" i="110"/>
  <c r="AO15" i="110" s="1"/>
  <c r="AP15" i="110" s="1"/>
  <c r="AM18" i="110"/>
  <c r="AY11" i="107"/>
  <c r="AZ11" i="107" s="1"/>
  <c r="BA11" i="107" s="1"/>
  <c r="AX12" i="107"/>
  <c r="AL17" i="110" l="1"/>
  <c r="AN16" i="110"/>
  <c r="AO16" i="110" s="1"/>
  <c r="AP16" i="110" s="1"/>
  <c r="AM19" i="110"/>
  <c r="AX13" i="107"/>
  <c r="AY12" i="107"/>
  <c r="AZ12" i="107" s="1"/>
  <c r="BA12" i="107" s="1"/>
  <c r="AL18" i="110" l="1"/>
  <c r="AN17" i="110"/>
  <c r="AO17" i="110" s="1"/>
  <c r="AP17" i="110" s="1"/>
  <c r="AM20" i="110"/>
  <c r="AX14" i="107"/>
  <c r="AY13" i="107"/>
  <c r="AZ13" i="107" s="1"/>
  <c r="BA13" i="107" s="1"/>
  <c r="AL19" i="110" l="1"/>
  <c r="AN18" i="110"/>
  <c r="AO18" i="110" s="1"/>
  <c r="AP18" i="110" s="1"/>
  <c r="AM21" i="110"/>
  <c r="AX15" i="107"/>
  <c r="AY14" i="107"/>
  <c r="AZ14" i="107" s="1"/>
  <c r="BA14" i="107" s="1"/>
  <c r="AL20" i="110" l="1"/>
  <c r="AN19" i="110"/>
  <c r="AO19" i="110" s="1"/>
  <c r="AP19" i="110" s="1"/>
  <c r="AM22" i="110"/>
  <c r="AY15" i="107"/>
  <c r="AZ15" i="107" s="1"/>
  <c r="BA15" i="107" s="1"/>
  <c r="AX16" i="107"/>
  <c r="AL21" i="110" l="1"/>
  <c r="AN20" i="110"/>
  <c r="AO20" i="110" s="1"/>
  <c r="AP20" i="110" s="1"/>
  <c r="AM23" i="110"/>
  <c r="AX17" i="107"/>
  <c r="AY16" i="107"/>
  <c r="AZ16" i="107" s="1"/>
  <c r="BA16" i="107" s="1"/>
  <c r="AL22" i="110" l="1"/>
  <c r="AN21" i="110"/>
  <c r="AO21" i="110" s="1"/>
  <c r="AP21" i="110" s="1"/>
  <c r="AM24" i="110"/>
  <c r="AX18" i="107"/>
  <c r="AY17" i="107"/>
  <c r="AZ17" i="107" s="1"/>
  <c r="BA17" i="107" s="1"/>
  <c r="AL23" i="110" l="1"/>
  <c r="AN22" i="110"/>
  <c r="AO22" i="110" s="1"/>
  <c r="AP22" i="110" s="1"/>
  <c r="AM25" i="110"/>
  <c r="AX19" i="107"/>
  <c r="AY18" i="107"/>
  <c r="AZ18" i="107" s="1"/>
  <c r="BA18" i="107" s="1"/>
  <c r="I12" i="45"/>
  <c r="AL24" i="110" l="1"/>
  <c r="AN23" i="110"/>
  <c r="AO23" i="110" s="1"/>
  <c r="AP23" i="110" s="1"/>
  <c r="AM26" i="110"/>
  <c r="AY19" i="107"/>
  <c r="AZ19" i="107" s="1"/>
  <c r="BA19" i="107" s="1"/>
  <c r="AX20" i="107"/>
  <c r="AL25" i="110" l="1"/>
  <c r="AN24" i="110"/>
  <c r="AO24" i="110" s="1"/>
  <c r="AP24" i="110" s="1"/>
  <c r="AM27" i="110"/>
  <c r="AX21" i="107"/>
  <c r="AY20" i="107"/>
  <c r="AZ20" i="107" s="1"/>
  <c r="BA20" i="107" s="1"/>
  <c r="AL26" i="110" l="1"/>
  <c r="AN25" i="110"/>
  <c r="AO25" i="110" s="1"/>
  <c r="AP25" i="110" s="1"/>
  <c r="AM28" i="110"/>
  <c r="AX22" i="107"/>
  <c r="AY21" i="107"/>
  <c r="AZ21" i="107" s="1"/>
  <c r="BA21" i="107" s="1"/>
  <c r="AL27" i="110" l="1"/>
  <c r="AN26" i="110"/>
  <c r="AO26" i="110" s="1"/>
  <c r="AP26" i="110" s="1"/>
  <c r="AM29" i="110"/>
  <c r="AX23" i="107"/>
  <c r="AY22" i="107"/>
  <c r="AZ22" i="107" s="1"/>
  <c r="BA22" i="107" s="1"/>
  <c r="AL28" i="110" l="1"/>
  <c r="AN27" i="110"/>
  <c r="AO27" i="110" s="1"/>
  <c r="AP27" i="110" s="1"/>
  <c r="AM30" i="110"/>
  <c r="AY23" i="107"/>
  <c r="AZ23" i="107" s="1"/>
  <c r="BA23" i="107" s="1"/>
  <c r="AX24" i="107"/>
  <c r="AL29" i="110" l="1"/>
  <c r="AN28" i="110"/>
  <c r="AO28" i="110" s="1"/>
  <c r="AP28" i="110" s="1"/>
  <c r="AM31" i="110"/>
  <c r="AX25" i="107"/>
  <c r="AY24" i="107"/>
  <c r="AZ24" i="107" s="1"/>
  <c r="BA24" i="107" s="1"/>
  <c r="AL30" i="110" l="1"/>
  <c r="AN29" i="110"/>
  <c r="AO29" i="110" s="1"/>
  <c r="AP29" i="110" s="1"/>
  <c r="AM32" i="110"/>
  <c r="AX26" i="107"/>
  <c r="AY25" i="107"/>
  <c r="AZ25" i="107" s="1"/>
  <c r="BA25" i="107" s="1"/>
  <c r="AL31" i="110" l="1"/>
  <c r="AN30" i="110"/>
  <c r="AO30" i="110" s="1"/>
  <c r="AP30" i="110" s="1"/>
  <c r="AM33" i="110"/>
  <c r="AX27" i="107"/>
  <c r="AY26" i="107"/>
  <c r="AZ26" i="107" s="1"/>
  <c r="BA26" i="107" s="1"/>
  <c r="AL32" i="110" l="1"/>
  <c r="AN31" i="110"/>
  <c r="AO31" i="110" s="1"/>
  <c r="AP31" i="110" s="1"/>
  <c r="AM34" i="110"/>
  <c r="AX28" i="107"/>
  <c r="AY27" i="107"/>
  <c r="AZ27" i="107" s="1"/>
  <c r="BA27" i="107" s="1"/>
  <c r="AL33" i="110" l="1"/>
  <c r="AN32" i="110"/>
  <c r="AO32" i="110" s="1"/>
  <c r="AP32" i="110" s="1"/>
  <c r="AM35" i="110"/>
  <c r="AX29" i="107"/>
  <c r="AY28" i="107"/>
  <c r="AZ28" i="107" s="1"/>
  <c r="BA28" i="107" s="1"/>
  <c r="AL34" i="110" l="1"/>
  <c r="AN33" i="110"/>
  <c r="AO33" i="110" s="1"/>
  <c r="AP33" i="110" s="1"/>
  <c r="AM36" i="110"/>
  <c r="AX30" i="107"/>
  <c r="AY29" i="107"/>
  <c r="AZ29" i="107" s="1"/>
  <c r="BA29" i="107" s="1"/>
  <c r="AL35" i="110" l="1"/>
  <c r="AN34" i="110"/>
  <c r="AO34" i="110" s="1"/>
  <c r="AP34" i="110" s="1"/>
  <c r="AM37" i="110"/>
  <c r="AX31" i="107"/>
  <c r="AY30" i="107"/>
  <c r="AZ30" i="107" s="1"/>
  <c r="BA30" i="107" s="1"/>
  <c r="AL36" i="110" l="1"/>
  <c r="AN35" i="110"/>
  <c r="AO35" i="110" s="1"/>
  <c r="AP35" i="110" s="1"/>
  <c r="AM38" i="110"/>
  <c r="AX32" i="107"/>
  <c r="AY31" i="107"/>
  <c r="AZ31" i="107" s="1"/>
  <c r="BA31" i="107" s="1"/>
  <c r="AL37" i="110" l="1"/>
  <c r="AN36" i="110"/>
  <c r="AO36" i="110" s="1"/>
  <c r="AP36" i="110" s="1"/>
  <c r="AM39" i="110"/>
  <c r="AX33" i="107"/>
  <c r="AY32" i="107"/>
  <c r="AZ32" i="107" s="1"/>
  <c r="BA32" i="107" s="1"/>
  <c r="AL38" i="110" l="1"/>
  <c r="AN37" i="110"/>
  <c r="AO37" i="110" s="1"/>
  <c r="AP37" i="110" s="1"/>
  <c r="AM40" i="110"/>
  <c r="AX34" i="107"/>
  <c r="AY33" i="107"/>
  <c r="AZ33" i="107" s="1"/>
  <c r="BA33" i="107" s="1"/>
  <c r="AL39" i="110" l="1"/>
  <c r="AN38" i="110"/>
  <c r="AO38" i="110" s="1"/>
  <c r="AP38" i="110" s="1"/>
  <c r="AM41" i="110"/>
  <c r="AX35" i="107"/>
  <c r="AY34" i="107"/>
  <c r="AZ34" i="107" s="1"/>
  <c r="BA34" i="107" s="1"/>
  <c r="AL40" i="110" l="1"/>
  <c r="AN39" i="110"/>
  <c r="AO39" i="110" s="1"/>
  <c r="AP39" i="110" s="1"/>
  <c r="AM42" i="110"/>
  <c r="AX36" i="107"/>
  <c r="AY35" i="107"/>
  <c r="AZ35" i="107" s="1"/>
  <c r="BA35" i="107" s="1"/>
  <c r="AL41" i="110" l="1"/>
  <c r="AN40" i="110"/>
  <c r="AO40" i="110" s="1"/>
  <c r="AP40" i="110" s="1"/>
  <c r="AM43" i="110"/>
  <c r="AX37" i="107"/>
  <c r="AY36" i="107"/>
  <c r="AZ36" i="107" s="1"/>
  <c r="BA36" i="107" s="1"/>
  <c r="AL42" i="110" l="1"/>
  <c r="AN41" i="110"/>
  <c r="AO41" i="110" s="1"/>
  <c r="AP41" i="110" s="1"/>
  <c r="AM44" i="110"/>
  <c r="AX38" i="107"/>
  <c r="AY37" i="107"/>
  <c r="AZ37" i="107" s="1"/>
  <c r="BA37" i="107" s="1"/>
  <c r="AL43" i="110" l="1"/>
  <c r="AN42" i="110"/>
  <c r="AO42" i="110" s="1"/>
  <c r="AP42" i="110" s="1"/>
  <c r="AX39" i="107"/>
  <c r="AY38" i="107"/>
  <c r="AZ38" i="107" s="1"/>
  <c r="BA38" i="107" s="1"/>
  <c r="AL44" i="110" l="1"/>
  <c r="AN44" i="110" s="1"/>
  <c r="AO44" i="110" s="1"/>
  <c r="AP44" i="110" s="1"/>
  <c r="AN43" i="110"/>
  <c r="AY39" i="107"/>
  <c r="AZ39" i="107" s="1"/>
  <c r="BA39" i="107" s="1"/>
  <c r="AX40" i="107"/>
  <c r="AY40" i="107" s="1"/>
  <c r="AO43" i="110" l="1"/>
  <c r="AP43" i="110" s="1"/>
  <c r="AN45" i="110"/>
  <c r="BB2" i="110" s="1"/>
  <c r="AP45" i="110"/>
  <c r="BA2" i="110" s="1"/>
  <c r="AZ40" i="107"/>
  <c r="BA40" i="107" s="1"/>
  <c r="BA41" i="107" s="1"/>
  <c r="AY41" i="107"/>
  <c r="AY13" i="45" l="1"/>
  <c r="K10" i="64" s="1"/>
  <c r="AX13" i="45"/>
  <c r="K11" i="64" s="1"/>
  <c r="M12" i="45" l="1"/>
  <c r="O12" i="45" s="1"/>
  <c r="B13" i="45"/>
  <c r="AO12" i="45"/>
  <c r="N12" i="45" l="1"/>
  <c r="T12" i="45" s="1"/>
  <c r="AP12" i="45"/>
  <c r="AR12" i="45" s="1"/>
  <c r="P12" i="45"/>
  <c r="U12" i="45" s="1"/>
  <c r="N7" i="63"/>
  <c r="N8" i="63" s="1"/>
  <c r="AA12" i="45"/>
  <c r="AB12" i="45" s="1"/>
  <c r="AG12" i="45" s="1"/>
  <c r="Z12" i="45"/>
  <c r="AF12" i="45" s="1"/>
  <c r="AU12" i="45" l="1"/>
  <c r="AU13" i="45" s="1"/>
  <c r="AR13" i="45"/>
  <c r="AH12" i="45"/>
  <c r="AK12" i="45"/>
  <c r="V12" i="45"/>
  <c r="Y12" i="45"/>
  <c r="Y13" i="45" s="1"/>
  <c r="AN12" i="45" l="1"/>
  <c r="AN13" i="45" s="1"/>
  <c r="K8" i="64" s="1"/>
  <c r="K9" i="64" s="1" a="1"/>
  <c r="K9" i="64" s="1"/>
  <c r="AK13" i="45"/>
  <c r="AL12" i="45"/>
  <c r="AL13" i="45" s="1"/>
  <c r="K7" i="64" s="1"/>
  <c r="AM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Q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O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V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M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tc={60FD81FF-5585-4754-855D-E2AAF680D86C}</author>
  </authors>
  <commentList>
    <comment ref="B2" authorId="0" shapeId="0" xr:uid="{60FD81FF-5585-4754-855D-E2AAF680D86C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this one column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<sst xmlns="http://schemas.openxmlformats.org/spreadsheetml/2006/main" count="1864" uniqueCount="694">
  <si>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</si>
  <si>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</si>
  <si>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</si>
  <si>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</si>
  <si>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</si>
  <si>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</si>
  <si>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</si>
  <si>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Transfer Air CFM</t>
  </si>
  <si>
    <t>Balance?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</si>
  <si>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</si>
  <si>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</si>
  <si>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</si>
  <si>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</si>
  <si>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</si>
  <si>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</si>
  <si>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</si>
  <si>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</si>
  <si>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</si>
  <si>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</si>
  <si>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</si>
  <si>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</si>
  <si>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</si>
  <si>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</si>
  <si>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</si>
  <si>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</si>
  <si>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</si>
  <si>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</si>
  <si>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</si>
  <si>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</si>
  <si>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</si>
  <si>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</si>
  <si>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</si>
  <si>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</si>
  <si>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</si>
  <si>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</si>
  <si>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</si>
  <si>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</si>
  <si>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</si>
  <si>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</si>
  <si>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</si>
  <si>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</si>
  <si>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</si>
  <si>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Psych (sensible)</t>
  </si>
  <si>
    <t>Unit Loads - Psych (dehumidification)</t>
  </si>
  <si>
    <t>Summer Outside Air (dehumidification)</t>
  </si>
  <si>
    <t>Winter Outside</t>
  </si>
  <si>
    <t>(MBH)</t>
  </si>
  <si>
    <t>SUMMER DESIGN</t>
  </si>
  <si>
    <t>WINTER DESIGN</t>
  </si>
  <si>
    <t>COOLING</t>
  </si>
  <si>
    <t>MCDB</t>
  </si>
  <si>
    <t>HR</t>
  </si>
  <si>
    <t>OSA PERCENT</t>
  </si>
  <si>
    <t>V-Lookup</t>
  </si>
  <si>
    <t>Size</t>
  </si>
  <si>
    <t>DESIGN CHECK</t>
  </si>
  <si>
    <t>AIR CALCULATION</t>
  </si>
  <si>
    <t>ROOM INFO</t>
  </si>
  <si>
    <t>CODE REQUIREMENTS</t>
  </si>
  <si>
    <t>REMARKS</t>
  </si>
  <si>
    <t>HUMIDIFICATION</t>
  </si>
  <si>
    <t>MIN MBH</t>
  </si>
  <si>
    <t>DESIGN 
LAT</t>
  </si>
  <si>
    <t>DESIGN 
LWT</t>
  </si>
  <si>
    <t>PATIENT ROOM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</si>
  <si>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</si>
  <si>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</si>
  <si>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</si>
  <si>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</si>
  <si>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</si>
  <si>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</si>
  <si>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</si>
  <si>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</si>
  <si>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</si>
  <si>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</si>
  <si>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</si>
  <si>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</si>
  <si>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</si>
  <si>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</si>
  <si>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</si>
  <si>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</si>
  <si>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</si>
  <si>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</si>
  <si>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</si>
  <si>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</si>
  <si>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</si>
  <si>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</si>
  <si>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</si>
  <si>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</si>
  <si>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</si>
  <si>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</si>
  <si>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</si>
  <si>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</si>
  <si>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</si>
  <si>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</si>
  <si>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</si>
  <si>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</si>
  <si>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</si>
  <si>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</si>
  <si>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</si>
  <si>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</si>
  <si>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</si>
  <si>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</si>
  <si>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</si>
  <si>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</si>
  <si>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</si>
  <si>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</si>
  <si>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</si>
  <si>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</si>
  <si>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</si>
  <si>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</si>
  <si>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</si>
  <si>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</si>
  <si>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</si>
  <si>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</si>
  <si>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</si>
  <si>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</si>
  <si>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</si>
  <si>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</si>
  <si>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</si>
  <si>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</si>
  <si>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</si>
  <si>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</si>
  <si>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</si>
  <si>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</si>
  <si>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</si>
  <si>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</si>
  <si>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</si>
  <si>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</si>
  <si>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</si>
  <si>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</si>
  <si>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</si>
  <si>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</si>
  <si>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</si>
  <si>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</si>
  <si>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</si>
  <si>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</si>
  <si>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</si>
  <si>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</si>
  <si>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</si>
  <si>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</si>
  <si>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</si>
  <si>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</si>
  <si>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</si>
  <si>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</si>
  <si>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</si>
  <si>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</si>
  <si>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</si>
  <si>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</si>
  <si>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</si>
  <si>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</si>
  <si>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</si>
  <si>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</si>
  <si>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</si>
  <si>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</si>
  <si>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</si>
  <si>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</si>
  <si>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</si>
  <si>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</si>
  <si>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</si>
  <si>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</si>
  <si>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</si>
  <si>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</si>
  <si>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</si>
  <si>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</si>
  <si>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</si>
  <si>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</si>
  <si>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</si>
  <si>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</si>
  <si>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</si>
  <si>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</si>
  <si>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</si>
  <si>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</si>
  <si>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</si>
  <si>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</si>
  <si>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</si>
  <si>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</si>
  <si>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</si>
  <si>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</si>
  <si>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</si>
  <si>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</si>
  <si>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</si>
  <si>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</si>
  <si>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</si>
  <si>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</si>
  <si>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</si>
  <si>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</si>
  <si>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</si>
  <si>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</si>
  <si>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</si>
  <si>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</si>
  <si>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</si>
  <si>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</si>
  <si>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</si>
  <si>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</si>
  <si>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</si>
  <si>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</si>
  <si>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</si>
  <si>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</si>
  <si>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</si>
  <si>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</si>
  <si>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</si>
  <si>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</si>
  <si>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</si>
  <si>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</si>
  <si>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</si>
  <si>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</si>
  <si>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</si>
  <si>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</si>
  <si>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</si>
  <si>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</si>
  <si>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</si>
  <si>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</si>
  <si>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</si>
  <si>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</si>
  <si>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</si>
  <si>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</si>
  <si>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</si>
  <si>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</si>
  <si>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</si>
  <si>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</si>
  <si>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</si>
  <si>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</si>
  <si>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</si>
  <si>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</si>
  <si>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</si>
  <si>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</si>
  <si>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</si>
  <si>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</si>
  <si>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</si>
  <si>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</si>
  <si>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</si>
  <si>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</si>
  <si>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</si>
  <si>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</si>
  <si>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</si>
  <si>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</si>
  <si>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</si>
  <si>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</si>
  <si>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</si>
  <si>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</si>
  <si>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</si>
  <si>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</si>
  <si>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</si>
  <si>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</si>
  <si>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</si>
  <si>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</si>
  <si>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</si>
  <si>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</si>
  <si>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</si>
  <si>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</si>
  <si>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</si>
  <si>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</si>
  <si>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</si>
  <si>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Number of Chillers</t>
  </si>
  <si>
    <t>number of CHW Pumps</t>
  </si>
  <si>
    <t>Column1</t>
  </si>
  <si>
    <t>Diversity %</t>
  </si>
  <si>
    <t>CHW Total Flow</t>
  </si>
  <si>
    <t>LOAD (CFM)</t>
  </si>
  <si>
    <t>INTERMIDIATE FILTER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</si>
  <si>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</si>
  <si>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</si>
  <si>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</si>
  <si>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</si>
  <si>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</si>
  <si>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</si>
  <si>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</si>
  <si>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</si>
  <si>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</si>
  <si>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</si>
  <si>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</si>
  <si>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</si>
  <si>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</si>
  <si>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</si>
  <si>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</si>
  <si>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</si>
  <si>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</si>
  <si>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</si>
  <si>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</si>
  <si>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</si>
  <si>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</si>
  <si>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</si>
  <si>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</si>
  <si>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</si>
  <si>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</si>
  <si>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</si>
  <si>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</si>
  <si>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</si>
  <si>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</si>
  <si>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</si>
  <si>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</si>
  <si>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</si>
  <si>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</si>
  <si>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</si>
  <si>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</si>
  <si>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</si>
  <si>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</si>
  <si>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</si>
  <si>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</si>
  <si>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</si>
  <si>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</si>
  <si>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</si>
  <si>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</si>
  <si>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</si>
  <si>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</si>
  <si>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</si>
  <si>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</si>
  <si>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</si>
  <si>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</si>
  <si>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</si>
  <si>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</si>
  <si>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</si>
  <si>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</si>
  <si>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</si>
  <si>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</si>
  <si>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</si>
  <si>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</si>
  <si>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</si>
  <si>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</si>
  <si>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</si>
  <si>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</si>
  <si>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</si>
  <si>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</si>
  <si>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</si>
  <si>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</si>
  <si>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</si>
  <si>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</si>
  <si>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</si>
  <si>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</si>
  <si>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</si>
  <si>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</si>
  <si>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</si>
  <si>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</si>
  <si>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</si>
  <si>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</si>
  <si>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</si>
  <si>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</si>
  <si>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</si>
  <si>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</si>
  <si>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</si>
  <si>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</si>
  <si>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</si>
  <si>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</si>
  <si>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</si>
  <si>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</si>
  <si>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</si>
  <si>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</si>
  <si>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</si>
  <si>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</si>
  <si>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</si>
  <si>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</si>
  <si>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</si>
  <si>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</si>
  <si>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</si>
  <si>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</si>
  <si>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</si>
  <si>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</si>
  <si>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</si>
  <si>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</si>
  <si>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</si>
  <si>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</si>
  <si>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</si>
  <si>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</si>
  <si>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</si>
  <si>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</si>
  <si>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</si>
  <si>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</si>
  <si>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</si>
  <si>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</si>
  <si>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</si>
  <si>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</si>
  <si>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</si>
  <si>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</si>
  <si>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</si>
  <si>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</si>
  <si>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</si>
  <si>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</si>
  <si>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</si>
  <si>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</si>
  <si>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</si>
  <si>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</si>
  <si>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</si>
  <si>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</si>
  <si>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</si>
  <si>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</si>
  <si>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</si>
  <si>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</si>
  <si>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</si>
  <si>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</si>
  <si>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</si>
  <si>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</si>
  <si>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</si>
  <si>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</si>
  <si>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</si>
  <si>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</si>
  <si>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</si>
  <si>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</si>
  <si>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</si>
  <si>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</si>
  <si>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</si>
  <si>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</si>
  <si>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</si>
  <si>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</si>
  <si>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</si>
  <si>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</si>
  <si>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</si>
  <si>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</si>
  <si>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</si>
  <si>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</si>
  <si>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</si>
  <si>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</si>
  <si>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</si>
  <si>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</si>
  <si>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</si>
  <si>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</si>
  <si>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</si>
  <si>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</si>
  <si>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</si>
  <si>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</si>
  <si>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</si>
  <si>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</si>
  <si>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</si>
  <si>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</si>
  <si>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</si>
  <si>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Admin (NOT PER TABLE 4A)</t>
  </si>
  <si>
    <t>OCCUPANCY CATEGORY</t>
  </si>
  <si>
    <t>OCCUPANCY SUBCATEGORY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</si>
  <si>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</si>
  <si>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</si>
  <si>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</si>
  <si>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</si>
  <si>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</si>
  <si>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</si>
  <si>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</si>
  <si>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</si>
  <si>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Room Number</t>
  </si>
  <si>
    <t>Room</t>
  </si>
  <si>
    <t>Occupants</t>
  </si>
  <si>
    <t>OA Frac (Z)</t>
  </si>
  <si>
    <t>LOBBY</t>
  </si>
  <si>
    <t>Vbz</t>
  </si>
  <si>
    <t>Ez</t>
  </si>
  <si>
    <t>Voz</t>
  </si>
  <si>
    <t>Occupancy Subcategory</t>
  </si>
  <si>
    <t>CORRIDORS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</si>
  <si>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</si>
  <si>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</si>
  <si>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</si>
  <si>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</si>
  <si>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</si>
  <si>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</si>
  <si>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</si>
  <si>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ANIMAL FACILITIES</t>
  </si>
  <si>
    <t>ANIMAL EXAM ROOM (VETERINARY OFFICE)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</si>
  <si>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</si>
  <si>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</si>
  <si>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</si>
  <si>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</si>
  <si>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</si>
  <si>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</si>
  <si>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</si>
  <si>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MIN ASHRAE EA
(CFM)</t>
  </si>
  <si>
    <t>EA RATE
(CFM/FT²)</t>
  </si>
  <si>
    <t>EA RATE
(CFM/UNIT)</t>
  </si>
  <si>
    <t>TOTAL</t>
  </si>
  <si>
    <t>ANIMAL IMAGING (MRI/CT/PET)</t>
  </si>
  <si>
    <t>ANIMAL OPERATING ROOMS</t>
  </si>
  <si>
    <t>ANIMAL POSTOPERATIVE RECOVERY ROOM</t>
  </si>
  <si>
    <t>ANIMAL PREPARATION ROOMS</t>
  </si>
  <si>
    <t>ANIMAL PROCEDURE ROOM</t>
  </si>
  <si>
    <t>ANIMAL SURGERY SCRUB</t>
  </si>
  <si>
    <t>LARGE ANIMAL HOLDING ROOM</t>
  </si>
  <si>
    <t>NECROPSY</t>
  </si>
  <si>
    <t>SMALL-ANIMAL-CAGE ROOM (STATIC CAGES)</t>
  </si>
  <si>
    <t>SMALL-ANIMAL-CAGE ROOM (VENTILATED CAGES)</t>
  </si>
  <si>
    <t>CORRECTIONAL FACILITIES</t>
  </si>
  <si>
    <t>BOOKING/WAITING</t>
  </si>
  <si>
    <t>CELL</t>
  </si>
  <si>
    <t>DAYROOM</t>
  </si>
  <si>
    <t>GUARD STATIONS</t>
  </si>
  <si>
    <t>EDUCATIONAL FACILITIES</t>
  </si>
  <si>
    <t>ART CLASSROOM</t>
  </si>
  <si>
    <t>CLASSROOMS (AGES 5 TO 8)</t>
  </si>
  <si>
    <t>CLASSROOMS (AGES 9 PLUS)</t>
  </si>
  <si>
    <t>COMPUTER LAB</t>
  </si>
  <si>
    <t>DAYCARE SICKROOM</t>
  </si>
  <si>
    <t>DAYCARE (THROUGH AGE 4)</t>
  </si>
  <si>
    <t>LECTURE CLASSROOM</t>
  </si>
  <si>
    <t>LECTURE HALL (FIXED SEATS)</t>
  </si>
  <si>
    <t>LIBRARIES</t>
  </si>
  <si>
    <t>MEDIA CENTER</t>
  </si>
  <si>
    <t>MULTIUSE ASSEMBLY</t>
  </si>
  <si>
    <t>MUSIC/THEATER/DANCE</t>
  </si>
  <si>
    <t>SCIENCE LABORATORIES</t>
  </si>
  <si>
    <t>UNIVERSITY/COLLEGE LABORATORIES</t>
  </si>
  <si>
    <t>WOOD/METAL SHOP</t>
  </si>
  <si>
    <t>FOOD AND BEVERAGE SERVICE</t>
  </si>
  <si>
    <t>BARS, COCKTAIL LOUNGES</t>
  </si>
  <si>
    <t>CAFETERIA/FAST-FOOD DINING</t>
  </si>
  <si>
    <t>KITCHEN (COOKING)</t>
  </si>
  <si>
    <t>RESTAURANT DINING ROOMS</t>
  </si>
  <si>
    <t>GENERAL</t>
  </si>
  <si>
    <t>BREAK ROOMS</t>
  </si>
  <si>
    <t>COFFEE STATIONS</t>
  </si>
  <si>
    <t>CONFERENCE/MEETING</t>
  </si>
  <si>
    <t>OCCUPIABLE STORAGE ROOMS FOR LIQUIDS OR GELS</t>
  </si>
  <si>
    <t>HOTELS, MOTELS, RESORTS, DORMITORIES</t>
  </si>
  <si>
    <t>BARRACKS SLEEPING AREAS</t>
  </si>
  <si>
    <t>BEDROOM/LIVING ROOM</t>
  </si>
  <si>
    <t>LAUNDRY ROOMS, CENTRAL</t>
  </si>
  <si>
    <t>LAUNDRY ROOMS WITHIN DWELLING UNITS</t>
  </si>
  <si>
    <t>LOBBIES/PREFUNCTION</t>
  </si>
  <si>
    <t>MULTIPURPOSE ASSEMBLY</t>
  </si>
  <si>
    <t>MISCELLANEOUS SPACES</t>
  </si>
  <si>
    <t>BANKS OR BANKS LOBBIES</t>
  </si>
  <si>
    <t>BANK VAULTS/SAFE DEPOSIT</t>
  </si>
  <si>
    <t>COMPUTER (NOT PRINTING)</t>
  </si>
  <si>
    <t>FREEZER AND REFRIGERATED SPACES (&lt;50°F [10C])</t>
  </si>
  <si>
    <t>MANUFACTURING WHERE HAZARDOUS MATERIALS ARE NOT USED</t>
  </si>
  <si>
    <t>MANUFACTURING WHERE HAZARDOUS MATERIALS ARE USED (EXCLUDES HEAVY INDUSTRIAL AND CHEMICAL PROCESSES)</t>
  </si>
  <si>
    <t>PHARMACY (PREP. AREA)</t>
  </si>
  <si>
    <t>PHOTO STUDIOS</t>
  </si>
  <si>
    <t>SHIPPING/RECEIVING</t>
  </si>
  <si>
    <t>SORTING, PACKING, LIGHT ASSEMBLE</t>
  </si>
  <si>
    <t>TELEPHONE CLOSETS</t>
  </si>
  <si>
    <t>TRANSPORTATION WAITING</t>
  </si>
  <si>
    <t>WAREHOUSES</t>
  </si>
  <si>
    <t>OFFICE BUILDINGS</t>
  </si>
  <si>
    <t>BREAKROOMS</t>
  </si>
  <si>
    <t>MAIN ENTRY LOBBIES</t>
  </si>
  <si>
    <t>OCCUPIABLE STORAGE ROOMS FOR DRY MATERIALS</t>
  </si>
  <si>
    <t>OFFICE SPACE</t>
  </si>
  <si>
    <t>RECEPTION AREAS</t>
  </si>
  <si>
    <t>TELEPHONE/DATA ENTRY</t>
  </si>
  <si>
    <t>PUBLIC ASSEMBLY SPACES</t>
  </si>
  <si>
    <t>AUDITORIUM SEATING AREA</t>
  </si>
  <si>
    <t>COURTROOMS</t>
  </si>
  <si>
    <t>LEGISLATIVE CHAMBERS</t>
  </si>
  <si>
    <t>LOBBIES</t>
  </si>
  <si>
    <t>MUSEUMS (CHILDREN'S)</t>
  </si>
  <si>
    <t>MUSEUMS/GALLERIES</t>
  </si>
  <si>
    <t>PLACES OF RELIGIOUS WORSHIP</t>
  </si>
  <si>
    <t>RESIDENTIAL</t>
  </si>
  <si>
    <t>COMMON CORRIDORS</t>
  </si>
  <si>
    <t>RETAIL</t>
  </si>
  <si>
    <t>SALES (EXCEPT AS BELOW)</t>
  </si>
  <si>
    <t>BARBERSHOP</t>
  </si>
  <si>
    <t>BEAUTY AND NAIL SALONS</t>
  </si>
  <si>
    <t>COIN-OPERATED LAUNDRIES</t>
  </si>
  <si>
    <t>MALL COMMON AREAS</t>
  </si>
  <si>
    <t>PET SHOPS (ANIMAL AREAS)</t>
  </si>
  <si>
    <t>SUPERMARKET</t>
  </si>
  <si>
    <t>SPORTS AND ENTERTAINMENT</t>
  </si>
  <si>
    <t>BOWLING ALLEY (SEATING)</t>
  </si>
  <si>
    <t>DISCO/DANCE FLOORS</t>
  </si>
  <si>
    <t>GAMBLING CASINOS</t>
  </si>
  <si>
    <t>GAME ARCADES</t>
  </si>
  <si>
    <t>GYM, SPORTS ARENA (PLAY AREA)</t>
  </si>
  <si>
    <t>HEALTH CLUB/AEROBICS ROOM</t>
  </si>
  <si>
    <t>HEALTH CLUB/WEIGHT ROOMS</t>
  </si>
  <si>
    <t>SPECTATOR AREAS</t>
  </si>
  <si>
    <t>STAGES, STUDIOS</t>
  </si>
  <si>
    <t>SWIMMING (POOL AND DECK)</t>
  </si>
  <si>
    <t>LARGE-ANIMAL HOLDING ROOM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</si>
  <si>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</si>
  <si>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</si>
  <si>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</si>
  <si>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</si>
  <si>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</si>
  <si>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</si>
  <si>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</si>
  <si>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</si>
  <si>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</si>
  <si>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</si>
  <si>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</si>
  <si>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</si>
  <si>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</si>
  <si>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ALL OTHER LOCKER ROOMS</t>
  </si>
  <si>
    <t>SHOWER ROOMS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</si>
  <si>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</si>
  <si>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</si>
  <si>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</si>
  <si>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</si>
  <si>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</si>
  <si>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</si>
  <si>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</si>
  <si>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</si>
  <si>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</si>
  <si>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</si>
  <si>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</si>
  <si>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</si>
  <si>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</si>
  <si>
    <t>Zone</t>
  </si>
  <si>
    <t>VAV-1-01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</si>
  <si>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</si>
  <si>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</si>
  <si>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</si>
  <si>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</si>
  <si>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</si>
  <si>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</si>
  <si>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</si>
  <si>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</si>
  <si>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</si>
  <si>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</si>
  <si>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</si>
  <si>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</si>
  <si>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</si>
  <si>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</si>
  <si>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</si>
  <si>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</si>
  <si>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</si>
  <si>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</si>
  <si>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</si>
  <si>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</si>
  <si>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</si>
  <si>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</si>
  <si>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</si>
  <si>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</si>
  <si>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</si>
  <si>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</si>
  <si>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</si>
  <si>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</si>
  <si>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</si>
  <si>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</si>
  <si>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</si>
  <si>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</si>
  <si>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</si>
  <si>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</si>
  <si>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</si>
  <si>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</si>
  <si>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</si>
  <si>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MIN VAV
(CFM)</t>
  </si>
  <si>
    <t>MAX VAV
(CFM)</t>
  </si>
  <si>
    <t>VAV INLET SIZE
(IN)</t>
  </si>
  <si>
    <t>MAX TOTAL VAV PD 
(IN W.G.)</t>
  </si>
  <si>
    <t>HEATING AIRFLOW 
(CFM)</t>
  </si>
  <si>
    <t>DESIGN SA(CFM)</t>
  </si>
  <si>
    <t xml:space="preserve">RETURN AIR </t>
  </si>
  <si>
    <t>DESIGN RA(CFM)</t>
  </si>
  <si>
    <t>DESIGN EA(CFM)</t>
  </si>
  <si>
    <t>Actual Number of  Occupants (Ps)</t>
  </si>
  <si>
    <t>Occupants (Pz)</t>
  </si>
  <si>
    <t>DIVERSITY (D)</t>
  </si>
  <si>
    <t>DESIGN RA (CFM)</t>
  </si>
  <si>
    <t>Uncorrected OA (Vou)</t>
  </si>
  <si>
    <t>System Efficiency (Ev)</t>
  </si>
  <si>
    <t>Zone OA (Voz)</t>
  </si>
  <si>
    <t>Zone Efficiency (Ez)</t>
  </si>
  <si>
    <t>Breathing Zone OA (Vbz)</t>
  </si>
  <si>
    <t>Climate Zone</t>
  </si>
  <si>
    <t>5A</t>
  </si>
  <si>
    <t>6A</t>
  </si>
  <si>
    <t>6B</t>
  </si>
  <si>
    <t>0A</t>
  </si>
  <si>
    <t>0B</t>
  </si>
  <si>
    <t>1B</t>
  </si>
  <si>
    <t>3A</t>
  </si>
  <si>
    <t>4A</t>
  </si>
  <si>
    <t>5B</t>
  </si>
  <si>
    <t>5C</t>
  </si>
  <si>
    <t>2A</t>
  </si>
  <si>
    <t>2B</t>
  </si>
  <si>
    <t>4C</t>
  </si>
  <si>
    <t>3B</t>
  </si>
  <si>
    <t>4B</t>
  </si>
  <si>
    <t>1A</t>
  </si>
  <si>
    <t>3C</t>
  </si>
  <si>
    <t>CLIMATE ZONE</t>
  </si>
  <si>
    <t>EXHAUST RECOVERY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</si>
  <si>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</si>
  <si>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MIN OA ALLOWABLE (WITH DCV)</t>
  </si>
  <si>
    <t>DESIGN VAV MIN SA(CFM)</t>
  </si>
  <si>
    <t>DESIGN VAV MAX SA(CFM)</t>
  </si>
  <si>
    <t>CO2 SENSOR</t>
  </si>
  <si>
    <t>FUNCTION OR SPACE</t>
  </si>
  <si>
    <t>PRESSURE RELATIONSHIP TO ADJACENT AREAS</t>
  </si>
  <si>
    <t>MIN OUTDOOR ACH
(AC/HR)</t>
  </si>
  <si>
    <t>MIN TOTAL ACH (AC/HR)</t>
  </si>
  <si>
    <t>MIN TOTAL ACH 
(CFM)</t>
  </si>
  <si>
    <t>MIN OUTDOOR ACH 
(CFM)</t>
  </si>
  <si>
    <t>100% EA
 (YES/NR)</t>
  </si>
  <si>
    <t>MIN EA 
(CFM)</t>
  </si>
  <si>
    <t>`</t>
  </si>
  <si>
    <t>DESIGN SA 
(CFM)</t>
  </si>
  <si>
    <t>DESIGN RA
(CFM)</t>
  </si>
  <si>
    <t>DESIGN EA
(CFM)</t>
  </si>
  <si>
    <t>(mbh)47</t>
  </si>
  <si>
    <t>(mbh)48</t>
  </si>
  <si>
    <t>Desired Air Balance Difference</t>
  </si>
  <si>
    <t>CALCULATED SA 
(CFM)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</si>
  <si>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</si>
  <si>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</si>
  <si>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LOAD 
(CFM)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</si>
</sst>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3">
    <font>
      <sz val="10"/>
      <name val="Arial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sz val="1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9" fillId="4" borderId="0"/>
    <xf numFmtId="0" fontId="12" fillId="7" borderId="0" applyNumberFormat="0" applyBorder="0" applyAlignment="0" applyProtection="0"/>
    <xf numFmtId="9" fontId="2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1" fillId="0" borderId="0"/>
  </cellStyleXfs>
  <cellXfs count="381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 wrapText="1"/>
    </xf>
    <xf numFmtId="3" fontId="11" fillId="2" borderId="2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1" fillId="0" borderId="0" xfId="0" applyFont="1"/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18" fillId="0" borderId="29" xfId="0" applyNumberFormat="1" applyFont="1" applyBorder="1" applyAlignment="1">
      <alignment horizontal="center" vertical="top" shrinkToFit="1"/>
    </xf>
    <xf numFmtId="1" fontId="19" fillId="0" borderId="24" xfId="0" applyNumberFormat="1" applyFont="1" applyBorder="1" applyAlignment="1">
      <alignment horizontal="center" vertical="top" shrinkToFit="1"/>
    </xf>
    <xf numFmtId="2" fontId="19" fillId="0" borderId="24" xfId="0" applyNumberFormat="1" applyFont="1" applyBorder="1" applyAlignment="1">
      <alignment horizontal="center" vertical="top" shrinkToFit="1"/>
    </xf>
    <xf numFmtId="1" fontId="19" fillId="0" borderId="30" xfId="0" applyNumberFormat="1" applyFont="1" applyBorder="1" applyAlignment="1">
      <alignment horizontal="center" vertical="top" shrinkToFit="1"/>
    </xf>
    <xf numFmtId="2" fontId="19" fillId="0" borderId="30" xfId="0" applyNumberFormat="1" applyFont="1" applyBorder="1" applyAlignment="1">
      <alignment horizontal="center" vertical="top" shrinkToFit="1"/>
    </xf>
    <xf numFmtId="1" fontId="19" fillId="0" borderId="28" xfId="0" applyNumberFormat="1" applyFont="1" applyBorder="1" applyAlignment="1">
      <alignment horizontal="center" vertical="top" shrinkToFit="1"/>
    </xf>
    <xf numFmtId="2" fontId="19" fillId="0" borderId="28" xfId="0" applyNumberFormat="1" applyFont="1" applyBorder="1" applyAlignment="1">
      <alignment horizontal="center" vertical="top" shrinkToFit="1"/>
    </xf>
    <xf numFmtId="0" fontId="20" fillId="0" borderId="0" xfId="0" applyFont="1" applyAlignment="1">
      <alignment horizontal="left" vertical="top"/>
    </xf>
    <xf numFmtId="0" fontId="0" fillId="0" borderId="0" xfId="0" quotePrefix="1"/>
    <xf numFmtId="1" fontId="18" fillId="0" borderId="29" xfId="0" applyNumberFormat="1" applyFont="1" applyBorder="1" applyAlignment="1">
      <alignment horizontal="center" vertical="top" shrinkToFit="1"/>
    </xf>
    <xf numFmtId="2" fontId="6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65" fontId="15" fillId="0" borderId="1" xfId="0" applyNumberFormat="1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 applyProtection="1">
      <alignment horizontal="center" vertical="center"/>
      <protection locked="0"/>
    </xf>
    <xf numFmtId="0" fontId="14" fillId="0" borderId="23" xfId="0" applyFont="1" applyBorder="1" applyAlignment="1" applyProtection="1">
      <alignment horizontal="center" vertical="center" wrapText="1"/>
      <protection locked="0"/>
    </xf>
    <xf numFmtId="0" fontId="14" fillId="0" borderId="13" xfId="0" applyFont="1" applyBorder="1" applyAlignment="1" applyProtection="1">
      <alignment horizontal="center" vertical="center" wrapText="1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165" fontId="15" fillId="0" borderId="13" xfId="0" applyNumberFormat="1" applyFont="1" applyBorder="1" applyAlignment="1" applyProtection="1">
      <alignment horizontal="center" vertical="center"/>
      <protection locked="0"/>
    </xf>
    <xf numFmtId="0" fontId="15" fillId="0" borderId="12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65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14" fillId="0" borderId="33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15" fillId="0" borderId="32" xfId="0" applyFont="1" applyBorder="1" applyAlignment="1" applyProtection="1">
      <alignment horizontal="center" vertical="center"/>
      <protection locked="0"/>
    </xf>
    <xf numFmtId="0" fontId="15" fillId="0" borderId="34" xfId="0" applyFont="1" applyBorder="1" applyAlignment="1" applyProtection="1">
      <alignment horizontal="center" vertical="center"/>
      <protection locked="0"/>
    </xf>
    <xf numFmtId="165" fontId="15" fillId="0" borderId="32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0" xfId="0" applyFont="1"/>
    <xf numFmtId="0" fontId="27" fillId="0" borderId="0" xfId="0" applyFont="1"/>
    <xf numFmtId="49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25" fillId="0" borderId="1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3" fontId="22" fillId="0" borderId="31" xfId="0" applyNumberFormat="1" applyFont="1" applyBorder="1" applyAlignment="1">
      <alignment horizontal="center" vertical="center"/>
    </xf>
    <xf numFmtId="0" fontId="22" fillId="0" borderId="31" xfId="0" applyFont="1" applyBorder="1" applyAlignment="1" applyProtection="1">
      <alignment horizontal="center" vertical="center"/>
      <protection locked="0"/>
    </xf>
    <xf numFmtId="165" fontId="22" fillId="0" borderId="31" xfId="0" applyNumberFormat="1" applyFont="1" applyBorder="1" applyAlignment="1">
      <alignment horizontal="center" vertical="center"/>
    </xf>
    <xf numFmtId="1" fontId="22" fillId="0" borderId="31" xfId="0" applyNumberFormat="1" applyFont="1" applyBorder="1" applyAlignment="1">
      <alignment horizontal="center" vertical="center"/>
    </xf>
    <xf numFmtId="3" fontId="0" fillId="0" borderId="0" xfId="0" applyNumberFormat="1"/>
    <xf numFmtId="1" fontId="0" fillId="0" borderId="0" xfId="0" applyNumberFormat="1"/>
    <xf numFmtId="0" fontId="8" fillId="0" borderId="1" xfId="0" applyFont="1" applyBorder="1" applyAlignment="1">
      <alignment horizontal="left"/>
    </xf>
    <xf numFmtId="0" fontId="8" fillId="0" borderId="9" xfId="0" applyFont="1" applyBorder="1"/>
    <xf numFmtId="165" fontId="8" fillId="0" borderId="9" xfId="0" applyNumberFormat="1" applyFont="1" applyBorder="1"/>
    <xf numFmtId="0" fontId="8" fillId="0" borderId="4" xfId="0" applyFont="1" applyBorder="1"/>
    <xf numFmtId="0" fontId="0" fillId="0" borderId="0" xfId="0" applyAlignment="1">
      <alignment horizontal="left"/>
    </xf>
    <xf numFmtId="0" fontId="8" fillId="0" borderId="0" xfId="0" applyFont="1" applyAlignment="1">
      <alignment horizontal="right"/>
    </xf>
    <xf numFmtId="165" fontId="34" fillId="0" borderId="31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38" fillId="0" borderId="22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/>
    </xf>
    <xf numFmtId="166" fontId="15" fillId="0" borderId="1" xfId="0" applyNumberFormat="1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right"/>
    </xf>
    <xf numFmtId="165" fontId="40" fillId="7" borderId="0" xfId="2" applyNumberFormat="1" applyFont="1" applyAlignment="1">
      <alignment horizontal="center" vertical="center"/>
    </xf>
    <xf numFmtId="0" fontId="40" fillId="7" borderId="0" xfId="2" applyFont="1" applyAlignment="1">
      <alignment horizontal="center" vertical="center"/>
    </xf>
    <xf numFmtId="0" fontId="14" fillId="0" borderId="0" xfId="0" applyFont="1"/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0" fontId="14" fillId="3" borderId="0" xfId="0" applyFont="1" applyFill="1"/>
    <xf numFmtId="0" fontId="41" fillId="0" borderId="0" xfId="0" applyFont="1"/>
    <xf numFmtId="0" fontId="41" fillId="0" borderId="0" xfId="0" applyFont="1" applyAlignment="1">
      <alignment horizontal="center" vertical="center"/>
    </xf>
    <xf numFmtId="164" fontId="15" fillId="0" borderId="0" xfId="0" applyNumberFormat="1" applyFont="1" applyAlignment="1" applyProtection="1">
      <alignment horizontal="center" shrinkToFit="1"/>
      <protection locked="0"/>
    </xf>
    <xf numFmtId="164" fontId="42" fillId="0" borderId="0" xfId="0" applyNumberFormat="1" applyFont="1" applyAlignment="1">
      <alignment horizontal="center" shrinkToFit="1"/>
    </xf>
    <xf numFmtId="164" fontId="42" fillId="0" borderId="0" xfId="0" applyNumberFormat="1" applyFont="1" applyAlignment="1">
      <alignment horizontal="right" shrinkToFit="1"/>
    </xf>
    <xf numFmtId="3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0" fontId="41" fillId="0" borderId="0" xfId="0" applyFont="1" applyAlignment="1">
      <alignment vertical="center"/>
    </xf>
    <xf numFmtId="2" fontId="15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4" fillId="9" borderId="1" xfId="0" applyNumberFormat="1" applyFont="1" applyFill="1" applyBorder="1" applyAlignment="1" applyProtection="1">
      <alignment horizontal="center" vertical="center"/>
      <protection locked="0"/>
    </xf>
    <xf numFmtId="0" fontId="44" fillId="9" borderId="1" xfId="0" applyFont="1" applyFill="1" applyBorder="1" applyAlignment="1" applyProtection="1">
      <alignment horizontal="center" vertical="center"/>
      <protection locked="0"/>
    </xf>
    <xf numFmtId="9" fontId="44" fillId="9" borderId="1" xfId="3" applyFont="1" applyFill="1" applyBorder="1" applyAlignment="1" applyProtection="1">
      <alignment horizontal="center" vertical="center"/>
      <protection locked="0"/>
    </xf>
    <xf numFmtId="0" fontId="44" fillId="9" borderId="1" xfId="0" applyFont="1" applyFill="1" applyBorder="1" applyAlignment="1">
      <alignment horizontal="center" vertical="center"/>
    </xf>
    <xf numFmtId="0" fontId="44" fillId="9" borderId="9" xfId="0" applyFont="1" applyFill="1" applyBorder="1" applyAlignment="1">
      <alignment horizontal="center" vertical="center"/>
    </xf>
    <xf numFmtId="0" fontId="45" fillId="9" borderId="1" xfId="0" applyFont="1" applyFill="1" applyBorder="1" applyAlignment="1">
      <alignment horizontal="center" vertical="center"/>
    </xf>
    <xf numFmtId="1" fontId="45" fillId="9" borderId="1" xfId="0" applyNumberFormat="1" applyFont="1" applyFill="1" applyBorder="1" applyAlignment="1" applyProtection="1">
      <alignment horizontal="center" vertical="center" wrapText="1"/>
      <protection locked="0"/>
    </xf>
    <xf numFmtId="164" fontId="45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45" fillId="9" borderId="1" xfId="0" applyFont="1" applyFill="1" applyBorder="1" applyAlignment="1">
      <alignment horizontal="center"/>
    </xf>
    <xf numFmtId="165" fontId="46" fillId="9" borderId="1" xfId="0" applyNumberFormat="1" applyFont="1" applyFill="1" applyBorder="1" applyAlignment="1" applyProtection="1">
      <alignment horizontal="center" vertical="center"/>
      <protection locked="0"/>
    </xf>
    <xf numFmtId="0" fontId="43" fillId="9" borderId="1" xfId="0" applyFont="1" applyFill="1" applyBorder="1" applyAlignment="1">
      <alignment horizontal="center" vertical="center"/>
    </xf>
    <xf numFmtId="165" fontId="43" fillId="9" borderId="1" xfId="0" applyNumberFormat="1" applyFont="1" applyFill="1" applyBorder="1" applyAlignment="1">
      <alignment horizontal="center" vertical="center"/>
    </xf>
    <xf numFmtId="0" fontId="1" fillId="0" borderId="0" xfId="5"/>
    <xf numFmtId="0" fontId="3" fillId="0" borderId="35" xfId="5" applyFont="1" applyBorder="1" applyAlignment="1">
      <alignment vertical="center"/>
    </xf>
    <xf numFmtId="0" fontId="3" fillId="0" borderId="15" xfId="5" applyFont="1" applyBorder="1" applyAlignment="1">
      <alignment vertical="center"/>
    </xf>
    <xf numFmtId="0" fontId="3" fillId="0" borderId="10" xfId="5" applyFont="1" applyBorder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36" xfId="5" applyFont="1" applyBorder="1" applyAlignment="1">
      <alignment vertical="center"/>
    </xf>
    <xf numFmtId="0" fontId="3" fillId="0" borderId="0" xfId="5" applyFont="1" applyAlignment="1">
      <alignment vertical="center"/>
    </xf>
    <xf numFmtId="0" fontId="2" fillId="0" borderId="35" xfId="5" applyFont="1" applyBorder="1" applyAlignment="1">
      <alignment vertical="center"/>
    </xf>
    <xf numFmtId="0" fontId="2" fillId="0" borderId="37" xfId="5" applyFont="1" applyBorder="1" applyAlignment="1">
      <alignment horizontal="center"/>
    </xf>
    <xf numFmtId="0" fontId="2" fillId="0" borderId="38" xfId="5" applyFont="1" applyBorder="1" applyAlignment="1">
      <alignment horizontal="center"/>
    </xf>
    <xf numFmtId="0" fontId="2" fillId="0" borderId="39" xfId="5" applyFont="1" applyBorder="1" applyAlignment="1">
      <alignment horizontal="center"/>
    </xf>
    <xf numFmtId="0" fontId="2" fillId="0" borderId="40" xfId="5" applyFont="1" applyBorder="1" applyAlignment="1">
      <alignment horizontal="center"/>
    </xf>
    <xf numFmtId="0" fontId="2" fillId="0" borderId="41" xfId="5" applyFont="1" applyBorder="1" applyAlignment="1">
      <alignment horizontal="center" vertical="center"/>
    </xf>
    <xf numFmtId="0" fontId="2" fillId="0" borderId="35" xfId="5" applyFont="1" applyBorder="1" applyAlignment="1">
      <alignment horizontal="center" vertical="center"/>
    </xf>
    <xf numFmtId="0" fontId="2" fillId="0" borderId="41" xfId="5" applyFont="1" applyBorder="1" applyAlignment="1">
      <alignment vertical="center"/>
    </xf>
    <xf numFmtId="0" fontId="2" fillId="0" borderId="42" xfId="5" applyFont="1" applyBorder="1" applyAlignment="1">
      <alignment horizontal="center" vertical="center"/>
    </xf>
    <xf numFmtId="0" fontId="2" fillId="0" borderId="43" xfId="5" applyFont="1" applyBorder="1" applyAlignment="1">
      <alignment horizontal="center" vertical="center"/>
    </xf>
    <xf numFmtId="0" fontId="2" fillId="0" borderId="44" xfId="5" applyFont="1" applyBorder="1" applyAlignment="1">
      <alignment horizontal="center" vertical="center"/>
    </xf>
    <xf numFmtId="0" fontId="2" fillId="0" borderId="45" xfId="5" applyFont="1" applyBorder="1" applyAlignment="1">
      <alignment horizontal="center" vertical="center"/>
    </xf>
    <xf numFmtId="0" fontId="2" fillId="0" borderId="46" xfId="5" applyFont="1" applyBorder="1" applyAlignment="1">
      <alignment horizontal="center" vertical="center"/>
    </xf>
    <xf numFmtId="0" fontId="4" fillId="0" borderId="35" xfId="5" applyFont="1" applyBorder="1" applyAlignment="1">
      <alignment horizontal="center" vertical="center"/>
    </xf>
    <xf numFmtId="0" fontId="4" fillId="0" borderId="41" xfId="5" applyFont="1" applyBorder="1" applyAlignment="1">
      <alignment horizontal="center" vertical="center"/>
    </xf>
    <xf numFmtId="0" fontId="2" fillId="0" borderId="47" xfId="5" applyFont="1" applyBorder="1" applyAlignment="1">
      <alignment horizontal="left" vertical="center"/>
    </xf>
    <xf numFmtId="0" fontId="2" fillId="0" borderId="48" xfId="5" applyFont="1" applyBorder="1" applyAlignment="1">
      <alignment horizontal="center" vertical="center"/>
    </xf>
    <xf numFmtId="0" fontId="2" fillId="0" borderId="49" xfId="5" applyFont="1" applyBorder="1" applyAlignment="1">
      <alignment horizontal="center" vertical="center"/>
    </xf>
    <xf numFmtId="0" fontId="2" fillId="0" borderId="50" xfId="5" applyFont="1" applyBorder="1" applyAlignment="1">
      <alignment horizontal="left" vertical="center"/>
    </xf>
    <xf numFmtId="0" fontId="2" fillId="0" borderId="51" xfId="5" applyFont="1" applyBorder="1" applyAlignment="1">
      <alignment horizontal="center" vertical="center"/>
    </xf>
    <xf numFmtId="0" fontId="2" fillId="0" borderId="52" xfId="5" applyFont="1" applyBorder="1" applyAlignment="1">
      <alignment horizontal="center" vertical="center"/>
    </xf>
    <xf numFmtId="0" fontId="2" fillId="0" borderId="53" xfId="5" applyFont="1" applyBorder="1" applyAlignment="1">
      <alignment horizontal="left" vertical="center"/>
    </xf>
    <xf numFmtId="0" fontId="2" fillId="0" borderId="54" xfId="5" applyFont="1" applyBorder="1" applyAlignment="1">
      <alignment horizontal="center" vertical="center"/>
    </xf>
    <xf numFmtId="0" fontId="2" fillId="0" borderId="55" xfId="5" applyFont="1" applyBorder="1" applyAlignment="1">
      <alignment horizontal="center" vertical="center"/>
    </xf>
    <xf numFmtId="0" fontId="2" fillId="0" borderId="56" xfId="5" applyFont="1" applyBorder="1" applyAlignment="1">
      <alignment horizontal="left" vertical="center"/>
    </xf>
    <xf numFmtId="0" fontId="2" fillId="0" borderId="57" xfId="5" applyFont="1" applyBorder="1" applyAlignment="1">
      <alignment horizontal="center" vertical="center"/>
    </xf>
    <xf numFmtId="0" fontId="2" fillId="0" borderId="58" xfId="5" applyFont="1" applyBorder="1" applyAlignment="1">
      <alignment horizontal="center" vertical="center"/>
    </xf>
    <xf numFmtId="0" fontId="2" fillId="0" borderId="59" xfId="5" applyFont="1" applyBorder="1" applyAlignment="1">
      <alignment horizontal="left" vertical="center"/>
    </xf>
    <xf numFmtId="0" fontId="2" fillId="0" borderId="60" xfId="5" applyFont="1" applyBorder="1" applyAlignment="1">
      <alignment horizontal="center" vertical="center"/>
    </xf>
    <xf numFmtId="0" fontId="2" fillId="0" borderId="61" xfId="5" applyFont="1" applyBorder="1" applyAlignment="1">
      <alignment horizontal="center" vertical="center"/>
    </xf>
    <xf numFmtId="0" fontId="2" fillId="0" borderId="62" xfId="5" applyFont="1" applyBorder="1" applyAlignment="1">
      <alignment horizontal="left" vertical="center"/>
    </xf>
    <xf numFmtId="0" fontId="2" fillId="0" borderId="63" xfId="5" applyFont="1" applyBorder="1" applyAlignment="1">
      <alignment horizontal="center" vertical="center"/>
    </xf>
    <xf numFmtId="0" fontId="2" fillId="0" borderId="64" xfId="5" applyFont="1" applyBorder="1" applyAlignment="1">
      <alignment horizontal="center" vertical="center"/>
    </xf>
    <xf numFmtId="0" fontId="2" fillId="0" borderId="65" xfId="5" applyFont="1" applyBorder="1" applyAlignment="1">
      <alignment horizontal="left" vertical="center"/>
    </xf>
    <xf numFmtId="0" fontId="2" fillId="0" borderId="66" xfId="5" applyFont="1" applyBorder="1" applyAlignment="1">
      <alignment horizontal="center" vertical="center"/>
    </xf>
    <xf numFmtId="0" fontId="2" fillId="0" borderId="67" xfId="5" applyFont="1" applyBorder="1" applyAlignment="1">
      <alignment horizontal="center" vertical="center"/>
    </xf>
    <xf numFmtId="0" fontId="2" fillId="0" borderId="68" xfId="5" applyFont="1" applyBorder="1" applyAlignment="1">
      <alignment horizontal="left" vertical="center"/>
    </xf>
    <xf numFmtId="0" fontId="2" fillId="0" borderId="69" xfId="5" applyFont="1" applyBorder="1" applyAlignment="1">
      <alignment horizontal="center" vertical="center"/>
    </xf>
    <xf numFmtId="0" fontId="2" fillId="0" borderId="70" xfId="5" applyFont="1" applyBorder="1" applyAlignment="1">
      <alignment horizontal="center" vertical="center"/>
    </xf>
    <xf numFmtId="0" fontId="2" fillId="0" borderId="70" xfId="5" applyFont="1" applyBorder="1" applyAlignment="1">
      <alignment vertical="center"/>
    </xf>
    <xf numFmtId="0" fontId="2" fillId="0" borderId="71" xfId="5" applyFont="1" applyBorder="1" applyAlignment="1">
      <alignment horizontal="left" vertical="center"/>
    </xf>
    <xf numFmtId="0" fontId="2" fillId="0" borderId="72" xfId="5" applyFont="1" applyBorder="1" applyAlignment="1">
      <alignment horizontal="center" vertical="center"/>
    </xf>
    <xf numFmtId="0" fontId="2" fillId="0" borderId="73" xfId="5" applyFont="1" applyBorder="1" applyAlignment="1">
      <alignment horizontal="center" vertical="center"/>
    </xf>
    <xf numFmtId="0" fontId="2" fillId="0" borderId="74" xfId="5" applyFont="1" applyBorder="1" applyAlignment="1">
      <alignment horizontal="left" vertical="center"/>
    </xf>
    <xf numFmtId="0" fontId="2" fillId="0" borderId="75" xfId="5" applyFont="1" applyBorder="1" applyAlignment="1">
      <alignment horizontal="center" vertical="center"/>
    </xf>
    <xf numFmtId="0" fontId="2" fillId="0" borderId="76" xfId="5" applyFont="1" applyBorder="1" applyAlignment="1">
      <alignment horizontal="center" vertical="center"/>
    </xf>
    <xf numFmtId="0" fontId="2" fillId="0" borderId="77" xfId="5" applyFont="1" applyBorder="1" applyAlignment="1">
      <alignment horizontal="left" vertical="center"/>
    </xf>
    <xf numFmtId="0" fontId="2" fillId="0" borderId="78" xfId="5" applyFont="1" applyBorder="1" applyAlignment="1">
      <alignment horizontal="center" vertical="center"/>
    </xf>
    <xf numFmtId="0" fontId="2" fillId="0" borderId="79" xfId="5" applyFont="1" applyBorder="1" applyAlignment="1">
      <alignment horizontal="center" vertical="center"/>
    </xf>
    <xf numFmtId="0" fontId="2" fillId="0" borderId="80" xfId="5" applyFont="1" applyBorder="1" applyAlignment="1">
      <alignment horizontal="left" vertical="center"/>
    </xf>
    <xf numFmtId="0" fontId="2" fillId="0" borderId="81" xfId="5" applyFont="1" applyBorder="1" applyAlignment="1">
      <alignment horizontal="center" vertical="center"/>
    </xf>
    <xf numFmtId="0" fontId="2" fillId="0" borderId="82" xfId="5" applyFont="1" applyBorder="1" applyAlignment="1">
      <alignment horizontal="center" vertical="center"/>
    </xf>
    <xf numFmtId="0" fontId="2" fillId="0" borderId="83" xfId="5" applyFont="1" applyBorder="1" applyAlignment="1">
      <alignment horizontal="left" vertical="center"/>
    </xf>
    <xf numFmtId="0" fontId="2" fillId="0" borderId="84" xfId="5" applyFont="1" applyBorder="1" applyAlignment="1">
      <alignment horizontal="center" vertical="center"/>
    </xf>
    <xf numFmtId="0" fontId="2" fillId="0" borderId="85" xfId="5" applyFont="1" applyBorder="1" applyAlignment="1">
      <alignment horizontal="center" vertical="center"/>
    </xf>
    <xf numFmtId="0" fontId="2" fillId="0" borderId="86" xfId="5" applyFont="1" applyBorder="1" applyAlignment="1">
      <alignment horizontal="left" vertical="center"/>
    </xf>
    <xf numFmtId="0" fontId="2" fillId="0" borderId="87" xfId="5" applyFont="1" applyBorder="1" applyAlignment="1">
      <alignment horizontal="center" vertical="center"/>
    </xf>
    <xf numFmtId="0" fontId="2" fillId="0" borderId="88" xfId="5" applyFont="1" applyBorder="1" applyAlignment="1">
      <alignment horizontal="center" vertical="center"/>
    </xf>
    <xf numFmtId="0" fontId="2" fillId="0" borderId="89" xfId="5" applyFont="1" applyBorder="1" applyAlignment="1">
      <alignment horizontal="left" vertical="center"/>
    </xf>
    <xf numFmtId="0" fontId="2" fillId="0" borderId="90" xfId="5" applyFont="1" applyBorder="1" applyAlignment="1">
      <alignment horizontal="center" vertical="center"/>
    </xf>
    <xf numFmtId="0" fontId="2" fillId="0" borderId="91" xfId="5" applyFont="1" applyBorder="1" applyAlignment="1">
      <alignment horizontal="center" vertical="center"/>
    </xf>
    <xf numFmtId="0" fontId="2" fillId="0" borderId="92" xfId="5" applyFont="1" applyBorder="1" applyAlignment="1">
      <alignment horizontal="left" vertical="center"/>
    </xf>
    <xf numFmtId="0" fontId="2" fillId="0" borderId="93" xfId="5" applyFont="1" applyBorder="1" applyAlignment="1">
      <alignment horizontal="center" vertical="center"/>
    </xf>
    <xf numFmtId="0" fontId="2" fillId="0" borderId="94" xfId="5" applyFont="1" applyBorder="1" applyAlignment="1">
      <alignment horizontal="center" vertical="center"/>
    </xf>
    <xf numFmtId="0" fontId="2" fillId="0" borderId="95" xfId="5" applyFont="1" applyBorder="1" applyAlignment="1">
      <alignment horizontal="left" vertical="center"/>
    </xf>
    <xf numFmtId="0" fontId="2" fillId="0" borderId="96" xfId="5" applyFont="1" applyBorder="1" applyAlignment="1">
      <alignment horizontal="center" vertical="center"/>
    </xf>
    <xf numFmtId="0" fontId="2" fillId="0" borderId="97" xfId="5" applyFont="1" applyBorder="1" applyAlignment="1">
      <alignment horizontal="center" vertical="center"/>
    </xf>
    <xf numFmtId="0" fontId="2" fillId="0" borderId="98" xfId="5" applyFont="1" applyBorder="1" applyAlignment="1">
      <alignment horizontal="left" vertical="center"/>
    </xf>
    <xf numFmtId="0" fontId="2" fillId="0" borderId="99" xfId="5" applyFont="1" applyBorder="1" applyAlignment="1">
      <alignment horizontal="center" vertical="center"/>
    </xf>
    <xf numFmtId="0" fontId="2" fillId="0" borderId="100" xfId="5" applyFont="1" applyBorder="1" applyAlignment="1">
      <alignment horizontal="center" vertical="center"/>
    </xf>
    <xf numFmtId="0" fontId="2" fillId="0" borderId="101" xfId="5" applyFont="1" applyBorder="1" applyAlignment="1">
      <alignment horizontal="left" vertical="center"/>
    </xf>
    <xf numFmtId="0" fontId="2" fillId="0" borderId="102" xfId="5" applyFont="1" applyBorder="1" applyAlignment="1">
      <alignment horizontal="center" vertical="center"/>
    </xf>
    <xf numFmtId="0" fontId="2" fillId="0" borderId="103" xfId="5" applyFont="1" applyBorder="1" applyAlignment="1">
      <alignment horizontal="center" vertical="center"/>
    </xf>
    <xf numFmtId="0" fontId="2" fillId="0" borderId="104" xfId="5" applyFont="1" applyBorder="1" applyAlignment="1">
      <alignment horizontal="left" vertical="center"/>
    </xf>
    <xf numFmtId="0" fontId="2" fillId="0" borderId="105" xfId="5" applyFont="1" applyBorder="1" applyAlignment="1">
      <alignment horizontal="center" vertical="center"/>
    </xf>
    <xf numFmtId="0" fontId="2" fillId="0" borderId="106" xfId="5" applyFont="1" applyBorder="1" applyAlignment="1">
      <alignment horizontal="center" vertical="center"/>
    </xf>
    <xf numFmtId="0" fontId="2" fillId="0" borderId="107" xfId="5" applyFont="1" applyBorder="1" applyAlignment="1">
      <alignment horizontal="left" vertical="center"/>
    </xf>
    <xf numFmtId="0" fontId="2" fillId="0" borderId="108" xfId="5" applyFont="1" applyBorder="1" applyAlignment="1">
      <alignment horizontal="center" vertical="center"/>
    </xf>
    <xf numFmtId="0" fontId="2" fillId="0" borderId="109" xfId="5" applyFont="1" applyBorder="1" applyAlignment="1">
      <alignment horizontal="center" vertical="center"/>
    </xf>
    <xf numFmtId="0" fontId="2" fillId="0" borderId="110" xfId="5" applyFont="1" applyBorder="1" applyAlignment="1">
      <alignment horizontal="left" vertical="center"/>
    </xf>
    <xf numFmtId="0" fontId="2" fillId="0" borderId="111" xfId="5" applyFont="1" applyBorder="1" applyAlignment="1">
      <alignment horizontal="center" vertical="center"/>
    </xf>
    <xf numFmtId="0" fontId="2" fillId="0" borderId="112" xfId="5" applyFont="1" applyBorder="1" applyAlignment="1">
      <alignment horizontal="center" vertical="center"/>
    </xf>
    <xf numFmtId="0" fontId="2" fillId="0" borderId="113" xfId="5" applyFont="1" applyBorder="1" applyAlignment="1">
      <alignment horizontal="left" vertical="center"/>
    </xf>
    <xf numFmtId="0" fontId="2" fillId="0" borderId="114" xfId="5" applyFont="1" applyBorder="1" applyAlignment="1">
      <alignment horizontal="center" vertical="center"/>
    </xf>
    <xf numFmtId="0" fontId="2" fillId="0" borderId="115" xfId="5" applyFont="1" applyBorder="1" applyAlignment="1">
      <alignment horizontal="center" vertical="center"/>
    </xf>
    <xf numFmtId="0" fontId="2" fillId="0" borderId="116" xfId="5" applyFont="1" applyBorder="1" applyAlignment="1">
      <alignment horizontal="left" vertical="center"/>
    </xf>
    <xf numFmtId="0" fontId="2" fillId="0" borderId="117" xfId="5" applyFont="1" applyBorder="1" applyAlignment="1">
      <alignment horizontal="center" vertical="center"/>
    </xf>
    <xf numFmtId="0" fontId="2" fillId="0" borderId="118" xfId="5" applyFont="1" applyBorder="1" applyAlignment="1">
      <alignment horizontal="center" vertical="center"/>
    </xf>
    <xf numFmtId="0" fontId="2" fillId="0" borderId="119" xfId="5" applyFont="1" applyBorder="1" applyAlignment="1">
      <alignment horizontal="left" vertical="center"/>
    </xf>
    <xf numFmtId="0" fontId="2" fillId="0" borderId="120" xfId="5" applyFont="1" applyBorder="1" applyAlignment="1">
      <alignment horizontal="center" vertical="center"/>
    </xf>
    <xf numFmtId="0" fontId="2" fillId="0" borderId="121" xfId="5" applyFont="1" applyBorder="1" applyAlignment="1">
      <alignment horizontal="center" vertical="center"/>
    </xf>
    <xf numFmtId="0" fontId="2" fillId="0" borderId="122" xfId="5" applyFont="1" applyBorder="1" applyAlignment="1">
      <alignment horizontal="left" vertical="center"/>
    </xf>
    <xf numFmtId="0" fontId="2" fillId="0" borderId="123" xfId="5" applyFont="1" applyBorder="1" applyAlignment="1">
      <alignment horizontal="center" vertical="center"/>
    </xf>
    <xf numFmtId="0" fontId="2" fillId="0" borderId="124" xfId="5" applyFont="1" applyBorder="1" applyAlignment="1">
      <alignment horizontal="center" vertical="center"/>
    </xf>
    <xf numFmtId="0" fontId="2" fillId="0" borderId="125" xfId="5" applyFont="1" applyBorder="1" applyAlignment="1">
      <alignment horizontal="left" vertical="center"/>
    </xf>
    <xf numFmtId="0" fontId="2" fillId="0" borderId="126" xfId="5" applyFont="1" applyBorder="1" applyAlignment="1">
      <alignment horizontal="center" vertical="center"/>
    </xf>
    <xf numFmtId="0" fontId="2" fillId="0" borderId="127" xfId="5" applyFont="1" applyBorder="1" applyAlignment="1">
      <alignment horizontal="center" vertical="center"/>
    </xf>
    <xf numFmtId="0" fontId="2" fillId="0" borderId="128" xfId="5" applyFont="1" applyBorder="1" applyAlignment="1">
      <alignment horizontal="left" vertical="center"/>
    </xf>
    <xf numFmtId="0" fontId="2" fillId="0" borderId="129" xfId="5" applyFont="1" applyBorder="1" applyAlignment="1">
      <alignment horizontal="center" vertical="center"/>
    </xf>
    <xf numFmtId="0" fontId="2" fillId="0" borderId="130" xfId="5" applyFont="1" applyBorder="1" applyAlignment="1">
      <alignment horizontal="center" vertical="center"/>
    </xf>
    <xf numFmtId="0" fontId="2" fillId="0" borderId="131" xfId="5" applyFont="1" applyBorder="1" applyAlignment="1">
      <alignment horizontal="left" vertical="center"/>
    </xf>
    <xf numFmtId="0" fontId="2" fillId="0" borderId="132" xfId="5" applyFont="1" applyBorder="1" applyAlignment="1">
      <alignment horizontal="center" vertical="center"/>
    </xf>
    <xf numFmtId="0" fontId="2" fillId="0" borderId="133" xfId="5" applyFont="1" applyBorder="1" applyAlignment="1">
      <alignment horizontal="center" vertical="center"/>
    </xf>
    <xf numFmtId="0" fontId="2" fillId="0" borderId="134" xfId="5" applyFont="1" applyBorder="1" applyAlignment="1">
      <alignment horizontal="left" vertical="center"/>
    </xf>
    <xf numFmtId="0" fontId="2" fillId="0" borderId="135" xfId="5" applyFont="1" applyBorder="1" applyAlignment="1">
      <alignment horizontal="center" vertical="center"/>
    </xf>
    <xf numFmtId="0" fontId="2" fillId="0" borderId="136" xfId="5" applyFont="1" applyBorder="1" applyAlignment="1">
      <alignment horizontal="center" vertical="center"/>
    </xf>
    <xf numFmtId="0" fontId="2" fillId="0" borderId="137" xfId="5" applyFont="1" applyBorder="1" applyAlignment="1">
      <alignment horizontal="left" vertical="center"/>
    </xf>
    <xf numFmtId="0" fontId="2" fillId="0" borderId="138" xfId="5" applyFont="1" applyBorder="1" applyAlignment="1">
      <alignment horizontal="center" vertical="center"/>
    </xf>
    <xf numFmtId="0" fontId="2" fillId="0" borderId="139" xfId="5" applyFont="1" applyBorder="1" applyAlignment="1">
      <alignment horizontal="center" vertical="center"/>
    </xf>
    <xf numFmtId="0" fontId="2" fillId="0" borderId="140" xfId="5" applyFont="1" applyBorder="1" applyAlignment="1">
      <alignment horizontal="left" vertical="center"/>
    </xf>
    <xf numFmtId="0" fontId="2" fillId="0" borderId="141" xfId="5" applyFont="1" applyBorder="1" applyAlignment="1">
      <alignment horizontal="center" vertical="center"/>
    </xf>
    <xf numFmtId="0" fontId="2" fillId="0" borderId="142" xfId="5" applyFont="1" applyBorder="1" applyAlignment="1">
      <alignment horizontal="center" vertical="center"/>
    </xf>
    <xf numFmtId="0" fontId="2" fillId="0" borderId="143" xfId="5" applyFont="1" applyBorder="1" applyAlignment="1">
      <alignment vertical="center"/>
    </xf>
    <xf numFmtId="0" fontId="2" fillId="0" borderId="144" xfId="5" applyFont="1" applyBorder="1" applyAlignment="1">
      <alignment horizontal="center" vertical="center"/>
    </xf>
    <xf numFmtId="0" fontId="2" fillId="0" borderId="145" xfId="5" applyFont="1" applyBorder="1" applyAlignment="1">
      <alignment horizontal="center" vertical="center"/>
    </xf>
    <xf numFmtId="0" fontId="2" fillId="0" borderId="146" xfId="5" applyFont="1" applyBorder="1" applyAlignment="1">
      <alignment horizontal="center" vertical="center"/>
    </xf>
    <xf numFmtId="0" fontId="2" fillId="0" borderId="147" xfId="5" applyFont="1" applyBorder="1" applyAlignment="1">
      <alignment horizontal="center" vertical="center"/>
    </xf>
    <xf numFmtId="0" fontId="2" fillId="0" borderId="148" xfId="5" applyFont="1" applyBorder="1" applyAlignment="1">
      <alignment horizontal="center" vertical="center"/>
    </xf>
    <xf numFmtId="0" fontId="2" fillId="0" borderId="149" xfId="5" applyFont="1" applyBorder="1" applyAlignment="1">
      <alignment vertical="center"/>
    </xf>
    <xf numFmtId="0" fontId="2" fillId="0" borderId="150" xfId="5" applyFont="1" applyBorder="1" applyAlignment="1">
      <alignment horizontal="center" vertical="center"/>
    </xf>
    <xf numFmtId="0" fontId="2" fillId="0" borderId="151" xfId="5" applyFont="1" applyBorder="1" applyAlignment="1">
      <alignment horizontal="center" vertical="center"/>
    </xf>
    <xf numFmtId="0" fontId="2" fillId="0" borderId="152" xfId="5" applyFont="1" applyBorder="1" applyAlignment="1">
      <alignment vertical="center"/>
    </xf>
    <xf numFmtId="0" fontId="2" fillId="0" borderId="153" xfId="5" applyFont="1" applyBorder="1" applyAlignment="1">
      <alignment horizontal="center" vertical="center"/>
    </xf>
    <xf numFmtId="0" fontId="2" fillId="0" borderId="154" xfId="5" applyFont="1" applyBorder="1" applyAlignment="1">
      <alignment horizontal="center" vertical="center"/>
    </xf>
    <xf numFmtId="0" fontId="2" fillId="0" borderId="155" xfId="5" applyFont="1" applyBorder="1" applyAlignment="1">
      <alignment vertical="center"/>
    </xf>
    <xf numFmtId="0" fontId="2" fillId="0" borderId="156" xfId="5" applyFont="1" applyBorder="1" applyAlignment="1">
      <alignment horizontal="center" vertical="center"/>
    </xf>
    <xf numFmtId="0" fontId="2" fillId="0" borderId="157" xfId="5" applyFont="1" applyBorder="1" applyAlignment="1">
      <alignment horizontal="center" vertical="center"/>
    </xf>
    <xf numFmtId="0" fontId="2" fillId="0" borderId="157" xfId="5" applyFont="1" applyBorder="1" applyAlignment="1">
      <alignment vertical="center"/>
    </xf>
    <xf numFmtId="0" fontId="2" fillId="0" borderId="157" xfId="5" applyFont="1" applyBorder="1" applyAlignment="1">
      <alignment horizontal="left" vertical="center"/>
    </xf>
    <xf numFmtId="0" fontId="2" fillId="0" borderId="158" xfId="5" applyFont="1" applyBorder="1" applyAlignment="1">
      <alignment horizontal="center" vertical="center"/>
    </xf>
    <xf numFmtId="0" fontId="2" fillId="0" borderId="159" xfId="5" applyFont="1" applyBorder="1" applyAlignment="1">
      <alignment horizontal="center" vertical="center"/>
    </xf>
    <xf numFmtId="0" fontId="2" fillId="0" borderId="160" xfId="5" applyFont="1" applyBorder="1" applyAlignment="1">
      <alignment horizontal="center" vertical="center"/>
    </xf>
    <xf numFmtId="0" fontId="2" fillId="0" borderId="161" xfId="5" applyFont="1" applyBorder="1" applyAlignment="1">
      <alignment horizontal="center" vertical="center"/>
    </xf>
    <xf numFmtId="0" fontId="2" fillId="0" borderId="162" xfId="5" applyFont="1" applyBorder="1" applyAlignment="1">
      <alignment horizontal="center" vertical="center"/>
    </xf>
    <xf numFmtId="0" fontId="2" fillId="0" borderId="162" xfId="5" applyFont="1" applyBorder="1" applyAlignment="1">
      <alignment vertical="center"/>
    </xf>
    <xf numFmtId="0" fontId="14" fillId="0" borderId="1" xfId="0" applyFont="1" applyBorder="1" applyAlignment="1">
      <alignment horizontal="center" vertical="center"/>
    </xf>
    <xf numFmtId="165" fontId="14" fillId="0" borderId="1" xfId="0" applyNumberFormat="1" applyFont="1" applyBorder="1" applyAlignment="1">
      <alignment horizontal="center" vertical="center" wrapText="1"/>
    </xf>
    <xf numFmtId="0" fontId="49" fillId="0" borderId="17" xfId="0" applyFont="1" applyBorder="1" applyAlignment="1">
      <alignment horizontal="center" vertical="center"/>
    </xf>
    <xf numFmtId="0" fontId="49" fillId="0" borderId="164" xfId="0" applyFont="1" applyBorder="1" applyAlignment="1">
      <alignment horizontal="center" vertical="center"/>
    </xf>
    <xf numFmtId="0" fontId="49" fillId="0" borderId="164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1" fontId="49" fillId="0" borderId="164" xfId="0" applyNumberFormat="1" applyFont="1" applyBorder="1" applyAlignment="1">
      <alignment horizontal="center" vertical="center" wrapText="1"/>
    </xf>
    <xf numFmtId="0" fontId="49" fillId="0" borderId="17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/>
    </xf>
    <xf numFmtId="9" fontId="48" fillId="0" borderId="163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5" applyAlignment="1">
      <alignment horizontal="center"/>
    </xf>
    <xf numFmtId="0" fontId="51" fillId="0" borderId="0" xfId="0" applyFont="1"/>
    <xf numFmtId="0" fontId="1" fillId="0" borderId="0" xfId="0" applyFont="1" applyAlignment="1">
      <alignment horizontal="center"/>
    </xf>
    <xf numFmtId="43" fontId="1" fillId="0" borderId="0" xfId="5" applyNumberFormat="1" applyAlignment="1">
      <alignment horizontal="center"/>
    </xf>
    <xf numFmtId="2" fontId="1" fillId="0" borderId="0" xfId="5" applyNumberForma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5" applyAlignment="1">
      <alignment horizontal="left"/>
    </xf>
    <xf numFmtId="0" fontId="9" fillId="0" borderId="0" xfId="5" applyFont="1" applyAlignment="1">
      <alignment horizontal="left"/>
    </xf>
    <xf numFmtId="0" fontId="52" fillId="0" borderId="0" xfId="5" applyFont="1" applyAlignment="1">
      <alignment horizontal="left"/>
    </xf>
    <xf numFmtId="168" fontId="49" fillId="0" borderId="164" xfId="0" applyNumberFormat="1" applyFont="1" applyBorder="1" applyAlignment="1">
      <alignment horizontal="center" vertical="center"/>
    </xf>
    <xf numFmtId="169" fontId="49" fillId="0" borderId="164" xfId="0" applyNumberFormat="1" applyFont="1" applyBorder="1" applyAlignment="1">
      <alignment horizontal="center" vertical="center"/>
    </xf>
    <xf numFmtId="170" fontId="49" fillId="0" borderId="164" xfId="0" applyNumberFormat="1" applyFont="1" applyBorder="1" applyAlignment="1">
      <alignment horizontal="center" vertical="center"/>
    </xf>
    <xf numFmtId="0" fontId="45" fillId="0" borderId="164" xfId="0" applyFont="1" applyBorder="1" applyAlignment="1">
      <alignment horizontal="center" vertical="center"/>
    </xf>
    <xf numFmtId="0" fontId="50" fillId="0" borderId="164" xfId="0" applyFont="1" applyBorder="1" applyAlignment="1">
      <alignment horizontal="center" vertical="center"/>
    </xf>
    <xf numFmtId="0" fontId="50" fillId="0" borderId="164" xfId="0" applyFont="1" applyBorder="1" applyAlignment="1">
      <alignment horizontal="center" vertical="center" wrapText="1"/>
    </xf>
    <xf numFmtId="171" fontId="50" fillId="0" borderId="164" xfId="0" applyNumberFormat="1" applyFont="1" applyBorder="1" applyAlignment="1">
      <alignment horizontal="center" vertical="center" wrapText="1"/>
    </xf>
    <xf numFmtId="168" fontId="50" fillId="0" borderId="164" xfId="0" applyNumberFormat="1" applyFont="1" applyBorder="1" applyAlignment="1">
      <alignment horizontal="center" vertical="center" wrapText="1"/>
    </xf>
    <xf numFmtId="9" fontId="22" fillId="0" borderId="0" xfId="0" applyNumberFormat="1" applyFont="1" applyAlignment="1">
      <alignment horizontal="center" vertical="center"/>
    </xf>
    <xf numFmtId="1" fontId="45" fillId="9" borderId="1" xfId="0" applyNumberFormat="1" applyFont="1" applyFill="1" applyBorder="1" applyAlignment="1">
      <alignment horizontal="center" vertical="center"/>
    </xf>
    <xf numFmtId="2" fontId="14" fillId="0" borderId="1" xfId="0" applyNumberFormat="1" applyFont="1" applyBorder="1" applyAlignment="1">
      <alignment horizontal="center" vertical="center" wrapText="1"/>
    </xf>
    <xf numFmtId="1" fontId="49" fillId="0" borderId="0" xfId="0" applyNumberFormat="1" applyFont="1" applyAlignment="1">
      <alignment horizontal="center" vertical="center" wrapText="1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1" fontId="14" fillId="0" borderId="1" xfId="0" applyNumberFormat="1" applyFont="1" applyBorder="1" applyAlignment="1" applyProtection="1">
      <alignment horizontal="center" vertical="center"/>
      <protection locked="0"/>
    </xf>
    <xf numFmtId="0" fontId="15" fillId="0" borderId="9" xfId="0" applyFont="1" applyBorder="1" applyAlignment="1">
      <alignment horizontal="center" vertical="center"/>
    </xf>
    <xf numFmtId="165" fontId="44" fillId="9" borderId="13" xfId="0" applyNumberFormat="1" applyFont="1" applyFill="1" applyBorder="1" applyAlignment="1" applyProtection="1">
      <alignment horizontal="center" vertical="center"/>
      <protection locked="0"/>
    </xf>
    <xf numFmtId="165" fontId="33" fillId="0" borderId="3" xfId="0" applyNumberFormat="1" applyFont="1" applyBorder="1" applyAlignment="1" applyProtection="1">
      <alignment horizontal="center" vertical="center"/>
      <protection locked="0"/>
    </xf>
    <xf numFmtId="0" fontId="39" fillId="0" borderId="9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9" fillId="0" borderId="4" xfId="0" applyFont="1" applyBorder="1" applyAlignment="1">
      <alignment horizontal="center" vertical="center"/>
    </xf>
    <xf numFmtId="0" fontId="36" fillId="0" borderId="0" xfId="4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4" fillId="9" borderId="0" xfId="0" applyFont="1" applyFill="1" applyAlignment="1" applyProtection="1">
      <alignment horizontal="left"/>
      <protection locked="0"/>
    </xf>
    <xf numFmtId="0" fontId="33" fillId="0" borderId="0" xfId="0" applyFont="1" applyAlignment="1" applyProtection="1">
      <alignment horizontal="left"/>
      <protection locked="0"/>
    </xf>
    <xf numFmtId="14" fontId="44" fillId="9" borderId="0" xfId="0" applyNumberFormat="1" applyFont="1" applyFill="1" applyAlignment="1" applyProtection="1">
      <alignment horizontal="left"/>
      <protection locked="0"/>
    </xf>
    <xf numFmtId="0" fontId="32" fillId="0" borderId="9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1" fillId="0" borderId="0" xfId="0" applyFont="1" applyAlignment="1">
      <alignment horizontal="left"/>
    </xf>
    <xf numFmtId="0" fontId="8" fillId="0" borderId="1" xfId="0" applyFont="1" applyBorder="1" applyAlignment="1">
      <alignment horizontal="center" vertical="center"/>
    </xf>
    <xf numFmtId="0" fontId="14" fillId="0" borderId="12" xfId="0" applyFont="1" applyBorder="1" applyAlignment="1" applyProtection="1">
      <alignment horizontal="left" vertical="top" wrapText="1"/>
      <protection locked="0"/>
    </xf>
    <xf numFmtId="0" fontId="14" fillId="0" borderId="20" xfId="0" applyFont="1" applyBorder="1" applyAlignment="1" applyProtection="1">
      <alignment horizontal="left" vertical="top" wrapText="1"/>
      <protection locked="0"/>
    </xf>
    <xf numFmtId="0" fontId="14" fillId="0" borderId="21" xfId="0" applyFont="1" applyBorder="1" applyAlignment="1" applyProtection="1">
      <alignment horizontal="left" vertical="top" wrapText="1"/>
      <protection locked="0"/>
    </xf>
    <xf numFmtId="0" fontId="14" fillId="0" borderId="10" xfId="0" applyFont="1" applyBorder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14" fillId="0" borderId="17" xfId="0" applyFont="1" applyBorder="1" applyAlignment="1" applyProtection="1">
      <alignment horizontal="left" vertical="top" wrapText="1"/>
      <protection locked="0"/>
    </xf>
    <xf numFmtId="0" fontId="14" fillId="0" borderId="19" xfId="0" applyFont="1" applyBorder="1" applyAlignment="1" applyProtection="1">
      <alignment horizontal="left" vertical="top" wrapText="1"/>
      <protection locked="0"/>
    </xf>
    <xf numFmtId="0" fontId="14" fillId="0" borderId="8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 applyProtection="1">
      <alignment horizontal="left" vertical="top" wrapText="1"/>
      <protection locked="0"/>
    </xf>
    <xf numFmtId="0" fontId="1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6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49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17" fillId="0" borderId="25" xfId="0" applyFont="1" applyBorder="1" applyAlignment="1">
      <alignment horizontal="left" vertical="top" wrapText="1" indent="18"/>
    </xf>
    <xf numFmtId="0" fontId="17" fillId="0" borderId="26" xfId="0" applyFont="1" applyBorder="1" applyAlignment="1">
      <alignment horizontal="left" vertical="top" wrapText="1" indent="18"/>
    </xf>
    <xf numFmtId="0" fontId="17" fillId="0" borderId="27" xfId="0" applyFont="1" applyBorder="1" applyAlignment="1">
      <alignment horizontal="left" vertical="top" wrapText="1" indent="18"/>
    </xf>
    <xf numFmtId="0" fontId="7" fillId="5" borderId="9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5" fillId="0" borderId="170" xfId="0" applyFont="1" applyFill="1" applyBorder="1" applyAlignment="1">
      <alignment horizontal="center" vertical="center"/>
    </xf>
    <xf numFmtId="0" fontId="45" fillId="9" borderId="4" xfId="0" applyFont="1" applyFill="1" applyBorder="1" applyAlignment="1">
      <alignment horizontal="center" vertical="center"/>
    </xf>
    <xf numFmtId="166" fontId="15" fillId="0" borderId="9" xfId="0" applyNumberFormat="1" applyFont="1" applyBorder="1" applyAlignment="1">
      <alignment horizontal="center" vertical="center"/>
    </xf>
    <xf numFmtId="0" fontId="15" fillId="0" borderId="166" xfId="0" applyFont="1" applyBorder="1"/>
    <xf numFmtId="0" fontId="15" fillId="0" borderId="168" xfId="0" applyFont="1" applyBorder="1" applyAlignment="1">
      <alignment horizontal="center" vertical="center"/>
    </xf>
    <xf numFmtId="0" fontId="15" fillId="0" borderId="167" xfId="0" applyFont="1" applyBorder="1" applyAlignment="1">
      <alignment horizontal="center" vertical="center"/>
    </xf>
    <xf numFmtId="0" fontId="15" fillId="0" borderId="169" xfId="0" applyFont="1" applyBorder="1" applyAlignment="1">
      <alignment horizontal="center" vertical="center"/>
    </xf>
    <xf numFmtId="0" fontId="15" fillId="0" borderId="168" xfId="0" applyFont="1" applyBorder="1" applyAlignment="1">
      <alignment horizontal="center"/>
    </xf>
    <xf numFmtId="0" fontId="15" fillId="0" borderId="167" xfId="0" applyFont="1" applyBorder="1" applyAlignment="1">
      <alignment horizontal="center"/>
    </xf>
    <xf numFmtId="0" fontId="15" fillId="0" borderId="169" xfId="0" applyFont="1" applyBorder="1" applyAlignment="1">
      <alignment horizontal="center"/>
    </xf>
    <xf numFmtId="0" fontId="14" fillId="3" borderId="22" xfId="0" applyFont="1" applyFill="1" applyBorder="1" applyAlignment="1" applyProtection="1">
      <alignment horizontal="center" vertical="center"/>
      <protection locked="0"/>
    </xf>
    <xf numFmtId="0" fontId="14" fillId="3" borderId="3" xfId="0" applyFont="1" applyFill="1" applyBorder="1" applyAlignment="1" applyProtection="1">
      <alignment horizontal="left" vertical="center"/>
      <protection locked="0"/>
    </xf>
    <xf numFmtId="0" fontId="14" fillId="3" borderId="3" xfId="0" applyFont="1" applyFill="1" applyBorder="1" applyAlignment="1" applyProtection="1">
      <alignment horizontal="center" vertical="center" wrapText="1"/>
      <protection locked="0"/>
    </xf>
    <xf numFmtId="9" fontId="14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4" fillId="3" borderId="19" xfId="0" applyFont="1" applyFill="1" applyBorder="1" applyAlignment="1" applyProtection="1">
      <alignment horizontal="center" vertical="center" wrapText="1"/>
      <protection locked="0"/>
    </xf>
    <xf numFmtId="0" fontId="23" fillId="0" borderId="169" xfId="0" applyFont="1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164" fontId="15" fillId="0" borderId="166" xfId="0" applyNumberFormat="1" applyFont="1" applyBorder="1" applyAlignment="1">
      <alignment horizontal="center" shrinkToFit="1"/>
    </xf>
    <xf numFmtId="0" fontId="15" fillId="0" borderId="166" xfId="0" applyFont="1" applyBorder="1" applyAlignment="1">
      <alignment horizontal="center" vertical="center"/>
    </xf>
    <xf numFmtId="164" fontId="15" fillId="0" borderId="168" xfId="0" applyNumberFormat="1" applyFont="1" applyBorder="1" applyAlignment="1">
      <alignment horizontal="center" shrinkToFit="1"/>
    </xf>
    <xf numFmtId="164" fontId="15" fillId="0" borderId="166" xfId="0" applyNumberFormat="1" applyFont="1" applyBorder="1" applyAlignment="1">
      <alignment horizontal="center" vertical="center" shrinkToFit="1"/>
    </xf>
    <xf numFmtId="0" fontId="15" fillId="0" borderId="1" xfId="0" applyFont="1" applyBorder="1" applyAlignment="1" applyProtection="1">
      <alignment horizontal="center" vertical="center"/>
    </xf>
    <xf numFmtId="165" fontId="15" fillId="0" borderId="1" xfId="0" applyNumberFormat="1" applyFont="1" applyBorder="1" applyAlignment="1" applyProtection="1">
      <alignment horizontal="center" vertical="center"/>
    </xf>
    <xf numFmtId="0" fontId="15" fillId="0" borderId="9" xfId="0" applyFont="1" applyBorder="1" applyAlignment="1" applyProtection="1">
      <alignment horizontal="center" vertical="center"/>
    </xf>
    <xf numFmtId="0" fontId="15" fillId="0" borderId="13" xfId="0" applyFont="1" applyBorder="1" applyAlignment="1" applyProtection="1">
      <alignment horizontal="center" vertical="center"/>
    </xf>
    <xf numFmtId="165" fontId="15" fillId="0" borderId="13" xfId="0" applyNumberFormat="1" applyFont="1" applyBorder="1" applyAlignment="1" applyProtection="1">
      <alignment horizontal="center" vertical="center"/>
    </xf>
    <xf numFmtId="0" fontId="15" fillId="0" borderId="12" xfId="0" applyFont="1" applyBorder="1" applyAlignment="1" applyProtection="1">
      <alignment horizontal="center" vertic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4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446" dataDxfId="444" headerRowBorderDxfId="445" tableBorderDxfId="443" totalsRowBorderDxfId="442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441"/>
    <tableColumn id="18" xr3:uid="{366DBBF2-20A8-4D60-93FE-3D5A81578DB0}" name="DISCHARGE CONFIG" dataDxfId="440"/>
    <tableColumn id="19" xr3:uid="{0CEE3843-A0BB-4053-8B60-160B8D23C3A1}" name="RETURN CONFIG" dataDxfId="439"/>
    <tableColumn id="2" xr3:uid="{A907651C-1565-4CA5-8395-FBF4A48F82DF}" name="SUPPLY FAN VFD" dataDxfId="438"/>
    <tableColumn id="3" xr3:uid="{A1BA734B-6B37-4C81-BB00-B96C74EABC9E}" name="RETURN FAN" dataDxfId="437"/>
    <tableColumn id="4" xr3:uid="{1A2A118E-5D50-4E1F-8178-C4EFA7C8AFB2}" name="RETURN FAN VFD" dataDxfId="436"/>
    <tableColumn id="5" xr3:uid="{9789DB90-BB58-4C9A-84AA-733010BD2ABF}" name="ECONOMIZER" dataDxfId="435"/>
    <tableColumn id="6" xr3:uid="{7F342EF1-E9D4-4167-9F2C-FB7ECDD16AC5}" name="HEAT RECOVERY" dataDxfId="434"/>
    <tableColumn id="7" xr3:uid="{26A7AB30-2773-4D3A-B047-D020B43C98AD}" name="PREHEAT COIL" dataDxfId="433"/>
    <tableColumn id="8" xr3:uid="{698E1BCF-A037-4D50-BC22-BF171E579A40}" name="REHEAT COIL" dataDxfId="432"/>
    <tableColumn id="9" xr3:uid="{E1206B26-EAF7-482D-90C7-BD9B25AC7DF4}" name="SUPPLY SMOKE" dataDxfId="431"/>
    <tableColumn id="10" xr3:uid="{3C1D9E90-D1DB-4131-ACF1-AE091BA0F570}" name="RETURN SMOKE" dataDxfId="430"/>
    <tableColumn id="11" xr3:uid="{42FFA5A3-94D2-4855-A74E-B15F86BB7CA6}" name="SINGLE POWER" dataDxfId="429"/>
    <tableColumn id="12" xr3:uid="{A9CF85BF-E075-40CD-A3D8-8F54B4742E17}" name="UV LIGHTS" dataDxfId="428"/>
    <tableColumn id="13" xr3:uid="{E6598DEC-673D-4041-8DFD-65E1B4E86C00}" name="PRE FILTER " dataDxfId="427"/>
    <tableColumn id="14" xr3:uid="{A42CA4AB-ECDB-4F8E-9F88-493EE19C6264}" name="INTERMIDIATE FILTER" dataDxfId="426"/>
    <tableColumn id="15" xr3:uid="{7E317255-F402-493B-BA5E-6339E59F2B79}" name="ATFP DAMPERS" dataDxfId="425"/>
    <tableColumn id="16" xr3:uid="{F81087CC-928B-4AE1-A5CB-B814D3F9D515}" name="HUMIDIFIER" dataDxfId="424"/>
    <tableColumn id="17" xr3:uid="{6D8362BD-1A4B-4899-83CC-017029BF5237}" name="HEPA FILTER" dataDxfId="4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422" dataDxfId="421">
  <autoFilter ref="B29:E30" xr:uid="{4581B1AD-A786-2246-8D37-2A5F7703F76B}"/>
  <tableColumns count="4">
    <tableColumn id="1" xr3:uid="{F6DE3AB9-A636-4F44-A1A2-B490A8559CB9}" name="Number of Chillers" dataDxfId="420"/>
    <tableColumn id="2" xr3:uid="{4435B585-7E01-124C-A117-60351029480F}" name="Diversity %" dataDxfId="419" dataCellStyle="Percent"/>
    <tableColumn id="3" xr3:uid="{5593EF6B-BC7D-2545-87E3-670353EFCEA9}" name="number of CHW Pumps" dataDxfId="418"/>
    <tableColumn id="4" xr3:uid="{62962FB5-BAF9-064A-8972-6E8082614CD8}" name="Column1" dataDxfId="41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99" dataDxfId="416" totalsRowDxfId="98" headerRowBorderDxfId="124" tableBorderDxfId="125" totalsRowBorderDxfId="123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122" totalsRowDxfId="97"/>
    <tableColumn id="3" xr3:uid="{C2F54D71-F1C6-49DB-922E-7D2631440381}" name="ROOM" dataDxfId="121" totalsRowDxfId="96"/>
    <tableColumn id="4" xr3:uid="{189BFD32-5838-4B8D-83F1-8FF63371B25D}" name="ROOM _x000a_NUMBER" dataDxfId="120" totalsRowDxfId="95"/>
    <tableColumn id="5" xr3:uid="{7FC753AE-3B21-46CB-956D-DCD0916DD59D}" name="AREA _x000a_(FT²)" totalsRowFunction="sum" dataDxfId="119" totalsRowDxfId="94"/>
    <tableColumn id="6" xr3:uid="{212AC2DD-3F08-44C5-838C-413FFEC1F4C6}" name="HG_x000a_(FT)" dataDxfId="118" totalsRowDxfId="93"/>
    <tableColumn id="8" xr3:uid="{B747ED35-F271-4E44-B347-594DCF339F19}" name="100%_x000a_EA" dataDxfId="117" totalsRowDxfId="92">
      <calculatedColumnFormula>VLOOKUP($K7,'UMC Table 4-A'!$A$2:$E$132,5,FALSE)</calculatedColumnFormula>
    </tableColumn>
    <tableColumn id="1" xr3:uid="{4FD13E19-A2C6-4F05-8163-E6C650FDA1DE}" name="Desired Air Balance Difference" dataDxfId="116" totalsRowDxfId="91"/>
    <tableColumn id="10" xr3:uid="{614FC840-D402-45A6-89B3-CE1DEF3FB988}" name="LOAD _x000a_(CFM)" dataDxfId="115" totalsRowDxfId="90"/>
    <tableColumn id="12" xr3:uid="{3BD29DF7-A320-479F-AB6B-6729E84FCEAB}" name="1 or 0.5 CFM/SF" dataDxfId="114" totalsRowDxfId="89">
      <calculatedColumnFormula>IF(OR((K7="PATIENT CORRIDOR"),(K7="TOILET")),(E7*0.5),E7)</calculatedColumnFormula>
    </tableColumn>
    <tableColumn id="13" xr3:uid="{9407B204-8E03-4498-BEE0-3E05952C0289}" name="FUNCTION OR SPACE" dataDxfId="113" totalsRowDxfId="88"/>
    <tableColumn id="14" xr3:uid="{FA54CB06-931D-43A8-B96F-0CBA46308F44}" name="PRESSURE RELATIONSHIP TO ADJACENT AREAS" dataDxfId="112" totalsRowDxfId="87">
      <calculatedColumnFormula>VLOOKUP($K7,'UMC Table 4-A'!$A$2:$E$132,2,FALSE)</calculatedColumnFormula>
    </tableColumn>
    <tableColumn id="15" xr3:uid="{15A74791-FF44-4F36-9B6F-046690A0794D}" name="MIN OUTDOOR ACH_x000a_(AC/HR)" dataDxfId="71" totalsRowDxfId="86">
      <calculatedColumnFormula>VLOOKUP($K7,'UMC Table 4-A'!$A$2:$E$132,3,FALSE)</calculatedColumnFormula>
    </tableColumn>
    <tableColumn id="16" xr3:uid="{87103CC9-4D45-4E78-BF34-B058CC675F73}" name="MIN OUTDOOR ACH _x000a_(CFM)" totalsRowFunction="sum" dataDxfId="69" totalsRowDxfId="85">
      <calculatedColumnFormula>IF(M7&lt;&gt;"NR",ROUNDUP((E7*F7*M7)/60,-1),0)</calculatedColumnFormula>
    </tableColumn>
    <tableColumn id="7" xr3:uid="{1422055C-7D3C-4AC4-BA02-F92D824538A1}" name="MIN TOTAL ACH (AC/HR)" dataDxfId="70" totalsRowDxfId="84">
      <calculatedColumnFormula>VLOOKUP($K7,'UMC Table 4-A'!$A$2:$E$132,4,FALSE)</calculatedColumnFormula>
    </tableColumn>
    <tableColumn id="11" xr3:uid="{503D0C83-9936-4893-B3CE-323297186610}" name="MIN TOTAL ACH _x000a_(CFM)" dataDxfId="111" totalsRowDxfId="83">
      <calculatedColumnFormula>IF(O7&lt;&gt;"NR",ROUNDUP((E7*F7*O7)/60,-1),0)</calculatedColumnFormula>
    </tableColumn>
    <tableColumn id="17" xr3:uid="{3F5F975F-3AF5-49AF-804D-E68DEB3CA6DE}" name="100% EA_x000a_ (YES/NR)" dataDxfId="110" totalsRowDxfId="82">
      <calculatedColumnFormula>VLOOKUP($K7,'UMC Table 4-A'!$A$2:$E$132,5,FALSE)</calculatedColumnFormula>
    </tableColumn>
    <tableColumn id="9" xr3:uid="{28CE80D3-3D31-43C8-8472-BB2E79C01D35}" name="MIN EA _x000a_(CFM)" dataDxfId="109" totalsRowDxfId="81">
      <calculatedColumnFormula>IF(G7="Yes",P7,"-")</calculatedColumnFormula>
    </tableColumn>
    <tableColumn id="18" xr3:uid="{EC1A34C4-186B-4F5D-BBBF-F944DABAE0DE}" name="CALCULATED SA _x000a_(CFM)" totalsRowFunction="sum" dataDxfId="108" totalsRowDxfId="80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107" totalsRowDxfId="79">
      <calculatedColumnFormula>S7</calculatedColumnFormula>
    </tableColumn>
    <tableColumn id="20" xr3:uid="{3EA21BB5-0F64-4AE1-85D8-9CF36F64F169}" name="DESIGN RA_x000a_(CFM)" totalsRowFunction="sum" dataDxfId="106" totalsRowDxfId="78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105" totalsRowDxfId="77">
      <calculatedColumnFormula>IF(Q7="Yes",R7,0)</calculatedColumnFormula>
    </tableColumn>
    <tableColumn id="22" xr3:uid="{670B1646-1347-4231-BEAC-EACE1B9AB3F0}" name="Transfer Air CFM" totalsRowFunction="sum" dataDxfId="104" totalsRowDxfId="76">
      <calculatedColumnFormula>T7-U7-V7</calculatedColumnFormula>
    </tableColumn>
    <tableColumn id="24" xr3:uid="{48A894A3-2372-4DA8-BDE4-ECEEDE3D0EF6}" name="CFM/SF" dataDxfId="103" totalsRowDxfId="75">
      <calculatedColumnFormula>IFERROR(S7/E7,"-")</calculatedColumnFormula>
    </tableColumn>
    <tableColumn id="25" xr3:uid="{9BC6F763-35E7-482F-8273-B0601EC26A45}" name="OSA PERCENT" dataDxfId="102" totalsRowDxfId="74"/>
    <tableColumn id="26" xr3:uid="{E4CF811E-B4F1-4772-93DA-71987AA79E17}" name="ACH/hr" dataDxfId="101" totalsRowDxfId="73"/>
    <tableColumn id="23" xr3:uid="{2AF622FD-992A-4DDD-B9A9-B3EFD3519585}" name="Balance?" dataDxfId="100" totalsRowDxfId="72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415" dataDxfId="413" totalsRowDxfId="411" headerRowBorderDxfId="414" tableBorderDxfId="412" totalsRowBorderDxfId="410">
  <autoFilter ref="AD6:AT44" xr:uid="{2A2B6BA6-0EAB-2349-A085-FD569408EC9D}"/>
  <tableColumns count="17">
    <tableColumn id="1" xr3:uid="{57BE8BDC-A4D3-4989-BC7B-7D4035BFFB37}" name="ZONE" totalsRowLabel="Total" dataDxfId="409" totalsRowDxfId="408"/>
    <tableColumn id="2" xr3:uid="{BC752A02-1DF4-4483-B512-23CC7F568DD8}" name="BASIS OF DESIGN _x000a_MANUFACTURER" dataDxfId="407" totalsRowDxfId="406"/>
    <tableColumn id="3" xr3:uid="{242E7275-C722-4C29-9346-0DF293287756}" name="DESCRIPTION" dataDxfId="405" totalsRowDxfId="404"/>
    <tableColumn id="4" xr3:uid="{22EB9722-D35D-46A4-B4D9-BDCCDDE1D567}" name="CFM" dataDxfId="68" totalsRowDxfId="403">
      <calculatedColumnFormula>SUMIF($B$7:$B$17,AD7,$T$7:$T$17)</calculatedColumnFormula>
    </tableColumn>
    <tableColumn id="5" xr3:uid="{51309487-29A6-4A90-9ACE-1C65D844B978}" name="CAV INLET SIZE" dataDxfId="67" totalsRowDxfId="402">
      <calculatedColumnFormula>IFERROR((VLOOKUP(AG7,'DO NOT TOUCH'!$P$9:$Q$14,2,TRUE)),"TBD")</calculatedColumnFormula>
    </tableColumn>
    <tableColumn id="6" xr3:uid="{215C2515-E562-4D91-AA5F-B9EF101C10B1}" name="MAX TOTAL CAV PD _x000a_(IN W.G.)" dataDxfId="66" totalsRowDxfId="401">
      <calculatedColumnFormula>AI6</calculatedColumnFormula>
    </tableColumn>
    <tableColumn id="7" xr3:uid="{44ABD785-5FF4-4BDF-8DA8-ABCB4A3BD858}" name="EWT" dataDxfId="65" totalsRowDxfId="400">
      <calculatedColumnFormula>INPUT_OUTPUTS!$C$16</calculatedColumnFormula>
    </tableColumn>
    <tableColumn id="8" xr3:uid="{D7A38AF8-CCEA-4611-B868-D92E45DFB31D}" name="DESIGN _x000a_LWT" dataDxfId="64" totalsRowDxfId="399">
      <calculatedColumnFormula>INPUT_OUTPUTS!$C$17</calculatedColumnFormula>
    </tableColumn>
    <tableColumn id="9" xr3:uid="{74E9A83C-F72E-4681-B2A6-32313CCD9052}" name="EAT" dataDxfId="63" totalsRowDxfId="398">
      <calculatedColumnFormula>AL6</calculatedColumnFormula>
    </tableColumn>
    <tableColumn id="10" xr3:uid="{8B982646-83B7-4FAB-B9B2-3DE24C1C5929}" name="DESIGN _x000a_LAT" dataDxfId="62" totalsRowDxfId="397">
      <calculatedColumnFormula>AM6</calculatedColumnFormula>
    </tableColumn>
    <tableColumn id="11" xr3:uid="{272BE2CC-D55E-4E27-A9CD-23F7D3C69C7E}" name="MIN MBH" totalsRowFunction="sum" dataDxfId="61" totalsRowDxfId="396">
      <calculatedColumnFormula>MROUND((1.08*(AM7-AL7)*AG7)/1000,0.1)</calculatedColumnFormula>
    </tableColumn>
    <tableColumn id="12" xr3:uid="{7397E695-5680-41E5-BD4B-54E06DBC3660}" name="AGPM" dataDxfId="60" totalsRowDxfId="395">
      <calculatedColumnFormula>(AN7*1000)/(500*(AJ7-AK7))</calculatedColumnFormula>
    </tableColumn>
    <tableColumn id="13" xr3:uid="{414C9995-C808-4163-A7C0-6FBE3CE786D5}" name="GPM" totalsRowFunction="sum" dataDxfId="59" totalsRowDxfId="394">
      <calculatedColumnFormula>IF(AO7&lt;0.5,0.5,AO7)</calculatedColumnFormula>
    </tableColumn>
    <tableColumn id="14" xr3:uid="{FA76CB50-9C92-48CB-9847-CD2C20E3C0EA}" name="MAX WATER _x000a_PD (FT)" dataDxfId="58" totalsRowDxfId="393">
      <calculatedColumnFormula>AQ6</calculatedColumnFormula>
    </tableColumn>
    <tableColumn id="15" xr3:uid="{754EB634-20EB-4627-9050-4DA3F237AC8C}" name="OPER _x000a_WEIGHT_x000a_(LBS)" dataDxfId="57" totalsRowDxfId="392">
      <calculatedColumnFormula>IFERROR((_xlfn.XLOOKUP(AH7,'DO NOT TOUCH'!$Q$9:$Q$14,'DO NOT TOUCH'!$R$9:$R$14,)),"TBD")</calculatedColumnFormula>
    </tableColumn>
    <tableColumn id="16" xr3:uid="{97D93DD7-F48C-4EE7-8FD7-BFAA5497DDA8}" name="MTG _x000a_DETAIL" dataDxfId="56" totalsRowDxfId="391">
      <calculatedColumnFormula>INPUT_OUTPUTS!$C$19</calculatedColumnFormula>
    </tableColumn>
    <tableColumn id="17" xr3:uid="{E363493A-6B19-483A-BFC0-A10768DD7DBD}" name="REMARKS" dataDxfId="55" totalsRowDxfId="390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A13" totalsRowCount="1" headerRowDxfId="389" dataDxfId="387" headerRowBorderDxfId="388" tableBorderDxfId="386">
  <autoFilter ref="A11:BA12" xr:uid="{E6D9D33A-2DE5-364A-B78C-5DD7A614D29B}"/>
  <tableColumns count="53">
    <tableColumn id="1" xr3:uid="{75084425-A44B-8E45-87AE-08AECD33E09D}" name="TAG" totalsRowLabel="Total" dataDxfId="385" totalsRowDxfId="54"/>
    <tableColumn id="2" xr3:uid="{C741F4EF-D022-3147-B8E2-8A68ED8EF0CC}" name="(CFM)" totalsRowFunction="sum" dataDxfId="384" totalsRowDxfId="53">
      <calculatedColumnFormula>Generic!$AW$2</calculatedColumnFormula>
    </tableColumn>
    <tableColumn id="4" xr3:uid="{8F33E354-148B-E049-A9AB-2FEBF1D2ABCF}" name="(CFM)2" dataDxfId="383" totalsRowDxfId="52">
      <calculatedColumnFormula>Generic!$AX$2</calculatedColumnFormula>
    </tableColumn>
    <tableColumn id="6" xr3:uid="{44289BD7-7B7A-5040-A9C3-A81E708605BA}" name="(˚F db)" dataDxfId="382" totalsRowDxfId="51"/>
    <tableColumn id="7" xr3:uid="{A118C93B-9473-8340-A213-7536CC01FA69}" name="(˚F wb)" dataDxfId="381" totalsRowDxfId="50"/>
    <tableColumn id="8" xr3:uid="{BA4E1C0D-A98F-C94F-B5DE-2C36AC9D0BA3}" name="(CFM)3" dataDxfId="380" totalsRowDxfId="49">
      <calculatedColumnFormula>Generic!$AY$2</calculatedColumnFormula>
    </tableColumn>
    <tableColumn id="9" xr3:uid="{8E2A683D-7B4C-954E-A75A-56B4A8A15F0B}" name="(˚F db)4" dataDxfId="379" totalsRowDxfId="48">
      <calculatedColumnFormula>INPUT_OUTPUTS!$C$8</calculatedColumnFormula>
    </tableColumn>
    <tableColumn id="10" xr3:uid="{D83D5AD6-51F5-5E4B-BE3C-C238ECC50CFF}" name="(˚F wb)5" dataDxfId="378" totalsRowDxfId="47">
      <calculatedColumnFormula>INPUT_OUTPUTS!$C$9</calculatedColumnFormula>
    </tableColumn>
    <tableColumn id="11" xr3:uid="{58DDBF84-EFFA-734F-B069-FD929AE8505B}" name="(CFM)6" dataDxfId="377" totalsRowDxfId="46">
      <calculatedColumnFormula>Table7[[#This Row],[(CFM)3]]</calculatedColumnFormula>
    </tableColumn>
    <tableColumn id="12" xr3:uid="{7D7925B1-33E7-A84F-AAEC-67A01BBE986C}" name="(˚F db)7" dataDxfId="376" totalsRowDxfId="45">
      <calculatedColumnFormula>INPUT_OUTPUTS!$C$10</calculatedColumnFormula>
    </tableColumn>
    <tableColumn id="13" xr3:uid="{9E21E0BF-E9C5-C54C-9B8C-005C0935E109}" name="(˚F wb)8" dataDxfId="375" totalsRowDxfId="44">
      <calculatedColumnFormula>INPUT_OUTPUTS!$C$11</calculatedColumnFormula>
    </tableColumn>
    <tableColumn id="14" xr3:uid="{AC23D981-3B01-5147-97B6-3252A7FC953B}" name="(˚F db)9" dataDxfId="374" totalsRowDxfId="43">
      <calculatedColumnFormula>INPUT_OUTPUTS!$F$8</calculatedColumnFormula>
    </tableColumn>
    <tableColumn id="15" xr3:uid="{DB54E7DD-3A47-6447-A89B-94C85E52BE7D}" name="(CFM)10" dataDxfId="373" totalsRowDxfId="42">
      <calculatedColumnFormula>C12+F12-B12</calculatedColumnFormula>
    </tableColumn>
    <tableColumn id="16" xr3:uid="{4FEC2D7C-9758-744F-A9BF-FBA46547E062}" name="(˚F db)11" dataDxfId="372" totalsRowDxfId="41">
      <calculatedColumnFormula>D12*((C12-M12)/B12) + G12*(F12/B12)</calculatedColumnFormula>
    </tableColumn>
    <tableColumn id="17" xr3:uid="{B005BDD5-39CF-2B47-842F-C982BA9FC7E1}" name="(˚F wb)12" dataDxfId="371" totalsRowDxfId="40">
      <calculatedColumnFormula>TRUNC(E12*((C12-M12)/B12) + H12*(F12/B12),1)</calculatedColumnFormula>
    </tableColumn>
    <tableColumn id="18" xr3:uid="{5AC4E564-0F72-0E49-B041-B5DE3FD4DD18}" name="(h)" dataDxfId="370" totalsRowDxfId="39">
      <calculatedColumnFormula>VLOOKUP(FLOOR(O12,1),'DO NOT TOUCH'!$A$7:$K$57,MATCH(ROUND((O12-FLOOR(O12,1)),1),'DO NOT TOUCH'!$A$6:$K$6,0),FALSE)</calculatedColumnFormula>
    </tableColumn>
    <tableColumn id="19" xr3:uid="{1CF6B834-F9E4-7943-9908-D52F6A59E930}" name="(˚F db)13" dataDxfId="369" totalsRowDxfId="38"/>
    <tableColumn id="20" xr3:uid="{069031AB-30B0-304F-BA24-44B4C6E6101C}" name="(˚F wb)14" dataDxfId="368" totalsRowDxfId="37"/>
    <tableColumn id="21" xr3:uid="{1EA24A2B-BE77-6945-9098-6C4501A9902F}" name="(h)15" dataDxfId="367" totalsRowDxfId="36">
      <calculatedColumnFormula>VLOOKUP(FLOOR(R12,1),'DO NOT TOUCH'!$A$7:$K$57,MATCH(ROUND((R12-FLOOR(R12,1)),1),'DO NOT TOUCH'!$A$6:$K$6,0),FALSE)</calculatedColumnFormula>
    </tableColumn>
    <tableColumn id="22" xr3:uid="{05796239-DA0D-E349-ADE3-8A1B87E96861}" name="(Btu/hr)" dataDxfId="366" totalsRowDxfId="35">
      <calculatedColumnFormula>B12*1.085*(N12-Q12)</calculatedColumnFormula>
    </tableColumn>
    <tableColumn id="23" xr3:uid="{02C21CA2-732A-8C4C-93ED-640017544BD3}" name="(Btu/hr)16" dataDxfId="365" totalsRowDxfId="34">
      <calculatedColumnFormula>4.5*B12*(P12-S12)</calculatedColumnFormula>
    </tableColumn>
    <tableColumn id="24" xr3:uid="{80183150-6317-2C46-B9FB-5600693E1D79}" name="(Tons)" dataDxfId="364" totalsRowDxfId="33">
      <calculatedColumnFormula>IF(U12&lt;T12,"INVALID POINT",U12/12000)</calculatedColumnFormula>
    </tableColumn>
    <tableColumn id="25" xr3:uid="{8AF1DEDF-1446-A54C-A718-1F4A80DCED1F}" name="(˚F db)17" dataDxfId="363" totalsRowDxfId="32">
      <calculatedColumnFormula>INPUT_OUTPUTS!$C$14</calculatedColumnFormula>
    </tableColumn>
    <tableColumn id="26" xr3:uid="{30713AF6-10A7-A640-9A81-7C9C656F28C6}" name="(˚F db)18" dataDxfId="362" totalsRowDxfId="31">
      <calculatedColumnFormula>INPUT_OUTPUTS!$C$15</calculatedColumnFormula>
    </tableColumn>
    <tableColumn id="27" xr3:uid="{07E9B9A3-68BD-0040-B64A-445B4F7DB78B}" name="GPM" totalsRowFunction="sum" dataDxfId="361" totalsRowDxfId="30">
      <calculatedColumnFormula>U12/(500*(X12-W12))</calculatedColumnFormula>
    </tableColumn>
    <tableColumn id="28" xr3:uid="{63A1C04A-F0C1-344B-9C91-CDCBB09CC808}" name="(˚F db)19" dataDxfId="360" totalsRowDxfId="29">
      <calculatedColumnFormula>D12*((C12-M12)/B12) + J12*(F12/B12)</calculatedColumnFormula>
    </tableColumn>
    <tableColumn id="29" xr3:uid="{6B8C516D-DE70-BF40-8E5C-0B23062187E5}" name="(˚F wb)20" dataDxfId="359" totalsRowDxfId="28">
      <calculatedColumnFormula>TRUNC(E12*((C12-M12)/B12) + K12*(F12/B12),1)</calculatedColumnFormula>
    </tableColumn>
    <tableColumn id="30" xr3:uid="{045EE11E-9647-ED4C-9652-8752BBE74982}" name="(h)21" dataDxfId="358" totalsRowDxfId="27">
      <calculatedColumnFormula>VLOOKUP(FLOOR(AA12,1),'DO NOT TOUCH'!$A$7:$K$57,MATCH(ROUND((AA12-FLOOR(AA12,1)),1),'DO NOT TOUCH'!$A$6:$K$6,0),FALSE)</calculatedColumnFormula>
    </tableColumn>
    <tableColumn id="31" xr3:uid="{1C877888-78C7-FA4C-A946-1B9EDB031094}" name="(˚F db)22" dataDxfId="357" totalsRowDxfId="26">
      <calculatedColumnFormula>Table7[[#This Row],[(˚F db)13]]</calculatedColumnFormula>
    </tableColumn>
    <tableColumn id="32" xr3:uid="{5E7C32E8-28E9-554C-93A3-4ED479273F5C}" name="(˚F wb)23" dataDxfId="356" totalsRowDxfId="25">
      <calculatedColumnFormula>Table7[[#This Row],[(˚F wb)14]]</calculatedColumnFormula>
    </tableColumn>
    <tableColumn id="33" xr3:uid="{7EB81F19-A30A-5844-B465-95995C2169F1}" name="(h)24" dataDxfId="355" totalsRowDxfId="24">
      <calculatedColumnFormula>VLOOKUP(FLOOR(AD12,1),'DO NOT TOUCH'!$A$7:$K$57,MATCH(ROUND((AD12-FLOOR(AD12,1)),1),'DO NOT TOUCH'!$A$6:$K$6,0),FALSE)</calculatedColumnFormula>
    </tableColumn>
    <tableColumn id="37" xr3:uid="{B86C10F8-CA05-8945-8F0F-F9E339D5FA04}" name="(Btu/hr)28" dataDxfId="354" totalsRowDxfId="23">
      <calculatedColumnFormula>B12*1.085*(Z12-AC12)</calculatedColumnFormula>
    </tableColumn>
    <tableColumn id="38" xr3:uid="{3C9101C2-66E5-5844-8571-55FD8B0FA8E4}" name="(Btu/hr)29" dataDxfId="353" totalsRowDxfId="22">
      <calculatedColumnFormula>4.5*B12*(AB12-AE12)</calculatedColumnFormula>
    </tableColumn>
    <tableColumn id="39" xr3:uid="{611DF507-C49C-8E40-9B22-204394B4D484}" name="(Tons)30" dataDxfId="352" totalsRowDxfId="21">
      <calculatedColumnFormula>IF(AG12&lt;AF12,"INVALID POINT",AG12/12000)</calculatedColumnFormula>
    </tableColumn>
    <tableColumn id="40" xr3:uid="{8D69DAB9-C665-1C40-8BEE-2F67013BDA9E}" name="(˚F db)31" dataDxfId="351" totalsRowDxfId="20">
      <calculatedColumnFormula>INPUT_OUTPUTS!$C$14</calculatedColumnFormula>
    </tableColumn>
    <tableColumn id="41" xr3:uid="{2C7A8B9E-09E2-C245-8AD4-9B511603B988}" name="(˚F db)32" dataDxfId="350" totalsRowDxfId="19">
      <calculatedColumnFormula>INPUT_OUTPUTS!$C$15</calculatedColumnFormula>
    </tableColumn>
    <tableColumn id="42" xr3:uid="{97B72D8E-BA89-4E4A-B5D1-F02C61433D68}" name="GPM33" totalsRowFunction="sum" dataDxfId="349" totalsRowDxfId="18">
      <calculatedColumnFormula>AG12/(500*(AJ12-AI12))</calculatedColumnFormula>
    </tableColumn>
    <tableColumn id="43" xr3:uid="{EE7A438B-ECC2-DF4B-9129-EA55728EFC2E}" name="(Tons)34" totalsRowFunction="sum" dataDxfId="348" totalsRowDxfId="17">
      <calculatedColumnFormula>MAX(AH12,V12)</calculatedColumnFormula>
    </tableColumn>
    <tableColumn id="44" xr3:uid="{B68CC7E9-570D-A84E-8670-D3C2DEA54479}" name="(CFM)35" dataDxfId="347" totalsRowDxfId="16">
      <calculatedColumnFormula>B12/AH12</calculatedColumnFormula>
    </tableColumn>
    <tableColumn id="59" xr3:uid="{2F2BA6E3-EE55-BA45-94DB-4A9361068B22}" name="GPM MAX" totalsRowFunction="sum" dataDxfId="346" totalsRowDxfId="15">
      <calculatedColumnFormula>MAX(Table7[[#This Row],[GPM33]],Table7[[#This Row],[GPM]])</calculatedColumnFormula>
    </tableColumn>
    <tableColumn id="45" xr3:uid="{033D6B36-8B19-EB4B-A1E7-E7585C21489B}" name="(CFM)36" dataDxfId="345" totalsRowDxfId="14">
      <calculatedColumnFormula>B12</calculatedColumnFormula>
    </tableColumn>
    <tableColumn id="46" xr3:uid="{940C5796-789D-5B4A-9FCD-445173CBE38B}" name="(˚F db)37" dataDxfId="344" totalsRowDxfId="13">
      <calculatedColumnFormula>D12*((C12-M12)/B12) + L12*(F12/B12)</calculatedColumnFormula>
    </tableColumn>
    <tableColumn id="47" xr3:uid="{33252E21-E95C-E84B-AA5C-160823174238}" name="(˚F db)38" dataDxfId="343" totalsRowDxfId="12"/>
    <tableColumn id="48" xr3:uid="{F5FF0CC7-9CD6-DC4B-9AC8-6CF9532FE75F}" name="(MBH)" totalsRowFunction="sum" dataDxfId="342" totalsRowDxfId="11">
      <calculatedColumnFormula>AO12*1.085*(AQ12-AP12)/1000</calculatedColumnFormula>
    </tableColumn>
    <tableColumn id="49" xr3:uid="{41191CD7-30B2-EE4D-850D-B2169746F6D6}" name="(˚F db)39" dataDxfId="341" totalsRowDxfId="10">
      <calculatedColumnFormula>INPUT_OUTPUTS!$C$16</calculatedColumnFormula>
    </tableColumn>
    <tableColumn id="50" xr3:uid="{4D3CE10E-9198-0E44-849F-6C7B4A36B8CE}" name="(˚F db)40" dataDxfId="340" totalsRowDxfId="9">
      <calculatedColumnFormula>INPUT_OUTPUTS!$C$17</calculatedColumnFormula>
    </tableColumn>
    <tableColumn id="51" xr3:uid="{01E8F924-565C-4D42-9E39-E87365245FFA}" name="GPM41" totalsRowFunction="sum" dataDxfId="339" totalsRowDxfId="8">
      <calculatedColumnFormula>(AR12*1000)/(500*(AS12-AT12))</calculatedColumnFormula>
    </tableColumn>
    <tableColumn id="54" xr3:uid="{D0D7EAE6-3EA2-E244-8B8D-01899554629D}" name="(˚F db)43" dataDxfId="338" totalsRowDxfId="7"/>
    <tableColumn id="56" xr3:uid="{0D1DB506-119B-7043-BE7D-652B0413152C}" name="(˚F db)45" dataDxfId="337" totalsRowDxfId="6"/>
    <tableColumn id="60" xr3:uid="{3575FFB4-394C-DC4E-9487-884A377EB86A}" name="(˚F db)46" totalsRowFunction="sum" dataDxfId="336" totalsRowDxfId="5"/>
    <tableColumn id="57" xr3:uid="{C012C8FF-93AB-B94F-BC98-7474F441DD8E}" name="(mbh)46" totalsRowFunction="sum" dataDxfId="335" totalsRowDxfId="4">
      <calculatedColumnFormula>#REF!</calculatedColumnFormula>
    </tableColumn>
    <tableColumn id="3" xr3:uid="{52F13A78-C922-4981-8CC7-18E329F4FEED}" name="(mbh)47" dataDxfId="127" totalsRowDxfId="3"/>
    <tableColumn id="5" xr3:uid="{599B9265-A2B8-412A-B1DB-86536238C3B1}" name="(mbh)48" dataDxfId="126" totalsRowDxfId="2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AA6" totalsRowCount="1" headerRowDxfId="334" dataDxfId="333" totalsRowDxfId="331" tableBorderDxfId="332">
  <autoFilter ref="A2:AA5" xr:uid="{59B85608-0CD2-47F2-870C-191ADDE0C2B8}"/>
  <tableColumns count="27">
    <tableColumn id="1" xr3:uid="{AACF3619-1A60-4FCF-BCFF-F336ADCF73B8}" name="Zone" totalsRowLabel="TOTAL" dataDxfId="330" totalsRowDxfId="329"/>
    <tableColumn id="3" xr3:uid="{80B2F9E7-1259-4673-96AB-0F4F83EB3D46}" name="Room Number" dataDxfId="328" totalsRowDxfId="327"/>
    <tableColumn id="4" xr3:uid="{0BD09193-37D6-4F7C-BCAE-45CFF2C8A151}" name="Room" totalsRowFunction="count" dataDxfId="326" totalsRowDxfId="325"/>
    <tableColumn id="6" xr3:uid="{E95CEC16-C2FC-4214-A0EB-7A08FDEAF0F9}" name="AREA _x000a_(FT²)" totalsRowFunction="sum" dataDxfId="324" totalsRowDxfId="323"/>
    <tableColumn id="18" xr3:uid="{6DA2FAE7-17CA-4FE0-8359-8C4FF34595A6}" name="Exhaust Units" dataDxfId="322" totalsRowDxfId="321"/>
    <tableColumn id="7" xr3:uid="{583FAE05-9F7D-48E5-BEF5-13CEE070C1D5}" name="OFFICE STANDARD _x000a_(CFM)" dataDxfId="320" totalsRowDxfId="319">
      <calculatedColumnFormula>IF((Ahu_Ashrae_sheet[[#This Row],[Occupancy Subcategory]] = "TOILET"),MROUND(D3/2,5),MROUND(D3,5))</calculatedColumnFormula>
    </tableColumn>
    <tableColumn id="8" xr3:uid="{47403FA0-F7C3-45DA-A426-0E7EA8BC2C2D}" name="LOAD (CFM)" totalsRowFunction="sum" dataDxfId="318" totalsRowDxfId="317"/>
    <tableColumn id="17" xr3:uid="{9950D068-2B64-41F9-A84D-F7BB46AA37B4}" name="Exhaust Category" dataDxfId="316" totalsRowDxfId="315"/>
    <tableColumn id="5" xr3:uid="{593AD6F9-FDB5-4388-9BB0-C939DB13E66D}" name="Occupancy Category" dataDxfId="314" totalsRowDxfId="313"/>
    <tableColumn id="36" xr3:uid="{FFC7F312-2A64-4BFB-9BD9-8659A44B2B2A}" name="Occupancy Subcategory" dataDxfId="312" totalsRowDxfId="311"/>
    <tableColumn id="10" xr3:uid="{7266144B-9C83-4090-884A-1BB5A987F5A7}" name="RP_x000a_(CFM/PER PERSON)" dataDxfId="310" totalsRowDxfId="309">
      <calculatedColumnFormula array="1">INDEX(Ashrae90.1Vent[RP],MATCH(Ahu_Ashrae_sheet[[#This Row],[Occupancy Category]]&amp;Ahu_Ashrae_sheet[[#This Row],[Occupancy Subcategory]],Ashrae90.1Vent[OCCUPANCY CATEGORY]&amp;Ashrae90.1Vent[OCCUPANCY SUBCATEGORY],0))</calculatedColumnFormula>
    </tableColumn>
    <tableColumn id="11" xr3:uid="{09B8A030-EFEC-4BFF-ACC4-60D52EC4A99A}" name="RA_x000a_(CFM/FT²)" dataDxfId="308" totalsRowDxfId="307">
      <calculatedColumnFormula array="1">INDEX(Ashrae90.1Vent[RA],MATCH(Ahu_Ashrae_sheet[[#This Row],[Occupancy Category]]&amp;Ahu_Ashrae_sheet[[#This Row],[Occupancy Subcategory]],Ashrae90.1Vent[OCCUPANCY CATEGORY]&amp;Ashrae90.1Vent[OCCUPANCY SUBCATEGORY],))</calculatedColumnFormula>
    </tableColumn>
    <tableColumn id="9" xr3:uid="{8A1EE948-BF4B-4ECE-B0BC-2D78AE8EBCB1}" name="OCCUPANT DENSITY_x000a_(#/1000 FT²)" dataDxfId="306" totalsRowDxfId="305">
      <calculatedColumnFormula array="1">INDEX(Ashrae90.1Vent[OCCUPANT DENSITY],MATCH(Ahu_Ashrae_sheet[[#This Row],[Occupancy Category]]&amp;Ahu_Ashrae_sheet[[#This Row],[Occupancy Subcategory]],Ashrae90.1Vent[OCCUPANCY CATEGORY]&amp;Ashrae90.1Vent[OCCUPANCY SUBCATEGORY],))</calculatedColumnFormula>
    </tableColumn>
    <tableColumn id="12" xr3:uid="{B627EA84-4F12-4D9C-9B2E-8C8B23AA47EF}" name="Air Class" dataDxfId="304" totalsRowDxfId="303">
      <calculatedColumnFormula array="1">INDEX(Ashrae90.1Vent[AIR CLASS],MATCH(Ahu_Ashrae_sheet[[#This Row],[Occupancy Category]]&amp;Ahu_Ashrae_sheet[[#This Row],[Occupancy Subcategory]],Ashrae90.1Vent[OCCUPANCY CATEGORY]&amp;Ashrae90.1Vent[OCCUPANCY SUBCATEGORY],))</calculatedColumnFormula>
    </tableColumn>
    <tableColumn id="13" xr3:uid="{2482AE45-6727-4713-94E7-C56A28C53053}" name="Occupants" totalsRowFunction="sum" dataDxfId="302" totalsRowDxfId="301">
      <calculatedColumnFormula>CEILING((M3/1000)*D3,1)</calculatedColumnFormula>
    </tableColumn>
    <tableColumn id="14" xr3:uid="{F57C4FE9-D689-4840-BE7F-8AAC8AF32E90}" name="Vbz" dataDxfId="300" totalsRowDxfId="299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298" totalsRowDxfId="297"/>
    <tableColumn id="16" xr3:uid="{E815DDA4-80F1-4B30-89A0-831145D8A65F}" name="Voz" dataDxfId="296" totalsRowDxfId="295">
      <calculatedColumnFormula>P3/Q3</calculatedColumnFormula>
    </tableColumn>
    <tableColumn id="21" xr3:uid="{3796FC97-1024-4F8D-AF4A-C1BCEDC0304A}" name="OUTSIDE AIRFLOW (CFM) (Vot)" totalsRowFunction="sum" dataDxfId="294" totalsRowDxfId="293">
      <calculatedColumnFormula>Ahu_Ashrae_sheet[[#This Row],[Voz]]</calculatedColumnFormula>
    </tableColumn>
    <tableColumn id="27" xr3:uid="{D6F07612-EAC0-4AD6-8EB3-909D232BF60F}" name="EA RATE_x000a_(CFM/UNIT)" dataDxfId="292" totalsRowDxfId="291">
      <calculatedColumnFormula>IF(Ahu_Ashrae_sheet[[#This Row],[Exhaust Category]]="NA","NA",VLOOKUP(Ahu_Ashrae_sheet[[#This Row],[Exhaust Category]],ASHRAE_EA_Table[#All],3,FALSE))</calculatedColumnFormula>
    </tableColumn>
    <tableColumn id="19" xr3:uid="{162CF25C-455F-4425-BBCF-EF541E4CC9A8}" name="EA RATE_x000a_(CFM/FT²)" dataDxfId="290" totalsRowDxfId="289">
      <calculatedColumnFormula>IF(Ahu_Ashrae_sheet[[#This Row],[Exhaust Category]]="NA","NA",VLOOKUP(Ahu_Ashrae_sheet[[#This Row],[Exhaust Category]],ASHRAE_EA_Table[#All],4,FALSE))</calculatedColumnFormula>
    </tableColumn>
    <tableColumn id="28" xr3:uid="{B0045427-3B74-4ECE-A325-8F14C261EA1F}" name="MIN ASHRAE EA_x000a_(CFM)" dataDxfId="288" totalsRowDxfId="287">
      <calculatedColumnFormula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calculatedColumnFormula>
    </tableColumn>
    <tableColumn id="22" xr3:uid="{A28E5D34-9B1F-421B-88CE-1EDD499FE4B0}" name="DESIGN SA(CFM)" totalsRowFunction="sum" dataDxfId="286" totalsRowDxfId="285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284" totalsRowDxfId="283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282" totalsRowDxfId="281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280" totalsRowDxfId="279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278" totalsRowDxfId="277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J6" totalsRowCount="1" headerRowDxfId="276" dataDxfId="275" totalsRowDxfId="273" tableBorderDxfId="274">
  <autoFilter ref="A2:AJ5" xr:uid="{59B85608-0CD2-47F2-870C-191ADDE0C2B8}"/>
  <tableColumns count="36">
    <tableColumn id="1" xr3:uid="{13F107CA-E395-403B-99B4-65D454865F61}" name="Zone" totalsRowLabel="TOTAL" dataDxfId="272" totalsRowDxfId="271"/>
    <tableColumn id="3" xr3:uid="{F80D1C16-C418-4B4D-A569-08FF0C9FD9A1}" name="Room Number" dataDxfId="270" totalsRowDxfId="269"/>
    <tableColumn id="4" xr3:uid="{216886B4-41A5-46E5-957A-D9BC5211544A}" name="Room" totalsRowFunction="count" dataDxfId="268" totalsRowDxfId="267"/>
    <tableColumn id="6" xr3:uid="{FAEF0092-9267-4494-BA56-051894961217}" name="AREA (FT²)" totalsRowFunction="sum" dataDxfId="266" totalsRowDxfId="265"/>
    <tableColumn id="18" xr3:uid="{85D8CA67-8705-42BF-AC57-76DEABA6CFF8}" name="Exhaust Units" dataDxfId="264" totalsRowDxfId="263"/>
    <tableColumn id="7" xr3:uid="{22DEA9EB-6829-4F94-A62D-70E9DB4118C6}" name="OFFICE STANDARD _x000a_(CFM)" dataDxfId="262" totalsRowDxfId="261">
      <calculatedColumnFormula>IF((Ahu_Ashrae_sheet15[[#This Row],[Occupancy Subcategory]] = "TOILET"),MROUND(D3/2,5),MROUND(D3,5))</calculatedColumnFormula>
    </tableColumn>
    <tableColumn id="8" xr3:uid="{7E2DDD6E-E4CD-4911-B0AB-66850CA0C7DA}" name="LOAD (CFM)" totalsRowFunction="sum" dataDxfId="260" totalsRowDxfId="259"/>
    <tableColumn id="17" xr3:uid="{AB90DFB5-D9F7-4991-B79C-73953940B8A9}" name="Exhaust Category" dataDxfId="258" totalsRowDxfId="257"/>
    <tableColumn id="5" xr3:uid="{D0FC3464-26A6-4825-B194-880E47740C1D}" name="Occupancy Category" dataDxfId="256" totalsRowDxfId="255"/>
    <tableColumn id="36" xr3:uid="{5F46065C-E5A3-401C-9502-8764BA0B5DDC}" name="Occupancy Subcategory" dataDxfId="254" totalsRowDxfId="253"/>
    <tableColumn id="10" xr3:uid="{776D97F5-1DFD-4EF3-AB3B-86F72E19D6E4}" name="RP_x000a_(CFM/PER PERSON)" dataDxfId="252" totalsRowDxfId="251">
      <calculatedColumnFormula array="1">INDEX(Ashrae90.1Vent[RP],MATCH(Ahu_Ashrae_sheet15[[#This Row],[Occupancy Category]]&amp;Ahu_Ashrae_sheet15[[#This Row],[Occupancy Subcategory]],Ashrae90.1Vent[OCCUPANCY CATEGORY]&amp;Ashrae90.1Vent[OCCUPANCY SUBCATEGORY],0))</calculatedColumnFormula>
    </tableColumn>
    <tableColumn id="11" xr3:uid="{76672635-C795-4F06-BEC7-0313455A053C}" name="RA_x000a_(CFM/FT²)" dataDxfId="250" totalsRowDxfId="249">
      <calculatedColumnFormula array="1">INDEX(Ashrae90.1Vent[RA],MATCH(Ahu_Ashrae_sheet15[[#This Row],[Occupancy Category]]&amp;Ahu_Ashrae_sheet15[[#This Row],[Occupancy Subcategory]],Ashrae90.1Vent[OCCUPANCY CATEGORY]&amp;Ashrae90.1Vent[OCCUPANCY SUBCATEGORY],))</calculatedColumnFormula>
    </tableColumn>
    <tableColumn id="9" xr3:uid="{8CD6DD67-6216-4CF3-8380-930B3A37E6A0}" name="OCCUPANT DENSITY_x000a_(#/1000 FT²)" dataDxfId="248" totalsRowDxfId="247">
      <calculatedColumnFormula array="1">INDEX(Ashrae90.1Vent[OCCUPANT DENSITY],MATCH(Ahu_Ashrae_sheet15[[#This Row],[Occupancy Category]]&amp;Ahu_Ashrae_sheet15[[#This Row],[Occupancy Subcategory]],Ashrae90.1Vent[OCCUPANCY CATEGORY]&amp;Ashrae90.1Vent[OCCUPANCY SUBCATEGORY],))</calculatedColumnFormula>
    </tableColumn>
    <tableColumn id="12" xr3:uid="{A2512039-1BFD-4637-9149-E45B36F1BCBD}" name="Air Class" dataDxfId="246" totalsRowDxfId="245">
      <calculatedColumnFormula array="1">INDEX(Ashrae90.1Vent[AIR CLASS],MATCH(Ahu_Ashrae_sheet15[[#This Row],[Occupancy Category]]&amp;Ahu_Ashrae_sheet15[[#This Row],[Occupancy Subcategory]],Ashrae90.1Vent[OCCUPANCY CATEGORY]&amp;Ashrae90.1Vent[OCCUPANCY SUBCATEGORY],))</calculatedColumnFormula>
    </tableColumn>
    <tableColumn id="2" xr3:uid="{468B725D-7142-49B8-83E0-2B65D8440EB2}" name="Actual Number of  Occupants (Ps)" totalsRowFunction="sum" dataDxfId="244" totalsRowDxfId="243"/>
    <tableColumn id="13" xr3:uid="{47B0F9A6-920C-43DF-A14A-8F0C04A59C11}" name="Occupants (Pz)" totalsRowFunction="sum" dataDxfId="242" totalsRowDxfId="241">
      <calculatedColumnFormula>CEILING((M3/1000)*D3,1)</calculatedColumnFormula>
    </tableColumn>
    <tableColumn id="20" xr3:uid="{D88BB767-D9CE-4502-9AE5-38238841E676}" name="DIVERSITY (D)" dataDxfId="240" totalsRowDxfId="239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238" totalsRowDxfId="237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236" totalsRowDxfId="235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234" totalsRowDxfId="233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232" totalsRowDxfId="231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230" totalsRowDxfId="229"/>
    <tableColumn id="24" xr3:uid="{44A19890-0B61-48FE-AEE6-B4AF44D95889}" name="Zone OA (Voz)" dataDxfId="228" totalsRowDxfId="227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226" totalsRowDxfId="225"/>
    <tableColumn id="33" xr3:uid="{84D3A249-3F9E-4505-B5AC-4AF46EFA1A96}" name="CO2 SENSOR" dataDxfId="224" totalsRowDxfId="223">
      <calculatedColumnFormula>IF(Ahu_Ashrae_sheet15[[#This Row],[EXHAUST RECOVERY]]="YES",(IF(Ahu_Ashrae_sheet15[[#This Row],[AREA (FT²)]]&lt;(VLOOKUP(INPUT_OUTPUTS!$C$6,'ASHRAE Table'!Z2:AC21,MATCH((Ahu_Ashrae_sheet15[[#This Row],[OCCUPANT DENSITY
('#/1000 FT²)]]*Ahu_Ashrae_sheet15[[#This Row],[RP
(CFM/PER PERSON)]]),'ASHRAE Table'!Z2:AC2,1),FALSE)), "NO","PROVIDE CO2 SENSOR")),(IF(Ahu_Ashrae_sheet15[[#This Row],[AREA (FT²)]]&lt;(VLOOKUP(INPUT_OUTPUTS!$C$6,'ASHRAE Table'!V2:Y21,MATCH((Ahu_Ashrae_sheet15[[#This Row],[OCCUPANT DENSITY
('#/1000 FT²)]]*Ahu_Ashrae_sheet15[[#This Row],[RP
(CFM/PER PERSON)]]),'ASHRAE Table'!V2:Y2,1),FALSE)), "NOT REQUIRED","PROVIDE CO2 SENSOR")))</calculatedColumnFormula>
    </tableColumn>
    <tableColumn id="38" xr3:uid="{4FD9694B-3228-493F-A0BC-7381C760E767}" name="OS" dataDxfId="222" totalsRowDxfId="221">
      <calculatedColumnFormula array="1">INDEX(Ashrae90.1Vent[OS],MATCH(Ahu_Ashrae_sheet15[[#This Row],[Occupancy Category]]&amp;Ahu_Ashrae_sheet15[[#This Row],[Occupancy Subcategory]],Ashrae90.1Vent[OCCUPANCY CATEGORY]&amp;Ashrae90.1Vent[OCCUPANCY SUBCATEGORY],0))</calculatedColumnFormula>
    </tableColumn>
    <tableColumn id="37" xr3:uid="{1FFAD58F-B1CC-4422-9390-3E4F6D87B6FE}" name="MIN OA ALLOWABLE (WITH DCV)" totalsRowFunction="sum" dataDxfId="220" totalsRowDxfId="219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218" totalsRowDxfId="217">
      <calculatedColumnFormula>IF(Ahu_Ashrae_sheet15[[#This Row],[Exhaust Category]]="NA","NA",VLOOKUP(Ahu_Ashrae_sheet15[[#This Row],[Exhaust Category]],ASHRAE_EA_Table[[#All],[OCCUPANCY SUBCATEGORY]:[EXHAUST RATE PER AREA]],2))</calculatedColumnFormula>
    </tableColumn>
    <tableColumn id="19" xr3:uid="{4ED74037-DFDA-4E5B-81B4-B902AD475608}" name="EA RATE_x000a_(CFM/FT²)" dataDxfId="216" totalsRowDxfId="215">
      <calculatedColumnFormula>IF(Ahu_Ashrae_sheet15[[#This Row],[Exhaust Category]]="NA","NA",VLOOKUP(Ahu_Ashrae_sheet15[[#This Row],[Exhaust Category]],ASHRAE_EA_Table[[#All],[OCCUPANCY SUBCATEGORY]:[EXHAUST RATE PER AREA]],3))</calculatedColumnFormula>
    </tableColumn>
    <tableColumn id="28" xr3:uid="{9C99C5DB-489C-4002-B04A-B16D24ABF10C}" name="MIN ASHRAE EA_x000a_(CFM)" dataDxfId="214" totalsRowDxfId="213">
      <calculatedColumnFormula>IF(Ahu_Ashrae_sheet15[[#This Row],[EA RATE
(CFM/UNIT)]]="NA",Ahu_Ashrae_sheet15[[#This Row],[EA RATE
(CFM/FT²)]]*Ahu_Ashrae_sheet15[[#This Row],[AREA (FT²)]],Ahu_Ashrae_sheet15[[#This Row],[Exhaust Units]]*Ahu_Ashrae_sheet15[[#This Row],[EA RATE
(CFM/UNIT)]])</calculatedColumnFormula>
    </tableColumn>
    <tableColumn id="23" xr3:uid="{0CD81329-9529-4F5D-8D4B-B139A3800A5C}" name="DESIGN VAV MIN SA(CFM)" dataDxfId="212" totalsRowDxfId="211">
      <calculatedColumnFormula>IF((Ahu_Ashrae_sheet15[[#This Row],[DESIGN VAV MAX SA(CFM)]]*0.3)&lt;(Ahu_Ashrae_sheet15[[#This Row],[Zone OA (Voz)]]*1.5),(Ahu_Ashrae_sheet15[[#This Row],[Zone OA (Voz)]]*1.5),(Ahu_Ashrae_sheet15[[#This Row],[DESIGN VAV MAX SA(CFM)]]*0.3))</calculatedColumnFormula>
    </tableColumn>
    <tableColumn id="22" xr3:uid="{C5A8A555-88AC-459F-9F83-83E50B8FB331}" name="DESIGN VAV MAX SA(CFM)" totalsRowFunction="sum" dataDxfId="210" totalsRowDxfId="209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208" totalsRowDxfId="207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206" totalsRowDxfId="205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204" totalsRowDxfId="203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202" totalsRowDxfId="201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M2:BE41" totalsRowCount="1" headerRowDxfId="200" dataDxfId="198" totalsRowDxfId="196" headerRowBorderDxfId="199" tableBorderDxfId="197" totalsRowBorderDxfId="195">
  <autoFilter ref="AM2:BE40" xr:uid="{13D566E9-CE9D-4920-9557-440C01DE1A40}"/>
  <tableColumns count="19">
    <tableColumn id="1" xr3:uid="{F4100601-C8F7-4EDA-B9ED-EC5144A4622B}" name="ZONE" totalsRowLabel="Total" dataDxfId="194" totalsRowDxfId="193"/>
    <tableColumn id="2" xr3:uid="{DE711A04-3BAB-4400-94F9-9EA1A3D93724}" name="BASIS OF DESIGN _x000a_MANUFACTURER" dataDxfId="192" totalsRowDxfId="191"/>
    <tableColumn id="3" xr3:uid="{5EFC2877-1E13-4BC7-9997-881F4F723359}" name="DESCRIPTION" dataDxfId="190" totalsRowDxfId="189"/>
    <tableColumn id="18" xr3:uid="{4BD82A36-B59C-4680-BDCB-C1D5CE6D8206}" name="MIN VAV_x000a_(CFM)" dataDxfId="188" totalsRowDxfId="187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186" totalsRowDxfId="185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184" totalsRowDxfId="183">
      <calculatedColumnFormula>IFERROR((VLOOKUP(AHU1_CAV_SCHEDULE4451416[[#This Row],[MAX VAV
(CFM)]],'DO NOT TOUCH'!$P$9:$Q$14,2,TRUE)),"TBD")</calculatedColumnFormula>
    </tableColumn>
    <tableColumn id="6" xr3:uid="{7BD7D03A-0062-4AE1-A137-B7A43FB31DE2}" name="MAX TOTAL VAV PD _x000a_(IN W.G.)" dataDxfId="182" totalsRowDxfId="181">
      <calculatedColumnFormula>AS2</calculatedColumnFormula>
    </tableColumn>
    <tableColumn id="19" xr3:uid="{5F3FB950-6412-4753-A80D-B928E2E9B62C}" name="HEATING AIRFLOW _x000a_(CFM)" dataDxfId="180" totalsRowDxfId="179">
      <calculatedColumnFormula>AHU1_CAV_SCHEDULE4451416[[#This Row],[MIN VAV
(CFM)]]</calculatedColumnFormula>
    </tableColumn>
    <tableColumn id="7" xr3:uid="{252B9BF8-54B1-493D-9221-BD358C10E426}" name="EWT" dataDxfId="178" totalsRowDxfId="177">
      <calculatedColumnFormula>INPUT_OUTPUTS!$C$16</calculatedColumnFormula>
    </tableColumn>
    <tableColumn id="8" xr3:uid="{E16AE38C-7652-4771-A602-4043B581B8CE}" name="DESIGN _x000a_LWT" dataDxfId="176" totalsRowDxfId="175">
      <calculatedColumnFormula>INPUT_OUTPUTS!$C$17</calculatedColumnFormula>
    </tableColumn>
    <tableColumn id="9" xr3:uid="{494A5CA5-FC2F-4016-9EDA-AAD0074B0288}" name="EAT" dataDxfId="174" totalsRowDxfId="173">
      <calculatedColumnFormula>AW2</calculatedColumnFormula>
    </tableColumn>
    <tableColumn id="10" xr3:uid="{7B534454-B13B-4823-B389-688DB1FFC0C2}" name="DESIGN _x000a_LAT" dataDxfId="172" totalsRowDxfId="171">
      <calculatedColumnFormula>AX2</calculatedColumnFormula>
    </tableColumn>
    <tableColumn id="11" xr3:uid="{58C190FA-9339-4475-8FE4-B94254008B39}" name="MIN MBH" totalsRowFunction="sum" dataDxfId="170" totalsRowDxfId="169">
      <calculatedColumnFormula>MROUND((1.08*(AX3-AW3)*#REF!)/1000,0.1)</calculatedColumnFormula>
    </tableColumn>
    <tableColumn id="12" xr3:uid="{E8FC4A04-BE1B-467E-A94D-1BC0BAFF2FAC}" name="AGPM" dataDxfId="168" totalsRowDxfId="167">
      <calculatedColumnFormula>(AY3*1000)/(500*(AU3-AV3))</calculatedColumnFormula>
    </tableColumn>
    <tableColumn id="13" xr3:uid="{AAA466EF-B5D0-49B1-A9E7-E101103D64B4}" name="GPM" totalsRowFunction="sum" dataDxfId="166" totalsRowDxfId="165">
      <calculatedColumnFormula>IF(AZ3&lt;0.5,0.5,AZ3)</calculatedColumnFormula>
    </tableColumn>
    <tableColumn id="14" xr3:uid="{8B37A8C5-27D0-4D67-9351-B38D9137444F}" name="MAX WATER _x000a_PD (FT)" dataDxfId="164" totalsRowDxfId="163">
      <calculatedColumnFormula>BB2</calculatedColumnFormula>
    </tableColumn>
    <tableColumn id="15" xr3:uid="{CE1AD8A3-6CC9-4182-A598-A96DC629A332}" name="OPER _x000a_WEIGHT_x000a_(LBS)" dataDxfId="162" totalsRowDxfId="161">
      <calculatedColumnFormula>IFERROR((_xlfn.XLOOKUP(AR3,'DO NOT TOUCH'!$Q$9:$Q$14,'DO NOT TOUCH'!$R$9:$R$14,)),"TBD")</calculatedColumnFormula>
    </tableColumn>
    <tableColumn id="16" xr3:uid="{46061A8B-CF07-404A-89CF-B3DC053B9D47}" name="MTG _x000a_DETAIL" dataDxfId="160" totalsRowDxfId="159">
      <calculatedColumnFormula>INPUT_OUTPUTS!$C$19</calculatedColumnFormula>
    </tableColumn>
    <tableColumn id="17" xr3:uid="{AFA49697-1C1E-4B56-9982-63047E73069E}" name="REMARKS" dataDxfId="158" totalsRowDxfId="157">
      <calculatedColumnFormula>BE2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1" totalsRowShown="0" headerRowDxfId="156" dataDxfId="155" dataCellStyle="Normal 2">
  <autoFilter ref="A1:G91" xr:uid="{F45BA8B8-8715-43AE-BC90-D77409CD4392}"/>
  <tableColumns count="7">
    <tableColumn id="1" xr3:uid="{68E47545-A150-4707-8B94-C1130BF1A737}" name="OCCUPANCY CATEGORY" dataDxfId="154"/>
    <tableColumn id="2" xr3:uid="{5B165886-5845-4A98-97EC-56CB62B4803D}" name="OCCUPANCY SUBCATEGORY" dataDxfId="153"/>
    <tableColumn id="3" xr3:uid="{9733D35C-867E-4C4B-8F2B-E086ECB58CD3}" name="RP" dataDxfId="152" dataCellStyle="Normal 2"/>
    <tableColumn id="4" xr3:uid="{8749CE45-D3E3-463B-A943-59B6B0450B44}" name="RA" dataDxfId="151" dataCellStyle="Normal 2"/>
    <tableColumn id="5" xr3:uid="{CD462116-5E1B-4F25-96C0-8DB927D62FAD}" name="OCCUPANT DENSITY" dataDxfId="150" dataCellStyle="Normal 2"/>
    <tableColumn id="6" xr3:uid="{17ED933E-614D-45F6-B2C6-C5FD970DCCC2}" name="AIR CLASS" dataDxfId="149" dataCellStyle="Normal 2"/>
    <tableColumn id="7" xr3:uid="{8990C0AF-57F2-4ABC-A0E1-FC88BC4B024A}" name="OS" dataDxfId="148" dataCellStyle="Normal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O37" totalsRowShown="0" headerRowDxfId="147" dataDxfId="146" dataCellStyle="Normal 2">
  <autoFilter ref="J1:O37" xr:uid="{FC3692C1-EB92-41FB-9444-5DAEF8591757}"/>
  <tableColumns count="6">
    <tableColumn id="1" xr3:uid="{3388F3D2-8E05-4D17-8907-36872544E020}" name="OCCUPANCY CATEGORY" dataDxfId="145" dataCellStyle="Normal 2"/>
    <tableColumn id="2" xr3:uid="{E1FB0B28-C444-4EA6-817D-1A1572A48015}" name="OCCUPANCY SUBCATEGORY" dataDxfId="144" dataCellStyle="Normal 2"/>
    <tableColumn id="3" xr3:uid="{FF109B0F-3E01-4002-A883-C4CDF4B3E8CA}" name="EXHAUST RATE PER UNIT" dataDxfId="143" dataCellStyle="Normal 2"/>
    <tableColumn id="4" xr3:uid="{9EBCCC92-92E9-4FE1-B17B-CA56536298A4}" name="EXHAUST RATE PER AREA" dataDxfId="142" dataCellStyle="Normal 2"/>
    <tableColumn id="5" xr3:uid="{0075CAEE-1CDF-4D4F-8B21-A29737198283}" name="NOTES" dataDxfId="141" dataCellStyle="Normal 2"/>
    <tableColumn id="6" xr3:uid="{73E3E663-31ED-4991-8F25-4C660DE5C8CC}" name="AIR CLASS " dataDxfId="140" dataCellStyle="Normal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39" tableBorderDxfId="138">
  <autoFilter ref="A1:J127" xr:uid="{4540C5B7-7ED8-1346-9688-BBD6F913E0FF}"/>
  <tableColumns count="10">
    <tableColumn id="1" xr3:uid="{7BF2CBE1-A9FA-634B-9D43-EBA146167592}" name="Area Designation" dataDxfId="137"/>
    <tableColumn id="2" xr3:uid="{1460B4E9-9118-944C-9857-493DDFFE200A}" name="Air Balance Rerationship to Adjacent Areas" dataDxfId="136"/>
    <tableColumn id="3" xr3:uid="{25BE9BDC-FBB0-7A47-894B-42F72D14066C}" name="Minimum Air Changes of Outdoor Air per Hour" dataDxfId="135"/>
    <tableColumn id="4" xr3:uid="{82F49D63-6B08-DA45-8A60-1FF0FD6AC5B9}" name="Minimum Total Air Changes per Hour" dataDxfId="134"/>
    <tableColumn id="5" xr3:uid="{4FDAD794-62F4-8F49-87E5-EA2422234CCC}" name="All Air Exhausted Directly To Outdoors_x000a_(j)" dataDxfId="133"/>
    <tableColumn id="6" xr3:uid="{B9C49FC8-C251-2342-AE20-E81B274FAA4A}" name="Air Recirculated by Means of Room Units (a)" dataDxfId="132"/>
    <tableColumn id="7" xr3:uid="{E57842AF-587D-1D42-B911-B576DF543C66}" name="Design Relative Humidity (k)%" dataDxfId="131"/>
    <tableColumn id="8" xr3:uid="{BE19DA4C-3671-2040-8AE0-8608C571F1B5}" name="MIN Design Temperature(l)" dataDxfId="130"/>
    <tableColumn id="10" xr3:uid="{40B13846-A1DF-B641-AA80-2CDFCA140F33}" name="MAX Design Temperature" dataDxfId="129"/>
    <tableColumn id="9" xr3:uid="{D8B11080-DB40-234A-BEF6-09CC488530B9}" name="Notes" dataDxfId="12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Q2" dT="2023-04-05T23:02:22.87" personId="{9818FCBF-2832-490A-8648-B86041484521}" id="{9CA4B69A-D90F-4871-8F75-C811F2AC2E34}">
    <text>Select Value from ASHRAE Table 6-4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O2" dT="2023-04-25T00:25:17.94" personId="{9818FCBF-2832-490A-8648-B86041484521}" id="{37A41AF8-43E0-4E53-97C1-7B232202F572}">
    <text>To be inputted Manually if the total occupancy seems high</text>
  </threadedComment>
  <threadedComment ref="V2" dT="2023-04-25T00:26:28.36" personId="{9818FCBF-2832-490A-8648-B86041484521}" id="{6AA7AC04-FAAA-4D66-BDEA-A5CAE99FC69E}">
    <text>Pick Based on the zone efficiency table in ASHRAE 62.1</text>
  </threadedComment>
  <threadedComment ref="AM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2" dT="2023-05-23T21:39:14.56" personId="{9818FCBF-2832-490A-8648-B86041484521}" id="{60FD81FF-5585-4754-855D-E2AAF680D86C}">
    <text>Make this one column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5.vml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6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1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tabSelected="1" zoomScale="117" zoomScaleNormal="117" workbookViewId="0">
      <pane xSplit="25" ySplit="33" topLeftCell="Z61" activePane="bottomRight" state="frozen"/>
      <selection pane="topRight" activeCell="Z1" sqref="Z1"/>
      <selection pane="bottomLeft" activeCell="A34" sqref="A34"/>
      <selection pane="bottomRight" activeCell="J16" sqref="J1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80" t="s">
        <v>217</v>
      </c>
      <c r="C2" s="313" t="s">
        <v>219</v>
      </c>
      <c r="D2" s="314"/>
      <c r="E2" s="80" t="s">
        <v>216</v>
      </c>
      <c r="F2" s="315"/>
      <c r="G2" s="314"/>
    </row>
    <row r="3" spans="2:25">
      <c r="B3" s="16"/>
      <c r="C3" s="79"/>
      <c r="D3" s="79"/>
      <c r="V3" s="16" t="s">
        <v>79</v>
      </c>
      <c r="W3" s="16" t="s">
        <v>240</v>
      </c>
      <c r="X3" s="16" t="s">
        <v>243</v>
      </c>
      <c r="Y3" s="16" t="s">
        <v>250</v>
      </c>
    </row>
    <row r="4" spans="2:25">
      <c r="B4" s="316" t="s">
        <v>193</v>
      </c>
      <c r="C4" s="317"/>
      <c r="D4" s="317"/>
      <c r="E4" s="317"/>
      <c r="F4" s="317"/>
      <c r="G4" s="318"/>
      <c r="J4" s="319" t="s">
        <v>195</v>
      </c>
      <c r="K4" s="319"/>
      <c r="L4" s="319"/>
      <c r="V4" s="16" t="s">
        <v>225</v>
      </c>
      <c r="W4" s="16" t="s">
        <v>241</v>
      </c>
      <c r="X4" s="16" t="s">
        <v>244</v>
      </c>
      <c r="Y4" s="16" t="s">
        <v>251</v>
      </c>
    </row>
    <row r="5" spans="2:25">
      <c r="B5" s="320" t="s">
        <v>218</v>
      </c>
      <c r="C5" s="320"/>
      <c r="D5" s="320"/>
      <c r="E5" s="320"/>
      <c r="F5" s="320"/>
      <c r="G5" s="320"/>
      <c r="S5" s="16"/>
      <c r="W5" s="16" t="s">
        <v>242</v>
      </c>
      <c r="X5" s="16" t="s">
        <v>245</v>
      </c>
    </row>
    <row r="6" spans="2:25">
      <c r="B6" s="60" t="s">
        <v>650</v>
      </c>
      <c r="C6" s="114" t="s">
        <v>664</v>
      </c>
      <c r="D6" s="3"/>
      <c r="E6" s="3"/>
      <c r="F6" s="2"/>
      <c r="J6" s="310" t="s">
        <v>215</v>
      </c>
      <c r="K6" s="311"/>
      <c r="L6" s="312"/>
      <c r="S6" s="16"/>
      <c r="X6" s="16" t="s">
        <v>246</v>
      </c>
    </row>
    <row r="7" spans="2:25">
      <c r="B7" s="319" t="s">
        <v>47</v>
      </c>
      <c r="C7" s="319"/>
      <c r="D7" s="319"/>
      <c r="E7" s="319" t="s">
        <v>48</v>
      </c>
      <c r="F7" s="319"/>
      <c r="G7" s="319"/>
      <c r="J7" s="76" t="s">
        <v>196</v>
      </c>
      <c r="K7" s="77">
        <f>Table7[[#Totals],[(Tons)34]]</f>
        <v>0</v>
      </c>
      <c r="L7" s="78" t="s">
        <v>197</v>
      </c>
      <c r="X7" s="16" t="s">
        <v>247</v>
      </c>
    </row>
    <row r="8" spans="2:25">
      <c r="B8" s="321" t="s">
        <v>49</v>
      </c>
      <c r="C8" s="114">
        <v>90</v>
      </c>
      <c r="D8" s="60" t="s">
        <v>5</v>
      </c>
      <c r="E8" s="321" t="s">
        <v>38</v>
      </c>
      <c r="F8" s="304">
        <v>31</v>
      </c>
      <c r="G8" s="321" t="s">
        <v>50</v>
      </c>
      <c r="J8" s="76" t="s">
        <v>258</v>
      </c>
      <c r="K8" s="77">
        <f>Table7[[#Totals],[GPM MAX]]</f>
        <v>0</v>
      </c>
      <c r="L8" s="78" t="s">
        <v>201</v>
      </c>
      <c r="X8" s="16" t="s">
        <v>248</v>
      </c>
    </row>
    <row r="9" spans="2:25">
      <c r="B9" s="321"/>
      <c r="C9" s="114">
        <v>65</v>
      </c>
      <c r="D9" s="60" t="s">
        <v>22</v>
      </c>
      <c r="E9" s="321"/>
      <c r="F9" s="305"/>
      <c r="G9" s="321"/>
      <c r="J9" s="76" t="s">
        <v>200</v>
      </c>
      <c r="K9" s="77" cm="1">
        <f t="array" ref="K9">K8/Table1[number of CHW Pumps]</f>
        <v>0</v>
      </c>
      <c r="L9" s="78" t="s">
        <v>201</v>
      </c>
      <c r="X9" s="16" t="s">
        <v>249</v>
      </c>
    </row>
    <row r="10" spans="2:25">
      <c r="B10" s="321" t="s">
        <v>206</v>
      </c>
      <c r="C10" s="115">
        <v>80</v>
      </c>
      <c r="D10" s="60" t="s">
        <v>50</v>
      </c>
      <c r="E10" s="321" t="s">
        <v>60</v>
      </c>
      <c r="F10" s="114"/>
      <c r="G10" s="60" t="s">
        <v>50</v>
      </c>
      <c r="J10" s="76" t="s">
        <v>198</v>
      </c>
      <c r="K10" s="77">
        <f>Table7[[#Totals],[(mbh)46]]</f>
        <v>0</v>
      </c>
      <c r="L10" s="78" t="s">
        <v>199</v>
      </c>
    </row>
    <row r="11" spans="2:25">
      <c r="B11" s="321"/>
      <c r="C11" s="115">
        <v>75</v>
      </c>
      <c r="D11" s="60" t="s">
        <v>22</v>
      </c>
      <c r="E11" s="321"/>
      <c r="F11" s="114"/>
      <c r="G11" s="60" t="s">
        <v>51</v>
      </c>
      <c r="J11" s="76" t="s">
        <v>202</v>
      </c>
      <c r="K11" s="77">
        <f>Table7[[#Totals],[(˚F db)46]]</f>
        <v>0</v>
      </c>
      <c r="L11" s="78" t="s">
        <v>201</v>
      </c>
    </row>
    <row r="12" spans="2:25">
      <c r="B12" s="2"/>
      <c r="D12" s="3"/>
      <c r="E12" s="3"/>
      <c r="J12" s="61"/>
      <c r="K12" s="61"/>
      <c r="L12" s="61"/>
    </row>
    <row r="13" spans="2:25">
      <c r="B13" s="319" t="s">
        <v>194</v>
      </c>
      <c r="C13" s="319"/>
      <c r="D13" s="319"/>
    </row>
    <row r="14" spans="2:25">
      <c r="B14" s="75" t="s">
        <v>131</v>
      </c>
      <c r="C14" s="115">
        <v>42</v>
      </c>
      <c r="D14" s="60" t="s">
        <v>132</v>
      </c>
    </row>
    <row r="15" spans="2:25">
      <c r="B15" s="75" t="s">
        <v>133</v>
      </c>
      <c r="C15" s="115">
        <v>52</v>
      </c>
      <c r="D15" s="60" t="s">
        <v>132</v>
      </c>
    </row>
    <row r="16" spans="2:25">
      <c r="B16" s="75" t="s">
        <v>134</v>
      </c>
      <c r="C16" s="115">
        <v>140</v>
      </c>
      <c r="D16" s="60" t="s">
        <v>132</v>
      </c>
    </row>
    <row r="17" spans="2:20">
      <c r="B17" s="75" t="s">
        <v>135</v>
      </c>
      <c r="C17" s="115">
        <v>100</v>
      </c>
      <c r="D17" s="60" t="s">
        <v>132</v>
      </c>
    </row>
    <row r="18" spans="2:20">
      <c r="B18" s="75" t="s">
        <v>136</v>
      </c>
      <c r="C18" s="116">
        <v>1.2</v>
      </c>
      <c r="D18" s="60" t="s">
        <v>137</v>
      </c>
    </row>
    <row r="19" spans="2:20">
      <c r="B19" s="75" t="s">
        <v>141</v>
      </c>
      <c r="C19" s="116"/>
      <c r="D19" s="60" t="s">
        <v>123</v>
      </c>
      <c r="H19" s="61"/>
      <c r="I19" s="61"/>
      <c r="J19" s="61"/>
      <c r="K19" s="61"/>
      <c r="L19" s="61"/>
    </row>
    <row r="20" spans="2:20">
      <c r="H20" s="61"/>
      <c r="I20" s="61"/>
      <c r="J20" s="309" t="s">
        <v>220</v>
      </c>
      <c r="K20" s="309"/>
      <c r="L20" s="61"/>
    </row>
    <row r="21" spans="2:20">
      <c r="H21" s="61"/>
      <c r="I21" s="61"/>
      <c r="J21" s="61"/>
      <c r="K21" s="61"/>
      <c r="L21" s="61"/>
    </row>
    <row r="23" spans="2:20">
      <c r="B23" s="306" t="s">
        <v>252</v>
      </c>
      <c r="C23" s="307"/>
      <c r="D23" s="307"/>
      <c r="E23" s="307"/>
      <c r="F23" s="307"/>
      <c r="G23" s="307"/>
      <c r="H23" s="307"/>
      <c r="I23" s="307"/>
      <c r="J23" s="307"/>
      <c r="K23" s="307"/>
      <c r="L23" s="307"/>
      <c r="M23" s="307"/>
      <c r="N23" s="307"/>
      <c r="O23" s="307"/>
      <c r="P23" s="307"/>
      <c r="Q23" s="307"/>
      <c r="R23" s="307"/>
      <c r="S23" s="307"/>
      <c r="T23" s="308"/>
    </row>
    <row r="24" spans="2:20"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</row>
    <row r="25" spans="2:20" ht="22.5">
      <c r="B25" s="84" t="s">
        <v>222</v>
      </c>
      <c r="C25" s="82" t="s">
        <v>239</v>
      </c>
      <c r="D25" s="82" t="s">
        <v>238</v>
      </c>
      <c r="E25" s="82" t="s">
        <v>221</v>
      </c>
      <c r="F25" s="82" t="s">
        <v>223</v>
      </c>
      <c r="G25" s="82" t="s">
        <v>224</v>
      </c>
      <c r="H25" s="82" t="s">
        <v>226</v>
      </c>
      <c r="I25" s="82" t="s">
        <v>227</v>
      </c>
      <c r="J25" s="82" t="s">
        <v>228</v>
      </c>
      <c r="K25" s="82" t="s">
        <v>229</v>
      </c>
      <c r="L25" s="82" t="s">
        <v>230</v>
      </c>
      <c r="M25" s="82" t="s">
        <v>231</v>
      </c>
      <c r="N25" s="82" t="s">
        <v>232</v>
      </c>
      <c r="O25" s="82" t="s">
        <v>233</v>
      </c>
      <c r="P25" s="82" t="s">
        <v>234</v>
      </c>
      <c r="Q25" s="82" t="s">
        <v>260</v>
      </c>
      <c r="R25" s="82" t="s">
        <v>235</v>
      </c>
      <c r="S25" s="82" t="s">
        <v>236</v>
      </c>
      <c r="T25" s="83" t="s">
        <v>237</v>
      </c>
    </row>
    <row r="26" spans="2:20" hidden="1">
      <c r="B26" s="85"/>
      <c r="C26" s="115" t="s">
        <v>241</v>
      </c>
      <c r="D26" s="117" t="s">
        <v>240</v>
      </c>
      <c r="E26" s="117" t="s">
        <v>79</v>
      </c>
      <c r="F26" s="117" t="s">
        <v>79</v>
      </c>
      <c r="G26" s="117" t="s">
        <v>79</v>
      </c>
      <c r="H26" s="117" t="s">
        <v>79</v>
      </c>
      <c r="I26" s="117" t="s">
        <v>79</v>
      </c>
      <c r="J26" s="117" t="s">
        <v>79</v>
      </c>
      <c r="K26" s="117" t="s">
        <v>79</v>
      </c>
      <c r="L26" s="117" t="s">
        <v>225</v>
      </c>
      <c r="M26" s="117" t="s">
        <v>225</v>
      </c>
      <c r="N26" s="117" t="s">
        <v>79</v>
      </c>
      <c r="O26" s="117" t="s">
        <v>225</v>
      </c>
      <c r="P26" s="117" t="s">
        <v>243</v>
      </c>
      <c r="Q26" s="117" t="s">
        <v>249</v>
      </c>
      <c r="R26" s="117" t="s">
        <v>79</v>
      </c>
      <c r="S26" s="117" t="s">
        <v>225</v>
      </c>
      <c r="T26" s="118" t="s">
        <v>225</v>
      </c>
    </row>
    <row r="27" spans="2:20">
      <c r="K27" s="61"/>
      <c r="L27" s="61"/>
      <c r="M27" s="61"/>
      <c r="N27" s="61"/>
    </row>
    <row r="29" spans="2:20">
      <c r="B29" s="111" t="s">
        <v>254</v>
      </c>
      <c r="C29" s="111" t="s">
        <v>257</v>
      </c>
      <c r="D29" s="111" t="s">
        <v>255</v>
      </c>
      <c r="E29" s="112" t="s">
        <v>256</v>
      </c>
    </row>
    <row r="30" spans="2:20">
      <c r="B30" s="112">
        <v>2</v>
      </c>
      <c r="C30" s="113">
        <v>0.7</v>
      </c>
      <c r="D30" s="112">
        <v>2</v>
      </c>
      <c r="E30" s="112"/>
    </row>
  </sheetData>
  <mergeCells count="17">
    <mergeCell ref="E10:E11"/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</mergeCells>
  <phoneticPr fontId="8" type="noConversion"/>
  <dataValidations disablePrompts="1"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712E79-1CC0-4B34-AE6D-AA6447E4CFD4}">
          <x14:formula1>
            <xm:f>'ASHRAE Table'!$V$3:$V$21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K23" sqref="C23:K26"/>
    </sheetView>
  </sheetViews>
  <sheetFormatPr defaultColWidth="8.85546875" defaultRowHeight="15"/>
  <cols>
    <col min="1" max="1" width="2.85546875" style="88" customWidth="1"/>
    <col min="2" max="2" width="12.7109375" style="88" customWidth="1"/>
    <col min="3" max="3" width="9.85546875" style="89" bestFit="1" customWidth="1"/>
    <col min="4" max="4" width="14" style="90" bestFit="1" customWidth="1"/>
    <col min="5" max="5" width="16" style="89" bestFit="1" customWidth="1"/>
    <col min="6" max="6" width="9.85546875" style="89" bestFit="1" customWidth="1"/>
    <col min="7" max="7" width="12.7109375" style="88" hidden="1" customWidth="1"/>
    <col min="8" max="8" width="20.7109375" style="91" bestFit="1" customWidth="1"/>
    <col min="9" max="9" width="15.85546875" style="88" bestFit="1" customWidth="1"/>
    <col min="10" max="10" width="34.85546875" style="88" bestFit="1" customWidth="1"/>
    <col min="11" max="11" width="34.85546875" style="91" bestFit="1" customWidth="1"/>
    <col min="12" max="12" width="29.140625" style="88" bestFit="1" customWidth="1"/>
    <col min="13" max="13" width="30.7109375" style="88" customWidth="1"/>
    <col min="14" max="15" width="25.85546875" style="91" bestFit="1" customWidth="1"/>
    <col min="16" max="16" width="25.85546875" style="88" bestFit="1" customWidth="1"/>
    <col min="17" max="17" width="17.7109375" style="88" bestFit="1" customWidth="1"/>
    <col min="18" max="18" width="18" style="88" customWidth="1"/>
    <col min="19" max="19" width="22.85546875" style="91" customWidth="1"/>
    <col min="20" max="20" width="16.42578125" style="91" customWidth="1"/>
    <col min="21" max="21" width="19.140625" style="89" bestFit="1" customWidth="1"/>
    <col min="22" max="22" width="16.7109375" style="91" bestFit="1" customWidth="1"/>
    <col min="23" max="23" width="18" style="92" customWidth="1"/>
    <col min="24" max="24" width="19.140625" style="88" bestFit="1" customWidth="1"/>
    <col min="25" max="25" width="15.85546875" style="89" bestFit="1" customWidth="1"/>
    <col min="26" max="26" width="15.85546875" style="89" customWidth="1"/>
    <col min="27" max="27" width="9.42578125" style="89" customWidth="1"/>
    <col min="28" max="28" width="22.42578125" style="89" bestFit="1" customWidth="1"/>
    <col min="29" max="29" width="13.28515625" style="89" bestFit="1" customWidth="1"/>
    <col min="30" max="30" width="18.42578125" style="93" bestFit="1" customWidth="1"/>
    <col min="31" max="31" width="22" style="93" bestFit="1" customWidth="1"/>
    <col min="32" max="32" width="7.28515625" style="93" customWidth="1"/>
    <col min="33" max="33" width="11.85546875" style="94" bestFit="1" customWidth="1"/>
    <col min="34" max="34" width="13.140625" style="94" bestFit="1" customWidth="1"/>
    <col min="35" max="35" width="20" style="94" bestFit="1" customWidth="1"/>
    <col min="36" max="36" width="8.42578125" style="88" hidden="1" customWidth="1"/>
    <col min="37" max="37" width="15.42578125" style="88" bestFit="1" customWidth="1"/>
    <col min="38" max="38" width="10.85546875" style="88" bestFit="1" customWidth="1"/>
    <col min="39" max="39" width="15.42578125" style="88" bestFit="1" customWidth="1"/>
    <col min="40" max="40" width="5.85546875" style="88" hidden="1" customWidth="1"/>
    <col min="41" max="41" width="13.5703125" style="88" bestFit="1" customWidth="1"/>
    <col min="42" max="42" width="12.140625" style="88" bestFit="1" customWidth="1"/>
    <col min="43" max="43" width="15" style="88" bestFit="1" customWidth="1"/>
    <col min="44" max="44" width="15.7109375" style="88" bestFit="1" customWidth="1"/>
    <col min="45" max="45" width="14.5703125" style="88" bestFit="1" customWidth="1"/>
    <col min="46" max="46" width="18.28515625" style="88" bestFit="1" customWidth="1"/>
    <col min="47" max="47" width="8.85546875" style="88"/>
    <col min="48" max="48" width="0" style="88" hidden="1" customWidth="1"/>
    <col min="49" max="51" width="9.28515625" style="88" hidden="1" customWidth="1"/>
    <col min="52" max="54" width="0" style="88" hidden="1" customWidth="1"/>
    <col min="55" max="16384" width="8.85546875" style="88"/>
  </cols>
  <sheetData>
    <row r="1" spans="1:54">
      <c r="AW1" s="88" t="s">
        <v>211</v>
      </c>
      <c r="AX1" s="88" t="s">
        <v>212</v>
      </c>
      <c r="AY1" s="88" t="s">
        <v>213</v>
      </c>
      <c r="BA1" s="88" t="s">
        <v>30</v>
      </c>
      <c r="BB1" s="88" t="s">
        <v>214</v>
      </c>
    </row>
    <row r="2" spans="1:54" ht="18" thickBot="1">
      <c r="AW2" s="14">
        <f>ROUNDUP(T18*INPUT_OUTPUTS!$C$18,-2)</f>
        <v>5100</v>
      </c>
      <c r="AX2" s="14">
        <f>ROUNDUP(U18*INPUT_OUTPUTS!$C$18,-2)</f>
        <v>4500</v>
      </c>
      <c r="AY2" s="13">
        <f>ROUNDUP((N18*INPUT_OUTPUTS!C18)+Y4,-2)</f>
        <v>1600</v>
      </c>
      <c r="BA2" s="95">
        <f>AHU1_CAV_SCHEDULE4411[[#Totals],[GPM]]</f>
        <v>19</v>
      </c>
      <c r="BB2" s="96">
        <f>AHU1_CAV_SCHEDULE4411[[#Totals],[MIN MBH]]</f>
        <v>0</v>
      </c>
    </row>
    <row r="3" spans="1:54" ht="15.75" customHeight="1">
      <c r="C3" s="88"/>
      <c r="H3" s="88"/>
      <c r="K3" s="88"/>
      <c r="N3" s="88"/>
      <c r="O3" s="88"/>
      <c r="S3" s="88"/>
      <c r="T3" s="88"/>
      <c r="U3" s="88"/>
      <c r="V3" s="88"/>
      <c r="W3" s="97"/>
      <c r="Y3" s="88"/>
      <c r="Z3" s="88"/>
      <c r="AA3" s="88"/>
    </row>
    <row r="4" spans="1:54" ht="15.75">
      <c r="B4" s="91"/>
      <c r="C4" s="91"/>
      <c r="D4" s="91"/>
      <c r="E4" s="91"/>
      <c r="F4" s="91"/>
      <c r="G4" s="91"/>
      <c r="I4" s="91"/>
      <c r="J4" s="91"/>
      <c r="L4" s="91"/>
      <c r="M4" s="91"/>
      <c r="P4" s="91"/>
      <c r="Q4" s="91"/>
      <c r="R4" s="91"/>
      <c r="U4" s="91"/>
      <c r="W4" s="19" t="s">
        <v>253</v>
      </c>
      <c r="X4" s="122">
        <f>(AY2/AX2)*100</f>
        <v>35.555555555555557</v>
      </c>
      <c r="Y4" s="336">
        <v>0</v>
      </c>
      <c r="Z4" s="336"/>
      <c r="AA4" s="88"/>
    </row>
    <row r="5" spans="1:54">
      <c r="B5" s="358" t="s">
        <v>57</v>
      </c>
      <c r="C5" s="359"/>
      <c r="D5" s="359"/>
      <c r="E5" s="359"/>
      <c r="F5" s="359"/>
      <c r="G5" s="359"/>
      <c r="H5" s="360"/>
      <c r="I5" s="358" t="s">
        <v>58</v>
      </c>
      <c r="J5" s="359"/>
      <c r="K5" s="359"/>
      <c r="L5" s="359"/>
      <c r="M5" s="359"/>
      <c r="N5" s="359"/>
      <c r="O5" s="359"/>
      <c r="P5" s="359"/>
      <c r="Q5" s="359"/>
      <c r="R5" s="360"/>
      <c r="S5" s="358" t="s">
        <v>56</v>
      </c>
      <c r="T5" s="359"/>
      <c r="U5" s="359"/>
      <c r="V5" s="360"/>
      <c r="W5" s="357"/>
      <c r="X5" s="361" t="s">
        <v>55</v>
      </c>
      <c r="Y5" s="362"/>
      <c r="Z5" s="363"/>
      <c r="AD5" s="331" t="s">
        <v>74</v>
      </c>
      <c r="AE5" s="331"/>
      <c r="AF5" s="331"/>
      <c r="AG5" s="331"/>
      <c r="AH5" s="331"/>
      <c r="AI5" s="331"/>
      <c r="AJ5" s="331"/>
      <c r="AK5" s="331"/>
      <c r="AL5" s="331"/>
      <c r="AM5" s="331"/>
      <c r="AN5" s="331"/>
      <c r="AO5" s="331"/>
      <c r="AP5" s="331"/>
      <c r="AQ5" s="331"/>
      <c r="AR5" s="331"/>
      <c r="AS5" s="331"/>
      <c r="AT5" s="331"/>
    </row>
    <row r="6" spans="1:54" s="101" customFormat="1" ht="53.1" customHeight="1">
      <c r="A6" s="98"/>
      <c r="B6" s="364" t="s">
        <v>80</v>
      </c>
      <c r="C6" s="365" t="s">
        <v>6</v>
      </c>
      <c r="D6" s="366" t="s">
        <v>691</v>
      </c>
      <c r="E6" s="366" t="s">
        <v>692</v>
      </c>
      <c r="F6" s="366" t="s">
        <v>0</v>
      </c>
      <c r="G6" s="367" t="s">
        <v>28</v>
      </c>
      <c r="H6" s="367" t="s">
        <v>689</v>
      </c>
      <c r="I6" s="366" t="s">
        <v>693</v>
      </c>
      <c r="J6" s="366" t="s">
        <v>423</v>
      </c>
      <c r="K6" s="366" t="s">
        <v>675</v>
      </c>
      <c r="L6" s="366" t="s">
        <v>676</v>
      </c>
      <c r="M6" s="366" t="s">
        <v>677</v>
      </c>
      <c r="N6" s="366" t="s">
        <v>680</v>
      </c>
      <c r="O6" s="366" t="s">
        <v>678</v>
      </c>
      <c r="P6" s="366" t="s">
        <v>679</v>
      </c>
      <c r="Q6" s="366" t="s">
        <v>681</v>
      </c>
      <c r="R6" s="366" t="s">
        <v>682</v>
      </c>
      <c r="S6" s="366" t="s">
        <v>690</v>
      </c>
      <c r="T6" s="366" t="s">
        <v>684</v>
      </c>
      <c r="U6" s="366" t="s">
        <v>685</v>
      </c>
      <c r="V6" s="366" t="s">
        <v>686</v>
      </c>
      <c r="W6" s="366" t="s">
        <v>7</v>
      </c>
      <c r="X6" s="366" t="s">
        <v>24</v>
      </c>
      <c r="Y6" s="366" t="s">
        <v>52</v>
      </c>
      <c r="Z6" s="366" t="s">
        <v>25</v>
      </c>
      <c r="AA6" s="368" t="s">
        <v>8</v>
      </c>
      <c r="AB6" s="99"/>
      <c r="AC6" s="99"/>
      <c r="AD6" s="100" t="s">
        <v>80</v>
      </c>
      <c r="AE6" s="100" t="s">
        <v>69</v>
      </c>
      <c r="AF6" s="100" t="s">
        <v>70</v>
      </c>
      <c r="AG6" s="100" t="s">
        <v>33</v>
      </c>
      <c r="AH6" s="100" t="s">
        <v>76</v>
      </c>
      <c r="AI6" s="100" t="s">
        <v>68</v>
      </c>
      <c r="AJ6" s="100" t="s">
        <v>31</v>
      </c>
      <c r="AK6" s="100" t="s">
        <v>63</v>
      </c>
      <c r="AL6" s="100" t="s">
        <v>32</v>
      </c>
      <c r="AM6" s="100" t="s">
        <v>62</v>
      </c>
      <c r="AN6" s="100" t="s">
        <v>61</v>
      </c>
      <c r="AO6" s="100" t="s">
        <v>142</v>
      </c>
      <c r="AP6" s="100" t="s">
        <v>30</v>
      </c>
      <c r="AQ6" s="100" t="s">
        <v>65</v>
      </c>
      <c r="AR6" s="100" t="s">
        <v>66</v>
      </c>
      <c r="AS6" s="100" t="s">
        <v>67</v>
      </c>
      <c r="AT6" s="100" t="s">
        <v>59</v>
      </c>
    </row>
    <row r="7" spans="1:54" ht="15" customHeight="1">
      <c r="B7" s="355" t="s">
        <v>138</v>
      </c>
      <c r="C7" s="119" t="s">
        <v>138</v>
      </c>
      <c r="D7" s="119">
        <v>1234</v>
      </c>
      <c r="E7" s="119">
        <v>100</v>
      </c>
      <c r="F7" s="119">
        <v>10</v>
      </c>
      <c r="G7" s="17" t="str">
        <f>VLOOKUP($K7,'UMC Table 4-A'!$A$2:$E$132,5,FALSE)</f>
        <v>NR</v>
      </c>
      <c r="H7" s="119"/>
      <c r="I7" s="17">
        <v>0</v>
      </c>
      <c r="J7" s="17">
        <f>IF(OR((K7="PATIENT CORRIDOR"),(K7="TOILET")),(E7*0.5),E7)</f>
        <v>50</v>
      </c>
      <c r="K7" s="119" t="s">
        <v>362</v>
      </c>
      <c r="L7" s="17" t="str">
        <f>VLOOKUP($K7,'UMC Table 4-A'!$A$2:$E$132,2,FALSE)</f>
        <v>NR</v>
      </c>
      <c r="M7" s="17" t="str">
        <f>VLOOKUP($K7,'UMC Table 4-A'!$A$2:$E$132,3,FALSE)</f>
        <v>NR</v>
      </c>
      <c r="N7" s="17">
        <f>IF(M7&lt;&gt;"NR",ROUNDUP((E7*F7*M7)/60,-1),0)</f>
        <v>0</v>
      </c>
      <c r="O7" s="17">
        <f>VLOOKUP($K7,'UMC Table 4-A'!$A$2:$E$132,4,FALSE)</f>
        <v>2</v>
      </c>
      <c r="P7" s="17">
        <f>IF(O7&lt;&gt;"NR",ROUNDUP((E7*F7*O7)/60,-1),0)</f>
        <v>40</v>
      </c>
      <c r="Q7" s="17" t="str">
        <f>VLOOKUP($K7,'UMC Table 4-A'!$A$2:$E$132,5,FALSE)</f>
        <v>NR</v>
      </c>
      <c r="R7" s="17" t="str">
        <f>IF(G7="Yes",P7,"-")</f>
        <v>-</v>
      </c>
      <c r="S7" s="17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0">
        <f t="shared" ref="T7:T17" si="0">S7</f>
        <v>50</v>
      </c>
      <c r="U7" s="121">
        <f t="shared" ref="U7:U17" si="1">IF(Q7="Yes",0,IF(L7="Positive",IF(0.1*S7&gt;50,S7-0.1*S7,S7-50),IF(L7="Negative",IF(0.1*S7&gt;50,S7+0.1*S7,S7+50),S7)))</f>
        <v>50</v>
      </c>
      <c r="V7" s="120">
        <f t="shared" ref="V7:V17" si="2">IF(Q7="Yes",R7,0)</f>
        <v>0</v>
      </c>
      <c r="W7" s="86">
        <f t="shared" ref="W7:W17" si="3">T7-U7-V7</f>
        <v>0</v>
      </c>
      <c r="X7" s="86">
        <f>IFERROR(S7/E7,"-")</f>
        <v>0.5</v>
      </c>
      <c r="Y7" s="86">
        <f>(N7/T7)*100</f>
        <v>0</v>
      </c>
      <c r="Z7" s="86">
        <f>S7/E7/F7*60</f>
        <v>3</v>
      </c>
      <c r="AA7" s="356" t="str">
        <f t="shared" ref="AA7:AA17" si="4">IF(S7-U7-V7+W7=0,"Yes","No")</f>
        <v>Yes</v>
      </c>
      <c r="AD7" s="41" t="s">
        <v>85</v>
      </c>
      <c r="AE7" s="41" t="s">
        <v>72</v>
      </c>
      <c r="AF7" s="41" t="s">
        <v>77</v>
      </c>
      <c r="AG7" s="375">
        <f>SUMIF($B$7:$B$17,AD7,$T$7:$T$17)</f>
        <v>0</v>
      </c>
      <c r="AH7" s="375" t="str">
        <f>IFERROR((VLOOKUP(AG7,'DO NOT TOUCH'!$P$9:$Q$14,2,TRUE)),"TBD")</f>
        <v>TBD</v>
      </c>
      <c r="AI7" s="375">
        <v>0.5</v>
      </c>
      <c r="AJ7" s="375">
        <f>INPUT_OUTPUTS!$C$16</f>
        <v>140</v>
      </c>
      <c r="AK7" s="375">
        <f>INPUT_OUTPUTS!$C$17</f>
        <v>100</v>
      </c>
      <c r="AL7" s="375">
        <v>55</v>
      </c>
      <c r="AM7" s="375">
        <v>85</v>
      </c>
      <c r="AN7" s="375">
        <f t="shared" ref="AN7:AN44" si="5">MROUND((1.08*(AM7-AL7)*AG7)/1000,0.1)</f>
        <v>0</v>
      </c>
      <c r="AO7" s="376">
        <f>(AN7*1000)/(500*(AJ7-AK7))</f>
        <v>0</v>
      </c>
      <c r="AP7" s="376">
        <f>IF(AO7&lt;0.5,0.5,AO7)</f>
        <v>0.5</v>
      </c>
      <c r="AQ7" s="376">
        <v>5</v>
      </c>
      <c r="AR7" s="376" t="str">
        <f>IFERROR((_xlfn.XLOOKUP(AH7,'DO NOT TOUCH'!$Q$9:$Q$14,'DO NOT TOUCH'!$R$9:$R$14,)),"TBD")</f>
        <v>TBD</v>
      </c>
      <c r="AS7" s="376">
        <f>INPUT_OUTPUTS!$C$19</f>
        <v>0</v>
      </c>
      <c r="AT7" s="375" t="s">
        <v>73</v>
      </c>
    </row>
    <row r="8" spans="1:54" ht="15" customHeight="1">
      <c r="B8" s="355" t="s">
        <v>138</v>
      </c>
      <c r="C8" s="119" t="s">
        <v>138</v>
      </c>
      <c r="D8" s="119">
        <v>1234</v>
      </c>
      <c r="E8" s="119">
        <v>200</v>
      </c>
      <c r="F8" s="119">
        <v>9.5</v>
      </c>
      <c r="G8" s="17" t="str">
        <f>VLOOKUP($K8,'UMC Table 4-A'!$A$2:$E$132,5,FALSE)</f>
        <v>NR</v>
      </c>
      <c r="H8" s="119"/>
      <c r="I8" s="17">
        <v>0</v>
      </c>
      <c r="J8" s="17">
        <f>IF(OR((K8="PATIENT CORRIDOR"),(K8="TOILET")),(E8*0.5),E8)</f>
        <v>200</v>
      </c>
      <c r="K8" s="119" t="s">
        <v>64</v>
      </c>
      <c r="L8" s="17" t="str">
        <f>VLOOKUP($K8,'UMC Table 4-A'!$A$2:$E$132,2,FALSE)</f>
        <v>NR</v>
      </c>
      <c r="M8" s="17">
        <f>VLOOKUP($K8,'UMC Table 4-A'!$A$2:$E$132,3,FALSE)</f>
        <v>2</v>
      </c>
      <c r="N8" s="17">
        <f>IF(M8&lt;&gt;"NR",ROUNDUP((E8*F8*M8)/60,-1),0)</f>
        <v>70</v>
      </c>
      <c r="O8" s="17">
        <f>VLOOKUP($K8,'UMC Table 4-A'!$A$2:$E$132,4,FALSE)</f>
        <v>4</v>
      </c>
      <c r="P8" s="17">
        <f>IF(O8&lt;&gt;"NR",ROUNDUP((E8*F8*O8)/60,-1),0)</f>
        <v>130</v>
      </c>
      <c r="Q8" s="17" t="str">
        <f>VLOOKUP($K8,'UMC Table 4-A'!$A$2:$E$132,5,FALSE)</f>
        <v>NR</v>
      </c>
      <c r="R8" s="17" t="str">
        <f>IF(G8="Yes",P8,"-")</f>
        <v>-</v>
      </c>
      <c r="S8" s="18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0">
        <f t="shared" si="0"/>
        <v>200</v>
      </c>
      <c r="U8" s="120">
        <f t="shared" si="1"/>
        <v>200</v>
      </c>
      <c r="V8" s="120">
        <f t="shared" si="2"/>
        <v>0</v>
      </c>
      <c r="W8" s="87">
        <f t="shared" si="3"/>
        <v>0</v>
      </c>
      <c r="X8" s="86">
        <f>IFERROR(S8/E8,"-")</f>
        <v>1</v>
      </c>
      <c r="Y8" s="86">
        <f t="shared" ref="Y8:Y17" si="6">IFERROR(((N8/T8)*100),"-")</f>
        <v>35</v>
      </c>
      <c r="Z8" s="86">
        <f>IFERROR((S8/E8/F8*60),"-")</f>
        <v>6.3157894736842106</v>
      </c>
      <c r="AA8" s="356" t="str">
        <f t="shared" si="4"/>
        <v>Yes</v>
      </c>
      <c r="AD8" s="41" t="s">
        <v>86</v>
      </c>
      <c r="AE8" s="41" t="s">
        <v>72</v>
      </c>
      <c r="AF8" s="41" t="s">
        <v>77</v>
      </c>
      <c r="AG8" s="375">
        <f>SUMIF($B$7:$B$17,AD8,$T$7:$T$17)</f>
        <v>0</v>
      </c>
      <c r="AH8" s="375" t="str">
        <f>IFERROR((VLOOKUP(AG8,'DO NOT TOUCH'!$P$9:$Q$14,2,TRUE)),"TBD")</f>
        <v>TBD</v>
      </c>
      <c r="AI8" s="375">
        <f>AI7</f>
        <v>0.5</v>
      </c>
      <c r="AJ8" s="375">
        <f>INPUT_OUTPUTS!$C$16</f>
        <v>140</v>
      </c>
      <c r="AK8" s="375">
        <f>INPUT_OUTPUTS!$C$17</f>
        <v>100</v>
      </c>
      <c r="AL8" s="375">
        <f t="shared" ref="AL8:AM23" si="7">AL7</f>
        <v>55</v>
      </c>
      <c r="AM8" s="375">
        <f t="shared" si="7"/>
        <v>85</v>
      </c>
      <c r="AN8" s="375">
        <f t="shared" si="5"/>
        <v>0</v>
      </c>
      <c r="AO8" s="376">
        <f>(AN8*1000)/(500*(AJ8-AK8))</f>
        <v>0</v>
      </c>
      <c r="AP8" s="376">
        <f t="shared" ref="AP8:AP44" si="8">IF(AO8&lt;0.5,0.5,AO8)</f>
        <v>0.5</v>
      </c>
      <c r="AQ8" s="376">
        <f>AQ7</f>
        <v>5</v>
      </c>
      <c r="AR8" s="376" t="str">
        <f>IFERROR((_xlfn.XLOOKUP(AH8,'DO NOT TOUCH'!$Q$9:$Q$14,'DO NOT TOUCH'!$R$9:$R$14,)),"TBD")</f>
        <v>TBD</v>
      </c>
      <c r="AS8" s="376">
        <f>INPUT_OUTPUTS!$C$19</f>
        <v>0</v>
      </c>
      <c r="AT8" s="375" t="str">
        <f>AT7</f>
        <v>1, 2</v>
      </c>
    </row>
    <row r="9" spans="1:54" ht="15" customHeight="1">
      <c r="B9" s="355" t="s">
        <v>143</v>
      </c>
      <c r="C9" s="119" t="s">
        <v>138</v>
      </c>
      <c r="D9" s="119">
        <v>1234</v>
      </c>
      <c r="E9" s="119">
        <v>300</v>
      </c>
      <c r="F9" s="119">
        <v>10</v>
      </c>
      <c r="G9" s="17" t="str">
        <f>VLOOKUP($K9,'UMC Table 4-A'!$A$2:$E$132,5,FALSE)</f>
        <v>Yes</v>
      </c>
      <c r="H9" s="119"/>
      <c r="I9" s="17">
        <v>0</v>
      </c>
      <c r="J9" s="17">
        <f>IF(OR((K9="PATIENT CORRIDOR"),(K9="TOILET")),(E9*0.5),E9)</f>
        <v>300</v>
      </c>
      <c r="K9" s="119" t="s">
        <v>278</v>
      </c>
      <c r="L9" s="19" t="str">
        <f>VLOOKUP($K9,'UMC Table 4-A'!$A$2:$E$132,2,FALSE)</f>
        <v>Negative</v>
      </c>
      <c r="M9" s="17" t="str">
        <f>VLOOKUP($K9,'UMC Table 4-A'!$A$2:$E$132,3,FALSE)</f>
        <v>NR</v>
      </c>
      <c r="N9" s="21">
        <f>IF(M9&lt;&gt;"NR",ROUNDUP((E9*F9*M9)/60,-1),0)</f>
        <v>0</v>
      </c>
      <c r="O9" s="17">
        <f>VLOOKUP($K9,'UMC Table 4-A'!$A$2:$E$132,4,FALSE)</f>
        <v>10</v>
      </c>
      <c r="P9" s="17">
        <f>IF(O9&lt;&gt;"NR",ROUNDUP((E9*F9*O9)/60,-1),0)</f>
        <v>500</v>
      </c>
      <c r="Q9" s="17" t="str">
        <f>VLOOKUP($K9,'UMC Table 4-A'!$A$2:$E$132,5,FALSE)</f>
        <v>Yes</v>
      </c>
      <c r="R9" s="17">
        <f>IF(G9="Yes",P9,"-")</f>
        <v>500</v>
      </c>
      <c r="S9" s="18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0">
        <f t="shared" si="0"/>
        <v>500</v>
      </c>
      <c r="U9" s="120">
        <f t="shared" si="1"/>
        <v>0</v>
      </c>
      <c r="V9" s="120">
        <f t="shared" si="2"/>
        <v>500</v>
      </c>
      <c r="W9" s="87">
        <f t="shared" si="3"/>
        <v>0</v>
      </c>
      <c r="X9" s="86">
        <f>IFERROR(S9/E9,"-")</f>
        <v>1.6666666666666667</v>
      </c>
      <c r="Y9" s="86">
        <f t="shared" si="6"/>
        <v>0</v>
      </c>
      <c r="Z9" s="86">
        <f>IFERROR((S9/E9/F9*60),"-")</f>
        <v>10.000000000000002</v>
      </c>
      <c r="AA9" s="303" t="str">
        <f t="shared" si="4"/>
        <v>Yes</v>
      </c>
      <c r="AD9" s="41" t="s">
        <v>87</v>
      </c>
      <c r="AE9" s="41" t="s">
        <v>72</v>
      </c>
      <c r="AF9" s="41" t="s">
        <v>77</v>
      </c>
      <c r="AG9" s="375">
        <f>SUMIF($B$7:$B$17,AD9,$T$7:$T$17)</f>
        <v>0</v>
      </c>
      <c r="AH9" s="375" t="str">
        <f>IFERROR((VLOOKUP(AG9,'DO NOT TOUCH'!$P$9:$Q$14,2,TRUE)),"TBD")</f>
        <v>TBD</v>
      </c>
      <c r="AI9" s="375">
        <f t="shared" ref="AI9:AI44" si="9">AI8</f>
        <v>0.5</v>
      </c>
      <c r="AJ9" s="375">
        <f>INPUT_OUTPUTS!$C$16</f>
        <v>140</v>
      </c>
      <c r="AK9" s="375">
        <f>INPUT_OUTPUTS!$C$17</f>
        <v>100</v>
      </c>
      <c r="AL9" s="375">
        <f t="shared" si="7"/>
        <v>55</v>
      </c>
      <c r="AM9" s="375">
        <f t="shared" si="7"/>
        <v>85</v>
      </c>
      <c r="AN9" s="375">
        <f t="shared" si="5"/>
        <v>0</v>
      </c>
      <c r="AO9" s="376">
        <f t="shared" ref="AO9:AO44" si="10">(AN9*1000)/(500*(AJ9-AK9))</f>
        <v>0</v>
      </c>
      <c r="AP9" s="376">
        <f t="shared" si="8"/>
        <v>0.5</v>
      </c>
      <c r="AQ9" s="376">
        <f t="shared" ref="AQ9:AQ44" si="11">AQ8</f>
        <v>5</v>
      </c>
      <c r="AR9" s="376" t="str">
        <f>IFERROR((_xlfn.XLOOKUP(AH9,'DO NOT TOUCH'!$Q$9:$Q$14,'DO NOT TOUCH'!$R$9:$R$14,)),"TBD")</f>
        <v>TBD</v>
      </c>
      <c r="AS9" s="376">
        <f>INPUT_OUTPUTS!$C$19</f>
        <v>0</v>
      </c>
      <c r="AT9" s="375" t="str">
        <f t="shared" ref="AT9:AT44" si="12">AT8</f>
        <v>1, 2</v>
      </c>
    </row>
    <row r="10" spans="1:54" ht="15" customHeight="1">
      <c r="B10" s="355" t="s">
        <v>144</v>
      </c>
      <c r="C10" s="119" t="s">
        <v>138</v>
      </c>
      <c r="D10" s="119">
        <v>1234</v>
      </c>
      <c r="E10" s="119">
        <v>20</v>
      </c>
      <c r="F10" s="119">
        <v>10</v>
      </c>
      <c r="G10" s="17" t="str">
        <f>VLOOKUP($K10,'UMC Table 4-A'!$A$2:$E$132,5,FALSE)</f>
        <v>NR</v>
      </c>
      <c r="H10" s="119"/>
      <c r="I10" s="17">
        <v>0</v>
      </c>
      <c r="J10" s="17">
        <f>IF(OR((K10="PATIENT CORRIDOR"),(K10="TOILET")),(E10*0.5),E10)</f>
        <v>20</v>
      </c>
      <c r="K10" s="119" t="s">
        <v>281</v>
      </c>
      <c r="L10" s="19" t="str">
        <f>VLOOKUP($K10,'UMC Table 4-A'!$A$2:$E$132,2,FALSE)</f>
        <v>NR</v>
      </c>
      <c r="M10" s="17">
        <f>VLOOKUP($K10,'UMC Table 4-A'!$A$2:$E$132,3,FALSE)</f>
        <v>2</v>
      </c>
      <c r="N10" s="21">
        <f>IF(M10&lt;&gt;"NR",ROUNDUP((E10*F10*M10)/60,-1),0)</f>
        <v>10</v>
      </c>
      <c r="O10" s="17">
        <f>VLOOKUP($K10,'UMC Table 4-A'!$A$2:$E$132,4,FALSE)</f>
        <v>6</v>
      </c>
      <c r="P10" s="17">
        <f>IF(O10&lt;&gt;"NR",ROUNDUP((E10*F10*O10)/60,-1),0)</f>
        <v>20</v>
      </c>
      <c r="Q10" s="17" t="str">
        <f>VLOOKUP($K10,'UMC Table 4-A'!$A$2:$E$132,5,FALSE)</f>
        <v>NR</v>
      </c>
      <c r="R10" s="17" t="str">
        <f>IF(G10="Yes",P10,"-")</f>
        <v>-</v>
      </c>
      <c r="S10" s="18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0">
        <f t="shared" si="0"/>
        <v>20</v>
      </c>
      <c r="U10" s="120">
        <f t="shared" si="1"/>
        <v>20</v>
      </c>
      <c r="V10" s="120">
        <f t="shared" si="2"/>
        <v>0</v>
      </c>
      <c r="W10" s="87">
        <f t="shared" si="3"/>
        <v>0</v>
      </c>
      <c r="X10" s="86">
        <f>IFERROR(S10/E10,"-")</f>
        <v>1</v>
      </c>
      <c r="Y10" s="86">
        <f t="shared" si="6"/>
        <v>50</v>
      </c>
      <c r="Z10" s="86">
        <f>IFERROR((S10/E10/F10*60),"-")</f>
        <v>6</v>
      </c>
      <c r="AA10" s="303" t="str">
        <f t="shared" si="4"/>
        <v>Yes</v>
      </c>
      <c r="AD10" s="41" t="s">
        <v>88</v>
      </c>
      <c r="AE10" s="41" t="s">
        <v>72</v>
      </c>
      <c r="AF10" s="41" t="s">
        <v>77</v>
      </c>
      <c r="AG10" s="375">
        <f>SUMIF($B$7:$B$17,AD10,$T$7:$T$17)</f>
        <v>0</v>
      </c>
      <c r="AH10" s="375" t="str">
        <f>IFERROR((VLOOKUP(AG10,'DO NOT TOUCH'!$P$9:$Q$14,2,TRUE)),"TBD")</f>
        <v>TBD</v>
      </c>
      <c r="AI10" s="375">
        <f t="shared" si="9"/>
        <v>0.5</v>
      </c>
      <c r="AJ10" s="375">
        <f>INPUT_OUTPUTS!$C$16</f>
        <v>140</v>
      </c>
      <c r="AK10" s="375">
        <f>INPUT_OUTPUTS!$C$17</f>
        <v>100</v>
      </c>
      <c r="AL10" s="375">
        <f t="shared" si="7"/>
        <v>55</v>
      </c>
      <c r="AM10" s="375">
        <f t="shared" si="7"/>
        <v>85</v>
      </c>
      <c r="AN10" s="375">
        <f t="shared" si="5"/>
        <v>0</v>
      </c>
      <c r="AO10" s="376">
        <f t="shared" si="10"/>
        <v>0</v>
      </c>
      <c r="AP10" s="376">
        <f t="shared" si="8"/>
        <v>0.5</v>
      </c>
      <c r="AQ10" s="376">
        <f t="shared" si="11"/>
        <v>5</v>
      </c>
      <c r="AR10" s="376" t="str">
        <f>IFERROR((_xlfn.XLOOKUP(AH10,'DO NOT TOUCH'!$Q$9:$Q$14,'DO NOT TOUCH'!$R$9:$R$14,)),"TBD")</f>
        <v>TBD</v>
      </c>
      <c r="AS10" s="376">
        <f>INPUT_OUTPUTS!$C$19</f>
        <v>0</v>
      </c>
      <c r="AT10" s="375" t="str">
        <f t="shared" si="12"/>
        <v>1, 2</v>
      </c>
    </row>
    <row r="11" spans="1:54" ht="15" customHeight="1">
      <c r="B11" s="355" t="s">
        <v>145</v>
      </c>
      <c r="C11" s="119" t="s">
        <v>138</v>
      </c>
      <c r="D11" s="119">
        <v>1234</v>
      </c>
      <c r="E11" s="119">
        <v>36</v>
      </c>
      <c r="F11" s="119">
        <v>10</v>
      </c>
      <c r="G11" s="17" t="str">
        <f>VLOOKUP($K11,'UMC Table 4-A'!$A$2:$E$132,5,FALSE)</f>
        <v>NR</v>
      </c>
      <c r="H11" s="119"/>
      <c r="I11" s="17">
        <v>0</v>
      </c>
      <c r="J11" s="17">
        <f>IF(OR((K11="PATIENT CORRIDOR"),(K11="TOILET")),(E11*0.5),E11)</f>
        <v>36</v>
      </c>
      <c r="K11" s="119" t="s">
        <v>64</v>
      </c>
      <c r="L11" s="19" t="str">
        <f>VLOOKUP($K11,'UMC Table 4-A'!$A$2:$E$132,2,FALSE)</f>
        <v>NR</v>
      </c>
      <c r="M11" s="17">
        <f>VLOOKUP($K11,'UMC Table 4-A'!$A$2:$E$132,3,FALSE)</f>
        <v>2</v>
      </c>
      <c r="N11" s="21">
        <f>IF(M11&lt;&gt;"NR",ROUNDUP((E11*F11*M11)/60,-1),0)</f>
        <v>20</v>
      </c>
      <c r="O11" s="17">
        <f>VLOOKUP($K11,'UMC Table 4-A'!$A$2:$E$132,4,FALSE)</f>
        <v>4</v>
      </c>
      <c r="P11" s="17">
        <f>IF(O11&lt;&gt;"NR",ROUNDUP((E11*F11*O11)/60,-1),0)</f>
        <v>30</v>
      </c>
      <c r="Q11" s="17" t="str">
        <f>VLOOKUP($K11,'UMC Table 4-A'!$A$2:$E$132,5,FALSE)</f>
        <v>NR</v>
      </c>
      <c r="R11" s="17" t="str">
        <f>IF(G11="Yes",P11,"-")</f>
        <v>-</v>
      </c>
      <c r="S11" s="18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0">
        <f t="shared" si="0"/>
        <v>40</v>
      </c>
      <c r="U11" s="120">
        <f t="shared" si="1"/>
        <v>40</v>
      </c>
      <c r="V11" s="120">
        <f t="shared" si="2"/>
        <v>0</v>
      </c>
      <c r="W11" s="87">
        <f t="shared" si="3"/>
        <v>0</v>
      </c>
      <c r="X11" s="86">
        <f>IFERROR(S11/E11,"-")</f>
        <v>1.1111111111111112</v>
      </c>
      <c r="Y11" s="86">
        <f t="shared" si="6"/>
        <v>50</v>
      </c>
      <c r="Z11" s="86">
        <f>IFERROR((S11/E11/F11*60),"-")</f>
        <v>6.666666666666667</v>
      </c>
      <c r="AA11" s="303" t="str">
        <f t="shared" si="4"/>
        <v>Yes</v>
      </c>
      <c r="AD11" s="41" t="s">
        <v>89</v>
      </c>
      <c r="AE11" s="41" t="s">
        <v>72</v>
      </c>
      <c r="AF11" s="41" t="s">
        <v>77</v>
      </c>
      <c r="AG11" s="375">
        <f>SUMIF($B$7:$B$17,AD11,$T$7:$T$17)</f>
        <v>0</v>
      </c>
      <c r="AH11" s="375" t="str">
        <f>IFERROR((VLOOKUP(AG11,'DO NOT TOUCH'!$P$9:$Q$14,2,TRUE)),"TBD")</f>
        <v>TBD</v>
      </c>
      <c r="AI11" s="375">
        <f t="shared" si="9"/>
        <v>0.5</v>
      </c>
      <c r="AJ11" s="375">
        <f>INPUT_OUTPUTS!$C$16</f>
        <v>140</v>
      </c>
      <c r="AK11" s="375">
        <f>INPUT_OUTPUTS!$C$17</f>
        <v>100</v>
      </c>
      <c r="AL11" s="375">
        <f t="shared" si="7"/>
        <v>55</v>
      </c>
      <c r="AM11" s="375">
        <f t="shared" si="7"/>
        <v>85</v>
      </c>
      <c r="AN11" s="375">
        <f t="shared" si="5"/>
        <v>0</v>
      </c>
      <c r="AO11" s="376">
        <f t="shared" si="10"/>
        <v>0</v>
      </c>
      <c r="AP11" s="376">
        <f t="shared" si="8"/>
        <v>0.5</v>
      </c>
      <c r="AQ11" s="376">
        <f t="shared" si="11"/>
        <v>5</v>
      </c>
      <c r="AR11" s="376" t="str">
        <f>IFERROR((_xlfn.XLOOKUP(AH11,'DO NOT TOUCH'!$Q$9:$Q$14,'DO NOT TOUCH'!$R$9:$R$14,)),"TBD")</f>
        <v>TBD</v>
      </c>
      <c r="AS11" s="376">
        <f>INPUT_OUTPUTS!$C$19</f>
        <v>0</v>
      </c>
      <c r="AT11" s="375" t="str">
        <f t="shared" si="12"/>
        <v>1, 2</v>
      </c>
    </row>
    <row r="12" spans="1:54" ht="15" customHeight="1">
      <c r="B12" s="355" t="s">
        <v>145</v>
      </c>
      <c r="C12" s="119" t="s">
        <v>138</v>
      </c>
      <c r="D12" s="119">
        <v>1234</v>
      </c>
      <c r="E12" s="119">
        <v>212</v>
      </c>
      <c r="F12" s="119">
        <v>10</v>
      </c>
      <c r="G12" s="17" t="str">
        <f>VLOOKUP($K12,'UMC Table 4-A'!$A$2:$E$132,5,FALSE)</f>
        <v>NR</v>
      </c>
      <c r="H12" s="119"/>
      <c r="I12" s="17">
        <v>0</v>
      </c>
      <c r="J12" s="17">
        <f>IF(OR((K12="PATIENT CORRIDOR"),(K12="TOILET")),(E12*0.5),E12)</f>
        <v>212</v>
      </c>
      <c r="K12" s="119" t="s">
        <v>64</v>
      </c>
      <c r="L12" s="19" t="str">
        <f>VLOOKUP($K12,'UMC Table 4-A'!$A$2:$E$132,2,FALSE)</f>
        <v>NR</v>
      </c>
      <c r="M12" s="17">
        <f>VLOOKUP($K12,'UMC Table 4-A'!$A$2:$E$132,3,FALSE)</f>
        <v>2</v>
      </c>
      <c r="N12" s="21">
        <f>IF(M12&lt;&gt;"NR",ROUNDUP((E12*F12*M12)/60,-1),0)</f>
        <v>80</v>
      </c>
      <c r="O12" s="17">
        <f>VLOOKUP($K12,'UMC Table 4-A'!$A$2:$E$132,4,FALSE)</f>
        <v>4</v>
      </c>
      <c r="P12" s="17">
        <f>IF(O12&lt;&gt;"NR",ROUNDUP((E12*F12*O12)/60,-1),0)</f>
        <v>150</v>
      </c>
      <c r="Q12" s="17" t="str">
        <f>VLOOKUP($K12,'UMC Table 4-A'!$A$2:$E$132,5,FALSE)</f>
        <v>NR</v>
      </c>
      <c r="R12" s="17" t="str">
        <f>IF(G12="Yes",P12,"-")</f>
        <v>-</v>
      </c>
      <c r="S12" s="18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0">
        <f t="shared" si="0"/>
        <v>215</v>
      </c>
      <c r="U12" s="120">
        <f t="shared" si="1"/>
        <v>215</v>
      </c>
      <c r="V12" s="120">
        <f t="shared" si="2"/>
        <v>0</v>
      </c>
      <c r="W12" s="87">
        <f t="shared" si="3"/>
        <v>0</v>
      </c>
      <c r="X12" s="86">
        <f>IFERROR(S12/E12,"-")</f>
        <v>1.0141509433962264</v>
      </c>
      <c r="Y12" s="86">
        <f t="shared" si="6"/>
        <v>37.209302325581397</v>
      </c>
      <c r="Z12" s="86">
        <f>IFERROR((S12/E12/F12*60),"-")</f>
        <v>6.0849056603773581</v>
      </c>
      <c r="AA12" s="303" t="str">
        <f t="shared" si="4"/>
        <v>Yes</v>
      </c>
      <c r="AD12" s="41" t="s">
        <v>90</v>
      </c>
      <c r="AE12" s="41" t="s">
        <v>72</v>
      </c>
      <c r="AF12" s="41" t="s">
        <v>77</v>
      </c>
      <c r="AG12" s="375">
        <f>SUMIF($B$7:$B$17,AD12,$T$7:$T$17)</f>
        <v>0</v>
      </c>
      <c r="AH12" s="375" t="str">
        <f>IFERROR((VLOOKUP(AG12,'DO NOT TOUCH'!$P$9:$Q$14,2,TRUE)),"TBD")</f>
        <v>TBD</v>
      </c>
      <c r="AI12" s="375">
        <f t="shared" si="9"/>
        <v>0.5</v>
      </c>
      <c r="AJ12" s="375">
        <f>INPUT_OUTPUTS!$C$16</f>
        <v>140</v>
      </c>
      <c r="AK12" s="375">
        <f>INPUT_OUTPUTS!$C$17</f>
        <v>100</v>
      </c>
      <c r="AL12" s="375">
        <f t="shared" si="7"/>
        <v>55</v>
      </c>
      <c r="AM12" s="375">
        <f t="shared" si="7"/>
        <v>85</v>
      </c>
      <c r="AN12" s="375">
        <f t="shared" si="5"/>
        <v>0</v>
      </c>
      <c r="AO12" s="376">
        <f t="shared" si="10"/>
        <v>0</v>
      </c>
      <c r="AP12" s="376">
        <f t="shared" si="8"/>
        <v>0.5</v>
      </c>
      <c r="AQ12" s="376">
        <f t="shared" si="11"/>
        <v>5</v>
      </c>
      <c r="AR12" s="376" t="str">
        <f>IFERROR((_xlfn.XLOOKUP(AH12,'DO NOT TOUCH'!$Q$9:$Q$14,'DO NOT TOUCH'!$R$9:$R$14,)),"TBD")</f>
        <v>TBD</v>
      </c>
      <c r="AS12" s="376">
        <f>INPUT_OUTPUTS!$C$19</f>
        <v>0</v>
      </c>
      <c r="AT12" s="375" t="str">
        <f t="shared" si="12"/>
        <v>1, 2</v>
      </c>
    </row>
    <row r="13" spans="1:54" ht="15" customHeight="1">
      <c r="B13" s="355" t="s">
        <v>146</v>
      </c>
      <c r="C13" s="119" t="s">
        <v>138</v>
      </c>
      <c r="D13" s="119">
        <v>1234</v>
      </c>
      <c r="E13" s="119">
        <v>27</v>
      </c>
      <c r="F13" s="119">
        <v>10</v>
      </c>
      <c r="G13" s="17" t="str">
        <f>VLOOKUP($K13,'UMC Table 4-A'!$A$2:$E$132,5,FALSE)</f>
        <v>NR</v>
      </c>
      <c r="H13" s="119"/>
      <c r="I13" s="17">
        <v>0</v>
      </c>
      <c r="J13" s="17">
        <f>IF(OR((K13="PATIENT CORRIDOR"),(K13="TOILET")),(E13*0.5),E13)</f>
        <v>27</v>
      </c>
      <c r="K13" s="119" t="s">
        <v>78</v>
      </c>
      <c r="L13" s="19" t="str">
        <f>VLOOKUP($K13,'UMC Table 4-A'!$A$2:$E$132,2,FALSE)</f>
        <v>NR</v>
      </c>
      <c r="M13" s="17">
        <f>VLOOKUP($K13,'UMC Table 4-A'!$A$2:$E$132,3,FALSE)</f>
        <v>2</v>
      </c>
      <c r="N13" s="21">
        <f>IF(M13&lt;&gt;"NR",ROUNDUP((E13*F13*M13)/60,-1),0)</f>
        <v>10</v>
      </c>
      <c r="O13" s="17">
        <f>VLOOKUP($K13,'UMC Table 4-A'!$A$2:$E$132,4,FALSE)</f>
        <v>6</v>
      </c>
      <c r="P13" s="17">
        <f>IF(O13&lt;&gt;"NR",ROUNDUP((E13*F13*O13)/60,-1),0)</f>
        <v>30</v>
      </c>
      <c r="Q13" s="17" t="str">
        <f>VLOOKUP($K13,'UMC Table 4-A'!$A$2:$E$132,5,FALSE)</f>
        <v>NR</v>
      </c>
      <c r="R13" s="17" t="str">
        <f>IF(G13="Yes",P13,"-")</f>
        <v>-</v>
      </c>
      <c r="S13" s="18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0">
        <f t="shared" si="0"/>
        <v>30</v>
      </c>
      <c r="U13" s="120">
        <f t="shared" si="1"/>
        <v>30</v>
      </c>
      <c r="V13" s="120">
        <f t="shared" si="2"/>
        <v>0</v>
      </c>
      <c r="W13" s="87">
        <f t="shared" si="3"/>
        <v>0</v>
      </c>
      <c r="X13" s="86">
        <f>IFERROR(S13/E13,"-")</f>
        <v>1.1111111111111112</v>
      </c>
      <c r="Y13" s="86">
        <f t="shared" si="6"/>
        <v>33.333333333333329</v>
      </c>
      <c r="Z13" s="86">
        <f>IFERROR((S13/E13/F13*60),"-")</f>
        <v>6.666666666666667</v>
      </c>
      <c r="AA13" s="303" t="str">
        <f t="shared" si="4"/>
        <v>Yes</v>
      </c>
      <c r="AD13" s="44" t="s">
        <v>91</v>
      </c>
      <c r="AE13" s="41" t="s">
        <v>72</v>
      </c>
      <c r="AF13" s="41" t="s">
        <v>77</v>
      </c>
      <c r="AG13" s="375">
        <f>SUMIF($B$7:$B$17,AD13,$T$7:$T$17)</f>
        <v>0</v>
      </c>
      <c r="AH13" s="375" t="str">
        <f>IFERROR((VLOOKUP(AG13,'DO NOT TOUCH'!$P$9:$Q$14,2,TRUE)),"TBD")</f>
        <v>TBD</v>
      </c>
      <c r="AI13" s="375">
        <f t="shared" si="9"/>
        <v>0.5</v>
      </c>
      <c r="AJ13" s="375">
        <f>INPUT_OUTPUTS!$C$16</f>
        <v>140</v>
      </c>
      <c r="AK13" s="375">
        <f>INPUT_OUTPUTS!$C$17</f>
        <v>100</v>
      </c>
      <c r="AL13" s="375">
        <f t="shared" si="7"/>
        <v>55</v>
      </c>
      <c r="AM13" s="375">
        <f t="shared" si="7"/>
        <v>85</v>
      </c>
      <c r="AN13" s="375">
        <f t="shared" si="5"/>
        <v>0</v>
      </c>
      <c r="AO13" s="376">
        <f t="shared" si="10"/>
        <v>0</v>
      </c>
      <c r="AP13" s="376">
        <f t="shared" si="8"/>
        <v>0.5</v>
      </c>
      <c r="AQ13" s="376">
        <f t="shared" si="11"/>
        <v>5</v>
      </c>
      <c r="AR13" s="376" t="str">
        <f>IFERROR((_xlfn.XLOOKUP(AH13,'DO NOT TOUCH'!$Q$9:$Q$14,'DO NOT TOUCH'!$R$9:$R$14,)),"TBD")</f>
        <v>TBD</v>
      </c>
      <c r="AS13" s="376">
        <f>INPUT_OUTPUTS!$C$19</f>
        <v>0</v>
      </c>
      <c r="AT13" s="377" t="str">
        <f t="shared" si="12"/>
        <v>1, 2</v>
      </c>
    </row>
    <row r="14" spans="1:54" ht="15" customHeight="1">
      <c r="B14" s="355" t="s">
        <v>147</v>
      </c>
      <c r="C14" s="119" t="s">
        <v>138</v>
      </c>
      <c r="D14" s="119">
        <v>1234</v>
      </c>
      <c r="E14" s="119">
        <v>111</v>
      </c>
      <c r="F14" s="119">
        <v>10</v>
      </c>
      <c r="G14" s="17" t="str">
        <f>VLOOKUP($K14,'UMC Table 4-A'!$A$2:$E$132,5,FALSE)</f>
        <v>NR</v>
      </c>
      <c r="H14" s="119"/>
      <c r="I14" s="17">
        <v>0</v>
      </c>
      <c r="J14" s="17">
        <f>IF(OR((K14="PATIENT CORRIDOR"),(K14="TOILET")),(E14*0.5),E14)</f>
        <v>111</v>
      </c>
      <c r="K14" s="119" t="s">
        <v>64</v>
      </c>
      <c r="L14" s="19" t="str">
        <f>VLOOKUP($K14,'UMC Table 4-A'!$A$2:$E$132,2,FALSE)</f>
        <v>NR</v>
      </c>
      <c r="M14" s="17">
        <f>VLOOKUP($K14,'UMC Table 4-A'!$A$2:$E$132,3,FALSE)</f>
        <v>2</v>
      </c>
      <c r="N14" s="21">
        <f>IF(M14&lt;&gt;"NR",ROUNDUP((E14*F14*M14)/60,-1),0)</f>
        <v>40</v>
      </c>
      <c r="O14" s="17">
        <f>VLOOKUP($K14,'UMC Table 4-A'!$A$2:$E$132,4,FALSE)</f>
        <v>4</v>
      </c>
      <c r="P14" s="17">
        <f>IF(O14&lt;&gt;"NR",ROUNDUP((E14*F14*O14)/60,-1),0)</f>
        <v>80</v>
      </c>
      <c r="Q14" s="17" t="str">
        <f>VLOOKUP($K14,'UMC Table 4-A'!$A$2:$E$132,5,FALSE)</f>
        <v>NR</v>
      </c>
      <c r="R14" s="17" t="str">
        <f>IF(G14="Yes",P14,"-")</f>
        <v>-</v>
      </c>
      <c r="S14" s="18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0">
        <f t="shared" si="0"/>
        <v>115</v>
      </c>
      <c r="U14" s="120">
        <f t="shared" si="1"/>
        <v>115</v>
      </c>
      <c r="V14" s="120">
        <f t="shared" si="2"/>
        <v>0</v>
      </c>
      <c r="W14" s="87">
        <f t="shared" si="3"/>
        <v>0</v>
      </c>
      <c r="X14" s="86">
        <f>IFERROR(S14/E14,"-")</f>
        <v>1.0360360360360361</v>
      </c>
      <c r="Y14" s="86">
        <f t="shared" si="6"/>
        <v>34.782608695652172</v>
      </c>
      <c r="Z14" s="86">
        <f>IFERROR((S14/E14/F14*60),"-")</f>
        <v>6.2162162162162167</v>
      </c>
      <c r="AA14" s="303" t="str">
        <f t="shared" si="4"/>
        <v>Yes</v>
      </c>
      <c r="AD14" s="44" t="s">
        <v>92</v>
      </c>
      <c r="AE14" s="41" t="s">
        <v>72</v>
      </c>
      <c r="AF14" s="41" t="s">
        <v>77</v>
      </c>
      <c r="AG14" s="375">
        <f>SUMIF($B$7:$B$17,AD14,$T$7:$T$17)</f>
        <v>0</v>
      </c>
      <c r="AH14" s="375" t="str">
        <f>IFERROR((VLOOKUP(AG14,'DO NOT TOUCH'!$P$9:$Q$14,2,TRUE)),"TBD")</f>
        <v>TBD</v>
      </c>
      <c r="AI14" s="375">
        <f t="shared" si="9"/>
        <v>0.5</v>
      </c>
      <c r="AJ14" s="375">
        <f>INPUT_OUTPUTS!$C$16</f>
        <v>140</v>
      </c>
      <c r="AK14" s="375">
        <f>INPUT_OUTPUTS!$C$17</f>
        <v>100</v>
      </c>
      <c r="AL14" s="375">
        <f t="shared" si="7"/>
        <v>55</v>
      </c>
      <c r="AM14" s="375">
        <f t="shared" si="7"/>
        <v>85</v>
      </c>
      <c r="AN14" s="375">
        <f t="shared" si="5"/>
        <v>0</v>
      </c>
      <c r="AO14" s="376">
        <f t="shared" si="10"/>
        <v>0</v>
      </c>
      <c r="AP14" s="376">
        <f t="shared" si="8"/>
        <v>0.5</v>
      </c>
      <c r="AQ14" s="376">
        <f t="shared" si="11"/>
        <v>5</v>
      </c>
      <c r="AR14" s="376" t="str">
        <f>IFERROR((_xlfn.XLOOKUP(AH14,'DO NOT TOUCH'!$Q$9:$Q$14,'DO NOT TOUCH'!$R$9:$R$14,)),"TBD")</f>
        <v>TBD</v>
      </c>
      <c r="AS14" s="376">
        <f>INPUT_OUTPUTS!$C$19</f>
        <v>0</v>
      </c>
      <c r="AT14" s="377" t="str">
        <f t="shared" si="12"/>
        <v>1, 2</v>
      </c>
    </row>
    <row r="15" spans="1:54" ht="15" customHeight="1">
      <c r="B15" s="355" t="s">
        <v>147</v>
      </c>
      <c r="C15" s="119" t="s">
        <v>138</v>
      </c>
      <c r="D15" s="119">
        <v>1234</v>
      </c>
      <c r="E15" s="119">
        <v>256</v>
      </c>
      <c r="F15" s="119">
        <v>10</v>
      </c>
      <c r="G15" s="17" t="str">
        <f>VLOOKUP($K15,'UMC Table 4-A'!$A$2:$E$132,5,FALSE)</f>
        <v>NR</v>
      </c>
      <c r="H15" s="119"/>
      <c r="I15" s="17">
        <v>0</v>
      </c>
      <c r="J15" s="17">
        <f>IF(OR((K15="PATIENT CORRIDOR"),(K15="TOILET")),(E15*0.5),E15)</f>
        <v>256</v>
      </c>
      <c r="K15" s="119" t="s">
        <v>64</v>
      </c>
      <c r="L15" s="19" t="str">
        <f>VLOOKUP($K15,'UMC Table 4-A'!$A$2:$E$132,2,FALSE)</f>
        <v>NR</v>
      </c>
      <c r="M15" s="17">
        <f>VLOOKUP($K15,'UMC Table 4-A'!$A$2:$E$132,3,FALSE)</f>
        <v>2</v>
      </c>
      <c r="N15" s="21">
        <f>IF(M15&lt;&gt;"NR",ROUNDUP((E15*F15*M15)/60,-1),0)</f>
        <v>90</v>
      </c>
      <c r="O15" s="17">
        <f>VLOOKUP($K15,'UMC Table 4-A'!$A$2:$E$132,4,FALSE)</f>
        <v>4</v>
      </c>
      <c r="P15" s="17">
        <f>IF(O15&lt;&gt;"NR",ROUNDUP((E15*F15*O15)/60,-1),0)</f>
        <v>180</v>
      </c>
      <c r="Q15" s="17" t="str">
        <f>VLOOKUP($K15,'UMC Table 4-A'!$A$2:$E$132,5,FALSE)</f>
        <v>NR</v>
      </c>
      <c r="R15" s="17" t="str">
        <f>IF(G15="Yes",P15,"-")</f>
        <v>-</v>
      </c>
      <c r="S15" s="18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0">
        <f t="shared" si="0"/>
        <v>260</v>
      </c>
      <c r="U15" s="120">
        <f t="shared" si="1"/>
        <v>260</v>
      </c>
      <c r="V15" s="120">
        <f t="shared" si="2"/>
        <v>0</v>
      </c>
      <c r="W15" s="87">
        <f t="shared" si="3"/>
        <v>0</v>
      </c>
      <c r="X15" s="86">
        <f>IFERROR(S15/E15,"-")</f>
        <v>1.015625</v>
      </c>
      <c r="Y15" s="86">
        <f t="shared" si="6"/>
        <v>34.615384615384613</v>
      </c>
      <c r="Z15" s="86">
        <f>IFERROR((S15/E15/F15*60),"-")</f>
        <v>6.09375</v>
      </c>
      <c r="AA15" s="303" t="str">
        <f t="shared" si="4"/>
        <v>Yes</v>
      </c>
      <c r="AD15" s="44" t="s">
        <v>93</v>
      </c>
      <c r="AE15" s="41" t="s">
        <v>72</v>
      </c>
      <c r="AF15" s="41" t="s">
        <v>77</v>
      </c>
      <c r="AG15" s="375">
        <f>SUMIF($B$7:$B$17,AD15,$T$7:$T$17)</f>
        <v>0</v>
      </c>
      <c r="AH15" s="375" t="str">
        <f>IFERROR((VLOOKUP(AG15,'DO NOT TOUCH'!$P$9:$Q$14,2,TRUE)),"TBD")</f>
        <v>TBD</v>
      </c>
      <c r="AI15" s="375">
        <f t="shared" si="9"/>
        <v>0.5</v>
      </c>
      <c r="AJ15" s="375">
        <f>INPUT_OUTPUTS!$C$16</f>
        <v>140</v>
      </c>
      <c r="AK15" s="375">
        <f>INPUT_OUTPUTS!$C$17</f>
        <v>100</v>
      </c>
      <c r="AL15" s="375">
        <f t="shared" si="7"/>
        <v>55</v>
      </c>
      <c r="AM15" s="375">
        <f t="shared" si="7"/>
        <v>85</v>
      </c>
      <c r="AN15" s="375">
        <f t="shared" si="5"/>
        <v>0</v>
      </c>
      <c r="AO15" s="376">
        <f t="shared" si="10"/>
        <v>0</v>
      </c>
      <c r="AP15" s="376">
        <f t="shared" si="8"/>
        <v>0.5</v>
      </c>
      <c r="AQ15" s="376">
        <f t="shared" si="11"/>
        <v>5</v>
      </c>
      <c r="AR15" s="376" t="str">
        <f>IFERROR((_xlfn.XLOOKUP(AH15,'DO NOT TOUCH'!$Q$9:$Q$14,'DO NOT TOUCH'!$R$9:$R$14,)),"TBD")</f>
        <v>TBD</v>
      </c>
      <c r="AS15" s="376">
        <f>INPUT_OUTPUTS!$C$19</f>
        <v>0</v>
      </c>
      <c r="AT15" s="377" t="str">
        <f t="shared" si="12"/>
        <v>1, 2</v>
      </c>
    </row>
    <row r="16" spans="1:54" ht="15" customHeight="1">
      <c r="B16" s="355" t="s">
        <v>148</v>
      </c>
      <c r="C16" s="119" t="s">
        <v>138</v>
      </c>
      <c r="D16" s="119">
        <v>1234</v>
      </c>
      <c r="E16" s="119">
        <v>2347</v>
      </c>
      <c r="F16" s="119">
        <v>10</v>
      </c>
      <c r="G16" s="17" t="str">
        <f>VLOOKUP($K16,'UMC Table 4-A'!$A$2:$E$132,5,FALSE)</f>
        <v>NR</v>
      </c>
      <c r="H16" s="119"/>
      <c r="I16" s="17">
        <v>0</v>
      </c>
      <c r="J16" s="17">
        <f>IF(OR((K16="PATIENT CORRIDOR"),(K16="TOILET")),(E16*0.5),E16)</f>
        <v>2347</v>
      </c>
      <c r="K16" s="119" t="s">
        <v>64</v>
      </c>
      <c r="L16" s="19" t="str">
        <f>VLOOKUP($K16,'UMC Table 4-A'!$A$2:$E$132,2,FALSE)</f>
        <v>NR</v>
      </c>
      <c r="M16" s="17">
        <f>VLOOKUP($K16,'UMC Table 4-A'!$A$2:$E$132,3,FALSE)</f>
        <v>2</v>
      </c>
      <c r="N16" s="21">
        <f>IF(M16&lt;&gt;"NR",ROUNDUP((E16*F16*M16)/60,-1),0)</f>
        <v>790</v>
      </c>
      <c r="O16" s="17">
        <f>VLOOKUP($K16,'UMC Table 4-A'!$A$2:$E$132,4,FALSE)</f>
        <v>4</v>
      </c>
      <c r="P16" s="17">
        <f>IF(O16&lt;&gt;"NR",ROUNDUP((E16*F16*O16)/60,-1),0)</f>
        <v>1570</v>
      </c>
      <c r="Q16" s="17" t="str">
        <f>VLOOKUP($K16,'UMC Table 4-A'!$A$2:$E$132,5,FALSE)</f>
        <v>NR</v>
      </c>
      <c r="R16" s="17" t="str">
        <f>IF(G16="Yes",P16,"-")</f>
        <v>-</v>
      </c>
      <c r="S16" s="18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0">
        <f t="shared" si="0"/>
        <v>2350</v>
      </c>
      <c r="U16" s="120">
        <f t="shared" si="1"/>
        <v>2350</v>
      </c>
      <c r="V16" s="120">
        <f t="shared" si="2"/>
        <v>0</v>
      </c>
      <c r="W16" s="87">
        <f t="shared" si="3"/>
        <v>0</v>
      </c>
      <c r="X16" s="86">
        <f>IFERROR(S16/E16,"-")</f>
        <v>1.0012782275244994</v>
      </c>
      <c r="Y16" s="86">
        <f t="shared" si="6"/>
        <v>33.617021276595743</v>
      </c>
      <c r="Z16" s="86">
        <f>IFERROR((S16/E16/F16*60),"-")</f>
        <v>6.0076693651469961</v>
      </c>
      <c r="AA16" s="303" t="str">
        <f t="shared" si="4"/>
        <v>Yes</v>
      </c>
      <c r="AD16" s="44" t="s">
        <v>94</v>
      </c>
      <c r="AE16" s="41" t="s">
        <v>72</v>
      </c>
      <c r="AF16" s="41" t="s">
        <v>77</v>
      </c>
      <c r="AG16" s="375">
        <f>SUMIF($B$7:$B$17,AD16,$T$7:$T$17)</f>
        <v>0</v>
      </c>
      <c r="AH16" s="375" t="str">
        <f>IFERROR((VLOOKUP(AG16,'DO NOT TOUCH'!$P$9:$Q$14,2,TRUE)),"TBD")</f>
        <v>TBD</v>
      </c>
      <c r="AI16" s="375">
        <f t="shared" si="9"/>
        <v>0.5</v>
      </c>
      <c r="AJ16" s="375">
        <f>INPUT_OUTPUTS!$C$16</f>
        <v>140</v>
      </c>
      <c r="AK16" s="375">
        <f>INPUT_OUTPUTS!$C$17</f>
        <v>100</v>
      </c>
      <c r="AL16" s="375">
        <f t="shared" si="7"/>
        <v>55</v>
      </c>
      <c r="AM16" s="375">
        <f t="shared" si="7"/>
        <v>85</v>
      </c>
      <c r="AN16" s="375">
        <f t="shared" si="5"/>
        <v>0</v>
      </c>
      <c r="AO16" s="376">
        <f t="shared" si="10"/>
        <v>0</v>
      </c>
      <c r="AP16" s="376">
        <f t="shared" si="8"/>
        <v>0.5</v>
      </c>
      <c r="AQ16" s="376">
        <f t="shared" si="11"/>
        <v>5</v>
      </c>
      <c r="AR16" s="376" t="str">
        <f>IFERROR((_xlfn.XLOOKUP(AH16,'DO NOT TOUCH'!$Q$9:$Q$14,'DO NOT TOUCH'!$R$9:$R$14,)),"TBD")</f>
        <v>TBD</v>
      </c>
      <c r="AS16" s="376">
        <f>INPUT_OUTPUTS!$C$19</f>
        <v>0</v>
      </c>
      <c r="AT16" s="377" t="str">
        <f t="shared" si="12"/>
        <v>1, 2</v>
      </c>
    </row>
    <row r="17" spans="2:46" ht="15" customHeight="1">
      <c r="B17" s="355" t="s">
        <v>149</v>
      </c>
      <c r="C17" s="119" t="s">
        <v>138</v>
      </c>
      <c r="D17" s="119">
        <v>1234</v>
      </c>
      <c r="E17" s="119">
        <v>454</v>
      </c>
      <c r="F17" s="119">
        <v>10</v>
      </c>
      <c r="G17" s="17" t="str">
        <f>VLOOKUP($K17,'UMC Table 4-A'!$A$2:$E$132,5,FALSE)</f>
        <v>NR</v>
      </c>
      <c r="H17" s="119"/>
      <c r="I17" s="17">
        <v>0</v>
      </c>
      <c r="J17" s="17">
        <f>IF(OR((K17="PATIENT CORRIDOR"),(K17="TOILET")),(E17*0.5),E17)</f>
        <v>454</v>
      </c>
      <c r="K17" s="119" t="s">
        <v>64</v>
      </c>
      <c r="L17" s="19" t="str">
        <f>VLOOKUP($K17,'UMC Table 4-A'!$A$2:$E$132,2,FALSE)</f>
        <v>NR</v>
      </c>
      <c r="M17" s="17">
        <f>VLOOKUP($K17,'UMC Table 4-A'!$A$2:$E$132,3,FALSE)</f>
        <v>2</v>
      </c>
      <c r="N17" s="21">
        <f>IF(M17&lt;&gt;"NR",ROUNDUP((E17*F17*M17)/60,-1),0)</f>
        <v>160</v>
      </c>
      <c r="O17" s="17">
        <f>VLOOKUP($K17,'UMC Table 4-A'!$A$2:$E$132,4,FALSE)</f>
        <v>4</v>
      </c>
      <c r="P17" s="17">
        <f>IF(O17&lt;&gt;"NR",ROUNDUP((E17*F17*O17)/60,-1),0)</f>
        <v>310</v>
      </c>
      <c r="Q17" s="17" t="str">
        <f>VLOOKUP($K17,'UMC Table 4-A'!$A$2:$E$132,5,FALSE)</f>
        <v>NR</v>
      </c>
      <c r="R17" s="17" t="str">
        <f>IF(G17="Yes",P17,"-")</f>
        <v>-</v>
      </c>
      <c r="S17" s="18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0">
        <f t="shared" si="0"/>
        <v>455</v>
      </c>
      <c r="U17" s="120">
        <f t="shared" si="1"/>
        <v>455</v>
      </c>
      <c r="V17" s="120">
        <f t="shared" si="2"/>
        <v>0</v>
      </c>
      <c r="W17" s="87">
        <f t="shared" si="3"/>
        <v>0</v>
      </c>
      <c r="X17" s="86">
        <f>IFERROR(S17/E17,"-")</f>
        <v>1.0022026431718061</v>
      </c>
      <c r="Y17" s="86">
        <f t="shared" si="6"/>
        <v>35.164835164835168</v>
      </c>
      <c r="Z17" s="86">
        <f>IFERROR((S17/E17/F17*60),"-")</f>
        <v>6.0132158590308364</v>
      </c>
      <c r="AA17" s="303" t="str">
        <f t="shared" si="4"/>
        <v>Yes</v>
      </c>
      <c r="AD17" s="44" t="s">
        <v>95</v>
      </c>
      <c r="AE17" s="41" t="s">
        <v>72</v>
      </c>
      <c r="AF17" s="41" t="s">
        <v>77</v>
      </c>
      <c r="AG17" s="375">
        <f>SUMIF($B$7:$B$17,AD17,$T$7:$T$17)</f>
        <v>0</v>
      </c>
      <c r="AH17" s="375" t="str">
        <f>IFERROR((VLOOKUP(AG17,'DO NOT TOUCH'!$P$9:$Q$14,2,TRUE)),"TBD")</f>
        <v>TBD</v>
      </c>
      <c r="AI17" s="375">
        <f t="shared" si="9"/>
        <v>0.5</v>
      </c>
      <c r="AJ17" s="375">
        <f>INPUT_OUTPUTS!$C$16</f>
        <v>140</v>
      </c>
      <c r="AK17" s="375">
        <f>INPUT_OUTPUTS!$C$17</f>
        <v>100</v>
      </c>
      <c r="AL17" s="375">
        <f t="shared" si="7"/>
        <v>55</v>
      </c>
      <c r="AM17" s="375">
        <f t="shared" si="7"/>
        <v>85</v>
      </c>
      <c r="AN17" s="375">
        <f t="shared" si="5"/>
        <v>0</v>
      </c>
      <c r="AO17" s="376">
        <f t="shared" si="10"/>
        <v>0</v>
      </c>
      <c r="AP17" s="376">
        <f t="shared" si="8"/>
        <v>0.5</v>
      </c>
      <c r="AQ17" s="376">
        <f t="shared" si="11"/>
        <v>5</v>
      </c>
      <c r="AR17" s="376" t="str">
        <f>IFERROR((_xlfn.XLOOKUP(AH17,'DO NOT TOUCH'!$Q$9:$Q$14,'DO NOT TOUCH'!$R$9:$R$14,)),"TBD")</f>
        <v>TBD</v>
      </c>
      <c r="AS17" s="376">
        <f>INPUT_OUTPUTS!$C$19</f>
        <v>0</v>
      </c>
      <c r="AT17" s="377" t="str">
        <f t="shared" si="12"/>
        <v>1, 2</v>
      </c>
    </row>
    <row r="18" spans="2:46" ht="15" customHeight="1">
      <c r="B18" s="369"/>
      <c r="C18" s="370"/>
      <c r="D18" s="370"/>
      <c r="E18" s="371">
        <f>SUBTOTAL(109,TABLE4A439[AREA 
(FT²)])</f>
        <v>4063</v>
      </c>
      <c r="F18" s="371"/>
      <c r="G18" s="371"/>
      <c r="H18" s="371"/>
      <c r="I18" s="371"/>
      <c r="J18" s="371"/>
      <c r="K18" s="371"/>
      <c r="L18" s="371"/>
      <c r="M18" s="371"/>
      <c r="N18" s="374">
        <f>SUBTOTAL(109,TABLE4A439[MIN OUTDOOR ACH 
(CFM)])</f>
        <v>1270</v>
      </c>
      <c r="O18" s="371"/>
      <c r="P18" s="371"/>
      <c r="Q18" s="371"/>
      <c r="R18" s="371"/>
      <c r="S18" s="371">
        <f>SUBTOTAL(109,TABLE4A439[CALCULATED SA 
(CFM)])</f>
        <v>4235</v>
      </c>
      <c r="T18" s="371">
        <f>SUBTOTAL(109,TABLE4A439[DESIGN SA 
(CFM)])</f>
        <v>4235</v>
      </c>
      <c r="U18" s="371">
        <f>SUBTOTAL(109,TABLE4A439[DESIGN RA
(CFM)])</f>
        <v>3735</v>
      </c>
      <c r="V18" s="371">
        <f>SUBTOTAL(109,TABLE4A439[DESIGN EA
(CFM)])</f>
        <v>500</v>
      </c>
      <c r="W18" s="371">
        <f>SUBTOTAL(109,TABLE4A439[Transfer Air CFM])</f>
        <v>0</v>
      </c>
      <c r="X18" s="371"/>
      <c r="Y18" s="372"/>
      <c r="Z18" s="372"/>
      <c r="AA18" s="373"/>
      <c r="AD18" s="44" t="s">
        <v>96</v>
      </c>
      <c r="AE18" s="41" t="s">
        <v>72</v>
      </c>
      <c r="AF18" s="41" t="s">
        <v>77</v>
      </c>
      <c r="AG18" s="375">
        <f>SUMIF($B$7:$B$17,AD18,$T$7:$T$17)</f>
        <v>0</v>
      </c>
      <c r="AH18" s="375" t="str">
        <f>IFERROR((VLOOKUP(AG18,'DO NOT TOUCH'!$P$9:$Q$14,2,TRUE)),"TBD")</f>
        <v>TBD</v>
      </c>
      <c r="AI18" s="375">
        <f t="shared" si="9"/>
        <v>0.5</v>
      </c>
      <c r="AJ18" s="375">
        <f>INPUT_OUTPUTS!$C$16</f>
        <v>140</v>
      </c>
      <c r="AK18" s="375">
        <f>INPUT_OUTPUTS!$C$17</f>
        <v>100</v>
      </c>
      <c r="AL18" s="375">
        <f t="shared" si="7"/>
        <v>55</v>
      </c>
      <c r="AM18" s="375">
        <f t="shared" si="7"/>
        <v>85</v>
      </c>
      <c r="AN18" s="375">
        <f t="shared" si="5"/>
        <v>0</v>
      </c>
      <c r="AO18" s="376">
        <f t="shared" si="10"/>
        <v>0</v>
      </c>
      <c r="AP18" s="376">
        <f t="shared" si="8"/>
        <v>0.5</v>
      </c>
      <c r="AQ18" s="376">
        <f t="shared" si="11"/>
        <v>5</v>
      </c>
      <c r="AR18" s="376" t="str">
        <f>IFERROR((_xlfn.XLOOKUP(AH18,'DO NOT TOUCH'!$Q$9:$Q$14,'DO NOT TOUCH'!$R$9:$R$14,)),"TBD")</f>
        <v>TBD</v>
      </c>
      <c r="AS18" s="376">
        <f>INPUT_OUTPUTS!$C$19</f>
        <v>0</v>
      </c>
      <c r="AT18" s="377" t="str">
        <f t="shared" si="12"/>
        <v>1, 2</v>
      </c>
    </row>
    <row r="19" spans="2:46" ht="15" customHeight="1">
      <c r="B19" s="102"/>
      <c r="C19" s="103"/>
      <c r="G19" s="89"/>
      <c r="H19" s="104"/>
      <c r="K19" s="105"/>
      <c r="L19" s="106"/>
      <c r="M19" s="106"/>
      <c r="O19" s="88"/>
      <c r="R19" s="107"/>
      <c r="S19" s="107"/>
      <c r="T19" s="88"/>
      <c r="U19" s="88"/>
      <c r="V19" s="88"/>
      <c r="W19" s="88"/>
      <c r="X19" s="107"/>
      <c r="Y19" s="108"/>
      <c r="AD19" s="44" t="s">
        <v>97</v>
      </c>
      <c r="AE19" s="41" t="s">
        <v>72</v>
      </c>
      <c r="AF19" s="41" t="s">
        <v>77</v>
      </c>
      <c r="AG19" s="375">
        <f>SUMIF($B$7:$B$17,AD19,$T$7:$T$17)</f>
        <v>0</v>
      </c>
      <c r="AH19" s="375" t="str">
        <f>IFERROR((VLOOKUP(AG19,'DO NOT TOUCH'!$P$9:$Q$14,2,TRUE)),"TBD")</f>
        <v>TBD</v>
      </c>
      <c r="AI19" s="375">
        <f t="shared" si="9"/>
        <v>0.5</v>
      </c>
      <c r="AJ19" s="375">
        <f>INPUT_OUTPUTS!$C$16</f>
        <v>140</v>
      </c>
      <c r="AK19" s="375">
        <f>INPUT_OUTPUTS!$C$17</f>
        <v>100</v>
      </c>
      <c r="AL19" s="375">
        <f t="shared" si="7"/>
        <v>55</v>
      </c>
      <c r="AM19" s="375">
        <f t="shared" si="7"/>
        <v>85</v>
      </c>
      <c r="AN19" s="375">
        <f t="shared" si="5"/>
        <v>0</v>
      </c>
      <c r="AO19" s="376">
        <f t="shared" si="10"/>
        <v>0</v>
      </c>
      <c r="AP19" s="376">
        <f t="shared" si="8"/>
        <v>0.5</v>
      </c>
      <c r="AQ19" s="376">
        <f t="shared" si="11"/>
        <v>5</v>
      </c>
      <c r="AR19" s="376" t="str">
        <f>IFERROR((_xlfn.XLOOKUP(AH19,'DO NOT TOUCH'!$Q$9:$Q$14,'DO NOT TOUCH'!$R$9:$R$14,)),"TBD")</f>
        <v>TBD</v>
      </c>
      <c r="AS19" s="376">
        <f>INPUT_OUTPUTS!$C$19</f>
        <v>0</v>
      </c>
      <c r="AT19" s="377" t="str">
        <f t="shared" si="12"/>
        <v>1, 2</v>
      </c>
    </row>
    <row r="20" spans="2:46" ht="15" customHeight="1">
      <c r="B20" s="109"/>
      <c r="C20" s="103"/>
      <c r="G20" s="89"/>
      <c r="H20" s="104"/>
      <c r="K20" s="105"/>
      <c r="L20" s="106"/>
      <c r="M20" s="106"/>
      <c r="O20" s="88"/>
      <c r="T20" s="88"/>
      <c r="U20" s="88"/>
      <c r="V20" s="88"/>
      <c r="W20" s="88"/>
      <c r="X20" s="89"/>
      <c r="Y20" s="108"/>
      <c r="AD20" s="44" t="s">
        <v>98</v>
      </c>
      <c r="AE20" s="41" t="s">
        <v>72</v>
      </c>
      <c r="AF20" s="41" t="s">
        <v>77</v>
      </c>
      <c r="AG20" s="375">
        <f>SUMIF($B$7:$B$17,AD20,$T$7:$T$17)</f>
        <v>0</v>
      </c>
      <c r="AH20" s="375" t="str">
        <f>IFERROR((VLOOKUP(AG20,'DO NOT TOUCH'!$P$9:$Q$14,2,TRUE)),"TBD")</f>
        <v>TBD</v>
      </c>
      <c r="AI20" s="375">
        <f t="shared" si="9"/>
        <v>0.5</v>
      </c>
      <c r="AJ20" s="375">
        <f>INPUT_OUTPUTS!$C$16</f>
        <v>140</v>
      </c>
      <c r="AK20" s="375">
        <f>INPUT_OUTPUTS!$C$17</f>
        <v>100</v>
      </c>
      <c r="AL20" s="375">
        <f t="shared" si="7"/>
        <v>55</v>
      </c>
      <c r="AM20" s="375">
        <f t="shared" si="7"/>
        <v>85</v>
      </c>
      <c r="AN20" s="375">
        <f t="shared" si="5"/>
        <v>0</v>
      </c>
      <c r="AO20" s="376">
        <f t="shared" si="10"/>
        <v>0</v>
      </c>
      <c r="AP20" s="376">
        <f t="shared" si="8"/>
        <v>0.5</v>
      </c>
      <c r="AQ20" s="376">
        <f t="shared" si="11"/>
        <v>5</v>
      </c>
      <c r="AR20" s="376" t="str">
        <f>IFERROR((_xlfn.XLOOKUP(AH20,'DO NOT TOUCH'!$Q$9:$Q$14,'DO NOT TOUCH'!$R$9:$R$14,)),"TBD")</f>
        <v>TBD</v>
      </c>
      <c r="AS20" s="376">
        <f>INPUT_OUTPUTS!$C$19</f>
        <v>0</v>
      </c>
      <c r="AT20" s="377" t="str">
        <f t="shared" si="12"/>
        <v>1, 2</v>
      </c>
    </row>
    <row r="21" spans="2:46" ht="15" customHeight="1">
      <c r="B21" s="102"/>
      <c r="C21" s="103"/>
      <c r="T21" s="88"/>
      <c r="U21" s="88"/>
      <c r="V21" s="88"/>
      <c r="W21" s="88"/>
      <c r="AD21" s="44" t="s">
        <v>99</v>
      </c>
      <c r="AE21" s="41" t="s">
        <v>72</v>
      </c>
      <c r="AF21" s="41" t="s">
        <v>77</v>
      </c>
      <c r="AG21" s="375">
        <f>SUMIF($B$7:$B$17,AD21,$T$7:$T$17)</f>
        <v>0</v>
      </c>
      <c r="AH21" s="375" t="str">
        <f>IFERROR((VLOOKUP(AG21,'DO NOT TOUCH'!$P$9:$Q$14,2,TRUE)),"TBD")</f>
        <v>TBD</v>
      </c>
      <c r="AI21" s="375">
        <f t="shared" si="9"/>
        <v>0.5</v>
      </c>
      <c r="AJ21" s="375">
        <f>INPUT_OUTPUTS!$C$16</f>
        <v>140</v>
      </c>
      <c r="AK21" s="375">
        <f>INPUT_OUTPUTS!$C$17</f>
        <v>100</v>
      </c>
      <c r="AL21" s="375">
        <f t="shared" si="7"/>
        <v>55</v>
      </c>
      <c r="AM21" s="375">
        <f t="shared" si="7"/>
        <v>85</v>
      </c>
      <c r="AN21" s="375">
        <f t="shared" si="5"/>
        <v>0</v>
      </c>
      <c r="AO21" s="376">
        <f t="shared" si="10"/>
        <v>0</v>
      </c>
      <c r="AP21" s="376">
        <f t="shared" si="8"/>
        <v>0.5</v>
      </c>
      <c r="AQ21" s="376">
        <f t="shared" si="11"/>
        <v>5</v>
      </c>
      <c r="AR21" s="376" t="str">
        <f>IFERROR((_xlfn.XLOOKUP(AH21,'DO NOT TOUCH'!$Q$9:$Q$14,'DO NOT TOUCH'!$R$9:$R$14,)),"TBD")</f>
        <v>TBD</v>
      </c>
      <c r="AS21" s="376">
        <f>INPUT_OUTPUTS!$C$19</f>
        <v>0</v>
      </c>
      <c r="AT21" s="377" t="str">
        <f t="shared" si="12"/>
        <v>1, 2</v>
      </c>
    </row>
    <row r="22" spans="2:46" ht="15" customHeight="1">
      <c r="K22" s="88"/>
      <c r="N22" s="88"/>
      <c r="Q22" s="88" t="s">
        <v>683</v>
      </c>
      <c r="T22" s="88"/>
      <c r="U22" s="88"/>
      <c r="V22" s="88"/>
      <c r="W22" s="88"/>
      <c r="AD22" s="44" t="s">
        <v>100</v>
      </c>
      <c r="AE22" s="41" t="s">
        <v>72</v>
      </c>
      <c r="AF22" s="41" t="s">
        <v>77</v>
      </c>
      <c r="AG22" s="375">
        <f>SUMIF($B$7:$B$17,AD22,$T$7:$T$17)</f>
        <v>0</v>
      </c>
      <c r="AH22" s="375" t="str">
        <f>IFERROR((VLOOKUP(AG22,'DO NOT TOUCH'!$P$9:$Q$14,2,TRUE)),"TBD")</f>
        <v>TBD</v>
      </c>
      <c r="AI22" s="375">
        <f t="shared" si="9"/>
        <v>0.5</v>
      </c>
      <c r="AJ22" s="375">
        <f>INPUT_OUTPUTS!$C$16</f>
        <v>140</v>
      </c>
      <c r="AK22" s="375">
        <f>INPUT_OUTPUTS!$C$17</f>
        <v>100</v>
      </c>
      <c r="AL22" s="375">
        <f t="shared" si="7"/>
        <v>55</v>
      </c>
      <c r="AM22" s="375">
        <f t="shared" si="7"/>
        <v>85</v>
      </c>
      <c r="AN22" s="375">
        <f t="shared" si="5"/>
        <v>0</v>
      </c>
      <c r="AO22" s="376">
        <f t="shared" si="10"/>
        <v>0</v>
      </c>
      <c r="AP22" s="376">
        <f t="shared" si="8"/>
        <v>0.5</v>
      </c>
      <c r="AQ22" s="376">
        <f t="shared" si="11"/>
        <v>5</v>
      </c>
      <c r="AR22" s="376" t="str">
        <f>IFERROR((_xlfn.XLOOKUP(AH22,'DO NOT TOUCH'!$Q$9:$Q$14,'DO NOT TOUCH'!$R$9:$R$14,)),"TBD")</f>
        <v>TBD</v>
      </c>
      <c r="AS22" s="376">
        <f>INPUT_OUTPUTS!$C$19</f>
        <v>0</v>
      </c>
      <c r="AT22" s="377" t="str">
        <f t="shared" si="12"/>
        <v>1, 2</v>
      </c>
    </row>
    <row r="23" spans="2:46" ht="15" customHeight="1">
      <c r="T23" s="88"/>
      <c r="U23" s="88"/>
      <c r="V23" s="88"/>
      <c r="W23" s="88"/>
      <c r="AD23" s="44" t="s">
        <v>101</v>
      </c>
      <c r="AE23" s="41" t="s">
        <v>72</v>
      </c>
      <c r="AF23" s="41" t="s">
        <v>77</v>
      </c>
      <c r="AG23" s="375">
        <f>SUMIF($B$7:$B$17,AD23,$T$7:$T$17)</f>
        <v>0</v>
      </c>
      <c r="AH23" s="375" t="str">
        <f>IFERROR((VLOOKUP(AG23,'DO NOT TOUCH'!$P$9:$Q$14,2,TRUE)),"TBD")</f>
        <v>TBD</v>
      </c>
      <c r="AI23" s="375">
        <f t="shared" si="9"/>
        <v>0.5</v>
      </c>
      <c r="AJ23" s="375">
        <f>INPUT_OUTPUTS!$C$16</f>
        <v>140</v>
      </c>
      <c r="AK23" s="375">
        <f>INPUT_OUTPUTS!$C$17</f>
        <v>100</v>
      </c>
      <c r="AL23" s="375">
        <f t="shared" si="7"/>
        <v>55</v>
      </c>
      <c r="AM23" s="375">
        <f t="shared" si="7"/>
        <v>85</v>
      </c>
      <c r="AN23" s="375">
        <f t="shared" si="5"/>
        <v>0</v>
      </c>
      <c r="AO23" s="376">
        <f t="shared" si="10"/>
        <v>0</v>
      </c>
      <c r="AP23" s="376">
        <f t="shared" si="8"/>
        <v>0.5</v>
      </c>
      <c r="AQ23" s="376">
        <f t="shared" si="11"/>
        <v>5</v>
      </c>
      <c r="AR23" s="376" t="str">
        <f>IFERROR((_xlfn.XLOOKUP(AH23,'DO NOT TOUCH'!$Q$9:$Q$14,'DO NOT TOUCH'!$R$9:$R$14,)),"TBD")</f>
        <v>TBD</v>
      </c>
      <c r="AS23" s="376">
        <f>INPUT_OUTPUTS!$C$19</f>
        <v>0</v>
      </c>
      <c r="AT23" s="377" t="str">
        <f t="shared" si="12"/>
        <v>1, 2</v>
      </c>
    </row>
    <row r="24" spans="2:46" ht="15" customHeight="1">
      <c r="T24" s="88"/>
      <c r="U24" s="88"/>
      <c r="V24" s="88"/>
      <c r="W24" s="88"/>
      <c r="AD24" s="44" t="s">
        <v>102</v>
      </c>
      <c r="AE24" s="41" t="s">
        <v>72</v>
      </c>
      <c r="AF24" s="41" t="s">
        <v>77</v>
      </c>
      <c r="AG24" s="375">
        <f>SUMIF($B$7:$B$17,AD24,$T$7:$T$17)</f>
        <v>0</v>
      </c>
      <c r="AH24" s="375" t="str">
        <f>IFERROR((VLOOKUP(AG24,'DO NOT TOUCH'!$P$9:$Q$14,2,TRUE)),"TBD")</f>
        <v>TBD</v>
      </c>
      <c r="AI24" s="375">
        <f t="shared" si="9"/>
        <v>0.5</v>
      </c>
      <c r="AJ24" s="375">
        <f>INPUT_OUTPUTS!$C$16</f>
        <v>140</v>
      </c>
      <c r="AK24" s="375">
        <f>INPUT_OUTPUTS!$C$17</f>
        <v>100</v>
      </c>
      <c r="AL24" s="375">
        <f t="shared" ref="AL24:AM39" si="13">AL23</f>
        <v>55</v>
      </c>
      <c r="AM24" s="375">
        <f t="shared" si="13"/>
        <v>85</v>
      </c>
      <c r="AN24" s="375">
        <f t="shared" si="5"/>
        <v>0</v>
      </c>
      <c r="AO24" s="376">
        <f t="shared" si="10"/>
        <v>0</v>
      </c>
      <c r="AP24" s="376">
        <f t="shared" si="8"/>
        <v>0.5</v>
      </c>
      <c r="AQ24" s="376">
        <f t="shared" si="11"/>
        <v>5</v>
      </c>
      <c r="AR24" s="376" t="str">
        <f>IFERROR((_xlfn.XLOOKUP(AH24,'DO NOT TOUCH'!$Q$9:$Q$14,'DO NOT TOUCH'!$R$9:$R$14,)),"TBD")</f>
        <v>TBD</v>
      </c>
      <c r="AS24" s="376">
        <f>INPUT_OUTPUTS!$C$19</f>
        <v>0</v>
      </c>
      <c r="AT24" s="377" t="str">
        <f t="shared" si="12"/>
        <v>1, 2</v>
      </c>
    </row>
    <row r="25" spans="2:46" ht="15" customHeight="1">
      <c r="T25" s="88"/>
      <c r="U25" s="88"/>
      <c r="V25" s="88"/>
      <c r="W25" s="88"/>
      <c r="AD25" s="44" t="s">
        <v>103</v>
      </c>
      <c r="AE25" s="41" t="s">
        <v>72</v>
      </c>
      <c r="AF25" s="41" t="s">
        <v>77</v>
      </c>
      <c r="AG25" s="375">
        <f>SUMIF($B$7:$B$17,AD25,$T$7:$T$17)</f>
        <v>0</v>
      </c>
      <c r="AH25" s="375" t="str">
        <f>IFERROR((VLOOKUP(AG25,'DO NOT TOUCH'!$P$9:$Q$14,2,TRUE)),"TBD")</f>
        <v>TBD</v>
      </c>
      <c r="AI25" s="375">
        <f t="shared" si="9"/>
        <v>0.5</v>
      </c>
      <c r="AJ25" s="375">
        <f>INPUT_OUTPUTS!$C$16</f>
        <v>140</v>
      </c>
      <c r="AK25" s="375">
        <f>INPUT_OUTPUTS!$C$17</f>
        <v>100</v>
      </c>
      <c r="AL25" s="375">
        <f t="shared" si="13"/>
        <v>55</v>
      </c>
      <c r="AM25" s="375">
        <f t="shared" si="13"/>
        <v>85</v>
      </c>
      <c r="AN25" s="375">
        <f t="shared" si="5"/>
        <v>0</v>
      </c>
      <c r="AO25" s="376">
        <f t="shared" si="10"/>
        <v>0</v>
      </c>
      <c r="AP25" s="376">
        <f t="shared" si="8"/>
        <v>0.5</v>
      </c>
      <c r="AQ25" s="376">
        <f t="shared" si="11"/>
        <v>5</v>
      </c>
      <c r="AR25" s="376" t="str">
        <f>IFERROR((_xlfn.XLOOKUP(AH25,'DO NOT TOUCH'!$Q$9:$Q$14,'DO NOT TOUCH'!$R$9:$R$14,)),"TBD")</f>
        <v>TBD</v>
      </c>
      <c r="AS25" s="376">
        <f>INPUT_OUTPUTS!$C$19</f>
        <v>0</v>
      </c>
      <c r="AT25" s="377" t="str">
        <f t="shared" si="12"/>
        <v>1, 2</v>
      </c>
    </row>
    <row r="26" spans="2:46" ht="15" customHeight="1">
      <c r="T26" s="88"/>
      <c r="U26" s="88"/>
      <c r="V26" s="88"/>
      <c r="W26" s="88"/>
      <c r="AD26" s="44" t="s">
        <v>104</v>
      </c>
      <c r="AE26" s="41" t="s">
        <v>72</v>
      </c>
      <c r="AF26" s="41" t="s">
        <v>77</v>
      </c>
      <c r="AG26" s="375">
        <f>SUMIF($B$7:$B$17,AD26,$T$7:$T$17)</f>
        <v>0</v>
      </c>
      <c r="AH26" s="375" t="str">
        <f>IFERROR((VLOOKUP(AG26,'DO NOT TOUCH'!$P$9:$Q$14,2,TRUE)),"TBD")</f>
        <v>TBD</v>
      </c>
      <c r="AI26" s="375">
        <f t="shared" si="9"/>
        <v>0.5</v>
      </c>
      <c r="AJ26" s="375">
        <f>INPUT_OUTPUTS!$C$16</f>
        <v>140</v>
      </c>
      <c r="AK26" s="375">
        <f>INPUT_OUTPUTS!$C$17</f>
        <v>100</v>
      </c>
      <c r="AL26" s="375">
        <f t="shared" si="13"/>
        <v>55</v>
      </c>
      <c r="AM26" s="375">
        <f t="shared" si="13"/>
        <v>85</v>
      </c>
      <c r="AN26" s="375">
        <f t="shared" si="5"/>
        <v>0</v>
      </c>
      <c r="AO26" s="376">
        <f t="shared" si="10"/>
        <v>0</v>
      </c>
      <c r="AP26" s="376">
        <f t="shared" si="8"/>
        <v>0.5</v>
      </c>
      <c r="AQ26" s="376">
        <f t="shared" si="11"/>
        <v>5</v>
      </c>
      <c r="AR26" s="376" t="str">
        <f>IFERROR((_xlfn.XLOOKUP(AH26,'DO NOT TOUCH'!$Q$9:$Q$14,'DO NOT TOUCH'!$R$9:$R$14,)),"TBD")</f>
        <v>TBD</v>
      </c>
      <c r="AS26" s="376">
        <f>INPUT_OUTPUTS!$C$19</f>
        <v>0</v>
      </c>
      <c r="AT26" s="377" t="str">
        <f t="shared" si="12"/>
        <v>1, 2</v>
      </c>
    </row>
    <row r="27" spans="2:46" ht="15" customHeight="1">
      <c r="AD27" s="44" t="s">
        <v>105</v>
      </c>
      <c r="AE27" s="41" t="s">
        <v>72</v>
      </c>
      <c r="AF27" s="41" t="s">
        <v>77</v>
      </c>
      <c r="AG27" s="375">
        <f>SUMIF($B$7:$B$17,AD27,$T$7:$T$17)</f>
        <v>0</v>
      </c>
      <c r="AH27" s="375" t="str">
        <f>IFERROR((VLOOKUP(AG27,'DO NOT TOUCH'!$P$9:$Q$14,2,TRUE)),"TBD")</f>
        <v>TBD</v>
      </c>
      <c r="AI27" s="375">
        <f t="shared" si="9"/>
        <v>0.5</v>
      </c>
      <c r="AJ27" s="375">
        <f>INPUT_OUTPUTS!$C$16</f>
        <v>140</v>
      </c>
      <c r="AK27" s="375">
        <f>INPUT_OUTPUTS!$C$17</f>
        <v>100</v>
      </c>
      <c r="AL27" s="375">
        <f t="shared" si="13"/>
        <v>55</v>
      </c>
      <c r="AM27" s="375">
        <f t="shared" si="13"/>
        <v>85</v>
      </c>
      <c r="AN27" s="375">
        <f t="shared" si="5"/>
        <v>0</v>
      </c>
      <c r="AO27" s="376">
        <f t="shared" si="10"/>
        <v>0</v>
      </c>
      <c r="AP27" s="376">
        <f t="shared" si="8"/>
        <v>0.5</v>
      </c>
      <c r="AQ27" s="376">
        <f t="shared" si="11"/>
        <v>5</v>
      </c>
      <c r="AR27" s="376" t="str">
        <f>IFERROR((_xlfn.XLOOKUP(AH27,'DO NOT TOUCH'!$Q$9:$Q$14,'DO NOT TOUCH'!$R$9:$R$14,)),"TBD")</f>
        <v>TBD</v>
      </c>
      <c r="AS27" s="376">
        <f>INPUT_OUTPUTS!$C$19</f>
        <v>0</v>
      </c>
      <c r="AT27" s="377" t="str">
        <f t="shared" si="12"/>
        <v>1, 2</v>
      </c>
    </row>
    <row r="28" spans="2:46" ht="15" customHeight="1">
      <c r="AD28" s="44" t="s">
        <v>106</v>
      </c>
      <c r="AE28" s="41" t="s">
        <v>72</v>
      </c>
      <c r="AF28" s="41" t="s">
        <v>77</v>
      </c>
      <c r="AG28" s="375">
        <f>SUMIF($B$7:$B$17,AD28,$T$7:$T$17)</f>
        <v>0</v>
      </c>
      <c r="AH28" s="375" t="str">
        <f>IFERROR((VLOOKUP(AG28,'DO NOT TOUCH'!$P$9:$Q$14,2,TRUE)),"TBD")</f>
        <v>TBD</v>
      </c>
      <c r="AI28" s="375">
        <f t="shared" si="9"/>
        <v>0.5</v>
      </c>
      <c r="AJ28" s="375">
        <f>INPUT_OUTPUTS!$C$16</f>
        <v>140</v>
      </c>
      <c r="AK28" s="375">
        <f>INPUT_OUTPUTS!$C$17</f>
        <v>100</v>
      </c>
      <c r="AL28" s="375">
        <f t="shared" si="13"/>
        <v>55</v>
      </c>
      <c r="AM28" s="375">
        <f t="shared" si="13"/>
        <v>85</v>
      </c>
      <c r="AN28" s="375">
        <f t="shared" si="5"/>
        <v>0</v>
      </c>
      <c r="AO28" s="376">
        <f t="shared" si="10"/>
        <v>0</v>
      </c>
      <c r="AP28" s="376">
        <f t="shared" si="8"/>
        <v>0.5</v>
      </c>
      <c r="AQ28" s="376">
        <f t="shared" si="11"/>
        <v>5</v>
      </c>
      <c r="AR28" s="376" t="str">
        <f>IFERROR((_xlfn.XLOOKUP(AH28,'DO NOT TOUCH'!$Q$9:$Q$14,'DO NOT TOUCH'!$R$9:$R$14,)),"TBD")</f>
        <v>TBD</v>
      </c>
      <c r="AS28" s="376">
        <f>INPUT_OUTPUTS!$C$19</f>
        <v>0</v>
      </c>
      <c r="AT28" s="377" t="str">
        <f t="shared" si="12"/>
        <v>1, 2</v>
      </c>
    </row>
    <row r="29" spans="2:46" ht="15" customHeight="1">
      <c r="AD29" s="44" t="s">
        <v>107</v>
      </c>
      <c r="AE29" s="41" t="s">
        <v>72</v>
      </c>
      <c r="AF29" s="41" t="s">
        <v>77</v>
      </c>
      <c r="AG29" s="375">
        <f>SUMIF($B$7:$B$17,AD29,$T$7:$T$17)</f>
        <v>0</v>
      </c>
      <c r="AH29" s="375" t="str">
        <f>IFERROR((VLOOKUP(AG29,'DO NOT TOUCH'!$P$9:$Q$14,2,TRUE)),"TBD")</f>
        <v>TBD</v>
      </c>
      <c r="AI29" s="375">
        <f t="shared" si="9"/>
        <v>0.5</v>
      </c>
      <c r="AJ29" s="375">
        <f>INPUT_OUTPUTS!$C$16</f>
        <v>140</v>
      </c>
      <c r="AK29" s="375">
        <f>INPUT_OUTPUTS!$C$17</f>
        <v>100</v>
      </c>
      <c r="AL29" s="375">
        <f t="shared" si="13"/>
        <v>55</v>
      </c>
      <c r="AM29" s="375">
        <f t="shared" si="13"/>
        <v>85</v>
      </c>
      <c r="AN29" s="375">
        <f t="shared" si="5"/>
        <v>0</v>
      </c>
      <c r="AO29" s="376">
        <f t="shared" si="10"/>
        <v>0</v>
      </c>
      <c r="AP29" s="376">
        <f t="shared" si="8"/>
        <v>0.5</v>
      </c>
      <c r="AQ29" s="376">
        <f t="shared" si="11"/>
        <v>5</v>
      </c>
      <c r="AR29" s="376" t="str">
        <f>IFERROR((_xlfn.XLOOKUP(AH29,'DO NOT TOUCH'!$Q$9:$Q$14,'DO NOT TOUCH'!$R$9:$R$14,)),"TBD")</f>
        <v>TBD</v>
      </c>
      <c r="AS29" s="376">
        <f>INPUT_OUTPUTS!$C$19</f>
        <v>0</v>
      </c>
      <c r="AT29" s="377" t="str">
        <f t="shared" si="12"/>
        <v>1, 2</v>
      </c>
    </row>
    <row r="30" spans="2:46" ht="15" customHeight="1">
      <c r="AD30" s="44" t="s">
        <v>108</v>
      </c>
      <c r="AE30" s="41" t="s">
        <v>72</v>
      </c>
      <c r="AF30" s="41" t="s">
        <v>77</v>
      </c>
      <c r="AG30" s="375">
        <f>SUMIF($B$7:$B$17,AD30,$T$7:$T$17)</f>
        <v>0</v>
      </c>
      <c r="AH30" s="375" t="str">
        <f>IFERROR((VLOOKUP(AG30,'DO NOT TOUCH'!$P$9:$Q$14,2,TRUE)),"TBD")</f>
        <v>TBD</v>
      </c>
      <c r="AI30" s="375">
        <f t="shared" si="9"/>
        <v>0.5</v>
      </c>
      <c r="AJ30" s="375">
        <f>INPUT_OUTPUTS!$C$16</f>
        <v>140</v>
      </c>
      <c r="AK30" s="375">
        <f>INPUT_OUTPUTS!$C$17</f>
        <v>100</v>
      </c>
      <c r="AL30" s="375">
        <f t="shared" si="13"/>
        <v>55</v>
      </c>
      <c r="AM30" s="375">
        <f t="shared" si="13"/>
        <v>85</v>
      </c>
      <c r="AN30" s="375">
        <f t="shared" si="5"/>
        <v>0</v>
      </c>
      <c r="AO30" s="376">
        <f t="shared" si="10"/>
        <v>0</v>
      </c>
      <c r="AP30" s="376">
        <f t="shared" si="8"/>
        <v>0.5</v>
      </c>
      <c r="AQ30" s="376">
        <f t="shared" si="11"/>
        <v>5</v>
      </c>
      <c r="AR30" s="376" t="str">
        <f>IFERROR((_xlfn.XLOOKUP(AH30,'DO NOT TOUCH'!$Q$9:$Q$14,'DO NOT TOUCH'!$R$9:$R$14,)),"TBD")</f>
        <v>TBD</v>
      </c>
      <c r="AS30" s="376">
        <f>INPUT_OUTPUTS!$C$19</f>
        <v>0</v>
      </c>
      <c r="AT30" s="377" t="str">
        <f t="shared" si="12"/>
        <v>1, 2</v>
      </c>
    </row>
    <row r="31" spans="2:46" ht="15" customHeight="1">
      <c r="AD31" s="44" t="s">
        <v>109</v>
      </c>
      <c r="AE31" s="41" t="s">
        <v>72</v>
      </c>
      <c r="AF31" s="41" t="s">
        <v>77</v>
      </c>
      <c r="AG31" s="375">
        <f>SUMIF($B$7:$B$17,AD31,$T$7:$T$17)</f>
        <v>0</v>
      </c>
      <c r="AH31" s="375" t="str">
        <f>IFERROR((VLOOKUP(AG31,'DO NOT TOUCH'!$P$9:$Q$14,2,TRUE)),"TBD")</f>
        <v>TBD</v>
      </c>
      <c r="AI31" s="375">
        <f t="shared" si="9"/>
        <v>0.5</v>
      </c>
      <c r="AJ31" s="375">
        <f>INPUT_OUTPUTS!$C$16</f>
        <v>140</v>
      </c>
      <c r="AK31" s="375">
        <f>INPUT_OUTPUTS!$C$17</f>
        <v>100</v>
      </c>
      <c r="AL31" s="375">
        <f t="shared" si="13"/>
        <v>55</v>
      </c>
      <c r="AM31" s="375">
        <f t="shared" si="13"/>
        <v>85</v>
      </c>
      <c r="AN31" s="375">
        <f t="shared" si="5"/>
        <v>0</v>
      </c>
      <c r="AO31" s="376">
        <f t="shared" si="10"/>
        <v>0</v>
      </c>
      <c r="AP31" s="376">
        <f t="shared" si="8"/>
        <v>0.5</v>
      </c>
      <c r="AQ31" s="376">
        <f t="shared" si="11"/>
        <v>5</v>
      </c>
      <c r="AR31" s="376" t="str">
        <f>IFERROR((_xlfn.XLOOKUP(AH31,'DO NOT TOUCH'!$Q$9:$Q$14,'DO NOT TOUCH'!$R$9:$R$14,)),"TBD")</f>
        <v>TBD</v>
      </c>
      <c r="AS31" s="376">
        <f>INPUT_OUTPUTS!$C$19</f>
        <v>0</v>
      </c>
      <c r="AT31" s="377" t="str">
        <f t="shared" si="12"/>
        <v>1, 2</v>
      </c>
    </row>
    <row r="32" spans="2:46" ht="15" customHeight="1">
      <c r="AD32" s="44" t="s">
        <v>110</v>
      </c>
      <c r="AE32" s="41" t="s">
        <v>72</v>
      </c>
      <c r="AF32" s="41" t="s">
        <v>77</v>
      </c>
      <c r="AG32" s="375">
        <f>SUMIF($B$7:$B$17,AD32,$T$7:$T$17)</f>
        <v>0</v>
      </c>
      <c r="AH32" s="375" t="str">
        <f>IFERROR((VLOOKUP(AG32,'DO NOT TOUCH'!$P$9:$Q$14,2,TRUE)),"TBD")</f>
        <v>TBD</v>
      </c>
      <c r="AI32" s="375">
        <f t="shared" si="9"/>
        <v>0.5</v>
      </c>
      <c r="AJ32" s="375">
        <f>INPUT_OUTPUTS!$C$16</f>
        <v>140</v>
      </c>
      <c r="AK32" s="375">
        <f>INPUT_OUTPUTS!$C$17</f>
        <v>100</v>
      </c>
      <c r="AL32" s="375">
        <f t="shared" si="13"/>
        <v>55</v>
      </c>
      <c r="AM32" s="375">
        <f t="shared" si="13"/>
        <v>85</v>
      </c>
      <c r="AN32" s="375">
        <f t="shared" si="5"/>
        <v>0</v>
      </c>
      <c r="AO32" s="376">
        <f t="shared" si="10"/>
        <v>0</v>
      </c>
      <c r="AP32" s="376">
        <f t="shared" si="8"/>
        <v>0.5</v>
      </c>
      <c r="AQ32" s="376">
        <f t="shared" si="11"/>
        <v>5</v>
      </c>
      <c r="AR32" s="376" t="str">
        <f>IFERROR((_xlfn.XLOOKUP(AH32,'DO NOT TOUCH'!$Q$9:$Q$14,'DO NOT TOUCH'!$R$9:$R$14,)),"TBD")</f>
        <v>TBD</v>
      </c>
      <c r="AS32" s="376">
        <f>INPUT_OUTPUTS!$C$19</f>
        <v>0</v>
      </c>
      <c r="AT32" s="377" t="str">
        <f t="shared" si="12"/>
        <v>1, 2</v>
      </c>
    </row>
    <row r="33" spans="30:46" ht="15" customHeight="1">
      <c r="AD33" s="44" t="s">
        <v>111</v>
      </c>
      <c r="AE33" s="41" t="s">
        <v>72</v>
      </c>
      <c r="AF33" s="41" t="s">
        <v>77</v>
      </c>
      <c r="AG33" s="375">
        <f>SUMIF($B$7:$B$17,AD33,$T$7:$T$17)</f>
        <v>0</v>
      </c>
      <c r="AH33" s="375" t="str">
        <f>IFERROR((VLOOKUP(AG33,'DO NOT TOUCH'!$P$9:$Q$14,2,TRUE)),"TBD")</f>
        <v>TBD</v>
      </c>
      <c r="AI33" s="375">
        <f t="shared" si="9"/>
        <v>0.5</v>
      </c>
      <c r="AJ33" s="375">
        <f>INPUT_OUTPUTS!$C$16</f>
        <v>140</v>
      </c>
      <c r="AK33" s="375">
        <f>INPUT_OUTPUTS!$C$17</f>
        <v>100</v>
      </c>
      <c r="AL33" s="375">
        <f t="shared" si="13"/>
        <v>55</v>
      </c>
      <c r="AM33" s="375">
        <f t="shared" si="13"/>
        <v>85</v>
      </c>
      <c r="AN33" s="375">
        <f t="shared" si="5"/>
        <v>0</v>
      </c>
      <c r="AO33" s="376">
        <f t="shared" si="10"/>
        <v>0</v>
      </c>
      <c r="AP33" s="376">
        <f t="shared" si="8"/>
        <v>0.5</v>
      </c>
      <c r="AQ33" s="376">
        <f t="shared" si="11"/>
        <v>5</v>
      </c>
      <c r="AR33" s="376" t="str">
        <f>IFERROR((_xlfn.XLOOKUP(AH33,'DO NOT TOUCH'!$Q$9:$Q$14,'DO NOT TOUCH'!$R$9:$R$14,)),"TBD")</f>
        <v>TBD</v>
      </c>
      <c r="AS33" s="376">
        <f>INPUT_OUTPUTS!$C$19</f>
        <v>0</v>
      </c>
      <c r="AT33" s="377" t="str">
        <f t="shared" si="12"/>
        <v>1, 2</v>
      </c>
    </row>
    <row r="34" spans="30:46" ht="15" customHeight="1">
      <c r="AD34" s="44" t="s">
        <v>112</v>
      </c>
      <c r="AE34" s="41" t="s">
        <v>72</v>
      </c>
      <c r="AF34" s="41" t="s">
        <v>77</v>
      </c>
      <c r="AG34" s="375">
        <f>SUMIF($B$7:$B$17,AD34,$T$7:$T$17)</f>
        <v>0</v>
      </c>
      <c r="AH34" s="375" t="str">
        <f>IFERROR((VLOOKUP(AG34,'DO NOT TOUCH'!$P$9:$Q$14,2,TRUE)),"TBD")</f>
        <v>TBD</v>
      </c>
      <c r="AI34" s="375">
        <f t="shared" si="9"/>
        <v>0.5</v>
      </c>
      <c r="AJ34" s="375">
        <f>INPUT_OUTPUTS!$C$16</f>
        <v>140</v>
      </c>
      <c r="AK34" s="375">
        <f>INPUT_OUTPUTS!$C$17</f>
        <v>100</v>
      </c>
      <c r="AL34" s="375">
        <f t="shared" si="13"/>
        <v>55</v>
      </c>
      <c r="AM34" s="375">
        <f t="shared" si="13"/>
        <v>85</v>
      </c>
      <c r="AN34" s="375">
        <f t="shared" si="5"/>
        <v>0</v>
      </c>
      <c r="AO34" s="376">
        <f t="shared" si="10"/>
        <v>0</v>
      </c>
      <c r="AP34" s="376">
        <f t="shared" si="8"/>
        <v>0.5</v>
      </c>
      <c r="AQ34" s="376">
        <f t="shared" si="11"/>
        <v>5</v>
      </c>
      <c r="AR34" s="376" t="str">
        <f>IFERROR((_xlfn.XLOOKUP(AH34,'DO NOT TOUCH'!$Q$9:$Q$14,'DO NOT TOUCH'!$R$9:$R$14,)),"TBD")</f>
        <v>TBD</v>
      </c>
      <c r="AS34" s="376">
        <f>INPUT_OUTPUTS!$C$19</f>
        <v>0</v>
      </c>
      <c r="AT34" s="377" t="str">
        <f t="shared" si="12"/>
        <v>1, 2</v>
      </c>
    </row>
    <row r="35" spans="30:46" ht="15" customHeight="1">
      <c r="AD35" s="44" t="s">
        <v>113</v>
      </c>
      <c r="AE35" s="41" t="s">
        <v>72</v>
      </c>
      <c r="AF35" s="41" t="s">
        <v>77</v>
      </c>
      <c r="AG35" s="375">
        <f>SUMIF($B$7:$B$17,AD35,$T$7:$T$17)</f>
        <v>0</v>
      </c>
      <c r="AH35" s="375" t="str">
        <f>IFERROR((VLOOKUP(AG35,'DO NOT TOUCH'!$P$9:$Q$14,2,TRUE)),"TBD")</f>
        <v>TBD</v>
      </c>
      <c r="AI35" s="375">
        <f t="shared" si="9"/>
        <v>0.5</v>
      </c>
      <c r="AJ35" s="375">
        <f>INPUT_OUTPUTS!$C$16</f>
        <v>140</v>
      </c>
      <c r="AK35" s="375">
        <f>INPUT_OUTPUTS!$C$17</f>
        <v>100</v>
      </c>
      <c r="AL35" s="375">
        <f t="shared" si="13"/>
        <v>55</v>
      </c>
      <c r="AM35" s="375">
        <f t="shared" si="13"/>
        <v>85</v>
      </c>
      <c r="AN35" s="375">
        <f t="shared" si="5"/>
        <v>0</v>
      </c>
      <c r="AO35" s="376">
        <f t="shared" si="10"/>
        <v>0</v>
      </c>
      <c r="AP35" s="376">
        <f t="shared" si="8"/>
        <v>0.5</v>
      </c>
      <c r="AQ35" s="376">
        <f t="shared" si="11"/>
        <v>5</v>
      </c>
      <c r="AR35" s="376" t="str">
        <f>IFERROR((_xlfn.XLOOKUP(AH35,'DO NOT TOUCH'!$Q$9:$Q$14,'DO NOT TOUCH'!$R$9:$R$14,)),"TBD")</f>
        <v>TBD</v>
      </c>
      <c r="AS35" s="376">
        <f>INPUT_OUTPUTS!$C$19</f>
        <v>0</v>
      </c>
      <c r="AT35" s="377" t="str">
        <f t="shared" si="12"/>
        <v>1, 2</v>
      </c>
    </row>
    <row r="36" spans="30:46" ht="15" customHeight="1">
      <c r="AD36" s="44" t="s">
        <v>114</v>
      </c>
      <c r="AE36" s="41" t="s">
        <v>72</v>
      </c>
      <c r="AF36" s="41" t="s">
        <v>77</v>
      </c>
      <c r="AG36" s="375">
        <f>SUMIF($B$7:$B$17,AD36,$T$7:$T$17)</f>
        <v>0</v>
      </c>
      <c r="AH36" s="375" t="str">
        <f>IFERROR((VLOOKUP(AG36,'DO NOT TOUCH'!$P$9:$Q$14,2,TRUE)),"TBD")</f>
        <v>TBD</v>
      </c>
      <c r="AI36" s="375">
        <f t="shared" si="9"/>
        <v>0.5</v>
      </c>
      <c r="AJ36" s="375">
        <f>INPUT_OUTPUTS!$C$16</f>
        <v>140</v>
      </c>
      <c r="AK36" s="375">
        <f>INPUT_OUTPUTS!$C$17</f>
        <v>100</v>
      </c>
      <c r="AL36" s="375">
        <f t="shared" si="13"/>
        <v>55</v>
      </c>
      <c r="AM36" s="375">
        <f t="shared" si="13"/>
        <v>85</v>
      </c>
      <c r="AN36" s="375">
        <f t="shared" si="5"/>
        <v>0</v>
      </c>
      <c r="AO36" s="376">
        <f t="shared" si="10"/>
        <v>0</v>
      </c>
      <c r="AP36" s="376">
        <f t="shared" si="8"/>
        <v>0.5</v>
      </c>
      <c r="AQ36" s="376">
        <f t="shared" si="11"/>
        <v>5</v>
      </c>
      <c r="AR36" s="376" t="str">
        <f>IFERROR((_xlfn.XLOOKUP(AH36,'DO NOT TOUCH'!$Q$9:$Q$14,'DO NOT TOUCH'!$R$9:$R$14,)),"TBD")</f>
        <v>TBD</v>
      </c>
      <c r="AS36" s="376">
        <f>INPUT_OUTPUTS!$C$19</f>
        <v>0</v>
      </c>
      <c r="AT36" s="377" t="str">
        <f t="shared" si="12"/>
        <v>1, 2</v>
      </c>
    </row>
    <row r="37" spans="30:46" ht="15" customHeight="1">
      <c r="AD37" s="44" t="s">
        <v>115</v>
      </c>
      <c r="AE37" s="41" t="s">
        <v>72</v>
      </c>
      <c r="AF37" s="41" t="s">
        <v>77</v>
      </c>
      <c r="AG37" s="375">
        <f>SUMIF($B$7:$B$17,AD37,$T$7:$T$17)</f>
        <v>0</v>
      </c>
      <c r="AH37" s="375" t="str">
        <f>IFERROR((VLOOKUP(AG37,'DO NOT TOUCH'!$P$9:$Q$14,2,TRUE)),"TBD")</f>
        <v>TBD</v>
      </c>
      <c r="AI37" s="375">
        <f t="shared" si="9"/>
        <v>0.5</v>
      </c>
      <c r="AJ37" s="375">
        <f>INPUT_OUTPUTS!$C$16</f>
        <v>140</v>
      </c>
      <c r="AK37" s="375">
        <f>INPUT_OUTPUTS!$C$17</f>
        <v>100</v>
      </c>
      <c r="AL37" s="375">
        <f t="shared" si="13"/>
        <v>55</v>
      </c>
      <c r="AM37" s="375">
        <f t="shared" si="13"/>
        <v>85</v>
      </c>
      <c r="AN37" s="375">
        <f t="shared" si="5"/>
        <v>0</v>
      </c>
      <c r="AO37" s="376">
        <f t="shared" si="10"/>
        <v>0</v>
      </c>
      <c r="AP37" s="376">
        <f t="shared" si="8"/>
        <v>0.5</v>
      </c>
      <c r="AQ37" s="376">
        <f t="shared" si="11"/>
        <v>5</v>
      </c>
      <c r="AR37" s="376" t="str">
        <f>IFERROR((_xlfn.XLOOKUP(AH37,'DO NOT TOUCH'!$Q$9:$Q$14,'DO NOT TOUCH'!$R$9:$R$14,)),"TBD")</f>
        <v>TBD</v>
      </c>
      <c r="AS37" s="376">
        <f>INPUT_OUTPUTS!$C$19</f>
        <v>0</v>
      </c>
      <c r="AT37" s="377" t="str">
        <f t="shared" si="12"/>
        <v>1, 2</v>
      </c>
    </row>
    <row r="38" spans="30:46" ht="15" customHeight="1">
      <c r="AD38" s="44" t="s">
        <v>116</v>
      </c>
      <c r="AE38" s="41" t="s">
        <v>72</v>
      </c>
      <c r="AF38" s="41" t="s">
        <v>77</v>
      </c>
      <c r="AG38" s="375">
        <f>SUMIF($B$7:$B$17,AD38,$T$7:$T$17)</f>
        <v>0</v>
      </c>
      <c r="AH38" s="375" t="str">
        <f>IFERROR((VLOOKUP(AG38,'DO NOT TOUCH'!$P$9:$Q$14,2,TRUE)),"TBD")</f>
        <v>TBD</v>
      </c>
      <c r="AI38" s="375">
        <f t="shared" si="9"/>
        <v>0.5</v>
      </c>
      <c r="AJ38" s="375">
        <f>INPUT_OUTPUTS!$C$16</f>
        <v>140</v>
      </c>
      <c r="AK38" s="375">
        <f>INPUT_OUTPUTS!$C$17</f>
        <v>100</v>
      </c>
      <c r="AL38" s="375">
        <f t="shared" si="13"/>
        <v>55</v>
      </c>
      <c r="AM38" s="375">
        <f t="shared" si="13"/>
        <v>85</v>
      </c>
      <c r="AN38" s="375">
        <f t="shared" si="5"/>
        <v>0</v>
      </c>
      <c r="AO38" s="376">
        <f t="shared" si="10"/>
        <v>0</v>
      </c>
      <c r="AP38" s="376">
        <f t="shared" si="8"/>
        <v>0.5</v>
      </c>
      <c r="AQ38" s="376">
        <f t="shared" si="11"/>
        <v>5</v>
      </c>
      <c r="AR38" s="376" t="str">
        <f>IFERROR((_xlfn.XLOOKUP(AH38,'DO NOT TOUCH'!$Q$9:$Q$14,'DO NOT TOUCH'!$R$9:$R$14,)),"TBD")</f>
        <v>TBD</v>
      </c>
      <c r="AS38" s="376">
        <f>INPUT_OUTPUTS!$C$19</f>
        <v>0</v>
      </c>
      <c r="AT38" s="377" t="str">
        <f t="shared" si="12"/>
        <v>1, 2</v>
      </c>
    </row>
    <row r="39" spans="30:46" ht="15" customHeight="1">
      <c r="AD39" s="44" t="s">
        <v>117</v>
      </c>
      <c r="AE39" s="41" t="s">
        <v>72</v>
      </c>
      <c r="AF39" s="41" t="s">
        <v>77</v>
      </c>
      <c r="AG39" s="375">
        <f>SUMIF($B$7:$B$17,AD39,$T$7:$T$17)</f>
        <v>0</v>
      </c>
      <c r="AH39" s="375" t="str">
        <f>IFERROR((VLOOKUP(AG39,'DO NOT TOUCH'!$P$9:$Q$14,2,TRUE)),"TBD")</f>
        <v>TBD</v>
      </c>
      <c r="AI39" s="375">
        <f t="shared" si="9"/>
        <v>0.5</v>
      </c>
      <c r="AJ39" s="375">
        <f>INPUT_OUTPUTS!$C$16</f>
        <v>140</v>
      </c>
      <c r="AK39" s="375">
        <f>INPUT_OUTPUTS!$C$17</f>
        <v>100</v>
      </c>
      <c r="AL39" s="375">
        <f t="shared" si="13"/>
        <v>55</v>
      </c>
      <c r="AM39" s="375">
        <f t="shared" si="13"/>
        <v>85</v>
      </c>
      <c r="AN39" s="375">
        <f t="shared" si="5"/>
        <v>0</v>
      </c>
      <c r="AO39" s="376">
        <f t="shared" si="10"/>
        <v>0</v>
      </c>
      <c r="AP39" s="376">
        <f t="shared" si="8"/>
        <v>0.5</v>
      </c>
      <c r="AQ39" s="376">
        <f t="shared" si="11"/>
        <v>5</v>
      </c>
      <c r="AR39" s="376" t="str">
        <f>IFERROR((_xlfn.XLOOKUP(AH39,'DO NOT TOUCH'!$Q$9:$Q$14,'DO NOT TOUCH'!$R$9:$R$14,)),"TBD")</f>
        <v>TBD</v>
      </c>
      <c r="AS39" s="376">
        <f>INPUT_OUTPUTS!$C$19</f>
        <v>0</v>
      </c>
      <c r="AT39" s="377" t="str">
        <f t="shared" si="12"/>
        <v>1, 2</v>
      </c>
    </row>
    <row r="40" spans="30:46" ht="15" customHeight="1">
      <c r="AD40" s="44" t="s">
        <v>118</v>
      </c>
      <c r="AE40" s="41" t="s">
        <v>72</v>
      </c>
      <c r="AF40" s="41" t="s">
        <v>77</v>
      </c>
      <c r="AG40" s="375">
        <f>SUMIF($B$7:$B$17,AD40,$T$7:$T$17)</f>
        <v>0</v>
      </c>
      <c r="AH40" s="375" t="str">
        <f>IFERROR((VLOOKUP(AG40,'DO NOT TOUCH'!$P$9:$Q$14,2,TRUE)),"TBD")</f>
        <v>TBD</v>
      </c>
      <c r="AI40" s="375">
        <f t="shared" si="9"/>
        <v>0.5</v>
      </c>
      <c r="AJ40" s="375">
        <f>INPUT_OUTPUTS!$C$16</f>
        <v>140</v>
      </c>
      <c r="AK40" s="375">
        <f>INPUT_OUTPUTS!$C$17</f>
        <v>100</v>
      </c>
      <c r="AL40" s="375">
        <f t="shared" ref="AL40:AM44" si="14">AL39</f>
        <v>55</v>
      </c>
      <c r="AM40" s="375">
        <f t="shared" si="14"/>
        <v>85</v>
      </c>
      <c r="AN40" s="375">
        <f t="shared" si="5"/>
        <v>0</v>
      </c>
      <c r="AO40" s="376">
        <f t="shared" si="10"/>
        <v>0</v>
      </c>
      <c r="AP40" s="376">
        <f t="shared" si="8"/>
        <v>0.5</v>
      </c>
      <c r="AQ40" s="376">
        <f t="shared" si="11"/>
        <v>5</v>
      </c>
      <c r="AR40" s="376" t="str">
        <f>IFERROR((_xlfn.XLOOKUP(AH40,'DO NOT TOUCH'!$Q$9:$Q$14,'DO NOT TOUCH'!$R$9:$R$14,)),"TBD")</f>
        <v>TBD</v>
      </c>
      <c r="AS40" s="376">
        <f>INPUT_OUTPUTS!$C$19</f>
        <v>0</v>
      </c>
      <c r="AT40" s="377" t="str">
        <f t="shared" si="12"/>
        <v>1, 2</v>
      </c>
    </row>
    <row r="41" spans="30:46" ht="15" customHeight="1">
      <c r="AD41" s="44" t="s">
        <v>119</v>
      </c>
      <c r="AE41" s="41" t="s">
        <v>72</v>
      </c>
      <c r="AF41" s="41" t="s">
        <v>77</v>
      </c>
      <c r="AG41" s="375">
        <f>SUMIF($B$7:$B$17,AD41,$T$7:$T$17)</f>
        <v>0</v>
      </c>
      <c r="AH41" s="375" t="str">
        <f>IFERROR((VLOOKUP(AG41,'DO NOT TOUCH'!$P$9:$Q$14,2,TRUE)),"TBD")</f>
        <v>TBD</v>
      </c>
      <c r="AI41" s="375">
        <f t="shared" si="9"/>
        <v>0.5</v>
      </c>
      <c r="AJ41" s="375">
        <f>INPUT_OUTPUTS!$C$16</f>
        <v>140</v>
      </c>
      <c r="AK41" s="375">
        <f>INPUT_OUTPUTS!$C$17</f>
        <v>100</v>
      </c>
      <c r="AL41" s="375">
        <f t="shared" si="14"/>
        <v>55</v>
      </c>
      <c r="AM41" s="375">
        <f t="shared" si="14"/>
        <v>85</v>
      </c>
      <c r="AN41" s="375">
        <f t="shared" si="5"/>
        <v>0</v>
      </c>
      <c r="AO41" s="376">
        <f t="shared" si="10"/>
        <v>0</v>
      </c>
      <c r="AP41" s="376">
        <f t="shared" si="8"/>
        <v>0.5</v>
      </c>
      <c r="AQ41" s="376">
        <f t="shared" si="11"/>
        <v>5</v>
      </c>
      <c r="AR41" s="376" t="str">
        <f>IFERROR((_xlfn.XLOOKUP(AH41,'DO NOT TOUCH'!$Q$9:$Q$14,'DO NOT TOUCH'!$R$9:$R$14,)),"TBD")</f>
        <v>TBD</v>
      </c>
      <c r="AS41" s="376">
        <f>INPUT_OUTPUTS!$C$19</f>
        <v>0</v>
      </c>
      <c r="AT41" s="377" t="str">
        <f t="shared" si="12"/>
        <v>1, 2</v>
      </c>
    </row>
    <row r="42" spans="30:46" ht="15" customHeight="1">
      <c r="AD42" s="44" t="s">
        <v>120</v>
      </c>
      <c r="AE42" s="41" t="s">
        <v>72</v>
      </c>
      <c r="AF42" s="41" t="s">
        <v>77</v>
      </c>
      <c r="AG42" s="375">
        <f>SUMIF($B$7:$B$17,AD42,$T$7:$T$17)</f>
        <v>0</v>
      </c>
      <c r="AH42" s="375" t="str">
        <f>IFERROR((VLOOKUP(AG42,'DO NOT TOUCH'!$P$9:$Q$14,2,TRUE)),"TBD")</f>
        <v>TBD</v>
      </c>
      <c r="AI42" s="375">
        <f t="shared" si="9"/>
        <v>0.5</v>
      </c>
      <c r="AJ42" s="375">
        <f>INPUT_OUTPUTS!$C$16</f>
        <v>140</v>
      </c>
      <c r="AK42" s="375">
        <f>INPUT_OUTPUTS!$C$17</f>
        <v>100</v>
      </c>
      <c r="AL42" s="375">
        <f t="shared" si="14"/>
        <v>55</v>
      </c>
      <c r="AM42" s="375">
        <f t="shared" si="14"/>
        <v>85</v>
      </c>
      <c r="AN42" s="375">
        <f t="shared" si="5"/>
        <v>0</v>
      </c>
      <c r="AO42" s="376">
        <f t="shared" si="10"/>
        <v>0</v>
      </c>
      <c r="AP42" s="376">
        <f t="shared" si="8"/>
        <v>0.5</v>
      </c>
      <c r="AQ42" s="376">
        <f t="shared" si="11"/>
        <v>5</v>
      </c>
      <c r="AR42" s="376" t="str">
        <f>IFERROR((_xlfn.XLOOKUP(AH42,'DO NOT TOUCH'!$Q$9:$Q$14,'DO NOT TOUCH'!$R$9:$R$14,)),"TBD")</f>
        <v>TBD</v>
      </c>
      <c r="AS42" s="376">
        <f>INPUT_OUTPUTS!$C$19</f>
        <v>0</v>
      </c>
      <c r="AT42" s="377" t="str">
        <f t="shared" si="12"/>
        <v>1, 2</v>
      </c>
    </row>
    <row r="43" spans="30:46" ht="15" customHeight="1">
      <c r="AD43" s="44" t="s">
        <v>121</v>
      </c>
      <c r="AE43" s="41" t="s">
        <v>72</v>
      </c>
      <c r="AF43" s="41" t="s">
        <v>77</v>
      </c>
      <c r="AG43" s="375">
        <f>SUMIF($B$7:$B$17,AD43,$T$7:$T$17)</f>
        <v>0</v>
      </c>
      <c r="AH43" s="375" t="str">
        <f>IFERROR((VLOOKUP(AG43,'DO NOT TOUCH'!$P$9:$Q$14,2,TRUE)),"TBD")</f>
        <v>TBD</v>
      </c>
      <c r="AI43" s="375">
        <f t="shared" si="9"/>
        <v>0.5</v>
      </c>
      <c r="AJ43" s="375">
        <f>INPUT_OUTPUTS!$C$16</f>
        <v>140</v>
      </c>
      <c r="AK43" s="375">
        <f>INPUT_OUTPUTS!$C$17</f>
        <v>100</v>
      </c>
      <c r="AL43" s="375">
        <f t="shared" si="14"/>
        <v>55</v>
      </c>
      <c r="AM43" s="375">
        <f t="shared" si="14"/>
        <v>85</v>
      </c>
      <c r="AN43" s="375">
        <f t="shared" si="5"/>
        <v>0</v>
      </c>
      <c r="AO43" s="376">
        <f t="shared" si="10"/>
        <v>0</v>
      </c>
      <c r="AP43" s="376">
        <f t="shared" si="8"/>
        <v>0.5</v>
      </c>
      <c r="AQ43" s="376">
        <f t="shared" si="11"/>
        <v>5</v>
      </c>
      <c r="AR43" s="376" t="str">
        <f>IFERROR((_xlfn.XLOOKUP(AH43,'DO NOT TOUCH'!$Q$9:$Q$14,'DO NOT TOUCH'!$R$9:$R$14,)),"TBD")</f>
        <v>TBD</v>
      </c>
      <c r="AS43" s="376">
        <f>INPUT_OUTPUTS!$C$19</f>
        <v>0</v>
      </c>
      <c r="AT43" s="377" t="str">
        <f t="shared" si="12"/>
        <v>1, 2</v>
      </c>
    </row>
    <row r="44" spans="30:46" ht="15" customHeight="1">
      <c r="AD44" s="46" t="s">
        <v>122</v>
      </c>
      <c r="AE44" s="47" t="s">
        <v>72</v>
      </c>
      <c r="AF44" s="47" t="s">
        <v>77</v>
      </c>
      <c r="AG44" s="378">
        <f>SUMIF($B$7:$B$17,AD44,$T$7:$T$17)</f>
        <v>0</v>
      </c>
      <c r="AH44" s="378" t="str">
        <f>IFERROR((VLOOKUP(AG44,'DO NOT TOUCH'!$P$9:$Q$14,2,TRUE)),"TBD")</f>
        <v>TBD</v>
      </c>
      <c r="AI44" s="378">
        <f t="shared" si="9"/>
        <v>0.5</v>
      </c>
      <c r="AJ44" s="378">
        <f>INPUT_OUTPUTS!$C$16</f>
        <v>140</v>
      </c>
      <c r="AK44" s="378">
        <f>INPUT_OUTPUTS!$C$17</f>
        <v>100</v>
      </c>
      <c r="AL44" s="378">
        <f t="shared" si="14"/>
        <v>55</v>
      </c>
      <c r="AM44" s="378">
        <f t="shared" si="14"/>
        <v>85</v>
      </c>
      <c r="AN44" s="378">
        <f t="shared" si="5"/>
        <v>0</v>
      </c>
      <c r="AO44" s="379">
        <f t="shared" si="10"/>
        <v>0</v>
      </c>
      <c r="AP44" s="379">
        <f t="shared" si="8"/>
        <v>0.5</v>
      </c>
      <c r="AQ44" s="379">
        <f t="shared" si="11"/>
        <v>5</v>
      </c>
      <c r="AR44" s="379" t="str">
        <f>IFERROR((_xlfn.XLOOKUP(AH44,'DO NOT TOUCH'!$Q$9:$Q$14,'DO NOT TOUCH'!$R$9:$R$14,)),"TBD")</f>
        <v>TBD</v>
      </c>
      <c r="AS44" s="376">
        <f>INPUT_OUTPUTS!$C$19</f>
        <v>0</v>
      </c>
      <c r="AT44" s="380" t="str">
        <f t="shared" si="12"/>
        <v>1, 2</v>
      </c>
    </row>
    <row r="45" spans="30:46" ht="15" customHeight="1">
      <c r="AD45" s="55" t="s">
        <v>140</v>
      </c>
      <c r="AE45" s="56"/>
      <c r="AF45" s="56"/>
      <c r="AG45" s="57"/>
      <c r="AH45" s="57"/>
      <c r="AI45" s="57"/>
      <c r="AJ45" s="57"/>
      <c r="AK45" s="57"/>
      <c r="AL45" s="57"/>
      <c r="AM45" s="57"/>
      <c r="AN45" s="57">
        <f>SUBTOTAL(109,AHU1_CAV_SCHEDULE4411[MIN MBH])</f>
        <v>0</v>
      </c>
      <c r="AO45" s="57"/>
      <c r="AP45" s="59">
        <f>SUBTOTAL(109,AHU1_CAV_SCHEDULE4411[GPM])</f>
        <v>19</v>
      </c>
      <c r="AQ45" s="57"/>
      <c r="AR45" s="57"/>
      <c r="AS45" s="57"/>
      <c r="AT45" s="58"/>
    </row>
    <row r="46" spans="30:46" ht="15" customHeight="1">
      <c r="AD46" s="322" t="s">
        <v>75</v>
      </c>
      <c r="AE46" s="323"/>
      <c r="AF46" s="323"/>
      <c r="AG46" s="323"/>
      <c r="AH46" s="323"/>
      <c r="AI46" s="323"/>
      <c r="AJ46" s="323"/>
      <c r="AK46" s="323"/>
      <c r="AL46" s="323"/>
      <c r="AM46" s="323"/>
      <c r="AN46" s="323"/>
      <c r="AO46" s="323"/>
      <c r="AP46" s="323"/>
      <c r="AQ46" s="323"/>
      <c r="AR46" s="323"/>
      <c r="AS46" s="323"/>
      <c r="AT46" s="324"/>
    </row>
    <row r="47" spans="30:46" ht="15" customHeight="1">
      <c r="AD47" s="325"/>
      <c r="AE47" s="326"/>
      <c r="AF47" s="326"/>
      <c r="AG47" s="326"/>
      <c r="AH47" s="326"/>
      <c r="AI47" s="326"/>
      <c r="AJ47" s="326"/>
      <c r="AK47" s="326"/>
      <c r="AL47" s="326"/>
      <c r="AM47" s="326"/>
      <c r="AN47" s="326"/>
      <c r="AO47" s="326"/>
      <c r="AP47" s="326"/>
      <c r="AQ47" s="326"/>
      <c r="AR47" s="326"/>
      <c r="AS47" s="326"/>
      <c r="AT47" s="327"/>
    </row>
    <row r="48" spans="30:46" ht="15" customHeight="1">
      <c r="AD48" s="325"/>
      <c r="AE48" s="326"/>
      <c r="AF48" s="326"/>
      <c r="AG48" s="326"/>
      <c r="AH48" s="326"/>
      <c r="AI48" s="326"/>
      <c r="AJ48" s="326"/>
      <c r="AK48" s="326"/>
      <c r="AL48" s="326"/>
      <c r="AM48" s="326"/>
      <c r="AN48" s="326"/>
      <c r="AO48" s="326"/>
      <c r="AP48" s="326"/>
      <c r="AQ48" s="326"/>
      <c r="AR48" s="326"/>
      <c r="AS48" s="326"/>
      <c r="AT48" s="327"/>
    </row>
    <row r="49" spans="29:46" ht="15" customHeight="1">
      <c r="AD49" s="328"/>
      <c r="AE49" s="329"/>
      <c r="AF49" s="329"/>
      <c r="AG49" s="329"/>
      <c r="AH49" s="329"/>
      <c r="AI49" s="329"/>
      <c r="AJ49" s="329"/>
      <c r="AK49" s="329"/>
      <c r="AL49" s="329"/>
      <c r="AM49" s="329"/>
      <c r="AN49" s="329"/>
      <c r="AO49" s="329"/>
      <c r="AP49" s="329"/>
      <c r="AQ49" s="329"/>
      <c r="AR49" s="329"/>
      <c r="AS49" s="329"/>
      <c r="AT49" s="330"/>
    </row>
    <row r="50" spans="29:46" ht="15" customHeight="1">
      <c r="AD50" s="91"/>
      <c r="AE50" s="88"/>
      <c r="AF50" s="88"/>
      <c r="AG50" s="91"/>
      <c r="AH50" s="88"/>
      <c r="AI50" s="88"/>
      <c r="AJ50" s="91"/>
      <c r="AK50" s="91"/>
      <c r="AO50" s="91"/>
      <c r="AP50" s="91"/>
      <c r="AQ50" s="89"/>
      <c r="AR50" s="91"/>
      <c r="AS50" s="92"/>
    </row>
    <row r="51" spans="29:46" ht="15" customHeight="1"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</row>
    <row r="52" spans="29:46" ht="15" customHeight="1"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</row>
    <row r="53" spans="29:46" ht="15" customHeight="1"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</row>
    <row r="54" spans="29:46" ht="15" customHeight="1"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</row>
    <row r="55" spans="29:46" ht="15" customHeight="1">
      <c r="AC55" s="93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T55" s="89"/>
    </row>
    <row r="56" spans="29:46" ht="15" customHeight="1">
      <c r="AC56" s="93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T56" s="89"/>
    </row>
    <row r="57" spans="29:46" ht="15" customHeight="1">
      <c r="AC57" s="93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T57" s="89"/>
    </row>
    <row r="58" spans="29:46" ht="15" customHeight="1">
      <c r="AC58" s="93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T58" s="89"/>
    </row>
    <row r="59" spans="29:46" ht="15" customHeight="1">
      <c r="AC59" s="93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T59" s="89"/>
    </row>
    <row r="60" spans="29:46" ht="15" customHeight="1">
      <c r="AC60" s="93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T60" s="89"/>
    </row>
    <row r="61" spans="29:46" ht="15" customHeight="1">
      <c r="AC61" s="93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T61" s="89"/>
    </row>
    <row r="62" spans="29:46" ht="15" customHeight="1">
      <c r="AC62" s="93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T62" s="89"/>
    </row>
    <row r="63" spans="29:46" ht="15" customHeight="1">
      <c r="AC63" s="93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T63" s="89"/>
    </row>
    <row r="64" spans="29:46" ht="15" customHeight="1">
      <c r="AC64" s="93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T64" s="89"/>
    </row>
    <row r="65" spans="27:47" ht="15" customHeight="1">
      <c r="AC65" s="93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T65" s="89"/>
    </row>
    <row r="66" spans="27:47" ht="15" customHeight="1">
      <c r="AC66" s="93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T66" s="89"/>
    </row>
    <row r="67" spans="27:47" ht="15" customHeight="1">
      <c r="AC67" s="93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T67" s="89"/>
    </row>
    <row r="68" spans="27:47" ht="15" customHeight="1">
      <c r="AC68" s="93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T68" s="89"/>
    </row>
    <row r="69" spans="27:47" ht="15" customHeight="1">
      <c r="AC69" s="93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T69" s="89"/>
    </row>
    <row r="70" spans="27:47" ht="15" customHeight="1">
      <c r="AC70" s="93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T70" s="89"/>
    </row>
    <row r="71" spans="27:47" ht="15" customHeight="1">
      <c r="AC71" s="93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T71" s="89"/>
    </row>
    <row r="72" spans="27:47" ht="15" customHeight="1">
      <c r="AC72" s="93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T72" s="89"/>
    </row>
    <row r="73" spans="27:47" ht="15" customHeight="1">
      <c r="AC73" s="93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T73" s="89"/>
    </row>
    <row r="74" spans="27:47" ht="15" customHeight="1">
      <c r="AC74" s="93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T74" s="89"/>
    </row>
    <row r="75" spans="27:47" ht="15" customHeight="1">
      <c r="AC75" s="93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T75" s="89"/>
    </row>
    <row r="76" spans="27:47" ht="15" customHeight="1">
      <c r="AC76" s="93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T76" s="89"/>
    </row>
    <row r="77" spans="27:47" ht="15" customHeight="1">
      <c r="AC77" s="93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T77" s="89"/>
    </row>
    <row r="78" spans="27:47" ht="15" customHeight="1">
      <c r="AC78" s="93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T78" s="89"/>
    </row>
    <row r="79" spans="27:47" ht="15" customHeight="1">
      <c r="AC79" s="93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T79" s="89"/>
    </row>
    <row r="80" spans="27:47">
      <c r="AA80" s="107"/>
      <c r="AC80" s="93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U80" s="89"/>
    </row>
    <row r="81" spans="27:47" ht="15" customHeight="1">
      <c r="AA81" s="107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U81" s="89"/>
    </row>
    <row r="82" spans="27:47" ht="15" customHeight="1">
      <c r="AA82" s="108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U82" s="89"/>
    </row>
    <row r="83" spans="27:47" ht="15" customHeight="1"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  <c r="AU83" s="89"/>
    </row>
    <row r="84" spans="27:47" ht="15" customHeight="1"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U84" s="89"/>
    </row>
    <row r="85" spans="27:47" ht="15" customHeight="1"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U85" s="89"/>
    </row>
    <row r="86" spans="27:47" ht="15" customHeight="1"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U86" s="89"/>
    </row>
    <row r="87" spans="27:47" ht="15" customHeight="1"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U87" s="89"/>
    </row>
    <row r="88" spans="27:47" ht="15" customHeight="1"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U88" s="89"/>
    </row>
    <row r="89" spans="27:47" ht="15" customHeight="1"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U89" s="89"/>
    </row>
    <row r="90" spans="27:47" ht="15" customHeight="1"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U90" s="89"/>
    </row>
    <row r="91" spans="27:47" ht="15" customHeight="1"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U91" s="89"/>
    </row>
    <row r="92" spans="27:47" ht="15" customHeight="1"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U92" s="89"/>
    </row>
    <row r="93" spans="27:47" ht="15" customHeight="1"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U93" s="89"/>
    </row>
    <row r="94" spans="27:47" ht="15" customHeight="1"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U94" s="89"/>
    </row>
    <row r="95" spans="27:47" ht="15" customHeight="1"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U95" s="89"/>
    </row>
    <row r="96" spans="27:47" ht="15" customHeight="1"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U96" s="89"/>
    </row>
    <row r="97" spans="33:47" ht="15" customHeight="1"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U97" s="89"/>
    </row>
    <row r="98" spans="33:47" ht="15.75" customHeight="1"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U98" s="89"/>
    </row>
    <row r="99" spans="33:47"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U99" s="89"/>
    </row>
    <row r="100" spans="33:47"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U100" s="89"/>
    </row>
    <row r="101" spans="33:47"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U101" s="89"/>
    </row>
    <row r="102" spans="33:47" ht="15" customHeight="1"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U102" s="89"/>
    </row>
    <row r="103" spans="33:47"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</row>
    <row r="104" spans="33:47">
      <c r="AP104" s="110"/>
      <c r="AQ104" s="110"/>
      <c r="AR104" s="110"/>
      <c r="AS104" s="110"/>
    </row>
  </sheetData>
  <dataConsolidate topLabels="1">
    <dataRefs count="1">
      <dataRef ref="C8:D86" sheet="AHU 1"/>
    </dataRefs>
  </dataConsolidate>
  <mergeCells count="7">
    <mergeCell ref="Y4:Z4"/>
    <mergeCell ref="AD46:AT49"/>
    <mergeCell ref="S5:V5"/>
    <mergeCell ref="X5:Z5"/>
    <mergeCell ref="AD5:AT5"/>
    <mergeCell ref="I5:R5"/>
    <mergeCell ref="B5:H5"/>
  </mergeCells>
  <conditionalFormatting sqref="Y7:Y17">
    <cfRule type="cellIs" dxfId="1" priority="328" operator="greaterThan">
      <formula>$X$4</formula>
    </cfRule>
  </conditionalFormatting>
  <conditionalFormatting sqref="W7:X7">
    <cfRule type="cellIs" dxfId="0" priority="1" operator="greaterThan">
      <formula>$X$4</formula>
    </cfRule>
  </conditionalFormatting>
  <dataValidations disablePrompts="1"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U7:U17 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U7:U17 V7:V17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A33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2" sqref="B22:L23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9.28515625" customWidth="1"/>
    <col min="15" max="15" width="9.7109375" customWidth="1"/>
    <col min="16" max="16" width="9.140625" customWidth="1"/>
    <col min="17" max="17" width="9.28515625" customWidth="1"/>
    <col min="18" max="18" width="9.7109375" customWidth="1"/>
    <col min="19" max="19" width="9.140625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1" width="9.140625" customWidth="1"/>
    <col min="42" max="42" width="9.28515625" customWidth="1"/>
    <col min="43" max="43" width="26" customWidth="1"/>
    <col min="44" max="44" width="17" customWidth="1"/>
    <col min="45" max="46" width="9.42578125" customWidth="1"/>
    <col min="47" max="47" width="8.28515625" customWidth="1" collapsed="1"/>
    <col min="48" max="48" width="9.28515625" customWidth="1"/>
    <col min="49" max="50" width="22.42578125" customWidth="1"/>
    <col min="51" max="51" width="10.7109375" bestFit="1" customWidth="1"/>
  </cols>
  <sheetData>
    <row r="2" spans="1:53">
      <c r="B2" s="74"/>
      <c r="C2" s="74"/>
    </row>
    <row r="8" spans="1:53" s="62" customFormat="1" ht="12.95" customHeight="1">
      <c r="A8" s="338"/>
      <c r="B8" s="339" t="s">
        <v>34</v>
      </c>
      <c r="C8" s="339"/>
      <c r="D8" s="339"/>
      <c r="E8" s="339"/>
      <c r="F8" s="339"/>
      <c r="G8" s="339"/>
      <c r="H8" s="339"/>
      <c r="I8" s="339"/>
      <c r="J8" s="339"/>
      <c r="K8" s="339"/>
      <c r="L8" s="339"/>
      <c r="M8" s="339"/>
      <c r="N8" s="339" t="s">
        <v>35</v>
      </c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 t="s">
        <v>36</v>
      </c>
      <c r="AA8" s="339"/>
      <c r="AB8" s="339"/>
      <c r="AC8" s="339"/>
      <c r="AD8" s="339"/>
      <c r="AE8" s="339"/>
      <c r="AF8" s="339"/>
      <c r="AG8" s="339"/>
      <c r="AH8" s="339"/>
      <c r="AI8" s="339"/>
      <c r="AJ8" s="339"/>
      <c r="AK8" s="339"/>
      <c r="AL8" s="339" t="s">
        <v>37</v>
      </c>
      <c r="AM8" s="339"/>
      <c r="AN8" s="339"/>
      <c r="AO8" s="339" t="str">
        <f>IF(INPUT_OUTPUTS!F8&lt;32,"FREEZE PROTECTION COIL","HEATING COIL")</f>
        <v>FREEZE PROTECTION COIL</v>
      </c>
      <c r="AP8" s="339"/>
      <c r="AQ8" s="339"/>
      <c r="AR8" s="339"/>
      <c r="AS8" s="339"/>
      <c r="AT8" s="339"/>
      <c r="AU8" s="339"/>
      <c r="AV8" s="339" t="s">
        <v>39</v>
      </c>
      <c r="AW8" s="339"/>
      <c r="AX8" s="339"/>
      <c r="AY8" s="339"/>
    </row>
    <row r="9" spans="1:53" s="16" customFormat="1" ht="32.25" customHeight="1">
      <c r="A9" s="338"/>
      <c r="B9" s="337" t="s">
        <v>9</v>
      </c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8" t="s">
        <v>40</v>
      </c>
      <c r="N9" s="337" t="s">
        <v>41</v>
      </c>
      <c r="O9" s="337"/>
      <c r="P9" s="337"/>
      <c r="Q9" s="337"/>
      <c r="R9" s="337"/>
      <c r="S9" s="337"/>
      <c r="T9" s="340" t="s">
        <v>42</v>
      </c>
      <c r="U9" s="340"/>
      <c r="V9" s="343" t="s">
        <v>209</v>
      </c>
      <c r="W9" s="338" t="s">
        <v>208</v>
      </c>
      <c r="X9" s="338"/>
      <c r="Y9" s="338"/>
      <c r="Z9" s="337" t="s">
        <v>41</v>
      </c>
      <c r="AA9" s="337"/>
      <c r="AB9" s="337"/>
      <c r="AC9" s="337"/>
      <c r="AD9" s="337"/>
      <c r="AE9" s="337"/>
      <c r="AF9" s="340" t="s">
        <v>43</v>
      </c>
      <c r="AG9" s="340"/>
      <c r="AH9" s="343" t="s">
        <v>209</v>
      </c>
      <c r="AI9" s="338" t="s">
        <v>81</v>
      </c>
      <c r="AJ9" s="338"/>
      <c r="AK9" s="338"/>
      <c r="AL9" s="343" t="s">
        <v>210</v>
      </c>
      <c r="AM9" s="337" t="s">
        <v>23</v>
      </c>
      <c r="AN9" s="337" t="s">
        <v>192</v>
      </c>
      <c r="AO9" s="22"/>
      <c r="AP9" s="337" t="s">
        <v>26</v>
      </c>
      <c r="AQ9" s="337"/>
      <c r="AR9" s="22" t="s">
        <v>10</v>
      </c>
      <c r="AS9" s="338" t="s">
        <v>84</v>
      </c>
      <c r="AT9" s="338"/>
      <c r="AU9" s="338"/>
      <c r="AV9" s="22"/>
      <c r="AW9" s="22"/>
      <c r="AX9" s="22"/>
      <c r="AY9" s="5"/>
    </row>
    <row r="10" spans="1:53" s="16" customFormat="1" ht="25.5" customHeight="1">
      <c r="A10" s="338"/>
      <c r="B10" s="36" t="s">
        <v>11</v>
      </c>
      <c r="C10" s="341" t="s">
        <v>638</v>
      </c>
      <c r="D10" s="341"/>
      <c r="E10" s="342"/>
      <c r="F10" s="344" t="s">
        <v>207</v>
      </c>
      <c r="G10" s="341"/>
      <c r="H10" s="342"/>
      <c r="I10" s="344" t="s">
        <v>44</v>
      </c>
      <c r="J10" s="341"/>
      <c r="K10" s="342"/>
      <c r="L10" s="36" t="s">
        <v>45</v>
      </c>
      <c r="M10" s="338"/>
      <c r="N10" s="338" t="s">
        <v>12</v>
      </c>
      <c r="O10" s="338"/>
      <c r="P10" s="338"/>
      <c r="Q10" s="338" t="s">
        <v>424</v>
      </c>
      <c r="R10" s="338"/>
      <c r="S10" s="338"/>
      <c r="T10" s="36" t="s">
        <v>14</v>
      </c>
      <c r="U10" s="36" t="s">
        <v>15</v>
      </c>
      <c r="V10" s="343"/>
      <c r="W10" s="338"/>
      <c r="X10" s="338"/>
      <c r="Y10" s="338"/>
      <c r="Z10" s="338" t="s">
        <v>12</v>
      </c>
      <c r="AA10" s="338"/>
      <c r="AB10" s="338"/>
      <c r="AC10" s="338" t="s">
        <v>424</v>
      </c>
      <c r="AD10" s="338"/>
      <c r="AE10" s="338"/>
      <c r="AF10" s="36" t="s">
        <v>14</v>
      </c>
      <c r="AG10" s="36" t="s">
        <v>15</v>
      </c>
      <c r="AH10" s="343"/>
      <c r="AI10" s="7" t="s">
        <v>31</v>
      </c>
      <c r="AJ10" s="7" t="s">
        <v>82</v>
      </c>
      <c r="AK10" s="36" t="s">
        <v>83</v>
      </c>
      <c r="AL10" s="343"/>
      <c r="AM10" s="337"/>
      <c r="AN10" s="337"/>
      <c r="AO10" s="36" t="s">
        <v>11</v>
      </c>
      <c r="AP10" s="36" t="s">
        <v>12</v>
      </c>
      <c r="AQ10" s="36" t="s">
        <v>13</v>
      </c>
      <c r="AR10" s="36" t="s">
        <v>14</v>
      </c>
      <c r="AS10" s="7" t="s">
        <v>31</v>
      </c>
      <c r="AT10" s="7" t="s">
        <v>82</v>
      </c>
      <c r="AU10" s="36" t="s">
        <v>83</v>
      </c>
      <c r="AV10" s="36" t="s">
        <v>12</v>
      </c>
      <c r="AW10" s="36" t="s">
        <v>13</v>
      </c>
      <c r="AX10" s="36" t="s">
        <v>204</v>
      </c>
      <c r="AY10" s="36" t="s">
        <v>14</v>
      </c>
    </row>
    <row r="11" spans="1:53" s="15" customFormat="1" ht="17.25" thickBot="1">
      <c r="A11" s="63" t="s">
        <v>150</v>
      </c>
      <c r="B11" s="64" t="s">
        <v>16</v>
      </c>
      <c r="C11" s="64" t="s">
        <v>151</v>
      </c>
      <c r="D11" s="64" t="s">
        <v>17</v>
      </c>
      <c r="E11" s="64" t="s">
        <v>18</v>
      </c>
      <c r="F11" s="64" t="s">
        <v>152</v>
      </c>
      <c r="G11" s="65" t="s">
        <v>153</v>
      </c>
      <c r="H11" s="65" t="s">
        <v>154</v>
      </c>
      <c r="I11" s="64" t="s">
        <v>155</v>
      </c>
      <c r="J11" s="65" t="s">
        <v>156</v>
      </c>
      <c r="K11" s="65" t="s">
        <v>157</v>
      </c>
      <c r="L11" s="65" t="s">
        <v>158</v>
      </c>
      <c r="M11" s="64" t="s">
        <v>159</v>
      </c>
      <c r="N11" s="65" t="s">
        <v>160</v>
      </c>
      <c r="O11" s="65" t="s">
        <v>161</v>
      </c>
      <c r="P11" s="65" t="s">
        <v>19</v>
      </c>
      <c r="Q11" s="65" t="s">
        <v>162</v>
      </c>
      <c r="R11" s="65" t="s">
        <v>163</v>
      </c>
      <c r="S11" s="65" t="s">
        <v>164</v>
      </c>
      <c r="T11" s="64" t="s">
        <v>20</v>
      </c>
      <c r="U11" s="64" t="s">
        <v>165</v>
      </c>
      <c r="V11" s="66" t="s">
        <v>21</v>
      </c>
      <c r="W11" s="66" t="s">
        <v>166</v>
      </c>
      <c r="X11" s="66" t="s">
        <v>167</v>
      </c>
      <c r="Y11" s="66" t="s">
        <v>30</v>
      </c>
      <c r="Z11" s="65" t="s">
        <v>168</v>
      </c>
      <c r="AA11" s="65" t="s">
        <v>169</v>
      </c>
      <c r="AB11" s="65" t="s">
        <v>170</v>
      </c>
      <c r="AC11" s="65" t="s">
        <v>171</v>
      </c>
      <c r="AD11" s="65" t="s">
        <v>172</v>
      </c>
      <c r="AE11" s="65" t="s">
        <v>173</v>
      </c>
      <c r="AF11" s="64" t="s">
        <v>174</v>
      </c>
      <c r="AG11" s="64" t="s">
        <v>175</v>
      </c>
      <c r="AH11" s="64" t="s">
        <v>176</v>
      </c>
      <c r="AI11" s="66" t="s">
        <v>177</v>
      </c>
      <c r="AJ11" s="66" t="s">
        <v>178</v>
      </c>
      <c r="AK11" s="66" t="s">
        <v>179</v>
      </c>
      <c r="AL11" s="64" t="s">
        <v>180</v>
      </c>
      <c r="AM11" s="67" t="s">
        <v>181</v>
      </c>
      <c r="AN11" s="67" t="s">
        <v>191</v>
      </c>
      <c r="AO11" s="64" t="s">
        <v>182</v>
      </c>
      <c r="AP11" s="65" t="s">
        <v>183</v>
      </c>
      <c r="AQ11" s="65" t="s">
        <v>184</v>
      </c>
      <c r="AR11" s="64" t="s">
        <v>46</v>
      </c>
      <c r="AS11" s="66" t="s">
        <v>185</v>
      </c>
      <c r="AT11" s="66" t="s">
        <v>186</v>
      </c>
      <c r="AU11" s="66" t="s">
        <v>187</v>
      </c>
      <c r="AV11" s="65" t="s">
        <v>188</v>
      </c>
      <c r="AW11" s="65" t="s">
        <v>189</v>
      </c>
      <c r="AX11" s="65" t="s">
        <v>203</v>
      </c>
      <c r="AY11" s="64" t="s">
        <v>190</v>
      </c>
      <c r="AZ11" s="354" t="s">
        <v>687</v>
      </c>
      <c r="BA11" s="354" t="s">
        <v>688</v>
      </c>
    </row>
    <row r="12" spans="1:53" s="16" customFormat="1" ht="16.5" hidden="1">
      <c r="A12" s="6"/>
      <c r="B12" s="37">
        <f>Generic!$AW$2</f>
        <v>5100</v>
      </c>
      <c r="C12" s="37">
        <f>Generic!$AX$2</f>
        <v>4500</v>
      </c>
      <c r="D12" s="123">
        <v>78</v>
      </c>
      <c r="E12" s="123">
        <v>60</v>
      </c>
      <c r="F12" s="37">
        <f>Generic!$AY$2</f>
        <v>1600</v>
      </c>
      <c r="G12" s="5">
        <f>INPUT_OUTPUTS!$C$8</f>
        <v>90</v>
      </c>
      <c r="H12" s="5">
        <f>INPUT_OUTPUTS!$C$9</f>
        <v>65</v>
      </c>
      <c r="I12" s="37">
        <f>Table7[[#This Row],[(CFM)3]]</f>
        <v>1600</v>
      </c>
      <c r="J12" s="5">
        <f>INPUT_OUTPUTS!$C$10</f>
        <v>80</v>
      </c>
      <c r="K12" s="5">
        <f>INPUT_OUTPUTS!$C$11</f>
        <v>75</v>
      </c>
      <c r="L12" s="5">
        <f>INPUT_OUTPUTS!$F$8</f>
        <v>31</v>
      </c>
      <c r="M12" s="37">
        <f>C12+F12-B12</f>
        <v>1000</v>
      </c>
      <c r="N12" s="5">
        <f>D12*((C12-M12)/B12) + G12*(F12/B12)</f>
        <v>81.764705882352942</v>
      </c>
      <c r="O12" s="5">
        <f>TRUNC(E12*((C12-M12)/B12) + H12*(F12/B12),1)</f>
        <v>61.5</v>
      </c>
      <c r="P12" s="35">
        <f>VLOOKUP(FLOOR(O12,1),'DO NOT TOUCH'!$A$7:$K$57,MATCH(ROUND((O12-FLOOR(O12,1)),1),'DO NOT TOUCH'!$A$6:$K$6,0),FALSE)</f>
        <v>27.5</v>
      </c>
      <c r="Q12" s="124">
        <v>55</v>
      </c>
      <c r="R12" s="124">
        <v>52.3</v>
      </c>
      <c r="S12" s="5">
        <f>VLOOKUP(FLOOR(R12,1),'DO NOT TOUCH'!$A$7:$K$57,MATCH(ROUND((R12-FLOOR(R12,1)),1),'DO NOT TOUCH'!$A$6:$K$6,0),FALSE)</f>
        <v>21.62</v>
      </c>
      <c r="T12" s="37">
        <f>B12*1.085*(N12-Q12)</f>
        <v>148102.5</v>
      </c>
      <c r="U12" s="37">
        <f>4.5*B12*(P12-S12)</f>
        <v>134945.99999999997</v>
      </c>
      <c r="V12" s="7" t="str">
        <f>IF(U12&lt;T12,"INVALID POINT",U12/12000)</f>
        <v>INVALID POINT</v>
      </c>
      <c r="W12" s="7">
        <f>INPUT_OUTPUTS!$C$14</f>
        <v>42</v>
      </c>
      <c r="X12" s="7">
        <f>INPUT_OUTPUTS!$C$15</f>
        <v>52</v>
      </c>
      <c r="Y12" s="53">
        <f t="shared" ref="Y12" si="0">U12/(500*(X12-W12))</f>
        <v>26.989199999999993</v>
      </c>
      <c r="Z12" s="5">
        <f>D12*((C12-M12)/B12) + J12*(F12/B12)</f>
        <v>78.627450980392155</v>
      </c>
      <c r="AA12" s="5">
        <f>TRUNC(E12*((C12-M12)/B12) + K12*(F12/B12),1)</f>
        <v>64.7</v>
      </c>
      <c r="AB12" s="5">
        <f>VLOOKUP(FLOOR(AA12,1),'DO NOT TOUCH'!$A$7:$K$57,MATCH(ROUND((AA12-FLOOR(AA12,1)),1),'DO NOT TOUCH'!$A$6:$K$6,0),FALSE)</f>
        <v>29.84</v>
      </c>
      <c r="AC12" s="5">
        <f>Table7[[#This Row],[(˚F db)13]]</f>
        <v>55</v>
      </c>
      <c r="AD12" s="5">
        <f>Table7[[#This Row],[(˚F wb)14]]</f>
        <v>52.3</v>
      </c>
      <c r="AE12" s="5">
        <f>VLOOKUP(FLOOR(AD12,1),'DO NOT TOUCH'!$A$7:$K$57,MATCH(ROUND((AD12-FLOOR(AD12,1)),1),'DO NOT TOUCH'!$A$6:$K$6,0),FALSE)</f>
        <v>21.62</v>
      </c>
      <c r="AF12" s="37">
        <f>B12*1.085*(Z12-AC12)</f>
        <v>130742.49999999999</v>
      </c>
      <c r="AG12" s="37">
        <f>4.5*B12*(AB12-AE12)</f>
        <v>188648.99999999997</v>
      </c>
      <c r="AH12" s="5">
        <f>IF(AG12&lt;AF12,"INVALID POINT",AG12/12000)</f>
        <v>15.720749999999997</v>
      </c>
      <c r="AI12" s="7">
        <f>INPUT_OUTPUTS!$C$14</f>
        <v>42</v>
      </c>
      <c r="AJ12" s="7">
        <f>INPUT_OUTPUTS!$C$15</f>
        <v>52</v>
      </c>
      <c r="AK12" s="53">
        <f t="shared" ref="AK12" si="1">AG12/(500*(AJ12-AI12))</f>
        <v>37.729799999999997</v>
      </c>
      <c r="AL12" s="5">
        <f>MAX(AH12,V12)</f>
        <v>15.720749999999997</v>
      </c>
      <c r="AM12" s="54">
        <f>B12/AH12</f>
        <v>324.41200324412011</v>
      </c>
      <c r="AN12" s="54">
        <f>MAX(Table7[[#This Row],[GPM33]],Table7[[#This Row],[GPM]])</f>
        <v>37.729799999999997</v>
      </c>
      <c r="AO12" s="37">
        <f>B12</f>
        <v>5100</v>
      </c>
      <c r="AP12" s="5">
        <f>D12*((C12-M12)/B12) + L12*(F12/B12)</f>
        <v>63.254901960784316</v>
      </c>
      <c r="AQ12" s="125">
        <v>65</v>
      </c>
      <c r="AR12" s="37">
        <f>AO12*1.085*(AQ12-AP12)/1000</f>
        <v>9.6564999999999852</v>
      </c>
      <c r="AS12" s="7">
        <f>INPUT_OUTPUTS!$C$16</f>
        <v>140</v>
      </c>
      <c r="AT12" s="7">
        <f>INPUT_OUTPUTS!$C$17</f>
        <v>100</v>
      </c>
      <c r="AU12" s="53">
        <f t="shared" ref="AU12" si="2">(AR12*1000)/(500*(AS12-AT12))</f>
        <v>0.48282499999999928</v>
      </c>
      <c r="AV12" s="125">
        <v>55</v>
      </c>
      <c r="AW12" s="5"/>
      <c r="AX12" s="5"/>
      <c r="AY12" s="38" t="e">
        <f>#REF!</f>
        <v>#REF!</v>
      </c>
      <c r="AZ12" s="353"/>
      <c r="BA12" s="353"/>
    </row>
    <row r="13" spans="1:53" ht="18" thickBot="1">
      <c r="A13" s="68" t="s">
        <v>140</v>
      </c>
      <c r="B13" s="69">
        <f>SUBTOTAL(109,Table7[(CFM)])</f>
        <v>0</v>
      </c>
      <c r="C13" s="68"/>
      <c r="D13" s="70"/>
      <c r="E13" s="70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71">
        <f>SUBTOTAL(109,Table7[GPM])</f>
        <v>0</v>
      </c>
      <c r="Z13" s="68"/>
      <c r="AA13" s="68"/>
      <c r="AB13" s="68"/>
      <c r="AC13" s="70"/>
      <c r="AD13" s="70"/>
      <c r="AE13" s="68"/>
      <c r="AF13" s="68"/>
      <c r="AG13" s="68"/>
      <c r="AH13" s="68"/>
      <c r="AI13" s="68"/>
      <c r="AJ13" s="68"/>
      <c r="AK13" s="81">
        <f>SUBTOTAL(109,Table7[GPM33])</f>
        <v>0</v>
      </c>
      <c r="AL13" s="71">
        <f>SUBTOTAL(109,Table7[(Tons)34])</f>
        <v>0</v>
      </c>
      <c r="AM13" s="68"/>
      <c r="AN13" s="72">
        <f>SUBTOTAL(109,Table7[GPM MAX])</f>
        <v>0</v>
      </c>
      <c r="AO13" s="68"/>
      <c r="AP13" s="68"/>
      <c r="AQ13" s="68"/>
      <c r="AR13" s="72">
        <f>SUBTOTAL(109,Table7[(MBH)])</f>
        <v>0</v>
      </c>
      <c r="AS13" s="68"/>
      <c r="AT13" s="68"/>
      <c r="AU13" s="71">
        <f>SUBTOTAL(109,Table7[GPM41])</f>
        <v>0</v>
      </c>
      <c r="AV13" s="68"/>
      <c r="AW13" s="68"/>
      <c r="AX13" s="71">
        <f>SUBTOTAL(109,Table7[(˚F db)46])</f>
        <v>0</v>
      </c>
      <c r="AY13" s="71">
        <f>SUBTOTAL(109,Table7[(mbh)46])</f>
        <v>0</v>
      </c>
      <c r="AZ13" s="68"/>
      <c r="BA13" s="68"/>
    </row>
    <row r="14" spans="1:53" ht="17.25" thickTop="1">
      <c r="AG14" s="40"/>
    </row>
    <row r="15" spans="1:53" ht="16.5">
      <c r="R15" s="39"/>
      <c r="S15" s="39"/>
      <c r="Y15" s="51"/>
      <c r="AD15" s="39"/>
      <c r="AE15" s="39"/>
      <c r="AH15" s="51"/>
      <c r="AK15" s="51"/>
      <c r="AL15" s="51"/>
      <c r="AU15" s="51"/>
    </row>
    <row r="16" spans="1:53" ht="16.5">
      <c r="R16" s="39"/>
      <c r="S16" s="39"/>
      <c r="Y16" s="51"/>
      <c r="AD16" s="39"/>
      <c r="AE16" s="39"/>
      <c r="AH16" s="51"/>
      <c r="AK16" s="51"/>
      <c r="AL16" s="51"/>
      <c r="AU16" s="51"/>
    </row>
    <row r="17" spans="1:51">
      <c r="B17" s="16"/>
    </row>
    <row r="20" spans="1:51">
      <c r="M20" s="51"/>
    </row>
    <row r="23" spans="1:51">
      <c r="E23" s="73"/>
    </row>
    <row r="30" spans="1:5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</row>
    <row r="31" spans="1:51">
      <c r="A31" s="52"/>
      <c r="B31" s="52"/>
    </row>
    <row r="32" spans="1:51">
      <c r="A32" s="52"/>
      <c r="B32" s="51"/>
    </row>
    <row r="33" spans="1:1">
      <c r="A33" s="52"/>
    </row>
  </sheetData>
  <mergeCells count="29"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N10:P10"/>
    <mergeCell ref="Q10:S10"/>
    <mergeCell ref="B9:L9"/>
    <mergeCell ref="M9:M10"/>
    <mergeCell ref="N9:S9"/>
    <mergeCell ref="T9:U9"/>
    <mergeCell ref="C10:E10"/>
    <mergeCell ref="Z9:AE9"/>
    <mergeCell ref="Z10:AB10"/>
    <mergeCell ref="W9:Y10"/>
    <mergeCell ref="AV8:AY8"/>
    <mergeCell ref="AF9:AG9"/>
    <mergeCell ref="AS9:AU9"/>
    <mergeCell ref="AO8:AU8"/>
    <mergeCell ref="AP9:AQ9"/>
  </mergeCells>
  <phoneticPr fontId="13" type="noConversion"/>
  <dataValidations disablePrompts="1" count="1">
    <dataValidation type="decimal" operator="greaterThan" allowBlank="1" showInputMessage="1" showErrorMessage="1" sqref="D12:E12 Q12:R12 AV12 AQ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AY12" calculatedColumn="1"/>
  </ignoredError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AA17"/>
  <sheetViews>
    <sheetView zoomScale="70" zoomScaleNormal="70" workbookViewId="0">
      <pane xSplit="3" ySplit="2" topLeftCell="K3" activePane="bottomRight" state="frozen"/>
      <selection pane="topRight" activeCell="D1" sqref="D1"/>
      <selection pane="bottomLeft" activeCell="A3" sqref="A3"/>
      <selection pane="bottomRight" activeCell="T35" sqref="T35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7">
      <c r="A1" s="332" t="s">
        <v>461</v>
      </c>
      <c r="B1" s="333"/>
      <c r="C1" s="333"/>
      <c r="D1" s="333"/>
      <c r="E1" s="333"/>
      <c r="F1" s="333"/>
      <c r="G1" s="333"/>
      <c r="H1" s="332" t="s">
        <v>460</v>
      </c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2" t="s">
        <v>459</v>
      </c>
      <c r="X1" s="333"/>
      <c r="Y1" s="333"/>
    </row>
    <row r="2" spans="1:27" s="16" customFormat="1" ht="47.25">
      <c r="A2" s="270" t="s">
        <v>593</v>
      </c>
      <c r="B2" s="271" t="s">
        <v>436</v>
      </c>
      <c r="C2" s="271" t="s">
        <v>437</v>
      </c>
      <c r="D2" s="272" t="s">
        <v>447</v>
      </c>
      <c r="E2" s="272" t="s">
        <v>452</v>
      </c>
      <c r="F2" s="272" t="s">
        <v>446</v>
      </c>
      <c r="G2" s="273" t="s">
        <v>259</v>
      </c>
      <c r="H2" s="273" t="s">
        <v>451</v>
      </c>
      <c r="I2" s="272" t="s">
        <v>455</v>
      </c>
      <c r="J2" s="272" t="s">
        <v>444</v>
      </c>
      <c r="K2" s="272" t="s">
        <v>448</v>
      </c>
      <c r="L2" s="272" t="s">
        <v>449</v>
      </c>
      <c r="M2" s="272" t="s">
        <v>457</v>
      </c>
      <c r="N2" s="272" t="s">
        <v>456</v>
      </c>
      <c r="O2" s="273" t="s">
        <v>438</v>
      </c>
      <c r="P2" s="274" t="s">
        <v>441</v>
      </c>
      <c r="Q2" s="274" t="s">
        <v>442</v>
      </c>
      <c r="R2" s="274" t="s">
        <v>443</v>
      </c>
      <c r="S2" s="274" t="s">
        <v>458</v>
      </c>
      <c r="T2" s="273" t="s">
        <v>464</v>
      </c>
      <c r="U2" s="273" t="s">
        <v>463</v>
      </c>
      <c r="V2" s="272" t="s">
        <v>462</v>
      </c>
      <c r="W2" s="274" t="s">
        <v>637</v>
      </c>
      <c r="X2" s="274" t="s">
        <v>639</v>
      </c>
      <c r="Y2" s="272" t="s">
        <v>640</v>
      </c>
      <c r="Z2" s="275" t="s">
        <v>7</v>
      </c>
      <c r="AA2" s="276" t="s">
        <v>439</v>
      </c>
    </row>
    <row r="3" spans="1:27" ht="17.25">
      <c r="A3" s="119"/>
      <c r="B3" s="119"/>
      <c r="C3" s="119"/>
      <c r="D3" s="119"/>
      <c r="E3" s="119">
        <v>0</v>
      </c>
      <c r="F3" s="268">
        <f>IF((Ahu_Ashrae_sheet[[#This Row],[Occupancy Subcategory]] = "TOILET"),MROUND(D3/2,5),MROUND(D3,5))</f>
        <v>0</v>
      </c>
      <c r="G3" s="119">
        <v>5500</v>
      </c>
      <c r="H3" s="119" t="s">
        <v>592</v>
      </c>
      <c r="I3" s="119" t="s">
        <v>453</v>
      </c>
      <c r="J3" s="119" t="s">
        <v>454</v>
      </c>
      <c r="K3" s="18" cm="1">
        <f t="array" ref="K3">INDEX(Ashrae90.1Vent[RP],MATCH(Ahu_Ashrae_sheet[[#This Row],[Occupancy Category]]&amp;Ahu_Ashrae_sheet[[#This Row],[Occupancy Subcategory]],Ashrae90.1Vent[OCCUPANCY CATEGORY]&amp;Ashrae90.1Vent[OCCUPANCY SUBCATEGORY],0))</f>
        <v>10</v>
      </c>
      <c r="L3" s="18" cm="1">
        <f t="array" ref="L3">INDEX(Ashrae90.1Vent[RA],MATCH(Ahu_Ashrae_sheet[[#This Row],[Occupancy Category]]&amp;Ahu_Ashrae_sheet[[#This Row],[Occupancy Subcategory]],Ashrae90.1Vent[OCCUPANCY CATEGORY]&amp;Ashrae90.1Vent[OCCUPANCY SUBCATEGORY],))</f>
        <v>0.12</v>
      </c>
      <c r="M3" s="18" cm="1">
        <f t="array" ref="M3">INDEX(Ashrae90.1Vent[OCCUPANT DENSITY],MATCH(Ahu_Ashrae_sheet[[#This Row],[Occupancy Category]]&amp;Ahu_Ashrae_sheet[[#This Row],[Occupancy Subcategory]],Ashrae90.1Vent[OCCUPANCY CATEGORY]&amp;Ashrae90.1Vent[OCCUPANCY SUBCATEGORY],))</f>
        <v>20</v>
      </c>
      <c r="N3" s="18" cm="1">
        <f t="array" ref="N3">INDEX(Ashrae90.1Vent[AIR CLASS],MATCH(Ahu_Ashrae_sheet[[#This Row],[Occupancy Category]]&amp;Ahu_Ashrae_sheet[[#This Row],[Occupancy Subcategory]],Ashrae90.1Vent[OCCUPANCY CATEGORY]&amp;Ashrae90.1Vent[OCCUPANCY SUBCATEGORY],))</f>
        <v>2</v>
      </c>
      <c r="O3" s="18">
        <f>CEILING((M3/1000)*D3,1)</f>
        <v>0</v>
      </c>
      <c r="P3" s="87">
        <f>(Ahu_Ashrae_sheet[[#This Row],[RP
(CFM/PER PERSON)]]*Ahu_Ashrae_sheet[[#This Row],[Occupants]])+(Ahu_Ashrae_sheet[[#This Row],[RA
(CFM/FT²)]]*Ahu_Ashrae_sheet[[#This Row],[AREA 
(FT²)]])</f>
        <v>0</v>
      </c>
      <c r="Q3" s="269">
        <v>0.8</v>
      </c>
      <c r="R3" s="87">
        <f>P3/Q3</f>
        <v>0</v>
      </c>
      <c r="S3" s="87">
        <f>Ahu_Ashrae_sheet[[#This Row],[Voz]]</f>
        <v>0</v>
      </c>
      <c r="T3" s="87">
        <f>IF(Ahu_Ashrae_sheet[[#This Row],[Exhaust Category]]="NA","NA",VLOOKUP(Ahu_Ashrae_sheet[[#This Row],[Exhaust Category]],ASHRAE_EA_Table[#All],3,FALSE))</f>
        <v>0</v>
      </c>
      <c r="U3" s="87">
        <f>IF(Ahu_Ashrae_sheet[[#This Row],[Exhaust Category]]="NA","NA",VLOOKUP(Ahu_Ashrae_sheet[[#This Row],[Exhaust Category]],ASHRAE_EA_Table[#All],4,FALSE))</f>
        <v>0</v>
      </c>
      <c r="V3" s="18">
        <f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f>
        <v>0</v>
      </c>
      <c r="W3" s="297">
        <f>IF(Ahu_Ashrae_sheet[[#This Row],[MIN ASHRAE EA
(CFM)]]=0,MAX(Ahu_Ashrae_sheet[[#This Row],[LOAD (CFM)]],Ahu_Ashrae_sheet[[#This Row],[OFFICE STANDARD 
(CFM)]]),Ahu_Ashrae_sheet[[#This Row],[DESIGN EA(CFM)]]-100)</f>
        <v>5500</v>
      </c>
      <c r="X3" s="297">
        <f>IF(Ahu_Ashrae_sheet[[#This Row],[MIN ASHRAE EA
(CFM)]]=0,Ahu_Ashrae_sheet[[#This Row],[DESIGN SA(CFM)]],0)</f>
        <v>5500</v>
      </c>
      <c r="Y3" s="29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3" s="87">
        <f>Ahu_Ashrae_sheet[[#This Row],[DESIGN SA(CFM)]]-Ahu_Ashrae_sheet[[#This Row],[DESIGN RA(CFM)]]-Ahu_Ashrae_sheet[[#This Row],[DESIGN EA(CFM)]]</f>
        <v>0</v>
      </c>
      <c r="AA3" s="277">
        <f>Ahu_Ashrae_sheet[[#This Row],[OUTSIDE AIRFLOW (CFM) (Vot)]]/Ahu_Ashrae_sheet[[#This Row],[DESIGN SA(CFM)]]</f>
        <v>0</v>
      </c>
    </row>
    <row r="4" spans="1:27" ht="17.25">
      <c r="A4" s="119"/>
      <c r="B4" s="119"/>
      <c r="C4" s="119"/>
      <c r="D4" s="119"/>
      <c r="E4" s="119">
        <v>5</v>
      </c>
      <c r="F4" s="268">
        <f>IF((Ahu_Ashrae_sheet[[#This Row],[Occupancy Subcategory]] = "TOILET"),MROUND(D4/2,5),MROUND(D4,5))</f>
        <v>0</v>
      </c>
      <c r="G4" s="119">
        <v>280</v>
      </c>
      <c r="H4" s="119" t="s">
        <v>592</v>
      </c>
      <c r="I4" s="119" t="s">
        <v>545</v>
      </c>
      <c r="J4" s="119" t="s">
        <v>546</v>
      </c>
      <c r="K4" s="18" cm="1">
        <f t="array" ref="K4">INDEX(Ashrae90.1Vent[RP],MATCH(Ahu_Ashrae_sheet[[#This Row],[Occupancy Category]]&amp;Ahu_Ashrae_sheet[[#This Row],[Occupancy Subcategory]],Ashrae90.1Vent[OCCUPANCY CATEGORY]&amp;Ashrae90.1Vent[OCCUPANCY SUBCATEGORY],0))</f>
        <v>7.5</v>
      </c>
      <c r="L4" s="18" cm="1">
        <f t="array" ref="L4">INDEX(Ashrae90.1Vent[RA],MATCH(Ahu_Ashrae_sheet[[#This Row],[Occupancy Category]]&amp;Ahu_Ashrae_sheet[[#This Row],[Occupancy Subcategory]],Ashrae90.1Vent[OCCUPANCY CATEGORY]&amp;Ashrae90.1Vent[OCCUPANCY SUBCATEGORY],))</f>
        <v>0.12</v>
      </c>
      <c r="M4" s="18" cm="1">
        <f t="array" ref="M4">INDEX(Ashrae90.1Vent[OCCUPANT DENSITY],MATCH(Ahu_Ashrae_sheet[[#This Row],[Occupancy Category]]&amp;Ahu_Ashrae_sheet[[#This Row],[Occupancy Subcategory]],Ashrae90.1Vent[OCCUPANCY CATEGORY]&amp;Ashrae90.1Vent[OCCUPANCY SUBCATEGORY],))</f>
        <v>15</v>
      </c>
      <c r="N4" s="18" cm="1">
        <f t="array" ref="N4">INDEX(Ashrae90.1Vent[AIR CLASS],MATCH(Ahu_Ashrae_sheet[[#This Row],[Occupancy Category]]&amp;Ahu_Ashrae_sheet[[#This Row],[Occupancy Subcategory]],Ashrae90.1Vent[OCCUPANCY CATEGORY]&amp;Ashrae90.1Vent[OCCUPANCY SUBCATEGORY],))</f>
        <v>2</v>
      </c>
      <c r="O4" s="18">
        <f t="shared" ref="O4:O5" si="0">CEILING((M4/1000)*D4,1)</f>
        <v>0</v>
      </c>
      <c r="P4" s="87">
        <f>(Ahu_Ashrae_sheet[[#This Row],[RP
(CFM/PER PERSON)]]*Ahu_Ashrae_sheet[[#This Row],[Occupants]])+(Ahu_Ashrae_sheet[[#This Row],[RA
(CFM/FT²)]]*Ahu_Ashrae_sheet[[#This Row],[AREA 
(FT²)]])</f>
        <v>0</v>
      </c>
      <c r="Q4" s="269">
        <v>0.8</v>
      </c>
      <c r="R4" s="87">
        <f>P4/Q4</f>
        <v>0</v>
      </c>
      <c r="S4" s="87">
        <f>Ahu_Ashrae_sheet[[#This Row],[Voz]]</f>
        <v>0</v>
      </c>
      <c r="T4" s="87">
        <f>IF(Ahu_Ashrae_sheet[[#This Row],[Exhaust Category]]="NA","NA",VLOOKUP(Ahu_Ashrae_sheet[[#This Row],[Exhaust Category]],ASHRAE_EA_Table[#All],3,FALSE))</f>
        <v>0</v>
      </c>
      <c r="U4" s="87">
        <f>IF(Ahu_Ashrae_sheet[[#This Row],[Exhaust Category]]="NA","NA",VLOOKUP(Ahu_Ashrae_sheet[[#This Row],[Exhaust Category]],ASHRAE_EA_Table[#All],4,FALSE))</f>
        <v>0</v>
      </c>
      <c r="V4" s="18">
        <f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f>
        <v>0</v>
      </c>
      <c r="W4" s="297">
        <f>IF(Ahu_Ashrae_sheet[[#This Row],[MIN ASHRAE EA
(CFM)]]=0,MAX(Ahu_Ashrae_sheet[[#This Row],[LOAD (CFM)]],Ahu_Ashrae_sheet[[#This Row],[OFFICE STANDARD 
(CFM)]]),Ahu_Ashrae_sheet[[#This Row],[DESIGN EA(CFM)]]-100)</f>
        <v>280</v>
      </c>
      <c r="X4" s="297">
        <f>IF(Ahu_Ashrae_sheet[[#This Row],[MIN ASHRAE EA
(CFM)]]=0,Ahu_Ashrae_sheet[[#This Row],[DESIGN SA(CFM)]],0)</f>
        <v>280</v>
      </c>
      <c r="Y4" s="29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4" s="87">
        <f>Ahu_Ashrae_sheet[[#This Row],[DESIGN SA(CFM)]]-Ahu_Ashrae_sheet[[#This Row],[DESIGN RA(CFM)]]-Ahu_Ashrae_sheet[[#This Row],[DESIGN EA(CFM)]]</f>
        <v>0</v>
      </c>
      <c r="AA4" s="277">
        <f>Ahu_Ashrae_sheet[[#This Row],[OUTSIDE AIRFLOW (CFM) (Vot)]]/Ahu_Ashrae_sheet[[#This Row],[DESIGN SA(CFM)]]</f>
        <v>0</v>
      </c>
    </row>
    <row r="5" spans="1:27" ht="17.25">
      <c r="A5" s="119"/>
      <c r="B5" s="119"/>
      <c r="C5" s="119"/>
      <c r="D5" s="119"/>
      <c r="E5" s="119">
        <v>5</v>
      </c>
      <c r="F5" s="268">
        <f>IF((Ahu_Ashrae_sheet[[#This Row],[Occupancy Subcategory]] = "TOILET"),MROUND(D5/2,5),MROUND(D5,5))</f>
        <v>0</v>
      </c>
      <c r="G5" s="119">
        <v>150</v>
      </c>
      <c r="H5" s="119" t="s">
        <v>592</v>
      </c>
      <c r="I5" s="119" t="s">
        <v>453</v>
      </c>
      <c r="J5" s="119" t="s">
        <v>454</v>
      </c>
      <c r="K5" s="18" cm="1">
        <f t="array" ref="K5">INDEX(Ashrae90.1Vent[RP],MATCH(Ahu_Ashrae_sheet[[#This Row],[Occupancy Category]]&amp;Ahu_Ashrae_sheet[[#This Row],[Occupancy Subcategory]],Ashrae90.1Vent[OCCUPANCY CATEGORY]&amp;Ashrae90.1Vent[OCCUPANCY SUBCATEGORY],0))</f>
        <v>10</v>
      </c>
      <c r="L5" s="18" cm="1">
        <f t="array" ref="L5">INDEX(Ashrae90.1Vent[RA],MATCH(Ahu_Ashrae_sheet[[#This Row],[Occupancy Category]]&amp;Ahu_Ashrae_sheet[[#This Row],[Occupancy Subcategory]],Ashrae90.1Vent[OCCUPANCY CATEGORY]&amp;Ashrae90.1Vent[OCCUPANCY SUBCATEGORY],))</f>
        <v>0.12</v>
      </c>
      <c r="M5" s="18" cm="1">
        <f t="array" ref="M5">INDEX(Ashrae90.1Vent[OCCUPANT DENSITY],MATCH(Ahu_Ashrae_sheet[[#This Row],[Occupancy Category]]&amp;Ahu_Ashrae_sheet[[#This Row],[Occupancy Subcategory]],Ashrae90.1Vent[OCCUPANCY CATEGORY]&amp;Ashrae90.1Vent[OCCUPANCY SUBCATEGORY],))</f>
        <v>20</v>
      </c>
      <c r="N5" s="18" cm="1">
        <f t="array" ref="N5">INDEX(Ashrae90.1Vent[AIR CLASS],MATCH(Ahu_Ashrae_sheet[[#This Row],[Occupancy Category]]&amp;Ahu_Ashrae_sheet[[#This Row],[Occupancy Subcategory]],Ashrae90.1Vent[OCCUPANCY CATEGORY]&amp;Ashrae90.1Vent[OCCUPANCY SUBCATEGORY],))</f>
        <v>2</v>
      </c>
      <c r="O5" s="18">
        <f t="shared" si="0"/>
        <v>0</v>
      </c>
      <c r="P5" s="87">
        <f>(Ahu_Ashrae_sheet[[#This Row],[RP
(CFM/PER PERSON)]]*Ahu_Ashrae_sheet[[#This Row],[Occupants]])+(Ahu_Ashrae_sheet[[#This Row],[RA
(CFM/FT²)]]*Ahu_Ashrae_sheet[[#This Row],[AREA 
(FT²)]])</f>
        <v>0</v>
      </c>
      <c r="Q5" s="269">
        <v>0.8</v>
      </c>
      <c r="R5" s="87">
        <f>P5/Q5</f>
        <v>0</v>
      </c>
      <c r="S5" s="87">
        <f>Ahu_Ashrae_sheet[[#This Row],[Voz]]</f>
        <v>0</v>
      </c>
      <c r="T5" s="87">
        <f>IF(Ahu_Ashrae_sheet[[#This Row],[Exhaust Category]]="NA","NA",VLOOKUP(Ahu_Ashrae_sheet[[#This Row],[Exhaust Category]],ASHRAE_EA_Table[#All],3,FALSE))</f>
        <v>0</v>
      </c>
      <c r="U5" s="87">
        <f>IF(Ahu_Ashrae_sheet[[#This Row],[Exhaust Category]]="NA","NA",VLOOKUP(Ahu_Ashrae_sheet[[#This Row],[Exhaust Category]],ASHRAE_EA_Table[#All],4,FALSE))</f>
        <v>0</v>
      </c>
      <c r="V5" s="18">
        <f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f>
        <v>0</v>
      </c>
      <c r="W5" s="297">
        <f>IF(Ahu_Ashrae_sheet[[#This Row],[MIN ASHRAE EA
(CFM)]]=0,MAX(Ahu_Ashrae_sheet[[#This Row],[LOAD (CFM)]],Ahu_Ashrae_sheet[[#This Row],[OFFICE STANDARD 
(CFM)]]),Ahu_Ashrae_sheet[[#This Row],[DESIGN EA(CFM)]]-100)</f>
        <v>150</v>
      </c>
      <c r="X5" s="297">
        <f>IF(Ahu_Ashrae_sheet[[#This Row],[MIN ASHRAE EA
(CFM)]]=0,Ahu_Ashrae_sheet[[#This Row],[DESIGN SA(CFM)]],0)</f>
        <v>150</v>
      </c>
      <c r="Y5" s="29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5" s="87">
        <f>Ahu_Ashrae_sheet[[#This Row],[DESIGN SA(CFM)]]-Ahu_Ashrae_sheet[[#This Row],[DESIGN RA(CFM)]]-Ahu_Ashrae_sheet[[#This Row],[DESIGN EA(CFM)]]</f>
        <v>0</v>
      </c>
      <c r="AA5" s="277">
        <f>Ahu_Ashrae_sheet[[#This Row],[OUTSIDE AIRFLOW (CFM) (Vot)]]/Ahu_Ashrae_sheet[[#This Row],[DESIGN SA(CFM)]]</f>
        <v>0</v>
      </c>
    </row>
    <row r="6" spans="1:27" ht="15.75">
      <c r="A6" s="271" t="s">
        <v>465</v>
      </c>
      <c r="B6" s="271"/>
      <c r="C6" s="290">
        <f>SUBTOTAL(103,Ahu_Ashrae_sheet[Room])</f>
        <v>0</v>
      </c>
      <c r="D6" s="289">
        <f>SUBTOTAL(109,Ahu_Ashrae_sheet[AREA 
(FT²)])</f>
        <v>0</v>
      </c>
      <c r="E6" s="291"/>
      <c r="F6" s="292"/>
      <c r="G6" s="288">
        <f>SUBTOTAL(109,Ahu_Ashrae_sheet[LOAD (CFM)])</f>
        <v>5930</v>
      </c>
      <c r="H6" s="271"/>
      <c r="I6" s="271"/>
      <c r="J6" s="271"/>
      <c r="K6" s="293"/>
      <c r="L6" s="293"/>
      <c r="M6" s="293"/>
      <c r="N6" s="293"/>
      <c r="O6" s="294">
        <f>SUBTOTAL(109,Ahu_Ashrae_sheet[Occupants])</f>
        <v>0</v>
      </c>
      <c r="P6" s="293"/>
      <c r="Q6" s="293"/>
      <c r="R6" s="293"/>
      <c r="S6" s="295">
        <f>SUBTOTAL(109,Ahu_Ashrae_sheet[OUTSIDE AIRFLOW (CFM) (Vot)])</f>
        <v>0</v>
      </c>
      <c r="T6" s="293"/>
      <c r="U6" s="293"/>
      <c r="V6" s="293"/>
      <c r="W6" s="295">
        <f>SUBTOTAL(109,Ahu_Ashrae_sheet[DESIGN SA(CFM)])</f>
        <v>5930</v>
      </c>
      <c r="X6" s="295">
        <f>SUBTOTAL(109,Ahu_Ashrae_sheet[DESIGN RA(CFM)])</f>
        <v>5930</v>
      </c>
      <c r="Y6" s="295">
        <f>SUBTOTAL(109,Ahu_Ashrae_sheet[DESIGN EA(CFM)])</f>
        <v>0</v>
      </c>
      <c r="Z6" s="293"/>
      <c r="AA6" s="296"/>
    </row>
    <row r="17" spans="20:20">
      <c r="T17" s="74"/>
    </row>
  </sheetData>
  <mergeCells count="3">
    <mergeCell ref="W1:Y1"/>
    <mergeCell ref="H1:V1"/>
    <mergeCell ref="A1:G1"/>
  </mergeCells>
  <phoneticPr fontId="8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FAEDB05E-8443-49B7-A92F-A50339C1DC14}">
          <x14:formula1>
            <xm:f>'ASHRAE Table'!$B$2:$B$91</xm:f>
          </x14:formula1>
          <xm:sqref>J3:J5</xm:sqref>
        </x14:dataValidation>
        <x14:dataValidation type="list" allowBlank="1" showInputMessage="1" showErrorMessage="1" xr:uid="{86BBE610-6A86-453B-AA60-63DE32ACEFAB}">
          <x14:formula1>
            <xm:f>'ASHRAE Table'!$A$2:$A$91</xm:f>
          </x14:formula1>
          <xm:sqref>I3:I5</xm:sqref>
        </x14:dataValidation>
        <x14:dataValidation type="list" allowBlank="1" showInputMessage="1" showErrorMessage="1" xr:uid="{459E1751-F435-4792-AED9-8F254AC74D34}">
          <x14:formula1>
            <xm:f>'ASHRAE Table'!$R$3:$R$13</xm:f>
          </x14:formula1>
          <xm:sqref>Q3:Q5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E41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3" sqref="D13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hidden="1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7" width="15.42578125" bestFit="1" customWidth="1"/>
    <col min="18" max="18" width="15.710937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7">
      <c r="A1" s="332" t="s">
        <v>461</v>
      </c>
      <c r="B1" s="333"/>
      <c r="C1" s="333"/>
      <c r="D1" s="333"/>
      <c r="E1" s="333"/>
      <c r="F1" s="333"/>
      <c r="G1" s="333"/>
      <c r="H1" s="334" t="s">
        <v>460</v>
      </c>
      <c r="I1" s="335"/>
      <c r="J1" s="335"/>
      <c r="K1" s="335"/>
      <c r="L1" s="335"/>
      <c r="M1" s="335"/>
      <c r="N1" s="335"/>
      <c r="O1" s="335"/>
      <c r="P1" s="335"/>
      <c r="Q1" s="335"/>
      <c r="R1" s="335"/>
      <c r="S1" s="335"/>
      <c r="T1" s="335"/>
      <c r="U1" s="335"/>
      <c r="V1" s="335"/>
      <c r="W1" s="335"/>
      <c r="X1" s="335"/>
      <c r="Y1" s="335"/>
      <c r="Z1" s="335"/>
      <c r="AA1" s="335"/>
      <c r="AB1" s="335"/>
      <c r="AC1" s="335"/>
    </row>
    <row r="2" spans="1:57" s="16" customFormat="1" ht="47.25">
      <c r="A2" s="270" t="s">
        <v>593</v>
      </c>
      <c r="B2" s="271" t="s">
        <v>436</v>
      </c>
      <c r="C2" s="271" t="s">
        <v>437</v>
      </c>
      <c r="D2" s="272" t="s">
        <v>670</v>
      </c>
      <c r="E2" s="272" t="s">
        <v>452</v>
      </c>
      <c r="F2" s="272" t="s">
        <v>446</v>
      </c>
      <c r="G2" s="273" t="s">
        <v>259</v>
      </c>
      <c r="H2" s="273" t="s">
        <v>451</v>
      </c>
      <c r="I2" s="272" t="s">
        <v>455</v>
      </c>
      <c r="J2" s="272" t="s">
        <v>444</v>
      </c>
      <c r="K2" s="272" t="s">
        <v>448</v>
      </c>
      <c r="L2" s="272" t="s">
        <v>449</v>
      </c>
      <c r="M2" s="272" t="s">
        <v>457</v>
      </c>
      <c r="N2" s="272" t="s">
        <v>456</v>
      </c>
      <c r="O2" s="273" t="s">
        <v>641</v>
      </c>
      <c r="P2" s="273" t="s">
        <v>642</v>
      </c>
      <c r="Q2" s="273" t="s">
        <v>643</v>
      </c>
      <c r="R2" s="274" t="s">
        <v>645</v>
      </c>
      <c r="S2" s="274" t="s">
        <v>646</v>
      </c>
      <c r="T2" s="274" t="s">
        <v>458</v>
      </c>
      <c r="U2" s="299" t="s">
        <v>649</v>
      </c>
      <c r="V2" s="299" t="s">
        <v>648</v>
      </c>
      <c r="W2" s="299" t="s">
        <v>647</v>
      </c>
      <c r="X2" s="299" t="s">
        <v>669</v>
      </c>
      <c r="Y2" s="299" t="s">
        <v>674</v>
      </c>
      <c r="Z2" s="299" t="s">
        <v>431</v>
      </c>
      <c r="AA2" s="299" t="s">
        <v>671</v>
      </c>
      <c r="AB2" s="273" t="s">
        <v>464</v>
      </c>
      <c r="AC2" s="273" t="s">
        <v>463</v>
      </c>
      <c r="AD2" s="272" t="s">
        <v>462</v>
      </c>
      <c r="AE2" s="274" t="s">
        <v>672</v>
      </c>
      <c r="AF2" s="274" t="s">
        <v>673</v>
      </c>
      <c r="AG2" s="274" t="s">
        <v>644</v>
      </c>
      <c r="AH2" s="272" t="s">
        <v>640</v>
      </c>
      <c r="AI2" s="275" t="s">
        <v>7</v>
      </c>
      <c r="AJ2" s="276" t="s">
        <v>439</v>
      </c>
      <c r="AM2" s="100" t="s">
        <v>80</v>
      </c>
      <c r="AN2" s="100" t="s">
        <v>69</v>
      </c>
      <c r="AO2" s="100" t="s">
        <v>70</v>
      </c>
      <c r="AP2" s="100" t="s">
        <v>632</v>
      </c>
      <c r="AQ2" s="100" t="s">
        <v>633</v>
      </c>
      <c r="AR2" s="100" t="s">
        <v>634</v>
      </c>
      <c r="AS2" s="100" t="s">
        <v>635</v>
      </c>
      <c r="AT2" s="100" t="s">
        <v>636</v>
      </c>
      <c r="AU2" s="100" t="s">
        <v>31</v>
      </c>
      <c r="AV2" s="100" t="s">
        <v>63</v>
      </c>
      <c r="AW2" s="100" t="s">
        <v>32</v>
      </c>
      <c r="AX2" s="100" t="s">
        <v>62</v>
      </c>
      <c r="AY2" s="100" t="s">
        <v>61</v>
      </c>
      <c r="AZ2" s="100" t="s">
        <v>142</v>
      </c>
      <c r="BA2" s="100" t="s">
        <v>30</v>
      </c>
      <c r="BB2" s="100" t="s">
        <v>65</v>
      </c>
      <c r="BC2" s="100" t="s">
        <v>66</v>
      </c>
      <c r="BD2" s="100" t="s">
        <v>67</v>
      </c>
      <c r="BE2" s="100" t="s">
        <v>59</v>
      </c>
    </row>
    <row r="3" spans="1:57" ht="17.25">
      <c r="A3" s="119" t="s">
        <v>594</v>
      </c>
      <c r="B3" s="119">
        <v>102</v>
      </c>
      <c r="C3" s="119" t="s">
        <v>440</v>
      </c>
      <c r="D3" s="119">
        <v>900</v>
      </c>
      <c r="E3" s="119">
        <v>0</v>
      </c>
      <c r="F3" s="268">
        <f>IF((Ahu_Ashrae_sheet15[[#This Row],[Occupancy Subcategory]] = "TOILET"),MROUND(D3/2,5),MROUND(D3,5))</f>
        <v>900</v>
      </c>
      <c r="G3" s="119">
        <v>650</v>
      </c>
      <c r="H3" s="119" t="s">
        <v>592</v>
      </c>
      <c r="I3" s="119" t="s">
        <v>453</v>
      </c>
      <c r="J3" s="119" t="s">
        <v>454</v>
      </c>
      <c r="K3" s="18" cm="1">
        <f t="array" ref="K3">INDEX(Ashrae90.1Vent[RP],MATCH(Ahu_Ashrae_sheet15[[#This Row],[Occupancy Category]]&amp;Ahu_Ashrae_sheet15[[#This Row],[Occupancy Subcategory]],Ashrae90.1Vent[OCCUPANCY CATEGORY]&amp;Ashrae90.1Vent[OCCUPANCY SUBCATEGORY],0))</f>
        <v>10</v>
      </c>
      <c r="L3" s="18" cm="1">
        <f t="array" ref="L3">INDEX(Ashrae90.1Vent[RA],MATCH(Ahu_Ashrae_sheet15[[#This Row],[Occupancy Category]]&amp;Ahu_Ashrae_sheet15[[#This Row],[Occupancy Subcategory]],Ashrae90.1Vent[OCCUPANCY CATEGORY]&amp;Ashrae90.1Vent[OCCUPANCY SUBCATEGORY],))</f>
        <v>0.12</v>
      </c>
      <c r="M3" s="18" cm="1">
        <f t="array" ref="M3">INDEX(Ashrae90.1Vent[OCCUPANT DENSITY],MATCH(Ahu_Ashrae_sheet15[[#This Row],[Occupancy Category]]&amp;Ahu_Ashrae_sheet15[[#This Row],[Occupancy Subcategory]],Ashrae90.1Vent[OCCUPANCY CATEGORY]&amp;Ashrae90.1Vent[OCCUPANCY SUBCATEGORY],))</f>
        <v>20</v>
      </c>
      <c r="N3" s="18" cm="1">
        <f t="array" ref="N3">INDEX(Ashrae90.1Vent[AIR CLASS],MATCH(Ahu_Ashrae_sheet15[[#This Row],[Occupancy Category]]&amp;Ahu_Ashrae_sheet15[[#This Row],[Occupancy Subcategory]],Ashrae90.1Vent[OCCUPANCY CATEGORY]&amp;Ashrae90.1Vent[OCCUPANCY SUBCATEGORY],))</f>
        <v>2</v>
      </c>
      <c r="O3" s="119">
        <v>18</v>
      </c>
      <c r="P3" s="18">
        <f>CEILING((M3/1000)*D3,1)</f>
        <v>18</v>
      </c>
      <c r="Q3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R3" s="87">
        <f>(Ahu_Ashrae_sheet15[[#This Row],[DIVERSITY (D)]]*Ahu_Ashrae_sheet15[[#This Row],[RP
(CFM/PER PERSON)]]*Ahu_Ashrae_sheet15[[#This Row],[Occupants (Pz)]])+(Ahu_Ashrae_sheet15[[#This Row],[RA
(CFM/FT²)]]*Ahu_Ashrae_sheet15[[#This Row],[AREA (FT²)]])</f>
        <v>288</v>
      </c>
      <c r="S3" s="298">
        <f>IF(Ahu_Ashrae_sheet15[[#This Row],[DIVERSITY (D)]]&lt;0.6,(0.88*Ahu_Ashrae_sheet15[[#This Row],[DIVERSITY (D)]]+0.22),0.75)</f>
        <v>0.75</v>
      </c>
      <c r="T3" s="87">
        <f>Ahu_Ashrae_sheet15[[#This Row],[Uncorrected OA (Vou)]]/Ahu_Ashrae_sheet15[[#This Row],[System Efficiency (Ev)]]</f>
        <v>384</v>
      </c>
      <c r="U3" s="87">
        <f>(Ahu_Ashrae_sheet15[[#This Row],[RP
(CFM/PER PERSON)]]*Ahu_Ashrae_sheet15[[#This Row],[Occupants (Pz)]])+(Ahu_Ashrae_sheet15[[#This Row],[RA
(CFM/FT²)]]*Ahu_Ashrae_sheet15[[#This Row],[AREA (FT²)]])</f>
        <v>288</v>
      </c>
      <c r="V3" s="119">
        <v>0.8</v>
      </c>
      <c r="W3" s="87">
        <f>Ahu_Ashrae_sheet15[[#This Row],[Breathing Zone OA (Vbz)]]/Ahu_Ashrae_sheet15[[#This Row],[Zone Efficiency (Ez)]]</f>
        <v>360</v>
      </c>
      <c r="X3" s="119" t="s">
        <v>225</v>
      </c>
      <c r="Y3" s="87" t="str">
        <f>IF(Ahu_Ashrae_sheet15[[#This Row],[EXHAUST RECOVERY]]="YES",(IF(Ahu_Ashrae_sheet15[[#This Row],[AREA (FT²)]]&lt;(VLOOKUP(INPUT_OUTPUTS!$C$6,'ASHRAE Table'!Z2:AC21,MATCH((Ahu_Ashrae_sheet15[[#This Row],[OCCUPANT DENSITY
('#/1000 FT²)]]*Ahu_Ashrae_sheet15[[#This Row],[RP
(CFM/PER PERSON)]]),'ASHRAE Table'!Z2:AC2,1),FALSE)), "NO","PROVIDE CO2 SENSOR")),(IF(Ahu_Ashrae_sheet15[[#This Row],[AREA (FT²)]]&lt;(VLOOKUP(INPUT_OUTPUTS!$C$6,'ASHRAE Table'!V2:Y21,MATCH((Ahu_Ashrae_sheet15[[#This Row],[OCCUPANT DENSITY
('#/1000 FT²)]]*Ahu_Ashrae_sheet15[[#This Row],[RP
(CFM/PER PERSON)]]),'ASHRAE Table'!V2:Y2,1),FALSE)), "NOT REQUIRED","PROVIDE CO2 SENSOR")))</f>
        <v>NOT REQUIRED</v>
      </c>
      <c r="Z3" s="87" t="str" cm="1">
        <f t="array" ref="Z3">INDEX(Ashrae90.1Vent[OS],MATCH(Ahu_Ashrae_sheet15[[#This Row],[Occupancy Category]]&amp;Ahu_Ashrae_sheet15[[#This Row],[Occupancy Subcategory]],Ashrae90.1Vent[OCCUPANCY CATEGORY]&amp;Ashrae90.1Vent[OCCUPANCY SUBCATEGORY],0))</f>
        <v>NO</v>
      </c>
      <c r="AA3" s="87">
        <f>IF(Ahu_Ashrae_sheet15[[#This Row],[OS]]="YES",0,Ahu_Ashrae_sheet15[[#This Row],[RA
(CFM/FT²)]]*Ahu_Ashrae_sheet15[[#This Row],[AREA (FT²)]])</f>
        <v>108</v>
      </c>
      <c r="AB3" s="87">
        <f>IF(Ahu_Ashrae_sheet15[[#This Row],[Exhaust Category]]="NA","NA",VLOOKUP(Ahu_Ashrae_sheet15[[#This Row],[Exhaust Category]],ASHRAE_EA_Table[[#All],[OCCUPANCY SUBCATEGORY]:[EXHAUST RATE PER AREA]],2))</f>
        <v>0</v>
      </c>
      <c r="AC3" s="87">
        <f>IF(Ahu_Ashrae_sheet15[[#This Row],[Exhaust Category]]="NA","NA",VLOOKUP(Ahu_Ashrae_sheet15[[#This Row],[Exhaust Category]],ASHRAE_EA_Table[[#All],[OCCUPANCY SUBCATEGORY]:[EXHAUST RATE PER AREA]],3))</f>
        <v>0.25</v>
      </c>
      <c r="AD3" s="18">
        <f>IF(Ahu_Ashrae_sheet15[[#This Row],[EA RATE
(CFM/UNIT)]]="NA"&amp;Ahu_Ashrae_sheet15[[#This Row],[EA RATE
(CFM/FT²)]]="NA",0,IF(Ahu_Ashrae_sheet15[[#This Row],[EA RATE
(CFM/UNIT)]]="NA",Ahu_Ashrae_sheet15[[#This Row],[EA RATE
(CFM/FT²)]]*Ahu_Ashrae_sheet15[[#This Row],[AREA (FT²)]],Ahu_Ashrae_sheet15[[#This Row],[Exhaust Units]]*Ahu_Ashrae_sheet15[[#This Row],[EA RATE
(CFM/UNIT)]]))</f>
        <v>0</v>
      </c>
      <c r="AE3" s="87">
        <f>IF((Ahu_Ashrae_sheet15[[#This Row],[DESIGN VAV MAX SA(CFM)]]*0.3)&lt;(Ahu_Ashrae_sheet15[[#This Row],[Zone OA (Voz)]]*1.5),(Ahu_Ashrae_sheet15[[#This Row],[Zone OA (Voz)]]*1.5),(Ahu_Ashrae_sheet15[[#This Row],[DESIGN VAV MAX SA(CFM)]]*0.3))</f>
        <v>540</v>
      </c>
      <c r="AF3" s="119">
        <f>IF(Ahu_Ashrae_sheet15[[#This Row],[MIN ASHRAE EA
(CFM)]]=0,MAX(Ahu_Ashrae_sheet15[[#This Row],[LOAD (CFM)]],Ahu_Ashrae_sheet15[[#This Row],[OFFICE STANDARD 
(CFM)]]),Ahu_Ashrae_sheet15[[#This Row],[DESIGN EA(CFM)]]-100)</f>
        <v>900</v>
      </c>
      <c r="AG3" s="119">
        <f>IF(Ahu_Ashrae_sheet15[[#This Row],[MIN ASHRAE EA
(CFM)]]=0,Ahu_Ashrae_sheet15[[#This Row],[DESIGN VAV MAX SA(CFM)]],0)</f>
        <v>900</v>
      </c>
      <c r="AH3" s="119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3" s="87">
        <f>Ahu_Ashrae_sheet15[[#This Row],[DESIGN VAV MAX SA(CFM)]]-Ahu_Ashrae_sheet15[[#This Row],[DESIGN RA (CFM)]]-Ahu_Ashrae_sheet15[[#This Row],[DESIGN EA(CFM)]]</f>
        <v>0</v>
      </c>
      <c r="AJ3" s="277">
        <f>Ahu_Ashrae_sheet15[[#This Row],[OUTSIDE AIRFLOW (CFM) (Vot)]]/Ahu_Ashrae_sheet15[[#This Row],[DESIGN VAV MAX SA(CFM)]]</f>
        <v>0.42666666666666669</v>
      </c>
      <c r="AM3" s="300" t="s">
        <v>594</v>
      </c>
      <c r="AN3" s="300" t="s">
        <v>72</v>
      </c>
      <c r="AO3" s="300" t="s">
        <v>77</v>
      </c>
      <c r="AP3" s="302">
        <f>SUMIF(Ahu_Ashrae_sheet15[Zone],AHU1_CAV_SCHEDULE4451416[[#This Row],[ZONE]],Ahu_Ashrae_sheet15[DESIGN VAV MIN SA(CFM)])</f>
        <v>677.8125</v>
      </c>
      <c r="AQ3" s="300">
        <f>SUMIF(Ahu_Ashrae_sheet15[Zone],AHU1_CAV_SCHEDULE4451416[[#This Row],[ZONE]],Ahu_Ashrae_sheet15[DESIGN VAV MAX SA(CFM)])</f>
        <v>1200</v>
      </c>
      <c r="AR3" s="42">
        <f>IFERROR((VLOOKUP(AHU1_CAV_SCHEDULE4451416[[#This Row],[MAX VAV
(CFM)]],'DO NOT TOUCH'!$P$9:$Q$14,2,TRUE)),"TBD")</f>
        <v>12</v>
      </c>
      <c r="AS3" s="42">
        <v>0.5</v>
      </c>
      <c r="AT3" s="42">
        <f>AHU1_CAV_SCHEDULE4451416[[#This Row],[MIN VAV
(CFM)]]</f>
        <v>677.8125</v>
      </c>
      <c r="AU3" s="42">
        <f>INPUT_OUTPUTS!$C$16</f>
        <v>140</v>
      </c>
      <c r="AV3" s="42">
        <f>INPUT_OUTPUTS!$C$17</f>
        <v>100</v>
      </c>
      <c r="AW3" s="42">
        <v>55</v>
      </c>
      <c r="AX3" s="42">
        <v>85</v>
      </c>
      <c r="AY3" s="42" t="e">
        <f>MROUND((1.08*(AX3-AW3)*#REF!)/1000,0.1)</f>
        <v>#REF!</v>
      </c>
      <c r="AZ3" s="43" t="e">
        <f>(AY3*1000)/(500*(AU3-AV3))</f>
        <v>#REF!</v>
      </c>
      <c r="BA3" s="43" t="e">
        <f>IF(AZ3&lt;0.5,0.5,AZ3)</f>
        <v>#REF!</v>
      </c>
      <c r="BB3" s="43">
        <v>5</v>
      </c>
      <c r="BC3" s="43">
        <f>IFERROR((_xlfn.XLOOKUP(AR3,'DO NOT TOUCH'!$Q$9:$Q$14,'DO NOT TOUCH'!$R$9:$R$14,)),"TBD")</f>
        <v>45</v>
      </c>
      <c r="BD3" s="43">
        <f>INPUT_OUTPUTS!$C$19</f>
        <v>0</v>
      </c>
      <c r="BE3" s="42" t="s">
        <v>73</v>
      </c>
    </row>
    <row r="4" spans="1:57" ht="17.25">
      <c r="A4" s="119" t="s">
        <v>594</v>
      </c>
      <c r="B4" s="119">
        <v>103</v>
      </c>
      <c r="C4" s="119" t="s">
        <v>545</v>
      </c>
      <c r="D4" s="119">
        <v>300</v>
      </c>
      <c r="E4" s="119">
        <v>0</v>
      </c>
      <c r="F4" s="268">
        <f>IF((Ahu_Ashrae_sheet15[[#This Row],[Occupancy Subcategory]] = "TOILET"),MROUND(D4/2,5),MROUND(D4,5))</f>
        <v>300</v>
      </c>
      <c r="G4" s="119">
        <v>280</v>
      </c>
      <c r="H4" s="119" t="s">
        <v>592</v>
      </c>
      <c r="I4" s="119" t="s">
        <v>545</v>
      </c>
      <c r="J4" s="119" t="s">
        <v>546</v>
      </c>
      <c r="K4" s="18" cm="1">
        <f t="array" ref="K4">INDEX(Ashrae90.1Vent[RP],MATCH(Ahu_Ashrae_sheet15[[#This Row],[Occupancy Category]]&amp;Ahu_Ashrae_sheet15[[#This Row],[Occupancy Subcategory]],Ashrae90.1Vent[OCCUPANCY CATEGORY]&amp;Ashrae90.1Vent[OCCUPANCY SUBCATEGORY],0))</f>
        <v>7.5</v>
      </c>
      <c r="L4" s="18" cm="1">
        <f t="array" ref="L4">INDEX(Ashrae90.1Vent[RA],MATCH(Ahu_Ashrae_sheet15[[#This Row],[Occupancy Category]]&amp;Ahu_Ashrae_sheet15[[#This Row],[Occupancy Subcategory]],Ashrae90.1Vent[OCCUPANCY CATEGORY]&amp;Ashrae90.1Vent[OCCUPANCY SUBCATEGORY],))</f>
        <v>0.12</v>
      </c>
      <c r="M4" s="18" cm="1">
        <f t="array" ref="M4">INDEX(Ashrae90.1Vent[OCCUPANT DENSITY],MATCH(Ahu_Ashrae_sheet15[[#This Row],[Occupancy Category]]&amp;Ahu_Ashrae_sheet15[[#This Row],[Occupancy Subcategory]],Ashrae90.1Vent[OCCUPANCY CATEGORY]&amp;Ashrae90.1Vent[OCCUPANCY SUBCATEGORY],))</f>
        <v>15</v>
      </c>
      <c r="N4" s="18" cm="1">
        <f t="array" ref="N4">INDEX(Ashrae90.1Vent[AIR CLASS],MATCH(Ahu_Ashrae_sheet15[[#This Row],[Occupancy Category]]&amp;Ahu_Ashrae_sheet15[[#This Row],[Occupancy Subcategory]],Ashrae90.1Vent[OCCUPANCY CATEGORY]&amp;Ashrae90.1Vent[OCCUPANCY SUBCATEGORY],))</f>
        <v>2</v>
      </c>
      <c r="O4" s="119">
        <v>5</v>
      </c>
      <c r="P4" s="18">
        <f t="shared" ref="P4:P5" si="0">CEILING((M4/1000)*D4,1)</f>
        <v>5</v>
      </c>
      <c r="Q4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R4" s="87">
        <f>(Ahu_Ashrae_sheet15[[#This Row],[DIVERSITY (D)]]*Ahu_Ashrae_sheet15[[#This Row],[RP
(CFM/PER PERSON)]]*Ahu_Ashrae_sheet15[[#This Row],[Occupants (Pz)]])+(Ahu_Ashrae_sheet15[[#This Row],[RA
(CFM/FT²)]]*Ahu_Ashrae_sheet15[[#This Row],[AREA (FT²)]])</f>
        <v>73.5</v>
      </c>
      <c r="S4" s="298">
        <f>IF(Ahu_Ashrae_sheet15[[#This Row],[DIVERSITY (D)]]&lt;0.6,(0.88*Ahu_Ashrae_sheet15[[#This Row],[DIVERSITY (D)]]+0.22),0.75)</f>
        <v>0.75</v>
      </c>
      <c r="T4" s="87">
        <f>Ahu_Ashrae_sheet15[[#This Row],[Uncorrected OA (Vou)]]/Ahu_Ashrae_sheet15[[#This Row],[System Efficiency (Ev)]]</f>
        <v>98</v>
      </c>
      <c r="U4" s="87">
        <f>(Ahu_Ashrae_sheet15[[#This Row],[RP
(CFM/PER PERSON)]]*Ahu_Ashrae_sheet15[[#This Row],[Occupants (Pz)]])+(Ahu_Ashrae_sheet15[[#This Row],[RA
(CFM/FT²)]]*Ahu_Ashrae_sheet15[[#This Row],[AREA (FT²)]])</f>
        <v>73.5</v>
      </c>
      <c r="V4" s="119">
        <v>0.8</v>
      </c>
      <c r="W4" s="87">
        <f>Ahu_Ashrae_sheet15[[#This Row],[Breathing Zone OA (Vbz)]]/Ahu_Ashrae_sheet15[[#This Row],[Zone Efficiency (Ez)]]</f>
        <v>91.875</v>
      </c>
      <c r="X4" s="119" t="s">
        <v>225</v>
      </c>
      <c r="Y4" s="87" t="str">
        <f>IF(Ahu_Ashrae_sheet15[[#This Row],[EXHAUST RECOVERY]]="YES",(IF(Ahu_Ashrae_sheet15[[#This Row],[AREA (FT²)]]&lt;(VLOOKUP(INPUT_OUTPUTS!$C$6,'ASHRAE Table'!Z3:AC22,MATCH((Ahu_Ashrae_sheet15[[#This Row],[OCCUPANT DENSITY
('#/1000 FT²)]]*Ahu_Ashrae_sheet15[[#This Row],[RP
(CFM/PER PERSON)]]),'ASHRAE Table'!Z3:AC3,1),FALSE)), "NO","PROVIDE CO2 SENSOR")),(IF(Ahu_Ashrae_sheet15[[#This Row],[AREA (FT²)]]&lt;(VLOOKUP(INPUT_OUTPUTS!$C$6,'ASHRAE Table'!V3:Y22,MATCH((Ahu_Ashrae_sheet15[[#This Row],[OCCUPANT DENSITY
('#/1000 FT²)]]*Ahu_Ashrae_sheet15[[#This Row],[RP
(CFM/PER PERSON)]]),'ASHRAE Table'!V3:Y3,1),FALSE)), "NOT REQUIRED","PROVIDE CO2 SENSOR")))</f>
        <v>NOT REQUIRED</v>
      </c>
      <c r="Z4" s="87" t="str" cm="1">
        <f t="array" ref="Z4">INDEX(Ashrae90.1Vent[OS],MATCH(Ahu_Ashrae_sheet15[[#This Row],[Occupancy Category]]&amp;Ahu_Ashrae_sheet15[[#This Row],[Occupancy Subcategory]],Ashrae90.1Vent[OCCUPANCY CATEGORY]&amp;Ashrae90.1Vent[OCCUPANCY SUBCATEGORY],0))</f>
        <v>NO</v>
      </c>
      <c r="AA4" s="87">
        <f>IF(Ahu_Ashrae_sheet15[[#This Row],[OS]]="YES",0,Ahu_Ashrae_sheet15[[#This Row],[RA
(CFM/FT²)]]*Ahu_Ashrae_sheet15[[#This Row],[AREA (FT²)]])</f>
        <v>36</v>
      </c>
      <c r="AB4" s="87">
        <f>IF(Ahu_Ashrae_sheet15[[#This Row],[Exhaust Category]]="NA","NA",VLOOKUP(Ahu_Ashrae_sheet15[[#This Row],[Exhaust Category]],ASHRAE_EA_Table[[#All],[OCCUPANCY SUBCATEGORY]:[EXHAUST RATE PER AREA]],2))</f>
        <v>0</v>
      </c>
      <c r="AC4" s="87">
        <f>IF(Ahu_Ashrae_sheet15[[#This Row],[Exhaust Category]]="NA","NA",VLOOKUP(Ahu_Ashrae_sheet15[[#This Row],[Exhaust Category]],ASHRAE_EA_Table[[#All],[OCCUPANCY SUBCATEGORY]:[EXHAUST RATE PER AREA]],3))</f>
        <v>0.25</v>
      </c>
      <c r="AD4" s="18">
        <f>IF(Ahu_Ashrae_sheet15[[#This Row],[EA RATE
(CFM/UNIT)]]="NA",Ahu_Ashrae_sheet15[[#This Row],[EA RATE
(CFM/FT²)]]*Ahu_Ashrae_sheet15[[#This Row],[AREA (FT²)]],Ahu_Ashrae_sheet15[[#This Row],[Exhaust Units]]*Ahu_Ashrae_sheet15[[#This Row],[EA RATE
(CFM/UNIT)]])</f>
        <v>0</v>
      </c>
      <c r="AE4" s="87">
        <f>IF((Ahu_Ashrae_sheet15[[#This Row],[DESIGN VAV MAX SA(CFM)]]*0.3)&lt;(Ahu_Ashrae_sheet15[[#This Row],[Zone OA (Voz)]]*1.5),(Ahu_Ashrae_sheet15[[#This Row],[Zone OA (Voz)]]*1.5),(Ahu_Ashrae_sheet15[[#This Row],[DESIGN VAV MAX SA(CFM)]]*0.3))</f>
        <v>137.8125</v>
      </c>
      <c r="AF4" s="119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G4" s="119">
        <f>IF(Ahu_Ashrae_sheet15[[#This Row],[MIN ASHRAE EA
(CFM)]]=0,Ahu_Ashrae_sheet15[[#This Row],[DESIGN VAV MAX SA(CFM)]],0)</f>
        <v>300</v>
      </c>
      <c r="AH4" s="119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4" s="87">
        <f>Ahu_Ashrae_sheet15[[#This Row],[DESIGN VAV MAX SA(CFM)]]-Ahu_Ashrae_sheet15[[#This Row],[DESIGN RA (CFM)]]-Ahu_Ashrae_sheet15[[#This Row],[DESIGN EA(CFM)]]</f>
        <v>0</v>
      </c>
      <c r="AJ4" s="277">
        <f>Ahu_Ashrae_sheet15[[#This Row],[OUTSIDE AIRFLOW (CFM) (Vot)]]/Ahu_Ashrae_sheet15[[#This Row],[DESIGN VAV MAX SA(CFM)]]</f>
        <v>0.32666666666666666</v>
      </c>
      <c r="AM4" s="300" t="s">
        <v>595</v>
      </c>
      <c r="AN4" s="300" t="s">
        <v>72</v>
      </c>
      <c r="AO4" s="300" t="s">
        <v>77</v>
      </c>
      <c r="AP4" s="300">
        <f>SUMIF(Ahu_Ashrae_sheet15[Zone],AHU1_CAV_SCHEDULE4451416[[#This Row],[ZONE]],Ahu_Ashrae_sheet15[DESIGN VAV MIN SA(CFM)])</f>
        <v>0</v>
      </c>
      <c r="AQ4" s="300">
        <f>SUMIF(Ahu_Ashrae_sheet15[Zone],AHU1_CAV_SCHEDULE4451416[[#This Row],[ZONE]],Ahu_Ashrae_sheet15[DESIGN VAV MAX SA(CFM)])</f>
        <v>0</v>
      </c>
      <c r="AR4" s="42" t="str">
        <f>IFERROR((VLOOKUP(AHU1_CAV_SCHEDULE4451416[[#This Row],[MAX VAV
(CFM)]],'DO NOT TOUCH'!$P$9:$Q$14,2,TRUE)),"TBD")</f>
        <v>TBD</v>
      </c>
      <c r="AS4" s="42">
        <f>AS3</f>
        <v>0.5</v>
      </c>
      <c r="AT4" s="42">
        <f>AHU1_CAV_SCHEDULE4451416[[#This Row],[MIN VAV
(CFM)]]</f>
        <v>0</v>
      </c>
      <c r="AU4" s="42">
        <f>INPUT_OUTPUTS!$C$16</f>
        <v>140</v>
      </c>
      <c r="AV4" s="42">
        <f>INPUT_OUTPUTS!$C$17</f>
        <v>100</v>
      </c>
      <c r="AW4" s="42">
        <f t="shared" ref="AW4:AX19" si="1">AW3</f>
        <v>55</v>
      </c>
      <c r="AX4" s="42">
        <f t="shared" si="1"/>
        <v>85</v>
      </c>
      <c r="AY4" s="42" t="e">
        <f>MROUND((1.08*(AX4-AW4)*#REF!)/1000,0.1)</f>
        <v>#REF!</v>
      </c>
      <c r="AZ4" s="43" t="e">
        <f>(AY4*1000)/(500*(AU4-AV4))</f>
        <v>#REF!</v>
      </c>
      <c r="BA4" s="43" t="e">
        <f t="shared" ref="BA4:BA40" si="2">IF(AZ4&lt;0.5,0.5,AZ4)</f>
        <v>#REF!</v>
      </c>
      <c r="BB4" s="43">
        <f>BB3</f>
        <v>5</v>
      </c>
      <c r="BC4" s="43" t="str">
        <f>IFERROR((_xlfn.XLOOKUP(AR4,'DO NOT TOUCH'!$Q$9:$Q$14,'DO NOT TOUCH'!$R$9:$R$14,)),"TBD")</f>
        <v>TBD</v>
      </c>
      <c r="BD4" s="43">
        <f>INPUT_OUTPUTS!$C$19</f>
        <v>0</v>
      </c>
      <c r="BE4" s="42" t="str">
        <f>BE3</f>
        <v>1, 2</v>
      </c>
    </row>
    <row r="5" spans="1:57" ht="17.25">
      <c r="A5" s="119" t="s">
        <v>596</v>
      </c>
      <c r="B5" s="119">
        <v>104</v>
      </c>
      <c r="C5" s="119" t="s">
        <v>532</v>
      </c>
      <c r="D5" s="119">
        <v>1200</v>
      </c>
      <c r="E5" s="119">
        <v>0</v>
      </c>
      <c r="F5" s="268">
        <f>IF((Ahu_Ashrae_sheet15[[#This Row],[Occupancy Subcategory]] = "TOILET"),MROUND(D5/2,5),MROUND(D5,5))</f>
        <v>1200</v>
      </c>
      <c r="G5" s="119">
        <v>150</v>
      </c>
      <c r="H5" s="119" t="s">
        <v>592</v>
      </c>
      <c r="I5" s="119" t="s">
        <v>528</v>
      </c>
      <c r="J5" s="119" t="s">
        <v>532</v>
      </c>
      <c r="K5" s="18" cm="1">
        <f t="array" ref="K5">INDEX(Ashrae90.1Vent[RP],MATCH(Ahu_Ashrae_sheet15[[#This Row],[Occupancy Category]]&amp;Ahu_Ashrae_sheet15[[#This Row],[Occupancy Subcategory]],Ashrae90.1Vent[OCCUPANCY CATEGORY]&amp;Ashrae90.1Vent[OCCUPANCY SUBCATEGORY],0))</f>
        <v>5</v>
      </c>
      <c r="L5" s="18" cm="1">
        <f t="array" ref="L5">INDEX(Ashrae90.1Vent[RA],MATCH(Ahu_Ashrae_sheet15[[#This Row],[Occupancy Category]]&amp;Ahu_Ashrae_sheet15[[#This Row],[Occupancy Subcategory]],Ashrae90.1Vent[OCCUPANCY CATEGORY]&amp;Ashrae90.1Vent[OCCUPANCY SUBCATEGORY],))</f>
        <v>0.06</v>
      </c>
      <c r="M5" s="18" cm="1">
        <f t="array" ref="M5">INDEX(Ashrae90.1Vent[OCCUPANT DENSITY],MATCH(Ahu_Ashrae_sheet15[[#This Row],[Occupancy Category]]&amp;Ahu_Ashrae_sheet15[[#This Row],[Occupancy Subcategory]],Ashrae90.1Vent[OCCUPANCY CATEGORY]&amp;Ashrae90.1Vent[OCCUPANCY SUBCATEGORY],))</f>
        <v>5</v>
      </c>
      <c r="N5" s="18" cm="1">
        <f t="array" ref="N5">INDEX(Ashrae90.1Vent[AIR CLASS],MATCH(Ahu_Ashrae_sheet15[[#This Row],[Occupancy Category]]&amp;Ahu_Ashrae_sheet15[[#This Row],[Occupancy Subcategory]],Ashrae90.1Vent[OCCUPANCY CATEGORY]&amp;Ashrae90.1Vent[OCCUPANCY SUBCATEGORY],))</f>
        <v>1</v>
      </c>
      <c r="O5" s="119">
        <v>6</v>
      </c>
      <c r="P5" s="18">
        <f t="shared" si="0"/>
        <v>6</v>
      </c>
      <c r="Q5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R5" s="87">
        <f>(Ahu_Ashrae_sheet15[[#This Row],[DIVERSITY (D)]]*Ahu_Ashrae_sheet15[[#This Row],[RP
(CFM/PER PERSON)]]*Ahu_Ashrae_sheet15[[#This Row],[Occupants (Pz)]])+(Ahu_Ashrae_sheet15[[#This Row],[RA
(CFM/FT²)]]*Ahu_Ashrae_sheet15[[#This Row],[AREA (FT²)]])</f>
        <v>102</v>
      </c>
      <c r="S5" s="298">
        <f>IF(Ahu_Ashrae_sheet15[[#This Row],[DIVERSITY (D)]]&lt;0.6,(0.88*Ahu_Ashrae_sheet15[[#This Row],[DIVERSITY (D)]]+0.22),0.75)</f>
        <v>0.75</v>
      </c>
      <c r="T5" s="87">
        <f>Ahu_Ashrae_sheet15[[#This Row],[Uncorrected OA (Vou)]]/Ahu_Ashrae_sheet15[[#This Row],[System Efficiency (Ev)]]</f>
        <v>136</v>
      </c>
      <c r="U5" s="87">
        <f>(Ahu_Ashrae_sheet15[[#This Row],[RP
(CFM/PER PERSON)]]*Ahu_Ashrae_sheet15[[#This Row],[Occupants (Pz)]])+(Ahu_Ashrae_sheet15[[#This Row],[RA
(CFM/FT²)]]*Ahu_Ashrae_sheet15[[#This Row],[AREA (FT²)]])</f>
        <v>102</v>
      </c>
      <c r="V5" s="119">
        <v>0.8</v>
      </c>
      <c r="W5" s="87">
        <f>Ahu_Ashrae_sheet15[[#This Row],[Breathing Zone OA (Vbz)]]/Ahu_Ashrae_sheet15[[#This Row],[Zone Efficiency (Ez)]]</f>
        <v>127.5</v>
      </c>
      <c r="X5" s="119" t="s">
        <v>225</v>
      </c>
      <c r="Y5" s="87" t="str">
        <f>IF(Ahu_Ashrae_sheet15[[#This Row],[EXHAUST RECOVERY]]="YES",(IF(Ahu_Ashrae_sheet15[[#This Row],[AREA (FT²)]]&lt;(VLOOKUP(INPUT_OUTPUTS!$C$6,'ASHRAE Table'!Z4:AC23,MATCH((Ahu_Ashrae_sheet15[[#This Row],[OCCUPANT DENSITY
('#/1000 FT²)]]*Ahu_Ashrae_sheet15[[#This Row],[RP
(CFM/PER PERSON)]]),'ASHRAE Table'!Z4:AC4,1),FALSE)), "NO","PROVIDE CO2 SENSOR")),(IF(Ahu_Ashrae_sheet15[[#This Row],[AREA (FT²)]]&lt;(VLOOKUP(INPUT_OUTPUTS!$C$6,'ASHRAE Table'!V4:Y23,MATCH((Ahu_Ashrae_sheet15[[#This Row],[OCCUPANT DENSITY
('#/1000 FT²)]]*Ahu_Ashrae_sheet15[[#This Row],[RP
(CFM/PER PERSON)]]),'ASHRAE Table'!V4:Y4,1),FALSE)), "NOT REQUIRED","PROVIDE CO2 SENSOR")))</f>
        <v>NOT REQUIRED</v>
      </c>
      <c r="Z5" s="87" t="str" cm="1">
        <f t="array" ref="Z5">INDEX(Ashrae90.1Vent[OS],MATCH(Ahu_Ashrae_sheet15[[#This Row],[Occupancy Category]]&amp;Ahu_Ashrae_sheet15[[#This Row],[Occupancy Subcategory]],Ashrae90.1Vent[OCCUPANCY CATEGORY]&amp;Ashrae90.1Vent[OCCUPANCY SUBCATEGORY],0))</f>
        <v>YES</v>
      </c>
      <c r="AA5" s="87">
        <f>IF(Ahu_Ashrae_sheet15[[#This Row],[OS]]="YES",0,Ahu_Ashrae_sheet15[[#This Row],[RA
(CFM/FT²)]]*Ahu_Ashrae_sheet15[[#This Row],[AREA (FT²)]])</f>
        <v>0</v>
      </c>
      <c r="AB5" s="87">
        <f>IF(Ahu_Ashrae_sheet15[[#This Row],[Exhaust Category]]="NA","NA",VLOOKUP(Ahu_Ashrae_sheet15[[#This Row],[Exhaust Category]],ASHRAE_EA_Table[[#All],[OCCUPANCY SUBCATEGORY]:[EXHAUST RATE PER AREA]],2))</f>
        <v>0</v>
      </c>
      <c r="AC5" s="87">
        <f>IF(Ahu_Ashrae_sheet15[[#This Row],[Exhaust Category]]="NA","NA",VLOOKUP(Ahu_Ashrae_sheet15[[#This Row],[Exhaust Category]],ASHRAE_EA_Table[[#All],[OCCUPANCY SUBCATEGORY]:[EXHAUST RATE PER AREA]],3))</f>
        <v>0.25</v>
      </c>
      <c r="AD5" s="18">
        <f>IF(Ahu_Ashrae_sheet15[[#This Row],[EA RATE
(CFM/UNIT)]]="NA",Ahu_Ashrae_sheet15[[#This Row],[EA RATE
(CFM/FT²)]]*Ahu_Ashrae_sheet15[[#This Row],[AREA (FT²)]],Ahu_Ashrae_sheet15[[#This Row],[Exhaust Units]]*Ahu_Ashrae_sheet15[[#This Row],[EA RATE
(CFM/UNIT)]])</f>
        <v>0</v>
      </c>
      <c r="AE5" s="87">
        <f>IF((Ahu_Ashrae_sheet15[[#This Row],[DESIGN VAV MAX SA(CFM)]]*0.3)&lt;(Ahu_Ashrae_sheet15[[#This Row],[Zone OA (Voz)]]*1.5),(Ahu_Ashrae_sheet15[[#This Row],[Zone OA (Voz)]]*1.5),(Ahu_Ashrae_sheet15[[#This Row],[DESIGN VAV MAX SA(CFM)]]*0.3))</f>
        <v>360</v>
      </c>
      <c r="AF5" s="119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G5" s="119">
        <f>IF(Ahu_Ashrae_sheet15[[#This Row],[MIN ASHRAE EA
(CFM)]]=0,Ahu_Ashrae_sheet15[[#This Row],[DESIGN VAV MAX SA(CFM)]],0)</f>
        <v>1200</v>
      </c>
      <c r="AH5" s="119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5" s="87">
        <f>Ahu_Ashrae_sheet15[[#This Row],[DESIGN VAV MAX SA(CFM)]]-Ahu_Ashrae_sheet15[[#This Row],[DESIGN RA (CFM)]]-Ahu_Ashrae_sheet15[[#This Row],[DESIGN EA(CFM)]]</f>
        <v>0</v>
      </c>
      <c r="AJ5" s="277">
        <f>Ahu_Ashrae_sheet15[[#This Row],[OUTSIDE AIRFLOW (CFM) (Vot)]]/Ahu_Ashrae_sheet15[[#This Row],[DESIGN VAV MAX SA(CFM)]]</f>
        <v>0.11333333333333333</v>
      </c>
      <c r="AM5" s="300" t="s">
        <v>596</v>
      </c>
      <c r="AN5" s="300" t="s">
        <v>72</v>
      </c>
      <c r="AO5" s="300" t="s">
        <v>77</v>
      </c>
      <c r="AP5" s="300">
        <f>SUMIF(Ahu_Ashrae_sheet15[Zone],AHU1_CAV_SCHEDULE4451416[[#This Row],[ZONE]],Ahu_Ashrae_sheet15[DESIGN VAV MIN SA(CFM)])</f>
        <v>360</v>
      </c>
      <c r="AQ5" s="300">
        <f>SUMIF(Ahu_Ashrae_sheet15[Zone],AHU1_CAV_SCHEDULE4451416[[#This Row],[ZONE]],Ahu_Ashrae_sheet15[DESIGN VAV MAX SA(CFM)])</f>
        <v>1200</v>
      </c>
      <c r="AR5" s="42">
        <f>IFERROR((VLOOKUP(AHU1_CAV_SCHEDULE4451416[[#This Row],[MAX VAV
(CFM)]],'DO NOT TOUCH'!$P$9:$Q$14,2,TRUE)),"TBD")</f>
        <v>12</v>
      </c>
      <c r="AS5" s="42">
        <f t="shared" ref="AS5:AS40" si="3">AS4</f>
        <v>0.5</v>
      </c>
      <c r="AT5" s="42">
        <f>AHU1_CAV_SCHEDULE4451416[[#This Row],[MIN VAV
(CFM)]]</f>
        <v>360</v>
      </c>
      <c r="AU5" s="42">
        <f>INPUT_OUTPUTS!$C$16</f>
        <v>140</v>
      </c>
      <c r="AV5" s="42">
        <f>INPUT_OUTPUTS!$C$17</f>
        <v>100</v>
      </c>
      <c r="AW5" s="42">
        <f t="shared" si="1"/>
        <v>55</v>
      </c>
      <c r="AX5" s="42">
        <f t="shared" si="1"/>
        <v>85</v>
      </c>
      <c r="AY5" s="42" t="e">
        <f>MROUND((1.08*(AX5-AW5)*#REF!)/1000,0.1)</f>
        <v>#REF!</v>
      </c>
      <c r="AZ5" s="43" t="e">
        <f t="shared" ref="AZ5:AZ40" si="4">(AY5*1000)/(500*(AU5-AV5))</f>
        <v>#REF!</v>
      </c>
      <c r="BA5" s="43" t="e">
        <f t="shared" si="2"/>
        <v>#REF!</v>
      </c>
      <c r="BB5" s="43">
        <f t="shared" ref="BB5:BB40" si="5">BB4</f>
        <v>5</v>
      </c>
      <c r="BC5" s="43">
        <f>IFERROR((_xlfn.XLOOKUP(AR5,'DO NOT TOUCH'!$Q$9:$Q$14,'DO NOT TOUCH'!$R$9:$R$14,)),"TBD")</f>
        <v>45</v>
      </c>
      <c r="BD5" s="43">
        <f>INPUT_OUTPUTS!$C$19</f>
        <v>0</v>
      </c>
      <c r="BE5" s="42" t="str">
        <f t="shared" ref="BE5:BE40" si="6">BE4</f>
        <v>1, 2</v>
      </c>
    </row>
    <row r="6" spans="1:57" ht="15.75">
      <c r="A6" s="271" t="s">
        <v>465</v>
      </c>
      <c r="B6" s="271"/>
      <c r="C6" s="290">
        <f>SUBTOTAL(103,Ahu_Ashrae_sheet15[Room])</f>
        <v>3</v>
      </c>
      <c r="D6" s="289">
        <f>SUBTOTAL(109,Ahu_Ashrae_sheet15[AREA (FT²)])</f>
        <v>2400</v>
      </c>
      <c r="E6" s="291"/>
      <c r="F6" s="292"/>
      <c r="G6" s="288">
        <f>SUBTOTAL(109,Ahu_Ashrae_sheet15[LOAD (CFM)])</f>
        <v>1080</v>
      </c>
      <c r="H6" s="271"/>
      <c r="I6" s="271"/>
      <c r="J6" s="271"/>
      <c r="K6" s="293"/>
      <c r="L6" s="293"/>
      <c r="M6" s="293"/>
      <c r="N6" s="293"/>
      <c r="O6" s="294">
        <f>SUBTOTAL(109,Ahu_Ashrae_sheet15[Actual Number of  Occupants (Ps)])</f>
        <v>29</v>
      </c>
      <c r="P6" s="294">
        <f>SUBTOTAL(109,Ahu_Ashrae_sheet15[Occupants (Pz)])</f>
        <v>29</v>
      </c>
      <c r="Q6" s="294"/>
      <c r="R6" s="295">
        <f>SUBTOTAL(109,Ahu_Ashrae_sheet15[Uncorrected OA (Vou)])</f>
        <v>463.5</v>
      </c>
      <c r="S6" s="293"/>
      <c r="T6" s="295">
        <f>SUBTOTAL(109,Ahu_Ashrae_sheet15[OUTSIDE AIRFLOW (CFM) (Vot)])</f>
        <v>618</v>
      </c>
      <c r="U6" s="295"/>
      <c r="V6" s="295"/>
      <c r="W6" s="295"/>
      <c r="X6" s="295"/>
      <c r="Y6" s="295"/>
      <c r="Z6" s="295"/>
      <c r="AA6" s="295">
        <f>SUBTOTAL(109,Ahu_Ashrae_sheet15[MIN OA ALLOWABLE (WITH DCV)])</f>
        <v>144</v>
      </c>
      <c r="AB6" s="293"/>
      <c r="AC6" s="293"/>
      <c r="AD6" s="293"/>
      <c r="AE6" s="293"/>
      <c r="AF6" s="295">
        <f>SUBTOTAL(109,Ahu_Ashrae_sheet15[DESIGN VAV MAX SA(CFM)])</f>
        <v>2400</v>
      </c>
      <c r="AG6" s="295">
        <f>SUBTOTAL(109,Ahu_Ashrae_sheet15[DESIGN RA (CFM)])</f>
        <v>2400</v>
      </c>
      <c r="AH6" s="295">
        <f>SUBTOTAL(109,Ahu_Ashrae_sheet15[DESIGN EA(CFM)])</f>
        <v>0</v>
      </c>
      <c r="AI6" s="293"/>
      <c r="AJ6" s="296"/>
      <c r="AM6" s="300" t="s">
        <v>597</v>
      </c>
      <c r="AN6" s="300" t="s">
        <v>72</v>
      </c>
      <c r="AO6" s="300" t="s">
        <v>77</v>
      </c>
      <c r="AP6" s="300">
        <f>SUMIF(Ahu_Ashrae_sheet15[Zone],AHU1_CAV_SCHEDULE4451416[[#This Row],[ZONE]],Ahu_Ashrae_sheet15[DESIGN VAV MIN SA(CFM)])</f>
        <v>0</v>
      </c>
      <c r="AQ6" s="300">
        <f>SUMIF(Ahu_Ashrae_sheet15[Zone],AHU1_CAV_SCHEDULE4451416[[#This Row],[ZONE]],Ahu_Ashrae_sheet15[DESIGN VAV MAX SA(CFM)])</f>
        <v>0</v>
      </c>
      <c r="AR6" s="42" t="str">
        <f>IFERROR((VLOOKUP(AHU1_CAV_SCHEDULE4451416[[#This Row],[MAX VAV
(CFM)]],'DO NOT TOUCH'!$P$9:$Q$14,2,TRUE)),"TBD")</f>
        <v>TBD</v>
      </c>
      <c r="AS6" s="42">
        <f t="shared" si="3"/>
        <v>0.5</v>
      </c>
      <c r="AT6" s="42">
        <f>AHU1_CAV_SCHEDULE4451416[[#This Row],[MIN VAV
(CFM)]]</f>
        <v>0</v>
      </c>
      <c r="AU6" s="42">
        <f>INPUT_OUTPUTS!$C$16</f>
        <v>140</v>
      </c>
      <c r="AV6" s="42">
        <f>INPUT_OUTPUTS!$C$17</f>
        <v>100</v>
      </c>
      <c r="AW6" s="42">
        <f t="shared" si="1"/>
        <v>55</v>
      </c>
      <c r="AX6" s="42">
        <f t="shared" si="1"/>
        <v>85</v>
      </c>
      <c r="AY6" s="42" t="e">
        <f>MROUND((1.08*(AX6-AW6)*#REF!)/1000,0.1)</f>
        <v>#REF!</v>
      </c>
      <c r="AZ6" s="43" t="e">
        <f t="shared" si="4"/>
        <v>#REF!</v>
      </c>
      <c r="BA6" s="43" t="e">
        <f t="shared" si="2"/>
        <v>#REF!</v>
      </c>
      <c r="BB6" s="43">
        <f t="shared" si="5"/>
        <v>5</v>
      </c>
      <c r="BC6" s="43" t="str">
        <f>IFERROR((_xlfn.XLOOKUP(AR6,'DO NOT TOUCH'!$Q$9:$Q$14,'DO NOT TOUCH'!$R$9:$R$14,)),"TBD")</f>
        <v>TBD</v>
      </c>
      <c r="BD6" s="43">
        <f>INPUT_OUTPUTS!$C$19</f>
        <v>0</v>
      </c>
      <c r="BE6" s="42" t="str">
        <f t="shared" si="6"/>
        <v>1, 2</v>
      </c>
    </row>
    <row r="7" spans="1:57" ht="15">
      <c r="AM7" s="300" t="s">
        <v>598</v>
      </c>
      <c r="AN7" s="300" t="s">
        <v>72</v>
      </c>
      <c r="AO7" s="300" t="s">
        <v>77</v>
      </c>
      <c r="AP7" s="300">
        <f>SUMIF(Ahu_Ashrae_sheet15[Zone],AHU1_CAV_SCHEDULE4451416[[#This Row],[ZONE]],Ahu_Ashrae_sheet15[DESIGN VAV MIN SA(CFM)])</f>
        <v>0</v>
      </c>
      <c r="AQ7" s="300">
        <f>SUMIF(Ahu_Ashrae_sheet15[Zone],AHU1_CAV_SCHEDULE4451416[[#This Row],[ZONE]],Ahu_Ashrae_sheet15[DESIGN VAV MAX SA(CFM)])</f>
        <v>0</v>
      </c>
      <c r="AR7" s="42" t="str">
        <f>IFERROR((VLOOKUP(AHU1_CAV_SCHEDULE4451416[[#This Row],[MAX VAV
(CFM)]],'DO NOT TOUCH'!$P$9:$Q$14,2,TRUE)),"TBD")</f>
        <v>TBD</v>
      </c>
      <c r="AS7" s="42">
        <f t="shared" si="3"/>
        <v>0.5</v>
      </c>
      <c r="AT7" s="42">
        <f>AHU1_CAV_SCHEDULE4451416[[#This Row],[MIN VAV
(CFM)]]</f>
        <v>0</v>
      </c>
      <c r="AU7" s="42">
        <f>INPUT_OUTPUTS!$C$16</f>
        <v>140</v>
      </c>
      <c r="AV7" s="42">
        <f>INPUT_OUTPUTS!$C$17</f>
        <v>100</v>
      </c>
      <c r="AW7" s="42">
        <f t="shared" si="1"/>
        <v>55</v>
      </c>
      <c r="AX7" s="42">
        <f t="shared" si="1"/>
        <v>85</v>
      </c>
      <c r="AY7" s="42" t="e">
        <f>MROUND((1.08*(AX7-AW7)*#REF!)/1000,0.1)</f>
        <v>#REF!</v>
      </c>
      <c r="AZ7" s="43" t="e">
        <f t="shared" si="4"/>
        <v>#REF!</v>
      </c>
      <c r="BA7" s="43" t="e">
        <f t="shared" si="2"/>
        <v>#REF!</v>
      </c>
      <c r="BB7" s="43">
        <f t="shared" si="5"/>
        <v>5</v>
      </c>
      <c r="BC7" s="43" t="str">
        <f>IFERROR((_xlfn.XLOOKUP(AR7,'DO NOT TOUCH'!$Q$9:$Q$14,'DO NOT TOUCH'!$R$9:$R$14,)),"TBD")</f>
        <v>TBD</v>
      </c>
      <c r="BD7" s="43">
        <f>INPUT_OUTPUTS!$C$19</f>
        <v>0</v>
      </c>
      <c r="BE7" s="42" t="str">
        <f t="shared" si="6"/>
        <v>1, 2</v>
      </c>
    </row>
    <row r="8" spans="1:57" ht="15">
      <c r="AM8" s="300" t="s">
        <v>599</v>
      </c>
      <c r="AN8" s="300" t="s">
        <v>72</v>
      </c>
      <c r="AO8" s="300" t="s">
        <v>77</v>
      </c>
      <c r="AP8" s="300">
        <f>SUMIF(Ahu_Ashrae_sheet15[Zone],AHU1_CAV_SCHEDULE4451416[[#This Row],[ZONE]],Ahu_Ashrae_sheet15[DESIGN VAV MIN SA(CFM)])</f>
        <v>0</v>
      </c>
      <c r="AQ8" s="300">
        <f>SUMIF(Ahu_Ashrae_sheet15[Zone],AHU1_CAV_SCHEDULE4451416[[#This Row],[ZONE]],Ahu_Ashrae_sheet15[DESIGN VAV MAX SA(CFM)])</f>
        <v>0</v>
      </c>
      <c r="AR8" s="42" t="str">
        <f>IFERROR((VLOOKUP(AHU1_CAV_SCHEDULE4451416[[#This Row],[MAX VAV
(CFM)]],'DO NOT TOUCH'!$P$9:$Q$14,2,TRUE)),"TBD")</f>
        <v>TBD</v>
      </c>
      <c r="AS8" s="42">
        <f t="shared" si="3"/>
        <v>0.5</v>
      </c>
      <c r="AT8" s="42">
        <f>AHU1_CAV_SCHEDULE4451416[[#This Row],[MIN VAV
(CFM)]]</f>
        <v>0</v>
      </c>
      <c r="AU8" s="42">
        <f>INPUT_OUTPUTS!$C$16</f>
        <v>140</v>
      </c>
      <c r="AV8" s="42">
        <f>INPUT_OUTPUTS!$C$17</f>
        <v>100</v>
      </c>
      <c r="AW8" s="42">
        <f t="shared" si="1"/>
        <v>55</v>
      </c>
      <c r="AX8" s="42">
        <f t="shared" si="1"/>
        <v>85</v>
      </c>
      <c r="AY8" s="42" t="e">
        <f>MROUND((1.08*(AX8-AW8)*#REF!)/1000,0.1)</f>
        <v>#REF!</v>
      </c>
      <c r="AZ8" s="43" t="e">
        <f t="shared" si="4"/>
        <v>#REF!</v>
      </c>
      <c r="BA8" s="43" t="e">
        <f t="shared" si="2"/>
        <v>#REF!</v>
      </c>
      <c r="BB8" s="43">
        <f t="shared" si="5"/>
        <v>5</v>
      </c>
      <c r="BC8" s="43" t="str">
        <f>IFERROR((_xlfn.XLOOKUP(AR8,'DO NOT TOUCH'!$Q$9:$Q$14,'DO NOT TOUCH'!$R$9:$R$14,)),"TBD")</f>
        <v>TBD</v>
      </c>
      <c r="BD8" s="43">
        <f>INPUT_OUTPUTS!$C$19</f>
        <v>0</v>
      </c>
      <c r="BE8" s="42" t="str">
        <f t="shared" si="6"/>
        <v>1, 2</v>
      </c>
    </row>
    <row r="9" spans="1:57" ht="15">
      <c r="AM9" s="300" t="s">
        <v>600</v>
      </c>
      <c r="AN9" s="300" t="s">
        <v>72</v>
      </c>
      <c r="AO9" s="300" t="s">
        <v>77</v>
      </c>
      <c r="AP9" s="300">
        <f>SUMIF(Ahu_Ashrae_sheet15[Zone],AHU1_CAV_SCHEDULE4451416[[#This Row],[ZONE]],Ahu_Ashrae_sheet15[DESIGN VAV MIN SA(CFM)])</f>
        <v>0</v>
      </c>
      <c r="AQ9" s="300">
        <f>SUMIF(Ahu_Ashrae_sheet15[Zone],AHU1_CAV_SCHEDULE4451416[[#This Row],[ZONE]],Ahu_Ashrae_sheet15[DESIGN VAV MAX SA(CFM)])</f>
        <v>0</v>
      </c>
      <c r="AR9" s="42" t="str">
        <f>IFERROR((VLOOKUP(AHU1_CAV_SCHEDULE4451416[[#This Row],[MAX VAV
(CFM)]],'DO NOT TOUCH'!$P$9:$Q$14,2,TRUE)),"TBD")</f>
        <v>TBD</v>
      </c>
      <c r="AS9" s="42">
        <f t="shared" si="3"/>
        <v>0.5</v>
      </c>
      <c r="AT9" s="42">
        <f>AHU1_CAV_SCHEDULE4451416[[#This Row],[MIN VAV
(CFM)]]</f>
        <v>0</v>
      </c>
      <c r="AU9" s="42">
        <f>INPUT_OUTPUTS!$C$16</f>
        <v>140</v>
      </c>
      <c r="AV9" s="42">
        <f>INPUT_OUTPUTS!$C$17</f>
        <v>100</v>
      </c>
      <c r="AW9" s="42">
        <f t="shared" si="1"/>
        <v>55</v>
      </c>
      <c r="AX9" s="42">
        <f t="shared" si="1"/>
        <v>85</v>
      </c>
      <c r="AY9" s="42" t="e">
        <f>MROUND((1.08*(AX9-AW9)*#REF!)/1000,0.1)</f>
        <v>#REF!</v>
      </c>
      <c r="AZ9" s="43" t="e">
        <f t="shared" si="4"/>
        <v>#REF!</v>
      </c>
      <c r="BA9" s="43" t="e">
        <f t="shared" si="2"/>
        <v>#REF!</v>
      </c>
      <c r="BB9" s="43">
        <f t="shared" si="5"/>
        <v>5</v>
      </c>
      <c r="BC9" s="43" t="str">
        <f>IFERROR((_xlfn.XLOOKUP(AR9,'DO NOT TOUCH'!$Q$9:$Q$14,'DO NOT TOUCH'!$R$9:$R$14,)),"TBD")</f>
        <v>TBD</v>
      </c>
      <c r="BD9" s="43">
        <f>INPUT_OUTPUTS!$C$19</f>
        <v>0</v>
      </c>
      <c r="BE9" s="45" t="str">
        <f t="shared" si="6"/>
        <v>1, 2</v>
      </c>
    </row>
    <row r="10" spans="1:57" ht="15">
      <c r="AM10" s="300" t="s">
        <v>601</v>
      </c>
      <c r="AN10" s="300" t="s">
        <v>72</v>
      </c>
      <c r="AO10" s="300" t="s">
        <v>77</v>
      </c>
      <c r="AP10" s="300">
        <f>SUMIF(Ahu_Ashrae_sheet15[Zone],AHU1_CAV_SCHEDULE4451416[[#This Row],[ZONE]],Ahu_Ashrae_sheet15[DESIGN VAV MIN SA(CFM)])</f>
        <v>0</v>
      </c>
      <c r="AQ10" s="300">
        <f>SUMIF(Ahu_Ashrae_sheet15[Zone],AHU1_CAV_SCHEDULE4451416[[#This Row],[ZONE]],Ahu_Ashrae_sheet15[DESIGN VAV MAX SA(CFM)])</f>
        <v>0</v>
      </c>
      <c r="AR10" s="42" t="str">
        <f>IFERROR((VLOOKUP(AHU1_CAV_SCHEDULE4451416[[#This Row],[MAX VAV
(CFM)]],'DO NOT TOUCH'!$P$9:$Q$14,2,TRUE)),"TBD")</f>
        <v>TBD</v>
      </c>
      <c r="AS10" s="42">
        <f t="shared" si="3"/>
        <v>0.5</v>
      </c>
      <c r="AT10" s="42">
        <f>AHU1_CAV_SCHEDULE4451416[[#This Row],[MIN VAV
(CFM)]]</f>
        <v>0</v>
      </c>
      <c r="AU10" s="42">
        <f>INPUT_OUTPUTS!$C$16</f>
        <v>140</v>
      </c>
      <c r="AV10" s="42">
        <f>INPUT_OUTPUTS!$C$17</f>
        <v>100</v>
      </c>
      <c r="AW10" s="42">
        <f t="shared" si="1"/>
        <v>55</v>
      </c>
      <c r="AX10" s="42">
        <f t="shared" si="1"/>
        <v>85</v>
      </c>
      <c r="AY10" s="42" t="e">
        <f>MROUND((1.08*(AX10-AW10)*#REF!)/1000,0.1)</f>
        <v>#REF!</v>
      </c>
      <c r="AZ10" s="43" t="e">
        <f t="shared" si="4"/>
        <v>#REF!</v>
      </c>
      <c r="BA10" s="43" t="e">
        <f t="shared" si="2"/>
        <v>#REF!</v>
      </c>
      <c r="BB10" s="43">
        <f t="shared" si="5"/>
        <v>5</v>
      </c>
      <c r="BC10" s="43" t="str">
        <f>IFERROR((_xlfn.XLOOKUP(AR10,'DO NOT TOUCH'!$Q$9:$Q$14,'DO NOT TOUCH'!$R$9:$R$14,)),"TBD")</f>
        <v>TBD</v>
      </c>
      <c r="BD10" s="43">
        <f>INPUT_OUTPUTS!$C$19</f>
        <v>0</v>
      </c>
      <c r="BE10" s="45" t="str">
        <f t="shared" si="6"/>
        <v>1, 2</v>
      </c>
    </row>
    <row r="11" spans="1:57" ht="15">
      <c r="AM11" s="300" t="s">
        <v>602</v>
      </c>
      <c r="AN11" s="300" t="s">
        <v>72</v>
      </c>
      <c r="AO11" s="300" t="s">
        <v>77</v>
      </c>
      <c r="AP11" s="300">
        <f>SUMIF(Ahu_Ashrae_sheet15[Zone],AHU1_CAV_SCHEDULE4451416[[#This Row],[ZONE]],Ahu_Ashrae_sheet15[DESIGN VAV MIN SA(CFM)])</f>
        <v>0</v>
      </c>
      <c r="AQ11" s="300">
        <f>SUMIF(Ahu_Ashrae_sheet15[Zone],AHU1_CAV_SCHEDULE4451416[[#This Row],[ZONE]],Ahu_Ashrae_sheet15[DESIGN VAV MAX SA(CFM)])</f>
        <v>0</v>
      </c>
      <c r="AR11" s="42" t="str">
        <f>IFERROR((VLOOKUP(AHU1_CAV_SCHEDULE4451416[[#This Row],[MAX VAV
(CFM)]],'DO NOT TOUCH'!$P$9:$Q$14,2,TRUE)),"TBD")</f>
        <v>TBD</v>
      </c>
      <c r="AS11" s="42">
        <f t="shared" si="3"/>
        <v>0.5</v>
      </c>
      <c r="AT11" s="42">
        <f>AHU1_CAV_SCHEDULE4451416[[#This Row],[MIN VAV
(CFM)]]</f>
        <v>0</v>
      </c>
      <c r="AU11" s="42">
        <f>INPUT_OUTPUTS!$C$16</f>
        <v>140</v>
      </c>
      <c r="AV11" s="42">
        <f>INPUT_OUTPUTS!$C$17</f>
        <v>100</v>
      </c>
      <c r="AW11" s="42">
        <f t="shared" si="1"/>
        <v>55</v>
      </c>
      <c r="AX11" s="42">
        <f t="shared" si="1"/>
        <v>85</v>
      </c>
      <c r="AY11" s="42" t="e">
        <f>MROUND((1.08*(AX11-AW11)*#REF!)/1000,0.1)</f>
        <v>#REF!</v>
      </c>
      <c r="AZ11" s="43" t="e">
        <f t="shared" si="4"/>
        <v>#REF!</v>
      </c>
      <c r="BA11" s="43" t="e">
        <f t="shared" si="2"/>
        <v>#REF!</v>
      </c>
      <c r="BB11" s="43">
        <f t="shared" si="5"/>
        <v>5</v>
      </c>
      <c r="BC11" s="43" t="str">
        <f>IFERROR((_xlfn.XLOOKUP(AR11,'DO NOT TOUCH'!$Q$9:$Q$14,'DO NOT TOUCH'!$R$9:$R$14,)),"TBD")</f>
        <v>TBD</v>
      </c>
      <c r="BD11" s="43">
        <f>INPUT_OUTPUTS!$C$19</f>
        <v>0</v>
      </c>
      <c r="BE11" s="45" t="str">
        <f t="shared" si="6"/>
        <v>1, 2</v>
      </c>
    </row>
    <row r="12" spans="1:57" ht="15">
      <c r="AM12" s="300" t="s">
        <v>603</v>
      </c>
      <c r="AN12" s="300" t="s">
        <v>72</v>
      </c>
      <c r="AO12" s="300" t="s">
        <v>77</v>
      </c>
      <c r="AP12" s="300">
        <f>SUMIF(Ahu_Ashrae_sheet15[Zone],AHU1_CAV_SCHEDULE4451416[[#This Row],[ZONE]],Ahu_Ashrae_sheet15[DESIGN VAV MIN SA(CFM)])</f>
        <v>0</v>
      </c>
      <c r="AQ12" s="300">
        <f>SUMIF(Ahu_Ashrae_sheet15[Zone],AHU1_CAV_SCHEDULE4451416[[#This Row],[ZONE]],Ahu_Ashrae_sheet15[DESIGN VAV MAX SA(CFM)])</f>
        <v>0</v>
      </c>
      <c r="AR12" s="42" t="str">
        <f>IFERROR((VLOOKUP(AHU1_CAV_SCHEDULE4451416[[#This Row],[MAX VAV
(CFM)]],'DO NOT TOUCH'!$P$9:$Q$14,2,TRUE)),"TBD")</f>
        <v>TBD</v>
      </c>
      <c r="AS12" s="42">
        <f t="shared" si="3"/>
        <v>0.5</v>
      </c>
      <c r="AT12" s="42">
        <f>AHU1_CAV_SCHEDULE4451416[[#This Row],[MIN VAV
(CFM)]]</f>
        <v>0</v>
      </c>
      <c r="AU12" s="42">
        <f>INPUT_OUTPUTS!$C$16</f>
        <v>140</v>
      </c>
      <c r="AV12" s="42">
        <f>INPUT_OUTPUTS!$C$17</f>
        <v>100</v>
      </c>
      <c r="AW12" s="42">
        <f t="shared" si="1"/>
        <v>55</v>
      </c>
      <c r="AX12" s="42">
        <f t="shared" si="1"/>
        <v>85</v>
      </c>
      <c r="AY12" s="42" t="e">
        <f>MROUND((1.08*(AX12-AW12)*#REF!)/1000,0.1)</f>
        <v>#REF!</v>
      </c>
      <c r="AZ12" s="43" t="e">
        <f t="shared" si="4"/>
        <v>#REF!</v>
      </c>
      <c r="BA12" s="43" t="e">
        <f t="shared" si="2"/>
        <v>#REF!</v>
      </c>
      <c r="BB12" s="43">
        <f t="shared" si="5"/>
        <v>5</v>
      </c>
      <c r="BC12" s="43" t="str">
        <f>IFERROR((_xlfn.XLOOKUP(AR12,'DO NOT TOUCH'!$Q$9:$Q$14,'DO NOT TOUCH'!$R$9:$R$14,)),"TBD")</f>
        <v>TBD</v>
      </c>
      <c r="BD12" s="43">
        <f>INPUT_OUTPUTS!$C$19</f>
        <v>0</v>
      </c>
      <c r="BE12" s="45" t="str">
        <f t="shared" si="6"/>
        <v>1, 2</v>
      </c>
    </row>
    <row r="13" spans="1:57" ht="15">
      <c r="AM13" s="300" t="s">
        <v>604</v>
      </c>
      <c r="AN13" s="300" t="s">
        <v>72</v>
      </c>
      <c r="AO13" s="300" t="s">
        <v>77</v>
      </c>
      <c r="AP13" s="300">
        <f>SUMIF(Ahu_Ashrae_sheet15[Zone],AHU1_CAV_SCHEDULE4451416[[#This Row],[ZONE]],Ahu_Ashrae_sheet15[DESIGN VAV MIN SA(CFM)])</f>
        <v>0</v>
      </c>
      <c r="AQ13" s="300">
        <f>SUMIF(Ahu_Ashrae_sheet15[Zone],AHU1_CAV_SCHEDULE4451416[[#This Row],[ZONE]],Ahu_Ashrae_sheet15[DESIGN VAV MAX SA(CFM)])</f>
        <v>0</v>
      </c>
      <c r="AR13" s="42" t="str">
        <f>IFERROR((VLOOKUP(AHU1_CAV_SCHEDULE4451416[[#This Row],[MAX VAV
(CFM)]],'DO NOT TOUCH'!$P$9:$Q$14,2,TRUE)),"TBD")</f>
        <v>TBD</v>
      </c>
      <c r="AS13" s="42">
        <f t="shared" si="3"/>
        <v>0.5</v>
      </c>
      <c r="AT13" s="42">
        <f>AHU1_CAV_SCHEDULE4451416[[#This Row],[MIN VAV
(CFM)]]</f>
        <v>0</v>
      </c>
      <c r="AU13" s="42">
        <f>INPUT_OUTPUTS!$C$16</f>
        <v>140</v>
      </c>
      <c r="AV13" s="42">
        <f>INPUT_OUTPUTS!$C$17</f>
        <v>100</v>
      </c>
      <c r="AW13" s="42">
        <f t="shared" si="1"/>
        <v>55</v>
      </c>
      <c r="AX13" s="42">
        <f t="shared" si="1"/>
        <v>85</v>
      </c>
      <c r="AY13" s="42" t="e">
        <f>MROUND((1.08*(AX13-AW13)*#REF!)/1000,0.1)</f>
        <v>#REF!</v>
      </c>
      <c r="AZ13" s="43" t="e">
        <f t="shared" si="4"/>
        <v>#REF!</v>
      </c>
      <c r="BA13" s="43" t="e">
        <f t="shared" si="2"/>
        <v>#REF!</v>
      </c>
      <c r="BB13" s="43">
        <f t="shared" si="5"/>
        <v>5</v>
      </c>
      <c r="BC13" s="43" t="str">
        <f>IFERROR((_xlfn.XLOOKUP(AR13,'DO NOT TOUCH'!$Q$9:$Q$14,'DO NOT TOUCH'!$R$9:$R$14,)),"TBD")</f>
        <v>TBD</v>
      </c>
      <c r="BD13" s="43">
        <f>INPUT_OUTPUTS!$C$19</f>
        <v>0</v>
      </c>
      <c r="BE13" s="45" t="str">
        <f t="shared" si="6"/>
        <v>1, 2</v>
      </c>
    </row>
    <row r="14" spans="1:57" ht="15">
      <c r="AM14" s="300" t="s">
        <v>605</v>
      </c>
      <c r="AN14" s="300" t="s">
        <v>72</v>
      </c>
      <c r="AO14" s="300" t="s">
        <v>77</v>
      </c>
      <c r="AP14" s="300">
        <f>SUMIF(Ahu_Ashrae_sheet15[Zone],AHU1_CAV_SCHEDULE4451416[[#This Row],[ZONE]],Ahu_Ashrae_sheet15[DESIGN VAV MIN SA(CFM)])</f>
        <v>0</v>
      </c>
      <c r="AQ14" s="300">
        <f>SUMIF(Ahu_Ashrae_sheet15[Zone],AHU1_CAV_SCHEDULE4451416[[#This Row],[ZONE]],Ahu_Ashrae_sheet15[DESIGN VAV MAX SA(CFM)])</f>
        <v>0</v>
      </c>
      <c r="AR14" s="42" t="str">
        <f>IFERROR((VLOOKUP(AHU1_CAV_SCHEDULE4451416[[#This Row],[MAX VAV
(CFM)]],'DO NOT TOUCH'!$P$9:$Q$14,2,TRUE)),"TBD")</f>
        <v>TBD</v>
      </c>
      <c r="AS14" s="42">
        <f t="shared" si="3"/>
        <v>0.5</v>
      </c>
      <c r="AT14" s="42">
        <f>AHU1_CAV_SCHEDULE4451416[[#This Row],[MIN VAV
(CFM)]]</f>
        <v>0</v>
      </c>
      <c r="AU14" s="42">
        <f>INPUT_OUTPUTS!$C$16</f>
        <v>140</v>
      </c>
      <c r="AV14" s="42">
        <f>INPUT_OUTPUTS!$C$17</f>
        <v>100</v>
      </c>
      <c r="AW14" s="42">
        <f t="shared" si="1"/>
        <v>55</v>
      </c>
      <c r="AX14" s="42">
        <f t="shared" si="1"/>
        <v>85</v>
      </c>
      <c r="AY14" s="42" t="e">
        <f>MROUND((1.08*(AX14-AW14)*#REF!)/1000,0.1)</f>
        <v>#REF!</v>
      </c>
      <c r="AZ14" s="43" t="e">
        <f t="shared" si="4"/>
        <v>#REF!</v>
      </c>
      <c r="BA14" s="43" t="e">
        <f t="shared" si="2"/>
        <v>#REF!</v>
      </c>
      <c r="BB14" s="43">
        <f t="shared" si="5"/>
        <v>5</v>
      </c>
      <c r="BC14" s="43" t="str">
        <f>IFERROR((_xlfn.XLOOKUP(AR14,'DO NOT TOUCH'!$Q$9:$Q$14,'DO NOT TOUCH'!$R$9:$R$14,)),"TBD")</f>
        <v>TBD</v>
      </c>
      <c r="BD14" s="43">
        <f>INPUT_OUTPUTS!$C$19</f>
        <v>0</v>
      </c>
      <c r="BE14" s="45" t="str">
        <f t="shared" si="6"/>
        <v>1, 2</v>
      </c>
    </row>
    <row r="15" spans="1:57" ht="15">
      <c r="AM15" s="300" t="s">
        <v>606</v>
      </c>
      <c r="AN15" s="300" t="s">
        <v>72</v>
      </c>
      <c r="AO15" s="300" t="s">
        <v>77</v>
      </c>
      <c r="AP15" s="300">
        <f>SUMIF(Ahu_Ashrae_sheet15[Zone],AHU1_CAV_SCHEDULE4451416[[#This Row],[ZONE]],Ahu_Ashrae_sheet15[DESIGN VAV MIN SA(CFM)])</f>
        <v>0</v>
      </c>
      <c r="AQ15" s="300">
        <f>SUMIF(Ahu_Ashrae_sheet15[Zone],AHU1_CAV_SCHEDULE4451416[[#This Row],[ZONE]],Ahu_Ashrae_sheet15[DESIGN VAV MAX SA(CFM)])</f>
        <v>0</v>
      </c>
      <c r="AR15" s="42" t="str">
        <f>IFERROR((VLOOKUP(AHU1_CAV_SCHEDULE4451416[[#This Row],[MAX VAV
(CFM)]],'DO NOT TOUCH'!$P$9:$Q$14,2,TRUE)),"TBD")</f>
        <v>TBD</v>
      </c>
      <c r="AS15" s="42">
        <f t="shared" si="3"/>
        <v>0.5</v>
      </c>
      <c r="AT15" s="42">
        <f>AHU1_CAV_SCHEDULE4451416[[#This Row],[MIN VAV
(CFM)]]</f>
        <v>0</v>
      </c>
      <c r="AU15" s="42">
        <f>INPUT_OUTPUTS!$C$16</f>
        <v>140</v>
      </c>
      <c r="AV15" s="42">
        <f>INPUT_OUTPUTS!$C$17</f>
        <v>100</v>
      </c>
      <c r="AW15" s="42">
        <f t="shared" si="1"/>
        <v>55</v>
      </c>
      <c r="AX15" s="42">
        <f t="shared" si="1"/>
        <v>85</v>
      </c>
      <c r="AY15" s="42" t="e">
        <f>MROUND((1.08*(AX15-AW15)*#REF!)/1000,0.1)</f>
        <v>#REF!</v>
      </c>
      <c r="AZ15" s="43" t="e">
        <f t="shared" si="4"/>
        <v>#REF!</v>
      </c>
      <c r="BA15" s="43" t="e">
        <f t="shared" si="2"/>
        <v>#REF!</v>
      </c>
      <c r="BB15" s="43">
        <f t="shared" si="5"/>
        <v>5</v>
      </c>
      <c r="BC15" s="43" t="str">
        <f>IFERROR((_xlfn.XLOOKUP(AR15,'DO NOT TOUCH'!$Q$9:$Q$14,'DO NOT TOUCH'!$R$9:$R$14,)),"TBD")</f>
        <v>TBD</v>
      </c>
      <c r="BD15" s="43">
        <f>INPUT_OUTPUTS!$C$19</f>
        <v>0</v>
      </c>
      <c r="BE15" s="45" t="str">
        <f t="shared" si="6"/>
        <v>1, 2</v>
      </c>
    </row>
    <row r="16" spans="1:57" ht="15">
      <c r="AM16" s="300" t="s">
        <v>607</v>
      </c>
      <c r="AN16" s="300" t="s">
        <v>72</v>
      </c>
      <c r="AO16" s="300" t="s">
        <v>77</v>
      </c>
      <c r="AP16" s="300">
        <f>SUMIF(Ahu_Ashrae_sheet15[Zone],AHU1_CAV_SCHEDULE4451416[[#This Row],[ZONE]],Ahu_Ashrae_sheet15[DESIGN VAV MIN SA(CFM)])</f>
        <v>0</v>
      </c>
      <c r="AQ16" s="300">
        <f>SUMIF(Ahu_Ashrae_sheet15[Zone],AHU1_CAV_SCHEDULE4451416[[#This Row],[ZONE]],Ahu_Ashrae_sheet15[DESIGN VAV MAX SA(CFM)])</f>
        <v>0</v>
      </c>
      <c r="AR16" s="42" t="str">
        <f>IFERROR((VLOOKUP(AHU1_CAV_SCHEDULE4451416[[#This Row],[MAX VAV
(CFM)]],'DO NOT TOUCH'!$P$9:$Q$14,2,TRUE)),"TBD")</f>
        <v>TBD</v>
      </c>
      <c r="AS16" s="42">
        <f t="shared" si="3"/>
        <v>0.5</v>
      </c>
      <c r="AT16" s="42">
        <f>AHU1_CAV_SCHEDULE4451416[[#This Row],[MIN VAV
(CFM)]]</f>
        <v>0</v>
      </c>
      <c r="AU16" s="42">
        <f>INPUT_OUTPUTS!$C$16</f>
        <v>140</v>
      </c>
      <c r="AV16" s="42">
        <f>INPUT_OUTPUTS!$C$17</f>
        <v>100</v>
      </c>
      <c r="AW16" s="42">
        <f t="shared" si="1"/>
        <v>55</v>
      </c>
      <c r="AX16" s="42">
        <f t="shared" si="1"/>
        <v>85</v>
      </c>
      <c r="AY16" s="42" t="e">
        <f>MROUND((1.08*(AX16-AW16)*#REF!)/1000,0.1)</f>
        <v>#REF!</v>
      </c>
      <c r="AZ16" s="43" t="e">
        <f t="shared" si="4"/>
        <v>#REF!</v>
      </c>
      <c r="BA16" s="43" t="e">
        <f t="shared" si="2"/>
        <v>#REF!</v>
      </c>
      <c r="BB16" s="43">
        <f t="shared" si="5"/>
        <v>5</v>
      </c>
      <c r="BC16" s="43" t="str">
        <f>IFERROR((_xlfn.XLOOKUP(AR16,'DO NOT TOUCH'!$Q$9:$Q$14,'DO NOT TOUCH'!$R$9:$R$14,)),"TBD")</f>
        <v>TBD</v>
      </c>
      <c r="BD16" s="43">
        <f>INPUT_OUTPUTS!$C$19</f>
        <v>0</v>
      </c>
      <c r="BE16" s="45" t="str">
        <f t="shared" si="6"/>
        <v>1, 2</v>
      </c>
    </row>
    <row r="17" spans="39:57" ht="15">
      <c r="AM17" s="300" t="s">
        <v>608</v>
      </c>
      <c r="AN17" s="300" t="s">
        <v>72</v>
      </c>
      <c r="AO17" s="300" t="s">
        <v>77</v>
      </c>
      <c r="AP17" s="300">
        <f>SUMIF(Ahu_Ashrae_sheet15[Zone],AHU1_CAV_SCHEDULE4451416[[#This Row],[ZONE]],Ahu_Ashrae_sheet15[DESIGN VAV MIN SA(CFM)])</f>
        <v>0</v>
      </c>
      <c r="AQ17" s="300">
        <f>SUMIF(Ahu_Ashrae_sheet15[Zone],AHU1_CAV_SCHEDULE4451416[[#This Row],[ZONE]],Ahu_Ashrae_sheet15[DESIGN VAV MAX SA(CFM)])</f>
        <v>0</v>
      </c>
      <c r="AR17" s="42" t="str">
        <f>IFERROR((VLOOKUP(AHU1_CAV_SCHEDULE4451416[[#This Row],[MAX VAV
(CFM)]],'DO NOT TOUCH'!$P$9:$Q$14,2,TRUE)),"TBD")</f>
        <v>TBD</v>
      </c>
      <c r="AS17" s="42">
        <f t="shared" si="3"/>
        <v>0.5</v>
      </c>
      <c r="AT17" s="42">
        <f>AHU1_CAV_SCHEDULE4451416[[#This Row],[MIN VAV
(CFM)]]</f>
        <v>0</v>
      </c>
      <c r="AU17" s="42">
        <f>INPUT_OUTPUTS!$C$16</f>
        <v>140</v>
      </c>
      <c r="AV17" s="42">
        <f>INPUT_OUTPUTS!$C$17</f>
        <v>100</v>
      </c>
      <c r="AW17" s="42">
        <f t="shared" si="1"/>
        <v>55</v>
      </c>
      <c r="AX17" s="42">
        <f t="shared" si="1"/>
        <v>85</v>
      </c>
      <c r="AY17" s="42" t="e">
        <f>MROUND((1.08*(AX17-AW17)*#REF!)/1000,0.1)</f>
        <v>#REF!</v>
      </c>
      <c r="AZ17" s="43" t="e">
        <f t="shared" si="4"/>
        <v>#REF!</v>
      </c>
      <c r="BA17" s="43" t="e">
        <f t="shared" si="2"/>
        <v>#REF!</v>
      </c>
      <c r="BB17" s="43">
        <f t="shared" si="5"/>
        <v>5</v>
      </c>
      <c r="BC17" s="43" t="str">
        <f>IFERROR((_xlfn.XLOOKUP(AR17,'DO NOT TOUCH'!$Q$9:$Q$14,'DO NOT TOUCH'!$R$9:$R$14,)),"TBD")</f>
        <v>TBD</v>
      </c>
      <c r="BD17" s="43">
        <f>INPUT_OUTPUTS!$C$19</f>
        <v>0</v>
      </c>
      <c r="BE17" s="45" t="str">
        <f t="shared" si="6"/>
        <v>1, 2</v>
      </c>
    </row>
    <row r="18" spans="39:57" ht="15">
      <c r="AM18" s="300" t="s">
        <v>609</v>
      </c>
      <c r="AN18" s="300" t="s">
        <v>72</v>
      </c>
      <c r="AO18" s="300" t="s">
        <v>77</v>
      </c>
      <c r="AP18" s="300">
        <f>SUMIF(Ahu_Ashrae_sheet15[Zone],AHU1_CAV_SCHEDULE4451416[[#This Row],[ZONE]],Ahu_Ashrae_sheet15[DESIGN VAV MIN SA(CFM)])</f>
        <v>0</v>
      </c>
      <c r="AQ18" s="300">
        <f>SUMIF(Ahu_Ashrae_sheet15[Zone],AHU1_CAV_SCHEDULE4451416[[#This Row],[ZONE]],Ahu_Ashrae_sheet15[DESIGN VAV MAX SA(CFM)])</f>
        <v>0</v>
      </c>
      <c r="AR18" s="42" t="str">
        <f>IFERROR((VLOOKUP(AHU1_CAV_SCHEDULE4451416[[#This Row],[MAX VAV
(CFM)]],'DO NOT TOUCH'!$P$9:$Q$14,2,TRUE)),"TBD")</f>
        <v>TBD</v>
      </c>
      <c r="AS18" s="42">
        <f t="shared" si="3"/>
        <v>0.5</v>
      </c>
      <c r="AT18" s="42">
        <f>AHU1_CAV_SCHEDULE4451416[[#This Row],[MIN VAV
(CFM)]]</f>
        <v>0</v>
      </c>
      <c r="AU18" s="42">
        <f>INPUT_OUTPUTS!$C$16</f>
        <v>140</v>
      </c>
      <c r="AV18" s="42">
        <f>INPUT_OUTPUTS!$C$17</f>
        <v>100</v>
      </c>
      <c r="AW18" s="42">
        <f t="shared" si="1"/>
        <v>55</v>
      </c>
      <c r="AX18" s="42">
        <f t="shared" si="1"/>
        <v>85</v>
      </c>
      <c r="AY18" s="42" t="e">
        <f>MROUND((1.08*(AX18-AW18)*#REF!)/1000,0.1)</f>
        <v>#REF!</v>
      </c>
      <c r="AZ18" s="43" t="e">
        <f t="shared" si="4"/>
        <v>#REF!</v>
      </c>
      <c r="BA18" s="43" t="e">
        <f t="shared" si="2"/>
        <v>#REF!</v>
      </c>
      <c r="BB18" s="43">
        <f t="shared" si="5"/>
        <v>5</v>
      </c>
      <c r="BC18" s="43" t="str">
        <f>IFERROR((_xlfn.XLOOKUP(AR18,'DO NOT TOUCH'!$Q$9:$Q$14,'DO NOT TOUCH'!$R$9:$R$14,)),"TBD")</f>
        <v>TBD</v>
      </c>
      <c r="BD18" s="43">
        <f>INPUT_OUTPUTS!$C$19</f>
        <v>0</v>
      </c>
      <c r="BE18" s="45" t="str">
        <f t="shared" si="6"/>
        <v>1, 2</v>
      </c>
    </row>
    <row r="19" spans="39:57" ht="15">
      <c r="AM19" s="300" t="s">
        <v>610</v>
      </c>
      <c r="AN19" s="300" t="s">
        <v>72</v>
      </c>
      <c r="AO19" s="300" t="s">
        <v>77</v>
      </c>
      <c r="AP19" s="300">
        <f>SUMIF(Ahu_Ashrae_sheet15[Zone],AHU1_CAV_SCHEDULE4451416[[#This Row],[ZONE]],Ahu_Ashrae_sheet15[DESIGN VAV MIN SA(CFM)])</f>
        <v>0</v>
      </c>
      <c r="AQ19" s="300">
        <f>SUMIF(Ahu_Ashrae_sheet15[Zone],AHU1_CAV_SCHEDULE4451416[[#This Row],[ZONE]],Ahu_Ashrae_sheet15[DESIGN VAV MAX SA(CFM)])</f>
        <v>0</v>
      </c>
      <c r="AR19" s="42" t="str">
        <f>IFERROR((VLOOKUP(AHU1_CAV_SCHEDULE4451416[[#This Row],[MAX VAV
(CFM)]],'DO NOT TOUCH'!$P$9:$Q$14,2,TRUE)),"TBD")</f>
        <v>TBD</v>
      </c>
      <c r="AS19" s="42">
        <f t="shared" si="3"/>
        <v>0.5</v>
      </c>
      <c r="AT19" s="42">
        <f>AHU1_CAV_SCHEDULE4451416[[#This Row],[MIN VAV
(CFM)]]</f>
        <v>0</v>
      </c>
      <c r="AU19" s="42">
        <f>INPUT_OUTPUTS!$C$16</f>
        <v>140</v>
      </c>
      <c r="AV19" s="42">
        <f>INPUT_OUTPUTS!$C$17</f>
        <v>100</v>
      </c>
      <c r="AW19" s="42">
        <f t="shared" si="1"/>
        <v>55</v>
      </c>
      <c r="AX19" s="42">
        <f t="shared" si="1"/>
        <v>85</v>
      </c>
      <c r="AY19" s="42" t="e">
        <f>MROUND((1.08*(AX19-AW19)*#REF!)/1000,0.1)</f>
        <v>#REF!</v>
      </c>
      <c r="AZ19" s="43" t="e">
        <f t="shared" si="4"/>
        <v>#REF!</v>
      </c>
      <c r="BA19" s="43" t="e">
        <f t="shared" si="2"/>
        <v>#REF!</v>
      </c>
      <c r="BB19" s="43">
        <f t="shared" si="5"/>
        <v>5</v>
      </c>
      <c r="BC19" s="43" t="str">
        <f>IFERROR((_xlfn.XLOOKUP(AR19,'DO NOT TOUCH'!$Q$9:$Q$14,'DO NOT TOUCH'!$R$9:$R$14,)),"TBD")</f>
        <v>TBD</v>
      </c>
      <c r="BD19" s="43">
        <f>INPUT_OUTPUTS!$C$19</f>
        <v>0</v>
      </c>
      <c r="BE19" s="45" t="str">
        <f t="shared" si="6"/>
        <v>1, 2</v>
      </c>
    </row>
    <row r="20" spans="39:57" ht="15">
      <c r="AM20" s="300" t="s">
        <v>611</v>
      </c>
      <c r="AN20" s="300" t="s">
        <v>72</v>
      </c>
      <c r="AO20" s="300" t="s">
        <v>77</v>
      </c>
      <c r="AP20" s="300">
        <f>SUMIF(Ahu_Ashrae_sheet15[Zone],AHU1_CAV_SCHEDULE4451416[[#This Row],[ZONE]],Ahu_Ashrae_sheet15[DESIGN VAV MIN SA(CFM)])</f>
        <v>0</v>
      </c>
      <c r="AQ20" s="300">
        <f>SUMIF(Ahu_Ashrae_sheet15[Zone],AHU1_CAV_SCHEDULE4451416[[#This Row],[ZONE]],Ahu_Ashrae_sheet15[DESIGN VAV MAX SA(CFM)])</f>
        <v>0</v>
      </c>
      <c r="AR20" s="42" t="str">
        <f>IFERROR((VLOOKUP(AHU1_CAV_SCHEDULE4451416[[#This Row],[MAX VAV
(CFM)]],'DO NOT TOUCH'!$P$9:$Q$14,2,TRUE)),"TBD")</f>
        <v>TBD</v>
      </c>
      <c r="AS20" s="42">
        <f t="shared" si="3"/>
        <v>0.5</v>
      </c>
      <c r="AT20" s="42">
        <f>AHU1_CAV_SCHEDULE4451416[[#This Row],[MIN VAV
(CFM)]]</f>
        <v>0</v>
      </c>
      <c r="AU20" s="42">
        <f>INPUT_OUTPUTS!$C$16</f>
        <v>140</v>
      </c>
      <c r="AV20" s="42">
        <f>INPUT_OUTPUTS!$C$17</f>
        <v>100</v>
      </c>
      <c r="AW20" s="42">
        <f t="shared" ref="AW20:AX35" si="7">AW19</f>
        <v>55</v>
      </c>
      <c r="AX20" s="42">
        <f t="shared" si="7"/>
        <v>85</v>
      </c>
      <c r="AY20" s="42" t="e">
        <f>MROUND((1.08*(AX20-AW20)*#REF!)/1000,0.1)</f>
        <v>#REF!</v>
      </c>
      <c r="AZ20" s="43" t="e">
        <f t="shared" si="4"/>
        <v>#REF!</v>
      </c>
      <c r="BA20" s="43" t="e">
        <f t="shared" si="2"/>
        <v>#REF!</v>
      </c>
      <c r="BB20" s="43">
        <f t="shared" si="5"/>
        <v>5</v>
      </c>
      <c r="BC20" s="43" t="str">
        <f>IFERROR((_xlfn.XLOOKUP(AR20,'DO NOT TOUCH'!$Q$9:$Q$14,'DO NOT TOUCH'!$R$9:$R$14,)),"TBD")</f>
        <v>TBD</v>
      </c>
      <c r="BD20" s="43">
        <f>INPUT_OUTPUTS!$C$19</f>
        <v>0</v>
      </c>
      <c r="BE20" s="45" t="str">
        <f t="shared" si="6"/>
        <v>1, 2</v>
      </c>
    </row>
    <row r="21" spans="39:57" ht="15">
      <c r="AM21" s="300" t="s">
        <v>612</v>
      </c>
      <c r="AN21" s="300" t="s">
        <v>72</v>
      </c>
      <c r="AO21" s="300" t="s">
        <v>77</v>
      </c>
      <c r="AP21" s="300">
        <f>SUMIF(Ahu_Ashrae_sheet15[Zone],AHU1_CAV_SCHEDULE4451416[[#This Row],[ZONE]],Ahu_Ashrae_sheet15[DESIGN VAV MIN SA(CFM)])</f>
        <v>0</v>
      </c>
      <c r="AQ21" s="300">
        <f>SUMIF(Ahu_Ashrae_sheet15[Zone],AHU1_CAV_SCHEDULE4451416[[#This Row],[ZONE]],Ahu_Ashrae_sheet15[DESIGN VAV MAX SA(CFM)])</f>
        <v>0</v>
      </c>
      <c r="AR21" s="42" t="str">
        <f>IFERROR((VLOOKUP(AHU1_CAV_SCHEDULE4451416[[#This Row],[MAX VAV
(CFM)]],'DO NOT TOUCH'!$P$9:$Q$14,2,TRUE)),"TBD")</f>
        <v>TBD</v>
      </c>
      <c r="AS21" s="42">
        <f t="shared" si="3"/>
        <v>0.5</v>
      </c>
      <c r="AT21" s="42">
        <f>AHU1_CAV_SCHEDULE4451416[[#This Row],[MIN VAV
(CFM)]]</f>
        <v>0</v>
      </c>
      <c r="AU21" s="42">
        <f>INPUT_OUTPUTS!$C$16</f>
        <v>140</v>
      </c>
      <c r="AV21" s="42">
        <f>INPUT_OUTPUTS!$C$17</f>
        <v>100</v>
      </c>
      <c r="AW21" s="42">
        <f t="shared" si="7"/>
        <v>55</v>
      </c>
      <c r="AX21" s="42">
        <f t="shared" si="7"/>
        <v>85</v>
      </c>
      <c r="AY21" s="42" t="e">
        <f>MROUND((1.08*(AX21-AW21)*#REF!)/1000,0.1)</f>
        <v>#REF!</v>
      </c>
      <c r="AZ21" s="43" t="e">
        <f t="shared" si="4"/>
        <v>#REF!</v>
      </c>
      <c r="BA21" s="43" t="e">
        <f t="shared" si="2"/>
        <v>#REF!</v>
      </c>
      <c r="BB21" s="43">
        <f t="shared" si="5"/>
        <v>5</v>
      </c>
      <c r="BC21" s="43" t="str">
        <f>IFERROR((_xlfn.XLOOKUP(AR21,'DO NOT TOUCH'!$Q$9:$Q$14,'DO NOT TOUCH'!$R$9:$R$14,)),"TBD")</f>
        <v>TBD</v>
      </c>
      <c r="BD21" s="43">
        <f>INPUT_OUTPUTS!$C$19</f>
        <v>0</v>
      </c>
      <c r="BE21" s="45" t="str">
        <f t="shared" si="6"/>
        <v>1, 2</v>
      </c>
    </row>
    <row r="22" spans="39:57" ht="15">
      <c r="AM22" s="300" t="s">
        <v>613</v>
      </c>
      <c r="AN22" s="300" t="s">
        <v>72</v>
      </c>
      <c r="AO22" s="300" t="s">
        <v>77</v>
      </c>
      <c r="AP22" s="300">
        <f>SUMIF(Ahu_Ashrae_sheet15[Zone],AHU1_CAV_SCHEDULE4451416[[#This Row],[ZONE]],Ahu_Ashrae_sheet15[DESIGN VAV MIN SA(CFM)])</f>
        <v>0</v>
      </c>
      <c r="AQ22" s="300">
        <f>SUMIF(Ahu_Ashrae_sheet15[Zone],AHU1_CAV_SCHEDULE4451416[[#This Row],[ZONE]],Ahu_Ashrae_sheet15[DESIGN VAV MAX SA(CFM)])</f>
        <v>0</v>
      </c>
      <c r="AR22" s="42" t="str">
        <f>IFERROR((VLOOKUP(AHU1_CAV_SCHEDULE4451416[[#This Row],[MAX VAV
(CFM)]],'DO NOT TOUCH'!$P$9:$Q$14,2,TRUE)),"TBD")</f>
        <v>TBD</v>
      </c>
      <c r="AS22" s="42">
        <f t="shared" si="3"/>
        <v>0.5</v>
      </c>
      <c r="AT22" s="42">
        <f>AHU1_CAV_SCHEDULE4451416[[#This Row],[MIN VAV
(CFM)]]</f>
        <v>0</v>
      </c>
      <c r="AU22" s="42">
        <f>INPUT_OUTPUTS!$C$16</f>
        <v>140</v>
      </c>
      <c r="AV22" s="42">
        <f>INPUT_OUTPUTS!$C$17</f>
        <v>100</v>
      </c>
      <c r="AW22" s="42">
        <f t="shared" si="7"/>
        <v>55</v>
      </c>
      <c r="AX22" s="42">
        <f t="shared" si="7"/>
        <v>85</v>
      </c>
      <c r="AY22" s="42" t="e">
        <f>MROUND((1.08*(AX22-AW22)*#REF!)/1000,0.1)</f>
        <v>#REF!</v>
      </c>
      <c r="AZ22" s="43" t="e">
        <f t="shared" si="4"/>
        <v>#REF!</v>
      </c>
      <c r="BA22" s="43" t="e">
        <f t="shared" si="2"/>
        <v>#REF!</v>
      </c>
      <c r="BB22" s="43">
        <f t="shared" si="5"/>
        <v>5</v>
      </c>
      <c r="BC22" s="43" t="str">
        <f>IFERROR((_xlfn.XLOOKUP(AR22,'DO NOT TOUCH'!$Q$9:$Q$14,'DO NOT TOUCH'!$R$9:$R$14,)),"TBD")</f>
        <v>TBD</v>
      </c>
      <c r="BD22" s="43">
        <f>INPUT_OUTPUTS!$C$19</f>
        <v>0</v>
      </c>
      <c r="BE22" s="45" t="str">
        <f t="shared" si="6"/>
        <v>1, 2</v>
      </c>
    </row>
    <row r="23" spans="39:57" ht="15">
      <c r="AM23" s="300" t="s">
        <v>614</v>
      </c>
      <c r="AN23" s="300" t="s">
        <v>72</v>
      </c>
      <c r="AO23" s="300" t="s">
        <v>77</v>
      </c>
      <c r="AP23" s="300">
        <f>SUMIF(Ahu_Ashrae_sheet15[Zone],AHU1_CAV_SCHEDULE4451416[[#This Row],[ZONE]],Ahu_Ashrae_sheet15[DESIGN VAV MIN SA(CFM)])</f>
        <v>0</v>
      </c>
      <c r="AQ23" s="300">
        <f>SUMIF(Ahu_Ashrae_sheet15[Zone],AHU1_CAV_SCHEDULE4451416[[#This Row],[ZONE]],Ahu_Ashrae_sheet15[DESIGN VAV MAX SA(CFM)])</f>
        <v>0</v>
      </c>
      <c r="AR23" s="42" t="str">
        <f>IFERROR((VLOOKUP(AHU1_CAV_SCHEDULE4451416[[#This Row],[MAX VAV
(CFM)]],'DO NOT TOUCH'!$P$9:$Q$14,2,TRUE)),"TBD")</f>
        <v>TBD</v>
      </c>
      <c r="AS23" s="42">
        <f t="shared" si="3"/>
        <v>0.5</v>
      </c>
      <c r="AT23" s="42">
        <f>AHU1_CAV_SCHEDULE4451416[[#This Row],[MIN VAV
(CFM)]]</f>
        <v>0</v>
      </c>
      <c r="AU23" s="42">
        <f>INPUT_OUTPUTS!$C$16</f>
        <v>140</v>
      </c>
      <c r="AV23" s="42">
        <f>INPUT_OUTPUTS!$C$17</f>
        <v>100</v>
      </c>
      <c r="AW23" s="42">
        <f t="shared" si="7"/>
        <v>55</v>
      </c>
      <c r="AX23" s="42">
        <f t="shared" si="7"/>
        <v>85</v>
      </c>
      <c r="AY23" s="42" t="e">
        <f>MROUND((1.08*(AX23-AW23)*#REF!)/1000,0.1)</f>
        <v>#REF!</v>
      </c>
      <c r="AZ23" s="43" t="e">
        <f t="shared" si="4"/>
        <v>#REF!</v>
      </c>
      <c r="BA23" s="43" t="e">
        <f t="shared" si="2"/>
        <v>#REF!</v>
      </c>
      <c r="BB23" s="43">
        <f t="shared" si="5"/>
        <v>5</v>
      </c>
      <c r="BC23" s="43" t="str">
        <f>IFERROR((_xlfn.XLOOKUP(AR23,'DO NOT TOUCH'!$Q$9:$Q$14,'DO NOT TOUCH'!$R$9:$R$14,)),"TBD")</f>
        <v>TBD</v>
      </c>
      <c r="BD23" s="43">
        <f>INPUT_OUTPUTS!$C$19</f>
        <v>0</v>
      </c>
      <c r="BE23" s="45" t="str">
        <f t="shared" si="6"/>
        <v>1, 2</v>
      </c>
    </row>
    <row r="24" spans="39:57" ht="15">
      <c r="AM24" s="300" t="s">
        <v>615</v>
      </c>
      <c r="AN24" s="300" t="s">
        <v>72</v>
      </c>
      <c r="AO24" s="300" t="s">
        <v>77</v>
      </c>
      <c r="AP24" s="300">
        <f>SUMIF(Ahu_Ashrae_sheet15[Zone],AHU1_CAV_SCHEDULE4451416[[#This Row],[ZONE]],Ahu_Ashrae_sheet15[DESIGN VAV MIN SA(CFM)])</f>
        <v>0</v>
      </c>
      <c r="AQ24" s="300">
        <f>SUMIF(Ahu_Ashrae_sheet15[Zone],AHU1_CAV_SCHEDULE4451416[[#This Row],[ZONE]],Ahu_Ashrae_sheet15[DESIGN VAV MAX SA(CFM)])</f>
        <v>0</v>
      </c>
      <c r="AR24" s="42" t="str">
        <f>IFERROR((VLOOKUP(AHU1_CAV_SCHEDULE4451416[[#This Row],[MAX VAV
(CFM)]],'DO NOT TOUCH'!$P$9:$Q$14,2,TRUE)),"TBD")</f>
        <v>TBD</v>
      </c>
      <c r="AS24" s="42">
        <f t="shared" si="3"/>
        <v>0.5</v>
      </c>
      <c r="AT24" s="42">
        <f>AHU1_CAV_SCHEDULE4451416[[#This Row],[MIN VAV
(CFM)]]</f>
        <v>0</v>
      </c>
      <c r="AU24" s="42">
        <f>INPUT_OUTPUTS!$C$16</f>
        <v>140</v>
      </c>
      <c r="AV24" s="42">
        <f>INPUT_OUTPUTS!$C$17</f>
        <v>100</v>
      </c>
      <c r="AW24" s="42">
        <f t="shared" si="7"/>
        <v>55</v>
      </c>
      <c r="AX24" s="42">
        <f t="shared" si="7"/>
        <v>85</v>
      </c>
      <c r="AY24" s="42" t="e">
        <f>MROUND((1.08*(AX24-AW24)*#REF!)/1000,0.1)</f>
        <v>#REF!</v>
      </c>
      <c r="AZ24" s="43" t="e">
        <f t="shared" si="4"/>
        <v>#REF!</v>
      </c>
      <c r="BA24" s="43" t="e">
        <f t="shared" si="2"/>
        <v>#REF!</v>
      </c>
      <c r="BB24" s="43">
        <f t="shared" si="5"/>
        <v>5</v>
      </c>
      <c r="BC24" s="43" t="str">
        <f>IFERROR((_xlfn.XLOOKUP(AR24,'DO NOT TOUCH'!$Q$9:$Q$14,'DO NOT TOUCH'!$R$9:$R$14,)),"TBD")</f>
        <v>TBD</v>
      </c>
      <c r="BD24" s="43">
        <f>INPUT_OUTPUTS!$C$19</f>
        <v>0</v>
      </c>
      <c r="BE24" s="45" t="str">
        <f t="shared" si="6"/>
        <v>1, 2</v>
      </c>
    </row>
    <row r="25" spans="39:57" ht="15">
      <c r="AM25" s="300" t="s">
        <v>616</v>
      </c>
      <c r="AN25" s="300" t="s">
        <v>72</v>
      </c>
      <c r="AO25" s="300" t="s">
        <v>77</v>
      </c>
      <c r="AP25" s="300">
        <f>SUMIF(Ahu_Ashrae_sheet15[Zone],AHU1_CAV_SCHEDULE4451416[[#This Row],[ZONE]],Ahu_Ashrae_sheet15[DESIGN VAV MIN SA(CFM)])</f>
        <v>0</v>
      </c>
      <c r="AQ25" s="300">
        <f>SUMIF(Ahu_Ashrae_sheet15[Zone],AHU1_CAV_SCHEDULE4451416[[#This Row],[ZONE]],Ahu_Ashrae_sheet15[DESIGN VAV MAX SA(CFM)])</f>
        <v>0</v>
      </c>
      <c r="AR25" s="42" t="str">
        <f>IFERROR((VLOOKUP(AHU1_CAV_SCHEDULE4451416[[#This Row],[MAX VAV
(CFM)]],'DO NOT TOUCH'!$P$9:$Q$14,2,TRUE)),"TBD")</f>
        <v>TBD</v>
      </c>
      <c r="AS25" s="42">
        <f t="shared" si="3"/>
        <v>0.5</v>
      </c>
      <c r="AT25" s="42">
        <f>AHU1_CAV_SCHEDULE4451416[[#This Row],[MIN VAV
(CFM)]]</f>
        <v>0</v>
      </c>
      <c r="AU25" s="42">
        <f>INPUT_OUTPUTS!$C$16</f>
        <v>140</v>
      </c>
      <c r="AV25" s="42">
        <f>INPUT_OUTPUTS!$C$17</f>
        <v>100</v>
      </c>
      <c r="AW25" s="42">
        <f t="shared" si="7"/>
        <v>55</v>
      </c>
      <c r="AX25" s="42">
        <f t="shared" si="7"/>
        <v>85</v>
      </c>
      <c r="AY25" s="42" t="e">
        <f>MROUND((1.08*(AX25-AW25)*#REF!)/1000,0.1)</f>
        <v>#REF!</v>
      </c>
      <c r="AZ25" s="43" t="e">
        <f t="shared" si="4"/>
        <v>#REF!</v>
      </c>
      <c r="BA25" s="43" t="e">
        <f t="shared" si="2"/>
        <v>#REF!</v>
      </c>
      <c r="BB25" s="43">
        <f t="shared" si="5"/>
        <v>5</v>
      </c>
      <c r="BC25" s="43" t="str">
        <f>IFERROR((_xlfn.XLOOKUP(AR25,'DO NOT TOUCH'!$Q$9:$Q$14,'DO NOT TOUCH'!$R$9:$R$14,)),"TBD")</f>
        <v>TBD</v>
      </c>
      <c r="BD25" s="43">
        <f>INPUT_OUTPUTS!$C$19</f>
        <v>0</v>
      </c>
      <c r="BE25" s="45" t="str">
        <f t="shared" si="6"/>
        <v>1, 2</v>
      </c>
    </row>
    <row r="26" spans="39:57" ht="15">
      <c r="AM26" s="300" t="s">
        <v>617</v>
      </c>
      <c r="AN26" s="300" t="s">
        <v>72</v>
      </c>
      <c r="AO26" s="300" t="s">
        <v>77</v>
      </c>
      <c r="AP26" s="300">
        <f>SUMIF(Ahu_Ashrae_sheet15[Zone],AHU1_CAV_SCHEDULE4451416[[#This Row],[ZONE]],Ahu_Ashrae_sheet15[DESIGN VAV MIN SA(CFM)])</f>
        <v>0</v>
      </c>
      <c r="AQ26" s="300">
        <f>SUMIF(Ahu_Ashrae_sheet15[Zone],AHU1_CAV_SCHEDULE4451416[[#This Row],[ZONE]],Ahu_Ashrae_sheet15[DESIGN VAV MAX SA(CFM)])</f>
        <v>0</v>
      </c>
      <c r="AR26" s="42" t="str">
        <f>IFERROR((VLOOKUP(AHU1_CAV_SCHEDULE4451416[[#This Row],[MAX VAV
(CFM)]],'DO NOT TOUCH'!$P$9:$Q$14,2,TRUE)),"TBD")</f>
        <v>TBD</v>
      </c>
      <c r="AS26" s="42">
        <f t="shared" si="3"/>
        <v>0.5</v>
      </c>
      <c r="AT26" s="42">
        <f>AHU1_CAV_SCHEDULE4451416[[#This Row],[MIN VAV
(CFM)]]</f>
        <v>0</v>
      </c>
      <c r="AU26" s="42">
        <f>INPUT_OUTPUTS!$C$16</f>
        <v>140</v>
      </c>
      <c r="AV26" s="42">
        <f>INPUT_OUTPUTS!$C$17</f>
        <v>100</v>
      </c>
      <c r="AW26" s="42">
        <f t="shared" si="7"/>
        <v>55</v>
      </c>
      <c r="AX26" s="42">
        <f t="shared" si="7"/>
        <v>85</v>
      </c>
      <c r="AY26" s="42" t="e">
        <f>MROUND((1.08*(AX26-AW26)*#REF!)/1000,0.1)</f>
        <v>#REF!</v>
      </c>
      <c r="AZ26" s="43" t="e">
        <f t="shared" si="4"/>
        <v>#REF!</v>
      </c>
      <c r="BA26" s="43" t="e">
        <f t="shared" si="2"/>
        <v>#REF!</v>
      </c>
      <c r="BB26" s="43">
        <f t="shared" si="5"/>
        <v>5</v>
      </c>
      <c r="BC26" s="43" t="str">
        <f>IFERROR((_xlfn.XLOOKUP(AR26,'DO NOT TOUCH'!$Q$9:$Q$14,'DO NOT TOUCH'!$R$9:$R$14,)),"TBD")</f>
        <v>TBD</v>
      </c>
      <c r="BD26" s="43">
        <f>INPUT_OUTPUTS!$C$19</f>
        <v>0</v>
      </c>
      <c r="BE26" s="45" t="str">
        <f t="shared" si="6"/>
        <v>1, 2</v>
      </c>
    </row>
    <row r="27" spans="39:57" ht="15">
      <c r="AM27" s="300" t="s">
        <v>618</v>
      </c>
      <c r="AN27" s="300" t="s">
        <v>72</v>
      </c>
      <c r="AO27" s="300" t="s">
        <v>77</v>
      </c>
      <c r="AP27" s="300">
        <f>SUMIF(Ahu_Ashrae_sheet15[Zone],AHU1_CAV_SCHEDULE4451416[[#This Row],[ZONE]],Ahu_Ashrae_sheet15[DESIGN VAV MIN SA(CFM)])</f>
        <v>0</v>
      </c>
      <c r="AQ27" s="300">
        <f>SUMIF(Ahu_Ashrae_sheet15[Zone],AHU1_CAV_SCHEDULE4451416[[#This Row],[ZONE]],Ahu_Ashrae_sheet15[DESIGN VAV MAX SA(CFM)])</f>
        <v>0</v>
      </c>
      <c r="AR27" s="42" t="str">
        <f>IFERROR((VLOOKUP(AHU1_CAV_SCHEDULE4451416[[#This Row],[MAX VAV
(CFM)]],'DO NOT TOUCH'!$P$9:$Q$14,2,TRUE)),"TBD")</f>
        <v>TBD</v>
      </c>
      <c r="AS27" s="42">
        <f t="shared" si="3"/>
        <v>0.5</v>
      </c>
      <c r="AT27" s="42">
        <f>AHU1_CAV_SCHEDULE4451416[[#This Row],[MIN VAV
(CFM)]]</f>
        <v>0</v>
      </c>
      <c r="AU27" s="42">
        <f>INPUT_OUTPUTS!$C$16</f>
        <v>140</v>
      </c>
      <c r="AV27" s="42">
        <f>INPUT_OUTPUTS!$C$17</f>
        <v>100</v>
      </c>
      <c r="AW27" s="42">
        <f t="shared" si="7"/>
        <v>55</v>
      </c>
      <c r="AX27" s="42">
        <f t="shared" si="7"/>
        <v>85</v>
      </c>
      <c r="AY27" s="42" t="e">
        <f>MROUND((1.08*(AX27-AW27)*#REF!)/1000,0.1)</f>
        <v>#REF!</v>
      </c>
      <c r="AZ27" s="43" t="e">
        <f t="shared" si="4"/>
        <v>#REF!</v>
      </c>
      <c r="BA27" s="43" t="e">
        <f t="shared" si="2"/>
        <v>#REF!</v>
      </c>
      <c r="BB27" s="43">
        <f t="shared" si="5"/>
        <v>5</v>
      </c>
      <c r="BC27" s="43" t="str">
        <f>IFERROR((_xlfn.XLOOKUP(AR27,'DO NOT TOUCH'!$Q$9:$Q$14,'DO NOT TOUCH'!$R$9:$R$14,)),"TBD")</f>
        <v>TBD</v>
      </c>
      <c r="BD27" s="43">
        <f>INPUT_OUTPUTS!$C$19</f>
        <v>0</v>
      </c>
      <c r="BE27" s="45" t="str">
        <f t="shared" si="6"/>
        <v>1, 2</v>
      </c>
    </row>
    <row r="28" spans="39:57" ht="15">
      <c r="AM28" s="300" t="s">
        <v>619</v>
      </c>
      <c r="AN28" s="300" t="s">
        <v>72</v>
      </c>
      <c r="AO28" s="300" t="s">
        <v>77</v>
      </c>
      <c r="AP28" s="300">
        <f>SUMIF(Ahu_Ashrae_sheet15[Zone],AHU1_CAV_SCHEDULE4451416[[#This Row],[ZONE]],Ahu_Ashrae_sheet15[DESIGN VAV MIN SA(CFM)])</f>
        <v>0</v>
      </c>
      <c r="AQ28" s="300">
        <f>SUMIF(Ahu_Ashrae_sheet15[Zone],AHU1_CAV_SCHEDULE4451416[[#This Row],[ZONE]],Ahu_Ashrae_sheet15[DESIGN VAV MAX SA(CFM)])</f>
        <v>0</v>
      </c>
      <c r="AR28" s="42" t="str">
        <f>IFERROR((VLOOKUP(AHU1_CAV_SCHEDULE4451416[[#This Row],[MAX VAV
(CFM)]],'DO NOT TOUCH'!$P$9:$Q$14,2,TRUE)),"TBD")</f>
        <v>TBD</v>
      </c>
      <c r="AS28" s="42">
        <f t="shared" si="3"/>
        <v>0.5</v>
      </c>
      <c r="AT28" s="42">
        <f>AHU1_CAV_SCHEDULE4451416[[#This Row],[MIN VAV
(CFM)]]</f>
        <v>0</v>
      </c>
      <c r="AU28" s="42">
        <f>INPUT_OUTPUTS!$C$16</f>
        <v>140</v>
      </c>
      <c r="AV28" s="42">
        <f>INPUT_OUTPUTS!$C$17</f>
        <v>100</v>
      </c>
      <c r="AW28" s="42">
        <f t="shared" si="7"/>
        <v>55</v>
      </c>
      <c r="AX28" s="42">
        <f t="shared" si="7"/>
        <v>85</v>
      </c>
      <c r="AY28" s="42" t="e">
        <f>MROUND((1.08*(AX28-AW28)*#REF!)/1000,0.1)</f>
        <v>#REF!</v>
      </c>
      <c r="AZ28" s="43" t="e">
        <f t="shared" si="4"/>
        <v>#REF!</v>
      </c>
      <c r="BA28" s="43" t="e">
        <f t="shared" si="2"/>
        <v>#REF!</v>
      </c>
      <c r="BB28" s="43">
        <f t="shared" si="5"/>
        <v>5</v>
      </c>
      <c r="BC28" s="43" t="str">
        <f>IFERROR((_xlfn.XLOOKUP(AR28,'DO NOT TOUCH'!$Q$9:$Q$14,'DO NOT TOUCH'!$R$9:$R$14,)),"TBD")</f>
        <v>TBD</v>
      </c>
      <c r="BD28" s="43">
        <f>INPUT_OUTPUTS!$C$19</f>
        <v>0</v>
      </c>
      <c r="BE28" s="45" t="str">
        <f t="shared" si="6"/>
        <v>1, 2</v>
      </c>
    </row>
    <row r="29" spans="39:57" ht="15">
      <c r="AM29" s="300" t="s">
        <v>620</v>
      </c>
      <c r="AN29" s="300" t="s">
        <v>72</v>
      </c>
      <c r="AO29" s="300" t="s">
        <v>77</v>
      </c>
      <c r="AP29" s="300">
        <f>SUMIF(Ahu_Ashrae_sheet15[Zone],AHU1_CAV_SCHEDULE4451416[[#This Row],[ZONE]],Ahu_Ashrae_sheet15[DESIGN VAV MIN SA(CFM)])</f>
        <v>0</v>
      </c>
      <c r="AQ29" s="300">
        <f>SUMIF(Ahu_Ashrae_sheet15[Zone],AHU1_CAV_SCHEDULE4451416[[#This Row],[ZONE]],Ahu_Ashrae_sheet15[DESIGN VAV MAX SA(CFM)])</f>
        <v>0</v>
      </c>
      <c r="AR29" s="42" t="str">
        <f>IFERROR((VLOOKUP(AHU1_CAV_SCHEDULE4451416[[#This Row],[MAX VAV
(CFM)]],'DO NOT TOUCH'!$P$9:$Q$14,2,TRUE)),"TBD")</f>
        <v>TBD</v>
      </c>
      <c r="AS29" s="42">
        <f t="shared" si="3"/>
        <v>0.5</v>
      </c>
      <c r="AT29" s="42">
        <f>AHU1_CAV_SCHEDULE4451416[[#This Row],[MIN VAV
(CFM)]]</f>
        <v>0</v>
      </c>
      <c r="AU29" s="42">
        <f>INPUT_OUTPUTS!$C$16</f>
        <v>140</v>
      </c>
      <c r="AV29" s="42">
        <f>INPUT_OUTPUTS!$C$17</f>
        <v>100</v>
      </c>
      <c r="AW29" s="42">
        <f t="shared" si="7"/>
        <v>55</v>
      </c>
      <c r="AX29" s="42">
        <f t="shared" si="7"/>
        <v>85</v>
      </c>
      <c r="AY29" s="42" t="e">
        <f>MROUND((1.08*(AX29-AW29)*#REF!)/1000,0.1)</f>
        <v>#REF!</v>
      </c>
      <c r="AZ29" s="43" t="e">
        <f t="shared" si="4"/>
        <v>#REF!</v>
      </c>
      <c r="BA29" s="43" t="e">
        <f t="shared" si="2"/>
        <v>#REF!</v>
      </c>
      <c r="BB29" s="43">
        <f t="shared" si="5"/>
        <v>5</v>
      </c>
      <c r="BC29" s="43" t="str">
        <f>IFERROR((_xlfn.XLOOKUP(AR29,'DO NOT TOUCH'!$Q$9:$Q$14,'DO NOT TOUCH'!$R$9:$R$14,)),"TBD")</f>
        <v>TBD</v>
      </c>
      <c r="BD29" s="43">
        <f>INPUT_OUTPUTS!$C$19</f>
        <v>0</v>
      </c>
      <c r="BE29" s="45" t="str">
        <f t="shared" si="6"/>
        <v>1, 2</v>
      </c>
    </row>
    <row r="30" spans="39:57" ht="15">
      <c r="AM30" s="300" t="s">
        <v>621</v>
      </c>
      <c r="AN30" s="300" t="s">
        <v>72</v>
      </c>
      <c r="AO30" s="300" t="s">
        <v>77</v>
      </c>
      <c r="AP30" s="300">
        <f>SUMIF(Ahu_Ashrae_sheet15[Zone],AHU1_CAV_SCHEDULE4451416[[#This Row],[ZONE]],Ahu_Ashrae_sheet15[DESIGN VAV MIN SA(CFM)])</f>
        <v>0</v>
      </c>
      <c r="AQ30" s="300">
        <f>SUMIF(Ahu_Ashrae_sheet15[Zone],AHU1_CAV_SCHEDULE4451416[[#This Row],[ZONE]],Ahu_Ashrae_sheet15[DESIGN VAV MAX SA(CFM)])</f>
        <v>0</v>
      </c>
      <c r="AR30" s="42" t="str">
        <f>IFERROR((VLOOKUP(AHU1_CAV_SCHEDULE4451416[[#This Row],[MAX VAV
(CFM)]],'DO NOT TOUCH'!$P$9:$Q$14,2,TRUE)),"TBD")</f>
        <v>TBD</v>
      </c>
      <c r="AS30" s="42">
        <f t="shared" si="3"/>
        <v>0.5</v>
      </c>
      <c r="AT30" s="42">
        <f>AHU1_CAV_SCHEDULE4451416[[#This Row],[MIN VAV
(CFM)]]</f>
        <v>0</v>
      </c>
      <c r="AU30" s="42">
        <f>INPUT_OUTPUTS!$C$16</f>
        <v>140</v>
      </c>
      <c r="AV30" s="42">
        <f>INPUT_OUTPUTS!$C$17</f>
        <v>100</v>
      </c>
      <c r="AW30" s="42">
        <f t="shared" si="7"/>
        <v>55</v>
      </c>
      <c r="AX30" s="42">
        <f t="shared" si="7"/>
        <v>85</v>
      </c>
      <c r="AY30" s="42" t="e">
        <f>MROUND((1.08*(AX30-AW30)*#REF!)/1000,0.1)</f>
        <v>#REF!</v>
      </c>
      <c r="AZ30" s="43" t="e">
        <f t="shared" si="4"/>
        <v>#REF!</v>
      </c>
      <c r="BA30" s="43" t="e">
        <f t="shared" si="2"/>
        <v>#REF!</v>
      </c>
      <c r="BB30" s="43">
        <f t="shared" si="5"/>
        <v>5</v>
      </c>
      <c r="BC30" s="43" t="str">
        <f>IFERROR((_xlfn.XLOOKUP(AR30,'DO NOT TOUCH'!$Q$9:$Q$14,'DO NOT TOUCH'!$R$9:$R$14,)),"TBD")</f>
        <v>TBD</v>
      </c>
      <c r="BD30" s="43">
        <f>INPUT_OUTPUTS!$C$19</f>
        <v>0</v>
      </c>
      <c r="BE30" s="45" t="str">
        <f t="shared" si="6"/>
        <v>1, 2</v>
      </c>
    </row>
    <row r="31" spans="39:57" ht="15">
      <c r="AM31" s="300" t="s">
        <v>622</v>
      </c>
      <c r="AN31" s="300" t="s">
        <v>72</v>
      </c>
      <c r="AO31" s="300" t="s">
        <v>77</v>
      </c>
      <c r="AP31" s="300">
        <f>SUMIF(Ahu_Ashrae_sheet15[Zone],AHU1_CAV_SCHEDULE4451416[[#This Row],[ZONE]],Ahu_Ashrae_sheet15[DESIGN VAV MIN SA(CFM)])</f>
        <v>0</v>
      </c>
      <c r="AQ31" s="300">
        <f>SUMIF(Ahu_Ashrae_sheet15[Zone],AHU1_CAV_SCHEDULE4451416[[#This Row],[ZONE]],Ahu_Ashrae_sheet15[DESIGN VAV MAX SA(CFM)])</f>
        <v>0</v>
      </c>
      <c r="AR31" s="42" t="str">
        <f>IFERROR((VLOOKUP(AHU1_CAV_SCHEDULE4451416[[#This Row],[MAX VAV
(CFM)]],'DO NOT TOUCH'!$P$9:$Q$14,2,TRUE)),"TBD")</f>
        <v>TBD</v>
      </c>
      <c r="AS31" s="42">
        <f t="shared" si="3"/>
        <v>0.5</v>
      </c>
      <c r="AT31" s="42">
        <f>AHU1_CAV_SCHEDULE4451416[[#This Row],[MIN VAV
(CFM)]]</f>
        <v>0</v>
      </c>
      <c r="AU31" s="42">
        <f>INPUT_OUTPUTS!$C$16</f>
        <v>140</v>
      </c>
      <c r="AV31" s="42">
        <f>INPUT_OUTPUTS!$C$17</f>
        <v>100</v>
      </c>
      <c r="AW31" s="42">
        <f t="shared" si="7"/>
        <v>55</v>
      </c>
      <c r="AX31" s="42">
        <f t="shared" si="7"/>
        <v>85</v>
      </c>
      <c r="AY31" s="42" t="e">
        <f>MROUND((1.08*(AX31-AW31)*#REF!)/1000,0.1)</f>
        <v>#REF!</v>
      </c>
      <c r="AZ31" s="43" t="e">
        <f t="shared" si="4"/>
        <v>#REF!</v>
      </c>
      <c r="BA31" s="43" t="e">
        <f t="shared" si="2"/>
        <v>#REF!</v>
      </c>
      <c r="BB31" s="43">
        <f t="shared" si="5"/>
        <v>5</v>
      </c>
      <c r="BC31" s="43" t="str">
        <f>IFERROR((_xlfn.XLOOKUP(AR31,'DO NOT TOUCH'!$Q$9:$Q$14,'DO NOT TOUCH'!$R$9:$R$14,)),"TBD")</f>
        <v>TBD</v>
      </c>
      <c r="BD31" s="43">
        <f>INPUT_OUTPUTS!$C$19</f>
        <v>0</v>
      </c>
      <c r="BE31" s="45" t="str">
        <f t="shared" si="6"/>
        <v>1, 2</v>
      </c>
    </row>
    <row r="32" spans="39:57" ht="15">
      <c r="AM32" s="300" t="s">
        <v>623</v>
      </c>
      <c r="AN32" s="300" t="s">
        <v>72</v>
      </c>
      <c r="AO32" s="300" t="s">
        <v>77</v>
      </c>
      <c r="AP32" s="300">
        <f>SUMIF(Ahu_Ashrae_sheet15[Zone],AHU1_CAV_SCHEDULE4451416[[#This Row],[ZONE]],Ahu_Ashrae_sheet15[DESIGN VAV MIN SA(CFM)])</f>
        <v>0</v>
      </c>
      <c r="AQ32" s="300">
        <f>SUMIF(Ahu_Ashrae_sheet15[Zone],AHU1_CAV_SCHEDULE4451416[[#This Row],[ZONE]],Ahu_Ashrae_sheet15[DESIGN VAV MAX SA(CFM)])</f>
        <v>0</v>
      </c>
      <c r="AR32" s="42" t="str">
        <f>IFERROR((VLOOKUP(AHU1_CAV_SCHEDULE4451416[[#This Row],[MAX VAV
(CFM)]],'DO NOT TOUCH'!$P$9:$Q$14,2,TRUE)),"TBD")</f>
        <v>TBD</v>
      </c>
      <c r="AS32" s="42">
        <f t="shared" si="3"/>
        <v>0.5</v>
      </c>
      <c r="AT32" s="42">
        <f>AHU1_CAV_SCHEDULE4451416[[#This Row],[MIN VAV
(CFM)]]</f>
        <v>0</v>
      </c>
      <c r="AU32" s="42">
        <f>INPUT_OUTPUTS!$C$16</f>
        <v>140</v>
      </c>
      <c r="AV32" s="42">
        <f>INPUT_OUTPUTS!$C$17</f>
        <v>100</v>
      </c>
      <c r="AW32" s="42">
        <f t="shared" si="7"/>
        <v>55</v>
      </c>
      <c r="AX32" s="42">
        <f t="shared" si="7"/>
        <v>85</v>
      </c>
      <c r="AY32" s="42" t="e">
        <f>MROUND((1.08*(AX32-AW32)*#REF!)/1000,0.1)</f>
        <v>#REF!</v>
      </c>
      <c r="AZ32" s="43" t="e">
        <f t="shared" si="4"/>
        <v>#REF!</v>
      </c>
      <c r="BA32" s="43" t="e">
        <f t="shared" si="2"/>
        <v>#REF!</v>
      </c>
      <c r="BB32" s="43">
        <f t="shared" si="5"/>
        <v>5</v>
      </c>
      <c r="BC32" s="43" t="str">
        <f>IFERROR((_xlfn.XLOOKUP(AR32,'DO NOT TOUCH'!$Q$9:$Q$14,'DO NOT TOUCH'!$R$9:$R$14,)),"TBD")</f>
        <v>TBD</v>
      </c>
      <c r="BD32" s="43">
        <f>INPUT_OUTPUTS!$C$19</f>
        <v>0</v>
      </c>
      <c r="BE32" s="45" t="str">
        <f t="shared" si="6"/>
        <v>1, 2</v>
      </c>
    </row>
    <row r="33" spans="39:57" ht="15">
      <c r="AM33" s="300" t="s">
        <v>624</v>
      </c>
      <c r="AN33" s="300" t="s">
        <v>72</v>
      </c>
      <c r="AO33" s="300" t="s">
        <v>77</v>
      </c>
      <c r="AP33" s="300">
        <f>SUMIF(Ahu_Ashrae_sheet15[Zone],AHU1_CAV_SCHEDULE4451416[[#This Row],[ZONE]],Ahu_Ashrae_sheet15[DESIGN VAV MIN SA(CFM)])</f>
        <v>0</v>
      </c>
      <c r="AQ33" s="300">
        <f>SUMIF(Ahu_Ashrae_sheet15[Zone],AHU1_CAV_SCHEDULE4451416[[#This Row],[ZONE]],Ahu_Ashrae_sheet15[DESIGN VAV MAX SA(CFM)])</f>
        <v>0</v>
      </c>
      <c r="AR33" s="42" t="str">
        <f>IFERROR((VLOOKUP(AHU1_CAV_SCHEDULE4451416[[#This Row],[MAX VAV
(CFM)]],'DO NOT TOUCH'!$P$9:$Q$14,2,TRUE)),"TBD")</f>
        <v>TBD</v>
      </c>
      <c r="AS33" s="42">
        <f t="shared" si="3"/>
        <v>0.5</v>
      </c>
      <c r="AT33" s="42">
        <f>AHU1_CAV_SCHEDULE4451416[[#This Row],[MIN VAV
(CFM)]]</f>
        <v>0</v>
      </c>
      <c r="AU33" s="42">
        <f>INPUT_OUTPUTS!$C$16</f>
        <v>140</v>
      </c>
      <c r="AV33" s="42">
        <f>INPUT_OUTPUTS!$C$17</f>
        <v>100</v>
      </c>
      <c r="AW33" s="42">
        <f t="shared" si="7"/>
        <v>55</v>
      </c>
      <c r="AX33" s="42">
        <f t="shared" si="7"/>
        <v>85</v>
      </c>
      <c r="AY33" s="42" t="e">
        <f>MROUND((1.08*(AX33-AW33)*#REF!)/1000,0.1)</f>
        <v>#REF!</v>
      </c>
      <c r="AZ33" s="43" t="e">
        <f t="shared" si="4"/>
        <v>#REF!</v>
      </c>
      <c r="BA33" s="43" t="e">
        <f t="shared" si="2"/>
        <v>#REF!</v>
      </c>
      <c r="BB33" s="43">
        <f t="shared" si="5"/>
        <v>5</v>
      </c>
      <c r="BC33" s="43" t="str">
        <f>IFERROR((_xlfn.XLOOKUP(AR33,'DO NOT TOUCH'!$Q$9:$Q$14,'DO NOT TOUCH'!$R$9:$R$14,)),"TBD")</f>
        <v>TBD</v>
      </c>
      <c r="BD33" s="43">
        <f>INPUT_OUTPUTS!$C$19</f>
        <v>0</v>
      </c>
      <c r="BE33" s="45" t="str">
        <f t="shared" si="6"/>
        <v>1, 2</v>
      </c>
    </row>
    <row r="34" spans="39:57" ht="15">
      <c r="AM34" s="300" t="s">
        <v>625</v>
      </c>
      <c r="AN34" s="300" t="s">
        <v>72</v>
      </c>
      <c r="AO34" s="300" t="s">
        <v>77</v>
      </c>
      <c r="AP34" s="300">
        <f>SUMIF(Ahu_Ashrae_sheet15[Zone],AHU1_CAV_SCHEDULE4451416[[#This Row],[ZONE]],Ahu_Ashrae_sheet15[DESIGN VAV MIN SA(CFM)])</f>
        <v>0</v>
      </c>
      <c r="AQ34" s="300">
        <f>SUMIF(Ahu_Ashrae_sheet15[Zone],AHU1_CAV_SCHEDULE4451416[[#This Row],[ZONE]],Ahu_Ashrae_sheet15[DESIGN VAV MAX SA(CFM)])</f>
        <v>0</v>
      </c>
      <c r="AR34" s="42" t="str">
        <f>IFERROR((VLOOKUP(AHU1_CAV_SCHEDULE4451416[[#This Row],[MAX VAV
(CFM)]],'DO NOT TOUCH'!$P$9:$Q$14,2,TRUE)),"TBD")</f>
        <v>TBD</v>
      </c>
      <c r="AS34" s="42">
        <f t="shared" si="3"/>
        <v>0.5</v>
      </c>
      <c r="AT34" s="42">
        <f>AHU1_CAV_SCHEDULE4451416[[#This Row],[MIN VAV
(CFM)]]</f>
        <v>0</v>
      </c>
      <c r="AU34" s="42">
        <f>INPUT_OUTPUTS!$C$16</f>
        <v>140</v>
      </c>
      <c r="AV34" s="42">
        <f>INPUT_OUTPUTS!$C$17</f>
        <v>100</v>
      </c>
      <c r="AW34" s="42">
        <f t="shared" si="7"/>
        <v>55</v>
      </c>
      <c r="AX34" s="42">
        <f t="shared" si="7"/>
        <v>85</v>
      </c>
      <c r="AY34" s="42" t="e">
        <f>MROUND((1.08*(AX34-AW34)*#REF!)/1000,0.1)</f>
        <v>#REF!</v>
      </c>
      <c r="AZ34" s="43" t="e">
        <f t="shared" si="4"/>
        <v>#REF!</v>
      </c>
      <c r="BA34" s="43" t="e">
        <f t="shared" si="2"/>
        <v>#REF!</v>
      </c>
      <c r="BB34" s="43">
        <f t="shared" si="5"/>
        <v>5</v>
      </c>
      <c r="BC34" s="43" t="str">
        <f>IFERROR((_xlfn.XLOOKUP(AR34,'DO NOT TOUCH'!$Q$9:$Q$14,'DO NOT TOUCH'!$R$9:$R$14,)),"TBD")</f>
        <v>TBD</v>
      </c>
      <c r="BD34" s="43">
        <f>INPUT_OUTPUTS!$C$19</f>
        <v>0</v>
      </c>
      <c r="BE34" s="45" t="str">
        <f t="shared" si="6"/>
        <v>1, 2</v>
      </c>
    </row>
    <row r="35" spans="39:57" ht="15">
      <c r="AM35" s="300" t="s">
        <v>626</v>
      </c>
      <c r="AN35" s="300" t="s">
        <v>72</v>
      </c>
      <c r="AO35" s="300" t="s">
        <v>77</v>
      </c>
      <c r="AP35" s="300">
        <f>SUMIF(Ahu_Ashrae_sheet15[Zone],AHU1_CAV_SCHEDULE4451416[[#This Row],[ZONE]],Ahu_Ashrae_sheet15[DESIGN VAV MIN SA(CFM)])</f>
        <v>0</v>
      </c>
      <c r="AQ35" s="300">
        <f>SUMIF(Ahu_Ashrae_sheet15[Zone],AHU1_CAV_SCHEDULE4451416[[#This Row],[ZONE]],Ahu_Ashrae_sheet15[DESIGN VAV MAX SA(CFM)])</f>
        <v>0</v>
      </c>
      <c r="AR35" s="42" t="str">
        <f>IFERROR((VLOOKUP(AHU1_CAV_SCHEDULE4451416[[#This Row],[MAX VAV
(CFM)]],'DO NOT TOUCH'!$P$9:$Q$14,2,TRUE)),"TBD")</f>
        <v>TBD</v>
      </c>
      <c r="AS35" s="42">
        <f t="shared" si="3"/>
        <v>0.5</v>
      </c>
      <c r="AT35" s="42">
        <f>AHU1_CAV_SCHEDULE4451416[[#This Row],[MIN VAV
(CFM)]]</f>
        <v>0</v>
      </c>
      <c r="AU35" s="42">
        <f>INPUT_OUTPUTS!$C$16</f>
        <v>140</v>
      </c>
      <c r="AV35" s="42">
        <f>INPUT_OUTPUTS!$C$17</f>
        <v>100</v>
      </c>
      <c r="AW35" s="42">
        <f t="shared" si="7"/>
        <v>55</v>
      </c>
      <c r="AX35" s="42">
        <f t="shared" si="7"/>
        <v>85</v>
      </c>
      <c r="AY35" s="42" t="e">
        <f>MROUND((1.08*(AX35-AW35)*#REF!)/1000,0.1)</f>
        <v>#REF!</v>
      </c>
      <c r="AZ35" s="43" t="e">
        <f t="shared" si="4"/>
        <v>#REF!</v>
      </c>
      <c r="BA35" s="43" t="e">
        <f t="shared" si="2"/>
        <v>#REF!</v>
      </c>
      <c r="BB35" s="43">
        <f t="shared" si="5"/>
        <v>5</v>
      </c>
      <c r="BC35" s="43" t="str">
        <f>IFERROR((_xlfn.XLOOKUP(AR35,'DO NOT TOUCH'!$Q$9:$Q$14,'DO NOT TOUCH'!$R$9:$R$14,)),"TBD")</f>
        <v>TBD</v>
      </c>
      <c r="BD35" s="43">
        <f>INPUT_OUTPUTS!$C$19</f>
        <v>0</v>
      </c>
      <c r="BE35" s="45" t="str">
        <f t="shared" si="6"/>
        <v>1, 2</v>
      </c>
    </row>
    <row r="36" spans="39:57" ht="15">
      <c r="AM36" s="300" t="s">
        <v>627</v>
      </c>
      <c r="AN36" s="300" t="s">
        <v>72</v>
      </c>
      <c r="AO36" s="300" t="s">
        <v>77</v>
      </c>
      <c r="AP36" s="300">
        <f>SUMIF(Ahu_Ashrae_sheet15[Zone],AHU1_CAV_SCHEDULE4451416[[#This Row],[ZONE]],Ahu_Ashrae_sheet15[DESIGN VAV MIN SA(CFM)])</f>
        <v>0</v>
      </c>
      <c r="AQ36" s="300">
        <f>SUMIF(Ahu_Ashrae_sheet15[Zone],AHU1_CAV_SCHEDULE4451416[[#This Row],[ZONE]],Ahu_Ashrae_sheet15[DESIGN VAV MAX SA(CFM)])</f>
        <v>0</v>
      </c>
      <c r="AR36" s="42" t="str">
        <f>IFERROR((VLOOKUP(AHU1_CAV_SCHEDULE4451416[[#This Row],[MAX VAV
(CFM)]],'DO NOT TOUCH'!$P$9:$Q$14,2,TRUE)),"TBD")</f>
        <v>TBD</v>
      </c>
      <c r="AS36" s="42">
        <f t="shared" si="3"/>
        <v>0.5</v>
      </c>
      <c r="AT36" s="42">
        <f>AHU1_CAV_SCHEDULE4451416[[#This Row],[MIN VAV
(CFM)]]</f>
        <v>0</v>
      </c>
      <c r="AU36" s="42">
        <f>INPUT_OUTPUTS!$C$16</f>
        <v>140</v>
      </c>
      <c r="AV36" s="42">
        <f>INPUT_OUTPUTS!$C$17</f>
        <v>100</v>
      </c>
      <c r="AW36" s="42">
        <f t="shared" ref="AW36:AX40" si="8">AW35</f>
        <v>55</v>
      </c>
      <c r="AX36" s="42">
        <f t="shared" si="8"/>
        <v>85</v>
      </c>
      <c r="AY36" s="42" t="e">
        <f>MROUND((1.08*(AX36-AW36)*#REF!)/1000,0.1)</f>
        <v>#REF!</v>
      </c>
      <c r="AZ36" s="43" t="e">
        <f t="shared" si="4"/>
        <v>#REF!</v>
      </c>
      <c r="BA36" s="43" t="e">
        <f t="shared" si="2"/>
        <v>#REF!</v>
      </c>
      <c r="BB36" s="43">
        <f t="shared" si="5"/>
        <v>5</v>
      </c>
      <c r="BC36" s="43" t="str">
        <f>IFERROR((_xlfn.XLOOKUP(AR36,'DO NOT TOUCH'!$Q$9:$Q$14,'DO NOT TOUCH'!$R$9:$R$14,)),"TBD")</f>
        <v>TBD</v>
      </c>
      <c r="BD36" s="43">
        <f>INPUT_OUTPUTS!$C$19</f>
        <v>0</v>
      </c>
      <c r="BE36" s="45" t="str">
        <f t="shared" si="6"/>
        <v>1, 2</v>
      </c>
    </row>
    <row r="37" spans="39:57" ht="15">
      <c r="AM37" s="300" t="s">
        <v>628</v>
      </c>
      <c r="AN37" s="300" t="s">
        <v>72</v>
      </c>
      <c r="AO37" s="300" t="s">
        <v>77</v>
      </c>
      <c r="AP37" s="300">
        <f>SUMIF(Ahu_Ashrae_sheet15[Zone],AHU1_CAV_SCHEDULE4451416[[#This Row],[ZONE]],Ahu_Ashrae_sheet15[DESIGN VAV MIN SA(CFM)])</f>
        <v>0</v>
      </c>
      <c r="AQ37" s="300">
        <f>SUMIF(Ahu_Ashrae_sheet15[Zone],AHU1_CAV_SCHEDULE4451416[[#This Row],[ZONE]],Ahu_Ashrae_sheet15[DESIGN VAV MAX SA(CFM)])</f>
        <v>0</v>
      </c>
      <c r="AR37" s="42" t="str">
        <f>IFERROR((VLOOKUP(AHU1_CAV_SCHEDULE4451416[[#This Row],[MAX VAV
(CFM)]],'DO NOT TOUCH'!$P$9:$Q$14,2,TRUE)),"TBD")</f>
        <v>TBD</v>
      </c>
      <c r="AS37" s="42">
        <f t="shared" si="3"/>
        <v>0.5</v>
      </c>
      <c r="AT37" s="42">
        <f>AHU1_CAV_SCHEDULE4451416[[#This Row],[MIN VAV
(CFM)]]</f>
        <v>0</v>
      </c>
      <c r="AU37" s="42">
        <f>INPUT_OUTPUTS!$C$16</f>
        <v>140</v>
      </c>
      <c r="AV37" s="42">
        <f>INPUT_OUTPUTS!$C$17</f>
        <v>100</v>
      </c>
      <c r="AW37" s="42">
        <f t="shared" si="8"/>
        <v>55</v>
      </c>
      <c r="AX37" s="42">
        <f t="shared" si="8"/>
        <v>85</v>
      </c>
      <c r="AY37" s="42" t="e">
        <f>MROUND((1.08*(AX37-AW37)*#REF!)/1000,0.1)</f>
        <v>#REF!</v>
      </c>
      <c r="AZ37" s="43" t="e">
        <f t="shared" si="4"/>
        <v>#REF!</v>
      </c>
      <c r="BA37" s="43" t="e">
        <f t="shared" si="2"/>
        <v>#REF!</v>
      </c>
      <c r="BB37" s="43">
        <f t="shared" si="5"/>
        <v>5</v>
      </c>
      <c r="BC37" s="43" t="str">
        <f>IFERROR((_xlfn.XLOOKUP(AR37,'DO NOT TOUCH'!$Q$9:$Q$14,'DO NOT TOUCH'!$R$9:$R$14,)),"TBD")</f>
        <v>TBD</v>
      </c>
      <c r="BD37" s="43">
        <f>INPUT_OUTPUTS!$C$19</f>
        <v>0</v>
      </c>
      <c r="BE37" s="45" t="str">
        <f t="shared" si="6"/>
        <v>1, 2</v>
      </c>
    </row>
    <row r="38" spans="39:57" ht="15">
      <c r="AM38" s="300" t="s">
        <v>629</v>
      </c>
      <c r="AN38" s="300" t="s">
        <v>72</v>
      </c>
      <c r="AO38" s="300" t="s">
        <v>77</v>
      </c>
      <c r="AP38" s="300">
        <f>SUMIF(Ahu_Ashrae_sheet15[Zone],AHU1_CAV_SCHEDULE4451416[[#This Row],[ZONE]],Ahu_Ashrae_sheet15[DESIGN VAV MIN SA(CFM)])</f>
        <v>0</v>
      </c>
      <c r="AQ38" s="300">
        <f>SUMIF(Ahu_Ashrae_sheet15[Zone],AHU1_CAV_SCHEDULE4451416[[#This Row],[ZONE]],Ahu_Ashrae_sheet15[DESIGN VAV MAX SA(CFM)])</f>
        <v>0</v>
      </c>
      <c r="AR38" s="42" t="str">
        <f>IFERROR((VLOOKUP(AHU1_CAV_SCHEDULE4451416[[#This Row],[MAX VAV
(CFM)]],'DO NOT TOUCH'!$P$9:$Q$14,2,TRUE)),"TBD")</f>
        <v>TBD</v>
      </c>
      <c r="AS38" s="42">
        <f t="shared" si="3"/>
        <v>0.5</v>
      </c>
      <c r="AT38" s="42">
        <f>AHU1_CAV_SCHEDULE4451416[[#This Row],[MIN VAV
(CFM)]]</f>
        <v>0</v>
      </c>
      <c r="AU38" s="42">
        <f>INPUT_OUTPUTS!$C$16</f>
        <v>140</v>
      </c>
      <c r="AV38" s="42">
        <f>INPUT_OUTPUTS!$C$17</f>
        <v>100</v>
      </c>
      <c r="AW38" s="42">
        <f t="shared" si="8"/>
        <v>55</v>
      </c>
      <c r="AX38" s="42">
        <f t="shared" si="8"/>
        <v>85</v>
      </c>
      <c r="AY38" s="42" t="e">
        <f>MROUND((1.08*(AX38-AW38)*#REF!)/1000,0.1)</f>
        <v>#REF!</v>
      </c>
      <c r="AZ38" s="43" t="e">
        <f t="shared" si="4"/>
        <v>#REF!</v>
      </c>
      <c r="BA38" s="43" t="e">
        <f t="shared" si="2"/>
        <v>#REF!</v>
      </c>
      <c r="BB38" s="43">
        <f t="shared" si="5"/>
        <v>5</v>
      </c>
      <c r="BC38" s="43" t="str">
        <f>IFERROR((_xlfn.XLOOKUP(AR38,'DO NOT TOUCH'!$Q$9:$Q$14,'DO NOT TOUCH'!$R$9:$R$14,)),"TBD")</f>
        <v>TBD</v>
      </c>
      <c r="BD38" s="43">
        <f>INPUT_OUTPUTS!$C$19</f>
        <v>0</v>
      </c>
      <c r="BE38" s="45" t="str">
        <f t="shared" si="6"/>
        <v>1, 2</v>
      </c>
    </row>
    <row r="39" spans="39:57" ht="15">
      <c r="AM39" s="300" t="s">
        <v>630</v>
      </c>
      <c r="AN39" s="300" t="s">
        <v>72</v>
      </c>
      <c r="AO39" s="300" t="s">
        <v>77</v>
      </c>
      <c r="AP39" s="300">
        <f>SUMIF(Ahu_Ashrae_sheet15[Zone],AHU1_CAV_SCHEDULE4451416[[#This Row],[ZONE]],Ahu_Ashrae_sheet15[DESIGN VAV MIN SA(CFM)])</f>
        <v>0</v>
      </c>
      <c r="AQ39" s="300">
        <f>SUMIF(Ahu_Ashrae_sheet15[Zone],AHU1_CAV_SCHEDULE4451416[[#This Row],[ZONE]],Ahu_Ashrae_sheet15[DESIGN VAV MAX SA(CFM)])</f>
        <v>0</v>
      </c>
      <c r="AR39" s="42" t="str">
        <f>IFERROR((VLOOKUP(AHU1_CAV_SCHEDULE4451416[[#This Row],[MAX VAV
(CFM)]],'DO NOT TOUCH'!$P$9:$Q$14,2,TRUE)),"TBD")</f>
        <v>TBD</v>
      </c>
      <c r="AS39" s="42">
        <f t="shared" si="3"/>
        <v>0.5</v>
      </c>
      <c r="AT39" s="42">
        <f>AHU1_CAV_SCHEDULE4451416[[#This Row],[MIN VAV
(CFM)]]</f>
        <v>0</v>
      </c>
      <c r="AU39" s="42">
        <f>INPUT_OUTPUTS!$C$16</f>
        <v>140</v>
      </c>
      <c r="AV39" s="42">
        <f>INPUT_OUTPUTS!$C$17</f>
        <v>100</v>
      </c>
      <c r="AW39" s="42">
        <f t="shared" si="8"/>
        <v>55</v>
      </c>
      <c r="AX39" s="42">
        <f t="shared" si="8"/>
        <v>85</v>
      </c>
      <c r="AY39" s="42" t="e">
        <f>MROUND((1.08*(AX39-AW39)*#REF!)/1000,0.1)</f>
        <v>#REF!</v>
      </c>
      <c r="AZ39" s="43" t="e">
        <f t="shared" si="4"/>
        <v>#REF!</v>
      </c>
      <c r="BA39" s="43" t="e">
        <f t="shared" si="2"/>
        <v>#REF!</v>
      </c>
      <c r="BB39" s="43">
        <f t="shared" si="5"/>
        <v>5</v>
      </c>
      <c r="BC39" s="43" t="str">
        <f>IFERROR((_xlfn.XLOOKUP(AR39,'DO NOT TOUCH'!$Q$9:$Q$14,'DO NOT TOUCH'!$R$9:$R$14,)),"TBD")</f>
        <v>TBD</v>
      </c>
      <c r="BD39" s="43">
        <f>INPUT_OUTPUTS!$C$19</f>
        <v>0</v>
      </c>
      <c r="BE39" s="45" t="str">
        <f t="shared" si="6"/>
        <v>1, 2</v>
      </c>
    </row>
    <row r="40" spans="39:57" ht="15">
      <c r="AM40" s="300" t="s">
        <v>631</v>
      </c>
      <c r="AN40" s="301" t="s">
        <v>72</v>
      </c>
      <c r="AO40" s="301" t="s">
        <v>77</v>
      </c>
      <c r="AP40" s="300">
        <f>SUMIF(Ahu_Ashrae_sheet15[Zone],AHU1_CAV_SCHEDULE4451416[[#This Row],[ZONE]],Ahu_Ashrae_sheet15[DESIGN VAV MIN SA(CFM)])</f>
        <v>0</v>
      </c>
      <c r="AQ40" s="300">
        <f>SUMIF(Ahu_Ashrae_sheet15[Zone],AHU1_CAV_SCHEDULE4451416[[#This Row],[ZONE]],Ahu_Ashrae_sheet15[DESIGN VAV MAX SA(CFM)])</f>
        <v>0</v>
      </c>
      <c r="AR40" s="42" t="str">
        <f>IFERROR((VLOOKUP(AHU1_CAV_SCHEDULE4451416[[#This Row],[MAX VAV
(CFM)]],'DO NOT TOUCH'!$P$9:$Q$14,2,TRUE)),"TBD")</f>
        <v>TBD</v>
      </c>
      <c r="AS40" s="48">
        <f t="shared" si="3"/>
        <v>0.5</v>
      </c>
      <c r="AT40" s="42">
        <f>AHU1_CAV_SCHEDULE4451416[[#This Row],[MIN VAV
(CFM)]]</f>
        <v>0</v>
      </c>
      <c r="AU40" s="42">
        <f>INPUT_OUTPUTS!$C$16</f>
        <v>140</v>
      </c>
      <c r="AV40" s="42">
        <f>INPUT_OUTPUTS!$C$17</f>
        <v>100</v>
      </c>
      <c r="AW40" s="48">
        <f t="shared" si="8"/>
        <v>55</v>
      </c>
      <c r="AX40" s="48">
        <f t="shared" si="8"/>
        <v>85</v>
      </c>
      <c r="AY40" s="48" t="e">
        <f>MROUND((1.08*(AX40-AW40)*#REF!)/1000,0.1)</f>
        <v>#REF!</v>
      </c>
      <c r="AZ40" s="49" t="e">
        <f t="shared" si="4"/>
        <v>#REF!</v>
      </c>
      <c r="BA40" s="49" t="e">
        <f t="shared" si="2"/>
        <v>#REF!</v>
      </c>
      <c r="BB40" s="49">
        <f t="shared" si="5"/>
        <v>5</v>
      </c>
      <c r="BC40" s="49" t="str">
        <f>IFERROR((_xlfn.XLOOKUP(AR40,'DO NOT TOUCH'!$Q$9:$Q$14,'DO NOT TOUCH'!$R$9:$R$14,)),"TBD")</f>
        <v>TBD</v>
      </c>
      <c r="BD40" s="43">
        <f>INPUT_OUTPUTS!$C$19</f>
        <v>0</v>
      </c>
      <c r="BE40" s="50" t="str">
        <f t="shared" si="6"/>
        <v>1, 2</v>
      </c>
    </row>
    <row r="41" spans="39:57" ht="15">
      <c r="AM41" s="55" t="s">
        <v>140</v>
      </c>
      <c r="AN41" s="56"/>
      <c r="AO41" s="56"/>
      <c r="AP41" s="56"/>
      <c r="AQ41" s="57"/>
      <c r="AR41" s="57"/>
      <c r="AS41" s="57"/>
      <c r="AT41" s="57"/>
      <c r="AU41" s="57"/>
      <c r="AV41" s="57"/>
      <c r="AW41" s="57"/>
      <c r="AX41" s="57"/>
      <c r="AY41" s="57" t="e">
        <f>SUBTOTAL(109,AHU1_CAV_SCHEDULE4451416[MIN MBH])</f>
        <v>#REF!</v>
      </c>
      <c r="AZ41" s="57"/>
      <c r="BA41" s="59" t="e">
        <f>SUBTOTAL(109,AHU1_CAV_SCHEDULE4451416[GPM])</f>
        <v>#REF!</v>
      </c>
      <c r="BB41" s="57"/>
      <c r="BC41" s="57"/>
      <c r="BD41" s="57"/>
      <c r="BE41" s="58"/>
    </row>
  </sheetData>
  <mergeCells count="2">
    <mergeCell ref="A1:G1"/>
    <mergeCell ref="H1:AC1"/>
  </mergeCells>
  <phoneticPr fontId="8" type="noConversion"/>
  <pageMargins left="0.7" right="0.7" top="0.75" bottom="0.75" header="0.3" footer="0.3"/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Table'!$A$2:$A$91</xm:f>
          </x14:formula1>
          <xm:sqref>I3:I5</xm:sqref>
        </x14:dataValidation>
        <x14:dataValidation type="list" allowBlank="1" showInputMessage="1" showErrorMessage="1" xr:uid="{ED922D8F-AFCC-4D77-B823-12732C64AD52}">
          <x14:formula1>
            <xm:f>'ASHRAE Table'!$B$2:$B$91</xm:f>
          </x14:formula1>
          <xm:sqref>J3:J5</xm:sqref>
        </x14:dataValidation>
        <x14:dataValidation type="list" allowBlank="1" showInputMessage="1" showErrorMessage="1" xr:uid="{54707373-1E21-4FCF-8022-EF21D75C8B93}">
          <x14:formula1>
            <xm:f>'ASHRAE Table'!$R$3:$R$13</xm:f>
          </x14:formula1>
          <xm:sqref>V3:V5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C91"/>
  <sheetViews>
    <sheetView topLeftCell="B1" zoomScale="85" zoomScaleNormal="85" workbookViewId="0">
      <selection activeCell="J25" sqref="J25"/>
    </sheetView>
  </sheetViews>
  <sheetFormatPr defaultRowHeight="12.75"/>
  <cols>
    <col min="1" max="1" width="39" bestFit="1" customWidth="1"/>
    <col min="2" max="2" width="109.7109375" bestFit="1" customWidth="1"/>
    <col min="3" max="3" width="6.140625" bestFit="1" customWidth="1"/>
    <col min="4" max="4" width="6.42578125" bestFit="1" customWidth="1"/>
    <col min="5" max="5" width="22.28515625" bestFit="1" customWidth="1"/>
    <col min="6" max="6" width="13.5703125" bestFit="1" customWidth="1"/>
    <col min="7" max="7" width="9" style="278" bestFit="1" customWidth="1"/>
    <col min="10" max="10" width="67.5703125" style="79" bestFit="1" customWidth="1"/>
    <col min="11" max="11" width="48" style="79" bestFit="1" customWidth="1"/>
    <col min="12" max="12" width="26" customWidth="1"/>
    <col min="13" max="13" width="27.140625" customWidth="1"/>
    <col min="14" max="14" width="9.42578125" customWidth="1"/>
    <col min="15" max="18" width="13.42578125" customWidth="1"/>
    <col min="22" max="22" width="14.5703125" bestFit="1" customWidth="1"/>
    <col min="26" max="26" width="14.5703125" bestFit="1" customWidth="1"/>
  </cols>
  <sheetData>
    <row r="1" spans="1:29">
      <c r="A1" s="16" t="s">
        <v>426</v>
      </c>
      <c r="B1" s="16" t="s">
        <v>427</v>
      </c>
      <c r="C1" s="16" t="s">
        <v>428</v>
      </c>
      <c r="D1" s="16" t="s">
        <v>212</v>
      </c>
      <c r="E1" s="16" t="s">
        <v>429</v>
      </c>
      <c r="F1" s="16" t="s">
        <v>430</v>
      </c>
      <c r="G1" s="281" t="s">
        <v>431</v>
      </c>
      <c r="J1" s="284" t="s">
        <v>426</v>
      </c>
      <c r="K1" s="284" t="s">
        <v>427</v>
      </c>
      <c r="L1" s="16" t="s">
        <v>432</v>
      </c>
      <c r="M1" s="16" t="s">
        <v>433</v>
      </c>
      <c r="N1" s="16" t="s">
        <v>435</v>
      </c>
      <c r="O1" s="16" t="s">
        <v>434</v>
      </c>
      <c r="P1" s="16"/>
      <c r="Q1" s="16"/>
      <c r="R1" s="16"/>
    </row>
    <row r="2" spans="1:29">
      <c r="A2" s="126" t="s">
        <v>453</v>
      </c>
      <c r="B2" s="126" t="s">
        <v>454</v>
      </c>
      <c r="C2" s="279">
        <v>10</v>
      </c>
      <c r="D2" s="279">
        <v>0.12</v>
      </c>
      <c r="E2" s="279">
        <v>20</v>
      </c>
      <c r="F2" s="279">
        <v>2</v>
      </c>
      <c r="G2" s="279" t="s">
        <v>225</v>
      </c>
      <c r="J2" s="285" t="s">
        <v>453</v>
      </c>
      <c r="K2" s="285" t="s">
        <v>466</v>
      </c>
      <c r="L2" s="283">
        <v>0</v>
      </c>
      <c r="M2" s="279">
        <v>0.9</v>
      </c>
      <c r="N2" s="279"/>
      <c r="O2" s="279">
        <v>3</v>
      </c>
      <c r="R2" s="16" t="s">
        <v>450</v>
      </c>
      <c r="V2" s="16" t="s">
        <v>668</v>
      </c>
      <c r="W2">
        <v>199</v>
      </c>
      <c r="X2">
        <v>399</v>
      </c>
      <c r="Y2">
        <v>10000</v>
      </c>
      <c r="Z2" s="16" t="s">
        <v>668</v>
      </c>
      <c r="AA2">
        <v>199</v>
      </c>
      <c r="AB2">
        <v>399</v>
      </c>
      <c r="AC2">
        <v>10000</v>
      </c>
    </row>
    <row r="3" spans="1:29" ht="15">
      <c r="A3" s="126" t="s">
        <v>453</v>
      </c>
      <c r="B3" s="280" t="s">
        <v>466</v>
      </c>
      <c r="C3" s="279">
        <v>10</v>
      </c>
      <c r="D3" s="279">
        <v>0.18</v>
      </c>
      <c r="E3" s="279">
        <v>20</v>
      </c>
      <c r="F3" s="279">
        <v>3</v>
      </c>
      <c r="G3" s="279" t="s">
        <v>225</v>
      </c>
      <c r="J3" s="285" t="s">
        <v>453</v>
      </c>
      <c r="K3" s="285" t="s">
        <v>467</v>
      </c>
      <c r="L3" s="279">
        <v>0</v>
      </c>
      <c r="M3" s="279">
        <v>3</v>
      </c>
      <c r="N3" s="279"/>
      <c r="O3" s="279">
        <v>3</v>
      </c>
      <c r="R3">
        <v>1</v>
      </c>
      <c r="V3" s="112">
        <v>7</v>
      </c>
      <c r="W3">
        <v>400</v>
      </c>
      <c r="X3">
        <v>200</v>
      </c>
      <c r="Y3">
        <v>150</v>
      </c>
      <c r="Z3" s="112">
        <v>7</v>
      </c>
      <c r="AA3">
        <v>800</v>
      </c>
      <c r="AB3">
        <v>400</v>
      </c>
      <c r="AC3">
        <v>250</v>
      </c>
    </row>
    <row r="4" spans="1:29" ht="15">
      <c r="A4" s="126" t="s">
        <v>453</v>
      </c>
      <c r="B4" s="280" t="s">
        <v>467</v>
      </c>
      <c r="C4" s="279">
        <v>10</v>
      </c>
      <c r="D4" s="279">
        <v>0.18</v>
      </c>
      <c r="E4" s="279">
        <v>20</v>
      </c>
      <c r="F4" s="279">
        <v>3</v>
      </c>
      <c r="G4" s="279" t="s">
        <v>225</v>
      </c>
      <c r="J4" s="285" t="s">
        <v>453</v>
      </c>
      <c r="K4" s="285" t="s">
        <v>468</v>
      </c>
      <c r="L4" s="279">
        <v>0</v>
      </c>
      <c r="M4" s="279">
        <v>1.5</v>
      </c>
      <c r="N4" s="279"/>
      <c r="O4" s="279">
        <v>3</v>
      </c>
      <c r="R4">
        <v>0.8</v>
      </c>
      <c r="V4" s="112">
        <v>8</v>
      </c>
      <c r="W4">
        <v>400</v>
      </c>
      <c r="X4">
        <v>200</v>
      </c>
      <c r="Y4">
        <v>150</v>
      </c>
      <c r="Z4" s="112">
        <v>8</v>
      </c>
      <c r="AA4">
        <v>800</v>
      </c>
      <c r="AB4">
        <v>400</v>
      </c>
      <c r="AC4">
        <v>250</v>
      </c>
    </row>
    <row r="5" spans="1:29" ht="15">
      <c r="A5" s="126" t="s">
        <v>453</v>
      </c>
      <c r="B5" s="280" t="s">
        <v>468</v>
      </c>
      <c r="C5" s="279">
        <v>10</v>
      </c>
      <c r="D5" s="279">
        <v>0.18</v>
      </c>
      <c r="E5" s="279">
        <v>20</v>
      </c>
      <c r="F5" s="279">
        <v>3</v>
      </c>
      <c r="G5" s="279" t="s">
        <v>225</v>
      </c>
      <c r="J5" s="285" t="s">
        <v>453</v>
      </c>
      <c r="K5" s="285" t="s">
        <v>469</v>
      </c>
      <c r="L5" s="279">
        <v>0</v>
      </c>
      <c r="M5" s="279">
        <v>1.5</v>
      </c>
      <c r="N5" s="279"/>
      <c r="O5" s="279">
        <v>3</v>
      </c>
      <c r="R5">
        <v>0.7</v>
      </c>
      <c r="V5" s="111" t="s">
        <v>651</v>
      </c>
      <c r="W5">
        <v>600</v>
      </c>
      <c r="X5">
        <v>250</v>
      </c>
      <c r="Y5">
        <v>150</v>
      </c>
      <c r="Z5" s="111" t="s">
        <v>651</v>
      </c>
      <c r="AA5">
        <v>1400</v>
      </c>
      <c r="AB5">
        <v>900</v>
      </c>
      <c r="AC5">
        <v>400</v>
      </c>
    </row>
    <row r="6" spans="1:29" ht="15">
      <c r="A6" s="126" t="s">
        <v>453</v>
      </c>
      <c r="B6" s="280" t="s">
        <v>469</v>
      </c>
      <c r="C6" s="279">
        <v>10</v>
      </c>
      <c r="D6" s="279">
        <v>0.18</v>
      </c>
      <c r="E6" s="279">
        <v>20</v>
      </c>
      <c r="F6" s="279">
        <v>3</v>
      </c>
      <c r="G6" s="279" t="s">
        <v>225</v>
      </c>
      <c r="J6" s="285" t="s">
        <v>453</v>
      </c>
      <c r="K6" s="285" t="s">
        <v>470</v>
      </c>
      <c r="L6" s="279">
        <v>0</v>
      </c>
      <c r="M6" s="279">
        <v>2.25</v>
      </c>
      <c r="N6" s="279"/>
      <c r="O6" s="279">
        <v>3</v>
      </c>
      <c r="R6">
        <v>0.5</v>
      </c>
      <c r="V6" s="111" t="s">
        <v>652</v>
      </c>
      <c r="W6">
        <v>600</v>
      </c>
      <c r="X6">
        <v>250</v>
      </c>
      <c r="Y6">
        <v>150</v>
      </c>
      <c r="Z6" s="111" t="s">
        <v>652</v>
      </c>
      <c r="AA6">
        <v>1400</v>
      </c>
      <c r="AB6">
        <v>900</v>
      </c>
      <c r="AC6">
        <v>400</v>
      </c>
    </row>
    <row r="7" spans="1:29" ht="15">
      <c r="A7" s="126" t="s">
        <v>453</v>
      </c>
      <c r="B7" s="280" t="s">
        <v>470</v>
      </c>
      <c r="C7" s="279">
        <v>10</v>
      </c>
      <c r="D7" s="279">
        <v>0.18</v>
      </c>
      <c r="E7" s="279">
        <v>20</v>
      </c>
      <c r="F7" s="279">
        <v>3</v>
      </c>
      <c r="G7" s="279" t="s">
        <v>225</v>
      </c>
      <c r="J7" s="285" t="s">
        <v>453</v>
      </c>
      <c r="K7" s="285" t="s">
        <v>471</v>
      </c>
      <c r="L7" s="279">
        <v>0</v>
      </c>
      <c r="M7" s="279">
        <v>1.5</v>
      </c>
      <c r="N7" s="279"/>
      <c r="O7" s="279">
        <v>3</v>
      </c>
      <c r="R7">
        <v>1.05</v>
      </c>
      <c r="V7" s="111" t="s">
        <v>653</v>
      </c>
      <c r="W7">
        <v>600</v>
      </c>
      <c r="X7">
        <v>250</v>
      </c>
      <c r="Y7">
        <v>150</v>
      </c>
      <c r="Z7" s="111" t="s">
        <v>653</v>
      </c>
      <c r="AA7">
        <v>1400</v>
      </c>
      <c r="AB7">
        <v>900</v>
      </c>
      <c r="AC7">
        <v>400</v>
      </c>
    </row>
    <row r="8" spans="1:29" ht="15">
      <c r="A8" s="126" t="s">
        <v>453</v>
      </c>
      <c r="B8" s="280" t="s">
        <v>471</v>
      </c>
      <c r="C8" s="279">
        <v>10</v>
      </c>
      <c r="D8" s="279">
        <v>0.18</v>
      </c>
      <c r="E8" s="279">
        <v>20</v>
      </c>
      <c r="F8" s="279">
        <v>3</v>
      </c>
      <c r="G8" s="279" t="s">
        <v>225</v>
      </c>
      <c r="J8" s="285" t="s">
        <v>453</v>
      </c>
      <c r="K8" s="285" t="s">
        <v>564</v>
      </c>
      <c r="L8" s="279">
        <v>0</v>
      </c>
      <c r="M8" s="279">
        <v>2.25</v>
      </c>
      <c r="N8" s="279"/>
      <c r="O8" s="279">
        <v>3</v>
      </c>
      <c r="R8">
        <v>1.2</v>
      </c>
      <c r="V8" s="111" t="s">
        <v>654</v>
      </c>
      <c r="W8">
        <v>800</v>
      </c>
      <c r="X8">
        <v>400</v>
      </c>
      <c r="Y8">
        <v>250</v>
      </c>
      <c r="Z8" s="111" t="s">
        <v>654</v>
      </c>
      <c r="AA8">
        <v>2000</v>
      </c>
      <c r="AB8">
        <v>1000</v>
      </c>
      <c r="AC8">
        <v>500</v>
      </c>
    </row>
    <row r="9" spans="1:29" ht="15">
      <c r="A9" s="126" t="s">
        <v>453</v>
      </c>
      <c r="B9" s="280" t="s">
        <v>472</v>
      </c>
      <c r="C9" s="279">
        <v>10</v>
      </c>
      <c r="D9" s="279">
        <v>0.18</v>
      </c>
      <c r="E9" s="279">
        <v>20</v>
      </c>
      <c r="F9" s="279">
        <v>3</v>
      </c>
      <c r="G9" s="279" t="s">
        <v>225</v>
      </c>
      <c r="J9" s="285" t="s">
        <v>453</v>
      </c>
      <c r="K9" s="285" t="s">
        <v>473</v>
      </c>
      <c r="L9" s="279">
        <v>0</v>
      </c>
      <c r="M9" s="279">
        <v>2.25</v>
      </c>
      <c r="N9" s="279"/>
      <c r="O9" s="279">
        <v>3</v>
      </c>
      <c r="R9">
        <v>1.5</v>
      </c>
      <c r="V9" s="111" t="s">
        <v>655</v>
      </c>
      <c r="W9">
        <v>800</v>
      </c>
      <c r="X9">
        <v>400</v>
      </c>
      <c r="Y9">
        <v>250</v>
      </c>
      <c r="Z9" s="111" t="s">
        <v>655</v>
      </c>
      <c r="AA9">
        <v>2000</v>
      </c>
      <c r="AB9">
        <v>1000</v>
      </c>
      <c r="AC9">
        <v>500</v>
      </c>
    </row>
    <row r="10" spans="1:29" ht="15">
      <c r="A10" s="126" t="s">
        <v>453</v>
      </c>
      <c r="B10" s="280" t="s">
        <v>473</v>
      </c>
      <c r="C10" s="279">
        <v>10</v>
      </c>
      <c r="D10" s="279">
        <v>0.18</v>
      </c>
      <c r="E10" s="279">
        <v>20</v>
      </c>
      <c r="F10" s="279">
        <v>3</v>
      </c>
      <c r="G10" s="279" t="s">
        <v>225</v>
      </c>
      <c r="J10" s="285" t="s">
        <v>453</v>
      </c>
      <c r="K10" s="285" t="s">
        <v>474</v>
      </c>
      <c r="L10" s="279">
        <v>0</v>
      </c>
      <c r="M10" s="279">
        <v>2.25</v>
      </c>
      <c r="N10" s="279"/>
      <c r="O10" s="279">
        <v>3</v>
      </c>
      <c r="R10">
        <v>1.4</v>
      </c>
      <c r="V10" s="111" t="s">
        <v>656</v>
      </c>
      <c r="W10">
        <v>800</v>
      </c>
      <c r="X10">
        <v>400</v>
      </c>
      <c r="Y10">
        <v>250</v>
      </c>
      <c r="Z10" s="111" t="s">
        <v>656</v>
      </c>
      <c r="AA10">
        <v>2000</v>
      </c>
      <c r="AB10">
        <v>1000</v>
      </c>
      <c r="AC10">
        <v>500</v>
      </c>
    </row>
    <row r="11" spans="1:29" ht="15">
      <c r="A11" s="126" t="s">
        <v>453</v>
      </c>
      <c r="B11" s="280" t="s">
        <v>474</v>
      </c>
      <c r="C11" s="279">
        <v>10</v>
      </c>
      <c r="D11" s="279">
        <v>0.18</v>
      </c>
      <c r="E11" s="279">
        <v>20</v>
      </c>
      <c r="F11" s="279">
        <v>3</v>
      </c>
      <c r="G11" s="279" t="s">
        <v>225</v>
      </c>
      <c r="J11" s="286" t="s">
        <v>453</v>
      </c>
      <c r="K11" s="285" t="s">
        <v>475</v>
      </c>
      <c r="L11" s="279">
        <v>0</v>
      </c>
      <c r="M11" s="279">
        <v>1.5</v>
      </c>
      <c r="N11" s="279"/>
      <c r="O11" s="279">
        <v>3</v>
      </c>
      <c r="R11">
        <v>1.4</v>
      </c>
      <c r="V11" s="111" t="s">
        <v>657</v>
      </c>
      <c r="W11">
        <v>800</v>
      </c>
      <c r="X11">
        <v>400</v>
      </c>
      <c r="Y11">
        <v>250</v>
      </c>
      <c r="Z11" s="111" t="s">
        <v>657</v>
      </c>
      <c r="AA11">
        <v>2000</v>
      </c>
      <c r="AB11">
        <v>1000</v>
      </c>
      <c r="AC11">
        <v>500</v>
      </c>
    </row>
    <row r="12" spans="1:29" ht="15">
      <c r="A12" s="126" t="s">
        <v>453</v>
      </c>
      <c r="B12" s="280" t="s">
        <v>475</v>
      </c>
      <c r="C12" s="279">
        <v>10</v>
      </c>
      <c r="D12" s="279">
        <v>0.18</v>
      </c>
      <c r="E12" s="279">
        <v>20</v>
      </c>
      <c r="F12" s="279">
        <v>3</v>
      </c>
      <c r="G12" s="279" t="s">
        <v>225</v>
      </c>
      <c r="J12" s="286" t="s">
        <v>565</v>
      </c>
      <c r="K12" s="285"/>
      <c r="L12" s="279">
        <v>0</v>
      </c>
      <c r="M12" s="279">
        <v>0.5</v>
      </c>
      <c r="N12" s="279" t="s">
        <v>367</v>
      </c>
      <c r="O12" s="279">
        <v>1</v>
      </c>
      <c r="R12">
        <v>1.2</v>
      </c>
      <c r="V12" s="111" t="s">
        <v>658</v>
      </c>
      <c r="W12">
        <v>800</v>
      </c>
      <c r="X12">
        <v>400</v>
      </c>
      <c r="Y12">
        <v>250</v>
      </c>
      <c r="Z12" s="111" t="s">
        <v>658</v>
      </c>
      <c r="AA12">
        <v>2000</v>
      </c>
      <c r="AB12">
        <v>1000</v>
      </c>
      <c r="AC12">
        <v>500</v>
      </c>
    </row>
    <row r="13" spans="1:29" ht="15">
      <c r="A13" s="280" t="s">
        <v>476</v>
      </c>
      <c r="B13" s="280" t="s">
        <v>477</v>
      </c>
      <c r="C13" s="279">
        <v>7.5</v>
      </c>
      <c r="D13" s="279">
        <v>0.06</v>
      </c>
      <c r="E13" s="279">
        <v>50</v>
      </c>
      <c r="F13" s="279">
        <v>2</v>
      </c>
      <c r="G13" s="279" t="s">
        <v>225</v>
      </c>
      <c r="J13" s="286" t="s">
        <v>566</v>
      </c>
      <c r="K13" s="285"/>
      <c r="L13" s="279">
        <v>0</v>
      </c>
      <c r="M13" s="279">
        <v>0.7</v>
      </c>
      <c r="N13" s="279"/>
      <c r="O13" s="279">
        <v>2</v>
      </c>
      <c r="R13">
        <v>1.5</v>
      </c>
      <c r="V13" s="111" t="s">
        <v>659</v>
      </c>
      <c r="W13">
        <v>800</v>
      </c>
      <c r="X13">
        <v>400</v>
      </c>
      <c r="Y13">
        <v>250</v>
      </c>
      <c r="Z13" s="111" t="s">
        <v>659</v>
      </c>
      <c r="AA13">
        <v>2000</v>
      </c>
      <c r="AB13">
        <v>1000</v>
      </c>
      <c r="AC13">
        <v>500</v>
      </c>
    </row>
    <row r="14" spans="1:29" ht="15">
      <c r="A14" s="280" t="s">
        <v>476</v>
      </c>
      <c r="B14" s="280" t="s">
        <v>478</v>
      </c>
      <c r="C14" s="279">
        <v>5</v>
      </c>
      <c r="D14" s="279">
        <v>0.12</v>
      </c>
      <c r="E14" s="279">
        <v>25</v>
      </c>
      <c r="F14" s="279">
        <v>2</v>
      </c>
      <c r="G14" s="279" t="s">
        <v>225</v>
      </c>
      <c r="J14" s="286" t="s">
        <v>567</v>
      </c>
      <c r="K14" s="285"/>
      <c r="L14" s="279">
        <v>0</v>
      </c>
      <c r="M14" s="279">
        <v>1.5</v>
      </c>
      <c r="N14" s="279" t="s">
        <v>568</v>
      </c>
      <c r="O14" s="279">
        <v>2</v>
      </c>
      <c r="V14" s="111" t="s">
        <v>660</v>
      </c>
      <c r="W14">
        <v>800</v>
      </c>
      <c r="X14">
        <v>400</v>
      </c>
      <c r="Y14">
        <v>250</v>
      </c>
      <c r="Z14" s="111" t="s">
        <v>660</v>
      </c>
      <c r="AA14">
        <v>2000</v>
      </c>
      <c r="AB14">
        <v>1000</v>
      </c>
      <c r="AC14">
        <v>500</v>
      </c>
    </row>
    <row r="15" spans="1:29" ht="15">
      <c r="A15" s="280" t="s">
        <v>476</v>
      </c>
      <c r="B15" s="280" t="s">
        <v>479</v>
      </c>
      <c r="C15" s="279">
        <v>5</v>
      </c>
      <c r="D15" s="279">
        <v>0.06</v>
      </c>
      <c r="E15" s="279">
        <v>30</v>
      </c>
      <c r="F15" s="279">
        <v>1</v>
      </c>
      <c r="G15" s="279" t="s">
        <v>225</v>
      </c>
      <c r="J15" s="286" t="s">
        <v>569</v>
      </c>
      <c r="K15" s="285"/>
      <c r="L15" s="279">
        <v>0</v>
      </c>
      <c r="M15" s="279">
        <v>0.5</v>
      </c>
      <c r="N15" s="279"/>
      <c r="O15" s="279">
        <v>2</v>
      </c>
      <c r="V15" s="111" t="s">
        <v>661</v>
      </c>
      <c r="W15">
        <v>1100</v>
      </c>
      <c r="X15">
        <v>600</v>
      </c>
      <c r="Y15">
        <v>300</v>
      </c>
      <c r="Z15" s="111" t="s">
        <v>661</v>
      </c>
      <c r="AA15">
        <v>2300</v>
      </c>
      <c r="AB15">
        <v>1100</v>
      </c>
      <c r="AC15">
        <v>600</v>
      </c>
    </row>
    <row r="16" spans="1:29" ht="15">
      <c r="A16" s="280" t="s">
        <v>476</v>
      </c>
      <c r="B16" s="280" t="s">
        <v>480</v>
      </c>
      <c r="C16" s="279">
        <v>5</v>
      </c>
      <c r="D16" s="279">
        <v>0.06</v>
      </c>
      <c r="E16" s="279">
        <v>15</v>
      </c>
      <c r="F16" s="279">
        <v>1</v>
      </c>
      <c r="G16" s="279" t="s">
        <v>225</v>
      </c>
      <c r="J16" s="286" t="s">
        <v>548</v>
      </c>
      <c r="K16" s="285"/>
      <c r="L16" s="279">
        <v>0</v>
      </c>
      <c r="M16" s="279">
        <v>0.6</v>
      </c>
      <c r="N16" s="279"/>
      <c r="O16" s="279">
        <v>2</v>
      </c>
      <c r="V16" s="111" t="s">
        <v>662</v>
      </c>
      <c r="W16">
        <v>1100</v>
      </c>
      <c r="X16">
        <v>600</v>
      </c>
      <c r="Y16">
        <v>300</v>
      </c>
      <c r="Z16" s="111" t="s">
        <v>662</v>
      </c>
      <c r="AA16">
        <v>2300</v>
      </c>
      <c r="AB16">
        <v>1100</v>
      </c>
      <c r="AC16">
        <v>600</v>
      </c>
    </row>
    <row r="17" spans="1:29" ht="15">
      <c r="A17" s="280" t="s">
        <v>481</v>
      </c>
      <c r="B17" s="280" t="s">
        <v>482</v>
      </c>
      <c r="C17" s="279">
        <v>10</v>
      </c>
      <c r="D17" s="279">
        <v>0.18</v>
      </c>
      <c r="E17" s="279">
        <v>20</v>
      </c>
      <c r="F17" s="279">
        <v>2</v>
      </c>
      <c r="G17" s="279" t="s">
        <v>225</v>
      </c>
      <c r="J17" s="286" t="s">
        <v>570</v>
      </c>
      <c r="K17" s="285"/>
      <c r="L17" s="279">
        <v>0</v>
      </c>
      <c r="M17" s="279">
        <v>1</v>
      </c>
      <c r="N17" s="279"/>
      <c r="O17" s="279">
        <v>2</v>
      </c>
      <c r="V17" s="111" t="s">
        <v>663</v>
      </c>
      <c r="W17">
        <v>1100</v>
      </c>
      <c r="X17">
        <v>600</v>
      </c>
      <c r="Y17">
        <v>300</v>
      </c>
      <c r="Z17" s="111" t="s">
        <v>663</v>
      </c>
      <c r="AA17">
        <v>2300</v>
      </c>
      <c r="AB17">
        <v>1100</v>
      </c>
      <c r="AC17">
        <v>600</v>
      </c>
    </row>
    <row r="18" spans="1:29" ht="15">
      <c r="A18" s="280" t="s">
        <v>481</v>
      </c>
      <c r="B18" s="280" t="s">
        <v>483</v>
      </c>
      <c r="C18" s="279">
        <v>10</v>
      </c>
      <c r="D18" s="279">
        <v>0.12</v>
      </c>
      <c r="E18" s="279">
        <v>25</v>
      </c>
      <c r="F18" s="279">
        <v>1</v>
      </c>
      <c r="G18" s="279" t="s">
        <v>225</v>
      </c>
      <c r="J18" s="286" t="s">
        <v>571</v>
      </c>
      <c r="K18" s="285"/>
      <c r="L18" s="279">
        <v>0</v>
      </c>
      <c r="M18" s="279">
        <v>0.5</v>
      </c>
      <c r="N18" s="279"/>
      <c r="O18" s="279">
        <v>2</v>
      </c>
      <c r="V18" s="111" t="s">
        <v>664</v>
      </c>
      <c r="W18">
        <v>1500</v>
      </c>
      <c r="X18">
        <v>700</v>
      </c>
      <c r="Y18">
        <v>400</v>
      </c>
      <c r="Z18" s="111" t="s">
        <v>664</v>
      </c>
      <c r="AA18">
        <v>5200</v>
      </c>
      <c r="AB18">
        <v>2350</v>
      </c>
      <c r="AC18">
        <v>1250</v>
      </c>
    </row>
    <row r="19" spans="1:29" ht="15">
      <c r="A19" s="280" t="s">
        <v>481</v>
      </c>
      <c r="B19" s="280" t="s">
        <v>484</v>
      </c>
      <c r="C19" s="279">
        <v>10</v>
      </c>
      <c r="D19" s="279">
        <v>0.12</v>
      </c>
      <c r="E19" s="279">
        <v>35</v>
      </c>
      <c r="F19" s="279">
        <v>1</v>
      </c>
      <c r="G19" s="279" t="s">
        <v>225</v>
      </c>
      <c r="J19" s="286" t="s">
        <v>572</v>
      </c>
      <c r="K19" s="285"/>
      <c r="L19" s="279">
        <v>0</v>
      </c>
      <c r="M19" s="279">
        <v>1</v>
      </c>
      <c r="N19" s="279"/>
      <c r="O19" s="279">
        <v>2</v>
      </c>
      <c r="V19" s="111" t="s">
        <v>665</v>
      </c>
      <c r="W19">
        <v>1500</v>
      </c>
      <c r="X19">
        <v>700</v>
      </c>
      <c r="Y19">
        <v>400</v>
      </c>
      <c r="Z19" s="111" t="s">
        <v>665</v>
      </c>
      <c r="AA19">
        <v>5200</v>
      </c>
      <c r="AB19">
        <v>2350</v>
      </c>
      <c r="AC19">
        <v>1250</v>
      </c>
    </row>
    <row r="20" spans="1:29" ht="15">
      <c r="A20" s="280" t="s">
        <v>481</v>
      </c>
      <c r="B20" s="280" t="s">
        <v>485</v>
      </c>
      <c r="C20" s="279">
        <v>10</v>
      </c>
      <c r="D20" s="279">
        <v>0.12</v>
      </c>
      <c r="E20" s="279">
        <v>25</v>
      </c>
      <c r="F20" s="279">
        <v>1</v>
      </c>
      <c r="G20" s="279" t="s">
        <v>225</v>
      </c>
      <c r="J20" s="286" t="s">
        <v>573</v>
      </c>
      <c r="K20" s="287"/>
      <c r="L20" s="279">
        <v>0</v>
      </c>
      <c r="M20" s="279">
        <v>1</v>
      </c>
      <c r="N20" s="279"/>
      <c r="O20" s="279">
        <v>2</v>
      </c>
      <c r="V20" s="111" t="s">
        <v>666</v>
      </c>
      <c r="W20">
        <v>2400</v>
      </c>
      <c r="X20">
        <v>1100</v>
      </c>
      <c r="Y20">
        <v>600</v>
      </c>
      <c r="Z20" s="111" t="s">
        <v>666</v>
      </c>
      <c r="AA20">
        <v>5800</v>
      </c>
      <c r="AB20">
        <v>2600</v>
      </c>
      <c r="AC20">
        <v>1400</v>
      </c>
    </row>
    <row r="21" spans="1:29" ht="15">
      <c r="A21" s="280" t="s">
        <v>481</v>
      </c>
      <c r="B21" s="280" t="s">
        <v>486</v>
      </c>
      <c r="C21" s="279">
        <v>10</v>
      </c>
      <c r="D21" s="279">
        <v>0.18</v>
      </c>
      <c r="E21" s="279">
        <v>25</v>
      </c>
      <c r="F21" s="279">
        <v>3</v>
      </c>
      <c r="G21" s="279" t="s">
        <v>225</v>
      </c>
      <c r="J21" s="286" t="s">
        <v>574</v>
      </c>
      <c r="K21" s="285"/>
      <c r="L21" s="279">
        <v>0</v>
      </c>
      <c r="M21" s="279">
        <v>1</v>
      </c>
      <c r="N21" s="279"/>
      <c r="O21" s="279">
        <v>3</v>
      </c>
      <c r="V21" s="111" t="s">
        <v>667</v>
      </c>
      <c r="W21">
        <v>7000</v>
      </c>
      <c r="X21">
        <v>3000</v>
      </c>
      <c r="Y21">
        <v>1700</v>
      </c>
      <c r="Z21" s="111" t="s">
        <v>667</v>
      </c>
      <c r="AA21">
        <v>12000</v>
      </c>
      <c r="AB21">
        <v>6000</v>
      </c>
      <c r="AC21">
        <v>3000</v>
      </c>
    </row>
    <row r="22" spans="1:29" ht="15">
      <c r="A22" s="280" t="s">
        <v>481</v>
      </c>
      <c r="B22" s="280" t="s">
        <v>487</v>
      </c>
      <c r="C22" s="279">
        <v>10</v>
      </c>
      <c r="D22" s="279">
        <v>0.18</v>
      </c>
      <c r="E22" s="279">
        <v>25</v>
      </c>
      <c r="F22" s="279">
        <v>2</v>
      </c>
      <c r="G22" s="279" t="s">
        <v>225</v>
      </c>
      <c r="J22" s="286" t="s">
        <v>575</v>
      </c>
      <c r="K22" s="285"/>
      <c r="L22" s="279">
        <v>0</v>
      </c>
      <c r="M22" s="279">
        <v>0.3</v>
      </c>
      <c r="N22" s="279"/>
      <c r="O22" s="279">
        <v>2</v>
      </c>
    </row>
    <row r="23" spans="1:29" ht="15">
      <c r="A23" s="280" t="s">
        <v>481</v>
      </c>
      <c r="B23" s="280" t="s">
        <v>488</v>
      </c>
      <c r="C23" s="279">
        <v>7.5</v>
      </c>
      <c r="D23" s="279">
        <v>0.06</v>
      </c>
      <c r="E23" s="279">
        <v>65</v>
      </c>
      <c r="F23" s="279">
        <v>1</v>
      </c>
      <c r="G23" s="282" t="s">
        <v>79</v>
      </c>
      <c r="J23" s="286" t="s">
        <v>576</v>
      </c>
      <c r="K23" s="285"/>
      <c r="L23" s="279">
        <v>0</v>
      </c>
      <c r="M23" s="279">
        <v>0.7</v>
      </c>
      <c r="N23" s="279"/>
      <c r="O23" s="279">
        <v>2</v>
      </c>
    </row>
    <row r="24" spans="1:29" ht="15">
      <c r="A24" s="280" t="s">
        <v>481</v>
      </c>
      <c r="B24" s="280" t="s">
        <v>489</v>
      </c>
      <c r="C24" s="279">
        <v>7.5</v>
      </c>
      <c r="D24" s="279">
        <v>0.06</v>
      </c>
      <c r="E24" s="279">
        <v>150</v>
      </c>
      <c r="F24" s="279">
        <v>1</v>
      </c>
      <c r="G24" s="282" t="s">
        <v>79</v>
      </c>
      <c r="J24" s="286" t="s">
        <v>577</v>
      </c>
      <c r="K24" s="285"/>
      <c r="L24" s="279">
        <v>0</v>
      </c>
      <c r="M24" s="279">
        <v>0.5</v>
      </c>
      <c r="N24" s="279"/>
      <c r="O24" s="279">
        <v>2</v>
      </c>
    </row>
    <row r="25" spans="1:29" ht="15">
      <c r="A25" s="280" t="s">
        <v>481</v>
      </c>
      <c r="B25" s="280" t="s">
        <v>490</v>
      </c>
      <c r="C25" s="279">
        <v>5</v>
      </c>
      <c r="D25" s="279">
        <v>0.12</v>
      </c>
      <c r="E25" s="279">
        <v>10</v>
      </c>
      <c r="F25" s="279">
        <v>0</v>
      </c>
      <c r="G25" s="279" t="s">
        <v>225</v>
      </c>
      <c r="J25" s="286" t="s">
        <v>577</v>
      </c>
      <c r="K25" s="285" t="s">
        <v>578</v>
      </c>
      <c r="L25" s="279">
        <v>0</v>
      </c>
      <c r="M25" s="279">
        <v>0.25</v>
      </c>
      <c r="N25" s="279"/>
      <c r="O25" s="279">
        <v>2</v>
      </c>
    </row>
    <row r="26" spans="1:29" ht="15">
      <c r="A26" s="280" t="s">
        <v>481</v>
      </c>
      <c r="B26" s="280" t="s">
        <v>491</v>
      </c>
      <c r="C26" s="279">
        <v>10</v>
      </c>
      <c r="D26" s="279">
        <v>0.12</v>
      </c>
      <c r="E26" s="279">
        <v>25</v>
      </c>
      <c r="F26" s="279">
        <v>1</v>
      </c>
      <c r="G26" s="279" t="s">
        <v>225</v>
      </c>
      <c r="J26" s="286" t="s">
        <v>577</v>
      </c>
      <c r="K26" s="285" t="s">
        <v>579</v>
      </c>
      <c r="L26" s="279">
        <v>50</v>
      </c>
      <c r="M26" s="279"/>
      <c r="N26" s="279" t="s">
        <v>580</v>
      </c>
      <c r="O26" s="279">
        <v>2</v>
      </c>
    </row>
    <row r="27" spans="1:29" ht="15">
      <c r="A27" s="280" t="s">
        <v>481</v>
      </c>
      <c r="B27" s="280" t="s">
        <v>492</v>
      </c>
      <c r="C27" s="279">
        <v>7.5</v>
      </c>
      <c r="D27" s="279">
        <v>0.06</v>
      </c>
      <c r="E27" s="279">
        <v>100</v>
      </c>
      <c r="F27" s="279">
        <v>1</v>
      </c>
      <c r="G27" s="282" t="s">
        <v>79</v>
      </c>
      <c r="J27" s="286" t="s">
        <v>581</v>
      </c>
      <c r="K27" s="285"/>
      <c r="L27" s="279">
        <v>0</v>
      </c>
      <c r="M27" s="279">
        <v>0</v>
      </c>
      <c r="N27" s="279" t="s">
        <v>132</v>
      </c>
      <c r="O27" s="279">
        <v>4</v>
      </c>
    </row>
    <row r="28" spans="1:29" ht="15">
      <c r="A28" s="280" t="s">
        <v>481</v>
      </c>
      <c r="B28" s="280" t="s">
        <v>493</v>
      </c>
      <c r="C28" s="279">
        <v>10</v>
      </c>
      <c r="D28" s="279">
        <v>0.06</v>
      </c>
      <c r="E28" s="279">
        <v>35</v>
      </c>
      <c r="F28" s="279">
        <v>1</v>
      </c>
      <c r="G28" s="282" t="s">
        <v>79</v>
      </c>
      <c r="J28" s="286" t="s">
        <v>582</v>
      </c>
      <c r="K28" s="285"/>
      <c r="L28" s="279">
        <v>0</v>
      </c>
      <c r="M28" s="279">
        <v>0.75</v>
      </c>
      <c r="N28" s="279" t="s">
        <v>407</v>
      </c>
      <c r="O28" s="279">
        <v>2</v>
      </c>
    </row>
    <row r="29" spans="1:29" ht="15">
      <c r="A29" s="280" t="s">
        <v>481</v>
      </c>
      <c r="B29" s="280" t="s">
        <v>494</v>
      </c>
      <c r="C29" s="279">
        <v>10</v>
      </c>
      <c r="D29" s="279">
        <v>0.18</v>
      </c>
      <c r="E29" s="279">
        <v>25</v>
      </c>
      <c r="F29" s="279">
        <v>2</v>
      </c>
      <c r="G29" s="279" t="s">
        <v>225</v>
      </c>
      <c r="J29" s="286" t="s">
        <v>551</v>
      </c>
      <c r="K29" s="285"/>
      <c r="L29" s="279">
        <v>0</v>
      </c>
      <c r="M29" s="279">
        <v>0.9</v>
      </c>
      <c r="N29" s="279"/>
      <c r="O29" s="279">
        <v>2</v>
      </c>
    </row>
    <row r="30" spans="1:29" ht="15">
      <c r="A30" s="280" t="s">
        <v>481</v>
      </c>
      <c r="B30" s="280" t="s">
        <v>495</v>
      </c>
      <c r="C30" s="279">
        <v>10</v>
      </c>
      <c r="D30" s="279">
        <v>0.18</v>
      </c>
      <c r="E30" s="279">
        <v>25</v>
      </c>
      <c r="F30" s="279">
        <v>2</v>
      </c>
      <c r="G30" s="279" t="s">
        <v>225</v>
      </c>
      <c r="J30" s="286" t="s">
        <v>583</v>
      </c>
      <c r="K30" s="285"/>
      <c r="L30" s="279">
        <v>0</v>
      </c>
      <c r="M30" s="279">
        <v>0</v>
      </c>
      <c r="N30" s="279" t="s">
        <v>132</v>
      </c>
      <c r="O30" s="279">
        <v>3</v>
      </c>
    </row>
    <row r="31" spans="1:29" ht="15">
      <c r="A31" s="280" t="s">
        <v>481</v>
      </c>
      <c r="B31" s="280" t="s">
        <v>496</v>
      </c>
      <c r="C31" s="279">
        <v>10</v>
      </c>
      <c r="D31" s="279">
        <v>0.18</v>
      </c>
      <c r="E31" s="279">
        <v>20</v>
      </c>
      <c r="F31" s="279">
        <v>2</v>
      </c>
      <c r="G31" s="279" t="s">
        <v>225</v>
      </c>
      <c r="J31" s="286" t="s">
        <v>584</v>
      </c>
      <c r="K31" s="285"/>
      <c r="L31" s="279">
        <v>100</v>
      </c>
      <c r="M31" s="279">
        <v>0</v>
      </c>
      <c r="N31" s="279" t="s">
        <v>580</v>
      </c>
      <c r="O31" s="279">
        <v>2</v>
      </c>
    </row>
    <row r="32" spans="1:29" ht="15">
      <c r="A32" s="280" t="s">
        <v>497</v>
      </c>
      <c r="B32" s="280" t="s">
        <v>498</v>
      </c>
      <c r="C32" s="279">
        <v>7.5</v>
      </c>
      <c r="D32" s="279">
        <v>0.18</v>
      </c>
      <c r="E32" s="279">
        <v>100</v>
      </c>
      <c r="F32" s="279">
        <v>2</v>
      </c>
      <c r="G32" s="279" t="s">
        <v>225</v>
      </c>
      <c r="J32" s="286" t="s">
        <v>585</v>
      </c>
      <c r="K32" s="285"/>
      <c r="L32" s="279">
        <v>0</v>
      </c>
      <c r="M32" s="279">
        <v>1</v>
      </c>
      <c r="N32" s="279" t="s">
        <v>132</v>
      </c>
      <c r="O32" s="279">
        <v>3</v>
      </c>
    </row>
    <row r="33" spans="1:15" ht="15">
      <c r="A33" s="280" t="s">
        <v>497</v>
      </c>
      <c r="B33" s="280" t="s">
        <v>499</v>
      </c>
      <c r="C33" s="279">
        <v>7.5</v>
      </c>
      <c r="D33" s="279">
        <v>0.18</v>
      </c>
      <c r="E33" s="279">
        <v>100</v>
      </c>
      <c r="F33" s="279">
        <v>2</v>
      </c>
      <c r="G33" s="279" t="s">
        <v>225</v>
      </c>
      <c r="J33" s="286" t="s">
        <v>586</v>
      </c>
      <c r="K33" s="285"/>
      <c r="L33" s="279">
        <v>0</v>
      </c>
      <c r="M33" s="279">
        <v>1.5</v>
      </c>
      <c r="N33" s="279" t="s">
        <v>132</v>
      </c>
      <c r="O33" s="279">
        <v>4</v>
      </c>
    </row>
    <row r="34" spans="1:15" ht="15">
      <c r="A34" s="280" t="s">
        <v>497</v>
      </c>
      <c r="B34" s="280" t="s">
        <v>500</v>
      </c>
      <c r="C34" s="279">
        <v>7.5</v>
      </c>
      <c r="D34" s="279">
        <v>0.12</v>
      </c>
      <c r="E34" s="279">
        <v>20</v>
      </c>
      <c r="F34" s="279">
        <v>2</v>
      </c>
      <c r="G34" s="279" t="s">
        <v>225</v>
      </c>
      <c r="J34" s="286" t="s">
        <v>587</v>
      </c>
      <c r="K34" s="285"/>
      <c r="L34" s="279">
        <v>50</v>
      </c>
      <c r="M34" s="279">
        <v>0</v>
      </c>
      <c r="N34" s="279" t="s">
        <v>588</v>
      </c>
      <c r="O34" s="279">
        <v>2</v>
      </c>
    </row>
    <row r="35" spans="1:15" ht="15">
      <c r="A35" s="280" t="s">
        <v>497</v>
      </c>
      <c r="B35" s="280" t="s">
        <v>501</v>
      </c>
      <c r="C35" s="279">
        <v>7.5</v>
      </c>
      <c r="D35" s="279">
        <v>0.18</v>
      </c>
      <c r="E35" s="279">
        <v>70</v>
      </c>
      <c r="F35" s="279">
        <v>2</v>
      </c>
      <c r="G35" s="279" t="s">
        <v>225</v>
      </c>
      <c r="J35" s="286" t="s">
        <v>589</v>
      </c>
      <c r="K35" s="285"/>
      <c r="L35" s="279">
        <v>70</v>
      </c>
      <c r="M35" s="279">
        <v>0</v>
      </c>
      <c r="N35" s="279" t="s">
        <v>590</v>
      </c>
      <c r="O35" s="279">
        <v>2</v>
      </c>
    </row>
    <row r="36" spans="1:15" ht="15">
      <c r="A36" s="280" t="s">
        <v>502</v>
      </c>
      <c r="B36" s="280" t="s">
        <v>503</v>
      </c>
      <c r="C36" s="279">
        <v>5</v>
      </c>
      <c r="D36" s="279">
        <v>0.06</v>
      </c>
      <c r="E36" s="279">
        <v>25</v>
      </c>
      <c r="F36" s="279">
        <v>1</v>
      </c>
      <c r="G36" s="282" t="s">
        <v>79</v>
      </c>
      <c r="J36" s="286" t="s">
        <v>592</v>
      </c>
      <c r="K36" s="285"/>
      <c r="L36" s="279">
        <v>0</v>
      </c>
      <c r="M36" s="279">
        <v>0</v>
      </c>
      <c r="N36" s="279">
        <v>0</v>
      </c>
      <c r="O36" s="279">
        <v>0</v>
      </c>
    </row>
    <row r="37" spans="1:15" ht="15">
      <c r="A37" s="280" t="s">
        <v>502</v>
      </c>
      <c r="B37" s="280" t="s">
        <v>504</v>
      </c>
      <c r="C37" s="279">
        <v>5</v>
      </c>
      <c r="D37" s="279">
        <v>0.06</v>
      </c>
      <c r="E37" s="279">
        <v>20</v>
      </c>
      <c r="F37" s="279">
        <v>1</v>
      </c>
      <c r="G37" s="282" t="s">
        <v>79</v>
      </c>
      <c r="J37" s="286" t="s">
        <v>591</v>
      </c>
      <c r="K37" s="285"/>
      <c r="L37" s="279">
        <v>0</v>
      </c>
      <c r="M37" s="279">
        <v>0.5</v>
      </c>
      <c r="N37" s="279"/>
      <c r="O37" s="279">
        <v>2</v>
      </c>
    </row>
    <row r="38" spans="1:15" ht="15">
      <c r="A38" s="280" t="s">
        <v>502</v>
      </c>
      <c r="B38" s="280" t="s">
        <v>505</v>
      </c>
      <c r="C38" s="279">
        <v>5</v>
      </c>
      <c r="D38" s="279">
        <v>0.06</v>
      </c>
      <c r="E38" s="279">
        <v>50</v>
      </c>
      <c r="F38" s="279">
        <v>1</v>
      </c>
      <c r="G38" s="282" t="s">
        <v>79</v>
      </c>
    </row>
    <row r="39" spans="1:15" ht="15">
      <c r="A39" s="280" t="s">
        <v>502</v>
      </c>
      <c r="B39" s="280" t="s">
        <v>445</v>
      </c>
      <c r="C39" s="279">
        <v>0</v>
      </c>
      <c r="D39" s="279">
        <v>0.06</v>
      </c>
      <c r="E39" s="279">
        <v>0</v>
      </c>
      <c r="F39" s="279">
        <v>1</v>
      </c>
      <c r="G39" s="282" t="s">
        <v>79</v>
      </c>
    </row>
    <row r="40" spans="1:15" ht="15">
      <c r="A40" s="280" t="s">
        <v>502</v>
      </c>
      <c r="B40" s="280" t="s">
        <v>506</v>
      </c>
      <c r="C40" s="279">
        <v>5</v>
      </c>
      <c r="D40" s="279">
        <v>0.12</v>
      </c>
      <c r="E40" s="279">
        <v>2</v>
      </c>
      <c r="F40" s="279">
        <v>2</v>
      </c>
      <c r="G40" s="282" t="s">
        <v>79</v>
      </c>
    </row>
    <row r="41" spans="1:15" ht="15">
      <c r="A41" s="280" t="s">
        <v>507</v>
      </c>
      <c r="B41" s="280" t="s">
        <v>508</v>
      </c>
      <c r="C41" s="279">
        <v>5</v>
      </c>
      <c r="D41" s="279">
        <v>0.06</v>
      </c>
      <c r="E41" s="279">
        <v>20</v>
      </c>
      <c r="F41" s="279">
        <v>1</v>
      </c>
      <c r="G41" s="282" t="s">
        <v>79</v>
      </c>
    </row>
    <row r="42" spans="1:15" ht="15">
      <c r="A42" s="280" t="s">
        <v>507</v>
      </c>
      <c r="B42" s="280" t="s">
        <v>509</v>
      </c>
      <c r="C42" s="279">
        <v>5</v>
      </c>
      <c r="D42" s="279">
        <v>0.06</v>
      </c>
      <c r="E42" s="279">
        <v>10</v>
      </c>
      <c r="F42" s="279">
        <v>1</v>
      </c>
      <c r="G42" s="279" t="s">
        <v>225</v>
      </c>
    </row>
    <row r="43" spans="1:15" ht="15">
      <c r="A43" s="280" t="s">
        <v>507</v>
      </c>
      <c r="B43" s="280" t="s">
        <v>510</v>
      </c>
      <c r="C43" s="279">
        <v>5</v>
      </c>
      <c r="D43" s="279">
        <v>0.12</v>
      </c>
      <c r="E43" s="279">
        <v>10</v>
      </c>
      <c r="F43" s="279">
        <v>2</v>
      </c>
      <c r="G43" s="279" t="s">
        <v>225</v>
      </c>
    </row>
    <row r="44" spans="1:15" ht="15">
      <c r="A44" s="280" t="s">
        <v>507</v>
      </c>
      <c r="B44" s="280" t="s">
        <v>511</v>
      </c>
      <c r="C44" s="279">
        <v>5</v>
      </c>
      <c r="D44" s="279">
        <v>0.12</v>
      </c>
      <c r="E44" s="279">
        <v>10</v>
      </c>
      <c r="F44" s="279">
        <v>1</v>
      </c>
      <c r="G44" s="279" t="s">
        <v>225</v>
      </c>
    </row>
    <row r="45" spans="1:15" ht="15">
      <c r="A45" s="280" t="s">
        <v>507</v>
      </c>
      <c r="B45" s="280" t="s">
        <v>512</v>
      </c>
      <c r="C45" s="279">
        <v>7.5</v>
      </c>
      <c r="D45" s="279">
        <v>0.06</v>
      </c>
      <c r="E45" s="279">
        <v>30</v>
      </c>
      <c r="F45" s="279">
        <v>1</v>
      </c>
      <c r="G45" s="282" t="s">
        <v>79</v>
      </c>
    </row>
    <row r="46" spans="1:15" ht="15">
      <c r="A46" s="280" t="s">
        <v>507</v>
      </c>
      <c r="B46" s="280" t="s">
        <v>513</v>
      </c>
      <c r="C46" s="279">
        <v>5</v>
      </c>
      <c r="D46" s="279">
        <v>0.06</v>
      </c>
      <c r="E46" s="279">
        <v>120</v>
      </c>
      <c r="F46" s="279">
        <v>1</v>
      </c>
      <c r="G46" s="282" t="s">
        <v>79</v>
      </c>
    </row>
    <row r="47" spans="1:15" ht="15">
      <c r="A47" s="280" t="s">
        <v>514</v>
      </c>
      <c r="B47" s="280" t="s">
        <v>515</v>
      </c>
      <c r="C47" s="279">
        <v>7.5</v>
      </c>
      <c r="D47" s="279">
        <v>0.06</v>
      </c>
      <c r="E47" s="279">
        <v>15</v>
      </c>
      <c r="F47" s="279">
        <v>1</v>
      </c>
      <c r="G47" s="282" t="s">
        <v>79</v>
      </c>
    </row>
    <row r="48" spans="1:15" ht="15">
      <c r="A48" s="280" t="s">
        <v>514</v>
      </c>
      <c r="B48" s="280" t="s">
        <v>516</v>
      </c>
      <c r="C48" s="279">
        <v>5</v>
      </c>
      <c r="D48" s="279">
        <v>0.06</v>
      </c>
      <c r="E48" s="279">
        <v>5</v>
      </c>
      <c r="F48" s="279">
        <v>2</v>
      </c>
      <c r="G48" s="282" t="s">
        <v>79</v>
      </c>
    </row>
    <row r="49" spans="1:7" ht="15">
      <c r="A49" s="280" t="s">
        <v>514</v>
      </c>
      <c r="B49" s="280" t="s">
        <v>517</v>
      </c>
      <c r="C49" s="279">
        <v>5</v>
      </c>
      <c r="D49" s="279">
        <v>0.06</v>
      </c>
      <c r="E49" s="279">
        <v>4</v>
      </c>
      <c r="F49" s="279">
        <v>1</v>
      </c>
      <c r="G49" s="282" t="s">
        <v>79</v>
      </c>
    </row>
    <row r="50" spans="1:7" ht="15">
      <c r="A50" s="280" t="s">
        <v>514</v>
      </c>
      <c r="B50" s="280" t="s">
        <v>518</v>
      </c>
      <c r="C50" s="279">
        <v>10</v>
      </c>
      <c r="D50" s="279">
        <v>0</v>
      </c>
      <c r="E50" s="279">
        <v>0</v>
      </c>
      <c r="F50" s="279">
        <v>2</v>
      </c>
      <c r="G50" s="279" t="s">
        <v>225</v>
      </c>
    </row>
    <row r="51" spans="1:7" ht="15">
      <c r="A51" s="280" t="s">
        <v>514</v>
      </c>
      <c r="B51" s="280" t="s">
        <v>519</v>
      </c>
      <c r="C51" s="279">
        <v>10</v>
      </c>
      <c r="D51" s="279">
        <v>0.18</v>
      </c>
      <c r="E51" s="279">
        <v>7</v>
      </c>
      <c r="F51" s="279">
        <v>2</v>
      </c>
      <c r="G51" s="279" t="s">
        <v>225</v>
      </c>
    </row>
    <row r="52" spans="1:7" ht="15">
      <c r="A52" s="280" t="s">
        <v>514</v>
      </c>
      <c r="B52" s="280" t="s">
        <v>520</v>
      </c>
      <c r="C52" s="279">
        <v>10</v>
      </c>
      <c r="D52" s="279">
        <v>0.18</v>
      </c>
      <c r="E52" s="279">
        <v>7</v>
      </c>
      <c r="F52" s="279">
        <v>3</v>
      </c>
      <c r="G52" s="279" t="s">
        <v>225</v>
      </c>
    </row>
    <row r="53" spans="1:7" ht="15">
      <c r="A53" s="280" t="s">
        <v>514</v>
      </c>
      <c r="B53" s="280" t="s">
        <v>521</v>
      </c>
      <c r="C53" s="279">
        <v>5</v>
      </c>
      <c r="D53" s="279">
        <v>0.18</v>
      </c>
      <c r="E53" s="279">
        <v>10</v>
      </c>
      <c r="F53" s="279">
        <v>2</v>
      </c>
      <c r="G53" s="279" t="s">
        <v>225</v>
      </c>
    </row>
    <row r="54" spans="1:7" ht="15">
      <c r="A54" s="280" t="s">
        <v>514</v>
      </c>
      <c r="B54" s="280" t="s">
        <v>522</v>
      </c>
      <c r="C54" s="279">
        <v>5</v>
      </c>
      <c r="D54" s="279">
        <v>0.12</v>
      </c>
      <c r="E54" s="279">
        <v>10</v>
      </c>
      <c r="F54" s="279">
        <v>1</v>
      </c>
      <c r="G54" s="279" t="s">
        <v>225</v>
      </c>
    </row>
    <row r="55" spans="1:7" ht="15">
      <c r="A55" s="280" t="s">
        <v>514</v>
      </c>
      <c r="B55" s="280" t="s">
        <v>523</v>
      </c>
      <c r="C55" s="279">
        <v>10</v>
      </c>
      <c r="D55" s="279">
        <v>0.12</v>
      </c>
      <c r="E55" s="279">
        <v>2</v>
      </c>
      <c r="F55" s="279">
        <v>2</v>
      </c>
      <c r="G55" s="279" t="s">
        <v>225</v>
      </c>
    </row>
    <row r="56" spans="1:7" ht="15">
      <c r="A56" s="280" t="s">
        <v>514</v>
      </c>
      <c r="B56" s="280" t="s">
        <v>524</v>
      </c>
      <c r="C56" s="279">
        <v>7.5</v>
      </c>
      <c r="D56" s="279">
        <v>0.12</v>
      </c>
      <c r="E56" s="279">
        <v>7</v>
      </c>
      <c r="F56" s="279">
        <v>2</v>
      </c>
      <c r="G56" s="279" t="s">
        <v>225</v>
      </c>
    </row>
    <row r="57" spans="1:7" ht="15">
      <c r="A57" s="280" t="s">
        <v>514</v>
      </c>
      <c r="B57" s="280" t="s">
        <v>525</v>
      </c>
      <c r="C57" s="279">
        <v>0</v>
      </c>
      <c r="D57" s="279">
        <v>0</v>
      </c>
      <c r="E57" s="279">
        <v>0</v>
      </c>
      <c r="F57" s="279">
        <v>1</v>
      </c>
      <c r="G57" s="279" t="s">
        <v>225</v>
      </c>
    </row>
    <row r="58" spans="1:7" ht="15">
      <c r="A58" s="280" t="s">
        <v>514</v>
      </c>
      <c r="B58" s="280" t="s">
        <v>526</v>
      </c>
      <c r="C58" s="279">
        <v>7.5</v>
      </c>
      <c r="D58" s="279">
        <v>0.06</v>
      </c>
      <c r="E58" s="279">
        <v>100</v>
      </c>
      <c r="F58" s="279">
        <v>1</v>
      </c>
      <c r="G58" s="282" t="s">
        <v>79</v>
      </c>
    </row>
    <row r="59" spans="1:7" ht="15">
      <c r="A59" s="280" t="s">
        <v>514</v>
      </c>
      <c r="B59" s="280" t="s">
        <v>527</v>
      </c>
      <c r="C59" s="279">
        <v>10</v>
      </c>
      <c r="D59" s="279">
        <v>0.06</v>
      </c>
      <c r="E59" s="279">
        <v>0</v>
      </c>
      <c r="F59" s="279">
        <v>2</v>
      </c>
      <c r="G59" s="279" t="s">
        <v>225</v>
      </c>
    </row>
    <row r="60" spans="1:7" ht="15">
      <c r="A60" s="280" t="s">
        <v>528</v>
      </c>
      <c r="B60" s="280" t="s">
        <v>529</v>
      </c>
      <c r="C60" s="279">
        <v>5</v>
      </c>
      <c r="D60" s="279">
        <v>0.12</v>
      </c>
      <c r="E60" s="279">
        <v>50</v>
      </c>
      <c r="F60" s="279">
        <v>1</v>
      </c>
      <c r="G60" s="279" t="s">
        <v>225</v>
      </c>
    </row>
    <row r="61" spans="1:7" ht="15">
      <c r="A61" s="280" t="s">
        <v>528</v>
      </c>
      <c r="B61" s="280" t="s">
        <v>530</v>
      </c>
      <c r="C61" s="279">
        <v>5</v>
      </c>
      <c r="D61" s="279">
        <v>0.06</v>
      </c>
      <c r="E61" s="279">
        <v>10</v>
      </c>
      <c r="F61" s="279">
        <v>1</v>
      </c>
      <c r="G61" s="282" t="s">
        <v>79</v>
      </c>
    </row>
    <row r="62" spans="1:7" ht="15">
      <c r="A62" s="280" t="s">
        <v>528</v>
      </c>
      <c r="B62" s="280" t="s">
        <v>531</v>
      </c>
      <c r="C62" s="279">
        <v>5</v>
      </c>
      <c r="D62" s="279">
        <v>0.06</v>
      </c>
      <c r="E62" s="279">
        <v>2</v>
      </c>
      <c r="F62" s="279">
        <v>1</v>
      </c>
      <c r="G62" s="279" t="s">
        <v>225</v>
      </c>
    </row>
    <row r="63" spans="1:7" ht="15">
      <c r="A63" s="280" t="s">
        <v>528</v>
      </c>
      <c r="B63" s="280" t="s">
        <v>532</v>
      </c>
      <c r="C63" s="279">
        <v>5</v>
      </c>
      <c r="D63" s="279">
        <v>0.06</v>
      </c>
      <c r="E63" s="279">
        <v>5</v>
      </c>
      <c r="F63" s="279">
        <v>1</v>
      </c>
      <c r="G63" s="282" t="s">
        <v>79</v>
      </c>
    </row>
    <row r="64" spans="1:7" ht="15">
      <c r="A64" s="280" t="s">
        <v>528</v>
      </c>
      <c r="B64" s="280" t="s">
        <v>533</v>
      </c>
      <c r="C64" s="279">
        <v>5</v>
      </c>
      <c r="D64" s="279">
        <v>0.06</v>
      </c>
      <c r="E64" s="279">
        <v>30</v>
      </c>
      <c r="F64" s="279">
        <v>1</v>
      </c>
      <c r="G64" s="282" t="s">
        <v>79</v>
      </c>
    </row>
    <row r="65" spans="1:7" ht="15">
      <c r="A65" s="280" t="s">
        <v>528</v>
      </c>
      <c r="B65" s="280" t="s">
        <v>534</v>
      </c>
      <c r="C65" s="279">
        <v>5</v>
      </c>
      <c r="D65" s="279">
        <v>0.06</v>
      </c>
      <c r="E65" s="279">
        <v>60</v>
      </c>
      <c r="F65" s="279">
        <v>1</v>
      </c>
      <c r="G65" s="282" t="s">
        <v>79</v>
      </c>
    </row>
    <row r="66" spans="1:7" ht="15">
      <c r="A66" s="280" t="s">
        <v>535</v>
      </c>
      <c r="B66" s="280" t="s">
        <v>536</v>
      </c>
      <c r="C66" s="279">
        <v>5</v>
      </c>
      <c r="D66" s="279">
        <v>0.06</v>
      </c>
      <c r="E66" s="279">
        <v>150</v>
      </c>
      <c r="F66" s="279">
        <v>1</v>
      </c>
      <c r="G66" s="282" t="s">
        <v>79</v>
      </c>
    </row>
    <row r="67" spans="1:7" ht="15">
      <c r="A67" s="280" t="s">
        <v>535</v>
      </c>
      <c r="B67" s="280" t="s">
        <v>537</v>
      </c>
      <c r="C67" s="279">
        <v>5</v>
      </c>
      <c r="D67" s="279">
        <v>0.06</v>
      </c>
      <c r="E67" s="279">
        <v>70</v>
      </c>
      <c r="F67" s="279">
        <v>1</v>
      </c>
      <c r="G67" s="282" t="s">
        <v>79</v>
      </c>
    </row>
    <row r="68" spans="1:7" ht="15">
      <c r="A68" s="280" t="s">
        <v>535</v>
      </c>
      <c r="B68" s="280" t="s">
        <v>538</v>
      </c>
      <c r="C68" s="279">
        <v>5</v>
      </c>
      <c r="D68" s="279">
        <v>0.06</v>
      </c>
      <c r="E68" s="279">
        <v>50</v>
      </c>
      <c r="F68" s="279">
        <v>1</v>
      </c>
      <c r="G68" s="282" t="s">
        <v>79</v>
      </c>
    </row>
    <row r="69" spans="1:7" ht="15">
      <c r="A69" s="280" t="s">
        <v>535</v>
      </c>
      <c r="B69" s="280" t="s">
        <v>490</v>
      </c>
      <c r="C69" s="279">
        <v>5</v>
      </c>
      <c r="D69" s="279">
        <v>0.12</v>
      </c>
      <c r="E69" s="279">
        <v>10</v>
      </c>
      <c r="F69" s="279">
        <v>1</v>
      </c>
      <c r="G69" s="279" t="s">
        <v>225</v>
      </c>
    </row>
    <row r="70" spans="1:7" ht="15">
      <c r="A70" s="280" t="s">
        <v>535</v>
      </c>
      <c r="B70" s="280" t="s">
        <v>539</v>
      </c>
      <c r="C70" s="279">
        <v>5</v>
      </c>
      <c r="D70" s="279">
        <v>0.06</v>
      </c>
      <c r="E70" s="279">
        <v>150</v>
      </c>
      <c r="F70" s="279">
        <v>1</v>
      </c>
      <c r="G70" s="282" t="s">
        <v>79</v>
      </c>
    </row>
    <row r="71" spans="1:7" ht="15">
      <c r="A71" s="280" t="s">
        <v>535</v>
      </c>
      <c r="B71" s="280" t="s">
        <v>540</v>
      </c>
      <c r="C71" s="279">
        <v>7.5</v>
      </c>
      <c r="D71" s="279">
        <v>0.12</v>
      </c>
      <c r="E71" s="279">
        <v>40</v>
      </c>
      <c r="F71" s="279">
        <v>1</v>
      </c>
      <c r="G71" s="279" t="s">
        <v>225</v>
      </c>
    </row>
    <row r="72" spans="1:7" ht="15">
      <c r="A72" s="280" t="s">
        <v>535</v>
      </c>
      <c r="B72" s="280" t="s">
        <v>541</v>
      </c>
      <c r="C72" s="279">
        <v>7.5</v>
      </c>
      <c r="D72" s="279">
        <v>0.06</v>
      </c>
      <c r="E72" s="279">
        <v>40</v>
      </c>
      <c r="F72" s="279">
        <v>1</v>
      </c>
      <c r="G72" s="282" t="s">
        <v>79</v>
      </c>
    </row>
    <row r="73" spans="1:7" ht="15">
      <c r="A73" s="280" t="s">
        <v>535</v>
      </c>
      <c r="B73" s="280" t="s">
        <v>542</v>
      </c>
      <c r="C73" s="279">
        <v>5</v>
      </c>
      <c r="D73" s="279">
        <v>0.06</v>
      </c>
      <c r="E73" s="279">
        <v>120</v>
      </c>
      <c r="F73" s="279">
        <v>1</v>
      </c>
      <c r="G73" s="282" t="s">
        <v>79</v>
      </c>
    </row>
    <row r="74" spans="1:7" ht="15">
      <c r="A74" s="280" t="s">
        <v>543</v>
      </c>
      <c r="B74" s="280" t="s">
        <v>544</v>
      </c>
      <c r="C74" s="279">
        <v>0</v>
      </c>
      <c r="D74" s="279">
        <v>0.06</v>
      </c>
      <c r="E74" s="279">
        <v>0</v>
      </c>
      <c r="F74" s="279">
        <v>1</v>
      </c>
      <c r="G74" s="282" t="s">
        <v>79</v>
      </c>
    </row>
    <row r="75" spans="1:7" ht="15">
      <c r="A75" s="280" t="s">
        <v>545</v>
      </c>
      <c r="B75" s="280" t="s">
        <v>546</v>
      </c>
      <c r="C75" s="279">
        <v>7.5</v>
      </c>
      <c r="D75" s="279">
        <v>0.12</v>
      </c>
      <c r="E75" s="279">
        <v>15</v>
      </c>
      <c r="F75" s="279">
        <v>2</v>
      </c>
      <c r="G75" s="279" t="s">
        <v>225</v>
      </c>
    </row>
    <row r="76" spans="1:7" ht="15">
      <c r="A76" s="280" t="s">
        <v>545</v>
      </c>
      <c r="B76" s="280" t="s">
        <v>547</v>
      </c>
      <c r="C76" s="279">
        <v>7.5</v>
      </c>
      <c r="D76" s="279">
        <v>0.06</v>
      </c>
      <c r="E76" s="279">
        <v>25</v>
      </c>
      <c r="F76" s="279">
        <v>2</v>
      </c>
      <c r="G76" s="282" t="s">
        <v>79</v>
      </c>
    </row>
    <row r="77" spans="1:7" ht="15">
      <c r="A77" s="280" t="s">
        <v>545</v>
      </c>
      <c r="B77" s="280" t="s">
        <v>548</v>
      </c>
      <c r="C77" s="279">
        <v>20</v>
      </c>
      <c r="D77" s="279">
        <v>0.12</v>
      </c>
      <c r="E77" s="279">
        <v>25</v>
      </c>
      <c r="F77" s="279">
        <v>2</v>
      </c>
      <c r="G77" s="279" t="s">
        <v>225</v>
      </c>
    </row>
    <row r="78" spans="1:7" ht="15">
      <c r="A78" s="280" t="s">
        <v>545</v>
      </c>
      <c r="B78" s="280" t="s">
        <v>549</v>
      </c>
      <c r="C78" s="279">
        <v>7.5</v>
      </c>
      <c r="D78" s="279">
        <v>0.12</v>
      </c>
      <c r="E78" s="279">
        <v>20</v>
      </c>
      <c r="F78" s="279">
        <v>2</v>
      </c>
      <c r="G78" s="279" t="s">
        <v>225</v>
      </c>
    </row>
    <row r="79" spans="1:7" ht="15">
      <c r="A79" s="280" t="s">
        <v>545</v>
      </c>
      <c r="B79" s="280" t="s">
        <v>550</v>
      </c>
      <c r="C79" s="279">
        <v>7.5</v>
      </c>
      <c r="D79" s="279">
        <v>0.06</v>
      </c>
      <c r="E79" s="279">
        <v>40</v>
      </c>
      <c r="F79" s="279">
        <v>1</v>
      </c>
      <c r="G79" s="282" t="s">
        <v>79</v>
      </c>
    </row>
    <row r="80" spans="1:7" ht="15">
      <c r="A80" s="280" t="s">
        <v>545</v>
      </c>
      <c r="B80" s="280" t="s">
        <v>551</v>
      </c>
      <c r="C80" s="279">
        <v>7.5</v>
      </c>
      <c r="D80" s="279">
        <v>0.18</v>
      </c>
      <c r="E80" s="279">
        <v>10</v>
      </c>
      <c r="F80" s="279">
        <v>2</v>
      </c>
      <c r="G80" s="279" t="s">
        <v>225</v>
      </c>
    </row>
    <row r="81" spans="1:7" ht="15">
      <c r="A81" s="280" t="s">
        <v>545</v>
      </c>
      <c r="B81" s="280" t="s">
        <v>552</v>
      </c>
      <c r="C81" s="279">
        <v>7.5</v>
      </c>
      <c r="D81" s="279">
        <v>0.06</v>
      </c>
      <c r="E81" s="279">
        <v>8</v>
      </c>
      <c r="F81" s="279">
        <v>1</v>
      </c>
      <c r="G81" s="282" t="s">
        <v>79</v>
      </c>
    </row>
    <row r="82" spans="1:7" ht="15">
      <c r="A82" s="280" t="s">
        <v>553</v>
      </c>
      <c r="B82" s="280" t="s">
        <v>554</v>
      </c>
      <c r="C82" s="279">
        <v>10</v>
      </c>
      <c r="D82" s="279">
        <v>0.12</v>
      </c>
      <c r="E82" s="279">
        <v>40</v>
      </c>
      <c r="F82" s="279">
        <v>1</v>
      </c>
      <c r="G82" s="279" t="s">
        <v>225</v>
      </c>
    </row>
    <row r="83" spans="1:7" ht="15">
      <c r="A83" s="280" t="s">
        <v>553</v>
      </c>
      <c r="B83" s="280" t="s">
        <v>555</v>
      </c>
      <c r="C83" s="279">
        <v>20</v>
      </c>
      <c r="D83" s="279">
        <v>0.06</v>
      </c>
      <c r="E83" s="279">
        <v>100</v>
      </c>
      <c r="F83" s="279">
        <v>2</v>
      </c>
      <c r="G83" s="282" t="s">
        <v>79</v>
      </c>
    </row>
    <row r="84" spans="1:7" ht="15">
      <c r="A84" s="280" t="s">
        <v>553</v>
      </c>
      <c r="B84" s="280" t="s">
        <v>556</v>
      </c>
      <c r="C84" s="279">
        <v>7.5</v>
      </c>
      <c r="D84" s="279">
        <v>0.18</v>
      </c>
      <c r="E84" s="279">
        <v>120</v>
      </c>
      <c r="F84" s="279">
        <v>1</v>
      </c>
      <c r="G84" s="279" t="s">
        <v>225</v>
      </c>
    </row>
    <row r="85" spans="1:7" ht="15">
      <c r="A85" s="280" t="s">
        <v>553</v>
      </c>
      <c r="B85" s="280" t="s">
        <v>557</v>
      </c>
      <c r="C85" s="279">
        <v>7.5</v>
      </c>
      <c r="D85" s="279">
        <v>0.18</v>
      </c>
      <c r="E85" s="279">
        <v>20</v>
      </c>
      <c r="F85" s="279">
        <v>1</v>
      </c>
      <c r="G85" s="279" t="s">
        <v>225</v>
      </c>
    </row>
    <row r="86" spans="1:7" ht="15">
      <c r="A86" s="280" t="s">
        <v>553</v>
      </c>
      <c r="B86" s="280" t="s">
        <v>558</v>
      </c>
      <c r="C86" s="279">
        <v>20</v>
      </c>
      <c r="D86" s="279">
        <v>0.18</v>
      </c>
      <c r="E86" s="279">
        <v>7</v>
      </c>
      <c r="F86" s="279">
        <v>2</v>
      </c>
      <c r="G86" s="279" t="s">
        <v>225</v>
      </c>
    </row>
    <row r="87" spans="1:7" ht="15">
      <c r="A87" s="280" t="s">
        <v>553</v>
      </c>
      <c r="B87" s="280" t="s">
        <v>559</v>
      </c>
      <c r="C87" s="279">
        <v>20</v>
      </c>
      <c r="D87" s="279">
        <v>0.06</v>
      </c>
      <c r="E87" s="279">
        <v>40</v>
      </c>
      <c r="F87" s="279">
        <v>2</v>
      </c>
      <c r="G87" s="279" t="s">
        <v>225</v>
      </c>
    </row>
    <row r="88" spans="1:7" ht="15">
      <c r="A88" s="280" t="s">
        <v>553</v>
      </c>
      <c r="B88" s="280" t="s">
        <v>560</v>
      </c>
      <c r="C88" s="279">
        <v>20</v>
      </c>
      <c r="D88" s="279">
        <v>0.06</v>
      </c>
      <c r="E88" s="279">
        <v>10</v>
      </c>
      <c r="F88" s="279">
        <v>2</v>
      </c>
      <c r="G88" s="279" t="s">
        <v>225</v>
      </c>
    </row>
    <row r="89" spans="1:7" ht="15">
      <c r="A89" s="280" t="s">
        <v>553</v>
      </c>
      <c r="B89" s="280" t="s">
        <v>561</v>
      </c>
      <c r="C89" s="279">
        <v>7.5</v>
      </c>
      <c r="D89" s="279">
        <v>0.06</v>
      </c>
      <c r="E89" s="279">
        <v>150</v>
      </c>
      <c r="F89" s="279">
        <v>1</v>
      </c>
      <c r="G89" s="282" t="s">
        <v>79</v>
      </c>
    </row>
    <row r="90" spans="1:7" ht="15">
      <c r="A90" s="280" t="s">
        <v>553</v>
      </c>
      <c r="B90" s="280" t="s">
        <v>562</v>
      </c>
      <c r="C90" s="279">
        <v>10</v>
      </c>
      <c r="D90" s="279">
        <v>0.06</v>
      </c>
      <c r="E90" s="279">
        <v>70</v>
      </c>
      <c r="F90" s="279">
        <v>1</v>
      </c>
      <c r="G90" s="282" t="s">
        <v>79</v>
      </c>
    </row>
    <row r="91" spans="1:7" ht="15">
      <c r="A91" s="280" t="s">
        <v>553</v>
      </c>
      <c r="B91" s="280" t="s">
        <v>563</v>
      </c>
      <c r="C91" s="279">
        <v>0</v>
      </c>
      <c r="D91" s="279">
        <v>0.48</v>
      </c>
      <c r="E91" s="279">
        <v>0</v>
      </c>
      <c r="F91" s="279">
        <v>2</v>
      </c>
      <c r="G91" s="279" t="s">
        <v>225</v>
      </c>
    </row>
  </sheetData>
  <sheetProtection sheet="1" objects="1" scenarios="1"/>
  <pageMargins left="0.7" right="0.7" top="0.75" bottom="0.75" header="0.3" footer="0.3"/>
  <pageSetup scale="22" fitToHeight="0" orientation="landscape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49" zoomScale="130" zoomScaleNormal="130" zoomScaleSheetLayoutView="145" workbookViewId="0">
      <selection activeCell="C115" sqref="C115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27" t="s">
        <v>1</v>
      </c>
      <c r="B1" s="128" t="s">
        <v>2</v>
      </c>
      <c r="C1" s="129" t="s">
        <v>3</v>
      </c>
      <c r="D1" s="128" t="s">
        <v>4</v>
      </c>
      <c r="E1" s="128" t="s">
        <v>261</v>
      </c>
      <c r="F1" s="128" t="s">
        <v>262</v>
      </c>
      <c r="G1" s="130" t="s">
        <v>263</v>
      </c>
      <c r="H1" s="131" t="s">
        <v>264</v>
      </c>
      <c r="I1" s="132" t="s">
        <v>265</v>
      </c>
      <c r="J1" s="129" t="s">
        <v>266</v>
      </c>
      <c r="K1" s="20"/>
    </row>
    <row r="2" spans="1:13">
      <c r="A2" s="133" t="s">
        <v>267</v>
      </c>
      <c r="B2" s="134" t="s">
        <v>268</v>
      </c>
      <c r="C2" s="135" t="s">
        <v>27</v>
      </c>
      <c r="D2" s="136">
        <v>10</v>
      </c>
      <c r="E2" s="134" t="s">
        <v>269</v>
      </c>
      <c r="F2" s="134" t="s">
        <v>270</v>
      </c>
      <c r="G2" s="137" t="s">
        <v>27</v>
      </c>
      <c r="H2" s="138" t="s">
        <v>27</v>
      </c>
      <c r="I2" s="138" t="s">
        <v>27</v>
      </c>
      <c r="J2" s="139" t="s">
        <v>271</v>
      </c>
      <c r="K2" s="20"/>
      <c r="M2" s="20"/>
    </row>
    <row r="3" spans="1:13">
      <c r="A3" s="140" t="s">
        <v>272</v>
      </c>
      <c r="B3" s="141" t="s">
        <v>273</v>
      </c>
      <c r="C3" s="142">
        <v>2</v>
      </c>
      <c r="D3" s="143">
        <v>12</v>
      </c>
      <c r="E3" s="141" t="s">
        <v>269</v>
      </c>
      <c r="F3" s="141" t="s">
        <v>270</v>
      </c>
      <c r="G3" s="144" t="s">
        <v>274</v>
      </c>
      <c r="H3" s="138">
        <v>70</v>
      </c>
      <c r="I3" s="145">
        <v>75</v>
      </c>
      <c r="J3" s="138" t="s">
        <v>271</v>
      </c>
      <c r="K3" s="20"/>
      <c r="M3" s="20"/>
    </row>
    <row r="4" spans="1:13">
      <c r="A4" s="140" t="s">
        <v>275</v>
      </c>
      <c r="B4" s="141" t="s">
        <v>273</v>
      </c>
      <c r="C4" s="142">
        <v>2</v>
      </c>
      <c r="D4" s="143">
        <v>12</v>
      </c>
      <c r="E4" s="141" t="s">
        <v>269</v>
      </c>
      <c r="F4" s="141" t="s">
        <v>270</v>
      </c>
      <c r="G4" s="144" t="s">
        <v>27</v>
      </c>
      <c r="H4" s="138" t="s">
        <v>27</v>
      </c>
      <c r="I4" s="138" t="s">
        <v>27</v>
      </c>
      <c r="J4" s="138"/>
      <c r="K4" s="20"/>
      <c r="M4" s="20"/>
    </row>
    <row r="5" spans="1:13">
      <c r="A5" s="140" t="s">
        <v>276</v>
      </c>
      <c r="B5" s="141" t="s">
        <v>277</v>
      </c>
      <c r="C5" s="142">
        <v>3</v>
      </c>
      <c r="D5" s="143">
        <v>15</v>
      </c>
      <c r="E5" s="141" t="s">
        <v>27</v>
      </c>
      <c r="F5" s="141" t="s">
        <v>27</v>
      </c>
      <c r="G5" s="144" t="s">
        <v>274</v>
      </c>
      <c r="H5" s="138">
        <v>70</v>
      </c>
      <c r="I5" s="145">
        <v>75</v>
      </c>
      <c r="J5" s="146"/>
      <c r="K5" s="20"/>
      <c r="M5" s="20"/>
    </row>
    <row r="6" spans="1:13">
      <c r="A6" s="140" t="s">
        <v>278</v>
      </c>
      <c r="B6" s="141" t="s">
        <v>273</v>
      </c>
      <c r="C6" s="142" t="s">
        <v>27</v>
      </c>
      <c r="D6" s="143">
        <v>10</v>
      </c>
      <c r="E6" s="141" t="s">
        <v>269</v>
      </c>
      <c r="F6" s="141" t="s">
        <v>270</v>
      </c>
      <c r="G6" s="144" t="s">
        <v>27</v>
      </c>
      <c r="H6" s="138">
        <v>70</v>
      </c>
      <c r="I6" s="145">
        <v>75</v>
      </c>
      <c r="J6" s="146"/>
      <c r="K6" s="20"/>
      <c r="M6" s="20"/>
    </row>
    <row r="7" spans="1:13">
      <c r="A7" s="140" t="s">
        <v>279</v>
      </c>
      <c r="B7" s="141" t="s">
        <v>273</v>
      </c>
      <c r="C7" s="142" t="s">
        <v>27</v>
      </c>
      <c r="D7" s="143">
        <v>10</v>
      </c>
      <c r="E7" s="141" t="s">
        <v>269</v>
      </c>
      <c r="F7" s="141" t="s">
        <v>270</v>
      </c>
      <c r="G7" s="144" t="s">
        <v>27</v>
      </c>
      <c r="H7" s="138">
        <v>72</v>
      </c>
      <c r="I7" s="145">
        <v>78</v>
      </c>
      <c r="J7" s="147"/>
      <c r="K7" s="20"/>
      <c r="M7" s="20"/>
    </row>
    <row r="8" spans="1:13">
      <c r="A8" s="140" t="s">
        <v>280</v>
      </c>
      <c r="B8" s="141" t="s">
        <v>273</v>
      </c>
      <c r="C8" s="142" t="s">
        <v>27</v>
      </c>
      <c r="D8" s="143">
        <v>10</v>
      </c>
      <c r="E8" s="141" t="s">
        <v>269</v>
      </c>
      <c r="F8" s="141" t="s">
        <v>270</v>
      </c>
      <c r="G8" s="144" t="s">
        <v>27</v>
      </c>
      <c r="H8" s="138" t="s">
        <v>27</v>
      </c>
      <c r="I8" s="138" t="s">
        <v>27</v>
      </c>
      <c r="J8" s="146"/>
      <c r="K8" s="20"/>
      <c r="M8" s="20"/>
    </row>
    <row r="9" spans="1:13">
      <c r="A9" s="140" t="s">
        <v>281</v>
      </c>
      <c r="B9" s="141" t="s">
        <v>27</v>
      </c>
      <c r="C9" s="142">
        <v>2</v>
      </c>
      <c r="D9" s="143">
        <v>6</v>
      </c>
      <c r="E9" s="141" t="s">
        <v>27</v>
      </c>
      <c r="F9" s="141" t="s">
        <v>27</v>
      </c>
      <c r="G9" s="144" t="s">
        <v>27</v>
      </c>
      <c r="H9" s="138" t="s">
        <v>27</v>
      </c>
      <c r="I9" s="138" t="s">
        <v>27</v>
      </c>
      <c r="J9" s="140"/>
      <c r="K9" s="20"/>
      <c r="M9" s="20"/>
    </row>
    <row r="10" spans="1:13">
      <c r="A10" s="140" t="s">
        <v>282</v>
      </c>
      <c r="B10" s="141" t="s">
        <v>27</v>
      </c>
      <c r="C10" s="142">
        <v>2</v>
      </c>
      <c r="D10" s="143">
        <v>6</v>
      </c>
      <c r="E10" s="141" t="s">
        <v>27</v>
      </c>
      <c r="F10" s="141" t="s">
        <v>27</v>
      </c>
      <c r="G10" s="144" t="s">
        <v>27</v>
      </c>
      <c r="H10" s="138" t="s">
        <v>27</v>
      </c>
      <c r="I10" s="138" t="s">
        <v>27</v>
      </c>
      <c r="J10" s="140"/>
      <c r="M10" s="20"/>
    </row>
    <row r="11" spans="1:13">
      <c r="A11" s="140" t="s">
        <v>283</v>
      </c>
      <c r="B11" s="141" t="s">
        <v>273</v>
      </c>
      <c r="C11" s="142">
        <v>2</v>
      </c>
      <c r="D11" s="143">
        <v>12</v>
      </c>
      <c r="E11" s="141" t="s">
        <v>269</v>
      </c>
      <c r="F11" s="141" t="s">
        <v>270</v>
      </c>
      <c r="G11" s="144" t="s">
        <v>27</v>
      </c>
      <c r="H11" s="138">
        <v>68</v>
      </c>
      <c r="I11" s="145">
        <v>73</v>
      </c>
      <c r="J11" s="138" t="s">
        <v>284</v>
      </c>
      <c r="M11" s="20"/>
    </row>
    <row r="12" spans="1:13">
      <c r="A12" s="140" t="s">
        <v>285</v>
      </c>
      <c r="B12" s="141" t="s">
        <v>277</v>
      </c>
      <c r="C12" s="142">
        <v>3</v>
      </c>
      <c r="D12" s="143">
        <v>15</v>
      </c>
      <c r="E12" s="141" t="s">
        <v>27</v>
      </c>
      <c r="F12" s="141" t="s">
        <v>270</v>
      </c>
      <c r="G12" s="144" t="s">
        <v>274</v>
      </c>
      <c r="H12" s="138">
        <v>70</v>
      </c>
      <c r="I12" s="145">
        <v>75</v>
      </c>
      <c r="J12" s="140"/>
      <c r="M12" s="20"/>
    </row>
    <row r="13" spans="1:13">
      <c r="A13" s="140" t="s">
        <v>286</v>
      </c>
      <c r="B13" s="141" t="s">
        <v>277</v>
      </c>
      <c r="C13" s="142" t="s">
        <v>27</v>
      </c>
      <c r="D13" s="143">
        <v>2</v>
      </c>
      <c r="E13" s="141" t="s">
        <v>27</v>
      </c>
      <c r="F13" s="141" t="s">
        <v>27</v>
      </c>
      <c r="G13" s="144" t="s">
        <v>27</v>
      </c>
      <c r="H13" s="138">
        <v>72</v>
      </c>
      <c r="I13" s="145">
        <v>78</v>
      </c>
      <c r="J13" s="140"/>
      <c r="M13" s="20"/>
    </row>
    <row r="14" spans="1:13">
      <c r="A14" s="140" t="s">
        <v>287</v>
      </c>
      <c r="B14" s="141" t="s">
        <v>277</v>
      </c>
      <c r="C14" s="142">
        <v>2</v>
      </c>
      <c r="D14" s="143">
        <v>4</v>
      </c>
      <c r="E14" s="141" t="s">
        <v>27</v>
      </c>
      <c r="F14" s="141" t="s">
        <v>270</v>
      </c>
      <c r="G14" s="144" t="s">
        <v>274</v>
      </c>
      <c r="H14" s="138">
        <v>72</v>
      </c>
      <c r="I14" s="145">
        <v>78</v>
      </c>
      <c r="J14" s="140"/>
      <c r="M14" s="20"/>
    </row>
    <row r="15" spans="1:13">
      <c r="A15" s="140" t="s">
        <v>288</v>
      </c>
      <c r="B15" s="141" t="s">
        <v>277</v>
      </c>
      <c r="C15" s="142">
        <v>2</v>
      </c>
      <c r="D15" s="143">
        <v>4</v>
      </c>
      <c r="E15" s="141" t="s">
        <v>27</v>
      </c>
      <c r="F15" s="141" t="s">
        <v>27</v>
      </c>
      <c r="G15" s="144" t="s">
        <v>27</v>
      </c>
      <c r="H15" s="138" t="s">
        <v>27</v>
      </c>
      <c r="I15" s="138" t="s">
        <v>27</v>
      </c>
      <c r="J15" s="140"/>
      <c r="M15" s="20"/>
    </row>
    <row r="16" spans="1:13">
      <c r="A16" s="140" t="s">
        <v>289</v>
      </c>
      <c r="B16" s="141" t="s">
        <v>27</v>
      </c>
      <c r="C16" s="142">
        <v>2</v>
      </c>
      <c r="D16" s="143">
        <v>6</v>
      </c>
      <c r="E16" s="141" t="s">
        <v>27</v>
      </c>
      <c r="F16" s="141" t="s">
        <v>270</v>
      </c>
      <c r="G16" s="144" t="s">
        <v>290</v>
      </c>
      <c r="H16" s="138">
        <v>70</v>
      </c>
      <c r="I16" s="145">
        <v>75</v>
      </c>
      <c r="J16" s="140"/>
      <c r="M16" s="20"/>
    </row>
    <row r="17" spans="1:13">
      <c r="A17" s="140" t="s">
        <v>291</v>
      </c>
      <c r="B17" s="141" t="s">
        <v>27</v>
      </c>
      <c r="C17" s="142">
        <v>2</v>
      </c>
      <c r="D17" s="143">
        <v>6</v>
      </c>
      <c r="E17" s="141" t="s">
        <v>27</v>
      </c>
      <c r="F17" s="141" t="s">
        <v>27</v>
      </c>
      <c r="G17" s="144" t="s">
        <v>274</v>
      </c>
      <c r="H17" s="138" t="s">
        <v>27</v>
      </c>
      <c r="I17" s="138" t="s">
        <v>27</v>
      </c>
      <c r="J17" s="138"/>
      <c r="M17" s="20"/>
    </row>
    <row r="18" spans="1:13">
      <c r="A18" s="140" t="s">
        <v>292</v>
      </c>
      <c r="B18" s="141" t="s">
        <v>273</v>
      </c>
      <c r="C18" s="142">
        <v>2</v>
      </c>
      <c r="D18" s="143">
        <v>10</v>
      </c>
      <c r="E18" s="141" t="s">
        <v>269</v>
      </c>
      <c r="F18" s="141" t="s">
        <v>270</v>
      </c>
      <c r="G18" s="144" t="s">
        <v>27</v>
      </c>
      <c r="H18" s="138" t="s">
        <v>27</v>
      </c>
      <c r="I18" s="138" t="s">
        <v>27</v>
      </c>
      <c r="J18" s="138" t="s">
        <v>293</v>
      </c>
      <c r="M18" s="20"/>
    </row>
    <row r="19" spans="1:13">
      <c r="A19" s="140" t="s">
        <v>294</v>
      </c>
      <c r="B19" s="141" t="s">
        <v>277</v>
      </c>
      <c r="C19" s="142">
        <v>4</v>
      </c>
      <c r="D19" s="143">
        <v>20</v>
      </c>
      <c r="E19" s="141" t="s">
        <v>27</v>
      </c>
      <c r="F19" s="141" t="s">
        <v>270</v>
      </c>
      <c r="G19" s="144" t="s">
        <v>295</v>
      </c>
      <c r="H19" s="138">
        <v>68</v>
      </c>
      <c r="I19" s="145">
        <v>75</v>
      </c>
      <c r="J19" s="138" t="s">
        <v>296</v>
      </c>
      <c r="M19" s="20"/>
    </row>
    <row r="20" spans="1:13">
      <c r="A20" s="140" t="s">
        <v>297</v>
      </c>
      <c r="B20" s="141" t="s">
        <v>27</v>
      </c>
      <c r="C20" s="142">
        <v>2</v>
      </c>
      <c r="D20" s="143">
        <v>6</v>
      </c>
      <c r="E20" s="141" t="s">
        <v>27</v>
      </c>
      <c r="F20" s="141" t="s">
        <v>27</v>
      </c>
      <c r="G20" s="144" t="s">
        <v>27</v>
      </c>
      <c r="H20" s="138">
        <v>72</v>
      </c>
      <c r="I20" s="145">
        <v>78</v>
      </c>
      <c r="J20" s="138"/>
      <c r="M20" s="20"/>
    </row>
    <row r="21" spans="1:13">
      <c r="A21" s="140" t="s">
        <v>298</v>
      </c>
      <c r="B21" s="141" t="s">
        <v>273</v>
      </c>
      <c r="C21" s="142" t="s">
        <v>27</v>
      </c>
      <c r="D21" s="143">
        <v>10</v>
      </c>
      <c r="E21" s="141" t="s">
        <v>269</v>
      </c>
      <c r="F21" s="141" t="s">
        <v>270</v>
      </c>
      <c r="G21" s="144" t="s">
        <v>27</v>
      </c>
      <c r="H21" s="138" t="s">
        <v>27</v>
      </c>
      <c r="I21" s="138" t="s">
        <v>27</v>
      </c>
      <c r="J21" s="138"/>
      <c r="M21" s="20"/>
    </row>
    <row r="22" spans="1:13">
      <c r="A22" s="140" t="s">
        <v>299</v>
      </c>
      <c r="B22" s="141" t="s">
        <v>27</v>
      </c>
      <c r="C22" s="142" t="s">
        <v>27</v>
      </c>
      <c r="D22" s="143">
        <v>2</v>
      </c>
      <c r="E22" s="141" t="s">
        <v>27</v>
      </c>
      <c r="F22" s="141" t="s">
        <v>270</v>
      </c>
      <c r="G22" s="144" t="s">
        <v>27</v>
      </c>
      <c r="H22" s="138">
        <v>72</v>
      </c>
      <c r="I22" s="145">
        <v>78</v>
      </c>
      <c r="J22" s="138"/>
      <c r="M22" s="20"/>
    </row>
    <row r="23" spans="1:13">
      <c r="A23" s="140" t="s">
        <v>300</v>
      </c>
      <c r="B23" s="141" t="s">
        <v>29</v>
      </c>
      <c r="C23" s="142">
        <v>3</v>
      </c>
      <c r="D23" s="143">
        <v>15</v>
      </c>
      <c r="E23" s="141" t="s">
        <v>27</v>
      </c>
      <c r="F23" s="141" t="s">
        <v>27</v>
      </c>
      <c r="G23" s="144" t="s">
        <v>27</v>
      </c>
      <c r="H23" s="138" t="s">
        <v>27</v>
      </c>
      <c r="I23" s="138" t="s">
        <v>27</v>
      </c>
      <c r="J23" s="138"/>
      <c r="M23" s="20"/>
    </row>
    <row r="24" spans="1:13">
      <c r="A24" s="140" t="s">
        <v>301</v>
      </c>
      <c r="B24" s="141" t="s">
        <v>27</v>
      </c>
      <c r="C24" s="142">
        <v>2</v>
      </c>
      <c r="D24" s="143">
        <v>6</v>
      </c>
      <c r="E24" s="141" t="s">
        <v>27</v>
      </c>
      <c r="F24" s="141" t="s">
        <v>27</v>
      </c>
      <c r="G24" s="144" t="s">
        <v>274</v>
      </c>
      <c r="H24" s="138">
        <v>70</v>
      </c>
      <c r="I24" s="145">
        <v>75</v>
      </c>
      <c r="J24" s="138" t="s">
        <v>29</v>
      </c>
      <c r="M24" s="20"/>
    </row>
    <row r="25" spans="1:13">
      <c r="A25" s="140" t="s">
        <v>302</v>
      </c>
      <c r="B25" s="141" t="s">
        <v>273</v>
      </c>
      <c r="C25" s="142">
        <v>2</v>
      </c>
      <c r="D25" s="143">
        <v>10</v>
      </c>
      <c r="E25" s="141" t="s">
        <v>269</v>
      </c>
      <c r="F25" s="141" t="s">
        <v>270</v>
      </c>
      <c r="G25" s="144" t="s">
        <v>27</v>
      </c>
      <c r="H25" s="138" t="s">
        <v>27</v>
      </c>
      <c r="I25" s="138" t="s">
        <v>27</v>
      </c>
      <c r="J25" s="138"/>
      <c r="M25" s="20"/>
    </row>
    <row r="26" spans="1:13">
      <c r="A26" s="140" t="s">
        <v>303</v>
      </c>
      <c r="B26" s="141" t="s">
        <v>273</v>
      </c>
      <c r="C26" s="142">
        <v>2</v>
      </c>
      <c r="D26" s="143">
        <v>12</v>
      </c>
      <c r="E26" s="141" t="s">
        <v>269</v>
      </c>
      <c r="F26" s="141" t="s">
        <v>270</v>
      </c>
      <c r="G26" s="144" t="s">
        <v>27</v>
      </c>
      <c r="H26" s="138" t="s">
        <v>27</v>
      </c>
      <c r="I26" s="138" t="s">
        <v>27</v>
      </c>
      <c r="J26" s="138"/>
      <c r="M26" s="20"/>
    </row>
    <row r="27" spans="1:13">
      <c r="A27" s="140" t="s">
        <v>304</v>
      </c>
      <c r="B27" s="141" t="s">
        <v>273</v>
      </c>
      <c r="C27" s="142">
        <v>2</v>
      </c>
      <c r="D27" s="143">
        <v>12</v>
      </c>
      <c r="E27" s="141" t="s">
        <v>269</v>
      </c>
      <c r="F27" s="141" t="s">
        <v>27</v>
      </c>
      <c r="G27" s="144" t="s">
        <v>305</v>
      </c>
      <c r="H27" s="138">
        <v>70</v>
      </c>
      <c r="I27" s="145">
        <v>75</v>
      </c>
      <c r="J27" s="138" t="s">
        <v>421</v>
      </c>
      <c r="M27" s="20"/>
    </row>
    <row r="28" spans="1:13">
      <c r="A28" s="140" t="s">
        <v>306</v>
      </c>
      <c r="B28" s="141" t="s">
        <v>27</v>
      </c>
      <c r="C28" s="142">
        <v>2</v>
      </c>
      <c r="D28" s="143">
        <v>6</v>
      </c>
      <c r="E28" s="141" t="s">
        <v>27</v>
      </c>
      <c r="F28" s="141" t="s">
        <v>27</v>
      </c>
      <c r="G28" s="144" t="s">
        <v>274</v>
      </c>
      <c r="H28" s="138">
        <v>70</v>
      </c>
      <c r="I28" s="145">
        <v>75</v>
      </c>
      <c r="J28" s="138"/>
      <c r="M28" s="20"/>
    </row>
    <row r="29" spans="1:13">
      <c r="A29" s="140" t="s">
        <v>307</v>
      </c>
      <c r="B29" s="141" t="s">
        <v>27</v>
      </c>
      <c r="C29" s="142">
        <v>2</v>
      </c>
      <c r="D29" s="143">
        <v>6</v>
      </c>
      <c r="E29" s="141" t="s">
        <v>27</v>
      </c>
      <c r="F29" s="141" t="s">
        <v>27</v>
      </c>
      <c r="G29" s="144" t="s">
        <v>27</v>
      </c>
      <c r="H29" s="138" t="s">
        <v>27</v>
      </c>
      <c r="I29" s="138" t="s">
        <v>27</v>
      </c>
      <c r="J29" s="138"/>
      <c r="M29" s="20"/>
    </row>
    <row r="30" spans="1:13">
      <c r="A30" s="140" t="s">
        <v>308</v>
      </c>
      <c r="B30" s="141" t="s">
        <v>273</v>
      </c>
      <c r="C30" s="142">
        <v>2</v>
      </c>
      <c r="D30" s="143">
        <v>6</v>
      </c>
      <c r="E30" s="141" t="s">
        <v>269</v>
      </c>
      <c r="F30" s="141" t="s">
        <v>270</v>
      </c>
      <c r="G30" s="144" t="s">
        <v>27</v>
      </c>
      <c r="H30" s="138" t="s">
        <v>27</v>
      </c>
      <c r="I30" s="138" t="s">
        <v>27</v>
      </c>
      <c r="J30" s="138"/>
      <c r="M30" s="20"/>
    </row>
    <row r="31" spans="1:13">
      <c r="A31" s="140" t="s">
        <v>309</v>
      </c>
      <c r="B31" s="141" t="s">
        <v>27</v>
      </c>
      <c r="C31" s="142">
        <v>2</v>
      </c>
      <c r="D31" s="143">
        <v>10</v>
      </c>
      <c r="E31" s="141" t="s">
        <v>27</v>
      </c>
      <c r="F31" s="141" t="s">
        <v>270</v>
      </c>
      <c r="G31" s="144" t="s">
        <v>27</v>
      </c>
      <c r="H31" s="138">
        <v>72</v>
      </c>
      <c r="I31" s="145">
        <v>78</v>
      </c>
      <c r="J31" s="138" t="s">
        <v>310</v>
      </c>
      <c r="M31" s="20"/>
    </row>
    <row r="32" spans="1:13">
      <c r="A32" s="140" t="s">
        <v>311</v>
      </c>
      <c r="B32" s="141" t="s">
        <v>27</v>
      </c>
      <c r="C32" s="142">
        <v>2</v>
      </c>
      <c r="D32" s="143">
        <v>6</v>
      </c>
      <c r="E32" s="141" t="s">
        <v>27</v>
      </c>
      <c r="F32" s="141" t="s">
        <v>270</v>
      </c>
      <c r="G32" s="144" t="s">
        <v>295</v>
      </c>
      <c r="H32" s="138">
        <v>68</v>
      </c>
      <c r="I32" s="145">
        <v>73</v>
      </c>
      <c r="J32" s="138" t="s">
        <v>312</v>
      </c>
      <c r="M32" s="20"/>
    </row>
    <row r="33" spans="1:13">
      <c r="A33" s="140" t="s">
        <v>313</v>
      </c>
      <c r="B33" s="141" t="s">
        <v>273</v>
      </c>
      <c r="C33" s="142">
        <v>2</v>
      </c>
      <c r="D33" s="143">
        <v>10</v>
      </c>
      <c r="E33" s="141" t="s">
        <v>269</v>
      </c>
      <c r="F33" s="141" t="s">
        <v>270</v>
      </c>
      <c r="G33" s="144" t="s">
        <v>27</v>
      </c>
      <c r="H33" s="138" t="s">
        <v>27</v>
      </c>
      <c r="I33" s="138" t="s">
        <v>27</v>
      </c>
      <c r="J33" s="138"/>
      <c r="M33" s="20"/>
    </row>
    <row r="34" spans="1:13">
      <c r="A34" s="140" t="s">
        <v>314</v>
      </c>
      <c r="B34" s="141" t="s">
        <v>273</v>
      </c>
      <c r="C34" s="142">
        <v>2</v>
      </c>
      <c r="D34" s="143">
        <v>6</v>
      </c>
      <c r="E34" s="141" t="s">
        <v>27</v>
      </c>
      <c r="F34" s="141" t="s">
        <v>27</v>
      </c>
      <c r="G34" s="144" t="s">
        <v>27</v>
      </c>
      <c r="H34" s="138">
        <v>72</v>
      </c>
      <c r="I34" s="145">
        <v>80</v>
      </c>
      <c r="J34" s="138"/>
      <c r="M34" s="20"/>
    </row>
    <row r="35" spans="1:13">
      <c r="A35" s="140" t="s">
        <v>315</v>
      </c>
      <c r="B35" s="141" t="s">
        <v>277</v>
      </c>
      <c r="C35" s="142">
        <v>2</v>
      </c>
      <c r="D35" s="143">
        <v>6</v>
      </c>
      <c r="E35" s="141" t="s">
        <v>27</v>
      </c>
      <c r="F35" s="141" t="s">
        <v>27</v>
      </c>
      <c r="G35" s="144" t="s">
        <v>27</v>
      </c>
      <c r="H35" s="138" t="s">
        <v>27</v>
      </c>
      <c r="I35" s="138" t="s">
        <v>27</v>
      </c>
      <c r="J35" s="138"/>
      <c r="M35" s="20"/>
    </row>
    <row r="36" spans="1:13">
      <c r="A36" s="140" t="s">
        <v>316</v>
      </c>
      <c r="B36" s="141" t="s">
        <v>27</v>
      </c>
      <c r="C36" s="142">
        <v>2</v>
      </c>
      <c r="D36" s="143">
        <v>6</v>
      </c>
      <c r="E36" s="141" t="s">
        <v>27</v>
      </c>
      <c r="F36" s="141" t="s">
        <v>27</v>
      </c>
      <c r="G36" s="144" t="s">
        <v>274</v>
      </c>
      <c r="H36" s="138">
        <v>70</v>
      </c>
      <c r="I36" s="145">
        <v>75</v>
      </c>
      <c r="J36" s="138" t="s">
        <v>317</v>
      </c>
      <c r="M36" s="20"/>
    </row>
    <row r="37" spans="1:13">
      <c r="A37" s="140" t="s">
        <v>318</v>
      </c>
      <c r="B37" s="141" t="s">
        <v>277</v>
      </c>
      <c r="C37" s="142">
        <v>5</v>
      </c>
      <c r="D37" s="143">
        <v>15</v>
      </c>
      <c r="E37" s="141" t="s">
        <v>27</v>
      </c>
      <c r="F37" s="141" t="s">
        <v>27</v>
      </c>
      <c r="G37" s="144" t="s">
        <v>27</v>
      </c>
      <c r="H37" s="138" t="s">
        <v>27</v>
      </c>
      <c r="I37" s="138" t="s">
        <v>27</v>
      </c>
      <c r="J37" s="138"/>
      <c r="M37" s="20"/>
    </row>
    <row r="38" spans="1:13">
      <c r="A38" s="140" t="s">
        <v>319</v>
      </c>
      <c r="B38" s="141" t="s">
        <v>277</v>
      </c>
      <c r="C38" s="142">
        <v>2</v>
      </c>
      <c r="D38" s="143">
        <v>6</v>
      </c>
      <c r="E38" s="141" t="s">
        <v>27</v>
      </c>
      <c r="F38" s="141" t="s">
        <v>27</v>
      </c>
      <c r="G38" s="144" t="s">
        <v>27</v>
      </c>
      <c r="H38" s="138" t="s">
        <v>27</v>
      </c>
      <c r="I38" s="138" t="s">
        <v>27</v>
      </c>
      <c r="J38" s="138"/>
      <c r="M38" s="20"/>
    </row>
    <row r="39" spans="1:13">
      <c r="A39" s="140" t="s">
        <v>320</v>
      </c>
      <c r="B39" s="141" t="s">
        <v>273</v>
      </c>
      <c r="C39" s="142" t="s">
        <v>27</v>
      </c>
      <c r="D39" s="143">
        <v>10</v>
      </c>
      <c r="E39" s="141" t="s">
        <v>269</v>
      </c>
      <c r="F39" s="141" t="s">
        <v>270</v>
      </c>
      <c r="G39" s="144" t="s">
        <v>27</v>
      </c>
      <c r="H39" s="138" t="s">
        <v>27</v>
      </c>
      <c r="I39" s="138" t="s">
        <v>27</v>
      </c>
      <c r="J39" s="138"/>
      <c r="M39" s="20"/>
    </row>
    <row r="40" spans="1:13">
      <c r="A40" s="140" t="s">
        <v>321</v>
      </c>
      <c r="B40" s="141" t="s">
        <v>27</v>
      </c>
      <c r="C40" s="142">
        <v>2</v>
      </c>
      <c r="D40" s="143">
        <v>6</v>
      </c>
      <c r="E40" s="141" t="s">
        <v>27</v>
      </c>
      <c r="F40" s="141" t="s">
        <v>27</v>
      </c>
      <c r="G40" s="144" t="s">
        <v>274</v>
      </c>
      <c r="H40" s="138">
        <v>70</v>
      </c>
      <c r="I40" s="145">
        <v>75</v>
      </c>
      <c r="J40" s="138" t="s">
        <v>317</v>
      </c>
      <c r="M40" s="20"/>
    </row>
    <row r="41" spans="1:13">
      <c r="A41" s="140" t="s">
        <v>322</v>
      </c>
      <c r="B41" s="141" t="s">
        <v>27</v>
      </c>
      <c r="C41" s="142">
        <v>2</v>
      </c>
      <c r="D41" s="143">
        <v>6</v>
      </c>
      <c r="E41" s="141" t="s">
        <v>27</v>
      </c>
      <c r="F41" s="141" t="s">
        <v>27</v>
      </c>
      <c r="G41" s="144" t="s">
        <v>274</v>
      </c>
      <c r="H41" s="138">
        <v>70</v>
      </c>
      <c r="I41" s="145">
        <v>75</v>
      </c>
      <c r="J41" s="138" t="s">
        <v>317</v>
      </c>
      <c r="M41" s="20"/>
    </row>
    <row r="42" spans="1:13">
      <c r="A42" s="140" t="s">
        <v>323</v>
      </c>
      <c r="B42" s="141" t="s">
        <v>273</v>
      </c>
      <c r="C42" s="142">
        <v>2</v>
      </c>
      <c r="D42" s="143">
        <v>6</v>
      </c>
      <c r="E42" s="141" t="s">
        <v>269</v>
      </c>
      <c r="F42" s="141" t="s">
        <v>27</v>
      </c>
      <c r="G42" s="144" t="s">
        <v>27</v>
      </c>
      <c r="H42" s="138">
        <v>70</v>
      </c>
      <c r="I42" s="145">
        <v>75</v>
      </c>
      <c r="J42" s="138" t="s">
        <v>324</v>
      </c>
      <c r="M42" s="20"/>
    </row>
    <row r="43" spans="1:13">
      <c r="A43" s="140" t="s">
        <v>325</v>
      </c>
      <c r="B43" s="141" t="s">
        <v>273</v>
      </c>
      <c r="C43" s="142">
        <v>2</v>
      </c>
      <c r="D43" s="143">
        <v>6</v>
      </c>
      <c r="E43" s="141" t="s">
        <v>269</v>
      </c>
      <c r="F43" s="141" t="s">
        <v>27</v>
      </c>
      <c r="G43" s="144" t="s">
        <v>27</v>
      </c>
      <c r="H43" s="138">
        <v>70</v>
      </c>
      <c r="I43" s="145">
        <v>75</v>
      </c>
      <c r="J43" s="138" t="s">
        <v>324</v>
      </c>
      <c r="M43" s="20"/>
    </row>
    <row r="44" spans="1:13">
      <c r="A44" s="140" t="s">
        <v>326</v>
      </c>
      <c r="B44" s="141" t="s">
        <v>273</v>
      </c>
      <c r="C44" s="142">
        <v>2</v>
      </c>
      <c r="D44" s="143">
        <v>6</v>
      </c>
      <c r="E44" s="141" t="s">
        <v>269</v>
      </c>
      <c r="F44" s="141" t="s">
        <v>27</v>
      </c>
      <c r="G44" s="144" t="s">
        <v>27</v>
      </c>
      <c r="H44" s="138">
        <v>70</v>
      </c>
      <c r="I44" s="145">
        <v>75</v>
      </c>
      <c r="J44" s="138" t="s">
        <v>324</v>
      </c>
      <c r="M44" s="20"/>
    </row>
    <row r="45" spans="1:13">
      <c r="A45" s="140" t="s">
        <v>327</v>
      </c>
      <c r="B45" s="141" t="s">
        <v>273</v>
      </c>
      <c r="C45" s="142">
        <v>2</v>
      </c>
      <c r="D45" s="143">
        <v>6</v>
      </c>
      <c r="E45" s="141" t="s">
        <v>27</v>
      </c>
      <c r="F45" s="141" t="s">
        <v>27</v>
      </c>
      <c r="G45" s="144" t="s">
        <v>27</v>
      </c>
      <c r="H45" s="138">
        <v>70</v>
      </c>
      <c r="I45" s="145">
        <v>75</v>
      </c>
      <c r="J45" s="138" t="s">
        <v>324</v>
      </c>
      <c r="M45" s="20"/>
    </row>
    <row r="46" spans="1:13">
      <c r="A46" s="140" t="s">
        <v>328</v>
      </c>
      <c r="B46" s="141" t="s">
        <v>273</v>
      </c>
      <c r="C46" s="142">
        <v>2</v>
      </c>
      <c r="D46" s="143">
        <v>10</v>
      </c>
      <c r="E46" s="141" t="s">
        <v>269</v>
      </c>
      <c r="F46" s="141" t="s">
        <v>27</v>
      </c>
      <c r="G46" s="144" t="s">
        <v>27</v>
      </c>
      <c r="H46" s="138" t="s">
        <v>27</v>
      </c>
      <c r="I46" s="138" t="s">
        <v>27</v>
      </c>
      <c r="J46" s="138" t="s">
        <v>324</v>
      </c>
      <c r="M46" s="20"/>
    </row>
    <row r="47" spans="1:13">
      <c r="A47" s="140" t="s">
        <v>329</v>
      </c>
      <c r="B47" s="141" t="s">
        <v>273</v>
      </c>
      <c r="C47" s="142">
        <v>2</v>
      </c>
      <c r="D47" s="143">
        <v>6</v>
      </c>
      <c r="E47" s="141" t="s">
        <v>269</v>
      </c>
      <c r="F47" s="141" t="s">
        <v>27</v>
      </c>
      <c r="G47" s="144" t="s">
        <v>27</v>
      </c>
      <c r="H47" s="138">
        <v>70</v>
      </c>
      <c r="I47" s="145">
        <v>75</v>
      </c>
      <c r="J47" s="138" t="s">
        <v>324</v>
      </c>
      <c r="M47" s="20"/>
    </row>
    <row r="48" spans="1:13">
      <c r="A48" s="148" t="s">
        <v>330</v>
      </c>
      <c r="B48" s="149" t="s">
        <v>273</v>
      </c>
      <c r="C48" s="142">
        <v>2</v>
      </c>
      <c r="D48" s="143">
        <v>6</v>
      </c>
      <c r="E48" s="149" t="s">
        <v>269</v>
      </c>
      <c r="F48" s="149" t="s">
        <v>27</v>
      </c>
      <c r="G48" s="144" t="s">
        <v>27</v>
      </c>
      <c r="H48" s="150">
        <v>70</v>
      </c>
      <c r="I48" s="145">
        <v>75</v>
      </c>
      <c r="J48" s="150"/>
      <c r="M48" s="20"/>
    </row>
    <row r="49" spans="1:13">
      <c r="A49" s="151" t="s">
        <v>331</v>
      </c>
      <c r="B49" s="152" t="s">
        <v>277</v>
      </c>
      <c r="C49" s="142">
        <v>2</v>
      </c>
      <c r="D49" s="143">
        <v>4</v>
      </c>
      <c r="E49" s="152" t="s">
        <v>27</v>
      </c>
      <c r="F49" s="152" t="s">
        <v>27</v>
      </c>
      <c r="G49" s="144" t="s">
        <v>27</v>
      </c>
      <c r="H49" s="153">
        <v>70</v>
      </c>
      <c r="I49" s="145">
        <v>75</v>
      </c>
      <c r="J49" s="153" t="s">
        <v>324</v>
      </c>
      <c r="M49" s="20"/>
    </row>
    <row r="50" spans="1:13">
      <c r="A50" s="154" t="s">
        <v>332</v>
      </c>
      <c r="B50" s="155" t="s">
        <v>273</v>
      </c>
      <c r="C50" s="142">
        <v>2</v>
      </c>
      <c r="D50" s="143">
        <v>6</v>
      </c>
      <c r="E50" s="155" t="s">
        <v>269</v>
      </c>
      <c r="F50" s="155" t="s">
        <v>27</v>
      </c>
      <c r="G50" s="144" t="s">
        <v>27</v>
      </c>
      <c r="H50" s="156">
        <v>70</v>
      </c>
      <c r="I50" s="145">
        <v>75</v>
      </c>
      <c r="J50" s="156" t="s">
        <v>324</v>
      </c>
      <c r="M50" s="20"/>
    </row>
    <row r="51" spans="1:13">
      <c r="A51" s="157" t="s">
        <v>333</v>
      </c>
      <c r="B51" s="158" t="s">
        <v>273</v>
      </c>
      <c r="C51" s="142">
        <v>2</v>
      </c>
      <c r="D51" s="143">
        <v>6</v>
      </c>
      <c r="E51" s="158" t="s">
        <v>269</v>
      </c>
      <c r="F51" s="158" t="s">
        <v>27</v>
      </c>
      <c r="G51" s="144" t="s">
        <v>27</v>
      </c>
      <c r="H51" s="159">
        <v>70</v>
      </c>
      <c r="I51" s="145">
        <v>75</v>
      </c>
      <c r="J51" s="159" t="s">
        <v>324</v>
      </c>
      <c r="M51" s="20"/>
    </row>
    <row r="52" spans="1:13">
      <c r="A52" s="160" t="s">
        <v>334</v>
      </c>
      <c r="B52" s="161" t="s">
        <v>273</v>
      </c>
      <c r="C52" s="142">
        <v>2</v>
      </c>
      <c r="D52" s="143">
        <v>6</v>
      </c>
      <c r="E52" s="161" t="s">
        <v>269</v>
      </c>
      <c r="F52" s="161" t="s">
        <v>27</v>
      </c>
      <c r="G52" s="144" t="s">
        <v>27</v>
      </c>
      <c r="H52" s="162">
        <v>70</v>
      </c>
      <c r="I52" s="145">
        <v>75</v>
      </c>
      <c r="J52" s="162" t="s">
        <v>324</v>
      </c>
      <c r="M52" s="20"/>
    </row>
    <row r="53" spans="1:13">
      <c r="A53" s="163" t="s">
        <v>335</v>
      </c>
      <c r="B53" s="164" t="s">
        <v>273</v>
      </c>
      <c r="C53" s="142">
        <v>2</v>
      </c>
      <c r="D53" s="143">
        <v>6</v>
      </c>
      <c r="E53" s="164" t="s">
        <v>269</v>
      </c>
      <c r="F53" s="164" t="s">
        <v>27</v>
      </c>
      <c r="G53" s="144" t="s">
        <v>27</v>
      </c>
      <c r="H53" s="165">
        <v>70</v>
      </c>
      <c r="I53" s="145">
        <v>75</v>
      </c>
      <c r="J53" s="165" t="s">
        <v>324</v>
      </c>
      <c r="M53" s="20"/>
    </row>
    <row r="54" spans="1:13">
      <c r="A54" s="166" t="s">
        <v>336</v>
      </c>
      <c r="B54" s="167" t="s">
        <v>273</v>
      </c>
      <c r="C54" s="142">
        <v>2</v>
      </c>
      <c r="D54" s="143">
        <v>10</v>
      </c>
      <c r="E54" s="167" t="s">
        <v>269</v>
      </c>
      <c r="F54" s="167" t="s">
        <v>27</v>
      </c>
      <c r="G54" s="144" t="s">
        <v>27</v>
      </c>
      <c r="H54" s="168">
        <v>70</v>
      </c>
      <c r="I54" s="145">
        <v>75</v>
      </c>
      <c r="J54" s="168"/>
      <c r="M54" s="20"/>
    </row>
    <row r="55" spans="1:13">
      <c r="A55" s="169" t="s">
        <v>337</v>
      </c>
      <c r="B55" s="170" t="s">
        <v>27</v>
      </c>
      <c r="C55" s="142">
        <v>2</v>
      </c>
      <c r="D55" s="143">
        <v>6</v>
      </c>
      <c r="E55" s="170" t="s">
        <v>27</v>
      </c>
      <c r="F55" s="170" t="s">
        <v>27</v>
      </c>
      <c r="G55" s="144" t="s">
        <v>27</v>
      </c>
      <c r="H55" s="171" t="s">
        <v>27</v>
      </c>
      <c r="I55" s="171" t="s">
        <v>27</v>
      </c>
      <c r="J55" s="171"/>
      <c r="M55" s="20"/>
    </row>
    <row r="56" spans="1:13">
      <c r="A56" s="172" t="s">
        <v>338</v>
      </c>
      <c r="B56" s="170" t="s">
        <v>277</v>
      </c>
      <c r="C56" s="142">
        <v>3</v>
      </c>
      <c r="D56" s="143">
        <v>15</v>
      </c>
      <c r="E56" s="170" t="s">
        <v>27</v>
      </c>
      <c r="F56" s="170" t="s">
        <v>270</v>
      </c>
      <c r="G56" s="144" t="s">
        <v>295</v>
      </c>
      <c r="H56" s="171">
        <v>70</v>
      </c>
      <c r="I56" s="145">
        <v>75</v>
      </c>
      <c r="J56" s="171"/>
      <c r="M56" s="20"/>
    </row>
    <row r="57" spans="1:13">
      <c r="A57" s="172" t="s">
        <v>339</v>
      </c>
      <c r="B57" s="170" t="s">
        <v>273</v>
      </c>
      <c r="C57" s="142">
        <v>2</v>
      </c>
      <c r="D57" s="143">
        <v>10</v>
      </c>
      <c r="E57" s="170" t="s">
        <v>269</v>
      </c>
      <c r="F57" s="170" t="s">
        <v>270</v>
      </c>
      <c r="G57" s="144" t="s">
        <v>27</v>
      </c>
      <c r="H57" s="171" t="s">
        <v>27</v>
      </c>
      <c r="I57" s="171" t="s">
        <v>27</v>
      </c>
      <c r="J57" s="171"/>
      <c r="M57" s="20"/>
    </row>
    <row r="58" spans="1:13">
      <c r="A58" s="172" t="s">
        <v>340</v>
      </c>
      <c r="B58" s="170" t="s">
        <v>273</v>
      </c>
      <c r="C58" s="142" t="s">
        <v>27</v>
      </c>
      <c r="D58" s="143">
        <v>10</v>
      </c>
      <c r="E58" s="170" t="s">
        <v>269</v>
      </c>
      <c r="F58" s="170" t="s">
        <v>270</v>
      </c>
      <c r="G58" s="144" t="s">
        <v>27</v>
      </c>
      <c r="H58" s="171" t="s">
        <v>27</v>
      </c>
      <c r="I58" s="171" t="s">
        <v>27</v>
      </c>
      <c r="J58" s="171"/>
      <c r="M58" s="20"/>
    </row>
    <row r="59" spans="1:13">
      <c r="A59" s="172" t="s">
        <v>341</v>
      </c>
      <c r="B59" s="170" t="s">
        <v>273</v>
      </c>
      <c r="C59" s="142" t="s">
        <v>27</v>
      </c>
      <c r="D59" s="143">
        <v>8</v>
      </c>
      <c r="E59" s="170" t="s">
        <v>269</v>
      </c>
      <c r="F59" s="170" t="s">
        <v>27</v>
      </c>
      <c r="G59" s="144" t="s">
        <v>27</v>
      </c>
      <c r="H59" s="171" t="s">
        <v>27</v>
      </c>
      <c r="I59" s="171" t="s">
        <v>27</v>
      </c>
      <c r="J59" s="171" t="s">
        <v>342</v>
      </c>
      <c r="M59" s="20"/>
    </row>
    <row r="60" spans="1:13">
      <c r="A60" s="172" t="s">
        <v>343</v>
      </c>
      <c r="B60" s="170" t="s">
        <v>27</v>
      </c>
      <c r="C60" s="142">
        <v>2</v>
      </c>
      <c r="D60" s="143">
        <v>4</v>
      </c>
      <c r="E60" s="170" t="s">
        <v>27</v>
      </c>
      <c r="F60" s="170" t="s">
        <v>27</v>
      </c>
      <c r="G60" s="144" t="s">
        <v>274</v>
      </c>
      <c r="H60" s="171">
        <v>70</v>
      </c>
      <c r="I60" s="145">
        <v>75</v>
      </c>
      <c r="J60" s="171"/>
      <c r="M60" s="20"/>
    </row>
    <row r="61" spans="1:13">
      <c r="A61" s="172" t="s">
        <v>344</v>
      </c>
      <c r="B61" s="170" t="s">
        <v>273</v>
      </c>
      <c r="C61" s="142">
        <v>2</v>
      </c>
      <c r="D61" s="143">
        <v>12</v>
      </c>
      <c r="E61" s="170" t="s">
        <v>269</v>
      </c>
      <c r="F61" s="170" t="s">
        <v>270</v>
      </c>
      <c r="G61" s="144" t="s">
        <v>27</v>
      </c>
      <c r="H61" s="171">
        <v>68</v>
      </c>
      <c r="I61" s="145">
        <v>75</v>
      </c>
      <c r="J61" s="171" t="s">
        <v>284</v>
      </c>
      <c r="M61" s="20"/>
    </row>
    <row r="62" spans="1:13">
      <c r="A62" s="172" t="s">
        <v>345</v>
      </c>
      <c r="B62" s="170" t="s">
        <v>27</v>
      </c>
      <c r="C62" s="142">
        <v>2</v>
      </c>
      <c r="D62" s="143">
        <v>6</v>
      </c>
      <c r="E62" s="170" t="s">
        <v>27</v>
      </c>
      <c r="F62" s="170" t="s">
        <v>27</v>
      </c>
      <c r="G62" s="144" t="s">
        <v>27</v>
      </c>
      <c r="H62" s="171" t="s">
        <v>27</v>
      </c>
      <c r="I62" s="171" t="s">
        <v>27</v>
      </c>
      <c r="J62" s="171"/>
      <c r="M62" s="20"/>
    </row>
    <row r="63" spans="1:13">
      <c r="A63" s="172" t="s">
        <v>346</v>
      </c>
      <c r="B63" s="170" t="s">
        <v>273</v>
      </c>
      <c r="C63" s="142">
        <v>2</v>
      </c>
      <c r="D63" s="143">
        <v>12</v>
      </c>
      <c r="E63" s="170" t="s">
        <v>269</v>
      </c>
      <c r="F63" s="170" t="s">
        <v>270</v>
      </c>
      <c r="G63" s="144" t="s">
        <v>274</v>
      </c>
      <c r="H63" s="171">
        <v>72</v>
      </c>
      <c r="I63" s="145">
        <v>78</v>
      </c>
      <c r="J63" s="171"/>
      <c r="M63" s="20"/>
    </row>
    <row r="64" spans="1:13">
      <c r="A64" s="172" t="s">
        <v>347</v>
      </c>
      <c r="B64" s="170" t="s">
        <v>277</v>
      </c>
      <c r="C64" s="142">
        <v>2</v>
      </c>
      <c r="D64" s="143">
        <v>6</v>
      </c>
      <c r="E64" s="170" t="s">
        <v>27</v>
      </c>
      <c r="F64" s="170" t="s">
        <v>270</v>
      </c>
      <c r="G64" s="144" t="s">
        <v>290</v>
      </c>
      <c r="H64" s="171">
        <v>72</v>
      </c>
      <c r="I64" s="145">
        <v>78</v>
      </c>
      <c r="J64" s="171"/>
      <c r="M64" s="20"/>
    </row>
    <row r="65" spans="1:13">
      <c r="A65" s="172" t="s">
        <v>348</v>
      </c>
      <c r="B65" s="170" t="s">
        <v>29</v>
      </c>
      <c r="C65" s="142">
        <v>2</v>
      </c>
      <c r="D65" s="143">
        <v>10</v>
      </c>
      <c r="E65" s="170" t="s">
        <v>27</v>
      </c>
      <c r="F65" s="170" t="s">
        <v>270</v>
      </c>
      <c r="G65" s="144" t="s">
        <v>27</v>
      </c>
      <c r="H65" s="171" t="s">
        <v>27</v>
      </c>
      <c r="I65" s="171" t="s">
        <v>27</v>
      </c>
      <c r="J65" s="171"/>
      <c r="M65" s="20"/>
    </row>
    <row r="66" spans="1:13">
      <c r="A66" s="172" t="s">
        <v>349</v>
      </c>
      <c r="B66" s="170" t="s">
        <v>27</v>
      </c>
      <c r="C66" s="142">
        <v>2</v>
      </c>
      <c r="D66" s="143">
        <v>6</v>
      </c>
      <c r="E66" s="170" t="s">
        <v>27</v>
      </c>
      <c r="F66" s="170" t="s">
        <v>270</v>
      </c>
      <c r="G66" s="144" t="s">
        <v>290</v>
      </c>
      <c r="H66" s="171">
        <v>72</v>
      </c>
      <c r="I66" s="145">
        <v>78</v>
      </c>
      <c r="J66" s="171"/>
      <c r="M66" s="20"/>
    </row>
    <row r="67" spans="1:13">
      <c r="A67" s="172" t="s">
        <v>350</v>
      </c>
      <c r="B67" s="170" t="s">
        <v>273</v>
      </c>
      <c r="C67" s="142" t="s">
        <v>27</v>
      </c>
      <c r="D67" s="143">
        <v>10</v>
      </c>
      <c r="E67" s="170" t="s">
        <v>269</v>
      </c>
      <c r="F67" s="170" t="s">
        <v>270</v>
      </c>
      <c r="G67" s="144" t="s">
        <v>27</v>
      </c>
      <c r="H67" s="171">
        <v>70</v>
      </c>
      <c r="I67" s="145">
        <v>75</v>
      </c>
      <c r="J67" s="171" t="s">
        <v>351</v>
      </c>
      <c r="M67" s="20"/>
    </row>
    <row r="68" spans="1:13">
      <c r="A68" s="172" t="s">
        <v>352</v>
      </c>
      <c r="B68" s="170" t="s">
        <v>27</v>
      </c>
      <c r="C68" s="142" t="s">
        <v>27</v>
      </c>
      <c r="D68" s="143">
        <v>2</v>
      </c>
      <c r="E68" s="170" t="s">
        <v>27</v>
      </c>
      <c r="F68" s="170" t="s">
        <v>27</v>
      </c>
      <c r="G68" s="144" t="s">
        <v>27</v>
      </c>
      <c r="H68" s="171" t="s">
        <v>27</v>
      </c>
      <c r="I68" s="171" t="s">
        <v>27</v>
      </c>
      <c r="J68" s="171"/>
      <c r="M68" s="20"/>
    </row>
    <row r="69" spans="1:13">
      <c r="A69" s="172" t="s">
        <v>353</v>
      </c>
      <c r="B69" s="170" t="s">
        <v>273</v>
      </c>
      <c r="C69" s="142">
        <v>2</v>
      </c>
      <c r="D69" s="143">
        <v>6</v>
      </c>
      <c r="E69" s="170" t="s">
        <v>269</v>
      </c>
      <c r="F69" s="170" t="s">
        <v>270</v>
      </c>
      <c r="G69" s="144" t="s">
        <v>27</v>
      </c>
      <c r="H69" s="171" t="s">
        <v>27</v>
      </c>
      <c r="I69" s="171" t="s">
        <v>27</v>
      </c>
      <c r="J69" s="171"/>
      <c r="M69" s="20"/>
    </row>
    <row r="70" spans="1:13">
      <c r="A70" s="172" t="s">
        <v>354</v>
      </c>
      <c r="B70" s="170" t="s">
        <v>273</v>
      </c>
      <c r="C70" s="142" t="s">
        <v>27</v>
      </c>
      <c r="D70" s="143">
        <v>6</v>
      </c>
      <c r="E70" s="170" t="s">
        <v>269</v>
      </c>
      <c r="F70" s="170" t="s">
        <v>270</v>
      </c>
      <c r="G70" s="144" t="s">
        <v>27</v>
      </c>
      <c r="H70" s="171">
        <v>70</v>
      </c>
      <c r="I70" s="145">
        <v>75</v>
      </c>
      <c r="J70" s="171"/>
      <c r="M70" s="20"/>
    </row>
    <row r="71" spans="1:13">
      <c r="A71" s="172" t="s">
        <v>355</v>
      </c>
      <c r="B71" s="170" t="s">
        <v>273</v>
      </c>
      <c r="C71" s="142">
        <v>2</v>
      </c>
      <c r="D71" s="143">
        <v>6</v>
      </c>
      <c r="E71" s="170" t="s">
        <v>269</v>
      </c>
      <c r="F71" s="170" t="s">
        <v>27</v>
      </c>
      <c r="G71" s="144" t="s">
        <v>27</v>
      </c>
      <c r="H71" s="171">
        <v>70</v>
      </c>
      <c r="I71" s="145">
        <v>75</v>
      </c>
      <c r="J71" s="171"/>
      <c r="M71" s="20"/>
    </row>
    <row r="72" spans="1:13">
      <c r="A72" s="172" t="s">
        <v>356</v>
      </c>
      <c r="B72" s="142" t="s">
        <v>27</v>
      </c>
      <c r="C72" s="142" t="s">
        <v>27</v>
      </c>
      <c r="D72" s="143">
        <v>2</v>
      </c>
      <c r="E72" s="170" t="s">
        <v>27</v>
      </c>
      <c r="F72" s="170" t="s">
        <v>27</v>
      </c>
      <c r="G72" s="170" t="s">
        <v>27</v>
      </c>
      <c r="H72" s="170" t="s">
        <v>27</v>
      </c>
      <c r="I72" s="170" t="s">
        <v>27</v>
      </c>
      <c r="J72" s="171" t="s">
        <v>357</v>
      </c>
      <c r="M72" s="20"/>
    </row>
    <row r="73" spans="1:13">
      <c r="A73" s="172" t="s">
        <v>358</v>
      </c>
      <c r="B73" s="170" t="s">
        <v>27</v>
      </c>
      <c r="C73" s="142">
        <v>2</v>
      </c>
      <c r="D73" s="143">
        <v>6</v>
      </c>
      <c r="E73" s="170" t="s">
        <v>27</v>
      </c>
      <c r="F73" s="170" t="s">
        <v>27</v>
      </c>
      <c r="G73" s="144" t="s">
        <v>27</v>
      </c>
      <c r="H73" s="171">
        <v>70</v>
      </c>
      <c r="I73" s="145">
        <v>75</v>
      </c>
      <c r="J73" s="171"/>
      <c r="M73" s="20"/>
    </row>
    <row r="74" spans="1:13">
      <c r="A74" s="172" t="s">
        <v>359</v>
      </c>
      <c r="B74" s="170" t="s">
        <v>27</v>
      </c>
      <c r="C74" s="142">
        <v>2</v>
      </c>
      <c r="D74" s="143">
        <v>6</v>
      </c>
      <c r="E74" s="170" t="s">
        <v>27</v>
      </c>
      <c r="F74" s="170" t="s">
        <v>27</v>
      </c>
      <c r="G74" s="144" t="s">
        <v>27</v>
      </c>
      <c r="H74" s="171">
        <v>70</v>
      </c>
      <c r="I74" s="145">
        <v>75</v>
      </c>
      <c r="J74" s="171"/>
      <c r="M74" s="20"/>
    </row>
    <row r="75" spans="1:13">
      <c r="A75" s="172" t="s">
        <v>360</v>
      </c>
      <c r="B75" s="170" t="s">
        <v>277</v>
      </c>
      <c r="C75" s="142">
        <v>4</v>
      </c>
      <c r="D75" s="143">
        <v>20</v>
      </c>
      <c r="E75" s="170" t="s">
        <v>27</v>
      </c>
      <c r="F75" s="170" t="s">
        <v>270</v>
      </c>
      <c r="G75" s="144" t="s">
        <v>295</v>
      </c>
      <c r="H75" s="171">
        <v>68</v>
      </c>
      <c r="I75" s="145">
        <v>75</v>
      </c>
      <c r="J75" s="171"/>
      <c r="M75" s="20"/>
    </row>
    <row r="76" spans="1:13">
      <c r="A76" s="172" t="s">
        <v>361</v>
      </c>
      <c r="B76" s="170" t="s">
        <v>277</v>
      </c>
      <c r="C76" s="142">
        <v>4</v>
      </c>
      <c r="D76" s="143">
        <v>20</v>
      </c>
      <c r="E76" s="170" t="s">
        <v>27</v>
      </c>
      <c r="F76" s="170" t="s">
        <v>270</v>
      </c>
      <c r="G76" s="144" t="s">
        <v>295</v>
      </c>
      <c r="H76" s="171">
        <v>68</v>
      </c>
      <c r="I76" s="145">
        <v>75</v>
      </c>
      <c r="J76" s="171" t="s">
        <v>296</v>
      </c>
      <c r="M76" s="20"/>
    </row>
    <row r="77" spans="1:13">
      <c r="A77" s="172" t="s">
        <v>362</v>
      </c>
      <c r="B77" s="170" t="s">
        <v>27</v>
      </c>
      <c r="C77" s="142" t="s">
        <v>27</v>
      </c>
      <c r="D77" s="143">
        <v>2</v>
      </c>
      <c r="E77" s="170" t="s">
        <v>27</v>
      </c>
      <c r="F77" s="170" t="s">
        <v>27</v>
      </c>
      <c r="G77" s="144" t="s">
        <v>27</v>
      </c>
      <c r="H77" s="171" t="s">
        <v>27</v>
      </c>
      <c r="I77" s="171" t="s">
        <v>27</v>
      </c>
      <c r="J77" s="171"/>
      <c r="M77" s="20"/>
    </row>
    <row r="78" spans="1:13">
      <c r="A78" s="172" t="s">
        <v>363</v>
      </c>
      <c r="B78" s="170" t="s">
        <v>27</v>
      </c>
      <c r="C78" s="142">
        <v>2</v>
      </c>
      <c r="D78" s="143">
        <v>6</v>
      </c>
      <c r="E78" s="170" t="s">
        <v>27</v>
      </c>
      <c r="F78" s="170" t="s">
        <v>270</v>
      </c>
      <c r="G78" s="144" t="s">
        <v>27</v>
      </c>
      <c r="H78" s="171" t="s">
        <v>27</v>
      </c>
      <c r="I78" s="171" t="s">
        <v>27</v>
      </c>
      <c r="J78" s="171"/>
      <c r="M78" s="20"/>
    </row>
    <row r="79" spans="1:13">
      <c r="A79" s="172" t="s">
        <v>364</v>
      </c>
      <c r="B79" s="170" t="s">
        <v>27</v>
      </c>
      <c r="C79" s="142">
        <v>2</v>
      </c>
      <c r="D79" s="143">
        <v>4</v>
      </c>
      <c r="E79" s="170" t="s">
        <v>27</v>
      </c>
      <c r="F79" s="170" t="s">
        <v>27</v>
      </c>
      <c r="G79" s="144" t="s">
        <v>274</v>
      </c>
      <c r="H79" s="171">
        <v>70</v>
      </c>
      <c r="I79" s="145">
        <v>75</v>
      </c>
      <c r="J79" s="171" t="s">
        <v>420</v>
      </c>
      <c r="M79" s="20"/>
    </row>
    <row r="80" spans="1:13">
      <c r="A80" s="173" t="s">
        <v>365</v>
      </c>
      <c r="B80" s="174" t="s">
        <v>27</v>
      </c>
      <c r="C80" s="142">
        <v>2</v>
      </c>
      <c r="D80" s="143">
        <v>6</v>
      </c>
      <c r="E80" s="174" t="s">
        <v>27</v>
      </c>
      <c r="F80" s="174" t="s">
        <v>27</v>
      </c>
      <c r="G80" s="144" t="s">
        <v>27</v>
      </c>
      <c r="H80" s="175" t="s">
        <v>27</v>
      </c>
      <c r="I80" s="175" t="s">
        <v>27</v>
      </c>
      <c r="J80" s="175"/>
      <c r="M80" s="20"/>
    </row>
    <row r="81" spans="1:13">
      <c r="A81" s="176" t="s">
        <v>366</v>
      </c>
      <c r="B81" s="177" t="s">
        <v>277</v>
      </c>
      <c r="C81" s="142">
        <v>2</v>
      </c>
      <c r="D81" s="143">
        <v>4</v>
      </c>
      <c r="E81" s="177" t="s">
        <v>27</v>
      </c>
      <c r="F81" s="177" t="s">
        <v>27</v>
      </c>
      <c r="G81" s="144" t="s">
        <v>27</v>
      </c>
      <c r="H81" s="178" t="s">
        <v>27</v>
      </c>
      <c r="I81" s="178" t="s">
        <v>27</v>
      </c>
      <c r="J81" s="178" t="s">
        <v>367</v>
      </c>
      <c r="M81" s="20"/>
    </row>
    <row r="82" spans="1:13">
      <c r="A82" s="179" t="s">
        <v>368</v>
      </c>
      <c r="B82" s="180" t="s">
        <v>27</v>
      </c>
      <c r="C82" s="142">
        <v>2</v>
      </c>
      <c r="D82" s="143">
        <v>4</v>
      </c>
      <c r="E82" s="180" t="s">
        <v>27</v>
      </c>
      <c r="F82" s="180" t="s">
        <v>27</v>
      </c>
      <c r="G82" s="144" t="s">
        <v>27</v>
      </c>
      <c r="H82" s="181" t="s">
        <v>27</v>
      </c>
      <c r="I82" s="181" t="s">
        <v>27</v>
      </c>
      <c r="J82" s="181"/>
      <c r="M82" s="20"/>
    </row>
    <row r="83" spans="1:13">
      <c r="A83" s="182" t="s">
        <v>369</v>
      </c>
      <c r="B83" s="183" t="s">
        <v>277</v>
      </c>
      <c r="C83" s="142" t="s">
        <v>27</v>
      </c>
      <c r="D83" s="143" t="s">
        <v>27</v>
      </c>
      <c r="E83" s="183" t="s">
        <v>27</v>
      </c>
      <c r="F83" s="183" t="s">
        <v>27</v>
      </c>
      <c r="G83" s="144" t="s">
        <v>370</v>
      </c>
      <c r="H83" s="184">
        <v>68</v>
      </c>
      <c r="I83" s="184">
        <v>68</v>
      </c>
      <c r="J83" s="184" t="s">
        <v>367</v>
      </c>
      <c r="M83" s="20"/>
    </row>
    <row r="84" spans="1:13">
      <c r="A84" s="185" t="s">
        <v>371</v>
      </c>
      <c r="B84" s="186" t="s">
        <v>273</v>
      </c>
      <c r="C84" s="142" t="s">
        <v>27</v>
      </c>
      <c r="D84" s="143">
        <v>30</v>
      </c>
      <c r="E84" s="186" t="s">
        <v>269</v>
      </c>
      <c r="F84" s="186" t="s">
        <v>270</v>
      </c>
      <c r="G84" s="144" t="s">
        <v>370</v>
      </c>
      <c r="H84" s="187">
        <v>68</v>
      </c>
      <c r="I84" s="187">
        <v>68</v>
      </c>
      <c r="J84" s="187" t="s">
        <v>367</v>
      </c>
      <c r="M84" s="20"/>
    </row>
    <row r="85" spans="1:13">
      <c r="A85" s="188" t="s">
        <v>372</v>
      </c>
      <c r="B85" s="189" t="s">
        <v>273</v>
      </c>
      <c r="C85" s="142" t="s">
        <v>27</v>
      </c>
      <c r="D85" s="143">
        <v>12</v>
      </c>
      <c r="E85" s="189" t="s">
        <v>269</v>
      </c>
      <c r="F85" s="189" t="s">
        <v>27</v>
      </c>
      <c r="G85" s="144" t="s">
        <v>27</v>
      </c>
      <c r="H85" s="190" t="s">
        <v>27</v>
      </c>
      <c r="I85" s="190" t="s">
        <v>27</v>
      </c>
      <c r="J85" s="190" t="s">
        <v>373</v>
      </c>
      <c r="M85" s="20"/>
    </row>
    <row r="86" spans="1:13">
      <c r="A86" s="191" t="s">
        <v>374</v>
      </c>
      <c r="B86" s="192" t="s">
        <v>273</v>
      </c>
      <c r="C86" s="142" t="s">
        <v>27</v>
      </c>
      <c r="D86" s="143">
        <v>12</v>
      </c>
      <c r="E86" s="192" t="s">
        <v>269</v>
      </c>
      <c r="F86" s="192" t="s">
        <v>27</v>
      </c>
      <c r="G86" s="144" t="s">
        <v>27</v>
      </c>
      <c r="H86" s="193" t="s">
        <v>27</v>
      </c>
      <c r="I86" s="193" t="s">
        <v>27</v>
      </c>
      <c r="J86" s="193" t="s">
        <v>367</v>
      </c>
      <c r="M86" s="20"/>
    </row>
    <row r="87" spans="1:13">
      <c r="A87" s="194" t="s">
        <v>375</v>
      </c>
      <c r="B87" s="195" t="s">
        <v>277</v>
      </c>
      <c r="C87" s="142" t="s">
        <v>27</v>
      </c>
      <c r="D87" s="143">
        <v>30</v>
      </c>
      <c r="E87" s="195" t="s">
        <v>27</v>
      </c>
      <c r="F87" s="195" t="s">
        <v>27</v>
      </c>
      <c r="G87" s="144" t="s">
        <v>370</v>
      </c>
      <c r="H87" s="196">
        <v>68</v>
      </c>
      <c r="I87" s="196">
        <v>68</v>
      </c>
      <c r="J87" s="196" t="s">
        <v>367</v>
      </c>
      <c r="M87" s="20"/>
    </row>
    <row r="88" spans="1:13">
      <c r="A88" s="197" t="s">
        <v>376</v>
      </c>
      <c r="B88" s="198" t="s">
        <v>277</v>
      </c>
      <c r="C88" s="142" t="s">
        <v>27</v>
      </c>
      <c r="D88" s="143">
        <v>30</v>
      </c>
      <c r="E88" s="198" t="s">
        <v>27</v>
      </c>
      <c r="F88" s="198" t="s">
        <v>270</v>
      </c>
      <c r="G88" s="144" t="s">
        <v>370</v>
      </c>
      <c r="H88" s="199">
        <v>68</v>
      </c>
      <c r="I88" s="199">
        <v>68</v>
      </c>
      <c r="J88" s="199" t="s">
        <v>367</v>
      </c>
      <c r="M88" s="20"/>
    </row>
    <row r="89" spans="1:13">
      <c r="A89" s="200" t="s">
        <v>377</v>
      </c>
      <c r="B89" s="201" t="s">
        <v>27</v>
      </c>
      <c r="C89" s="142" t="s">
        <v>27</v>
      </c>
      <c r="D89" s="143" t="s">
        <v>27</v>
      </c>
      <c r="E89" s="201" t="s">
        <v>27</v>
      </c>
      <c r="F89" s="201" t="s">
        <v>27</v>
      </c>
      <c r="G89" s="144" t="s">
        <v>27</v>
      </c>
      <c r="H89" s="202" t="s">
        <v>27</v>
      </c>
      <c r="I89" s="202" t="s">
        <v>27</v>
      </c>
      <c r="J89" s="202"/>
      <c r="M89" s="20"/>
    </row>
    <row r="90" spans="1:13">
      <c r="A90" s="203" t="s">
        <v>378</v>
      </c>
      <c r="B90" s="204" t="s">
        <v>273</v>
      </c>
      <c r="C90" s="142">
        <v>2</v>
      </c>
      <c r="D90" s="143">
        <v>6</v>
      </c>
      <c r="E90" s="204" t="s">
        <v>27</v>
      </c>
      <c r="F90" s="204" t="s">
        <v>27</v>
      </c>
      <c r="G90" s="144" t="s">
        <v>27</v>
      </c>
      <c r="H90" s="205">
        <v>70</v>
      </c>
      <c r="I90" s="145">
        <v>75</v>
      </c>
      <c r="J90" s="205"/>
      <c r="M90" s="20"/>
    </row>
    <row r="91" spans="1:13">
      <c r="A91" s="206" t="s">
        <v>379</v>
      </c>
      <c r="B91" s="207" t="s">
        <v>273</v>
      </c>
      <c r="C91" s="142">
        <v>2</v>
      </c>
      <c r="D91" s="143">
        <v>6</v>
      </c>
      <c r="E91" s="207" t="s">
        <v>27</v>
      </c>
      <c r="F91" s="207" t="s">
        <v>27</v>
      </c>
      <c r="G91" s="144" t="s">
        <v>305</v>
      </c>
      <c r="H91" s="208">
        <v>72</v>
      </c>
      <c r="I91" s="145">
        <v>80</v>
      </c>
      <c r="J91" s="208"/>
      <c r="M91" s="20"/>
    </row>
    <row r="92" spans="1:13">
      <c r="A92" s="209" t="s">
        <v>380</v>
      </c>
      <c r="B92" s="210" t="s">
        <v>27</v>
      </c>
      <c r="C92" s="142">
        <v>2</v>
      </c>
      <c r="D92" s="143">
        <v>6</v>
      </c>
      <c r="E92" s="210" t="s">
        <v>269</v>
      </c>
      <c r="F92" s="210" t="s">
        <v>270</v>
      </c>
      <c r="G92" s="144" t="s">
        <v>295</v>
      </c>
      <c r="H92" s="211">
        <v>70</v>
      </c>
      <c r="I92" s="145">
        <v>75</v>
      </c>
      <c r="J92" s="211"/>
      <c r="M92" s="20"/>
    </row>
    <row r="93" spans="1:13">
      <c r="A93" s="212" t="s">
        <v>381</v>
      </c>
      <c r="B93" s="213" t="s">
        <v>273</v>
      </c>
      <c r="C93" s="142">
        <v>2</v>
      </c>
      <c r="D93" s="143">
        <v>12</v>
      </c>
      <c r="E93" s="213" t="s">
        <v>269</v>
      </c>
      <c r="F93" s="213" t="s">
        <v>27</v>
      </c>
      <c r="G93" s="144" t="s">
        <v>27</v>
      </c>
      <c r="H93" s="214" t="s">
        <v>27</v>
      </c>
      <c r="I93" s="214" t="s">
        <v>27</v>
      </c>
      <c r="J93" s="214" t="s">
        <v>421</v>
      </c>
      <c r="M93" s="20"/>
    </row>
    <row r="94" spans="1:13">
      <c r="A94" s="215" t="s">
        <v>382</v>
      </c>
      <c r="B94" s="216" t="s">
        <v>277</v>
      </c>
      <c r="C94" s="142">
        <v>3</v>
      </c>
      <c r="D94" s="143">
        <v>15</v>
      </c>
      <c r="E94" s="216" t="s">
        <v>27</v>
      </c>
      <c r="F94" s="216" t="s">
        <v>270</v>
      </c>
      <c r="G94" s="144" t="s">
        <v>295</v>
      </c>
      <c r="H94" s="217">
        <v>70</v>
      </c>
      <c r="I94" s="145">
        <v>75</v>
      </c>
      <c r="J94" s="217" t="s">
        <v>383</v>
      </c>
      <c r="M94" s="20"/>
    </row>
    <row r="95" spans="1:13">
      <c r="A95" s="218" t="s">
        <v>384</v>
      </c>
      <c r="B95" s="219" t="s">
        <v>385</v>
      </c>
      <c r="C95" s="142" t="s">
        <v>27</v>
      </c>
      <c r="D95" s="143">
        <v>10</v>
      </c>
      <c r="E95" s="219" t="s">
        <v>27</v>
      </c>
      <c r="F95" s="219" t="s">
        <v>270</v>
      </c>
      <c r="G95" s="144" t="s">
        <v>27</v>
      </c>
      <c r="H95" s="220" t="s">
        <v>27</v>
      </c>
      <c r="I95" s="220" t="s">
        <v>27</v>
      </c>
      <c r="J95" s="220" t="s">
        <v>386</v>
      </c>
      <c r="M95" s="20"/>
    </row>
    <row r="96" spans="1:13">
      <c r="A96" s="221" t="s">
        <v>387</v>
      </c>
      <c r="B96" s="222" t="s">
        <v>277</v>
      </c>
      <c r="C96" s="142">
        <v>2</v>
      </c>
      <c r="D96" s="143">
        <v>12</v>
      </c>
      <c r="E96" s="222" t="s">
        <v>27</v>
      </c>
      <c r="F96" s="222" t="s">
        <v>270</v>
      </c>
      <c r="G96" s="144" t="s">
        <v>274</v>
      </c>
      <c r="H96" s="223">
        <v>70</v>
      </c>
      <c r="I96" s="145">
        <v>75</v>
      </c>
      <c r="J96" s="223" t="s">
        <v>386</v>
      </c>
      <c r="M96" s="20"/>
    </row>
    <row r="97" spans="1:13">
      <c r="A97" s="224" t="s">
        <v>388</v>
      </c>
      <c r="B97" s="225" t="s">
        <v>273</v>
      </c>
      <c r="C97" s="142">
        <v>2</v>
      </c>
      <c r="D97" s="143">
        <v>12</v>
      </c>
      <c r="E97" s="225" t="s">
        <v>269</v>
      </c>
      <c r="F97" s="225" t="s">
        <v>27</v>
      </c>
      <c r="G97" s="144" t="s">
        <v>274</v>
      </c>
      <c r="H97" s="226">
        <v>70</v>
      </c>
      <c r="I97" s="145">
        <v>75</v>
      </c>
      <c r="J97" s="226" t="s">
        <v>422</v>
      </c>
      <c r="M97" s="20"/>
    </row>
    <row r="98" spans="1:13">
      <c r="A98" s="227" t="s">
        <v>389</v>
      </c>
      <c r="B98" s="228" t="s">
        <v>27</v>
      </c>
      <c r="C98" s="142">
        <v>2</v>
      </c>
      <c r="D98" s="143">
        <v>6</v>
      </c>
      <c r="E98" s="228" t="s">
        <v>27</v>
      </c>
      <c r="F98" s="228" t="s">
        <v>270</v>
      </c>
      <c r="G98" s="144" t="s">
        <v>295</v>
      </c>
      <c r="H98" s="229">
        <v>70</v>
      </c>
      <c r="I98" s="145">
        <v>75</v>
      </c>
      <c r="J98" s="229"/>
      <c r="M98" s="20"/>
    </row>
    <row r="99" spans="1:13">
      <c r="A99" s="230" t="s">
        <v>390</v>
      </c>
      <c r="B99" s="231" t="s">
        <v>27</v>
      </c>
      <c r="C99" s="142">
        <v>2</v>
      </c>
      <c r="D99" s="143">
        <v>6</v>
      </c>
      <c r="E99" s="231" t="s">
        <v>27</v>
      </c>
      <c r="F99" s="231" t="s">
        <v>27</v>
      </c>
      <c r="G99" s="144" t="s">
        <v>27</v>
      </c>
      <c r="H99" s="232" t="s">
        <v>27</v>
      </c>
      <c r="I99" s="232" t="s">
        <v>27</v>
      </c>
      <c r="J99" s="232"/>
      <c r="M99" s="20"/>
    </row>
    <row r="100" spans="1:13">
      <c r="A100" s="233" t="s">
        <v>391</v>
      </c>
      <c r="B100" s="234" t="s">
        <v>27</v>
      </c>
      <c r="C100" s="142">
        <v>4</v>
      </c>
      <c r="D100" s="143">
        <v>4</v>
      </c>
      <c r="E100" s="234" t="s">
        <v>27</v>
      </c>
      <c r="F100" s="234" t="s">
        <v>27</v>
      </c>
      <c r="G100" s="144" t="s">
        <v>27</v>
      </c>
      <c r="H100" s="235">
        <v>70</v>
      </c>
      <c r="I100" s="145">
        <v>75</v>
      </c>
      <c r="J100" s="235"/>
      <c r="M100" s="20"/>
    </row>
    <row r="101" spans="1:13">
      <c r="A101" s="236" t="s">
        <v>392</v>
      </c>
      <c r="B101" s="237" t="s">
        <v>27</v>
      </c>
      <c r="C101" s="142">
        <v>2</v>
      </c>
      <c r="D101" s="143">
        <v>2</v>
      </c>
      <c r="E101" s="237" t="s">
        <v>27</v>
      </c>
      <c r="F101" s="237" t="s">
        <v>27</v>
      </c>
      <c r="G101" s="144" t="s">
        <v>27</v>
      </c>
      <c r="H101" s="238">
        <v>70</v>
      </c>
      <c r="I101" s="145">
        <v>75</v>
      </c>
      <c r="J101" s="238"/>
      <c r="M101" s="20"/>
    </row>
    <row r="102" spans="1:13">
      <c r="A102" s="239" t="s">
        <v>393</v>
      </c>
      <c r="B102" s="240" t="s">
        <v>27</v>
      </c>
      <c r="C102" s="142" t="s">
        <v>27</v>
      </c>
      <c r="D102" s="143">
        <v>4</v>
      </c>
      <c r="E102" s="240" t="s">
        <v>27</v>
      </c>
      <c r="F102" s="240" t="s">
        <v>27</v>
      </c>
      <c r="G102" s="144" t="s">
        <v>27</v>
      </c>
      <c r="H102" s="241" t="s">
        <v>27</v>
      </c>
      <c r="I102" s="241" t="s">
        <v>27</v>
      </c>
      <c r="J102" s="241"/>
      <c r="M102" s="20"/>
    </row>
    <row r="103" spans="1:13">
      <c r="A103" s="242" t="s">
        <v>394</v>
      </c>
      <c r="B103" s="243" t="s">
        <v>27</v>
      </c>
      <c r="C103" s="142">
        <v>2</v>
      </c>
      <c r="D103" s="143">
        <v>6</v>
      </c>
      <c r="E103" s="243" t="s">
        <v>27</v>
      </c>
      <c r="F103" s="243" t="s">
        <v>27</v>
      </c>
      <c r="G103" s="144" t="s">
        <v>27</v>
      </c>
      <c r="H103" s="244" t="s">
        <v>27</v>
      </c>
      <c r="I103" s="244" t="s">
        <v>27</v>
      </c>
      <c r="J103" s="244"/>
      <c r="M103" s="20"/>
    </row>
    <row r="104" spans="1:13">
      <c r="A104" s="245" t="s">
        <v>395</v>
      </c>
      <c r="B104" s="246" t="s">
        <v>27</v>
      </c>
      <c r="C104" s="247">
        <v>2</v>
      </c>
      <c r="D104" s="248">
        <v>4</v>
      </c>
      <c r="E104" s="246" t="s">
        <v>27</v>
      </c>
      <c r="F104" s="246" t="s">
        <v>27</v>
      </c>
      <c r="G104" s="249" t="s">
        <v>27</v>
      </c>
      <c r="H104" s="244" t="s">
        <v>27</v>
      </c>
      <c r="I104" s="244" t="s">
        <v>27</v>
      </c>
      <c r="J104" s="145"/>
      <c r="M104" s="20"/>
    </row>
    <row r="105" spans="1:13">
      <c r="A105" s="245" t="s">
        <v>396</v>
      </c>
      <c r="B105" s="246" t="s">
        <v>273</v>
      </c>
      <c r="C105" s="247" t="s">
        <v>27</v>
      </c>
      <c r="D105" s="248">
        <v>10</v>
      </c>
      <c r="E105" s="246" t="s">
        <v>269</v>
      </c>
      <c r="F105" s="246" t="s">
        <v>270</v>
      </c>
      <c r="G105" s="249" t="s">
        <v>27</v>
      </c>
      <c r="H105" s="244" t="s">
        <v>27</v>
      </c>
      <c r="I105" s="244" t="s">
        <v>27</v>
      </c>
      <c r="J105" s="250"/>
      <c r="M105" s="20"/>
    </row>
    <row r="106" spans="1:13">
      <c r="A106" s="251" t="s">
        <v>397</v>
      </c>
      <c r="B106" s="252" t="s">
        <v>273</v>
      </c>
      <c r="C106" s="247" t="s">
        <v>27</v>
      </c>
      <c r="D106" s="248">
        <v>10</v>
      </c>
      <c r="E106" s="252" t="s">
        <v>269</v>
      </c>
      <c r="F106" s="252" t="s">
        <v>270</v>
      </c>
      <c r="G106" s="249" t="s">
        <v>27</v>
      </c>
      <c r="H106" s="244" t="s">
        <v>27</v>
      </c>
      <c r="I106" s="244" t="s">
        <v>27</v>
      </c>
      <c r="J106" s="250"/>
      <c r="M106" s="20"/>
    </row>
    <row r="107" spans="1:13">
      <c r="A107" s="251" t="s">
        <v>398</v>
      </c>
      <c r="B107" s="252" t="s">
        <v>273</v>
      </c>
      <c r="C107" s="247">
        <v>2</v>
      </c>
      <c r="D107" s="248">
        <v>6</v>
      </c>
      <c r="E107" s="252" t="s">
        <v>269</v>
      </c>
      <c r="F107" s="252" t="s">
        <v>270</v>
      </c>
      <c r="G107" s="249" t="s">
        <v>27</v>
      </c>
      <c r="H107" s="244">
        <v>72</v>
      </c>
      <c r="I107" s="253">
        <v>78</v>
      </c>
      <c r="J107" s="253"/>
      <c r="M107" s="20"/>
    </row>
    <row r="108" spans="1:13">
      <c r="A108" s="254" t="s">
        <v>399</v>
      </c>
      <c r="B108" s="255" t="s">
        <v>273</v>
      </c>
      <c r="C108" s="247">
        <v>2</v>
      </c>
      <c r="D108" s="248">
        <v>10</v>
      </c>
      <c r="E108" s="255" t="s">
        <v>269</v>
      </c>
      <c r="F108" s="255" t="s">
        <v>270</v>
      </c>
      <c r="G108" s="249" t="s">
        <v>27</v>
      </c>
      <c r="H108" s="244" t="s">
        <v>27</v>
      </c>
      <c r="I108" s="244" t="s">
        <v>27</v>
      </c>
      <c r="J108" s="253"/>
      <c r="M108" s="20"/>
    </row>
    <row r="109" spans="1:13">
      <c r="A109" s="254" t="s">
        <v>400</v>
      </c>
      <c r="B109" s="255" t="s">
        <v>27</v>
      </c>
      <c r="C109" s="247">
        <v>2</v>
      </c>
      <c r="D109" s="248">
        <v>6</v>
      </c>
      <c r="E109" s="255" t="s">
        <v>269</v>
      </c>
      <c r="F109" s="255" t="s">
        <v>27</v>
      </c>
      <c r="G109" s="249" t="s">
        <v>27</v>
      </c>
      <c r="H109" s="244" t="s">
        <v>27</v>
      </c>
      <c r="I109" s="244" t="s">
        <v>27</v>
      </c>
      <c r="J109" s="256"/>
      <c r="M109" s="20"/>
    </row>
    <row r="110" spans="1:13">
      <c r="A110" s="257" t="s">
        <v>401</v>
      </c>
      <c r="B110" s="258" t="s">
        <v>27</v>
      </c>
      <c r="C110" s="247">
        <v>2</v>
      </c>
      <c r="D110" s="248">
        <v>6</v>
      </c>
      <c r="E110" s="258" t="s">
        <v>27</v>
      </c>
      <c r="F110" s="258" t="s">
        <v>27</v>
      </c>
      <c r="G110" s="249" t="s">
        <v>27</v>
      </c>
      <c r="H110" s="244" t="s">
        <v>27</v>
      </c>
      <c r="I110" s="244" t="s">
        <v>27</v>
      </c>
      <c r="J110" s="256"/>
      <c r="M110" s="20"/>
    </row>
    <row r="111" spans="1:13">
      <c r="A111" s="257" t="s">
        <v>402</v>
      </c>
      <c r="B111" s="258" t="s">
        <v>277</v>
      </c>
      <c r="C111" s="247">
        <v>2</v>
      </c>
      <c r="D111" s="248">
        <v>4</v>
      </c>
      <c r="E111" s="258" t="s">
        <v>27</v>
      </c>
      <c r="F111" s="258" t="s">
        <v>27</v>
      </c>
      <c r="G111" s="249" t="s">
        <v>274</v>
      </c>
      <c r="H111" s="244">
        <v>72</v>
      </c>
      <c r="I111" s="259">
        <v>78</v>
      </c>
      <c r="J111" s="259"/>
      <c r="M111" s="20"/>
    </row>
    <row r="112" spans="1:13">
      <c r="A112" s="260" t="s">
        <v>403</v>
      </c>
      <c r="B112" s="258" t="s">
        <v>273</v>
      </c>
      <c r="C112" s="247" t="s">
        <v>27</v>
      </c>
      <c r="D112" s="248">
        <v>10</v>
      </c>
      <c r="E112" s="258" t="s">
        <v>269</v>
      </c>
      <c r="F112" s="258" t="s">
        <v>270</v>
      </c>
      <c r="G112" s="249" t="s">
        <v>27</v>
      </c>
      <c r="H112" s="244" t="s">
        <v>27</v>
      </c>
      <c r="I112" s="244" t="s">
        <v>27</v>
      </c>
      <c r="J112" s="259"/>
      <c r="M112" s="20"/>
    </row>
    <row r="113" spans="1:13">
      <c r="A113" s="260" t="s">
        <v>404</v>
      </c>
      <c r="B113" s="258" t="s">
        <v>27</v>
      </c>
      <c r="C113" s="247">
        <v>2</v>
      </c>
      <c r="D113" s="248">
        <v>6</v>
      </c>
      <c r="E113" s="258" t="s">
        <v>27</v>
      </c>
      <c r="F113" s="258" t="s">
        <v>270</v>
      </c>
      <c r="G113" s="249" t="s">
        <v>27</v>
      </c>
      <c r="H113" s="244" t="s">
        <v>27</v>
      </c>
      <c r="I113" s="244" t="s">
        <v>27</v>
      </c>
      <c r="J113" s="259"/>
      <c r="M113" s="20"/>
    </row>
    <row r="114" spans="1:13">
      <c r="A114" s="260" t="s">
        <v>405</v>
      </c>
      <c r="B114" s="258" t="s">
        <v>273</v>
      </c>
      <c r="C114" s="247" t="s">
        <v>27</v>
      </c>
      <c r="D114" s="248">
        <v>10</v>
      </c>
      <c r="E114" s="258" t="s">
        <v>269</v>
      </c>
      <c r="F114" s="258" t="s">
        <v>270</v>
      </c>
      <c r="G114" s="249" t="s">
        <v>27</v>
      </c>
      <c r="H114" s="244" t="s">
        <v>27</v>
      </c>
      <c r="I114" s="244" t="s">
        <v>27</v>
      </c>
      <c r="J114" s="259"/>
      <c r="M114" s="20"/>
    </row>
    <row r="115" spans="1:13">
      <c r="A115" s="260" t="s">
        <v>406</v>
      </c>
      <c r="B115" s="258" t="s">
        <v>277</v>
      </c>
      <c r="C115" s="247">
        <v>3</v>
      </c>
      <c r="D115" s="248">
        <v>15</v>
      </c>
      <c r="E115" s="258" t="s">
        <v>27</v>
      </c>
      <c r="F115" s="258" t="s">
        <v>270</v>
      </c>
      <c r="G115" s="249" t="s">
        <v>295</v>
      </c>
      <c r="H115" s="244">
        <v>70</v>
      </c>
      <c r="I115" s="259">
        <v>75</v>
      </c>
      <c r="J115" s="259" t="s">
        <v>407</v>
      </c>
      <c r="M115" s="20"/>
    </row>
    <row r="116" spans="1:13">
      <c r="A116" s="260" t="s">
        <v>408</v>
      </c>
      <c r="B116" s="258" t="s">
        <v>27</v>
      </c>
      <c r="C116" s="247">
        <v>2</v>
      </c>
      <c r="D116" s="248">
        <v>6</v>
      </c>
      <c r="E116" s="258" t="s">
        <v>27</v>
      </c>
      <c r="F116" s="258" t="s">
        <v>27</v>
      </c>
      <c r="G116" s="249" t="s">
        <v>295</v>
      </c>
      <c r="H116" s="244">
        <v>70</v>
      </c>
      <c r="I116" s="259">
        <v>75</v>
      </c>
      <c r="J116" s="259" t="s">
        <v>29</v>
      </c>
      <c r="M116" s="20"/>
    </row>
    <row r="117" spans="1:13">
      <c r="A117" s="260" t="s">
        <v>409</v>
      </c>
      <c r="B117" s="258" t="s">
        <v>27</v>
      </c>
      <c r="C117" s="247">
        <v>2</v>
      </c>
      <c r="D117" s="248">
        <v>6</v>
      </c>
      <c r="E117" s="258" t="s">
        <v>27</v>
      </c>
      <c r="F117" s="258" t="s">
        <v>27</v>
      </c>
      <c r="G117" s="249" t="s">
        <v>274</v>
      </c>
      <c r="H117" s="244">
        <v>70</v>
      </c>
      <c r="I117" s="259">
        <v>75</v>
      </c>
      <c r="J117" s="259" t="s">
        <v>312</v>
      </c>
      <c r="M117" s="20"/>
    </row>
    <row r="118" spans="1:13">
      <c r="A118" s="260" t="s">
        <v>410</v>
      </c>
      <c r="B118" s="258" t="s">
        <v>273</v>
      </c>
      <c r="C118" s="247">
        <v>2</v>
      </c>
      <c r="D118" s="248">
        <v>12</v>
      </c>
      <c r="E118" s="258" t="s">
        <v>269</v>
      </c>
      <c r="F118" s="258" t="s">
        <v>27</v>
      </c>
      <c r="G118" s="249" t="s">
        <v>274</v>
      </c>
      <c r="H118" s="244">
        <v>70</v>
      </c>
      <c r="I118" s="259">
        <v>75</v>
      </c>
      <c r="J118" s="259" t="s">
        <v>421</v>
      </c>
      <c r="M118" s="20"/>
    </row>
    <row r="119" spans="1:13">
      <c r="A119" s="260" t="s">
        <v>411</v>
      </c>
      <c r="B119" s="258" t="s">
        <v>27</v>
      </c>
      <c r="C119" s="247">
        <v>2</v>
      </c>
      <c r="D119" s="248">
        <v>6</v>
      </c>
      <c r="E119" s="258" t="s">
        <v>27</v>
      </c>
      <c r="F119" s="258" t="s">
        <v>27</v>
      </c>
      <c r="G119" s="249" t="s">
        <v>27</v>
      </c>
      <c r="H119" s="244" t="s">
        <v>27</v>
      </c>
      <c r="I119" s="244" t="s">
        <v>27</v>
      </c>
      <c r="J119" s="259"/>
      <c r="M119" s="20"/>
    </row>
    <row r="120" spans="1:13">
      <c r="A120" s="260" t="s">
        <v>412</v>
      </c>
      <c r="B120" s="258" t="s">
        <v>27</v>
      </c>
      <c r="C120" s="247">
        <v>2</v>
      </c>
      <c r="D120" s="248">
        <v>2</v>
      </c>
      <c r="E120" s="258" t="s">
        <v>27</v>
      </c>
      <c r="F120" s="258" t="s">
        <v>27</v>
      </c>
      <c r="G120" s="249" t="s">
        <v>27</v>
      </c>
      <c r="H120" s="244" t="s">
        <v>27</v>
      </c>
      <c r="I120" s="244" t="s">
        <v>27</v>
      </c>
      <c r="J120" s="259"/>
      <c r="M120" s="20"/>
    </row>
    <row r="121" spans="1:13">
      <c r="A121" s="260" t="s">
        <v>413</v>
      </c>
      <c r="B121" s="258" t="s">
        <v>273</v>
      </c>
      <c r="C121" s="247">
        <v>2</v>
      </c>
      <c r="D121" s="248">
        <v>12</v>
      </c>
      <c r="E121" s="258" t="s">
        <v>269</v>
      </c>
      <c r="F121" s="258" t="s">
        <v>270</v>
      </c>
      <c r="G121" s="249" t="s">
        <v>27</v>
      </c>
      <c r="H121" s="244" t="s">
        <v>27</v>
      </c>
      <c r="I121" s="244" t="s">
        <v>27</v>
      </c>
      <c r="J121" s="259"/>
      <c r="M121" s="20"/>
    </row>
    <row r="122" spans="1:13">
      <c r="A122" s="260" t="s">
        <v>414</v>
      </c>
      <c r="B122" s="258" t="s">
        <v>273</v>
      </c>
      <c r="C122" s="247">
        <v>2</v>
      </c>
      <c r="D122" s="248">
        <v>10</v>
      </c>
      <c r="E122" s="258" t="s">
        <v>269</v>
      </c>
      <c r="F122" s="258" t="s">
        <v>27</v>
      </c>
      <c r="G122" s="249" t="s">
        <v>27</v>
      </c>
      <c r="H122" s="244" t="s">
        <v>27</v>
      </c>
      <c r="I122" s="244" t="s">
        <v>27</v>
      </c>
      <c r="J122" s="259" t="s">
        <v>421</v>
      </c>
      <c r="M122" s="20"/>
    </row>
    <row r="123" spans="1:13">
      <c r="A123" s="260" t="s">
        <v>415</v>
      </c>
      <c r="B123" s="258" t="s">
        <v>273</v>
      </c>
      <c r="C123" s="247" t="s">
        <v>27</v>
      </c>
      <c r="D123" s="248">
        <v>10</v>
      </c>
      <c r="E123" s="258" t="s">
        <v>269</v>
      </c>
      <c r="F123" s="258" t="s">
        <v>270</v>
      </c>
      <c r="G123" s="249" t="s">
        <v>27</v>
      </c>
      <c r="H123" s="244" t="s">
        <v>27</v>
      </c>
      <c r="I123" s="244" t="s">
        <v>27</v>
      </c>
      <c r="J123" s="259"/>
      <c r="M123" s="20"/>
    </row>
    <row r="124" spans="1:13">
      <c r="A124" s="260" t="s">
        <v>416</v>
      </c>
      <c r="B124" s="258" t="s">
        <v>27</v>
      </c>
      <c r="C124" s="247">
        <v>2</v>
      </c>
      <c r="D124" s="248">
        <v>6</v>
      </c>
      <c r="E124" s="258" t="s">
        <v>27</v>
      </c>
      <c r="F124" s="258" t="s">
        <v>270</v>
      </c>
      <c r="G124" s="249" t="s">
        <v>417</v>
      </c>
      <c r="H124" s="244">
        <v>70</v>
      </c>
      <c r="I124" s="259">
        <v>75</v>
      </c>
      <c r="J124" s="259"/>
      <c r="M124" s="20"/>
    </row>
    <row r="125" spans="1:13">
      <c r="A125" s="261" t="s">
        <v>418</v>
      </c>
      <c r="B125" s="258" t="s">
        <v>27</v>
      </c>
      <c r="C125" s="247">
        <v>2</v>
      </c>
      <c r="D125" s="248">
        <v>6</v>
      </c>
      <c r="E125" s="258" t="s">
        <v>27</v>
      </c>
      <c r="F125" s="258" t="s">
        <v>27</v>
      </c>
      <c r="G125" s="249" t="s">
        <v>274</v>
      </c>
      <c r="H125" s="244">
        <v>72</v>
      </c>
      <c r="I125" s="259">
        <v>78</v>
      </c>
      <c r="J125" s="259"/>
      <c r="M125" s="20"/>
    </row>
    <row r="126" spans="1:13">
      <c r="A126" s="267" t="s">
        <v>425</v>
      </c>
      <c r="B126" s="262" t="s">
        <v>27</v>
      </c>
      <c r="C126" s="263">
        <v>2</v>
      </c>
      <c r="D126" s="264">
        <v>6</v>
      </c>
      <c r="E126" s="262" t="s">
        <v>27</v>
      </c>
      <c r="F126" s="262" t="s">
        <v>27</v>
      </c>
      <c r="G126" s="265" t="s">
        <v>27</v>
      </c>
      <c r="H126" s="266" t="s">
        <v>27</v>
      </c>
      <c r="I126" s="266" t="s">
        <v>27</v>
      </c>
      <c r="J126" s="266"/>
      <c r="M126" s="20"/>
    </row>
    <row r="127" spans="1:13">
      <c r="A127" s="261" t="s">
        <v>419</v>
      </c>
      <c r="B127" s="258" t="s">
        <v>277</v>
      </c>
      <c r="C127" s="247">
        <v>3</v>
      </c>
      <c r="D127" s="248">
        <v>15</v>
      </c>
      <c r="E127" s="258" t="s">
        <v>27</v>
      </c>
      <c r="F127" s="258" t="s">
        <v>270</v>
      </c>
      <c r="G127" s="249" t="s">
        <v>274</v>
      </c>
      <c r="H127" s="259">
        <v>70</v>
      </c>
      <c r="I127" s="259">
        <v>75</v>
      </c>
      <c r="J127" s="259"/>
      <c r="M127" s="20"/>
    </row>
    <row r="128" spans="1:13">
      <c r="M128" s="20"/>
    </row>
    <row r="129" spans="13:13">
      <c r="M129" s="20"/>
    </row>
    <row r="130" spans="13:13">
      <c r="M130" s="20"/>
    </row>
    <row r="131" spans="13:13">
      <c r="M131" s="20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N15" sqref="N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23" t="s">
        <v>124</v>
      </c>
      <c r="B4" s="24"/>
      <c r="C4" s="24"/>
      <c r="D4" s="24"/>
      <c r="E4" s="24"/>
      <c r="F4" s="24"/>
      <c r="G4" s="24"/>
      <c r="H4" s="24"/>
      <c r="I4" s="24"/>
      <c r="J4" s="24"/>
      <c r="K4" s="24"/>
    </row>
    <row r="5" spans="1:18">
      <c r="A5" s="345" t="s">
        <v>125</v>
      </c>
      <c r="B5" s="347" t="s">
        <v>126</v>
      </c>
      <c r="C5" s="348"/>
      <c r="D5" s="348"/>
      <c r="E5" s="348"/>
      <c r="F5" s="348"/>
      <c r="G5" s="348"/>
      <c r="H5" s="348"/>
      <c r="I5" s="348"/>
      <c r="J5" s="348"/>
      <c r="K5" s="349"/>
      <c r="P5" s="16" t="s">
        <v>139</v>
      </c>
    </row>
    <row r="6" spans="1:18">
      <c r="A6" s="346"/>
      <c r="B6" s="34">
        <v>0</v>
      </c>
      <c r="C6" s="25">
        <v>0.1</v>
      </c>
      <c r="D6" s="25">
        <v>0.2</v>
      </c>
      <c r="E6" s="25">
        <v>0.3</v>
      </c>
      <c r="F6" s="25">
        <v>0.4</v>
      </c>
      <c r="G6" s="25">
        <v>0.5</v>
      </c>
      <c r="H6" s="25">
        <v>0.6</v>
      </c>
      <c r="I6" s="25">
        <v>0.7</v>
      </c>
      <c r="J6" s="25">
        <v>0.8</v>
      </c>
      <c r="K6" s="25">
        <v>0.9</v>
      </c>
      <c r="M6" t="s">
        <v>130</v>
      </c>
    </row>
    <row r="7" spans="1:18" ht="14.25">
      <c r="A7" s="26">
        <v>35</v>
      </c>
      <c r="B7" s="27">
        <v>13.01</v>
      </c>
      <c r="C7" s="27">
        <v>13.05</v>
      </c>
      <c r="D7" s="27">
        <v>13.1</v>
      </c>
      <c r="E7" s="27">
        <v>13.14</v>
      </c>
      <c r="F7" s="27">
        <v>13.18</v>
      </c>
      <c r="G7" s="27">
        <v>13.23</v>
      </c>
      <c r="H7" s="27">
        <v>13.27</v>
      </c>
      <c r="I7" s="27">
        <v>13.31</v>
      </c>
      <c r="J7" s="27">
        <v>13.35</v>
      </c>
      <c r="K7" s="27">
        <v>13.4</v>
      </c>
      <c r="M7" t="s">
        <v>128</v>
      </c>
      <c r="N7">
        <f>FLOOR(AHU_Psych!O12,1)</f>
        <v>61</v>
      </c>
      <c r="P7" s="350" t="s">
        <v>53</v>
      </c>
      <c r="Q7" s="351"/>
      <c r="R7" s="352"/>
    </row>
    <row r="8" spans="1:18" ht="14.25">
      <c r="A8" s="28">
        <v>36</v>
      </c>
      <c r="B8" s="29">
        <v>13.44</v>
      </c>
      <c r="C8" s="29">
        <v>13.48</v>
      </c>
      <c r="D8" s="29">
        <v>13.53</v>
      </c>
      <c r="E8" s="29">
        <v>13.57</v>
      </c>
      <c r="F8" s="29">
        <v>13.61</v>
      </c>
      <c r="G8" s="29">
        <v>13.66</v>
      </c>
      <c r="H8" s="29">
        <v>13.7</v>
      </c>
      <c r="I8" s="29">
        <v>13.75</v>
      </c>
      <c r="J8" s="29">
        <v>13.79</v>
      </c>
      <c r="K8" s="29">
        <v>13.83</v>
      </c>
      <c r="M8" t="s">
        <v>129</v>
      </c>
      <c r="N8" s="33">
        <f>ROUND(AHU_Psych!O12 - N7,1)</f>
        <v>0.5</v>
      </c>
      <c r="P8" s="8" t="s">
        <v>33</v>
      </c>
      <c r="Q8" s="9" t="s">
        <v>54</v>
      </c>
      <c r="R8" s="9" t="s">
        <v>71</v>
      </c>
    </row>
    <row r="9" spans="1:18">
      <c r="A9" s="28">
        <v>37</v>
      </c>
      <c r="B9" s="29">
        <v>13.87</v>
      </c>
      <c r="C9" s="29">
        <v>13.91</v>
      </c>
      <c r="D9" s="29">
        <v>13.96</v>
      </c>
      <c r="E9" s="29">
        <v>14</v>
      </c>
      <c r="F9" s="29">
        <v>14.05</v>
      </c>
      <c r="G9" s="29">
        <v>14.09</v>
      </c>
      <c r="H9" s="29">
        <v>14.14</v>
      </c>
      <c r="I9" s="29">
        <v>14.18</v>
      </c>
      <c r="J9" s="29">
        <v>14.23</v>
      </c>
      <c r="K9" s="29">
        <v>14.27</v>
      </c>
      <c r="P9" s="4">
        <v>1</v>
      </c>
      <c r="Q9" s="10">
        <v>6</v>
      </c>
      <c r="R9" s="10">
        <v>30</v>
      </c>
    </row>
    <row r="10" spans="1:18">
      <c r="A10" s="28">
        <v>38</v>
      </c>
      <c r="B10" s="29">
        <v>14.32</v>
      </c>
      <c r="C10" s="29">
        <v>14.37</v>
      </c>
      <c r="D10" s="29">
        <v>14.41</v>
      </c>
      <c r="E10" s="29">
        <v>14.46</v>
      </c>
      <c r="F10" s="29">
        <v>14.5</v>
      </c>
      <c r="G10" s="29">
        <v>14.55</v>
      </c>
      <c r="H10" s="29">
        <v>14.59</v>
      </c>
      <c r="I10" s="29">
        <v>14.64</v>
      </c>
      <c r="J10" s="29">
        <v>14.68</v>
      </c>
      <c r="K10" s="29">
        <v>14.73</v>
      </c>
      <c r="P10" s="4">
        <v>400</v>
      </c>
      <c r="Q10" s="10">
        <v>8</v>
      </c>
      <c r="R10" s="10">
        <v>30</v>
      </c>
    </row>
    <row r="11" spans="1:18">
      <c r="A11" s="30">
        <v>39</v>
      </c>
      <c r="B11" s="31">
        <v>14.77</v>
      </c>
      <c r="C11" s="31">
        <v>14.82</v>
      </c>
      <c r="D11" s="31">
        <v>14.86</v>
      </c>
      <c r="E11" s="31">
        <v>14.91</v>
      </c>
      <c r="F11" s="31">
        <v>14.95</v>
      </c>
      <c r="G11" s="31">
        <v>15</v>
      </c>
      <c r="H11" s="31">
        <v>15.05</v>
      </c>
      <c r="I11" s="31">
        <v>15.09</v>
      </c>
      <c r="J11" s="31">
        <v>15.14</v>
      </c>
      <c r="K11" s="31">
        <v>15.18</v>
      </c>
      <c r="P11" s="4">
        <v>700</v>
      </c>
      <c r="Q11" s="10">
        <v>10</v>
      </c>
      <c r="R11" s="10">
        <v>35</v>
      </c>
    </row>
    <row r="12" spans="1:18">
      <c r="A12" s="26">
        <v>40</v>
      </c>
      <c r="B12" s="27">
        <v>15.23</v>
      </c>
      <c r="C12" s="27">
        <v>15.28</v>
      </c>
      <c r="D12" s="27">
        <v>15.32</v>
      </c>
      <c r="E12" s="27">
        <v>15.37</v>
      </c>
      <c r="F12" s="27">
        <v>15.42</v>
      </c>
      <c r="G12" s="27">
        <v>15.46</v>
      </c>
      <c r="H12" s="27">
        <v>15.51</v>
      </c>
      <c r="I12" s="27">
        <v>15.56</v>
      </c>
      <c r="J12" s="27">
        <v>15.6</v>
      </c>
      <c r="K12" s="27">
        <v>15.65</v>
      </c>
      <c r="P12" s="4">
        <v>1000</v>
      </c>
      <c r="Q12" s="10">
        <v>12</v>
      </c>
      <c r="R12" s="10">
        <v>45</v>
      </c>
    </row>
    <row r="13" spans="1:18">
      <c r="A13" s="28">
        <v>41</v>
      </c>
      <c r="B13" s="29">
        <v>15.7</v>
      </c>
      <c r="C13" s="29">
        <v>15.75</v>
      </c>
      <c r="D13" s="29">
        <v>15.8</v>
      </c>
      <c r="E13" s="29">
        <v>15.84</v>
      </c>
      <c r="F13" s="29">
        <v>15.89</v>
      </c>
      <c r="G13" s="29">
        <v>15.94</v>
      </c>
      <c r="H13" s="29">
        <v>15.99</v>
      </c>
      <c r="I13" s="29">
        <v>16.03</v>
      </c>
      <c r="J13" s="29">
        <v>16.079999999999998</v>
      </c>
      <c r="K13" s="29">
        <v>16.13</v>
      </c>
      <c r="P13" s="4">
        <v>1500</v>
      </c>
      <c r="Q13" s="10">
        <v>14</v>
      </c>
      <c r="R13" s="10">
        <v>55</v>
      </c>
    </row>
    <row r="14" spans="1:18" ht="13.5" thickBot="1">
      <c r="A14" s="28">
        <v>42</v>
      </c>
      <c r="B14" s="29">
        <v>16.170000000000002</v>
      </c>
      <c r="C14" s="29">
        <v>16.22</v>
      </c>
      <c r="D14" s="29">
        <v>16.27</v>
      </c>
      <c r="E14" s="29">
        <v>16.32</v>
      </c>
      <c r="F14" s="29">
        <v>16.36</v>
      </c>
      <c r="G14" s="29">
        <v>16.41</v>
      </c>
      <c r="H14" s="29">
        <v>16.46</v>
      </c>
      <c r="I14" s="29">
        <v>16.510000000000002</v>
      </c>
      <c r="J14" s="29">
        <v>16.559999999999999</v>
      </c>
      <c r="K14" s="29">
        <v>16.61</v>
      </c>
      <c r="P14" s="11">
        <v>2100</v>
      </c>
      <c r="Q14" s="12">
        <v>16</v>
      </c>
      <c r="R14" s="12">
        <v>60</v>
      </c>
    </row>
    <row r="15" spans="1:18">
      <c r="A15" s="28">
        <v>43</v>
      </c>
      <c r="B15" s="29">
        <v>16.66</v>
      </c>
      <c r="C15" s="29">
        <v>16.71</v>
      </c>
      <c r="D15" s="29">
        <v>16.760000000000002</v>
      </c>
      <c r="E15" s="29">
        <v>16.809999999999999</v>
      </c>
      <c r="F15" s="29">
        <v>16.86</v>
      </c>
      <c r="G15" s="29">
        <v>16.91</v>
      </c>
      <c r="H15" s="29">
        <v>16.96</v>
      </c>
      <c r="I15" s="29">
        <v>17</v>
      </c>
      <c r="J15" s="29">
        <v>17.05</v>
      </c>
      <c r="K15" s="29">
        <v>17.100000000000001</v>
      </c>
    </row>
    <row r="16" spans="1:18">
      <c r="A16" s="30">
        <v>44</v>
      </c>
      <c r="B16" s="31">
        <v>17.149999999999999</v>
      </c>
      <c r="C16" s="31">
        <v>17.2</v>
      </c>
      <c r="D16" s="31">
        <v>17.25</v>
      </c>
      <c r="E16" s="31">
        <v>17.3</v>
      </c>
      <c r="F16" s="31">
        <v>17.350000000000001</v>
      </c>
      <c r="G16" s="31">
        <v>17.399999999999999</v>
      </c>
      <c r="H16" s="31">
        <v>17.45</v>
      </c>
      <c r="I16" s="31">
        <v>17.5</v>
      </c>
      <c r="J16" s="31">
        <v>17.55</v>
      </c>
      <c r="K16" s="31">
        <v>17.600000000000001</v>
      </c>
    </row>
    <row r="17" spans="1:16">
      <c r="A17" s="26">
        <v>45</v>
      </c>
      <c r="B17" s="27">
        <v>17.649999999999999</v>
      </c>
      <c r="C17" s="27">
        <v>17.7</v>
      </c>
      <c r="D17" s="27">
        <v>17.75</v>
      </c>
      <c r="E17" s="27">
        <v>17.8</v>
      </c>
      <c r="F17" s="27">
        <v>17.850000000000001</v>
      </c>
      <c r="G17" s="27">
        <v>17.91</v>
      </c>
      <c r="H17" s="27">
        <v>17.96</v>
      </c>
      <c r="I17" s="27">
        <v>18.010000000000002</v>
      </c>
      <c r="J17" s="27">
        <v>18.059999999999999</v>
      </c>
      <c r="K17" s="27">
        <v>18.11</v>
      </c>
    </row>
    <row r="18" spans="1:16">
      <c r="A18" s="28">
        <v>46</v>
      </c>
      <c r="B18" s="29">
        <v>18.16</v>
      </c>
      <c r="C18" s="29">
        <v>18.21</v>
      </c>
      <c r="D18" s="29">
        <v>18.260000000000002</v>
      </c>
      <c r="E18" s="29">
        <v>18.32</v>
      </c>
      <c r="F18" s="29">
        <v>18.37</v>
      </c>
      <c r="G18" s="29">
        <v>18.420000000000002</v>
      </c>
      <c r="H18" s="29">
        <v>18.47</v>
      </c>
      <c r="I18" s="29">
        <v>18.52</v>
      </c>
      <c r="J18" s="29">
        <v>18.579999999999998</v>
      </c>
      <c r="K18" s="29">
        <v>18.63</v>
      </c>
      <c r="P18" s="16" t="s">
        <v>205</v>
      </c>
    </row>
    <row r="19" spans="1:16">
      <c r="A19" s="28">
        <v>47</v>
      </c>
      <c r="B19" s="29">
        <v>18.68</v>
      </c>
      <c r="C19" s="29">
        <v>18.73</v>
      </c>
      <c r="D19" s="29">
        <v>18.79</v>
      </c>
      <c r="E19" s="29">
        <v>18.84</v>
      </c>
      <c r="F19" s="29">
        <v>18.89</v>
      </c>
      <c r="G19" s="29">
        <v>18.95</v>
      </c>
      <c r="H19" s="29">
        <v>19</v>
      </c>
      <c r="I19" s="29">
        <v>19.05</v>
      </c>
      <c r="J19" s="29">
        <v>19.100000000000001</v>
      </c>
      <c r="K19" s="29">
        <v>19.16</v>
      </c>
    </row>
    <row r="20" spans="1:16">
      <c r="A20" s="28">
        <v>48</v>
      </c>
      <c r="B20" s="29">
        <v>19.21</v>
      </c>
      <c r="C20" s="29">
        <v>19.260000000000002</v>
      </c>
      <c r="D20" s="29">
        <v>19.32</v>
      </c>
      <c r="E20" s="29">
        <v>19.37</v>
      </c>
      <c r="F20" s="29">
        <v>19.43</v>
      </c>
      <c r="G20" s="29">
        <v>19.48</v>
      </c>
      <c r="H20" s="29">
        <v>19.53</v>
      </c>
      <c r="I20" s="29">
        <v>16.59</v>
      </c>
      <c r="J20" s="29">
        <v>19.64</v>
      </c>
      <c r="K20" s="29">
        <v>19.7</v>
      </c>
    </row>
    <row r="21" spans="1:16">
      <c r="A21" s="30">
        <v>49</v>
      </c>
      <c r="B21" s="31">
        <v>19.75</v>
      </c>
      <c r="C21" s="31">
        <v>19.809999999999999</v>
      </c>
      <c r="D21" s="31">
        <v>19.86</v>
      </c>
      <c r="E21" s="31">
        <v>19.920000000000002</v>
      </c>
      <c r="F21" s="31">
        <v>19.97</v>
      </c>
      <c r="G21" s="31">
        <v>20.03</v>
      </c>
      <c r="H21" s="31">
        <v>20.079999999999998</v>
      </c>
      <c r="I21" s="31">
        <v>20.14</v>
      </c>
      <c r="J21" s="31">
        <v>20.190000000000001</v>
      </c>
      <c r="K21" s="31">
        <v>20.25</v>
      </c>
    </row>
    <row r="22" spans="1:16">
      <c r="A22" s="26">
        <v>50</v>
      </c>
      <c r="B22" s="27">
        <v>20.3</v>
      </c>
      <c r="C22" s="27">
        <v>20.36</v>
      </c>
      <c r="D22" s="27">
        <v>20.41</v>
      </c>
      <c r="E22" s="27">
        <v>20.47</v>
      </c>
      <c r="F22" s="27">
        <v>20.52</v>
      </c>
      <c r="G22" s="27">
        <v>20.58</v>
      </c>
      <c r="H22" s="27">
        <v>20.64</v>
      </c>
      <c r="I22" s="27">
        <v>20.69</v>
      </c>
      <c r="J22" s="27">
        <v>20.75</v>
      </c>
      <c r="K22" s="27">
        <v>20.8</v>
      </c>
    </row>
    <row r="23" spans="1:16">
      <c r="A23" s="28">
        <v>51</v>
      </c>
      <c r="B23" s="29">
        <v>20.86</v>
      </c>
      <c r="C23" s="29">
        <v>20.92</v>
      </c>
      <c r="D23" s="29">
        <v>20.97</v>
      </c>
      <c r="E23" s="29">
        <v>21.03</v>
      </c>
      <c r="F23" s="29">
        <v>21.09</v>
      </c>
      <c r="G23" s="29">
        <v>21.15</v>
      </c>
      <c r="H23" s="29">
        <v>21.2</v>
      </c>
      <c r="I23" s="29">
        <v>21.26</v>
      </c>
      <c r="J23" s="29">
        <v>21.32</v>
      </c>
      <c r="K23" s="29">
        <v>21.38</v>
      </c>
    </row>
    <row r="24" spans="1:16">
      <c r="A24" s="28">
        <v>52</v>
      </c>
      <c r="B24" s="29">
        <v>21.44</v>
      </c>
      <c r="C24" s="29">
        <v>21.5</v>
      </c>
      <c r="D24" s="29">
        <v>21.56</v>
      </c>
      <c r="E24" s="29">
        <v>21.62</v>
      </c>
      <c r="F24" s="29">
        <v>21.67</v>
      </c>
      <c r="G24" s="29">
        <v>21.73</v>
      </c>
      <c r="H24" s="29">
        <v>21.79</v>
      </c>
      <c r="I24" s="29">
        <v>21.85</v>
      </c>
      <c r="J24" s="29">
        <v>21.91</v>
      </c>
      <c r="K24" s="29">
        <v>21.97</v>
      </c>
    </row>
    <row r="25" spans="1:16">
      <c r="A25" s="28">
        <v>53</v>
      </c>
      <c r="B25" s="29">
        <v>22.02</v>
      </c>
      <c r="C25" s="29">
        <v>22.08</v>
      </c>
      <c r="D25" s="29">
        <v>22.14</v>
      </c>
      <c r="E25" s="29">
        <v>22.2</v>
      </c>
      <c r="F25" s="29">
        <v>22.26</v>
      </c>
      <c r="G25" s="29">
        <v>22.32</v>
      </c>
      <c r="H25" s="29">
        <v>22.38</v>
      </c>
      <c r="I25" s="29">
        <v>22.44</v>
      </c>
      <c r="J25" s="29">
        <v>22.5</v>
      </c>
      <c r="K25" s="29">
        <v>22.56</v>
      </c>
    </row>
    <row r="26" spans="1:16">
      <c r="A26" s="30">
        <v>54</v>
      </c>
      <c r="B26" s="31">
        <v>22.62</v>
      </c>
      <c r="C26" s="31">
        <v>22.68</v>
      </c>
      <c r="D26" s="31">
        <v>22.74</v>
      </c>
      <c r="E26" s="31">
        <v>22.8</v>
      </c>
      <c r="F26" s="31">
        <v>22.86</v>
      </c>
      <c r="G26" s="31">
        <v>22.92</v>
      </c>
      <c r="H26" s="31">
        <v>22.98</v>
      </c>
      <c r="I26" s="31">
        <v>23.04</v>
      </c>
      <c r="J26" s="31">
        <v>23.1</v>
      </c>
      <c r="K26" s="31">
        <v>23.16</v>
      </c>
    </row>
    <row r="27" spans="1:16">
      <c r="A27" s="26">
        <v>55</v>
      </c>
      <c r="B27" s="27">
        <v>23.22</v>
      </c>
      <c r="C27" s="27">
        <v>23.28</v>
      </c>
      <c r="D27" s="27">
        <v>23.34</v>
      </c>
      <c r="E27" s="27">
        <v>23.41</v>
      </c>
      <c r="F27" s="27">
        <v>23.47</v>
      </c>
      <c r="G27" s="27">
        <v>23.53</v>
      </c>
      <c r="H27" s="27">
        <v>23.59</v>
      </c>
      <c r="I27" s="27">
        <v>23.65</v>
      </c>
      <c r="J27" s="27">
        <v>23.72</v>
      </c>
      <c r="K27" s="27">
        <v>23.78</v>
      </c>
    </row>
    <row r="28" spans="1:16">
      <c r="A28" s="28">
        <v>56</v>
      </c>
      <c r="B28" s="29">
        <v>23.84</v>
      </c>
      <c r="C28" s="29">
        <v>23.9</v>
      </c>
      <c r="D28" s="29">
        <v>23.97</v>
      </c>
      <c r="E28" s="29">
        <v>24.03</v>
      </c>
      <c r="F28" s="29">
        <v>24.1</v>
      </c>
      <c r="G28" s="29">
        <v>24.16</v>
      </c>
      <c r="H28" s="29">
        <v>24.22</v>
      </c>
      <c r="I28" s="29">
        <v>24.29</v>
      </c>
      <c r="J28" s="29">
        <v>24.35</v>
      </c>
      <c r="K28" s="29">
        <v>24.42</v>
      </c>
    </row>
    <row r="29" spans="1:16">
      <c r="A29" s="28">
        <v>57</v>
      </c>
      <c r="B29" s="29">
        <v>24.48</v>
      </c>
      <c r="C29" s="29">
        <v>24.54</v>
      </c>
      <c r="D29" s="29">
        <v>24.61</v>
      </c>
      <c r="E29" s="29">
        <v>24.67</v>
      </c>
      <c r="F29" s="29">
        <v>24.74</v>
      </c>
      <c r="G29" s="29">
        <v>24.8</v>
      </c>
      <c r="H29" s="29">
        <v>24.86</v>
      </c>
      <c r="I29" s="29">
        <v>24.93</v>
      </c>
      <c r="J29" s="29">
        <v>24.99</v>
      </c>
      <c r="K29" s="29">
        <v>25.06</v>
      </c>
    </row>
    <row r="30" spans="1:16">
      <c r="A30" s="28">
        <v>58</v>
      </c>
      <c r="B30" s="29">
        <v>25.12</v>
      </c>
      <c r="C30" s="29">
        <v>25.19</v>
      </c>
      <c r="D30" s="29">
        <v>25.25</v>
      </c>
      <c r="E30" s="29">
        <v>25.32</v>
      </c>
      <c r="F30" s="29">
        <v>25.38</v>
      </c>
      <c r="G30" s="29">
        <v>25.45</v>
      </c>
      <c r="H30" s="29">
        <v>25.52</v>
      </c>
      <c r="I30" s="29">
        <v>25.58</v>
      </c>
      <c r="J30" s="29">
        <v>25.65</v>
      </c>
      <c r="K30" s="29">
        <v>25.71</v>
      </c>
    </row>
    <row r="31" spans="1:16">
      <c r="A31" s="30">
        <v>59</v>
      </c>
      <c r="B31" s="31">
        <v>25.78</v>
      </c>
      <c r="C31" s="31">
        <v>25.85</v>
      </c>
      <c r="D31" s="31">
        <v>25.92</v>
      </c>
      <c r="E31" s="31">
        <v>25.98</v>
      </c>
      <c r="F31" s="31">
        <v>26.05</v>
      </c>
      <c r="G31" s="31">
        <v>26.12</v>
      </c>
      <c r="H31" s="31">
        <v>26.19</v>
      </c>
      <c r="I31" s="31">
        <v>26.26</v>
      </c>
      <c r="J31" s="31">
        <v>26.32</v>
      </c>
      <c r="K31" s="31">
        <v>26.39</v>
      </c>
    </row>
    <row r="32" spans="1:16">
      <c r="A32" s="26">
        <v>60</v>
      </c>
      <c r="B32" s="27">
        <v>26.46</v>
      </c>
      <c r="C32" s="27">
        <v>26.53</v>
      </c>
      <c r="D32" s="27">
        <v>26.6</v>
      </c>
      <c r="E32" s="27">
        <v>26.67</v>
      </c>
      <c r="F32" s="27">
        <v>26.74</v>
      </c>
      <c r="G32" s="27">
        <v>26.81</v>
      </c>
      <c r="H32" s="27">
        <v>26.87</v>
      </c>
      <c r="I32" s="27">
        <v>26.94</v>
      </c>
      <c r="J32" s="27">
        <v>27.01</v>
      </c>
      <c r="K32" s="27">
        <v>27.08</v>
      </c>
    </row>
    <row r="33" spans="1:11">
      <c r="A33" s="28">
        <v>61</v>
      </c>
      <c r="B33" s="29">
        <v>27.15</v>
      </c>
      <c r="C33" s="29">
        <v>27.22</v>
      </c>
      <c r="D33" s="29">
        <v>27.29</v>
      </c>
      <c r="E33" s="29">
        <v>27.36</v>
      </c>
      <c r="F33" s="29">
        <v>27.43</v>
      </c>
      <c r="G33" s="29">
        <v>27.5</v>
      </c>
      <c r="H33" s="29">
        <v>27.57</v>
      </c>
      <c r="I33" s="29">
        <v>27.64</v>
      </c>
      <c r="J33" s="29">
        <v>27.71</v>
      </c>
      <c r="K33" s="29">
        <v>27.78</v>
      </c>
    </row>
    <row r="34" spans="1:11">
      <c r="A34" s="28">
        <v>62</v>
      </c>
      <c r="B34" s="29">
        <v>27.85</v>
      </c>
      <c r="C34" s="29">
        <v>27.92</v>
      </c>
      <c r="D34" s="29">
        <v>27.99</v>
      </c>
      <c r="E34" s="29">
        <v>28.07</v>
      </c>
      <c r="F34" s="29">
        <v>28.14</v>
      </c>
      <c r="G34" s="29">
        <v>28.21</v>
      </c>
      <c r="H34" s="29">
        <v>28.28</v>
      </c>
      <c r="I34" s="29">
        <v>28.35</v>
      </c>
      <c r="J34" s="29">
        <v>28.43</v>
      </c>
      <c r="K34" s="29">
        <v>28.5</v>
      </c>
    </row>
    <row r="35" spans="1:11">
      <c r="A35" s="28">
        <v>63</v>
      </c>
      <c r="B35" s="29">
        <v>28.57</v>
      </c>
      <c r="C35" s="29">
        <v>28.64</v>
      </c>
      <c r="D35" s="29">
        <v>28.72</v>
      </c>
      <c r="E35" s="29">
        <v>28.79</v>
      </c>
      <c r="F35" s="29">
        <v>28.87</v>
      </c>
      <c r="G35" s="29">
        <v>28.94</v>
      </c>
      <c r="H35" s="29">
        <v>29.01</v>
      </c>
      <c r="I35" s="29">
        <v>29.09</v>
      </c>
      <c r="J35" s="29">
        <v>29.16</v>
      </c>
      <c r="K35" s="29">
        <v>29.24</v>
      </c>
    </row>
    <row r="36" spans="1:11">
      <c r="A36" s="30">
        <v>64</v>
      </c>
      <c r="B36" s="31">
        <v>29.31</v>
      </c>
      <c r="C36" s="31">
        <v>29.39</v>
      </c>
      <c r="D36" s="31">
        <v>29.46</v>
      </c>
      <c r="E36" s="31">
        <v>29.54</v>
      </c>
      <c r="F36" s="31">
        <v>29.61</v>
      </c>
      <c r="G36" s="31">
        <v>29.69</v>
      </c>
      <c r="H36" s="31">
        <v>29.76</v>
      </c>
      <c r="I36" s="31">
        <v>29.84</v>
      </c>
      <c r="J36" s="31">
        <v>29.91</v>
      </c>
      <c r="K36" s="31">
        <v>29.99</v>
      </c>
    </row>
    <row r="37" spans="1:11">
      <c r="A37" s="26">
        <v>65</v>
      </c>
      <c r="B37" s="27">
        <v>30.06</v>
      </c>
      <c r="C37" s="27">
        <v>30.14</v>
      </c>
      <c r="D37" s="27">
        <v>30.21</v>
      </c>
      <c r="E37" s="27">
        <v>30.29</v>
      </c>
      <c r="F37" s="27">
        <v>30.37</v>
      </c>
      <c r="G37" s="27">
        <v>30.45</v>
      </c>
      <c r="H37" s="27">
        <v>30.52</v>
      </c>
      <c r="I37" s="27">
        <v>30.6</v>
      </c>
      <c r="J37" s="27">
        <v>30.68</v>
      </c>
      <c r="K37" s="27">
        <v>30.75</v>
      </c>
    </row>
    <row r="38" spans="1:11">
      <c r="A38" s="28">
        <v>66</v>
      </c>
      <c r="B38" s="29">
        <v>30.83</v>
      </c>
      <c r="C38" s="29">
        <v>30.91</v>
      </c>
      <c r="D38" s="29">
        <v>30.99</v>
      </c>
      <c r="E38" s="29">
        <v>31.07</v>
      </c>
      <c r="F38" s="29">
        <v>31.15</v>
      </c>
      <c r="G38" s="29">
        <v>31.23</v>
      </c>
      <c r="H38" s="29">
        <v>31.3</v>
      </c>
      <c r="I38" s="29">
        <v>31.38</v>
      </c>
      <c r="J38" s="29">
        <v>31.46</v>
      </c>
      <c r="K38" s="29">
        <v>31.54</v>
      </c>
    </row>
    <row r="39" spans="1:11">
      <c r="A39" s="28">
        <v>67</v>
      </c>
      <c r="B39" s="29">
        <v>31.62</v>
      </c>
      <c r="C39" s="29">
        <v>31.7</v>
      </c>
      <c r="D39" s="29">
        <v>31.78</v>
      </c>
      <c r="E39" s="29">
        <v>31.86</v>
      </c>
      <c r="F39" s="29">
        <v>31.94</v>
      </c>
      <c r="G39" s="29">
        <v>32.020000000000003</v>
      </c>
      <c r="H39" s="29">
        <v>32.1</v>
      </c>
      <c r="I39" s="29">
        <v>32.18</v>
      </c>
      <c r="J39" s="29">
        <v>32.26</v>
      </c>
      <c r="K39" s="29">
        <v>32.340000000000003</v>
      </c>
    </row>
    <row r="40" spans="1:11">
      <c r="A40" s="28">
        <v>68</v>
      </c>
      <c r="B40" s="29">
        <v>32.42</v>
      </c>
      <c r="C40" s="29">
        <v>32.5</v>
      </c>
      <c r="D40" s="29">
        <v>32.590000000000003</v>
      </c>
      <c r="E40" s="29">
        <v>32.67</v>
      </c>
      <c r="F40" s="29">
        <v>32.75</v>
      </c>
      <c r="G40" s="29">
        <v>32.840000000000003</v>
      </c>
      <c r="H40" s="29">
        <v>32.92</v>
      </c>
      <c r="I40" s="29">
        <v>33</v>
      </c>
      <c r="J40" s="29">
        <v>33.08</v>
      </c>
      <c r="K40" s="29">
        <v>33.17</v>
      </c>
    </row>
    <row r="41" spans="1:11">
      <c r="A41" s="30">
        <v>69</v>
      </c>
      <c r="B41" s="31">
        <v>33.25</v>
      </c>
      <c r="C41" s="31">
        <v>33.33</v>
      </c>
      <c r="D41" s="31">
        <v>33.42</v>
      </c>
      <c r="E41" s="31">
        <v>33.5</v>
      </c>
      <c r="F41" s="31">
        <v>33.590000000000003</v>
      </c>
      <c r="G41" s="31">
        <v>33.67</v>
      </c>
      <c r="H41" s="31">
        <v>33.75</v>
      </c>
      <c r="I41" s="31">
        <v>33.840000000000003</v>
      </c>
      <c r="J41" s="31">
        <v>33.92</v>
      </c>
      <c r="K41" s="31">
        <v>34.01</v>
      </c>
    </row>
    <row r="42" spans="1:11">
      <c r="A42" s="26">
        <v>70</v>
      </c>
      <c r="B42" s="27">
        <v>34.090000000000003</v>
      </c>
      <c r="C42" s="27">
        <v>34.18</v>
      </c>
      <c r="D42" s="27">
        <v>34.26</v>
      </c>
      <c r="E42" s="27">
        <v>34.35</v>
      </c>
      <c r="F42" s="27">
        <v>34.43</v>
      </c>
      <c r="G42" s="27">
        <v>34.520000000000003</v>
      </c>
      <c r="H42" s="27">
        <v>34.61</v>
      </c>
      <c r="I42" s="27">
        <v>34.69</v>
      </c>
      <c r="J42" s="27">
        <v>34.78</v>
      </c>
      <c r="K42" s="27">
        <v>34.86</v>
      </c>
    </row>
    <row r="43" spans="1:11">
      <c r="A43" s="28">
        <v>71</v>
      </c>
      <c r="B43" s="29">
        <v>34.950000000000003</v>
      </c>
      <c r="C43" s="29">
        <v>35.04</v>
      </c>
      <c r="D43" s="29">
        <v>35.130000000000003</v>
      </c>
      <c r="E43" s="29">
        <v>35.21</v>
      </c>
      <c r="F43" s="29">
        <v>35.299999999999997</v>
      </c>
      <c r="G43" s="29">
        <v>35.39</v>
      </c>
      <c r="H43" s="29">
        <v>35.479999999999997</v>
      </c>
      <c r="I43" s="29">
        <v>35.57</v>
      </c>
      <c r="J43" s="29">
        <v>35.65</v>
      </c>
      <c r="K43" s="29">
        <v>35.74</v>
      </c>
    </row>
    <row r="44" spans="1:11">
      <c r="A44" s="28">
        <v>72</v>
      </c>
      <c r="B44" s="29">
        <v>35.83</v>
      </c>
      <c r="C44" s="29">
        <v>35.92</v>
      </c>
      <c r="D44" s="29">
        <v>36.01</v>
      </c>
      <c r="E44" s="29">
        <v>36.1</v>
      </c>
      <c r="F44" s="29">
        <v>36.19</v>
      </c>
      <c r="G44" s="29">
        <v>36.29</v>
      </c>
      <c r="H44" s="29">
        <v>36.380000000000003</v>
      </c>
      <c r="I44" s="29">
        <v>36.47</v>
      </c>
      <c r="J44" s="29">
        <v>36.56</v>
      </c>
      <c r="K44" s="29">
        <v>36.65</v>
      </c>
    </row>
    <row r="45" spans="1:11">
      <c r="A45" s="28">
        <v>73</v>
      </c>
      <c r="B45" s="29">
        <v>36.74</v>
      </c>
      <c r="C45" s="29">
        <v>36.83</v>
      </c>
      <c r="D45" s="29">
        <v>36.92</v>
      </c>
      <c r="E45" s="29">
        <v>37.020000000000003</v>
      </c>
      <c r="F45" s="29">
        <v>37.11</v>
      </c>
      <c r="G45" s="29">
        <v>37.200000000000003</v>
      </c>
      <c r="H45" s="29">
        <v>37.29</v>
      </c>
      <c r="I45" s="29">
        <v>37.380000000000003</v>
      </c>
      <c r="J45" s="29">
        <v>37.479999999999997</v>
      </c>
      <c r="K45" s="29">
        <v>37.57</v>
      </c>
    </row>
    <row r="46" spans="1:11">
      <c r="A46" s="30">
        <v>74</v>
      </c>
      <c r="B46" s="31">
        <v>37.659999999999997</v>
      </c>
      <c r="C46" s="31">
        <v>37.76</v>
      </c>
      <c r="D46" s="31">
        <v>37.85</v>
      </c>
      <c r="E46" s="31">
        <v>37.950000000000003</v>
      </c>
      <c r="F46" s="31">
        <v>38.04</v>
      </c>
      <c r="G46" s="31">
        <v>38.14</v>
      </c>
      <c r="H46" s="31">
        <v>38.229999999999997</v>
      </c>
      <c r="I46" s="31">
        <v>38.33</v>
      </c>
      <c r="J46" s="31">
        <v>38.42</v>
      </c>
      <c r="K46" s="31">
        <v>38.520000000000003</v>
      </c>
    </row>
    <row r="47" spans="1:11">
      <c r="A47" s="26">
        <v>75</v>
      </c>
      <c r="B47" s="27">
        <v>38.61</v>
      </c>
      <c r="C47" s="27">
        <v>38.71</v>
      </c>
      <c r="D47" s="27">
        <v>38.799999999999997</v>
      </c>
      <c r="E47" s="27">
        <v>38.9</v>
      </c>
      <c r="F47" s="27">
        <v>38.99</v>
      </c>
      <c r="G47" s="27">
        <v>39.090000000000003</v>
      </c>
      <c r="H47" s="27">
        <v>39.19</v>
      </c>
      <c r="I47" s="27">
        <v>39.28</v>
      </c>
      <c r="J47" s="27">
        <v>39.380000000000003</v>
      </c>
      <c r="K47" s="27">
        <v>39.47</v>
      </c>
    </row>
    <row r="48" spans="1:11">
      <c r="A48" s="28">
        <v>76</v>
      </c>
      <c r="B48" s="29">
        <v>39.57</v>
      </c>
      <c r="C48" s="29">
        <v>39.67</v>
      </c>
      <c r="D48" s="29">
        <v>39.770000000000003</v>
      </c>
      <c r="E48" s="29">
        <v>39.869999999999997</v>
      </c>
      <c r="F48" s="29">
        <v>39.97</v>
      </c>
      <c r="G48" s="29">
        <v>40.07</v>
      </c>
      <c r="H48" s="29">
        <v>40.17</v>
      </c>
      <c r="I48" s="29">
        <v>40.270000000000003</v>
      </c>
      <c r="J48" s="29">
        <v>40.369999999999997</v>
      </c>
      <c r="K48" s="29">
        <v>40.47</v>
      </c>
    </row>
    <row r="49" spans="1:11">
      <c r="A49" s="28">
        <v>77</v>
      </c>
      <c r="B49" s="29">
        <v>40.57</v>
      </c>
      <c r="C49" s="29">
        <v>40.67</v>
      </c>
      <c r="D49" s="29">
        <v>40.770000000000003</v>
      </c>
      <c r="E49" s="29">
        <v>40.869999999999997</v>
      </c>
      <c r="F49" s="29">
        <v>40.97</v>
      </c>
      <c r="G49" s="29">
        <v>41.08</v>
      </c>
      <c r="H49" s="29">
        <v>41.18</v>
      </c>
      <c r="I49" s="29">
        <v>41.28</v>
      </c>
      <c r="J49" s="29">
        <v>41.38</v>
      </c>
      <c r="K49" s="29">
        <v>41.48</v>
      </c>
    </row>
    <row r="50" spans="1:11">
      <c r="A50" s="28">
        <v>78</v>
      </c>
      <c r="B50" s="29">
        <v>41.58</v>
      </c>
      <c r="C50" s="29">
        <v>41.68</v>
      </c>
      <c r="D50" s="29">
        <v>41.79</v>
      </c>
      <c r="E50" s="29">
        <v>41.89</v>
      </c>
      <c r="F50" s="29">
        <v>42</v>
      </c>
      <c r="G50" s="29">
        <v>42.1</v>
      </c>
      <c r="H50" s="29">
        <v>42.2</v>
      </c>
      <c r="I50" s="29">
        <v>42.31</v>
      </c>
      <c r="J50" s="29">
        <v>42.41</v>
      </c>
      <c r="K50" s="29">
        <v>42.52</v>
      </c>
    </row>
    <row r="51" spans="1:11">
      <c r="A51" s="30">
        <v>79</v>
      </c>
      <c r="B51" s="31">
        <v>42.62</v>
      </c>
      <c r="C51" s="31">
        <v>42.73</v>
      </c>
      <c r="D51" s="31">
        <v>42.83</v>
      </c>
      <c r="E51" s="31">
        <v>42.94</v>
      </c>
      <c r="F51" s="31">
        <v>43.05</v>
      </c>
      <c r="G51" s="31">
        <v>43.16</v>
      </c>
      <c r="H51" s="31">
        <v>43.26</v>
      </c>
      <c r="I51" s="31">
        <v>43.37</v>
      </c>
      <c r="J51" s="31">
        <v>43.48</v>
      </c>
      <c r="K51" s="31">
        <v>43.58</v>
      </c>
    </row>
    <row r="52" spans="1:11">
      <c r="A52" s="26">
        <v>80</v>
      </c>
      <c r="B52" s="27">
        <v>43.69</v>
      </c>
      <c r="C52" s="27">
        <v>43.8</v>
      </c>
      <c r="D52" s="27">
        <v>43.91</v>
      </c>
      <c r="E52" s="27">
        <v>44.02</v>
      </c>
      <c r="F52" s="27">
        <v>44.13</v>
      </c>
      <c r="G52" s="27">
        <v>44.24</v>
      </c>
      <c r="H52" s="27">
        <v>44.34</v>
      </c>
      <c r="I52" s="27">
        <v>44.45</v>
      </c>
      <c r="J52" s="27">
        <v>44.56</v>
      </c>
      <c r="K52" s="27">
        <v>44.67</v>
      </c>
    </row>
    <row r="53" spans="1:11">
      <c r="A53" s="28">
        <v>81</v>
      </c>
      <c r="B53" s="29">
        <v>44.78</v>
      </c>
      <c r="C53" s="29">
        <v>44.89</v>
      </c>
      <c r="D53" s="29">
        <v>45</v>
      </c>
      <c r="E53" s="29">
        <v>45.12</v>
      </c>
      <c r="F53" s="29">
        <v>45.23</v>
      </c>
      <c r="G53" s="29">
        <v>45.34</v>
      </c>
      <c r="H53" s="29">
        <v>45.45</v>
      </c>
      <c r="I53" s="29">
        <v>45.56</v>
      </c>
      <c r="J53" s="29">
        <v>45.68</v>
      </c>
      <c r="K53" s="29">
        <v>45.79</v>
      </c>
    </row>
    <row r="54" spans="1:11">
      <c r="A54" s="28">
        <v>82</v>
      </c>
      <c r="B54" s="29">
        <v>45.9</v>
      </c>
      <c r="C54" s="29">
        <v>46.01</v>
      </c>
      <c r="D54" s="29">
        <v>46.13</v>
      </c>
      <c r="E54" s="29">
        <v>46.24</v>
      </c>
      <c r="F54" s="29">
        <v>46.36</v>
      </c>
      <c r="G54" s="29">
        <v>46.47</v>
      </c>
      <c r="H54" s="29">
        <v>46.58</v>
      </c>
      <c r="I54" s="29">
        <v>46.7</v>
      </c>
      <c r="J54" s="29">
        <v>46.81</v>
      </c>
      <c r="K54" s="29">
        <v>46.93</v>
      </c>
    </row>
    <row r="55" spans="1:11">
      <c r="A55" s="28">
        <v>83</v>
      </c>
      <c r="B55" s="29">
        <v>47.04</v>
      </c>
      <c r="C55" s="29">
        <v>47.16</v>
      </c>
      <c r="D55" s="29">
        <v>47.28</v>
      </c>
      <c r="E55" s="29">
        <v>47.39</v>
      </c>
      <c r="F55" s="29">
        <v>47.51</v>
      </c>
      <c r="G55" s="29">
        <v>47.63</v>
      </c>
      <c r="H55" s="29">
        <v>47.75</v>
      </c>
      <c r="I55" s="29">
        <v>47.87</v>
      </c>
      <c r="J55" s="29">
        <v>47.98</v>
      </c>
      <c r="K55" s="29">
        <v>48.1</v>
      </c>
    </row>
    <row r="56" spans="1:11">
      <c r="A56" s="28">
        <v>84</v>
      </c>
      <c r="B56" s="29">
        <v>48.22</v>
      </c>
      <c r="C56" s="29">
        <v>48.34</v>
      </c>
      <c r="D56" s="29">
        <v>48.46</v>
      </c>
      <c r="E56" s="29">
        <v>48.58</v>
      </c>
      <c r="F56" s="29">
        <v>48.7</v>
      </c>
      <c r="G56" s="29">
        <v>48.83</v>
      </c>
      <c r="H56" s="29">
        <v>48.95</v>
      </c>
      <c r="I56" s="29">
        <v>49.07</v>
      </c>
      <c r="J56" s="29">
        <v>49.19</v>
      </c>
      <c r="K56" s="29">
        <v>49.31</v>
      </c>
    </row>
    <row r="57" spans="1:11">
      <c r="A57" s="30">
        <v>85</v>
      </c>
      <c r="B57" s="31">
        <v>49.43</v>
      </c>
      <c r="C57" s="31">
        <v>49.55</v>
      </c>
      <c r="D57" s="31">
        <v>49.68</v>
      </c>
      <c r="E57" s="31">
        <v>49.8</v>
      </c>
      <c r="F57" s="31">
        <v>49.92</v>
      </c>
      <c r="G57" s="31">
        <v>50.05</v>
      </c>
      <c r="H57" s="31">
        <v>50.17</v>
      </c>
      <c r="I57" s="31">
        <v>50.29</v>
      </c>
      <c r="J57" s="31">
        <v>50.41</v>
      </c>
      <c r="K57" s="31">
        <v>50.54</v>
      </c>
    </row>
    <row r="58" spans="1:11">
      <c r="A58" s="32" t="s">
        <v>127</v>
      </c>
      <c r="B58" s="24"/>
      <c r="C58" s="24"/>
      <c r="D58" s="24"/>
      <c r="E58" s="24"/>
      <c r="F58" s="24"/>
      <c r="G58" s="24"/>
      <c r="H58" s="24"/>
      <c r="I58" s="24"/>
      <c r="J58" s="24"/>
      <c r="K58" s="24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INPUT_OUTPUTS</vt:lpstr>
      <vt:lpstr>Generic</vt:lpstr>
      <vt:lpstr>AHU_Psych</vt:lpstr>
      <vt:lpstr>62.1_SINGLE_ZONE</vt:lpstr>
      <vt:lpstr>62.1_MULTI_ZONE</vt:lpstr>
      <vt:lpstr>ASHRAE Table</vt:lpstr>
      <vt:lpstr>UMC Table 4-A</vt:lpstr>
      <vt:lpstr>DO NOT TOUCH</vt:lpstr>
      <vt:lpstr>Generic!AHU_1AC_AV</vt:lpstr>
      <vt:lpstr>'62.1_MULTI_ZONE'!AHUs</vt:lpstr>
      <vt:lpstr>AHU_Psych!Print_Area</vt:lpstr>
      <vt:lpstr>Generic!Print_Area</vt:lpstr>
      <vt:lpstr>'UMC Table 4-A'!Print_Area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2023-05-25T17:22:15Z</cp:lastPrinted>
  <dcterms:created xsi:type="dcterms:W3CDTF">2001-05-17T15:02:58Z</dcterms:created>
  <dcterms:modified xsi:type="dcterms:W3CDTF">2023-05-25T17:37:02Z</dcterms:modified>
  <cp:category/>
</cp:coreProperties>
</file>