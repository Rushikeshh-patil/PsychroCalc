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erma123-my.sharepoint.com/personal/rush_scengineers_net/Documents/Documents/PsychroCalc/"/>
    </mc:Choice>
  </mc:AlternateContent>
  <xr:revisionPtr revIDLastSave="0" documentId="14_{294294E1-6E28-45E0-A4D0-3D33992FB4E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PUT_OUTPUTS" sheetId="64" r:id="rId1"/>
    <sheet name="AHU 1" sheetId="113" r:id="rId2"/>
    <sheet name="AhsraeTable4a" sheetId="111" r:id="rId3"/>
    <sheet name="62.1_MULTI_ZONE" sheetId="107" state="hidden" r:id="rId4"/>
    <sheet name="Generic" sheetId="110" state="hidden" r:id="rId5"/>
    <sheet name="AHU_Psych" sheetId="45" r:id="rId6"/>
    <sheet name="62.1_SINGLE_ZONE" sheetId="104" state="hidden" r:id="rId7"/>
    <sheet name="ASHRAE Table" sheetId="105" state="hidden" r:id="rId8"/>
    <sheet name="UMC Table 4-A" sheetId="37" state="hidden" r:id="rId9"/>
    <sheet name="DO NOT TOUCH" sheetId="63" state="hidden" r:id="rId10"/>
  </sheets>
  <functionGroups builtInGroupCount="19"/>
  <externalReferences>
    <externalReference r:id="rId11"/>
  </externalReferences>
  <definedNames>
    <definedName name="_CAV1">#REF!</definedName>
    <definedName name="_CAV1." localSheetId="2">AhsraeTable4a!#REF!</definedName>
    <definedName name="_CAV1." localSheetId="1">'AHU 1'!#REF!</definedName>
    <definedName name="_CAV1." localSheetId="4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2">AhsraeTable4a!$AW$8:$BI$44</definedName>
    <definedName name="AHU_1AC_AV" localSheetId="1">'AHU 1'!$AD$7:$AP$43</definedName>
    <definedName name="AHU_1AC_AV" localSheetId="4">Generic!$AD$7:$AP$43</definedName>
    <definedName name="AHU_1AC_AV">#REF!</definedName>
    <definedName name="AHUs" localSheetId="3">Table7[TAG]</definedName>
    <definedName name="CAV_1A_SCHEDULE" localSheetId="2">AhsraeTable4a!#REF!</definedName>
    <definedName name="CAV_1A_SCHEDULE" localSheetId="1">'AHU 1'!#REF!</definedName>
    <definedName name="CAV_1A_SCHEDULE" localSheetId="4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3">#REF!</definedName>
    <definedName name="FCU">#REF!</definedName>
    <definedName name="_xlnm.Print_Area" localSheetId="2">AhsraeTable4a!$D$4:$W$17</definedName>
    <definedName name="_xlnm.Print_Area" localSheetId="1">'AHU 1'!$D$4:$V$17</definedName>
    <definedName name="_xlnm.Print_Area" localSheetId="5">AHU_Psych!$A$8:$AZ$14</definedName>
    <definedName name="_xlnm.Print_Area" localSheetId="4">Generic!$D$4:$V$17</definedName>
    <definedName name="_xlnm.Print_Area" localSheetId="8">'UMC Table 4-A'!$A$1:$E$132</definedName>
    <definedName name="_xlnm.Print_Titles" localSheetId="2">AhsraeTable4a!$3:$6</definedName>
    <definedName name="_xlnm.Print_Titles" localSheetId="1">'AHU 1'!$3:$6</definedName>
    <definedName name="_xlnm.Print_Titles" localSheetId="4">Generic!$3:$6</definedName>
    <definedName name="_xlnm.Print_Titles" localSheetId="8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13" i="45" l="1"/>
  <c r="G13" i="45"/>
  <c r="H13" i="45"/>
  <c r="J13" i="45"/>
  <c r="K13" i="45"/>
  <c r="L13" i="45"/>
  <c r="W13" i="45"/>
  <c r="X13" i="45"/>
  <c r="AC13" i="45"/>
  <c r="AD13" i="45"/>
  <c r="AI13" i="45"/>
  <c r="AJ13" i="45"/>
  <c r="AO13" i="45"/>
  <c r="AP13" i="45"/>
  <c r="AR13" i="45"/>
  <c r="AS13" i="45"/>
  <c r="AT13" i="45"/>
  <c r="AS44" i="113"/>
  <c r="AK44" i="113"/>
  <c r="AJ44" i="113"/>
  <c r="AG44" i="113"/>
  <c r="AH44" i="113" s="1"/>
  <c r="AR44" i="113" s="1"/>
  <c r="AS43" i="113"/>
  <c r="AK43" i="113"/>
  <c r="AJ43" i="113"/>
  <c r="AG43" i="113"/>
  <c r="AH43" i="113" s="1"/>
  <c r="AR43" i="113" s="1"/>
  <c r="AS42" i="113"/>
  <c r="AK42" i="113"/>
  <c r="AJ42" i="113"/>
  <c r="AH42" i="113"/>
  <c r="AR42" i="113" s="1"/>
  <c r="AG42" i="113"/>
  <c r="AS41" i="113"/>
  <c r="AK41" i="113"/>
  <c r="AJ41" i="113"/>
  <c r="AG41" i="113"/>
  <c r="AH41" i="113" s="1"/>
  <c r="AR41" i="113" s="1"/>
  <c r="AS40" i="113"/>
  <c r="AK40" i="113"/>
  <c r="AJ40" i="113"/>
  <c r="AH40" i="113"/>
  <c r="AR40" i="113" s="1"/>
  <c r="AG40" i="113"/>
  <c r="AS39" i="113"/>
  <c r="AK39" i="113"/>
  <c r="AJ39" i="113"/>
  <c r="AH39" i="113"/>
  <c r="AR39" i="113" s="1"/>
  <c r="AG39" i="113"/>
  <c r="AS38" i="113"/>
  <c r="AK38" i="113"/>
  <c r="AJ38" i="113"/>
  <c r="AG38" i="113"/>
  <c r="AH38" i="113" s="1"/>
  <c r="AR38" i="113" s="1"/>
  <c r="AS37" i="113"/>
  <c r="AK37" i="113"/>
  <c r="AJ37" i="113"/>
  <c r="AG37" i="113"/>
  <c r="AH37" i="113" s="1"/>
  <c r="AR37" i="113" s="1"/>
  <c r="AS36" i="113"/>
  <c r="AK36" i="113"/>
  <c r="AJ36" i="113"/>
  <c r="AG36" i="113"/>
  <c r="AH36" i="113" s="1"/>
  <c r="AR36" i="113" s="1"/>
  <c r="AS35" i="113"/>
  <c r="AK35" i="113"/>
  <c r="AJ35" i="113"/>
  <c r="AG35" i="113"/>
  <c r="AH35" i="113" s="1"/>
  <c r="AR35" i="113" s="1"/>
  <c r="AS34" i="113"/>
  <c r="AK34" i="113"/>
  <c r="AJ34" i="113"/>
  <c r="AH34" i="113"/>
  <c r="AR34" i="113" s="1"/>
  <c r="AG34" i="113"/>
  <c r="AS33" i="113"/>
  <c r="AK33" i="113"/>
  <c r="AJ33" i="113"/>
  <c r="AG33" i="113"/>
  <c r="AH33" i="113" s="1"/>
  <c r="AR33" i="113" s="1"/>
  <c r="AS32" i="113"/>
  <c r="AK32" i="113"/>
  <c r="AJ32" i="113"/>
  <c r="AG32" i="113"/>
  <c r="AH32" i="113" s="1"/>
  <c r="AR32" i="113" s="1"/>
  <c r="AS31" i="113"/>
  <c r="AK31" i="113"/>
  <c r="AJ31" i="113"/>
  <c r="AG31" i="113"/>
  <c r="AH31" i="113" s="1"/>
  <c r="AR31" i="113" s="1"/>
  <c r="AS30" i="113"/>
  <c r="AK30" i="113"/>
  <c r="AJ30" i="113"/>
  <c r="AH30" i="113"/>
  <c r="AR30" i="113" s="1"/>
  <c r="AG30" i="113"/>
  <c r="AS29" i="113"/>
  <c r="AK29" i="113"/>
  <c r="AJ29" i="113"/>
  <c r="AG29" i="113"/>
  <c r="AH29" i="113" s="1"/>
  <c r="AR29" i="113" s="1"/>
  <c r="AS28" i="113"/>
  <c r="AK28" i="113"/>
  <c r="AJ28" i="113"/>
  <c r="AH28" i="113"/>
  <c r="AR28" i="113" s="1"/>
  <c r="AG28" i="113"/>
  <c r="AS27" i="113"/>
  <c r="AK27" i="113"/>
  <c r="AJ27" i="113"/>
  <c r="AH27" i="113"/>
  <c r="AR27" i="113" s="1"/>
  <c r="AG27" i="113"/>
  <c r="AS26" i="113"/>
  <c r="AK26" i="113"/>
  <c r="AJ26" i="113"/>
  <c r="AG26" i="113"/>
  <c r="AH26" i="113" s="1"/>
  <c r="AR26" i="113" s="1"/>
  <c r="AS25" i="113"/>
  <c r="AK25" i="113"/>
  <c r="AJ25" i="113"/>
  <c r="AG25" i="113"/>
  <c r="AH25" i="113" s="1"/>
  <c r="AR25" i="113" s="1"/>
  <c r="AS24" i="113"/>
  <c r="AK24" i="113"/>
  <c r="AJ24" i="113"/>
  <c r="AG24" i="113"/>
  <c r="AH24" i="113" s="1"/>
  <c r="AR24" i="113" s="1"/>
  <c r="AS23" i="113"/>
  <c r="AK23" i="113"/>
  <c r="AJ23" i="113"/>
  <c r="AG23" i="113"/>
  <c r="AH23" i="113" s="1"/>
  <c r="AR23" i="113" s="1"/>
  <c r="AS22" i="113"/>
  <c r="AK22" i="113"/>
  <c r="AJ22" i="113"/>
  <c r="AH22" i="113"/>
  <c r="AR22" i="113" s="1"/>
  <c r="AG22" i="113"/>
  <c r="AS21" i="113"/>
  <c r="AK21" i="113"/>
  <c r="AJ21" i="113"/>
  <c r="AG21" i="113"/>
  <c r="AH21" i="113" s="1"/>
  <c r="AR21" i="113" s="1"/>
  <c r="AS20" i="113"/>
  <c r="AK20" i="113"/>
  <c r="AJ20" i="113"/>
  <c r="AG20" i="113"/>
  <c r="AH20" i="113" s="1"/>
  <c r="AR20" i="113" s="1"/>
  <c r="AS19" i="113"/>
  <c r="AK19" i="113"/>
  <c r="AJ19" i="113"/>
  <c r="AG19" i="113"/>
  <c r="AH19" i="113" s="1"/>
  <c r="AR19" i="113" s="1"/>
  <c r="AS18" i="113"/>
  <c r="AK18" i="113"/>
  <c r="AJ18" i="113"/>
  <c r="AH18" i="113"/>
  <c r="AR18" i="113" s="1"/>
  <c r="AG18" i="113"/>
  <c r="E18" i="113"/>
  <c r="AS17" i="113"/>
  <c r="AR17" i="113"/>
  <c r="AK17" i="113"/>
  <c r="AJ17" i="113"/>
  <c r="AH17" i="113"/>
  <c r="AG17" i="113"/>
  <c r="V17" i="113"/>
  <c r="Q17" i="113"/>
  <c r="O17" i="113"/>
  <c r="P17" i="113" s="1"/>
  <c r="M17" i="113"/>
  <c r="N17" i="113" s="1"/>
  <c r="L17" i="113"/>
  <c r="J17" i="113"/>
  <c r="G17" i="113"/>
  <c r="R17" i="113" s="1"/>
  <c r="AS16" i="113"/>
  <c r="AK16" i="113"/>
  <c r="AJ16" i="113"/>
  <c r="AG16" i="113"/>
  <c r="AH16" i="113" s="1"/>
  <c r="AR16" i="113" s="1"/>
  <c r="R16" i="113"/>
  <c r="Q16" i="113"/>
  <c r="V16" i="113" s="1"/>
  <c r="P16" i="113"/>
  <c r="O16" i="113"/>
  <c r="M16" i="113"/>
  <c r="N16" i="113" s="1"/>
  <c r="L16" i="113"/>
  <c r="J16" i="113"/>
  <c r="G16" i="113"/>
  <c r="AS15" i="113"/>
  <c r="AK15" i="113"/>
  <c r="AJ15" i="113"/>
  <c r="AG15" i="113"/>
  <c r="AH15" i="113" s="1"/>
  <c r="AR15" i="113" s="1"/>
  <c r="V15" i="113"/>
  <c r="R15" i="113"/>
  <c r="Q15" i="113"/>
  <c r="O15" i="113"/>
  <c r="P15" i="113" s="1"/>
  <c r="N15" i="113"/>
  <c r="M15" i="113"/>
  <c r="L15" i="113"/>
  <c r="J15" i="113"/>
  <c r="G15" i="113"/>
  <c r="AS14" i="113"/>
  <c r="AR14" i="113"/>
  <c r="AK14" i="113"/>
  <c r="AJ14" i="113"/>
  <c r="AH14" i="113"/>
  <c r="AG14" i="113"/>
  <c r="V14" i="113"/>
  <c r="Q14" i="113"/>
  <c r="O14" i="113"/>
  <c r="P14" i="113" s="1"/>
  <c r="M14" i="113"/>
  <c r="N14" i="113" s="1"/>
  <c r="L14" i="113"/>
  <c r="J14" i="113"/>
  <c r="G14" i="113"/>
  <c r="R14" i="113" s="1"/>
  <c r="AS13" i="113"/>
  <c r="AK13" i="113"/>
  <c r="AJ13" i="113"/>
  <c r="AG13" i="113"/>
  <c r="AH13" i="113" s="1"/>
  <c r="AR13" i="113" s="1"/>
  <c r="R13" i="113"/>
  <c r="Q13" i="113"/>
  <c r="V13" i="113" s="1"/>
  <c r="P13" i="113"/>
  <c r="O13" i="113"/>
  <c r="M13" i="113"/>
  <c r="N13" i="113" s="1"/>
  <c r="L13" i="113"/>
  <c r="J13" i="113"/>
  <c r="G13" i="113"/>
  <c r="AS12" i="113"/>
  <c r="AK12" i="113"/>
  <c r="AJ12" i="113"/>
  <c r="AG12" i="113"/>
  <c r="AH12" i="113" s="1"/>
  <c r="AR12" i="113" s="1"/>
  <c r="V12" i="113"/>
  <c r="R12" i="113"/>
  <c r="Q12" i="113"/>
  <c r="O12" i="113"/>
  <c r="P12" i="113" s="1"/>
  <c r="N12" i="113"/>
  <c r="M12" i="113"/>
  <c r="L12" i="113"/>
  <c r="J12" i="113"/>
  <c r="G12" i="113"/>
  <c r="AS11" i="113"/>
  <c r="AR11" i="113"/>
  <c r="AK11" i="113"/>
  <c r="AJ11" i="113"/>
  <c r="AH11" i="113"/>
  <c r="AG11" i="113"/>
  <c r="V11" i="113"/>
  <c r="Q11" i="113"/>
  <c r="O11" i="113"/>
  <c r="P11" i="113" s="1"/>
  <c r="M11" i="113"/>
  <c r="N11" i="113" s="1"/>
  <c r="L11" i="113"/>
  <c r="J11" i="113"/>
  <c r="G11" i="113"/>
  <c r="R11" i="113" s="1"/>
  <c r="AS10" i="113"/>
  <c r="AK10" i="113"/>
  <c r="AJ10" i="113"/>
  <c r="AG10" i="113"/>
  <c r="AH10" i="113" s="1"/>
  <c r="AR10" i="113" s="1"/>
  <c r="R10" i="113"/>
  <c r="Q10" i="113"/>
  <c r="V10" i="113" s="1"/>
  <c r="P10" i="113"/>
  <c r="O10" i="113"/>
  <c r="M10" i="113"/>
  <c r="N10" i="113" s="1"/>
  <c r="L10" i="113"/>
  <c r="J10" i="113"/>
  <c r="G10" i="113"/>
  <c r="AS9" i="113"/>
  <c r="AQ9" i="113"/>
  <c r="AQ10" i="113" s="1"/>
  <c r="AQ11" i="113" s="1"/>
  <c r="AQ12" i="113" s="1"/>
  <c r="AQ13" i="113" s="1"/>
  <c r="AQ14" i="113" s="1"/>
  <c r="AQ15" i="113" s="1"/>
  <c r="AQ16" i="113" s="1"/>
  <c r="AQ17" i="113" s="1"/>
  <c r="AQ18" i="113" s="1"/>
  <c r="AQ19" i="113" s="1"/>
  <c r="AQ20" i="113" s="1"/>
  <c r="AQ21" i="113" s="1"/>
  <c r="AQ22" i="113" s="1"/>
  <c r="AQ23" i="113" s="1"/>
  <c r="AQ24" i="113" s="1"/>
  <c r="AQ25" i="113" s="1"/>
  <c r="AQ26" i="113" s="1"/>
  <c r="AQ27" i="113" s="1"/>
  <c r="AQ28" i="113" s="1"/>
  <c r="AQ29" i="113" s="1"/>
  <c r="AQ30" i="113" s="1"/>
  <c r="AQ31" i="113" s="1"/>
  <c r="AQ32" i="113" s="1"/>
  <c r="AQ33" i="113" s="1"/>
  <c r="AQ34" i="113" s="1"/>
  <c r="AQ35" i="113" s="1"/>
  <c r="AQ36" i="113" s="1"/>
  <c r="AQ37" i="113" s="1"/>
  <c r="AQ38" i="113" s="1"/>
  <c r="AQ39" i="113" s="1"/>
  <c r="AQ40" i="113" s="1"/>
  <c r="AQ41" i="113" s="1"/>
  <c r="AQ42" i="113" s="1"/>
  <c r="AQ43" i="113" s="1"/>
  <c r="AQ44" i="113" s="1"/>
  <c r="AL9" i="113"/>
  <c r="AL10" i="113" s="1"/>
  <c r="AL11" i="113" s="1"/>
  <c r="AL12" i="113" s="1"/>
  <c r="AL13" i="113" s="1"/>
  <c r="AL14" i="113" s="1"/>
  <c r="AL15" i="113" s="1"/>
  <c r="AL16" i="113" s="1"/>
  <c r="AL17" i="113" s="1"/>
  <c r="AL18" i="113" s="1"/>
  <c r="AL19" i="113" s="1"/>
  <c r="AL20" i="113" s="1"/>
  <c r="AL21" i="113" s="1"/>
  <c r="AL22" i="113" s="1"/>
  <c r="AL23" i="113" s="1"/>
  <c r="AL24" i="113" s="1"/>
  <c r="AL25" i="113" s="1"/>
  <c r="AL26" i="113" s="1"/>
  <c r="AL27" i="113" s="1"/>
  <c r="AL28" i="113" s="1"/>
  <c r="AL29" i="113" s="1"/>
  <c r="AL30" i="113" s="1"/>
  <c r="AL31" i="113" s="1"/>
  <c r="AL32" i="113" s="1"/>
  <c r="AL33" i="113" s="1"/>
  <c r="AL34" i="113" s="1"/>
  <c r="AL35" i="113" s="1"/>
  <c r="AL36" i="113" s="1"/>
  <c r="AL37" i="113" s="1"/>
  <c r="AL38" i="113" s="1"/>
  <c r="AL39" i="113" s="1"/>
  <c r="AL40" i="113" s="1"/>
  <c r="AL41" i="113" s="1"/>
  <c r="AL42" i="113" s="1"/>
  <c r="AL43" i="113" s="1"/>
  <c r="AL44" i="113" s="1"/>
  <c r="AK9" i="113"/>
  <c r="AJ9" i="113"/>
  <c r="AG9" i="113"/>
  <c r="AH9" i="113" s="1"/>
  <c r="AR9" i="113" s="1"/>
  <c r="U9" i="113"/>
  <c r="Q9" i="113"/>
  <c r="O9" i="113"/>
  <c r="P9" i="113" s="1"/>
  <c r="R9" i="113" s="1"/>
  <c r="V9" i="113" s="1"/>
  <c r="N9" i="113"/>
  <c r="M9" i="113"/>
  <c r="L9" i="113"/>
  <c r="J9" i="113"/>
  <c r="G9" i="113"/>
  <c r="AT8" i="113"/>
  <c r="AT9" i="113" s="1"/>
  <c r="AT10" i="113" s="1"/>
  <c r="AT11" i="113" s="1"/>
  <c r="AT12" i="113" s="1"/>
  <c r="AT13" i="113" s="1"/>
  <c r="AT14" i="113" s="1"/>
  <c r="AT15" i="113" s="1"/>
  <c r="AT16" i="113" s="1"/>
  <c r="AT17" i="113" s="1"/>
  <c r="AT18" i="113" s="1"/>
  <c r="AT19" i="113" s="1"/>
  <c r="AT20" i="113" s="1"/>
  <c r="AT21" i="113" s="1"/>
  <c r="AT22" i="113" s="1"/>
  <c r="AT23" i="113" s="1"/>
  <c r="AT24" i="113" s="1"/>
  <c r="AT25" i="113" s="1"/>
  <c r="AT26" i="113" s="1"/>
  <c r="AT27" i="113" s="1"/>
  <c r="AT28" i="113" s="1"/>
  <c r="AT29" i="113" s="1"/>
  <c r="AT30" i="113" s="1"/>
  <c r="AT31" i="113" s="1"/>
  <c r="AT32" i="113" s="1"/>
  <c r="AT33" i="113" s="1"/>
  <c r="AT34" i="113" s="1"/>
  <c r="AT35" i="113" s="1"/>
  <c r="AT36" i="113" s="1"/>
  <c r="AT37" i="113" s="1"/>
  <c r="AT38" i="113" s="1"/>
  <c r="AT39" i="113" s="1"/>
  <c r="AT40" i="113" s="1"/>
  <c r="AT41" i="113" s="1"/>
  <c r="AT42" i="113" s="1"/>
  <c r="AT43" i="113" s="1"/>
  <c r="AT44" i="113" s="1"/>
  <c r="AS8" i="113"/>
  <c r="AR8" i="113"/>
  <c r="AQ8" i="113"/>
  <c r="AM8" i="113"/>
  <c r="AM9" i="113" s="1"/>
  <c r="AL8" i="113"/>
  <c r="AK8" i="113"/>
  <c r="AJ8" i="113"/>
  <c r="AI8" i="113"/>
  <c r="AI9" i="113" s="1"/>
  <c r="AI10" i="113" s="1"/>
  <c r="AI11" i="113" s="1"/>
  <c r="AI12" i="113" s="1"/>
  <c r="AI13" i="113" s="1"/>
  <c r="AI14" i="113" s="1"/>
  <c r="AI15" i="113" s="1"/>
  <c r="AI16" i="113" s="1"/>
  <c r="AI17" i="113" s="1"/>
  <c r="AI18" i="113" s="1"/>
  <c r="AI19" i="113" s="1"/>
  <c r="AI20" i="113" s="1"/>
  <c r="AI21" i="113" s="1"/>
  <c r="AI22" i="113" s="1"/>
  <c r="AI23" i="113" s="1"/>
  <c r="AI24" i="113" s="1"/>
  <c r="AI25" i="113" s="1"/>
  <c r="AI26" i="113" s="1"/>
  <c r="AI27" i="113" s="1"/>
  <c r="AI28" i="113" s="1"/>
  <c r="AI29" i="113" s="1"/>
  <c r="AI30" i="113" s="1"/>
  <c r="AI31" i="113" s="1"/>
  <c r="AI32" i="113" s="1"/>
  <c r="AI33" i="113" s="1"/>
  <c r="AI34" i="113" s="1"/>
  <c r="AI35" i="113" s="1"/>
  <c r="AI36" i="113" s="1"/>
  <c r="AI37" i="113" s="1"/>
  <c r="AI38" i="113" s="1"/>
  <c r="AI39" i="113" s="1"/>
  <c r="AI40" i="113" s="1"/>
  <c r="AI41" i="113" s="1"/>
  <c r="AI42" i="113" s="1"/>
  <c r="AI43" i="113" s="1"/>
  <c r="AI44" i="113" s="1"/>
  <c r="AH8" i="113"/>
  <c r="AG8" i="113"/>
  <c r="V8" i="113"/>
  <c r="Q8" i="113"/>
  <c r="O8" i="113"/>
  <c r="P8" i="113" s="1"/>
  <c r="M8" i="113"/>
  <c r="N8" i="113" s="1"/>
  <c r="L8" i="113"/>
  <c r="J8" i="113"/>
  <c r="G8" i="113"/>
  <c r="R8" i="113" s="1"/>
  <c r="AS7" i="113"/>
  <c r="AR7" i="113"/>
  <c r="AN7" i="113"/>
  <c r="AK7" i="113"/>
  <c r="AJ7" i="113"/>
  <c r="AH7" i="113"/>
  <c r="AG7" i="113"/>
  <c r="R7" i="113"/>
  <c r="Q7" i="113"/>
  <c r="P7" i="113"/>
  <c r="O7" i="113"/>
  <c r="M7" i="113"/>
  <c r="N7" i="113" s="1"/>
  <c r="L7" i="113"/>
  <c r="J7" i="113"/>
  <c r="G7" i="113"/>
  <c r="Z26" i="111"/>
  <c r="BA2" i="111"/>
  <c r="AE13" i="45" a="1"/>
  <c r="S13" i="45" a="1"/>
  <c r="S12" i="45" a="1"/>
  <c r="AL8" i="111" a="1"/>
  <c r="AL13" i="111" a="1"/>
  <c r="AL16" i="111" a="1"/>
  <c r="AL10" i="111" a="1"/>
  <c r="AL15" i="111" a="1"/>
  <c r="AL9" i="111" a="1"/>
  <c r="AL14" i="111" a="1"/>
  <c r="AL17" i="111" a="1"/>
  <c r="AL11" i="111" a="1"/>
  <c r="AL12" i="111" a="1"/>
  <c r="AL7" i="111" a="1"/>
  <c r="AU13" i="45" l="1"/>
  <c r="S13" i="45"/>
  <c r="AE13" i="45"/>
  <c r="BB13" i="45"/>
  <c r="BD13" i="45" s="1"/>
  <c r="S14" i="113"/>
  <c r="U14" i="113"/>
  <c r="S16" i="113"/>
  <c r="AN9" i="113"/>
  <c r="AO9" i="113" s="1"/>
  <c r="AP9" i="113" s="1"/>
  <c r="AM10" i="113"/>
  <c r="S13" i="113"/>
  <c r="S8" i="113"/>
  <c r="S7" i="113"/>
  <c r="N18" i="113"/>
  <c r="AY2" i="113" s="1"/>
  <c r="F13" i="45" s="1"/>
  <c r="U8" i="113"/>
  <c r="U17" i="113"/>
  <c r="S11" i="113"/>
  <c r="S10" i="113"/>
  <c r="S17" i="113"/>
  <c r="V18" i="113"/>
  <c r="S9" i="113"/>
  <c r="S12" i="113"/>
  <c r="S15" i="113"/>
  <c r="AO7" i="113"/>
  <c r="AP7" i="113" s="1"/>
  <c r="AN8" i="113"/>
  <c r="AO8" i="113" s="1"/>
  <c r="AP8" i="113" s="1"/>
  <c r="U16" i="113"/>
  <c r="S12" i="45"/>
  <c r="AL12" i="111"/>
  <c r="AL11" i="111"/>
  <c r="AM11" i="111" s="1"/>
  <c r="AL17" i="111"/>
  <c r="AM17" i="111" s="1"/>
  <c r="AL14" i="111"/>
  <c r="AL9" i="111"/>
  <c r="AL15" i="111"/>
  <c r="AL10" i="111"/>
  <c r="AL16" i="111"/>
  <c r="AL13" i="111"/>
  <c r="AL8" i="111"/>
  <c r="AL7" i="111"/>
  <c r="AE8" i="111"/>
  <c r="AE9" i="111"/>
  <c r="AE10" i="111"/>
  <c r="AE11" i="111"/>
  <c r="AE12" i="111"/>
  <c r="AE13" i="111"/>
  <c r="AE14" i="111"/>
  <c r="AE15" i="111"/>
  <c r="AE17" i="111"/>
  <c r="AD8" i="111"/>
  <c r="AD9" i="111"/>
  <c r="AD10" i="111"/>
  <c r="AD11" i="111"/>
  <c r="AD12" i="111"/>
  <c r="AD13" i="111"/>
  <c r="AD14" i="111"/>
  <c r="AD15" i="111"/>
  <c r="AD17" i="111"/>
  <c r="AC8" i="111"/>
  <c r="AC9" i="111"/>
  <c r="AC10" i="111"/>
  <c r="AC11" i="111"/>
  <c r="AC12" i="111"/>
  <c r="AC13" i="111"/>
  <c r="AC14" i="111"/>
  <c r="AC15" i="111"/>
  <c r="AC17" i="111"/>
  <c r="AB8" i="111"/>
  <c r="AB9" i="111"/>
  <c r="AB10" i="111"/>
  <c r="AB11" i="111"/>
  <c r="AB12" i="111"/>
  <c r="AB13" i="111"/>
  <c r="AB14" i="111"/>
  <c r="AB15" i="111"/>
  <c r="AB17" i="111"/>
  <c r="AA8" i="111"/>
  <c r="AA9" i="111"/>
  <c r="AA10" i="111"/>
  <c r="AA11" i="111"/>
  <c r="AA12" i="111"/>
  <c r="AA13" i="111"/>
  <c r="AA14" i="111"/>
  <c r="AA15" i="111"/>
  <c r="AA17" i="111"/>
  <c r="Z8" i="111"/>
  <c r="Z9" i="111"/>
  <c r="Z10" i="111"/>
  <c r="Z11" i="111"/>
  <c r="Z12" i="111"/>
  <c r="Z13" i="111"/>
  <c r="Z14" i="111"/>
  <c r="Z15" i="111"/>
  <c r="Z17" i="111"/>
  <c r="Y8" i="111"/>
  <c r="Y9" i="111"/>
  <c r="Y10" i="111"/>
  <c r="Y11" i="111"/>
  <c r="Y12" i="111"/>
  <c r="Y13" i="111"/>
  <c r="Y14" i="111"/>
  <c r="Y15" i="111"/>
  <c r="Y16" i="111"/>
  <c r="Y17" i="111"/>
  <c r="Y7" i="111"/>
  <c r="X7" i="111"/>
  <c r="AA7" i="111" s="1"/>
  <c r="Z7" i="111" s="1"/>
  <c r="W8" i="111"/>
  <c r="W9" i="111"/>
  <c r="W10" i="111"/>
  <c r="W11" i="111"/>
  <c r="W12" i="111"/>
  <c r="W13" i="111"/>
  <c r="W14" i="111"/>
  <c r="W15" i="111"/>
  <c r="W16" i="111"/>
  <c r="W17" i="111"/>
  <c r="W7" i="111"/>
  <c r="V8" i="111"/>
  <c r="V9" i="111"/>
  <c r="V10" i="111"/>
  <c r="V11" i="111"/>
  <c r="V12" i="111"/>
  <c r="V13" i="111"/>
  <c r="V14" i="111"/>
  <c r="V15" i="111"/>
  <c r="V16" i="111"/>
  <c r="V17" i="111"/>
  <c r="V7" i="111"/>
  <c r="AI8" i="111"/>
  <c r="AI9" i="111"/>
  <c r="AI10" i="111"/>
  <c r="AI11" i="111"/>
  <c r="AI12" i="111"/>
  <c r="AI13" i="111"/>
  <c r="AI14" i="111"/>
  <c r="AI15" i="111"/>
  <c r="AI16" i="111"/>
  <c r="AI17" i="111"/>
  <c r="AI7" i="111"/>
  <c r="AG8" i="111"/>
  <c r="AH8" i="111"/>
  <c r="AG9" i="111"/>
  <c r="AH9" i="111"/>
  <c r="AG10" i="111"/>
  <c r="AH10" i="111"/>
  <c r="AG11" i="111"/>
  <c r="AH11" i="111"/>
  <c r="AJ11" i="111" s="1"/>
  <c r="AG12" i="111"/>
  <c r="AH12" i="111"/>
  <c r="AG13" i="111"/>
  <c r="AH13" i="111"/>
  <c r="AG14" i="111"/>
  <c r="AH14" i="111"/>
  <c r="AG15" i="111"/>
  <c r="AH15" i="111"/>
  <c r="AG16" i="111"/>
  <c r="AH16" i="111"/>
  <c r="AG17" i="111"/>
  <c r="AH17" i="111"/>
  <c r="X8" i="111"/>
  <c r="X9" i="111"/>
  <c r="X10" i="111"/>
  <c r="X11" i="111"/>
  <c r="X12" i="111"/>
  <c r="X13" i="111"/>
  <c r="X14" i="111"/>
  <c r="X15" i="111"/>
  <c r="X16" i="111"/>
  <c r="AA16" i="111" s="1"/>
  <c r="Z16" i="111" s="1"/>
  <c r="X17" i="111"/>
  <c r="AH7" i="111"/>
  <c r="AG7" i="111"/>
  <c r="P16" i="111"/>
  <c r="N16" i="111"/>
  <c r="BL45" i="111"/>
  <c r="BD45" i="111"/>
  <c r="BC45" i="111"/>
  <c r="AZ45" i="111"/>
  <c r="BA45" i="111" s="1"/>
  <c r="BK45" i="111" s="1"/>
  <c r="BL44" i="111"/>
  <c r="BD44" i="111"/>
  <c r="BC44" i="111"/>
  <c r="AZ44" i="111"/>
  <c r="BA44" i="111" s="1"/>
  <c r="BK44" i="111" s="1"/>
  <c r="BL43" i="111"/>
  <c r="BD43" i="111"/>
  <c r="BC43" i="111"/>
  <c r="AZ43" i="111"/>
  <c r="BA43" i="111" s="1"/>
  <c r="BK43" i="111" s="1"/>
  <c r="BL42" i="111"/>
  <c r="BD42" i="111"/>
  <c r="BC42" i="111"/>
  <c r="AZ42" i="111"/>
  <c r="BA42" i="111" s="1"/>
  <c r="BK42" i="111" s="1"/>
  <c r="BL41" i="111"/>
  <c r="BD41" i="111"/>
  <c r="BC41" i="111"/>
  <c r="AZ41" i="111"/>
  <c r="BA41" i="111" s="1"/>
  <c r="BK41" i="111" s="1"/>
  <c r="BL40" i="111"/>
  <c r="BD40" i="111"/>
  <c r="BC40" i="111"/>
  <c r="AZ40" i="111"/>
  <c r="BA40" i="111" s="1"/>
  <c r="BK40" i="111" s="1"/>
  <c r="BL39" i="111"/>
  <c r="BD39" i="111"/>
  <c r="BC39" i="111"/>
  <c r="AZ39" i="111"/>
  <c r="BA39" i="111" s="1"/>
  <c r="BK39" i="111" s="1"/>
  <c r="BL38" i="111"/>
  <c r="BD38" i="111"/>
  <c r="BC38" i="111"/>
  <c r="AZ38" i="111"/>
  <c r="BA38" i="111" s="1"/>
  <c r="BK38" i="111" s="1"/>
  <c r="BL37" i="111"/>
  <c r="BD37" i="111"/>
  <c r="BC37" i="111"/>
  <c r="AZ37" i="111"/>
  <c r="BA37" i="111" s="1"/>
  <c r="BK37" i="111" s="1"/>
  <c r="BL36" i="111"/>
  <c r="BD36" i="111"/>
  <c r="BC36" i="111"/>
  <c r="AZ36" i="111"/>
  <c r="BA36" i="111" s="1"/>
  <c r="BK36" i="111" s="1"/>
  <c r="BL35" i="111"/>
  <c r="BD35" i="111"/>
  <c r="BC35" i="111"/>
  <c r="AZ35" i="111"/>
  <c r="BA35" i="111" s="1"/>
  <c r="BK35" i="111" s="1"/>
  <c r="BL34" i="111"/>
  <c r="BD34" i="111"/>
  <c r="BC34" i="111"/>
  <c r="AZ34" i="111"/>
  <c r="BA34" i="111" s="1"/>
  <c r="BK34" i="111" s="1"/>
  <c r="BL33" i="111"/>
  <c r="BD33" i="111"/>
  <c r="BC33" i="111"/>
  <c r="AZ33" i="111"/>
  <c r="BA33" i="111" s="1"/>
  <c r="BK33" i="111" s="1"/>
  <c r="BL32" i="111"/>
  <c r="BD32" i="111"/>
  <c r="BC32" i="111"/>
  <c r="AZ32" i="111"/>
  <c r="BA32" i="111" s="1"/>
  <c r="BK32" i="111" s="1"/>
  <c r="BL31" i="111"/>
  <c r="BD31" i="111"/>
  <c r="BC31" i="111"/>
  <c r="AZ31" i="111"/>
  <c r="BA31" i="111" s="1"/>
  <c r="BK31" i="111" s="1"/>
  <c r="BL30" i="111"/>
  <c r="BD30" i="111"/>
  <c r="BC30" i="111"/>
  <c r="AZ30" i="111"/>
  <c r="BA30" i="111" s="1"/>
  <c r="BK30" i="111" s="1"/>
  <c r="BL29" i="111"/>
  <c r="BD29" i="111"/>
  <c r="BC29" i="111"/>
  <c r="AZ29" i="111"/>
  <c r="BA29" i="111" s="1"/>
  <c r="BK29" i="111" s="1"/>
  <c r="BL28" i="111"/>
  <c r="BD28" i="111"/>
  <c r="BC28" i="111"/>
  <c r="AZ28" i="111"/>
  <c r="BA28" i="111" s="1"/>
  <c r="BK28" i="111" s="1"/>
  <c r="BL27" i="111"/>
  <c r="BD27" i="111"/>
  <c r="BC27" i="111"/>
  <c r="AZ27" i="111"/>
  <c r="BA27" i="111" s="1"/>
  <c r="BK27" i="111" s="1"/>
  <c r="BL26" i="111"/>
  <c r="BD26" i="111"/>
  <c r="BC26" i="111"/>
  <c r="AZ26" i="111"/>
  <c r="BA26" i="111" s="1"/>
  <c r="BK26" i="111" s="1"/>
  <c r="BL25" i="111"/>
  <c r="BD25" i="111"/>
  <c r="BC25" i="111"/>
  <c r="AZ25" i="111"/>
  <c r="BA25" i="111" s="1"/>
  <c r="BK25" i="111" s="1"/>
  <c r="BL24" i="111"/>
  <c r="BD24" i="111"/>
  <c r="BC24" i="111"/>
  <c r="AZ24" i="111"/>
  <c r="BA24" i="111" s="1"/>
  <c r="BK24" i="111" s="1"/>
  <c r="BL23" i="111"/>
  <c r="BD23" i="111"/>
  <c r="BC23" i="111"/>
  <c r="AZ23" i="111"/>
  <c r="BA23" i="111" s="1"/>
  <c r="BK23" i="111" s="1"/>
  <c r="BL22" i="111"/>
  <c r="BD22" i="111"/>
  <c r="BC22" i="111"/>
  <c r="AZ22" i="111"/>
  <c r="BA22" i="111" s="1"/>
  <c r="BK22" i="111" s="1"/>
  <c r="BL21" i="111"/>
  <c r="BD21" i="111"/>
  <c r="BC21" i="111"/>
  <c r="AZ21" i="111"/>
  <c r="BA21" i="111" s="1"/>
  <c r="BK21" i="111" s="1"/>
  <c r="BL20" i="111"/>
  <c r="BD20" i="111"/>
  <c r="BC20" i="111"/>
  <c r="AZ20" i="111"/>
  <c r="BA20" i="111" s="1"/>
  <c r="BK20" i="111" s="1"/>
  <c r="BL19" i="111"/>
  <c r="BD19" i="111"/>
  <c r="BC19" i="111"/>
  <c r="AZ19" i="111"/>
  <c r="BA19" i="111" s="1"/>
  <c r="BK19" i="111" s="1"/>
  <c r="E18" i="111"/>
  <c r="BL18" i="111"/>
  <c r="BD18" i="111"/>
  <c r="BC18" i="111"/>
  <c r="AZ18" i="111"/>
  <c r="BA18" i="111" s="1"/>
  <c r="BK18" i="111" s="1"/>
  <c r="Q17" i="111"/>
  <c r="O17" i="111"/>
  <c r="P17" i="111" s="1"/>
  <c r="M17" i="111"/>
  <c r="N17" i="111" s="1"/>
  <c r="AK17" i="111" s="1"/>
  <c r="L17" i="111"/>
  <c r="J17" i="111"/>
  <c r="G17" i="111"/>
  <c r="R17" i="111" s="1"/>
  <c r="BL17" i="111"/>
  <c r="BD17" i="111"/>
  <c r="BC17" i="111"/>
  <c r="AZ17" i="111"/>
  <c r="BA17" i="111" s="1"/>
  <c r="BK17" i="111" s="1"/>
  <c r="Q16" i="111"/>
  <c r="O16" i="111"/>
  <c r="M16" i="111"/>
  <c r="L16" i="111"/>
  <c r="J16" i="111"/>
  <c r="G16" i="111"/>
  <c r="R16" i="111" s="1"/>
  <c r="BL16" i="111"/>
  <c r="BD16" i="111"/>
  <c r="BC16" i="111"/>
  <c r="AZ16" i="111"/>
  <c r="BA16" i="111" s="1"/>
  <c r="BK16" i="111" s="1"/>
  <c r="Q15" i="111"/>
  <c r="O15" i="111"/>
  <c r="P15" i="111" s="1"/>
  <c r="M15" i="111"/>
  <c r="N15" i="111" s="1"/>
  <c r="AK15" i="111" s="1"/>
  <c r="L15" i="111"/>
  <c r="J15" i="111"/>
  <c r="G15" i="111"/>
  <c r="R15" i="111" s="1"/>
  <c r="BL15" i="111"/>
  <c r="BD15" i="111"/>
  <c r="BC15" i="111"/>
  <c r="AZ15" i="111"/>
  <c r="BA15" i="111" s="1"/>
  <c r="BK15" i="111" s="1"/>
  <c r="Q14" i="111"/>
  <c r="O14" i="111"/>
  <c r="P14" i="111" s="1"/>
  <c r="M14" i="111"/>
  <c r="N14" i="111" s="1"/>
  <c r="AK14" i="111" s="1"/>
  <c r="L14" i="111"/>
  <c r="J14" i="111"/>
  <c r="G14" i="111"/>
  <c r="R14" i="111" s="1"/>
  <c r="BL14" i="111"/>
  <c r="BD14" i="111"/>
  <c r="BC14" i="111"/>
  <c r="AZ14" i="111"/>
  <c r="BA14" i="111" s="1"/>
  <c r="BK14" i="111" s="1"/>
  <c r="Q13" i="111"/>
  <c r="O13" i="111"/>
  <c r="P13" i="111" s="1"/>
  <c r="M13" i="111"/>
  <c r="N13" i="111" s="1"/>
  <c r="AK13" i="111" s="1"/>
  <c r="L13" i="111"/>
  <c r="J13" i="111"/>
  <c r="G13" i="111"/>
  <c r="BL13" i="111"/>
  <c r="BD13" i="111"/>
  <c r="BC13" i="111"/>
  <c r="AZ13" i="111"/>
  <c r="BA13" i="111" s="1"/>
  <c r="BK13" i="111" s="1"/>
  <c r="Q12" i="111"/>
  <c r="O12" i="111"/>
  <c r="P12" i="111" s="1"/>
  <c r="M12" i="111"/>
  <c r="L12" i="111"/>
  <c r="J12" i="111"/>
  <c r="G12" i="111"/>
  <c r="R12" i="111" s="1"/>
  <c r="BL12" i="111"/>
  <c r="BD12" i="111"/>
  <c r="BC12" i="111"/>
  <c r="AZ12" i="111"/>
  <c r="BA12" i="111" s="1"/>
  <c r="BK12" i="111" s="1"/>
  <c r="Q11" i="111"/>
  <c r="O11" i="111"/>
  <c r="P11" i="111" s="1"/>
  <c r="M11" i="111"/>
  <c r="N11" i="111" s="1"/>
  <c r="AK11" i="111" s="1"/>
  <c r="L11" i="111"/>
  <c r="J11" i="111"/>
  <c r="G11" i="111"/>
  <c r="R11" i="111" s="1"/>
  <c r="BL11" i="111"/>
  <c r="BD11" i="111"/>
  <c r="BC11" i="111"/>
  <c r="AZ11" i="111"/>
  <c r="BA11" i="111" s="1"/>
  <c r="BK11" i="111" s="1"/>
  <c r="Q10" i="111"/>
  <c r="O10" i="111"/>
  <c r="P10" i="111" s="1"/>
  <c r="M10" i="111"/>
  <c r="L10" i="111"/>
  <c r="J10" i="111"/>
  <c r="G10" i="111"/>
  <c r="R10" i="111" s="1"/>
  <c r="BL10" i="111"/>
  <c r="BD10" i="111"/>
  <c r="BC10" i="111"/>
  <c r="AZ10" i="111"/>
  <c r="BA10" i="111" s="1"/>
  <c r="BK10" i="111" s="1"/>
  <c r="Q9" i="111"/>
  <c r="O9" i="111"/>
  <c r="P9" i="111" s="1"/>
  <c r="M9" i="111"/>
  <c r="N9" i="111" s="1"/>
  <c r="AK9" i="111" s="1"/>
  <c r="L9" i="111"/>
  <c r="J9" i="111"/>
  <c r="G9" i="111"/>
  <c r="BM9" i="111"/>
  <c r="BM10" i="111" s="1"/>
  <c r="BM11" i="111" s="1"/>
  <c r="BM12" i="111" s="1"/>
  <c r="BM13" i="111" s="1"/>
  <c r="BM14" i="111" s="1"/>
  <c r="BM15" i="111" s="1"/>
  <c r="BM16" i="111" s="1"/>
  <c r="BM17" i="111" s="1"/>
  <c r="BM18" i="111" s="1"/>
  <c r="BM19" i="111" s="1"/>
  <c r="BM20" i="111" s="1"/>
  <c r="BM21" i="111" s="1"/>
  <c r="BM22" i="111" s="1"/>
  <c r="BM23" i="111" s="1"/>
  <c r="BM24" i="111" s="1"/>
  <c r="BM25" i="111" s="1"/>
  <c r="BM26" i="111" s="1"/>
  <c r="BM27" i="111" s="1"/>
  <c r="BM28" i="111" s="1"/>
  <c r="BM29" i="111" s="1"/>
  <c r="BM30" i="111" s="1"/>
  <c r="BM31" i="111" s="1"/>
  <c r="BM32" i="111" s="1"/>
  <c r="BM33" i="111" s="1"/>
  <c r="BM34" i="111" s="1"/>
  <c r="BM35" i="111" s="1"/>
  <c r="BM36" i="111" s="1"/>
  <c r="BM37" i="111" s="1"/>
  <c r="BM38" i="111" s="1"/>
  <c r="BM39" i="111" s="1"/>
  <c r="BM40" i="111" s="1"/>
  <c r="BM41" i="111" s="1"/>
  <c r="BM42" i="111" s="1"/>
  <c r="BM43" i="111" s="1"/>
  <c r="BM44" i="111" s="1"/>
  <c r="BM45" i="111" s="1"/>
  <c r="BL9" i="111"/>
  <c r="BJ9" i="111"/>
  <c r="BJ10" i="111" s="1"/>
  <c r="BJ11" i="111" s="1"/>
  <c r="BJ12" i="111" s="1"/>
  <c r="BJ13" i="111" s="1"/>
  <c r="BJ14" i="111" s="1"/>
  <c r="BJ15" i="111" s="1"/>
  <c r="BJ16" i="111" s="1"/>
  <c r="BJ17" i="111" s="1"/>
  <c r="BJ18" i="111" s="1"/>
  <c r="BJ19" i="111" s="1"/>
  <c r="BJ20" i="111" s="1"/>
  <c r="BJ21" i="111" s="1"/>
  <c r="BJ22" i="111" s="1"/>
  <c r="BJ23" i="111" s="1"/>
  <c r="BJ24" i="111" s="1"/>
  <c r="BJ25" i="111" s="1"/>
  <c r="BJ26" i="111" s="1"/>
  <c r="BJ27" i="111" s="1"/>
  <c r="BJ28" i="111" s="1"/>
  <c r="BJ29" i="111" s="1"/>
  <c r="BJ30" i="111" s="1"/>
  <c r="BJ31" i="111" s="1"/>
  <c r="BJ32" i="111" s="1"/>
  <c r="BJ33" i="111" s="1"/>
  <c r="BJ34" i="111" s="1"/>
  <c r="BJ35" i="111" s="1"/>
  <c r="BJ36" i="111" s="1"/>
  <c r="BJ37" i="111" s="1"/>
  <c r="BJ38" i="111" s="1"/>
  <c r="BJ39" i="111" s="1"/>
  <c r="BJ40" i="111" s="1"/>
  <c r="BJ41" i="111" s="1"/>
  <c r="BJ42" i="111" s="1"/>
  <c r="BJ43" i="111" s="1"/>
  <c r="BJ44" i="111" s="1"/>
  <c r="BJ45" i="111" s="1"/>
  <c r="BF9" i="111"/>
  <c r="BF10" i="111" s="1"/>
  <c r="BE9" i="111"/>
  <c r="BE10" i="111" s="1"/>
  <c r="BE11" i="111" s="1"/>
  <c r="BE12" i="111" s="1"/>
  <c r="BE13" i="111" s="1"/>
  <c r="BE14" i="111" s="1"/>
  <c r="BE15" i="111" s="1"/>
  <c r="BE16" i="111" s="1"/>
  <c r="BE17" i="111" s="1"/>
  <c r="BE18" i="111" s="1"/>
  <c r="BE19" i="111" s="1"/>
  <c r="BE20" i="111" s="1"/>
  <c r="BE21" i="111" s="1"/>
  <c r="BE22" i="111" s="1"/>
  <c r="BE23" i="111" s="1"/>
  <c r="BE24" i="111" s="1"/>
  <c r="BE25" i="111" s="1"/>
  <c r="BE26" i="111" s="1"/>
  <c r="BE27" i="111" s="1"/>
  <c r="BE28" i="111" s="1"/>
  <c r="BE29" i="111" s="1"/>
  <c r="BE30" i="111" s="1"/>
  <c r="BE31" i="111" s="1"/>
  <c r="BE32" i="111" s="1"/>
  <c r="BE33" i="111" s="1"/>
  <c r="BE34" i="111" s="1"/>
  <c r="BE35" i="111" s="1"/>
  <c r="BE36" i="111" s="1"/>
  <c r="BE37" i="111" s="1"/>
  <c r="BE38" i="111" s="1"/>
  <c r="BE39" i="111" s="1"/>
  <c r="BE40" i="111" s="1"/>
  <c r="BE41" i="111" s="1"/>
  <c r="BE42" i="111" s="1"/>
  <c r="BE43" i="111" s="1"/>
  <c r="BE44" i="111" s="1"/>
  <c r="BE45" i="111" s="1"/>
  <c r="BD9" i="111"/>
  <c r="BC9" i="111"/>
  <c r="BB9" i="111"/>
  <c r="BB10" i="111" s="1"/>
  <c r="BB11" i="111" s="1"/>
  <c r="BB12" i="111" s="1"/>
  <c r="BB13" i="111" s="1"/>
  <c r="BB14" i="111" s="1"/>
  <c r="BB15" i="111" s="1"/>
  <c r="BB16" i="111" s="1"/>
  <c r="BB17" i="111" s="1"/>
  <c r="BB18" i="111" s="1"/>
  <c r="BB19" i="111" s="1"/>
  <c r="BB20" i="111" s="1"/>
  <c r="BB21" i="111" s="1"/>
  <c r="BB22" i="111" s="1"/>
  <c r="BB23" i="111" s="1"/>
  <c r="BB24" i="111" s="1"/>
  <c r="BB25" i="111" s="1"/>
  <c r="BB26" i="111" s="1"/>
  <c r="BB27" i="111" s="1"/>
  <c r="BB28" i="111" s="1"/>
  <c r="BB29" i="111" s="1"/>
  <c r="BB30" i="111" s="1"/>
  <c r="BB31" i="111" s="1"/>
  <c r="BB32" i="111" s="1"/>
  <c r="BB33" i="111" s="1"/>
  <c r="BB34" i="111" s="1"/>
  <c r="BB35" i="111" s="1"/>
  <c r="BB36" i="111" s="1"/>
  <c r="BB37" i="111" s="1"/>
  <c r="BB38" i="111" s="1"/>
  <c r="BB39" i="111" s="1"/>
  <c r="BB40" i="111" s="1"/>
  <c r="BB41" i="111" s="1"/>
  <c r="BB42" i="111" s="1"/>
  <c r="BB43" i="111" s="1"/>
  <c r="BB44" i="111" s="1"/>
  <c r="BB45" i="111" s="1"/>
  <c r="AZ9" i="111"/>
  <c r="BA9" i="111" s="1"/>
  <c r="BK9" i="111" s="1"/>
  <c r="Q8" i="111"/>
  <c r="O8" i="111"/>
  <c r="P8" i="111" s="1"/>
  <c r="M8" i="111"/>
  <c r="L8" i="111"/>
  <c r="J8" i="111"/>
  <c r="G8" i="111"/>
  <c r="R8" i="111" s="1"/>
  <c r="BL8" i="111"/>
  <c r="BD8" i="111"/>
  <c r="BC8" i="111"/>
  <c r="AZ8" i="111"/>
  <c r="BG8" i="111" s="1"/>
  <c r="Q7" i="111"/>
  <c r="O7" i="111"/>
  <c r="P7" i="111" s="1"/>
  <c r="M7" i="111"/>
  <c r="N7" i="111" s="1"/>
  <c r="L7" i="111"/>
  <c r="J7" i="111"/>
  <c r="G7" i="111"/>
  <c r="AO8" i="45"/>
  <c r="BA12" i="45"/>
  <c r="F4" i="107"/>
  <c r="F5" i="107"/>
  <c r="F3" i="107"/>
  <c r="F4" i="104"/>
  <c r="F5" i="104"/>
  <c r="F3" i="104"/>
  <c r="AA4" i="107"/>
  <c r="AB4" i="107"/>
  <c r="AA5" i="107"/>
  <c r="AB5" i="107"/>
  <c r="AB3" i="107"/>
  <c r="AA3" i="107"/>
  <c r="AC3" i="107" s="1"/>
  <c r="Y4" i="107"/>
  <c r="Y5" i="107"/>
  <c r="Y3" i="107"/>
  <c r="J4" i="107"/>
  <c r="K4" i="107"/>
  <c r="L4" i="107"/>
  <c r="M4" i="107"/>
  <c r="J5" i="107"/>
  <c r="K5" i="107"/>
  <c r="L5" i="107"/>
  <c r="M5" i="107"/>
  <c r="M3" i="107"/>
  <c r="L3" i="107"/>
  <c r="K3" i="107"/>
  <c r="J3" i="107"/>
  <c r="S3" i="104"/>
  <c r="T3" i="104"/>
  <c r="T4" i="104"/>
  <c r="T5" i="104"/>
  <c r="S4" i="104"/>
  <c r="S5" i="104"/>
  <c r="AN17" i="111" a="1"/>
  <c r="AN11" i="111" a="1"/>
  <c r="AO17" i="111" a="1"/>
  <c r="AO11" i="111" a="1"/>
  <c r="C17" i="63" a="1"/>
  <c r="I13" i="45" l="1"/>
  <c r="AW13" i="45"/>
  <c r="AY13" i="45" s="1"/>
  <c r="BE13" i="45" s="1"/>
  <c r="Z10" i="113"/>
  <c r="X10" i="113"/>
  <c r="T10" i="113"/>
  <c r="T11" i="113"/>
  <c r="Z11" i="113"/>
  <c r="X11" i="113"/>
  <c r="S18" i="113"/>
  <c r="T7" i="113"/>
  <c r="Z7" i="113"/>
  <c r="X7" i="113"/>
  <c r="T8" i="113"/>
  <c r="Z8" i="113"/>
  <c r="X8" i="113"/>
  <c r="Z13" i="113"/>
  <c r="X13" i="113"/>
  <c r="T13" i="113"/>
  <c r="U13" i="113"/>
  <c r="U11" i="113"/>
  <c r="U10" i="113"/>
  <c r="AM11" i="113"/>
  <c r="AN10" i="113"/>
  <c r="AO10" i="113" s="1"/>
  <c r="AP10" i="113" s="1"/>
  <c r="Z15" i="113"/>
  <c r="X15" i="113"/>
  <c r="U15" i="113"/>
  <c r="T15" i="113"/>
  <c r="Z12" i="113"/>
  <c r="X12" i="113"/>
  <c r="U12" i="113"/>
  <c r="U18" i="113" s="1"/>
  <c r="AX2" i="113" s="1"/>
  <c r="T12" i="113"/>
  <c r="X9" i="113"/>
  <c r="Z9" i="113"/>
  <c r="T9" i="113"/>
  <c r="Z16" i="113"/>
  <c r="X16" i="113"/>
  <c r="T16" i="113"/>
  <c r="T17" i="113"/>
  <c r="Z17" i="113"/>
  <c r="X17" i="113"/>
  <c r="Z14" i="113"/>
  <c r="X14" i="113"/>
  <c r="T14" i="113"/>
  <c r="AR17" i="111"/>
  <c r="AS17" i="111"/>
  <c r="AR11" i="111"/>
  <c r="AS11" i="111"/>
  <c r="AM8" i="111"/>
  <c r="AS8" i="111" s="1"/>
  <c r="AM10" i="111"/>
  <c r="AS10" i="111" s="1"/>
  <c r="AM15" i="111"/>
  <c r="AS15" i="111" s="1"/>
  <c r="AM16" i="111"/>
  <c r="AS16" i="111" s="1"/>
  <c r="AM9" i="111"/>
  <c r="AS9" i="111" s="1"/>
  <c r="AM14" i="111"/>
  <c r="AS14" i="111" s="1"/>
  <c r="AM13" i="111"/>
  <c r="AS13" i="111" s="1"/>
  <c r="AM12" i="111"/>
  <c r="AS12" i="111" s="1"/>
  <c r="AN11" i="111"/>
  <c r="AN17" i="111"/>
  <c r="AO11" i="111"/>
  <c r="AO17" i="111"/>
  <c r="R9" i="111"/>
  <c r="R7" i="111"/>
  <c r="R13" i="111"/>
  <c r="AJ12" i="111"/>
  <c r="P18" i="111"/>
  <c r="AJ17" i="111"/>
  <c r="AJ16" i="111"/>
  <c r="AJ14" i="111"/>
  <c r="AJ13" i="111"/>
  <c r="AJ10" i="111"/>
  <c r="AJ9" i="111"/>
  <c r="AJ7" i="111"/>
  <c r="AJ8" i="111"/>
  <c r="AJ15" i="111"/>
  <c r="N12" i="111"/>
  <c r="N10" i="111"/>
  <c r="N8" i="111"/>
  <c r="BG9" i="111"/>
  <c r="BH9" i="111" s="1"/>
  <c r="BI9" i="111" s="1"/>
  <c r="BF11" i="111"/>
  <c r="BG10" i="111"/>
  <c r="BH10" i="111" s="1"/>
  <c r="BI10" i="111" s="1"/>
  <c r="BH8" i="111"/>
  <c r="BI8" i="111" s="1"/>
  <c r="BA8" i="111"/>
  <c r="BK8" i="111" s="1"/>
  <c r="C17" i="63"/>
  <c r="U5" i="104"/>
  <c r="AC5" i="107"/>
  <c r="U4" i="104"/>
  <c r="AC4" i="107"/>
  <c r="U3" i="104"/>
  <c r="AO8" i="111" a="1"/>
  <c r="AN8" i="111" a="1"/>
  <c r="AO14" i="111" a="1"/>
  <c r="AN14" i="111" a="1"/>
  <c r="AO10" i="111" a="1"/>
  <c r="AN10" i="111" a="1"/>
  <c r="AO13" i="111" a="1"/>
  <c r="AN13" i="111" a="1"/>
  <c r="AO12" i="111" a="1"/>
  <c r="AN12" i="111" a="1"/>
  <c r="AO15" i="111" a="1"/>
  <c r="AN15" i="111" a="1"/>
  <c r="AO16" i="111" a="1"/>
  <c r="AN16" i="111" a="1"/>
  <c r="AO9" i="111" a="1"/>
  <c r="AN9" i="111" a="1"/>
  <c r="C18" i="63" a="1"/>
  <c r="X4" i="113" l="1"/>
  <c r="C13" i="45"/>
  <c r="W13" i="113"/>
  <c r="AA13" i="113" s="1"/>
  <c r="Y13" i="113"/>
  <c r="W14" i="113"/>
  <c r="AA14" i="113" s="1"/>
  <c r="Y14" i="113"/>
  <c r="W9" i="113"/>
  <c r="AA9" i="113" s="1"/>
  <c r="Y9" i="113"/>
  <c r="W15" i="113"/>
  <c r="AA15" i="113" s="1"/>
  <c r="Y15" i="113"/>
  <c r="W11" i="113"/>
  <c r="AA11" i="113" s="1"/>
  <c r="Y11" i="113"/>
  <c r="W7" i="113"/>
  <c r="T18" i="113"/>
  <c r="AW2" i="113" s="1"/>
  <c r="B13" i="45" s="1"/>
  <c r="Y7" i="113"/>
  <c r="W10" i="113"/>
  <c r="AA10" i="113" s="1"/>
  <c r="Y10" i="113"/>
  <c r="W12" i="113"/>
  <c r="AA12" i="113" s="1"/>
  <c r="Y12" i="113"/>
  <c r="AM12" i="113"/>
  <c r="AN11" i="113"/>
  <c r="W8" i="113"/>
  <c r="AA8" i="113" s="1"/>
  <c r="Y8" i="113"/>
  <c r="W16" i="113"/>
  <c r="AA16" i="113" s="1"/>
  <c r="Y16" i="113"/>
  <c r="W17" i="113"/>
  <c r="AA17" i="113" s="1"/>
  <c r="Y17" i="113"/>
  <c r="AN9" i="111"/>
  <c r="AO9" i="111"/>
  <c r="AN16" i="111"/>
  <c r="AO16" i="111"/>
  <c r="AN15" i="111"/>
  <c r="AO15" i="111"/>
  <c r="AN12" i="111"/>
  <c r="AO12" i="111"/>
  <c r="AN13" i="111"/>
  <c r="AO13" i="111"/>
  <c r="AN10" i="111"/>
  <c r="AO10" i="111"/>
  <c r="AN14" i="111"/>
  <c r="AO14" i="111"/>
  <c r="AN8" i="111"/>
  <c r="AO8" i="111"/>
  <c r="AR9" i="111"/>
  <c r="AR16" i="111"/>
  <c r="AR15" i="111"/>
  <c r="AR12" i="111"/>
  <c r="AR13" i="111"/>
  <c r="AR10" i="111"/>
  <c r="AR14" i="111"/>
  <c r="AR8" i="111"/>
  <c r="AM7" i="111"/>
  <c r="AK8" i="111"/>
  <c r="R18" i="111"/>
  <c r="AK12" i="111"/>
  <c r="AK10" i="111"/>
  <c r="Z18" i="111"/>
  <c r="AA18" i="111"/>
  <c r="N18" i="111"/>
  <c r="AQ7" i="111"/>
  <c r="AQ9" i="111"/>
  <c r="AQ11" i="111"/>
  <c r="AQ14" i="111"/>
  <c r="BF12" i="111"/>
  <c r="BG11" i="111"/>
  <c r="AQ17" i="111"/>
  <c r="AQ13" i="111"/>
  <c r="AQ15" i="111"/>
  <c r="AQ16" i="111"/>
  <c r="C18" i="63"/>
  <c r="J4" i="104"/>
  <c r="K4" i="104"/>
  <c r="L4" i="104"/>
  <c r="M4" i="104"/>
  <c r="J5" i="104"/>
  <c r="K5" i="104"/>
  <c r="L5" i="104"/>
  <c r="M5" i="104"/>
  <c r="M3" i="104"/>
  <c r="L3" i="104"/>
  <c r="K3" i="104"/>
  <c r="J3" i="104"/>
  <c r="AO7" i="111" a="1"/>
  <c r="AN7" i="111" a="1"/>
  <c r="M13" i="45" l="1"/>
  <c r="Z13" i="45"/>
  <c r="AF13" i="45" s="1"/>
  <c r="AO11" i="113"/>
  <c r="AP11" i="113" s="1"/>
  <c r="AM13" i="113"/>
  <c r="AN12" i="113"/>
  <c r="AO12" i="113" s="1"/>
  <c r="AP12" i="113" s="1"/>
  <c r="W18" i="113"/>
  <c r="AA7" i="113"/>
  <c r="AS7" i="111"/>
  <c r="AO7" i="111"/>
  <c r="AN7" i="111"/>
  <c r="AB7" i="111"/>
  <c r="AD7" i="111"/>
  <c r="AC7" i="111"/>
  <c r="AE7" i="111" s="1"/>
  <c r="AK7" i="111" s="1"/>
  <c r="AQ12" i="111"/>
  <c r="AB16" i="111"/>
  <c r="AC16" i="111" s="1"/>
  <c r="AQ10" i="111"/>
  <c r="AL18" i="111"/>
  <c r="AQ8" i="111"/>
  <c r="AP16" i="111"/>
  <c r="AT16" i="111" s="1"/>
  <c r="BH11" i="111"/>
  <c r="BI11" i="111" s="1"/>
  <c r="AP15" i="111"/>
  <c r="AT15" i="111" s="1"/>
  <c r="BF13" i="111"/>
  <c r="BG12" i="111"/>
  <c r="BH12" i="111" s="1"/>
  <c r="BI12" i="111" s="1"/>
  <c r="AP13" i="111"/>
  <c r="AT13" i="111" s="1"/>
  <c r="AP9" i="111"/>
  <c r="AT9" i="111" s="1"/>
  <c r="AP11" i="111"/>
  <c r="AT11" i="111" s="1"/>
  <c r="AP14" i="111"/>
  <c r="AT14" i="111" s="1"/>
  <c r="AP17" i="111"/>
  <c r="AT17" i="111" s="1"/>
  <c r="C19" i="63"/>
  <c r="C20" i="63"/>
  <c r="J8" i="110"/>
  <c r="J9" i="110"/>
  <c r="J10" i="110"/>
  <c r="J11" i="110"/>
  <c r="J12" i="110"/>
  <c r="J13" i="110"/>
  <c r="J14" i="110"/>
  <c r="J15" i="110"/>
  <c r="J16" i="110"/>
  <c r="J17" i="110"/>
  <c r="J7" i="110"/>
  <c r="Q7" i="110"/>
  <c r="N13" i="45" a="1"/>
  <c r="O13" i="45" a="1"/>
  <c r="O13" i="45" l="1"/>
  <c r="N13" i="45"/>
  <c r="T13" i="45" s="1"/>
  <c r="AA13" i="45"/>
  <c r="AM14" i="113"/>
  <c r="AN13" i="113"/>
  <c r="AO13" i="113" s="1"/>
  <c r="AP13" i="113" s="1"/>
  <c r="AR7" i="111"/>
  <c r="AP7" i="111"/>
  <c r="AD16" i="111"/>
  <c r="AM18" i="111"/>
  <c r="AY2" i="111" s="1"/>
  <c r="Y4" i="111" s="1"/>
  <c r="AE16" i="111"/>
  <c r="AK16" i="111" s="1"/>
  <c r="AK18" i="111" s="1"/>
  <c r="BF14" i="111"/>
  <c r="BG13" i="111"/>
  <c r="BH13" i="111" s="1"/>
  <c r="BI13" i="111" s="1"/>
  <c r="AS44" i="110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G14" i="110"/>
  <c r="R14" i="110" s="1"/>
  <c r="O14" i="110"/>
  <c r="P14" i="110" s="1"/>
  <c r="AS13" i="110"/>
  <c r="AK13" i="110"/>
  <c r="AJ13" i="110"/>
  <c r="AG13" i="110"/>
  <c r="AH13" i="110" s="1"/>
  <c r="AR13" i="110" s="1"/>
  <c r="Q13" i="110"/>
  <c r="V13" i="110" s="1"/>
  <c r="M13" i="110"/>
  <c r="N13" i="110" s="1"/>
  <c r="S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S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M7" i="110"/>
  <c r="N7" i="110" s="1"/>
  <c r="L7" i="110"/>
  <c r="G7" i="110"/>
  <c r="R7" i="110" s="1"/>
  <c r="O7" i="110"/>
  <c r="P7" i="110" s="1"/>
  <c r="AT4" i="107"/>
  <c r="AU4" i="107"/>
  <c r="AT5" i="107"/>
  <c r="AU5" i="107"/>
  <c r="AT6" i="107"/>
  <c r="AU6" i="107"/>
  <c r="AT7" i="107"/>
  <c r="AU7" i="107"/>
  <c r="AT8" i="107"/>
  <c r="AU8" i="107"/>
  <c r="AT9" i="107"/>
  <c r="AU9" i="107"/>
  <c r="AT10" i="107"/>
  <c r="AU10" i="107"/>
  <c r="AT11" i="107"/>
  <c r="AU11" i="107"/>
  <c r="AT12" i="107"/>
  <c r="AU12" i="107"/>
  <c r="AT13" i="107"/>
  <c r="AU13" i="107"/>
  <c r="AT14" i="107"/>
  <c r="AU14" i="107"/>
  <c r="AT15" i="107"/>
  <c r="AU15" i="107"/>
  <c r="AT16" i="107"/>
  <c r="AU16" i="107"/>
  <c r="AT17" i="107"/>
  <c r="AU17" i="107"/>
  <c r="AT18" i="107"/>
  <c r="AU18" i="107"/>
  <c r="AT19" i="107"/>
  <c r="AU19" i="107"/>
  <c r="AT20" i="107"/>
  <c r="AU20" i="107"/>
  <c r="AT21" i="107"/>
  <c r="AU21" i="107"/>
  <c r="AT22" i="107"/>
  <c r="AU22" i="107"/>
  <c r="AT23" i="107"/>
  <c r="AU23" i="107"/>
  <c r="AT24" i="107"/>
  <c r="AU24" i="107"/>
  <c r="AT25" i="107"/>
  <c r="AU25" i="107"/>
  <c r="AT26" i="107"/>
  <c r="AU26" i="107"/>
  <c r="AT27" i="107"/>
  <c r="AU27" i="107"/>
  <c r="AT28" i="107"/>
  <c r="AU28" i="107"/>
  <c r="AT29" i="107"/>
  <c r="AU29" i="107"/>
  <c r="AT30" i="107"/>
  <c r="AU30" i="107"/>
  <c r="AT31" i="107"/>
  <c r="AU31" i="107"/>
  <c r="AT32" i="107"/>
  <c r="AU32" i="107"/>
  <c r="AT33" i="107"/>
  <c r="AU33" i="107"/>
  <c r="AT34" i="107"/>
  <c r="AU34" i="107"/>
  <c r="AT35" i="107"/>
  <c r="AU35" i="107"/>
  <c r="AT36" i="107"/>
  <c r="AU36" i="107"/>
  <c r="AT37" i="107"/>
  <c r="AU37" i="107"/>
  <c r="AT38" i="107"/>
  <c r="AU38" i="107"/>
  <c r="AT39" i="107"/>
  <c r="AU39" i="107"/>
  <c r="AT40" i="107"/>
  <c r="AU40" i="107"/>
  <c r="AU3" i="107"/>
  <c r="AT3" i="107"/>
  <c r="AO12" i="107"/>
  <c r="AP12" i="107"/>
  <c r="AQ12" i="107" s="1"/>
  <c r="AO13" i="107"/>
  <c r="AP13" i="107"/>
  <c r="AQ13" i="107" s="1"/>
  <c r="AO14" i="107"/>
  <c r="AP14" i="107"/>
  <c r="AQ14" i="107" s="1"/>
  <c r="AO15" i="107"/>
  <c r="AP15" i="107"/>
  <c r="AQ15" i="107" s="1"/>
  <c r="AO16" i="107"/>
  <c r="AP16" i="107"/>
  <c r="AQ16" i="107" s="1"/>
  <c r="AO17" i="107"/>
  <c r="AP17" i="107"/>
  <c r="AQ17" i="107" s="1"/>
  <c r="AO18" i="107"/>
  <c r="AP18" i="107"/>
  <c r="AQ18" i="107" s="1"/>
  <c r="AO19" i="107"/>
  <c r="AP19" i="107"/>
  <c r="AQ19" i="107" s="1"/>
  <c r="AO20" i="107"/>
  <c r="AP20" i="107"/>
  <c r="AQ20" i="107" s="1"/>
  <c r="AO21" i="107"/>
  <c r="AP21" i="107"/>
  <c r="AQ21" i="107" s="1"/>
  <c r="AO22" i="107"/>
  <c r="AP22" i="107"/>
  <c r="AQ22" i="107" s="1"/>
  <c r="AO23" i="107"/>
  <c r="AP23" i="107"/>
  <c r="AQ23" i="107" s="1"/>
  <c r="AO24" i="107"/>
  <c r="AP24" i="107"/>
  <c r="AQ24" i="107" s="1"/>
  <c r="AO25" i="107"/>
  <c r="AP25" i="107"/>
  <c r="AQ25" i="107" s="1"/>
  <c r="AO26" i="107"/>
  <c r="AP26" i="107"/>
  <c r="AQ26" i="107" s="1"/>
  <c r="AO27" i="107"/>
  <c r="AP27" i="107"/>
  <c r="AQ27" i="107" s="1"/>
  <c r="AO28" i="107"/>
  <c r="AP28" i="107"/>
  <c r="AQ28" i="107" s="1"/>
  <c r="AO29" i="107"/>
  <c r="AP29" i="107"/>
  <c r="AQ29" i="107" s="1"/>
  <c r="AO30" i="107"/>
  <c r="AP30" i="107"/>
  <c r="AQ30" i="107" s="1"/>
  <c r="AO31" i="107"/>
  <c r="AP31" i="107"/>
  <c r="AQ31" i="107" s="1"/>
  <c r="AO32" i="107"/>
  <c r="AP32" i="107"/>
  <c r="AQ32" i="107" s="1"/>
  <c r="AO33" i="107"/>
  <c r="AP33" i="107"/>
  <c r="AQ33" i="107" s="1"/>
  <c r="AO34" i="107"/>
  <c r="AP34" i="107"/>
  <c r="AQ34" i="107" s="1"/>
  <c r="AO35" i="107"/>
  <c r="AP35" i="107"/>
  <c r="AQ35" i="107" s="1"/>
  <c r="AO36" i="107"/>
  <c r="AP36" i="107"/>
  <c r="AQ36" i="107" s="1"/>
  <c r="AO37" i="107"/>
  <c r="AP37" i="107"/>
  <c r="AQ37" i="107" s="1"/>
  <c r="AO38" i="107"/>
  <c r="AP38" i="107"/>
  <c r="AQ38" i="107" s="1"/>
  <c r="AO39" i="107"/>
  <c r="AP39" i="107"/>
  <c r="AQ39" i="107" s="1"/>
  <c r="AO40" i="107"/>
  <c r="AP40" i="107"/>
  <c r="AQ40" i="107" s="1"/>
  <c r="AO4" i="107"/>
  <c r="AP4" i="107"/>
  <c r="AQ4" i="107" s="1"/>
  <c r="AO6" i="107"/>
  <c r="AP6" i="107"/>
  <c r="AQ6" i="107" s="1"/>
  <c r="AO7" i="107"/>
  <c r="AP7" i="107"/>
  <c r="AQ7" i="107" s="1"/>
  <c r="AO8" i="107"/>
  <c r="AP8" i="107"/>
  <c r="AQ8" i="107" s="1"/>
  <c r="AO9" i="107"/>
  <c r="AP9" i="107"/>
  <c r="AQ9" i="107" s="1"/>
  <c r="AO10" i="107"/>
  <c r="AP10" i="107"/>
  <c r="AQ10" i="107" s="1"/>
  <c r="AO11" i="107"/>
  <c r="AP11" i="107"/>
  <c r="AQ11" i="107" s="1"/>
  <c r="Z5" i="107"/>
  <c r="P13" i="45" a="1"/>
  <c r="AB13" i="45" a="1"/>
  <c r="AB13" i="45" l="1"/>
  <c r="AG13" i="45" s="1"/>
  <c r="P13" i="45"/>
  <c r="U13" i="45" s="1"/>
  <c r="AM15" i="113"/>
  <c r="AN14" i="113"/>
  <c r="AO14" i="113" s="1"/>
  <c r="AP14" i="113" s="1"/>
  <c r="AT7" i="111"/>
  <c r="S11" i="110"/>
  <c r="S7" i="110"/>
  <c r="AP10" i="111"/>
  <c r="AT10" i="111" s="1"/>
  <c r="AP12" i="111"/>
  <c r="AT12" i="111" s="1"/>
  <c r="AO18" i="111"/>
  <c r="S16" i="110"/>
  <c r="Z16" i="110" s="1"/>
  <c r="AN18" i="111"/>
  <c r="AZ2" i="111" s="1"/>
  <c r="AP8" i="111"/>
  <c r="AT8" i="111" s="1"/>
  <c r="S10" i="110"/>
  <c r="S17" i="110"/>
  <c r="U17" i="110" s="1"/>
  <c r="S15" i="110"/>
  <c r="S8" i="110"/>
  <c r="T8" i="110" s="1"/>
  <c r="S12" i="110"/>
  <c r="U12" i="110" s="1"/>
  <c r="S14" i="110"/>
  <c r="T14" i="110" s="1"/>
  <c r="Y14" i="110" s="1"/>
  <c r="BF15" i="111"/>
  <c r="BG14" i="111"/>
  <c r="U16" i="110"/>
  <c r="R9" i="110"/>
  <c r="V9" i="110" s="1"/>
  <c r="V18" i="110" s="1"/>
  <c r="AN7" i="110"/>
  <c r="AO7" i="110" s="1"/>
  <c r="AP7" i="110" s="1"/>
  <c r="T11" i="110"/>
  <c r="Z17" i="110"/>
  <c r="Z10" i="110"/>
  <c r="AN8" i="110"/>
  <c r="AO8" i="110" s="1"/>
  <c r="AP8" i="110" s="1"/>
  <c r="AL9" i="110"/>
  <c r="N18" i="110"/>
  <c r="AY2" i="110" s="1"/>
  <c r="F12" i="45" s="1"/>
  <c r="Z13" i="110"/>
  <c r="X13" i="110"/>
  <c r="U13" i="110"/>
  <c r="T13" i="110"/>
  <c r="AM11" i="110"/>
  <c r="BC40" i="107"/>
  <c r="AS40" i="107"/>
  <c r="BB40" i="107"/>
  <c r="BC39" i="107"/>
  <c r="AS39" i="107"/>
  <c r="BB39" i="107"/>
  <c r="BC38" i="107"/>
  <c r="AS38" i="107"/>
  <c r="BB38" i="107"/>
  <c r="BC37" i="107"/>
  <c r="AS37" i="107"/>
  <c r="BB37" i="107"/>
  <c r="BC36" i="107"/>
  <c r="AS36" i="107"/>
  <c r="BB36" i="107"/>
  <c r="BC35" i="107"/>
  <c r="AS35" i="107"/>
  <c r="BB35" i="107"/>
  <c r="BC34" i="107"/>
  <c r="AS34" i="107"/>
  <c r="BB34" i="107"/>
  <c r="BC33" i="107"/>
  <c r="AS33" i="107"/>
  <c r="BB33" i="107"/>
  <c r="BC32" i="107"/>
  <c r="AS32" i="107"/>
  <c r="BB32" i="107"/>
  <c r="BC31" i="107"/>
  <c r="AS31" i="107"/>
  <c r="BB31" i="107"/>
  <c r="BC30" i="107"/>
  <c r="AS30" i="107"/>
  <c r="BB30" i="107"/>
  <c r="BC29" i="107"/>
  <c r="AS29" i="107"/>
  <c r="BB29" i="107"/>
  <c r="BC28" i="107"/>
  <c r="AS28" i="107"/>
  <c r="BB28" i="107"/>
  <c r="BC27" i="107"/>
  <c r="AS27" i="107"/>
  <c r="BB27" i="107"/>
  <c r="BC26" i="107"/>
  <c r="AS26" i="107"/>
  <c r="BB26" i="107"/>
  <c r="BC25" i="107"/>
  <c r="AS25" i="107"/>
  <c r="BB25" i="107"/>
  <c r="BC24" i="107"/>
  <c r="AS24" i="107"/>
  <c r="BB24" i="107"/>
  <c r="BC23" i="107"/>
  <c r="AS23" i="107"/>
  <c r="BB23" i="107"/>
  <c r="BC22" i="107"/>
  <c r="AS22" i="107"/>
  <c r="BB22" i="107"/>
  <c r="BC21" i="107"/>
  <c r="AS21" i="107"/>
  <c r="BB21" i="107"/>
  <c r="BC20" i="107"/>
  <c r="AS20" i="107"/>
  <c r="BB20" i="107"/>
  <c r="BC19" i="107"/>
  <c r="AS19" i="107"/>
  <c r="BB19" i="107"/>
  <c r="BC18" i="107"/>
  <c r="AS18" i="107"/>
  <c r="BB18" i="107"/>
  <c r="BC17" i="107"/>
  <c r="AS17" i="107"/>
  <c r="BB17" i="107"/>
  <c r="BC16" i="107"/>
  <c r="AS16" i="107"/>
  <c r="BB16" i="107"/>
  <c r="BC15" i="107"/>
  <c r="AS15" i="107"/>
  <c r="BB15" i="107"/>
  <c r="BC14" i="107"/>
  <c r="AS14" i="107"/>
  <c r="BB14" i="107"/>
  <c r="BC13" i="107"/>
  <c r="AS13" i="107"/>
  <c r="BB13" i="107"/>
  <c r="BC12" i="107"/>
  <c r="AS12" i="107"/>
  <c r="BB12" i="107"/>
  <c r="BC11" i="107"/>
  <c r="AS11" i="107"/>
  <c r="BB11" i="107"/>
  <c r="BC10" i="107"/>
  <c r="AS10" i="107"/>
  <c r="BB10" i="107"/>
  <c r="BC9" i="107"/>
  <c r="AS9" i="107"/>
  <c r="BB9" i="107"/>
  <c r="BC8" i="107"/>
  <c r="AS8" i="107"/>
  <c r="BB8" i="107"/>
  <c r="BC7" i="107"/>
  <c r="AS7" i="107"/>
  <c r="BB7" i="107"/>
  <c r="BC6" i="107"/>
  <c r="AS6" i="107"/>
  <c r="BB6" i="107"/>
  <c r="G6" i="107"/>
  <c r="D6" i="107"/>
  <c r="C6" i="107"/>
  <c r="BC5" i="107"/>
  <c r="BD4" i="107"/>
  <c r="BD5" i="107" s="1"/>
  <c r="BD6" i="107" s="1"/>
  <c r="BD7" i="107" s="1"/>
  <c r="BD8" i="107" s="1"/>
  <c r="BD9" i="107" s="1"/>
  <c r="BD10" i="107" s="1"/>
  <c r="BD11" i="107" s="1"/>
  <c r="BD12" i="107" s="1"/>
  <c r="BD13" i="107" s="1"/>
  <c r="BD14" i="107" s="1"/>
  <c r="BD15" i="107" s="1"/>
  <c r="BD16" i="107" s="1"/>
  <c r="BD17" i="107" s="1"/>
  <c r="BD18" i="107" s="1"/>
  <c r="BD19" i="107" s="1"/>
  <c r="BD20" i="107" s="1"/>
  <c r="BD21" i="107" s="1"/>
  <c r="BD22" i="107" s="1"/>
  <c r="BD23" i="107" s="1"/>
  <c r="BD24" i="107" s="1"/>
  <c r="BD25" i="107" s="1"/>
  <c r="BD26" i="107" s="1"/>
  <c r="BD27" i="107" s="1"/>
  <c r="BD28" i="107" s="1"/>
  <c r="BD29" i="107" s="1"/>
  <c r="BD30" i="107" s="1"/>
  <c r="BD31" i="107" s="1"/>
  <c r="BD32" i="107" s="1"/>
  <c r="BD33" i="107" s="1"/>
  <c r="BD34" i="107" s="1"/>
  <c r="BD35" i="107" s="1"/>
  <c r="BD36" i="107" s="1"/>
  <c r="BD37" i="107" s="1"/>
  <c r="BD38" i="107" s="1"/>
  <c r="BD39" i="107" s="1"/>
  <c r="BD40" i="107" s="1"/>
  <c r="BC4" i="107"/>
  <c r="BA4" i="107"/>
  <c r="BA5" i="107" s="1"/>
  <c r="BA6" i="107" s="1"/>
  <c r="BA7" i="107" s="1"/>
  <c r="BA8" i="107" s="1"/>
  <c r="BA9" i="107" s="1"/>
  <c r="BA10" i="107" s="1"/>
  <c r="BA11" i="107" s="1"/>
  <c r="BA12" i="107" s="1"/>
  <c r="BA13" i="107" s="1"/>
  <c r="BA14" i="107" s="1"/>
  <c r="BA15" i="107" s="1"/>
  <c r="BA16" i="107" s="1"/>
  <c r="BA17" i="107" s="1"/>
  <c r="BA18" i="107" s="1"/>
  <c r="BA19" i="107" s="1"/>
  <c r="BA20" i="107" s="1"/>
  <c r="BA21" i="107" s="1"/>
  <c r="BA22" i="107" s="1"/>
  <c r="BA23" i="107" s="1"/>
  <c r="BA24" i="107" s="1"/>
  <c r="BA25" i="107" s="1"/>
  <c r="BA26" i="107" s="1"/>
  <c r="BA27" i="107" s="1"/>
  <c r="BA28" i="107" s="1"/>
  <c r="BA29" i="107" s="1"/>
  <c r="BA30" i="107" s="1"/>
  <c r="BA31" i="107" s="1"/>
  <c r="BA32" i="107" s="1"/>
  <c r="BA33" i="107" s="1"/>
  <c r="BA34" i="107" s="1"/>
  <c r="BA35" i="107" s="1"/>
  <c r="BA36" i="107" s="1"/>
  <c r="BA37" i="107" s="1"/>
  <c r="BA38" i="107" s="1"/>
  <c r="BA39" i="107" s="1"/>
  <c r="BA40" i="107" s="1"/>
  <c r="AW4" i="107"/>
  <c r="AV4" i="107"/>
  <c r="AV5" i="107" s="1"/>
  <c r="AV6" i="107" s="1"/>
  <c r="AV7" i="107" s="1"/>
  <c r="AV8" i="107" s="1"/>
  <c r="AV9" i="107" s="1"/>
  <c r="AV10" i="107" s="1"/>
  <c r="AV11" i="107" s="1"/>
  <c r="AV12" i="107" s="1"/>
  <c r="AV13" i="107" s="1"/>
  <c r="AV14" i="107" s="1"/>
  <c r="AV15" i="107" s="1"/>
  <c r="AV16" i="107" s="1"/>
  <c r="AV17" i="107" s="1"/>
  <c r="AV18" i="107" s="1"/>
  <c r="AV19" i="107" s="1"/>
  <c r="AV20" i="107" s="1"/>
  <c r="AV21" i="107" s="1"/>
  <c r="AV22" i="107" s="1"/>
  <c r="AV23" i="107" s="1"/>
  <c r="AV24" i="107" s="1"/>
  <c r="AV25" i="107" s="1"/>
  <c r="AV26" i="107" s="1"/>
  <c r="AV27" i="107" s="1"/>
  <c r="AV28" i="107" s="1"/>
  <c r="AV29" i="107" s="1"/>
  <c r="AV30" i="107" s="1"/>
  <c r="AV31" i="107" s="1"/>
  <c r="AV32" i="107" s="1"/>
  <c r="AV33" i="107" s="1"/>
  <c r="AV34" i="107" s="1"/>
  <c r="AV35" i="107" s="1"/>
  <c r="AV36" i="107" s="1"/>
  <c r="AV37" i="107" s="1"/>
  <c r="AV38" i="107" s="1"/>
  <c r="AV39" i="107" s="1"/>
  <c r="AV40" i="107" s="1"/>
  <c r="AS4" i="107"/>
  <c r="AR4" i="107"/>
  <c r="AR5" i="107" s="1"/>
  <c r="AR6" i="107" s="1"/>
  <c r="AR7" i="107" s="1"/>
  <c r="AR8" i="107" s="1"/>
  <c r="AR9" i="107" s="1"/>
  <c r="AR10" i="107" s="1"/>
  <c r="AR11" i="107" s="1"/>
  <c r="AR12" i="107" s="1"/>
  <c r="AR13" i="107" s="1"/>
  <c r="AR14" i="107" s="1"/>
  <c r="AR15" i="107" s="1"/>
  <c r="AR16" i="107" s="1"/>
  <c r="AR17" i="107" s="1"/>
  <c r="AR18" i="107" s="1"/>
  <c r="AR19" i="107" s="1"/>
  <c r="AR20" i="107" s="1"/>
  <c r="AR21" i="107" s="1"/>
  <c r="AR22" i="107" s="1"/>
  <c r="AR23" i="107" s="1"/>
  <c r="AR24" i="107" s="1"/>
  <c r="AR25" i="107" s="1"/>
  <c r="AR26" i="107" s="1"/>
  <c r="AR27" i="107" s="1"/>
  <c r="AR28" i="107" s="1"/>
  <c r="AR29" i="107" s="1"/>
  <c r="AR30" i="107" s="1"/>
  <c r="AR31" i="107" s="1"/>
  <c r="AR32" i="107" s="1"/>
  <c r="AR33" i="107" s="1"/>
  <c r="AR34" i="107" s="1"/>
  <c r="AR35" i="107" s="1"/>
  <c r="AR36" i="107" s="1"/>
  <c r="AR37" i="107" s="1"/>
  <c r="AR38" i="107" s="1"/>
  <c r="AR39" i="107" s="1"/>
  <c r="AR40" i="107" s="1"/>
  <c r="BB4" i="107"/>
  <c r="Z4" i="107"/>
  <c r="BC3" i="107"/>
  <c r="Z3" i="107"/>
  <c r="C6" i="104"/>
  <c r="D6" i="104"/>
  <c r="G6" i="104"/>
  <c r="N5" i="104"/>
  <c r="N4" i="104"/>
  <c r="N3" i="104"/>
  <c r="AP18" i="111" l="1"/>
  <c r="V13" i="45"/>
  <c r="Y13" i="45"/>
  <c r="AH13" i="45"/>
  <c r="AM13" i="45" s="1"/>
  <c r="AK13" i="45"/>
  <c r="AM16" i="113"/>
  <c r="AN15" i="113"/>
  <c r="AO15" i="113" s="1"/>
  <c r="AP15" i="113" s="1"/>
  <c r="T16" i="110"/>
  <c r="X16" i="110"/>
  <c r="BH14" i="111"/>
  <c r="BI14" i="111" s="1"/>
  <c r="BF16" i="111"/>
  <c r="BG15" i="111"/>
  <c r="BH15" i="111" s="1"/>
  <c r="BI15" i="111" s="1"/>
  <c r="AW5" i="107"/>
  <c r="AW6" i="107" s="1"/>
  <c r="AX6" i="107" s="1"/>
  <c r="AX4" i="107"/>
  <c r="AY4" i="107" s="1"/>
  <c r="AZ4" i="107" s="1"/>
  <c r="X5" i="107"/>
  <c r="O5" i="107"/>
  <c r="N5" i="107" s="1"/>
  <c r="X3" i="107"/>
  <c r="O3" i="107"/>
  <c r="N3" i="107" s="1"/>
  <c r="X4" i="107"/>
  <c r="O4" i="107"/>
  <c r="N4" i="107" s="1"/>
  <c r="W16" i="110"/>
  <c r="AA16" i="110" s="1"/>
  <c r="W13" i="110"/>
  <c r="AA13" i="110" s="1"/>
  <c r="T17" i="110"/>
  <c r="Y17" i="110" s="1"/>
  <c r="X11" i="110"/>
  <c r="U11" i="110"/>
  <c r="W11" i="110" s="1"/>
  <c r="AA11" i="110" s="1"/>
  <c r="Z11" i="110"/>
  <c r="X8" i="110"/>
  <c r="T10" i="110"/>
  <c r="Y10" i="110" s="1"/>
  <c r="U10" i="110"/>
  <c r="X10" i="110"/>
  <c r="Z8" i="110"/>
  <c r="X17" i="110"/>
  <c r="U8" i="110"/>
  <c r="W8" i="110" s="1"/>
  <c r="AA8" i="110" s="1"/>
  <c r="X14" i="110"/>
  <c r="Z14" i="110"/>
  <c r="U14" i="110"/>
  <c r="W14" i="110" s="1"/>
  <c r="AA14" i="110" s="1"/>
  <c r="AL10" i="110"/>
  <c r="AN9" i="110"/>
  <c r="AO9" i="110" s="1"/>
  <c r="AP9" i="110" s="1"/>
  <c r="S18" i="110"/>
  <c r="AM12" i="110"/>
  <c r="T7" i="110"/>
  <c r="Z7" i="110"/>
  <c r="X7" i="110"/>
  <c r="Z15" i="110"/>
  <c r="X15" i="110"/>
  <c r="T15" i="110"/>
  <c r="Y11" i="110"/>
  <c r="Z12" i="110"/>
  <c r="X12" i="110"/>
  <c r="T12" i="110"/>
  <c r="Y16" i="110"/>
  <c r="U15" i="110"/>
  <c r="Y13" i="110"/>
  <c r="Y8" i="110"/>
  <c r="Z6" i="107"/>
  <c r="AG3" i="107"/>
  <c r="AG5" i="107"/>
  <c r="AE5" i="107"/>
  <c r="AG4" i="107"/>
  <c r="AE4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AN13" i="45" l="1"/>
  <c r="AL13" i="45"/>
  <c r="AM17" i="113"/>
  <c r="AN16" i="113"/>
  <c r="AO16" i="113" s="1"/>
  <c r="AP16" i="113" s="1"/>
  <c r="W10" i="110"/>
  <c r="AA10" i="110" s="1"/>
  <c r="U18" i="110"/>
  <c r="AX2" i="110" s="1"/>
  <c r="BF17" i="111"/>
  <c r="BG16" i="111"/>
  <c r="N6" i="107"/>
  <c r="O6" i="107"/>
  <c r="T5" i="107"/>
  <c r="V5" i="107" s="1"/>
  <c r="AD5" i="107" s="1"/>
  <c r="AO5" i="107" s="1"/>
  <c r="AS5" i="107" s="1"/>
  <c r="AX5" i="107" s="1"/>
  <c r="AY5" i="107" s="1"/>
  <c r="AZ5" i="107" s="1"/>
  <c r="T4" i="107"/>
  <c r="V4" i="107" s="1"/>
  <c r="AD4" i="107" s="1"/>
  <c r="T3" i="107"/>
  <c r="V3" i="107" s="1"/>
  <c r="AP5" i="107"/>
  <c r="AQ5" i="107" s="1"/>
  <c r="BB5" i="107" s="1"/>
  <c r="W17" i="110"/>
  <c r="AA17" i="110" s="1"/>
  <c r="AL11" i="110"/>
  <c r="AN10" i="110"/>
  <c r="AO10" i="110" s="1"/>
  <c r="AP10" i="110" s="1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AG6" i="107"/>
  <c r="AE3" i="107"/>
  <c r="AF5" i="107"/>
  <c r="AH5" i="107" s="1"/>
  <c r="AW7" i="107"/>
  <c r="AX7" i="107" s="1"/>
  <c r="AY6" i="107"/>
  <c r="AZ6" i="107" s="1"/>
  <c r="AF4" i="107"/>
  <c r="AH4" i="107" s="1"/>
  <c r="X3" i="104"/>
  <c r="V5" i="104"/>
  <c r="Y4" i="104"/>
  <c r="Q4" i="104"/>
  <c r="R4" i="104" s="1"/>
  <c r="Z4" i="104" s="1"/>
  <c r="X4" i="110" l="1"/>
  <c r="C12" i="45"/>
  <c r="AN17" i="113"/>
  <c r="AO17" i="113" s="1"/>
  <c r="AP17" i="113" s="1"/>
  <c r="AM18" i="113"/>
  <c r="P5" i="107"/>
  <c r="P3" i="107"/>
  <c r="P4" i="107"/>
  <c r="Q4" i="107" s="1"/>
  <c r="BH16" i="111"/>
  <c r="BI16" i="111" s="1"/>
  <c r="BF18" i="111"/>
  <c r="BG17" i="111"/>
  <c r="BH17" i="111" s="1"/>
  <c r="BI17" i="111" s="1"/>
  <c r="AP3" i="107"/>
  <c r="AQ3" i="107" s="1"/>
  <c r="AD3" i="107"/>
  <c r="X6" i="104"/>
  <c r="V3" i="104"/>
  <c r="V6" i="104" s="1"/>
  <c r="AL12" i="110"/>
  <c r="AN11" i="110"/>
  <c r="AO11" i="110" s="1"/>
  <c r="AP11" i="110" s="1"/>
  <c r="W9" i="110"/>
  <c r="AA9" i="110" s="1"/>
  <c r="Y9" i="110"/>
  <c r="AM14" i="110"/>
  <c r="T18" i="110"/>
  <c r="AW2" i="110" s="1"/>
  <c r="AA7" i="110"/>
  <c r="AF3" i="107"/>
  <c r="AH3" i="107" s="1"/>
  <c r="AO3" i="107"/>
  <c r="Q3" i="107"/>
  <c r="R3" i="107"/>
  <c r="R4" i="107"/>
  <c r="S4" i="107" s="1"/>
  <c r="AE6" i="107"/>
  <c r="AW8" i="107"/>
  <c r="AX8" i="107" s="1"/>
  <c r="Z5" i="104"/>
  <c r="W5" i="104"/>
  <c r="R6" i="104"/>
  <c r="AN18" i="113" l="1"/>
  <c r="AO18" i="113" s="1"/>
  <c r="AP18" i="113" s="1"/>
  <c r="AM19" i="113"/>
  <c r="W18" i="110"/>
  <c r="Q5" i="107"/>
  <c r="Q6" i="107" s="1"/>
  <c r="R5" i="107"/>
  <c r="BG18" i="111"/>
  <c r="BH18" i="111" s="1"/>
  <c r="BI18" i="111" s="1"/>
  <c r="BF19" i="111"/>
  <c r="W3" i="104"/>
  <c r="Y3" i="104" s="1"/>
  <c r="Z3" i="104"/>
  <c r="AL13" i="110"/>
  <c r="AN12" i="110"/>
  <c r="AO12" i="110" s="1"/>
  <c r="AP12" i="110" s="1"/>
  <c r="B12" i="45"/>
  <c r="AM15" i="110"/>
  <c r="BB3" i="107"/>
  <c r="AS3" i="107"/>
  <c r="AX3" i="107" s="1"/>
  <c r="AY3" i="107" s="1"/>
  <c r="AZ3" i="107" s="1"/>
  <c r="AF6" i="107"/>
  <c r="S3" i="107"/>
  <c r="AI4" i="107"/>
  <c r="AY7" i="107"/>
  <c r="AZ7" i="107" s="1"/>
  <c r="AW9" i="107"/>
  <c r="AX9" i="107" s="1"/>
  <c r="AY8" i="107"/>
  <c r="AZ8" i="107" s="1"/>
  <c r="Y5" i="104"/>
  <c r="AM20" i="113" l="1"/>
  <c r="AN19" i="113"/>
  <c r="AO19" i="113" s="1"/>
  <c r="AP19" i="113" s="1"/>
  <c r="S5" i="107"/>
  <c r="AI5" i="107" s="1"/>
  <c r="BG19" i="111"/>
  <c r="BH19" i="111" s="1"/>
  <c r="BI19" i="111" s="1"/>
  <c r="BF20" i="111"/>
  <c r="W6" i="104"/>
  <c r="AL14" i="110"/>
  <c r="AN13" i="110"/>
  <c r="AO13" i="110" s="1"/>
  <c r="AP13" i="110" s="1"/>
  <c r="AM16" i="110"/>
  <c r="AI3" i="107"/>
  <c r="S6" i="107"/>
  <c r="AW10" i="107"/>
  <c r="AX10" i="107" s="1"/>
  <c r="AY9" i="107"/>
  <c r="AZ9" i="107" s="1"/>
  <c r="AN20" i="113" l="1"/>
  <c r="AO20" i="113" s="1"/>
  <c r="AP20" i="113" s="1"/>
  <c r="AM21" i="113"/>
  <c r="BF21" i="111"/>
  <c r="BG20" i="111"/>
  <c r="BH20" i="111" s="1"/>
  <c r="BI20" i="111" s="1"/>
  <c r="AL15" i="110"/>
  <c r="AN14" i="110"/>
  <c r="AO14" i="110" s="1"/>
  <c r="AP14" i="110" s="1"/>
  <c r="AM17" i="110"/>
  <c r="AW11" i="107"/>
  <c r="AX11" i="107" s="1"/>
  <c r="AY10" i="107"/>
  <c r="AZ10" i="107" s="1"/>
  <c r="AC12" i="45"/>
  <c r="AD12" i="45"/>
  <c r="K12" i="45"/>
  <c r="J12" i="45"/>
  <c r="H12" i="45"/>
  <c r="G12" i="45"/>
  <c r="L12" i="45"/>
  <c r="AT12" i="45"/>
  <c r="AS12" i="45"/>
  <c r="AJ12" i="45"/>
  <c r="X12" i="45"/>
  <c r="AI12" i="45"/>
  <c r="W12" i="45"/>
  <c r="AE12" i="45" a="1"/>
  <c r="AM22" i="113" l="1"/>
  <c r="AN21" i="113"/>
  <c r="AO21" i="113" s="1"/>
  <c r="AP21" i="113" s="1"/>
  <c r="AE12" i="45"/>
  <c r="BG21" i="111"/>
  <c r="BH21" i="111" s="1"/>
  <c r="BI21" i="111" s="1"/>
  <c r="BF22" i="111"/>
  <c r="AQ12" i="45"/>
  <c r="AO12" i="45"/>
  <c r="AP12" i="45"/>
  <c r="AL16" i="110"/>
  <c r="AN15" i="110"/>
  <c r="AO15" i="110" s="1"/>
  <c r="AP15" i="110" s="1"/>
  <c r="AM18" i="110"/>
  <c r="AY11" i="107"/>
  <c r="AZ11" i="107" s="1"/>
  <c r="AW12" i="107"/>
  <c r="AX12" i="107" s="1"/>
  <c r="AN22" i="113" l="1"/>
  <c r="AO22" i="113" s="1"/>
  <c r="AP22" i="113" s="1"/>
  <c r="AM23" i="113"/>
  <c r="BF23" i="111"/>
  <c r="BG22" i="111"/>
  <c r="BH22" i="111" s="1"/>
  <c r="BI22" i="111" s="1"/>
  <c r="AR12" i="45"/>
  <c r="AL17" i="110"/>
  <c r="AN16" i="110"/>
  <c r="AO16" i="110" s="1"/>
  <c r="AP16" i="110" s="1"/>
  <c r="AM19" i="110"/>
  <c r="AW13" i="107"/>
  <c r="AX13" i="107" s="1"/>
  <c r="AY12" i="107"/>
  <c r="AZ12" i="107" s="1"/>
  <c r="AM24" i="113" l="1"/>
  <c r="AN23" i="113"/>
  <c r="AO23" i="113" s="1"/>
  <c r="AP23" i="113" s="1"/>
  <c r="BG23" i="111"/>
  <c r="BH23" i="111" s="1"/>
  <c r="BI23" i="111" s="1"/>
  <c r="BF24" i="111"/>
  <c r="AL18" i="110"/>
  <c r="AN17" i="110"/>
  <c r="AO17" i="110" s="1"/>
  <c r="AP17" i="110" s="1"/>
  <c r="AM20" i="110"/>
  <c r="AW14" i="107"/>
  <c r="AX14" i="107" s="1"/>
  <c r="AY13" i="107"/>
  <c r="AZ13" i="107" s="1"/>
  <c r="AN24" i="113" l="1"/>
  <c r="AO24" i="113" s="1"/>
  <c r="AP24" i="113" s="1"/>
  <c r="AM25" i="113"/>
  <c r="BG24" i="111"/>
  <c r="BH24" i="111" s="1"/>
  <c r="BI24" i="111" s="1"/>
  <c r="BF25" i="111"/>
  <c r="AL19" i="110"/>
  <c r="AN18" i="110"/>
  <c r="AO18" i="110" s="1"/>
  <c r="AP18" i="110" s="1"/>
  <c r="AM21" i="110"/>
  <c r="AW15" i="107"/>
  <c r="AX15" i="107" s="1"/>
  <c r="AY14" i="107"/>
  <c r="AZ14" i="107" s="1"/>
  <c r="AN25" i="113" l="1"/>
  <c r="AO25" i="113" s="1"/>
  <c r="AP25" i="113" s="1"/>
  <c r="AM26" i="113"/>
  <c r="BG25" i="111"/>
  <c r="BH25" i="111" s="1"/>
  <c r="BI25" i="111" s="1"/>
  <c r="BF26" i="111"/>
  <c r="AL20" i="110"/>
  <c r="AN19" i="110"/>
  <c r="AO19" i="110" s="1"/>
  <c r="AP19" i="110" s="1"/>
  <c r="AM22" i="110"/>
  <c r="AY15" i="107"/>
  <c r="AZ15" i="107" s="1"/>
  <c r="AW16" i="107"/>
  <c r="AX16" i="107" s="1"/>
  <c r="AM27" i="113" l="1"/>
  <c r="AN26" i="113"/>
  <c r="AO26" i="113" s="1"/>
  <c r="AP26" i="113" s="1"/>
  <c r="BG26" i="111"/>
  <c r="BH26" i="111" s="1"/>
  <c r="BI26" i="111" s="1"/>
  <c r="BF27" i="111"/>
  <c r="AL21" i="110"/>
  <c r="AN20" i="110"/>
  <c r="AO20" i="110" s="1"/>
  <c r="AP20" i="110" s="1"/>
  <c r="AM23" i="110"/>
  <c r="AW17" i="107"/>
  <c r="AX17" i="107" s="1"/>
  <c r="AY16" i="107"/>
  <c r="AZ16" i="107" s="1"/>
  <c r="AN27" i="113" l="1"/>
  <c r="AO27" i="113" s="1"/>
  <c r="AP27" i="113" s="1"/>
  <c r="AM28" i="113"/>
  <c r="BF28" i="111"/>
  <c r="BG27" i="111"/>
  <c r="BH27" i="111" s="1"/>
  <c r="BI27" i="111" s="1"/>
  <c r="AL22" i="110"/>
  <c r="AN21" i="110"/>
  <c r="AO21" i="110" s="1"/>
  <c r="AP21" i="110" s="1"/>
  <c r="AM24" i="110"/>
  <c r="AW18" i="107"/>
  <c r="AX18" i="107" s="1"/>
  <c r="AY17" i="107"/>
  <c r="AZ17" i="107" s="1"/>
  <c r="AM29" i="113" l="1"/>
  <c r="AN28" i="113"/>
  <c r="AO28" i="113" s="1"/>
  <c r="AP28" i="113" s="1"/>
  <c r="BG28" i="111"/>
  <c r="BH28" i="111" s="1"/>
  <c r="BI28" i="111" s="1"/>
  <c r="BF29" i="111"/>
  <c r="AL23" i="110"/>
  <c r="AN22" i="110"/>
  <c r="AO22" i="110" s="1"/>
  <c r="AP22" i="110" s="1"/>
  <c r="AM25" i="110"/>
  <c r="AW19" i="107"/>
  <c r="AX19" i="107" s="1"/>
  <c r="AY18" i="107"/>
  <c r="AZ18" i="107" s="1"/>
  <c r="I12" i="45"/>
  <c r="AN29" i="113" l="1"/>
  <c r="AO29" i="113" s="1"/>
  <c r="AP29" i="113" s="1"/>
  <c r="AM30" i="113"/>
  <c r="BF30" i="111"/>
  <c r="BG29" i="111"/>
  <c r="BH29" i="111" s="1"/>
  <c r="BI29" i="111" s="1"/>
  <c r="AL24" i="110"/>
  <c r="AN23" i="110"/>
  <c r="AO23" i="110" s="1"/>
  <c r="AP23" i="110" s="1"/>
  <c r="AM26" i="110"/>
  <c r="AY19" i="107"/>
  <c r="AZ19" i="107" s="1"/>
  <c r="AW20" i="107"/>
  <c r="AX20" i="107" s="1"/>
  <c r="AN30" i="113" l="1"/>
  <c r="AO30" i="113" s="1"/>
  <c r="AP30" i="113" s="1"/>
  <c r="AM31" i="113"/>
  <c r="BG30" i="111"/>
  <c r="BH30" i="111" s="1"/>
  <c r="BI30" i="111" s="1"/>
  <c r="BF31" i="111"/>
  <c r="AL25" i="110"/>
  <c r="AN24" i="110"/>
  <c r="AO24" i="110" s="1"/>
  <c r="AP24" i="110" s="1"/>
  <c r="AM27" i="110"/>
  <c r="AW21" i="107"/>
  <c r="AX21" i="107" s="1"/>
  <c r="AY20" i="107"/>
  <c r="AZ20" i="107" s="1"/>
  <c r="AM32" i="113" l="1"/>
  <c r="AN31" i="113"/>
  <c r="AO31" i="113" s="1"/>
  <c r="AP31" i="113" s="1"/>
  <c r="BG31" i="111"/>
  <c r="BH31" i="111" s="1"/>
  <c r="BI31" i="111" s="1"/>
  <c r="BF32" i="111"/>
  <c r="AL26" i="110"/>
  <c r="AN25" i="110"/>
  <c r="AO25" i="110" s="1"/>
  <c r="AP25" i="110" s="1"/>
  <c r="AM28" i="110"/>
  <c r="AW22" i="107"/>
  <c r="AX22" i="107" s="1"/>
  <c r="AY21" i="107"/>
  <c r="AZ21" i="107" s="1"/>
  <c r="AN32" i="113" l="1"/>
  <c r="AO32" i="113" s="1"/>
  <c r="AP32" i="113" s="1"/>
  <c r="AM33" i="113"/>
  <c r="BF33" i="111"/>
  <c r="BG32" i="111"/>
  <c r="BH32" i="111" s="1"/>
  <c r="BI32" i="111" s="1"/>
  <c r="AL27" i="110"/>
  <c r="AN26" i="110"/>
  <c r="AO26" i="110" s="1"/>
  <c r="AP26" i="110" s="1"/>
  <c r="AM29" i="110"/>
  <c r="AW23" i="107"/>
  <c r="AX23" i="107" s="1"/>
  <c r="AY22" i="107"/>
  <c r="AZ22" i="107" s="1"/>
  <c r="AM34" i="113" l="1"/>
  <c r="AN33" i="113"/>
  <c r="AO33" i="113" s="1"/>
  <c r="AP33" i="113" s="1"/>
  <c r="BG33" i="111"/>
  <c r="BH33" i="111" s="1"/>
  <c r="BI33" i="111" s="1"/>
  <c r="BF34" i="111"/>
  <c r="AL28" i="110"/>
  <c r="AN27" i="110"/>
  <c r="AO27" i="110" s="1"/>
  <c r="AP27" i="110" s="1"/>
  <c r="AM30" i="110"/>
  <c r="AY23" i="107"/>
  <c r="AZ23" i="107" s="1"/>
  <c r="AW24" i="107"/>
  <c r="AX24" i="107" s="1"/>
  <c r="AN34" i="113" l="1"/>
  <c r="AO34" i="113" s="1"/>
  <c r="AP34" i="113" s="1"/>
  <c r="AM35" i="113"/>
  <c r="BF35" i="111"/>
  <c r="BG34" i="111"/>
  <c r="BH34" i="111" s="1"/>
  <c r="BI34" i="111" s="1"/>
  <c r="AL29" i="110"/>
  <c r="AN28" i="110"/>
  <c r="AO28" i="110" s="1"/>
  <c r="AP28" i="110" s="1"/>
  <c r="AM31" i="110"/>
  <c r="AW25" i="107"/>
  <c r="AX25" i="107" s="1"/>
  <c r="AY24" i="107"/>
  <c r="AZ24" i="107" s="1"/>
  <c r="AM36" i="113" l="1"/>
  <c r="AN35" i="113"/>
  <c r="AO35" i="113" s="1"/>
  <c r="AP35" i="113" s="1"/>
  <c r="BG35" i="111"/>
  <c r="BH35" i="111" s="1"/>
  <c r="BI35" i="111" s="1"/>
  <c r="BF36" i="111"/>
  <c r="AL30" i="110"/>
  <c r="AN29" i="110"/>
  <c r="AO29" i="110" s="1"/>
  <c r="AP29" i="110" s="1"/>
  <c r="AM32" i="110"/>
  <c r="AW26" i="107"/>
  <c r="AX26" i="107" s="1"/>
  <c r="AY25" i="107"/>
  <c r="AZ25" i="107" s="1"/>
  <c r="AN36" i="113" l="1"/>
  <c r="AO36" i="113" s="1"/>
  <c r="AP36" i="113" s="1"/>
  <c r="AM37" i="113"/>
  <c r="BF37" i="111"/>
  <c r="BG36" i="111"/>
  <c r="BH36" i="111" s="1"/>
  <c r="BI36" i="111" s="1"/>
  <c r="AL31" i="110"/>
  <c r="AN30" i="110"/>
  <c r="AO30" i="110" s="1"/>
  <c r="AP30" i="110" s="1"/>
  <c r="AM33" i="110"/>
  <c r="AW27" i="107"/>
  <c r="AX27" i="107" s="1"/>
  <c r="AY26" i="107"/>
  <c r="AZ26" i="107" s="1"/>
  <c r="AN37" i="113" l="1"/>
  <c r="AO37" i="113" s="1"/>
  <c r="AP37" i="113" s="1"/>
  <c r="AM38" i="113"/>
  <c r="BG37" i="111"/>
  <c r="BH37" i="111" s="1"/>
  <c r="BI37" i="111" s="1"/>
  <c r="BF38" i="111"/>
  <c r="AL32" i="110"/>
  <c r="AN31" i="110"/>
  <c r="AO31" i="110" s="1"/>
  <c r="AP31" i="110" s="1"/>
  <c r="AM34" i="110"/>
  <c r="AW28" i="107"/>
  <c r="AX28" i="107" s="1"/>
  <c r="AY27" i="107"/>
  <c r="AZ27" i="107" s="1"/>
  <c r="AM39" i="113" l="1"/>
  <c r="AN38" i="113"/>
  <c r="AO38" i="113" s="1"/>
  <c r="AP38" i="113" s="1"/>
  <c r="BG38" i="111"/>
  <c r="BH38" i="111" s="1"/>
  <c r="BI38" i="111" s="1"/>
  <c r="BF39" i="111"/>
  <c r="AL33" i="110"/>
  <c r="AN32" i="110"/>
  <c r="AO32" i="110" s="1"/>
  <c r="AP32" i="110" s="1"/>
  <c r="AM35" i="110"/>
  <c r="AW29" i="107"/>
  <c r="AX29" i="107" s="1"/>
  <c r="AY28" i="107"/>
  <c r="AZ28" i="107" s="1"/>
  <c r="AN39" i="113" l="1"/>
  <c r="AO39" i="113" s="1"/>
  <c r="AP39" i="113" s="1"/>
  <c r="AM40" i="113"/>
  <c r="BF40" i="111"/>
  <c r="BG39" i="111"/>
  <c r="BH39" i="111" s="1"/>
  <c r="BI39" i="111" s="1"/>
  <c r="AL34" i="110"/>
  <c r="AN33" i="110"/>
  <c r="AO33" i="110" s="1"/>
  <c r="AP33" i="110" s="1"/>
  <c r="AM36" i="110"/>
  <c r="AW30" i="107"/>
  <c r="AX30" i="107" s="1"/>
  <c r="AY29" i="107"/>
  <c r="AZ29" i="107" s="1"/>
  <c r="AM41" i="113" l="1"/>
  <c r="AN40" i="113"/>
  <c r="AO40" i="113" s="1"/>
  <c r="AP40" i="113" s="1"/>
  <c r="BG40" i="111"/>
  <c r="BH40" i="111" s="1"/>
  <c r="BI40" i="111" s="1"/>
  <c r="BF41" i="111"/>
  <c r="AL35" i="110"/>
  <c r="AN34" i="110"/>
  <c r="AO34" i="110" s="1"/>
  <c r="AP34" i="110" s="1"/>
  <c r="AM37" i="110"/>
  <c r="AW31" i="107"/>
  <c r="AX31" i="107" s="1"/>
  <c r="AY30" i="107"/>
  <c r="AZ30" i="107" s="1"/>
  <c r="AN41" i="113" l="1"/>
  <c r="AO41" i="113" s="1"/>
  <c r="AP41" i="113" s="1"/>
  <c r="AM42" i="113"/>
  <c r="BF42" i="111"/>
  <c r="BG41" i="111"/>
  <c r="BH41" i="111" s="1"/>
  <c r="BI41" i="111" s="1"/>
  <c r="AL36" i="110"/>
  <c r="AN35" i="110"/>
  <c r="AO35" i="110" s="1"/>
  <c r="AP35" i="110" s="1"/>
  <c r="AM38" i="110"/>
  <c r="AW32" i="107"/>
  <c r="AX32" i="107" s="1"/>
  <c r="AY31" i="107"/>
  <c r="AZ31" i="107" s="1"/>
  <c r="AN42" i="113" l="1"/>
  <c r="AO42" i="113" s="1"/>
  <c r="AP42" i="113" s="1"/>
  <c r="AM43" i="113"/>
  <c r="BG42" i="111"/>
  <c r="BH42" i="111" s="1"/>
  <c r="BI42" i="111" s="1"/>
  <c r="BF43" i="111"/>
  <c r="AL37" i="110"/>
  <c r="AN36" i="110"/>
  <c r="AO36" i="110" s="1"/>
  <c r="AP36" i="110" s="1"/>
  <c r="AM39" i="110"/>
  <c r="AW33" i="107"/>
  <c r="AX33" i="107" s="1"/>
  <c r="AY32" i="107"/>
  <c r="AZ32" i="107" s="1"/>
  <c r="AM44" i="113" l="1"/>
  <c r="AN44" i="113" s="1"/>
  <c r="AN43" i="113"/>
  <c r="AO43" i="113" s="1"/>
  <c r="AP43" i="113" s="1"/>
  <c r="BG43" i="111"/>
  <c r="BH43" i="111" s="1"/>
  <c r="BI43" i="111" s="1"/>
  <c r="BF44" i="111"/>
  <c r="AL38" i="110"/>
  <c r="AN37" i="110"/>
  <c r="AO37" i="110" s="1"/>
  <c r="AP37" i="110" s="1"/>
  <c r="AM40" i="110"/>
  <c r="AW34" i="107"/>
  <c r="AX34" i="107" s="1"/>
  <c r="AY33" i="107"/>
  <c r="AZ33" i="107" s="1"/>
  <c r="AO44" i="113" l="1"/>
  <c r="AP44" i="113" s="1"/>
  <c r="AP45" i="113" s="1"/>
  <c r="BA2" i="113" s="1"/>
  <c r="AZ13" i="45" s="1"/>
  <c r="AN45" i="113"/>
  <c r="BB2" i="113" s="1"/>
  <c r="BF45" i="111"/>
  <c r="BG45" i="111" s="1"/>
  <c r="BG44" i="111"/>
  <c r="BH44" i="111" s="1"/>
  <c r="BI44" i="111" s="1"/>
  <c r="AL39" i="110"/>
  <c r="AN38" i="110"/>
  <c r="AO38" i="110" s="1"/>
  <c r="AP38" i="110" s="1"/>
  <c r="AM41" i="110"/>
  <c r="AW35" i="107"/>
  <c r="AX35" i="107" s="1"/>
  <c r="AY34" i="107"/>
  <c r="AZ34" i="107" s="1"/>
  <c r="BH45" i="111" l="1"/>
  <c r="BI45" i="111" s="1"/>
  <c r="BI46" i="111" s="1"/>
  <c r="BC2" i="111" s="1"/>
  <c r="BG46" i="111"/>
  <c r="BD2" i="111" s="1"/>
  <c r="AL40" i="110"/>
  <c r="AN39" i="110"/>
  <c r="AO39" i="110" s="1"/>
  <c r="AP39" i="110" s="1"/>
  <c r="AM42" i="110"/>
  <c r="AW36" i="107"/>
  <c r="AX36" i="107" s="1"/>
  <c r="AY35" i="107"/>
  <c r="AZ35" i="107" s="1"/>
  <c r="AL41" i="110" l="1"/>
  <c r="AN40" i="110"/>
  <c r="AO40" i="110" s="1"/>
  <c r="AP40" i="110" s="1"/>
  <c r="AM43" i="110"/>
  <c r="AW37" i="107"/>
  <c r="AX37" i="107" s="1"/>
  <c r="AY36" i="107"/>
  <c r="AZ36" i="107" s="1"/>
  <c r="AL42" i="110" l="1"/>
  <c r="AN41" i="110"/>
  <c r="AO41" i="110" s="1"/>
  <c r="AP41" i="110" s="1"/>
  <c r="AM44" i="110"/>
  <c r="AW38" i="107"/>
  <c r="AX38" i="107" s="1"/>
  <c r="AY37" i="107"/>
  <c r="AZ37" i="107" s="1"/>
  <c r="AL43" i="110" l="1"/>
  <c r="AN42" i="110"/>
  <c r="AO42" i="110" s="1"/>
  <c r="AP42" i="110" s="1"/>
  <c r="AW39" i="107"/>
  <c r="AX39" i="107" s="1"/>
  <c r="AY38" i="107"/>
  <c r="AZ38" i="107" s="1"/>
  <c r="AL44" i="110" l="1"/>
  <c r="AN44" i="110" s="1"/>
  <c r="AO44" i="110" s="1"/>
  <c r="AP44" i="110" s="1"/>
  <c r="AN43" i="110"/>
  <c r="AY39" i="107"/>
  <c r="AZ39" i="107" s="1"/>
  <c r="AW40" i="107"/>
  <c r="AX40" i="107" s="1"/>
  <c r="AO43" i="110" l="1"/>
  <c r="AP43" i="110" s="1"/>
  <c r="AN45" i="110"/>
  <c r="BB2" i="110" s="1"/>
  <c r="AP45" i="110"/>
  <c r="BA2" i="110" s="1"/>
  <c r="AY40" i="107"/>
  <c r="AZ40" i="107" s="1"/>
  <c r="AZ41" i="107" s="1"/>
  <c r="AX41" i="107"/>
  <c r="M12" i="45" l="1"/>
  <c r="B14" i="45"/>
  <c r="N12" i="45" a="1"/>
  <c r="O12" i="45" a="1"/>
  <c r="N12" i="45" l="1"/>
  <c r="O12" i="45"/>
  <c r="T12" i="45"/>
  <c r="AA12" i="45"/>
  <c r="Z12" i="45"/>
  <c r="AF12" i="45" s="1"/>
  <c r="AB12" i="45" a="1"/>
  <c r="AB12" i="45" l="1"/>
  <c r="AG12" i="45"/>
  <c r="AK12" i="45" s="1"/>
  <c r="AU12" i="45"/>
  <c r="AU14" i="45" s="1"/>
  <c r="AR14" i="45"/>
  <c r="P12" i="45" a="1"/>
  <c r="P12" i="45" l="1"/>
  <c r="U12" i="45" s="1"/>
  <c r="Y12" i="45" s="1"/>
  <c r="Y14" i="45" s="1"/>
  <c r="AH12" i="45"/>
  <c r="AM12" i="45" s="1"/>
  <c r="AK14" i="45"/>
  <c r="AN12" i="45" l="1"/>
  <c r="AN14" i="45" s="1"/>
  <c r="K8" i="64" s="1"/>
  <c r="K9" i="64" s="1" a="1"/>
  <c r="K9" i="64" s="1"/>
  <c r="V12" i="45"/>
  <c r="AL12" i="45" s="1"/>
  <c r="AL14" i="45" s="1"/>
  <c r="K7" i="64" s="1"/>
  <c r="AW12" i="45"/>
  <c r="AV8" i="45" s="1" a="1"/>
  <c r="AV8" i="45" s="1"/>
  <c r="AX12" i="45" l="1"/>
  <c r="AY12" i="45" l="1"/>
  <c r="BE12" i="45" s="1"/>
  <c r="BB12" i="45"/>
  <c r="BD12" i="45" s="1"/>
  <c r="AY14" i="45"/>
  <c r="K10" i="64" s="1"/>
  <c r="AZ12" i="45"/>
  <c r="AZ14" i="45" s="1"/>
  <c r="K11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tc={1F7BC847-D1FA-4C8D-AE7C-0642CE67D69C}</author>
    <author>tc={3E17E428-799B-47F5-A7C7-9BDB14E65EFF}</author>
    <author>tc={4E676915-C7BE-49FF-A874-AD60DAD052ED}</author>
    <author>tc={D25E963B-03EE-4209-9A25-F33F9AF70364}</author>
    <author>tc={24D35D74-B4E4-40D7-9E4F-F846E2D881AF}</author>
    <author>tc={9DD64EFA-929F-4E8A-A721-02C7113C5C34}</author>
    <author>tc={BB2A355F-4399-46B3-B5AA-0BB6C957392B}</author>
    <author>tc={33AC57F6-9EE6-46F5-819D-BC1EA96FF5AA}</author>
    <author>tc={BF3AADB4-792F-417E-82FE-CAA6F9A474A9}</author>
    <author>tc={18588ABA-E9EA-4FF9-9E6F-13DD1B34DA61}</author>
    <author>tc={555AFC02-3E77-49E6-92C2-A926E87CED67}</author>
  </authors>
  <commentList>
    <comment ref="Y4" authorId="0" shapeId="0" xr:uid="{1F7BC847-D1FA-4C8D-AE7C-0642CE67D69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3E17E428-799B-47F5-A7C7-9BDB14E65EF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4E676915-C7BE-49FF-A874-AD60DAD052E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D25E963B-03EE-4209-9A25-F33F9AF7036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4D35D74-B4E4-40D7-9E4F-F846E2D881A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DD64EFA-929F-4E8A-A721-02C7113C5C3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BB2A355F-4399-46B3-B5AA-0BB6C957392B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33AC57F6-9EE6-46F5-819D-BC1EA96FF5AA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BF3AADB4-792F-417E-82FE-CAA6F9A474A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18588ABA-E9EA-4FF9-9E6F-13DD1B34DA61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555AFC02-3E77-49E6-92C2-A926E87CED6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tc={DE6DCBA9-EA47-4887-A3E6-337DB78FF56B}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  <author>tc={CEEA40B8-9803-45F9-9590-1EB56958D071}</author>
  </authors>
  <commentList>
    <comment ref="Z4" authorId="0" shapeId="0" xr:uid="{DE6DCBA9-EA47-4887-A3E6-337DB78FF5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6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6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6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6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W7" authorId="1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N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U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L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<sst xmlns="http://schemas.openxmlformats.org/spreadsheetml/2006/main" count="2424" uniqueCount="791">
  <si>
    <t>SA</t>
  </si>
  <si>
    <t>RA</t>
  </si>
  <si>
    <t>OA</t>
  </si>
  <si>
    <t>GPM</t>
  </si>
  <si>
    <t>MBH</t>
  </si>
  <si>
    <t>CURRENT % OA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</si>
  <si>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</si>
  <si>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</si>
  <si>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</si>
  <si>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</si>
  <si>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</si>
  <si>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</si>
  <si>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</si>
  <si>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</si>
  <si>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</si>
  <si>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</si>
  <si>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</si>
  <si>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</si>
  <si>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</si>
  <si>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</si>
  <si>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</si>
  <si>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</si>
  <si>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</si>
  <si>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</si>
  <si>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</si>
  <si>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</si>
  <si>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</si>
  <si>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</si>
  <si>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</si>
  <si>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</si>
  <si>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</si>
  <si>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</si>
  <si>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</si>
  <si>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</si>
  <si>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</si>
  <si>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</si>
  <si>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</si>
  <si>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</si>
  <si>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</si>
  <si>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</si>
  <si>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</si>
  <si>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</si>
  <si>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</si>
  <si>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</si>
  <si>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</si>
  <si>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DESIGN SA 
(CFM)</t>
  </si>
  <si>
    <t>DESIGN RA
(CFM)</t>
  </si>
  <si>
    <t>DESIGN EA
(CFM)</t>
  </si>
  <si>
    <t>Transfer Air CFM</t>
  </si>
  <si>
    <t>CFM/SF</t>
  </si>
  <si>
    <t>OSA PERCENT</t>
  </si>
  <si>
    <t>ACH/hr</t>
  </si>
  <si>
    <t>Balance?</t>
  </si>
  <si>
    <t xml:space="preserve"> CONSTANT AIR VOLUME TERMINAL UNIT SCHEDULE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</si>
  <si>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</si>
  <si>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</si>
  <si>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</si>
  <si>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</si>
  <si>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</si>
  <si>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</si>
  <si>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</si>
  <si>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</si>
  <si>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</si>
  <si>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</si>
  <si>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</si>
  <si>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</si>
  <si>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</si>
  <si>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</si>
  <si>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</si>
  <si>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</si>
  <si>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</si>
  <si>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</si>
  <si>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</si>
  <si>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PATIENT ROOM</t>
  </si>
  <si>
    <t>CAV-1-01</t>
  </si>
  <si>
    <t>TITUS</t>
  </si>
  <si>
    <t>SINGLE DUCT REHEAT ZONE</t>
  </si>
  <si>
    <t>1, 2</t>
  </si>
  <si>
    <t>DUMMY1</t>
  </si>
  <si>
    <t>Bathing room</t>
  </si>
  <si>
    <t>CAV-1-02</t>
  </si>
  <si>
    <t>DUMMY2</t>
  </si>
  <si>
    <t>Blood bank/tissue storage</t>
  </si>
  <si>
    <t>CAV-1-03</t>
  </si>
  <si>
    <t>DUMMY3</t>
  </si>
  <si>
    <t>TOILETS—PRIVATE</t>
  </si>
  <si>
    <t>CAV-1-04</t>
  </si>
  <si>
    <t>CAV-1-05</t>
  </si>
  <si>
    <t>DUMMY5</t>
  </si>
  <si>
    <t>Fast track room</t>
  </si>
  <si>
    <t>CAV-1-06</t>
  </si>
  <si>
    <t>DUMMY6</t>
  </si>
  <si>
    <t>CAV-1-07</t>
  </si>
  <si>
    <t>CAV-1-08</t>
  </si>
  <si>
    <t>DUMMY8</t>
  </si>
  <si>
    <t>NOT PER TABLE 4A</t>
  </si>
  <si>
    <t>GENERAL - CONFERENCE/MEETING</t>
  </si>
  <si>
    <t>CAV-1-09</t>
  </si>
  <si>
    <t>DUMMY9</t>
  </si>
  <si>
    <t>CAV-1-10</t>
  </si>
  <si>
    <t>CAV-1-11</t>
  </si>
  <si>
    <t>CAV-1-12</t>
  </si>
  <si>
    <t>CAV-1-13</t>
  </si>
  <si>
    <t>CAV-1-14</t>
  </si>
  <si>
    <t>`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</si>
  <si>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</si>
  <si>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</si>
  <si>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</si>
  <si>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</si>
  <si>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</si>
  <si>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</si>
  <si>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</si>
  <si>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</si>
  <si>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</si>
  <si>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</si>
  <si>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</si>
  <si>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</si>
  <si>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</si>
  <si>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</si>
  <si>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</si>
  <si>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</si>
  <si>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</si>
  <si>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</si>
  <si>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</si>
  <si>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</si>
  <si>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</si>
  <si>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</si>
  <si>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</si>
  <si>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</si>
  <si>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Total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</si>
  <si>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</si>
  <si>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</si>
  <si>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</si>
  <si>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</si>
  <si>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</si>
  <si>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</si>
  <si>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</si>
  <si>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</si>
  <si>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</si>
  <si>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</si>
  <si>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</si>
  <si>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</si>
  <si>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</si>
  <si>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</si>
  <si>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</si>
  <si>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</si>
  <si>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</si>
  <si>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</si>
  <si>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</si>
  <si>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</si>
  <si>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</si>
  <si>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</si>
  <si>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</si>
  <si>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</si>
  <si>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</si>
  <si>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</si>
  <si>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</si>
  <si>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LOBBY</t>
  </si>
  <si>
    <t>GENERAL - TOILETS</t>
  </si>
  <si>
    <t>RETAIL</t>
  </si>
  <si>
    <t>ANIMAL FACILITIES - NECROPSY</t>
  </si>
  <si>
    <t>VAV-1-02</t>
  </si>
  <si>
    <t>VAV-1-03</t>
  </si>
  <si>
    <t>OFFICE SPACE</t>
  </si>
  <si>
    <t>EDUCATIONAL FACILITIES - LIBRARIES</t>
  </si>
  <si>
    <t>TOTAL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</si>
  <si>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</si>
  <si>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</si>
  <si>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</si>
  <si>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</si>
  <si>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</si>
  <si>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</si>
  <si>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</si>
  <si>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</si>
  <si>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</si>
  <si>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</si>
  <si>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</si>
  <si>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</si>
  <si>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</si>
  <si>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</si>
  <si>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</si>
  <si>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</si>
  <si>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</si>
  <si>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</si>
  <si>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</si>
  <si>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</si>
  <si>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</si>
  <si>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</si>
  <si>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</si>
  <si>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</si>
  <si>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</si>
  <si>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</si>
  <si>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</si>
  <si>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</si>
  <si>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</si>
  <si>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</si>
  <si>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</si>
  <si>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</si>
  <si>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</si>
  <si>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</si>
  <si>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</si>
  <si>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</si>
  <si>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</si>
  <si>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</si>
  <si>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</si>
  <si>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</si>
  <si>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</si>
  <si>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</si>
  <si>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</si>
  <si>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</si>
  <si>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</si>
  <si>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</si>
  <si>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</si>
  <si>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</si>
  <si>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</si>
  <si>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</si>
  <si>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</si>
  <si>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</si>
  <si>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</si>
  <si>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</si>
  <si>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</si>
  <si>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</si>
  <si>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</si>
  <si>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</si>
  <si>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</si>
  <si>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</si>
  <si>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</si>
  <si>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</si>
  <si>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</si>
  <si>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</si>
  <si>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</si>
  <si>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</si>
  <si>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</si>
  <si>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</si>
  <si>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CHW Pump Flow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</si>
  <si>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</si>
  <si>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</si>
  <si>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</si>
  <si>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</si>
  <si>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</si>
  <si>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</si>
  <si>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</si>
  <si>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</si>
  <si>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</si>
  <si>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</si>
  <si>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</si>
  <si>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</si>
  <si>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</si>
  <si>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</si>
  <si>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</si>
  <si>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</si>
  <si>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</si>
  <si>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</si>
  <si>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</si>
  <si>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</si>
  <si>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</si>
  <si>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</si>
  <si>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</si>
  <si>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</si>
  <si>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</si>
  <si>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</si>
  <si>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</si>
  <si>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</si>
  <si>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</si>
  <si>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</si>
  <si>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</si>
  <si>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</si>
  <si>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</si>
  <si>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</si>
  <si>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</si>
  <si>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</si>
  <si>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</si>
  <si>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</si>
  <si>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Number of Chillers</t>
  </si>
  <si>
    <t>Diversity %</t>
  </si>
  <si>
    <t>number of CHW Pumps</t>
  </si>
  <si>
    <t>Column1</t>
  </si>
  <si>
    <t>CODE REQUIREMENTS</t>
  </si>
  <si>
    <t>AIR CALCULATION</t>
  </si>
  <si>
    <t>DESIGN CHECK</t>
  </si>
  <si>
    <t>Patient corridor</t>
  </si>
  <si>
    <t>BLOOD DRAW/PHLEBOTOMY</t>
  </si>
  <si>
    <t>OUTSIDE AIR AND CFM DATA</t>
  </si>
  <si>
    <t>SENSIBLE COOLING COIL PERFORMANCE</t>
  </si>
  <si>
    <t>DEHUMIDIFICATION COOLING COIL PERFORMANCE</t>
  </si>
  <si>
    <t>FINAL VALUES</t>
  </si>
  <si>
    <t>ZONE RE-HEATING COIL</t>
  </si>
  <si>
    <t>Across Unit</t>
  </si>
  <si>
    <t>Exfiltration Air</t>
  </si>
  <si>
    <t>Across Cooling Coil</t>
  </si>
  <si>
    <t>Unit Loads - Psych (sensible)</t>
  </si>
  <si>
    <t>Unit Size</t>
  </si>
  <si>
    <t xml:space="preserve">
Chilled Water </t>
  </si>
  <si>
    <t>Unit Loads - Psych (dehumidification)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</si>
  <si>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</si>
  <si>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</si>
  <si>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</si>
  <si>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</si>
  <si>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</si>
  <si>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</si>
  <si>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</si>
  <si>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</si>
  <si>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</si>
  <si>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</si>
  <si>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</si>
  <si>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</si>
  <si>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</si>
  <si>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</si>
  <si>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</si>
  <si>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</si>
  <si>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</si>
  <si>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</si>
  <si>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</si>
  <si>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</si>
  <si>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</si>
  <si>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</si>
  <si>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</si>
  <si>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</si>
  <si>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</si>
  <si>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</si>
  <si>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</si>
  <si>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</si>
  <si>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</si>
  <si>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</si>
  <si>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</si>
  <si>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</si>
  <si>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</si>
  <si>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</si>
  <si>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</si>
  <si>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</si>
  <si>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</si>
  <si>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</si>
  <si>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</si>
  <si>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</si>
  <si>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</si>
  <si>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</si>
  <si>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</si>
  <si>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</si>
  <si>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</si>
  <si>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</si>
  <si>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</si>
  <si>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</si>
  <si>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</si>
  <si>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</si>
  <si>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</si>
  <si>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</si>
  <si>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</si>
  <si>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</si>
  <si>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</si>
  <si>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</si>
  <si>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</si>
  <si>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</si>
  <si>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</si>
  <si>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</si>
  <si>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</si>
  <si>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</si>
  <si>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</si>
  <si>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</si>
  <si>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</si>
  <si>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</si>
  <si>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</si>
  <si>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</si>
  <si>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</si>
  <si>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CFM2</t>
  </si>
  <si>
    <t>(˚F db)433</t>
  </si>
  <si>
    <t>(˚F db)454</t>
  </si>
  <si>
    <t>(mbh)465</t>
  </si>
  <si>
    <t>(˚F db)466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</si>
  <si>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</si>
  <si>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</si>
  <si>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</si>
  <si>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</si>
  <si>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</si>
  <si>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</si>
  <si>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</si>
  <si>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</si>
  <si>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</si>
  <si>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</si>
  <si>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</si>
  <si>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</si>
  <si>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</si>
  <si>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</si>
  <si>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</si>
  <si>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</si>
  <si>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</si>
  <si>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</si>
  <si>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</si>
  <si>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</si>
  <si>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</si>
  <si>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</si>
  <si>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</si>
  <si>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</si>
  <si>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</si>
  <si>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</si>
  <si>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</si>
  <si>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</si>
  <si>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</si>
  <si>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</si>
  <si>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</si>
  <si>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</si>
  <si>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</si>
  <si>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</si>
  <si>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</si>
  <si>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</si>
  <si>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</si>
  <si>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</si>
  <si>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</si>
  <si>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</si>
  <si>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</si>
  <si>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</si>
  <si>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</si>
  <si>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</si>
  <si>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</si>
  <si>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</si>
  <si>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</si>
  <si>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</si>
  <si>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</si>
  <si>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</si>
  <si>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</si>
  <si>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</si>
  <si>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</si>
  <si>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</si>
  <si>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</si>
  <si>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</si>
  <si>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</si>
  <si>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</si>
  <si>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</si>
  <si>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</si>
  <si>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</si>
  <si>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</si>
  <si>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</si>
  <si>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</si>
  <si>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</si>
  <si>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</si>
  <si>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</si>
  <si>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</si>
  <si>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</si>
  <si>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</si>
  <si>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</si>
  <si>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</si>
  <si>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</si>
  <si>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</si>
  <si>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</si>
  <si>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</si>
  <si>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</si>
  <si>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</si>
  <si>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</si>
  <si>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</si>
  <si>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</si>
  <si>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</si>
  <si>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</si>
  <si>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</si>
  <si>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</si>
  <si>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</si>
  <si>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</si>
  <si>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</si>
  <si>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</si>
  <si>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</si>
  <si>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</si>
  <si>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</si>
  <si>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</si>
  <si>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</si>
  <si>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</si>
  <si>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</si>
  <si>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</si>
  <si>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</si>
  <si>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</si>
  <si>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</si>
  <si>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</si>
  <si>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</si>
  <si>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</si>
  <si>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</si>
  <si>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</si>
  <si>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</si>
  <si>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</si>
  <si>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</si>
  <si>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</si>
  <si>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</si>
  <si>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</si>
  <si>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</si>
  <si>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</si>
  <si>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</si>
  <si>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</si>
  <si>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</si>
  <si>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</si>
  <si>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</si>
  <si>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</si>
  <si>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</si>
  <si>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</si>
  <si>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</si>
  <si>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</si>
  <si>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</si>
  <si>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</si>
  <si>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</si>
  <si>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</si>
  <si>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</si>
  <si>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</si>
  <si>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</si>
  <si>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</si>
  <si>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</si>
  <si>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</si>
  <si>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</si>
  <si>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</si>
  <si>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</si>
  <si>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</si>
  <si>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</si>
  <si>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</si>
  <si>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</si>
  <si>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</si>
  <si>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</si>
  <si>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</si>
  <si>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</si>
  <si>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</si>
  <si>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</si>
  <si>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</si>
  <si>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</si>
  <si>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</si>
  <si>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</si>
  <si>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</si>
  <si>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</si>
  <si>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</si>
  <si>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</si>
  <si>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</si>
  <si>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</si>
  <si>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</si>
  <si>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</si>
  <si>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</si>
  <si>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</si>
  <si>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</si>
  <si>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</si>
  <si>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</si>
  <si>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</si>
  <si>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</si>
  <si>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</si>
  <si>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</si>
  <si>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</si>
  <si>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</si>
  <si>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</si>
  <si>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</si>
  <si>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</si>
  <si>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</si>
  <si>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</si>
  <si>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</si>
  <si>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</si>
  <si>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</si>
  <si>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</si>
  <si>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</si>
  <si>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</si>
  <si>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</si>
  <si>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</si>
  <si>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</si>
  <si>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</si>
  <si>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</si>
  <si>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</si>
  <si>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</si>
  <si>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</si>
  <si>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</si>
  <si>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</si>
  <si>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</si>
  <si>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</si>
  <si>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</si>
  <si>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</si>
  <si>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</si>
  <si>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</si>
  <si>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</si>
  <si>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</si>
  <si>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</si>
  <si>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</si>
  <si>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</si>
  <si>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</si>
  <si>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</si>
  <si>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</si>
  <si>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</si>
  <si>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</si>
  <si>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</si>
  <si>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</si>
  <si>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</si>
  <si>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</si>
  <si>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</si>
  <si>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</si>
  <si>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</si>
  <si>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</si>
  <si>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</si>
  <si>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</si>
  <si>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</si>
  <si>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</si>
  <si>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</si>
  <si>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</si>
  <si>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</si>
  <si>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</si>
  <si>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</si>
  <si>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</si>
  <si>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</si>
  <si>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</si>
  <si>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</si>
  <si>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</si>
  <si>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</si>
  <si>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</si>
  <si>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</si>
  <si>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</si>
  <si>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</si>
  <si>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</si>
  <si>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</si>
  <si>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</si>
  <si>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</si>
  <si>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</si>
  <si>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</si>
  <si>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</si>
  <si>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</si>
  <si>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</si>
  <si>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</si>
  <si>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</si>
  <si>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</si>
  <si>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</si>
  <si>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</si>
  <si>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</si>
  <si>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</si>
  <si>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</si>
  <si>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</si>
  <si>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</si>
  <si>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</si>
  <si>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</si>
  <si>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</si>
  <si>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</si>
  <si>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</si>
  <si>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</si>
  <si>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</si>
  <si>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</si>
  <si>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</si>
  <si>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</si>
  <si>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</si>
  <si>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</si>
  <si>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</si>
  <si>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</si>
  <si>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</si>
  <si>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</si>
  <si>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</si>
  <si>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</si>
  <si>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</si>
  <si>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</si>
  <si>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</si>
  <si>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</si>
  <si>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</si>
  <si>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</si>
  <si>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</si>
  <si>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</si>
  <si>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</si>
  <si>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</si>
  <si>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</si>
  <si>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</si>
  <si>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</si>
  <si>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</si>
  <si>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</si>
  <si>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</si>
  <si>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</si>
  <si>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</si>
  <si>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</si>
  <si>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</si>
  <si>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</si>
  <si>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</si>
  <si>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</si>
  <si>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</si>
  <si>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</si>
  <si>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</si>
  <si>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</si>
  <si>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</si>
  <si>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</si>
  <si>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</si>
  <si>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</si>
  <si>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</si>
  <si>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</si>
  <si>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</si>
  <si>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</si>
  <si>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</si>
  <si>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</si>
  <si>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</si>
  <si>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</si>
  <si>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</si>
  <si>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</si>
  <si>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</si>
  <si>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</si>
  <si>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</si>
  <si>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</si>
  <si>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</si>
  <si>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</si>
  <si>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</si>
  <si>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V-Lookup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</si>
  <si>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</si>
  <si>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</si>
  <si>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</si>
  <si>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</si>
  <si>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</si>
  <si>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</si>
  <si>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</si>
  <si>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</si>
  <si>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</si>
  <si>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</si>
  <si>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</si>
  <si>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</si>
  <si>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</si>
  <si>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</si>
  <si>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</si>
  <si>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</si>
  <si>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</si>
  <si>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</si>
  <si>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</si>
  <si>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</si>
  <si>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</si>
  <si>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</si>
  <si>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</si>
  <si>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</si>
  <si>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</si>
  <si>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</si>
  <si>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</si>
  <si>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</si>
  <si>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</si>
  <si>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</si>
  <si>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</si>
  <si>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</si>
  <si>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</si>
  <si>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</si>
  <si>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</si>
  <si>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</si>
  <si>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</si>
  <si>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</si>
  <si>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</si>
  <si>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</si>
  <si>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</si>
  <si>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</si>
  <si>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</si>
  <si>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</si>
  <si>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</si>
  <si>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</si>
  <si>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</si>
  <si>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</si>
  <si>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</si>
  <si>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</si>
  <si>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</si>
  <si>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</si>
  <si>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</si>
  <si>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</si>
  <si>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</si>
  <si>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</si>
  <si>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</si>
  <si>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</si>
  <si>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</si>
  <si>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</si>
  <si>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</si>
  <si>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</si>
  <si>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</si>
  <si>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</si>
  <si>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</si>
  <si>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</si>
  <si>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</si>
  <si>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</si>
  <si>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</si>
  <si>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</si>
  <si>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</si>
  <si>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</si>
  <si>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</si>
  <si>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</si>
  <si>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</si>
  <si>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</si>
  <si>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</si>
  <si>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</si>
  <si>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</si>
  <si>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</si>
  <si>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</si>
  <si>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</si>
  <si>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</si>
  <si>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</si>
  <si>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</si>
  <si>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</si>
  <si>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</si>
  <si>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</si>
  <si>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</si>
  <si>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</si>
  <si>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</si>
  <si>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</si>
  <si>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</si>
  <si>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</si>
  <si>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</si>
  <si>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</si>
  <si>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</si>
  <si>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</si>
  <si>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</si>
  <si>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</si>
  <si>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</si>
  <si>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</si>
  <si>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AHU 1</t>
  </si>
  <si>
    <t>NOT NEEDED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</si>
</sst>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3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Calibri"/>
      <family val="2"/>
    </font>
    <font>
      <sz val="9"/>
      <color indexed="81"/>
      <name val="Tahoma"/>
      <family val="2"/>
    </font>
    <font>
      <sz val="11"/>
      <color theme="3"/>
      <name val="Calibri (Body)"/>
    </font>
    <font>
      <sz val="11"/>
      <color theme="3"/>
      <name val="Century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" fillId="0" borderId="0"/>
  </cellStyleXfs>
  <cellXfs count="377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3" fontId="1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0" fontId="9" fillId="0" borderId="0" xfId="0" applyFont="1"/>
    <xf numFmtId="0" fontId="23" fillId="0" borderId="0" xfId="0" applyFont="1"/>
    <xf numFmtId="0" fontId="19" fillId="0" borderId="16" xfId="0" applyFont="1" applyBorder="1" applyAlignment="1">
      <alignment horizontal="center" vertical="center"/>
    </xf>
    <xf numFmtId="3" fontId="19" fillId="0" borderId="16" xfId="0" applyNumberFormat="1" applyFont="1" applyBorder="1" applyAlignment="1">
      <alignment horizontal="center" vertical="center"/>
    </xf>
    <xf numFmtId="0" fontId="19" fillId="0" borderId="16" xfId="0" applyFont="1" applyBorder="1" applyAlignment="1" applyProtection="1">
      <alignment horizontal="center" vertical="center"/>
      <protection locked="0"/>
    </xf>
    <xf numFmtId="165" fontId="19" fillId="0" borderId="16" xfId="0" applyNumberFormat="1" applyFont="1" applyBorder="1" applyAlignment="1">
      <alignment horizontal="center" vertical="center"/>
    </xf>
    <xf numFmtId="1" fontId="19" fillId="0" borderId="16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8" xfId="0" applyFont="1" applyBorder="1"/>
    <xf numFmtId="165" fontId="9" fillId="0" borderId="8" xfId="0" applyNumberFormat="1" applyFont="1" applyBorder="1"/>
    <xf numFmtId="0" fontId="9" fillId="0" borderId="3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28" fillId="0" borderId="1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4" fillId="7" borderId="0" xfId="2" applyNumberFormat="1" applyFont="1" applyAlignment="1">
      <alignment horizontal="center" vertical="center"/>
    </xf>
    <xf numFmtId="0" fontId="34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0" xfId="0" applyFont="1" applyFill="1"/>
    <xf numFmtId="0" fontId="35" fillId="0" borderId="0" xfId="0" applyFont="1"/>
    <xf numFmtId="0" fontId="35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6" fillId="0" borderId="0" xfId="0" applyNumberFormat="1" applyFont="1" applyAlignment="1">
      <alignment horizontal="center" shrinkToFit="1"/>
    </xf>
    <xf numFmtId="164" fontId="36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4" fillId="0" borderId="17" xfId="5" applyFont="1" applyBorder="1" applyAlignment="1">
      <alignment vertical="center"/>
    </xf>
    <xf numFmtId="0" fontId="4" fillId="0" borderId="1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17" xfId="5" applyFont="1" applyBorder="1" applyAlignment="1">
      <alignment vertical="center"/>
    </xf>
    <xf numFmtId="0" fontId="3" fillId="0" borderId="18" xfId="5" applyFont="1" applyBorder="1" applyAlignment="1">
      <alignment horizontal="center"/>
    </xf>
    <xf numFmtId="0" fontId="3" fillId="0" borderId="19" xfId="5" applyFont="1" applyBorder="1" applyAlignment="1">
      <alignment horizontal="center"/>
    </xf>
    <xf numFmtId="0" fontId="3" fillId="0" borderId="20" xfId="5" applyFont="1" applyBorder="1" applyAlignment="1">
      <alignment horizontal="center"/>
    </xf>
    <xf numFmtId="0" fontId="3" fillId="0" borderId="21" xfId="5" applyFont="1" applyBorder="1" applyAlignment="1">
      <alignment horizontal="center"/>
    </xf>
    <xf numFmtId="0" fontId="3" fillId="0" borderId="17" xfId="5" applyFont="1" applyBorder="1" applyAlignment="1">
      <alignment horizontal="center" vertical="center"/>
    </xf>
    <xf numFmtId="0" fontId="5" fillId="0" borderId="17" xfId="5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23" xfId="0" applyNumberFormat="1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/>
    </xf>
    <xf numFmtId="9" fontId="42" fillId="0" borderId="22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3" fillId="0" borderId="0" xfId="0" applyNumberFormat="1" applyFont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0" fontId="39" fillId="9" borderId="3" xfId="0" applyFont="1" applyFill="1" applyBorder="1" applyAlignment="1">
      <alignment horizontal="center" vertical="center"/>
    </xf>
    <xf numFmtId="166" fontId="16" fillId="0" borderId="8" xfId="0" applyNumberFormat="1" applyFont="1" applyBorder="1" applyAlignment="1">
      <alignment horizontal="center" vertical="center"/>
    </xf>
    <xf numFmtId="0" fontId="15" fillId="3" borderId="15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left" vertical="center"/>
      <protection locked="0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9" fontId="15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0" fontId="2" fillId="0" borderId="0" xfId="5" applyAlignment="1">
      <alignment horizontal="left"/>
    </xf>
    <xf numFmtId="0" fontId="2" fillId="0" borderId="0" xfId="5"/>
    <xf numFmtId="165" fontId="7" fillId="0" borderId="23" xfId="0" applyNumberFormat="1" applyFont="1" applyBorder="1" applyAlignment="1">
      <alignment horizontal="center" vertical="center"/>
    </xf>
    <xf numFmtId="4" fontId="0" fillId="0" borderId="0" xfId="0" applyNumberFormat="1"/>
    <xf numFmtId="0" fontId="46" fillId="0" borderId="0" xfId="0" applyFont="1"/>
    <xf numFmtId="0" fontId="47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 wrapText="1"/>
    </xf>
    <xf numFmtId="164" fontId="16" fillId="0" borderId="29" xfId="0" applyNumberFormat="1" applyFont="1" applyBorder="1" applyAlignment="1">
      <alignment horizontal="center" shrinkToFit="1"/>
    </xf>
    <xf numFmtId="0" fontId="39" fillId="9" borderId="28" xfId="0" applyFont="1" applyFill="1" applyBorder="1" applyAlignment="1">
      <alignment horizontal="center"/>
    </xf>
    <xf numFmtId="0" fontId="16" fillId="0" borderId="28" xfId="0" applyFont="1" applyBorder="1" applyAlignment="1">
      <alignment horizontal="center"/>
    </xf>
    <xf numFmtId="1" fontId="16" fillId="0" borderId="27" xfId="0" applyNumberFormat="1" applyFont="1" applyBorder="1" applyAlignment="1">
      <alignment horizontal="center" vertical="center"/>
    </xf>
    <xf numFmtId="170" fontId="43" fillId="0" borderId="23" xfId="0" applyNumberFormat="1" applyFont="1" applyBorder="1" applyAlignment="1">
      <alignment horizontal="center" vertical="center"/>
    </xf>
    <xf numFmtId="169" fontId="43" fillId="0" borderId="23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68" fontId="43" fillId="0" borderId="23" xfId="0" applyNumberFormat="1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 wrapText="1"/>
    </xf>
    <xf numFmtId="171" fontId="44" fillId="0" borderId="23" xfId="0" applyNumberFormat="1" applyFont="1" applyBorder="1" applyAlignment="1">
      <alignment horizontal="center" vertical="center" wrapText="1"/>
    </xf>
    <xf numFmtId="168" fontId="44" fillId="0" borderId="23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29" xfId="0" applyFont="1" applyBorder="1" applyAlignment="1">
      <alignment vertical="center"/>
    </xf>
    <xf numFmtId="0" fontId="39" fillId="9" borderId="27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 shrinkToFit="1"/>
    </xf>
    <xf numFmtId="0" fontId="15" fillId="0" borderId="27" xfId="0" applyFont="1" applyBorder="1" applyAlignment="1">
      <alignment horizontal="center" vertical="center" wrapText="1"/>
    </xf>
    <xf numFmtId="1" fontId="15" fillId="0" borderId="27" xfId="0" applyNumberFormat="1" applyFont="1" applyBorder="1" applyAlignment="1">
      <alignment horizontal="center" vertical="center" wrapText="1"/>
    </xf>
    <xf numFmtId="2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6" fontId="16" fillId="0" borderId="27" xfId="0" applyNumberFormat="1" applyFont="1" applyBorder="1" applyAlignment="1">
      <alignment horizontal="center" vertical="center"/>
    </xf>
    <xf numFmtId="0" fontId="15" fillId="3" borderId="27" xfId="0" applyFont="1" applyFill="1" applyBorder="1" applyAlignment="1" applyProtection="1">
      <alignment horizontal="center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165" fontId="16" fillId="0" borderId="27" xfId="0" applyNumberFormat="1" applyFont="1" applyBorder="1" applyAlignment="1">
      <alignment horizontal="center" vertical="center"/>
    </xf>
    <xf numFmtId="0" fontId="16" fillId="0" borderId="27" xfId="0" applyFont="1" applyBorder="1" applyAlignment="1">
      <alignment horizontal="center"/>
    </xf>
    <xf numFmtId="0" fontId="20" fillId="0" borderId="28" xfId="0" applyFont="1" applyBorder="1" applyAlignment="1">
      <alignment horizontal="center" vertical="center"/>
    </xf>
    <xf numFmtId="164" fontId="16" fillId="0" borderId="28" xfId="0" applyNumberFormat="1" applyFont="1" applyBorder="1" applyAlignment="1">
      <alignment horizontal="center" shrinkToFit="1"/>
    </xf>
    <xf numFmtId="164" fontId="16" fillId="0" borderId="28" xfId="0" applyNumberFormat="1" applyFont="1" applyBorder="1" applyAlignment="1">
      <alignment horizontal="center" vertical="center" shrinkToFit="1"/>
    </xf>
    <xf numFmtId="0" fontId="16" fillId="0" borderId="28" xfId="0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16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 applyProtection="1">
      <alignment horizontal="center" vertical="center"/>
      <protection locked="0"/>
    </xf>
    <xf numFmtId="165" fontId="16" fillId="0" borderId="28" xfId="0" applyNumberFormat="1" applyFont="1" applyBorder="1" applyAlignment="1" applyProtection="1">
      <alignment horizontal="center" vertical="center"/>
      <protection locked="0"/>
    </xf>
    <xf numFmtId="0" fontId="16" fillId="0" borderId="29" xfId="0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>
      <alignment horizontal="center" vertical="center"/>
    </xf>
    <xf numFmtId="0" fontId="15" fillId="0" borderId="27" xfId="0" applyFont="1" applyBorder="1" applyAlignment="1" applyProtection="1">
      <alignment horizontal="center" vertical="center"/>
      <protection locked="0"/>
    </xf>
    <xf numFmtId="1" fontId="15" fillId="0" borderId="27" xfId="0" applyNumberFormat="1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center" vertical="center"/>
    </xf>
    <xf numFmtId="165" fontId="38" fillId="9" borderId="27" xfId="0" applyNumberFormat="1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left"/>
    </xf>
    <xf numFmtId="9" fontId="38" fillId="9" borderId="27" xfId="3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>
      <alignment horizontal="center" vertical="center"/>
    </xf>
    <xf numFmtId="0" fontId="39" fillId="9" borderId="27" xfId="0" applyFont="1" applyFill="1" applyBorder="1" applyAlignment="1">
      <alignment horizontal="center"/>
    </xf>
    <xf numFmtId="0" fontId="16" fillId="0" borderId="28" xfId="0" applyFont="1" applyBorder="1"/>
    <xf numFmtId="164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27" xfId="0" applyNumberFormat="1" applyFont="1" applyBorder="1" applyAlignment="1">
      <alignment horizontal="center" vertical="center" shrinkToFit="1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65" fontId="7" fillId="0" borderId="27" xfId="0" applyNumberFormat="1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1" fontId="1" fillId="0" borderId="27" xfId="0" applyNumberFormat="1" applyFont="1" applyBorder="1" applyAlignment="1">
      <alignment horizontal="center" vertical="center"/>
    </xf>
    <xf numFmtId="1" fontId="11" fillId="0" borderId="27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3" fontId="7" fillId="0" borderId="27" xfId="0" applyNumberFormat="1" applyFont="1" applyBorder="1" applyAlignment="1">
      <alignment horizontal="center" vertical="center"/>
    </xf>
    <xf numFmtId="165" fontId="40" fillId="9" borderId="27" xfId="0" applyNumberFormat="1" applyFont="1" applyFill="1" applyBorder="1" applyAlignment="1" applyProtection="1">
      <alignment horizontal="center" vertical="center"/>
      <protection locked="0"/>
    </xf>
    <xf numFmtId="0" fontId="37" fillId="9" borderId="27" xfId="0" applyFont="1" applyFill="1" applyBorder="1" applyAlignment="1">
      <alignment horizontal="center" vertical="center"/>
    </xf>
    <xf numFmtId="165" fontId="2" fillId="0" borderId="27" xfId="0" applyNumberFormat="1" applyFont="1" applyBorder="1" applyAlignment="1">
      <alignment horizontal="center" vertical="center"/>
    </xf>
    <xf numFmtId="1" fontId="2" fillId="0" borderId="27" xfId="0" applyNumberFormat="1" applyFont="1" applyBorder="1" applyAlignment="1">
      <alignment horizontal="center" vertical="center"/>
    </xf>
    <xf numFmtId="165" fontId="37" fillId="9" borderId="27" xfId="0" applyNumberFormat="1" applyFont="1" applyFill="1" applyBorder="1" applyAlignment="1">
      <alignment horizontal="center" vertical="center"/>
    </xf>
    <xf numFmtId="167" fontId="7" fillId="0" borderId="27" xfId="0" applyNumberFormat="1" applyFont="1" applyBorder="1" applyAlignment="1">
      <alignment horizontal="center" vertical="center"/>
    </xf>
    <xf numFmtId="165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>
      <alignment horizontal="center" vertical="center"/>
    </xf>
    <xf numFmtId="0" fontId="4" fillId="0" borderId="23" xfId="5" applyFont="1" applyBorder="1" applyAlignment="1">
      <alignment vertical="center"/>
    </xf>
    <xf numFmtId="0" fontId="4" fillId="0" borderId="24" xfId="5" applyFont="1" applyBorder="1" applyAlignment="1">
      <alignment vertical="center"/>
    </xf>
    <xf numFmtId="0" fontId="4" fillId="0" borderId="30" xfId="5" applyFont="1" applyBorder="1" applyAlignment="1">
      <alignment vertical="center"/>
    </xf>
    <xf numFmtId="0" fontId="3" fillId="0" borderId="31" xfId="5" applyFont="1" applyBorder="1" applyAlignment="1">
      <alignment horizontal="center" vertical="center"/>
    </xf>
    <xf numFmtId="0" fontId="3" fillId="0" borderId="31" xfId="5" applyFont="1" applyBorder="1" applyAlignment="1">
      <alignment vertical="center"/>
    </xf>
    <xf numFmtId="0" fontId="3" fillId="0" borderId="32" xfId="5" applyFont="1" applyBorder="1" applyAlignment="1">
      <alignment horizontal="center" vertical="center"/>
    </xf>
    <xf numFmtId="0" fontId="3" fillId="0" borderId="33" xfId="5" applyFont="1" applyBorder="1" applyAlignment="1">
      <alignment horizontal="center" vertical="center"/>
    </xf>
    <xf numFmtId="0" fontId="3" fillId="0" borderId="34" xfId="5" applyFont="1" applyBorder="1" applyAlignment="1">
      <alignment horizontal="center"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5" fillId="0" borderId="31" xfId="5" applyFont="1" applyBorder="1" applyAlignment="1">
      <alignment horizontal="center" vertical="center"/>
    </xf>
    <xf numFmtId="0" fontId="3" fillId="0" borderId="37" xfId="5" applyFont="1" applyBorder="1" applyAlignment="1">
      <alignment horizontal="left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0" xfId="5" applyFont="1" applyBorder="1" applyAlignment="1">
      <alignment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7" xfId="5" applyFont="1" applyBorder="1" applyAlignment="1">
      <alignment vertical="center"/>
    </xf>
    <xf numFmtId="0" fontId="3" fillId="0" borderId="147" xfId="5" applyFont="1" applyBorder="1" applyAlignment="1">
      <alignment horizontal="left" vertical="center"/>
    </xf>
    <xf numFmtId="0" fontId="15" fillId="0" borderId="29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14" xfId="0" applyFont="1" applyBorder="1" applyAlignment="1" applyProtection="1">
      <alignment horizontal="left" vertical="top" wrapText="1"/>
      <protection locked="0"/>
    </xf>
    <xf numFmtId="0" fontId="15" fillId="0" borderId="7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6" fillId="0" borderId="27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/>
    </xf>
    <xf numFmtId="0" fontId="2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8" fillId="9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14" fontId="38" fillId="9" borderId="0" xfId="0" applyNumberFormat="1" applyFont="1" applyFill="1" applyAlignment="1" applyProtection="1">
      <alignment horizontal="left"/>
      <protection locked="0"/>
    </xf>
    <xf numFmtId="0" fontId="26" fillId="0" borderId="8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9" fillId="0" borderId="27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165" fontId="38" fillId="9" borderId="28" xfId="0" applyNumberFormat="1" applyFont="1" applyFill="1" applyBorder="1" applyAlignment="1" applyProtection="1">
      <alignment horizontal="center" vertical="center"/>
      <protection locked="0"/>
    </xf>
    <xf numFmtId="165" fontId="27" fillId="0" borderId="2" xfId="0" applyNumberFormat="1" applyFont="1" applyBorder="1" applyAlignment="1" applyProtection="1">
      <alignment horizontal="center" vertical="center"/>
      <protection locked="0"/>
    </xf>
    <xf numFmtId="0" fontId="33" fillId="0" borderId="8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0" fillId="0" borderId="0" xfId="4" applyFont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6" fillId="0" borderId="27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49" fontId="2" fillId="0" borderId="27" xfId="0" applyNumberFormat="1" applyFont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46" fillId="0" borderId="0" xfId="0" applyFont="1" applyAlignment="1">
      <alignment horizontal="center"/>
    </xf>
    <xf numFmtId="164" fontId="16" fillId="0" borderId="148" xfId="0" applyNumberFormat="1" applyFont="1" applyBorder="1" applyAlignment="1">
      <alignment horizontal="center" shrinkToFit="1"/>
    </xf>
    <xf numFmtId="0" fontId="20" fillId="0" borderId="149" xfId="0" applyFont="1" applyBorder="1" applyAlignment="1">
      <alignment horizontal="center" vertical="center" wrapText="1"/>
    </xf>
    <xf numFmtId="0" fontId="20" fillId="0" borderId="148" xfId="0" applyFont="1" applyBorder="1" applyAlignment="1">
      <alignment horizontal="center" vertical="center"/>
    </xf>
    <xf numFmtId="164" fontId="16" fillId="0" borderId="148" xfId="0" applyNumberFormat="1" applyFont="1" applyBorder="1" applyAlignment="1">
      <alignment horizontal="center" vertical="center" shrinkToFit="1"/>
    </xf>
    <xf numFmtId="0" fontId="16" fillId="0" borderId="148" xfId="0" applyFont="1" applyBorder="1" applyAlignment="1">
      <alignment horizontal="center" vertical="center"/>
    </xf>
    <xf numFmtId="164" fontId="16" fillId="0" borderId="150" xfId="0" applyNumberFormat="1" applyFont="1" applyBorder="1" applyAlignment="1">
      <alignment horizontal="center" shrinkToFit="1"/>
    </xf>
    <xf numFmtId="1" fontId="16" fillId="0" borderId="0" xfId="0" applyNumberFormat="1" applyFont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5" fontId="51" fillId="9" borderId="27" xfId="0" applyNumberFormat="1" applyFont="1" applyFill="1" applyBorder="1" applyAlignment="1" applyProtection="1">
      <alignment horizontal="center" vertical="center"/>
      <protection locked="0"/>
    </xf>
    <xf numFmtId="165" fontId="52" fillId="9" borderId="27" xfId="0" applyNumberFormat="1" applyFont="1" applyFill="1" applyBorder="1" applyAlignment="1">
      <alignment horizontal="center" vertical="center"/>
    </xf>
    <xf numFmtId="165" fontId="7" fillId="0" borderId="27" xfId="0" applyNumberFormat="1" applyFont="1" applyBorder="1" applyAlignment="1" applyProtection="1">
      <alignment horizontal="center" vertical="center"/>
    </xf>
    <xf numFmtId="165" fontId="52" fillId="0" borderId="27" xfId="0" applyNumberFormat="1" applyFont="1" applyBorder="1" applyAlignment="1">
      <alignment horizontal="center" vertical="center"/>
    </xf>
    <xf numFmtId="0" fontId="27" fillId="9" borderId="27" xfId="0" applyFont="1" applyFill="1" applyBorder="1" applyAlignment="1" applyProtection="1">
      <alignment horizontal="center" vertical="center"/>
      <protection locked="0"/>
    </xf>
    <xf numFmtId="0" fontId="27" fillId="9" borderId="27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6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2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2</xdr:row>
          <xdr:rowOff>104775</xdr:rowOff>
        </xdr:from>
        <xdr:to>
          <xdr:col>17</xdr:col>
          <xdr:colOff>104775</xdr:colOff>
          <xdr:row>4</xdr:row>
          <xdr:rowOff>142875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2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00%20Employee%20Folders\Rush\V0.1_Custom%20Functions.xlam" TargetMode="External"/><Relationship Id="rId1" Type="http://schemas.openxmlformats.org/officeDocument/2006/relationships/externalLinkPath" Target="file:///T:\00%20Employee%20Folders\Rush\V0.1_Custom%20Functio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Testing"/>
    </sheetNames>
    <definedNames>
      <definedName name="MixedAirTemp"/>
    </definedNames>
    <sheetDataSet>
      <sheetData sheetId="0"/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1</v>
    <v>6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7" totalsRowShown="0" headerRowDxfId="526" dataDxfId="524" headerRowBorderDxfId="525" tableBorderDxfId="523" totalsRowBorderDxfId="522">
  <autoFilter ref="B25:T27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521"/>
    <tableColumn id="18" xr3:uid="{366DBBF2-20A8-4D60-93FE-3D5A81578DB0}" name="DISCHARGE CONFIG" dataDxfId="520"/>
    <tableColumn id="19" xr3:uid="{0CEE3843-A0BB-4053-8B60-160B8D23C3A1}" name="RETURN CONFIG" dataDxfId="519"/>
    <tableColumn id="2" xr3:uid="{A907651C-1565-4CA5-8395-FBF4A48F82DF}" name="SUPPLY FAN VFD" dataDxfId="518"/>
    <tableColumn id="3" xr3:uid="{A1BA734B-6B37-4C81-BB00-B96C74EABC9E}" name="RETURN FAN" dataDxfId="517"/>
    <tableColumn id="4" xr3:uid="{1A2A118E-5D50-4E1F-8178-C4EFA7C8AFB2}" name="RETURN FAN VFD" dataDxfId="516"/>
    <tableColumn id="5" xr3:uid="{9789DB90-BB58-4C9A-84AA-733010BD2ABF}" name="ECONOMIZER" dataDxfId="515"/>
    <tableColumn id="6" xr3:uid="{7F342EF1-E9D4-4167-9F2C-FB7ECDD16AC5}" name="HEAT RECOVERY" dataDxfId="514"/>
    <tableColumn id="7" xr3:uid="{26A7AB30-2773-4D3A-B047-D020B43C98AD}" name="PREHEAT COIL" dataDxfId="513"/>
    <tableColumn id="8" xr3:uid="{698E1BCF-A037-4D50-BC22-BF171E579A40}" name="REHEAT COIL" dataDxfId="512"/>
    <tableColumn id="9" xr3:uid="{E1206B26-EAF7-482D-90C7-BD9B25AC7DF4}" name="SUPPLY SMOKE" dataDxfId="511"/>
    <tableColumn id="10" xr3:uid="{3C1D9E90-D1DB-4131-ACF1-AE091BA0F570}" name="RETURN SMOKE" dataDxfId="510"/>
    <tableColumn id="11" xr3:uid="{42FFA5A3-94D2-4855-A74E-B15F86BB7CA6}" name="SINGLE POWER" dataDxfId="509"/>
    <tableColumn id="12" xr3:uid="{A9CF85BF-E075-40CD-A3D8-8F54B4742E17}" name="UV LIGHTS" dataDxfId="508"/>
    <tableColumn id="13" xr3:uid="{E6598DEC-673D-4041-8DFD-65E1B4E86C00}" name="PRE FILTER " dataDxfId="507"/>
    <tableColumn id="14" xr3:uid="{A42CA4AB-ECDB-4F8E-9F88-493EE19C6264}" name="INTERMIDIATE FILTER" dataDxfId="506"/>
    <tableColumn id="15" xr3:uid="{7E317255-F402-493B-BA5E-6339E59F2B79}" name="ATFP DAMPERS" dataDxfId="505"/>
    <tableColumn id="16" xr3:uid="{F81087CC-928B-4AE1-A5CB-B814D3F9D515}" name="HUMIDIFIER" dataDxfId="504"/>
    <tableColumn id="17" xr3:uid="{6D8362BD-1A4B-4899-83CC-017029BF5237}" name="HEPA FILTER" dataDxfId="50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30:E31" totalsRowShown="0" headerRowDxfId="502" dataDxfId="501">
  <autoFilter ref="B30:E31" xr:uid="{4581B1AD-A786-2246-8D37-2A5F7703F76B}"/>
  <tableColumns count="4">
    <tableColumn id="1" xr3:uid="{F6DE3AB9-A636-4F44-A1A2-B490A8559CB9}" name="Number of Chillers" dataDxfId="500"/>
    <tableColumn id="2" xr3:uid="{4435B585-7E01-124C-A117-60351029480F}" name="Diversity %" dataDxfId="499" dataCellStyle="Percent"/>
    <tableColumn id="3" xr3:uid="{5593EF6B-BC7D-2545-87E3-670353EFCEA9}" name="number of CHW Pumps" dataDxfId="498"/>
    <tableColumn id="4" xr3:uid="{62962FB5-BAF9-064A-8972-6E8082614CD8}" name="Column1" dataDxfId="49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611AC67-1397-49EF-BD4C-E6F31B5E6C81}" name="TABLE4A43919" displayName="TABLE4A43919" ref="B6:AA18" totalsRowCount="1" headerRowDxfId="160" dataDxfId="159" totalsRowDxfId="158" headerRowBorderDxfId="156" tableBorderDxfId="157" totalsRowBorderDxfId="155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8B2E69B2-C842-4C16-8913-AD363E40372F}" name="ZONE" dataDxfId="153" totalsRowDxfId="154"/>
    <tableColumn id="3" xr3:uid="{CEFD35F7-7A06-4F79-9A7A-A48422183847}" name="ROOM" dataDxfId="151" totalsRowDxfId="152"/>
    <tableColumn id="4" xr3:uid="{9DD5248E-62BA-4874-80E7-8D482B50180F}" name="ROOM _x000a_NUMBER" dataDxfId="149" totalsRowDxfId="150"/>
    <tableColumn id="5" xr3:uid="{9212A66D-4F0F-4FB3-BE70-9C6960AC8F28}" name="AREA _x000a_(FT²)" totalsRowFunction="sum" dataDxfId="147" totalsRowDxfId="148"/>
    <tableColumn id="6" xr3:uid="{9154A0C1-9135-4E4F-810E-F0A3891310CB}" name="HG_x000a_(FT)" dataDxfId="145" totalsRowDxfId="146"/>
    <tableColumn id="8" xr3:uid="{86187E5A-3C22-423E-AD45-F6FC76ECD89A}" name="100%_x000a_EA" dataDxfId="143" totalsRowDxfId="144">
      <calculatedColumnFormula>VLOOKUP($K7,'UMC Table 4-A'!$A$2:$E$132,5,FALSE)</calculatedColumnFormula>
    </tableColumn>
    <tableColumn id="1" xr3:uid="{7FE6CF62-5988-4431-A859-56216CC590D0}" name="Desired Air Balance Difference" dataDxfId="141" totalsRowDxfId="142"/>
    <tableColumn id="10" xr3:uid="{7B3E1BF7-6052-46EF-A318-64FAE0858C2F}" name="LOAD _x000a_(CFM)" dataDxfId="139" totalsRowDxfId="140"/>
    <tableColumn id="12" xr3:uid="{6347698F-CE7D-4CFD-97A4-C3872FFD6870}" name="1 or 0.5 CFM/SF" dataDxfId="137" totalsRowDxfId="138">
      <calculatedColumnFormula>IF(OR((K7="PATIENT CORRIDOR"),(K7="TOILET")),(E7*0.5),E7)</calculatedColumnFormula>
    </tableColumn>
    <tableColumn id="13" xr3:uid="{969F2A49-30F0-4E6B-AE88-7FB7B37B4462}" name="FUNCTION OR SPACE" dataDxfId="135" totalsRowDxfId="136"/>
    <tableColumn id="14" xr3:uid="{C2A7058B-BA74-4C63-B717-4B6B08DE8A51}" name="PRESSURE RELATIONSHIP TO ADJACENT AREAS" dataDxfId="133" totalsRowDxfId="134">
      <calculatedColumnFormula>VLOOKUP($K7,'UMC Table 4-A'!$A$2:$E$132,2,FALSE)</calculatedColumnFormula>
    </tableColumn>
    <tableColumn id="15" xr3:uid="{F4F12592-D439-47A6-B869-D778BD2E4835}" name="MIN OUTDOOR ACH_x000a_(AC/HR)" dataDxfId="131" totalsRowDxfId="132">
      <calculatedColumnFormula>VLOOKUP($K7,'UMC Table 4-A'!$A$2:$E$132,3,FALSE)</calculatedColumnFormula>
    </tableColumn>
    <tableColumn id="16" xr3:uid="{ADD57316-2627-4070-AF3A-5A4242136BC9}" name="MIN OUTDOOR ACH _x000a_(CFM)" totalsRowFunction="sum" dataDxfId="129" totalsRowDxfId="130">
      <calculatedColumnFormula>IF(M7&lt;&gt;"NR",ROUNDUP((E7*F7*M7)/60,-1),0)</calculatedColumnFormula>
    </tableColumn>
    <tableColumn id="7" xr3:uid="{546894C0-7019-4E59-84FE-91FD80F8C20A}" name="MIN TOTAL ACH (AC/HR)" dataDxfId="127" totalsRowDxfId="128">
      <calculatedColumnFormula>VLOOKUP($K7,'UMC Table 4-A'!$A$2:$E$132,4,FALSE)</calculatedColumnFormula>
    </tableColumn>
    <tableColumn id="11" xr3:uid="{C38B2C59-C332-4BDE-B16C-F8969267C417}" name="MIN TOTAL ACH _x000a_(CFM)" dataDxfId="125" totalsRowDxfId="126">
      <calculatedColumnFormula>IF(O7&lt;&gt;"NR",ROUNDUP((E7*F7*O7)/60,-1),0)</calculatedColumnFormula>
    </tableColumn>
    <tableColumn id="17" xr3:uid="{3BD91537-46B0-4E6D-BF53-980B2BD32E4A}" name="100% EA_x000a_ (YES/NR)" dataDxfId="123" totalsRowDxfId="124">
      <calculatedColumnFormula>VLOOKUP($K7,'UMC Table 4-A'!$A$2:$E$132,5,FALSE)</calculatedColumnFormula>
    </tableColumn>
    <tableColumn id="9" xr3:uid="{07027C15-733B-4065-91D0-63DFB9218795}" name="MIN EA _x000a_(CFM)" dataDxfId="121" totalsRowDxfId="122">
      <calculatedColumnFormula>IF(G7="Yes",P7,"-")</calculatedColumnFormula>
    </tableColumn>
    <tableColumn id="18" xr3:uid="{EDD35051-6035-40E0-9CC6-428BF7D458CF}" name="CALCULATED SA _x000a_(CFM)" totalsRowFunction="sum" dataDxfId="119" totalsRowDxfId="120">
      <calculatedColumnFormula>IF(N7="Negative",V7-TABLE4A43919[[#This Row],[Desired Air Balance Difference]],CEILING(MAX(TABLE4A43919[[#This Row],[1 or 0.5 CFM/SF]],TABLE4A43919[[#This Row],[MIN TOTAL ACH 
(CFM)]],TABLE4A43919[[#This Row],[LOAD 
(CFM)]]),5))</calculatedColumnFormula>
    </tableColumn>
    <tableColumn id="19" xr3:uid="{93F28F33-0A7F-4C41-9251-561845D13C6C}" name="DESIGN SA _x000a_(CFM)" totalsRowFunction="sum" dataDxfId="117" totalsRowDxfId="118">
      <calculatedColumnFormula>S7</calculatedColumnFormula>
    </tableColumn>
    <tableColumn id="20" xr3:uid="{89473564-8526-4A9D-995F-627332C3AF9F}" name="DESIGN RA_x000a_(CFM)" totalsRowFunction="sum" dataDxfId="115" totalsRowDxfId="116">
      <calculatedColumnFormula>IF(Q7="Yes",0,IF(L7="Positive",IF(0.1*S7&gt;50,S7-0.1*S7,S7-50),IF(L7="Negative",IF(0.1*S7&gt;50,S7+0.1*S7,S7+50),S7)))</calculatedColumnFormula>
    </tableColumn>
    <tableColumn id="21" xr3:uid="{35555044-EB43-4AD7-BC86-9704DD025004}" name="DESIGN EA_x000a_(CFM)" totalsRowFunction="sum" dataDxfId="113" totalsRowDxfId="114">
      <calculatedColumnFormula>IF(Q7="Yes",R7,0)</calculatedColumnFormula>
    </tableColumn>
    <tableColumn id="22" xr3:uid="{DE7A69A9-E630-47F9-B6AB-D3D28FE46E40}" name="Transfer Air CFM" totalsRowFunction="sum" dataDxfId="111" totalsRowDxfId="112">
      <calculatedColumnFormula>T7-U7-V7</calculatedColumnFormula>
    </tableColumn>
    <tableColumn id="24" xr3:uid="{0F7FA54C-F497-4FB6-AFFC-8C440487714F}" name="CFM/SF" dataDxfId="109" totalsRowDxfId="110">
      <calculatedColumnFormula>IFERROR(S7/E7,"-")</calculatedColumnFormula>
    </tableColumn>
    <tableColumn id="25" xr3:uid="{58DED454-340B-4E1F-82C0-F268E735FC32}" name="OSA PERCENT" dataDxfId="107" totalsRowDxfId="108"/>
    <tableColumn id="26" xr3:uid="{2D9EC6CA-708C-4CA9-A09E-97FF54C1507A}" name="ACH/hr" dataDxfId="105" totalsRowDxfId="106"/>
    <tableColumn id="23" xr3:uid="{3B7DD56A-723D-4051-A992-9601D9E38862}" name="Balance?" dataDxfId="103" totalsRowDxfId="104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F7E1BC8-A20D-4A00-A7E5-8BD07F23955C}" name="AHU1_CAV_SCHEDULE441120" displayName="AHU1_CAV_SCHEDULE441120" ref="AD6:AT45" totalsRowCount="1" headerRowDxfId="102" dataDxfId="101" totalsRowDxfId="100" headerRowBorderDxfId="98" tableBorderDxfId="99" totalsRowBorderDxfId="97">
  <autoFilter ref="AD6:AT44" xr:uid="{2A2B6BA6-0EAB-2349-A085-FD569408EC9D}"/>
  <tableColumns count="17">
    <tableColumn id="1" xr3:uid="{E0BA911F-E6DA-497D-B6B7-06D44CA07159}" name="ZONE" totalsRowLabel="Total" dataDxfId="95" totalsRowDxfId="96"/>
    <tableColumn id="2" xr3:uid="{BAC30904-48A3-4E07-A67F-7F9390673A12}" name="BASIS OF DESIGN _x000a_MANUFACTURER" dataDxfId="93" totalsRowDxfId="94"/>
    <tableColumn id="3" xr3:uid="{049B2168-CA36-419F-91B9-3FA621A4C168}" name="DESCRIPTION" dataDxfId="91" totalsRowDxfId="92"/>
    <tableColumn id="4" xr3:uid="{DF69F595-5034-4811-9694-D253B74B984B}" name="CFM" dataDxfId="89" totalsRowDxfId="90">
      <calculatedColumnFormula>SUMIF($B$7:$B$17,AD7,$T$7:$T$17)</calculatedColumnFormula>
    </tableColumn>
    <tableColumn id="5" xr3:uid="{04B52FDC-2788-4247-97F4-7599276D3062}" name="CAV INLET SIZE" dataDxfId="87" totalsRowDxfId="88">
      <calculatedColumnFormula>IFERROR((VLOOKUP(AG7,'DO NOT TOUCH'!$B$9:$C$14,2,TRUE)),"TBD")</calculatedColumnFormula>
    </tableColumn>
    <tableColumn id="6" xr3:uid="{08AAE381-D609-46A1-9B53-5C1E173C86CD}" name="MAX TOTAL CAV PD _x000a_(IN W.G.)" dataDxfId="85" totalsRowDxfId="86">
      <calculatedColumnFormula>AI6</calculatedColumnFormula>
    </tableColumn>
    <tableColumn id="7" xr3:uid="{41707DA4-75E8-40F9-A0AD-DEDDBA5C4511}" name="EWT" dataDxfId="83" totalsRowDxfId="84">
      <calculatedColumnFormula>INPUT_OUTPUTS!$C$16</calculatedColumnFormula>
    </tableColumn>
    <tableColumn id="8" xr3:uid="{40D65410-F651-42DD-A87E-406A03BE78F0}" name="DESIGN _x000a_LWT" dataDxfId="81" totalsRowDxfId="82">
      <calculatedColumnFormula>INPUT_OUTPUTS!$C$17</calculatedColumnFormula>
    </tableColumn>
    <tableColumn id="9" xr3:uid="{C22BBCE5-A722-4091-B98F-25D2AC55053D}" name="EAT" dataDxfId="79" totalsRowDxfId="80">
      <calculatedColumnFormula>AL6</calculatedColumnFormula>
    </tableColumn>
    <tableColumn id="10" xr3:uid="{62ACB5E9-F651-4FB8-A441-FA74C461EE81}" name="DESIGN _x000a_LAT" dataDxfId="77" totalsRowDxfId="78">
      <calculatedColumnFormula>AM6</calculatedColumnFormula>
    </tableColumn>
    <tableColumn id="11" xr3:uid="{FFB3F182-531F-4252-9BA2-D3173141CA00}" name="MIN MBH" totalsRowFunction="sum" dataDxfId="75" totalsRowDxfId="76">
      <calculatedColumnFormula>MROUND((1.08*(AM7-AL7)*AG7)/1000,0.1)</calculatedColumnFormula>
    </tableColumn>
    <tableColumn id="12" xr3:uid="{09A57E9C-8782-4D38-886B-23EB16753F16}" name="AGPM" dataDxfId="73" totalsRowDxfId="74">
      <calculatedColumnFormula>(AN7*1000)/(500*(AJ7-AK7))</calculatedColumnFormula>
    </tableColumn>
    <tableColumn id="13" xr3:uid="{3336E8C3-4E37-4246-B11D-C25D122F98E6}" name="GPM" totalsRowFunction="sum" dataDxfId="71" totalsRowDxfId="72">
      <calculatedColumnFormula>IF(AO7&lt;0.5,0.5,AO7)</calculatedColumnFormula>
    </tableColumn>
    <tableColumn id="14" xr3:uid="{55C90422-4B25-444E-95A7-C0D5194390AB}" name="MAX WATER _x000a_PD (FT)" dataDxfId="69" totalsRowDxfId="70">
      <calculatedColumnFormula>AQ6</calculatedColumnFormula>
    </tableColumn>
    <tableColumn id="15" xr3:uid="{611A3629-0FC5-4EBE-B49F-18CE7BD35917}" name="OPER _x000a_WEIGHT_x000a_(LBS)" dataDxfId="67" totalsRowDxfId="68">
      <calculatedColumnFormula>IFERROR((_xlfn.XLOOKUP(AH7,'DO NOT TOUCH'!$C$9:$C$14,'DO NOT TOUCH'!$D$9:$D$14,)),"TBD")</calculatedColumnFormula>
    </tableColumn>
    <tableColumn id="16" xr3:uid="{B4E303FE-89D0-42A1-8197-D073A2E9EF1F}" name="MTG _x000a_DETAIL" dataDxfId="65" totalsRowDxfId="66">
      <calculatedColumnFormula>INPUT_OUTPUTS!$C$19</calculatedColumnFormula>
    </tableColumn>
    <tableColumn id="17" xr3:uid="{C2C44FF6-0E42-498B-8870-ADB5CDBD3FD3}" name="REMARKS" dataDxfId="63" totalsRowDxfId="64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6:AT18" totalsRowCount="1" headerRowDxfId="690" dataDxfId="688" totalsRowDxfId="686" headerRowBorderDxfId="689" tableBorderDxfId="687" totalsRowBorderDxfId="685">
  <autoFilter ref="B6:AT17" xr:uid="{524E3D6C-149E-4F0C-99B8-D02F54E8F335}"/>
  <sortState xmlns:xlrd2="http://schemas.microsoft.com/office/spreadsheetml/2017/richdata2" ref="B7:AS17">
    <sortCondition ref="B6:B17"/>
  </sortState>
  <tableColumns count="45">
    <tableColumn id="2" xr3:uid="{75F5D034-2167-48F2-8558-2A694E35E16F}" name="ZONE" dataDxfId="307" totalsRowDxfId="262"/>
    <tableColumn id="3" xr3:uid="{0F7C2FD8-8C97-4466-9519-526E2650935C}" name="ROOM" dataDxfId="306" totalsRowDxfId="261"/>
    <tableColumn id="4" xr3:uid="{95B8566D-E230-43A1-95EE-79F6022A54E2}" name="ROOM _x000a_NUMBER" dataDxfId="305" totalsRowDxfId="260"/>
    <tableColumn id="5" xr3:uid="{A005166F-99F0-4977-9137-A971210A2C73}" name="AREA _x000a_(FT²)" totalsRowFunction="sum" dataDxfId="304" totalsRowDxfId="259"/>
    <tableColumn id="6" xr3:uid="{5E622632-BAB2-4765-BF3A-120496AAAC63}" name="HG_x000a_(FT)" dataDxfId="303" totalsRowDxfId="258"/>
    <tableColumn id="8" xr3:uid="{22F7FA9C-5655-4974-885B-464147533B76}" name="100%_x000a_EA" dataDxfId="302" totalsRowDxfId="257">
      <calculatedColumnFormula>VLOOKUP($K7,'UMC Table 4-A'!$A$2:$E$132,5,FALSE)</calculatedColumnFormula>
    </tableColumn>
    <tableColumn id="1" xr3:uid="{E1CF5434-3260-4C6E-8FEF-41A00D79BBCC}" name="Desired Air Balance Difference" dataDxfId="301" totalsRowDxfId="256"/>
    <tableColumn id="10" xr3:uid="{D5D3292B-72B6-490D-9D6C-1DF61B341B89}" name="LOAD _x000a_(CFM)" dataDxfId="300" totalsRowDxfId="255"/>
    <tableColumn id="12" xr3:uid="{8DD58795-6E8A-4E1F-A48E-4C781960455E}" name="1 or 0.5 CFM/SF" dataDxfId="299" totalsRowDxfId="254">
      <calculatedColumnFormula>IF(OR((K7="PATIENT CORRIDOR"),(K7="TOILET")),(E7*0.5),E7)</calculatedColumnFormula>
    </tableColumn>
    <tableColumn id="13" xr3:uid="{73844B7E-2708-4B37-B53F-155B107C314B}" name="FUNCTION OR SPACE" dataDxfId="298" totalsRowDxfId="253"/>
    <tableColumn id="14" xr3:uid="{BF1CC012-1946-46F7-9FD5-D156235B7028}" name="PRESSURE RELATIONSHIP TO ADJACENT AREAS" dataDxfId="297" totalsRowDxfId="252">
      <calculatedColumnFormula>VLOOKUP($K7,'UMC Table 4-A'!$A$2:$E$132,2,FALSE)</calculatedColumnFormula>
    </tableColumn>
    <tableColumn id="15" xr3:uid="{85B7FA28-6671-44B6-9F78-F6F689F47C29}" name="MIN OUTDOOR ACH_x000a_(AC/HR)" dataDxfId="296" totalsRowDxfId="251">
      <calculatedColumnFormula>VLOOKUP($K7,'UMC Table 4-A'!$A$2:$E$132,3,FALSE)</calculatedColumnFormula>
    </tableColumn>
    <tableColumn id="16" xr3:uid="{2DECFFEF-7BC4-4310-8A88-C1EB2C913EAF}" name="MIN OUTDOOR ACH _x000a_(CFM)" totalsRowFunction="sum" dataDxfId="295" totalsRowDxfId="250">
      <calculatedColumnFormula>IF(TABLE4A4398[[#This Row],[FUNCTION OR SPACE]]="NOT PER TABLE 4A","NA",IF(M7&lt;&gt;"NR",ROUNDUP((E7*F7*M7)/60,-1),0))</calculatedColumnFormula>
    </tableColumn>
    <tableColumn id="7" xr3:uid="{9AA6B0D6-AADF-41C3-892A-67A137FE52CF}" name="MIN TOTAL ACH (AC/HR)" dataDxfId="294" totalsRowDxfId="249">
      <calculatedColumnFormula>VLOOKUP($K7,'UMC Table 4-A'!$A$2:$E$132,4,FALSE)</calculatedColumnFormula>
    </tableColumn>
    <tableColumn id="11" xr3:uid="{D0F8340D-A3A4-482A-A993-59E8E490E481}" name="MIN TOTAL ACH _x000a_(CFM)" totalsRowFunction="sum" dataDxfId="293" totalsRowDxfId="248">
      <calculatedColumnFormula>IF(TABLE4A4398[[#This Row],[FUNCTION OR SPACE]]="NOT PER TABLE 4A","NA",IF(O7&lt;&gt;"NR",ROUNDUP((E7*F7*O7)/60,-1),0))</calculatedColumnFormula>
    </tableColumn>
    <tableColumn id="17" xr3:uid="{C8F29BBC-DBFD-4307-8426-4B0D9C523232}" name="100% EA_x000a_ (YES/NR)" dataDxfId="292" totalsRowDxfId="247">
      <calculatedColumnFormula>VLOOKUP($K7,'UMC Table 4-A'!$A$2:$E$132,5,FALSE)</calculatedColumnFormula>
    </tableColumn>
    <tableColumn id="9" xr3:uid="{D61DB494-0A8F-4ACF-83B7-9F7C3E8A654E}" name="MIN EA _x000a_(CFM)" totalsRowFunction="sum" dataDxfId="291" totalsRowDxfId="246">
      <calculatedColumnFormula>IF(G7="Yes",P7,0)</calculatedColumnFormula>
    </tableColumn>
    <tableColumn id="36" xr3:uid="{E8D8DD45-77F8-4F99-9F4B-048638BDC1F6}" name="Exhaust Category" dataDxfId="290" totalsRowDxfId="245"/>
    <tableColumn id="35" xr3:uid="{18022B78-0D85-44BF-9F19-C044E83FFDAA}" name="ASHRAE_x000a_EXHAUST UNIT" dataDxfId="289" totalsRowDxfId="244"/>
    <tableColumn id="31" xr3:uid="{C440ED2D-AFFF-48D0-9FEA-89DC4EFFCF4B}" name="OCCUPANCY CATEGORY" dataDxfId="288" totalsRowDxfId="243"/>
    <tableColumn id="32" xr3:uid="{E2523F8E-F9D6-4E6C-9621-433B3575BF74}" name="RP_x000a_(CFM/PER PERSON)" dataDxfId="287" totalsRowDxfId="242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286" totalsRowDxfId="241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285" totalsRowDxfId="240">
      <calculatedColumnFormula>VLOOKUP(TABLE4A4398[[#This Row],[OCCUPANCY CATEGORY]],Ashrae90.1Vent[#All],4,FALSE)</calculatedColumnFormula>
    </tableColumn>
    <tableColumn id="39" xr3:uid="{820EE2EB-ECBD-4ED5-A5F9-9120E8B40194}" name="Air Class" dataDxfId="284" totalsRowDxfId="239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283" totalsRowDxfId="238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282" totalsRowDxfId="237">
      <calculatedColumnFormula>IF(TABLE4A4398[[#This Row],[FUNCTION OR SPACE]]="NOT PER TABLE 4A",CEILING((X7/1000)*E7,1),"NA")</calculatedColumnFormula>
    </tableColumn>
    <tableColumn id="34" xr3:uid="{9A10D821-019D-4768-B5CD-4F60A341F097}" name="DIVERSITY (D)" dataDxfId="281" totalsRowDxfId="236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280" totalsRowDxfId="235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279" totalsRowDxfId="234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278" totalsRowDxfId="233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277" totalsRowDxfId="232"/>
    <tableColumn id="43" xr3:uid="{553E57EC-275A-4C23-ABAA-EE610700AD32}" name="OS" dataDxfId="276" totalsRowDxfId="231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275" totalsRowDxfId="230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274" totalsRowDxfId="229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273" totalsRowDxfId="228">
      <calculatedColumnFormula>IFERROR(IF(TABLE4A4398[[#This Row],[EA RATE
(CFM/UNIT)]] = "NA",TABLE4A4398[[#This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272" totalsRowDxfId="227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271" totalsRowDxfId="226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calculatedColumnFormula>
    </tableColumn>
    <tableColumn id="19" xr3:uid="{592D566A-EAF9-4868-9203-EAE5805C105A}" name="DESIGN SA _x000a_(CFM)" totalsRowFunction="sum" dataDxfId="270" totalsRowDxfId="225">
      <calculatedColumnFormula>TABLE4A4398[[#This Row],[CALCULATED SA 
(CFM)]]</calculatedColumnFormula>
    </tableColumn>
    <tableColumn id="20" xr3:uid="{479DA455-B30F-4304-A6BA-437ABAF457CA}" name="DESIGN RA_x000a_(CFM)" totalsRowFunction="sum" dataDxfId="269" totalsRowDxfId="224">
      <calculatedColumnFormula array="1">returnair_comb(TABLE4A4398[[#This Row],[DESIGN SA 
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_x000a_(CFM)" totalsRowFunction="sum" dataDxfId="268" totalsRowDxfId="223">
      <calculatedColumnFormula array="1">Exhaustair_comb(TABLE4A4398[[#This Row],[DESIGN SA 
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267" totalsRowDxfId="222">
      <calculatedColumnFormula>AM7-AN7-AO7</calculatedColumnFormula>
    </tableColumn>
    <tableColumn id="24" xr3:uid="{AA29B302-8E46-43C4-9201-C349236070AB}" name="CFM/SF" dataDxfId="266" totalsRowDxfId="221">
      <calculatedColumnFormula>IFERROR(AL7/E7,"-")</calculatedColumnFormula>
    </tableColumn>
    <tableColumn id="25" xr3:uid="{47433AF6-25F4-4C77-BBBF-3398F6E4F534}" name="OSA PERCENT" dataDxfId="265" totalsRowDxfId="220">
      <calculatedColumnFormula>(AK7/AM7)*100</calculatedColumnFormula>
    </tableColumn>
    <tableColumn id="26" xr3:uid="{2CC1941E-3031-41CB-88C4-22FE4BDE2CF3}" name="ACH/hr" dataDxfId="264" totalsRowDxfId="219">
      <calculatedColumnFormula>AM7/E7/F7*60</calculatedColumnFormula>
    </tableColumn>
    <tableColumn id="23" xr3:uid="{96423B94-F9BC-4CDA-872C-3FEFF97968EC}" name="Balance?" dataDxfId="263" totalsRowDxfId="218">
      <calculatedColumnFormula>IF(AL7-AN7-AO7+AP7=0,"Yes","No")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1_CAV_SCHEDULE441114" displayName="AHU1_CAV_SCHEDULE441114" ref="AW7:BM46" totalsRowCount="1" headerRowDxfId="684" dataDxfId="682" totalsRowDxfId="680" headerRowBorderDxfId="683" tableBorderDxfId="681" totalsRowBorderDxfId="679">
  <autoFilter ref="AW7:BM45" xr:uid="{2A2B6BA6-0EAB-2349-A085-FD569408EC9D}"/>
  <tableColumns count="17">
    <tableColumn id="1" xr3:uid="{C5D95E6A-0C73-4A74-A2E8-647D33AAD0F9}" name="ZONE" totalsRowLabel="Total" dataDxfId="678" totalsRowDxfId="677"/>
    <tableColumn id="2" xr3:uid="{314B94B0-1389-404F-83E4-4AA1049F1022}" name="BASIS OF DESIGN _x000a_MANUFACTURER" dataDxfId="676" totalsRowDxfId="675"/>
    <tableColumn id="3" xr3:uid="{71BF9071-0B95-45AC-9F78-159F2BBA7A10}" name="DESCRIPTION" dataDxfId="674" totalsRowDxfId="673"/>
    <tableColumn id="4" xr3:uid="{20ABA679-9CAE-46A2-AC75-24E3416F8AE9}" name="CFM" dataDxfId="672" totalsRowDxfId="671">
      <calculatedColumnFormula>SUMIF($B$7:$B$17,AW8,$AM$7:$AM$17)</calculatedColumnFormula>
    </tableColumn>
    <tableColumn id="5" xr3:uid="{EB411437-B53E-4410-9476-63BDC1BDB7B1}" name="CAV INLET SIZE" dataDxfId="670" totalsRowDxfId="669">
      <calculatedColumnFormula>IFERROR((VLOOKUP(AZ8,'DO NOT TOUCH'!$B$9:$C$14,2,TRUE)),"TBD")</calculatedColumnFormula>
    </tableColumn>
    <tableColumn id="6" xr3:uid="{846F714B-F97C-486F-8DDA-40126A6313DE}" name="MAX TOTAL CAV PD _x000a_(IN W.G.)" dataDxfId="668" totalsRowDxfId="667">
      <calculatedColumnFormula>BB7</calculatedColumnFormula>
    </tableColumn>
    <tableColumn id="7" xr3:uid="{66F138FC-ABB7-4803-8215-F15967B905F6}" name="EWT" dataDxfId="666" totalsRowDxfId="665">
      <calculatedColumnFormula>INPUT_OUTPUTS!$C$16</calculatedColumnFormula>
    </tableColumn>
    <tableColumn id="8" xr3:uid="{8FF10AD2-60ED-49B1-A888-0AD5180D7970}" name="DESIGN _x000a_LWT" dataDxfId="664" totalsRowDxfId="663">
      <calculatedColumnFormula>INPUT_OUTPUTS!$C$17</calculatedColumnFormula>
    </tableColumn>
    <tableColumn id="9" xr3:uid="{C39A4342-FBAA-4442-B7BD-4C47556C5075}" name="EAT" dataDxfId="662" totalsRowDxfId="661">
      <calculatedColumnFormula>BE7</calculatedColumnFormula>
    </tableColumn>
    <tableColumn id="10" xr3:uid="{E4F5985D-BEFB-48AF-AE4D-E15C30B92458}" name="DESIGN _x000a_LAT" dataDxfId="660" totalsRowDxfId="659">
      <calculatedColumnFormula>BF7</calculatedColumnFormula>
    </tableColumn>
    <tableColumn id="11" xr3:uid="{4B47405A-0987-490D-A084-8B30200952E4}" name="MIN MBH" totalsRowFunction="sum" dataDxfId="658" totalsRowDxfId="657">
      <calculatedColumnFormula>MROUND((1.08*(BF8-BE8)*AZ8)/1000,0.1)</calculatedColumnFormula>
    </tableColumn>
    <tableColumn id="12" xr3:uid="{2D26F161-8CD4-4ACB-B4CF-1593EEFA24E4}" name="AGPM" dataDxfId="656" totalsRowDxfId="655">
      <calculatedColumnFormula>(BG8*1000)/(500*(BC8-BD8))</calculatedColumnFormula>
    </tableColumn>
    <tableColumn id="13" xr3:uid="{718A9E14-71FB-44FB-A6D9-573969303244}" name="GPM" totalsRowFunction="sum" dataDxfId="654" totalsRowDxfId="653">
      <calculatedColumnFormula>IF(BH8&lt;0.5,0.5,BH8)</calculatedColumnFormula>
    </tableColumn>
    <tableColumn id="14" xr3:uid="{48AA7CC7-F7E3-42B2-8E54-C0090CF73D73}" name="MAX WATER _x000a_PD (FT)" dataDxfId="652" totalsRowDxfId="651">
      <calculatedColumnFormula>BJ7</calculatedColumnFormula>
    </tableColumn>
    <tableColumn id="15" xr3:uid="{2F879E77-08E0-4E86-ABAD-F2EC09E4C2E0}" name="OPER _x000a_WEIGHT_x000a_(LBS)" dataDxfId="650" totalsRowDxfId="649">
      <calculatedColumnFormula>IFERROR((_xlfn.XLOOKUP(BA8,'DO NOT TOUCH'!$C$9:$C$14,'DO NOT TOUCH'!$D$9:$D$14,)),"TBD")</calculatedColumnFormula>
    </tableColumn>
    <tableColumn id="16" xr3:uid="{93897DAB-EFD2-4EDF-9881-CFE7F822A346}" name="MTG _x000a_DETAIL" dataDxfId="648" totalsRowDxfId="647">
      <calculatedColumnFormula>INPUT_OUTPUTS!$C$19</calculatedColumnFormula>
    </tableColumn>
    <tableColumn id="17" xr3:uid="{66A7058D-C4C4-4FEC-BC01-C8C881CF109A}" name="REMARKS" dataDxfId="646" totalsRowDxfId="645">
      <calculatedColumnFormula>BM7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I6" totalsRowCount="1" headerRowDxfId="644" dataDxfId="643" totalsRowDxfId="641" tableBorderDxfId="642">
  <autoFilter ref="A2:AI5" xr:uid="{59B85608-0CD2-47F2-870C-191ADDE0C2B8}"/>
  <tableColumns count="35">
    <tableColumn id="1" xr3:uid="{13F107CA-E395-403B-99B4-65D454865F61}" name="Zone" totalsRowLabel="TOTAL" dataDxfId="640" totalsRowDxfId="639"/>
    <tableColumn id="3" xr3:uid="{F80D1C16-C418-4B4D-A569-08FF0C9FD9A1}" name="Room Number" dataDxfId="638" totalsRowDxfId="637"/>
    <tableColumn id="4" xr3:uid="{216886B4-41A5-46E5-957A-D9BC5211544A}" name="Room" totalsRowFunction="count" dataDxfId="636" totalsRowDxfId="635"/>
    <tableColumn id="6" xr3:uid="{FAEF0092-9267-4494-BA56-051894961217}" name="AREA (FT²)" totalsRowFunction="sum" dataDxfId="634" totalsRowDxfId="633"/>
    <tableColumn id="18" xr3:uid="{85D8CA67-8705-42BF-AC57-76DEABA6CFF8}" name="Exhaust Units" dataDxfId="632" totalsRowDxfId="631"/>
    <tableColumn id="7" xr3:uid="{22DEA9EB-6829-4F94-A62D-70E9DB4118C6}" name="OFFICE STANDARD _x000a_(CFM)" dataDxfId="630" totalsRowDxfId="629">
      <calculatedColumnFormula>IF((VLOOKUP(Ahu_Ashrae_sheet15[[#This Row],[Occupancy Category]],Ashrae90.1Vent[#All],7,FALSE)) = "YES",MROUND(D3/2,5),MROUND(D3,5))</calculatedColumnFormula>
    </tableColumn>
    <tableColumn id="8" xr3:uid="{7E2DDD6E-E4CD-4911-B0AB-66850CA0C7DA}" name="LOAD (CFM)" totalsRowFunction="sum" dataDxfId="628" totalsRowDxfId="627"/>
    <tableColumn id="17" xr3:uid="{AB90DFB5-D9F7-4991-B79C-73953940B8A9}" name="Exhaust Category" dataDxfId="626" totalsRowDxfId="625"/>
    <tableColumn id="5" xr3:uid="{D0FC3464-26A6-4825-B194-880E47740C1D}" name="Occupancy Category" dataDxfId="624" totalsRowDxfId="623"/>
    <tableColumn id="10" xr3:uid="{776D97F5-1DFD-4EF3-AB3B-86F72E19D6E4}" name="RP_x000a_(CFM/PER PERSON)" dataDxfId="622" totalsRowDxfId="621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620" totalsRowDxfId="619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618" totalsRowDxfId="617">
      <calculatedColumnFormula>VLOOKUP(Ahu_Ashrae_sheet15[[#This Row],[Occupancy Category]],Ashrae90.1Vent[#All],4,FALSE)</calculatedColumnFormula>
    </tableColumn>
    <tableColumn id="12" xr3:uid="{A2512039-1BFD-4637-9149-E45B36F1BCBD}" name="Air Class" dataDxfId="616" totalsRowDxfId="615">
      <calculatedColumnFormula>VLOOKUP(Ahu_Ashrae_sheet15[[#This Row],[Occupancy Category]],Ashrae90.1Vent[#All],5,FALSE)</calculatedColumnFormula>
    </tableColumn>
    <tableColumn id="2" xr3:uid="{468B725D-7142-49B8-83E0-2B65D8440EB2}" name="Actual Number of  Occupants (Ps)" totalsRowFunction="sum" dataDxfId="614" totalsRowDxfId="613">
      <calculatedColumnFormula>Ahu_Ashrae_sheet15[[#This Row],[Occupants (Pz)]]</calculatedColumnFormula>
    </tableColumn>
    <tableColumn id="13" xr3:uid="{47B0F9A6-920C-43DF-A14A-8F0C04A59C11}" name="Occupants (Pz)" totalsRowFunction="sum" dataDxfId="612" totalsRowDxfId="611">
      <calculatedColumnFormula>CEILING((L3/1000)*D3,1)</calculatedColumnFormula>
    </tableColumn>
    <tableColumn id="20" xr3:uid="{D88BB767-D9CE-4502-9AE5-38238841E676}" name="DIVERSITY (D)" dataDxfId="610" totalsRowDxfId="609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608" totalsRowDxfId="607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606" totalsRowDxfId="605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604" totalsRowDxfId="603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602" totalsRowDxfId="601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600" totalsRowDxfId="599"/>
    <tableColumn id="24" xr3:uid="{44A19890-0B61-48FE-AEE6-B4AF44D95889}" name="Zone OA (Voz)" dataDxfId="598" totalsRowDxfId="597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596" totalsRowDxfId="595"/>
    <tableColumn id="33" xr3:uid="{84D3A249-3F9E-4505-B5AC-4AF46EFA1A96}" name="CO2 SENSOR" dataDxfId="594" totalsRowDxfId="593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592" totalsRowDxfId="591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590" totalsRowDxfId="589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588" totalsRowDxfId="587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586" totalsRowDxfId="585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584" totalsRowDxfId="583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582" totalsRowDxfId="581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580" totalsRowDxfId="579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578" totalsRowDxfId="577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576" totalsRowDxfId="575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574" totalsRowDxfId="573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572" totalsRowDxfId="571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L2:BD41" totalsRowCount="1" headerRowDxfId="570" dataDxfId="568" totalsRowDxfId="566" headerRowBorderDxfId="569" tableBorderDxfId="567" totalsRowBorderDxfId="565">
  <autoFilter ref="AL2:BD40" xr:uid="{13D566E9-CE9D-4920-9557-440C01DE1A40}"/>
  <tableColumns count="19">
    <tableColumn id="1" xr3:uid="{F4100601-C8F7-4EDA-B9ED-EC5144A4622B}" name="ZONE" totalsRowLabel="Total" dataDxfId="564" totalsRowDxfId="563"/>
    <tableColumn id="2" xr3:uid="{DE711A04-3BAB-4400-94F9-9EA1A3D93724}" name="BASIS OF DESIGN _x000a_MANUFACTURER" dataDxfId="562" totalsRowDxfId="561"/>
    <tableColumn id="3" xr3:uid="{5EFC2877-1E13-4BC7-9997-881F4F723359}" name="DESCRIPTION" dataDxfId="560" totalsRowDxfId="559"/>
    <tableColumn id="18" xr3:uid="{4BD82A36-B59C-4680-BDCB-C1D5CE6D8206}" name="MIN VAV_x000a_(CFM)" dataDxfId="558" totalsRowDxfId="557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556" totalsRowDxfId="555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554" totalsRowDxfId="553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552" totalsRowDxfId="551">
      <calculatedColumnFormula>AR2</calculatedColumnFormula>
    </tableColumn>
    <tableColumn id="19" xr3:uid="{5F3FB950-6412-4753-A80D-B928E2E9B62C}" name="HEATING AIRFLOW _x000a_(CFM)" dataDxfId="550" totalsRowDxfId="549">
      <calculatedColumnFormula>AHU1_CAV_SCHEDULE4451416[[#This Row],[MIN VAV
(CFM)]]</calculatedColumnFormula>
    </tableColumn>
    <tableColumn id="7" xr3:uid="{252B9BF8-54B1-493D-9221-BD358C10E426}" name="EWT" dataDxfId="548" totalsRowDxfId="547">
      <calculatedColumnFormula>INPUT_OUTPUTS!$C$16</calculatedColumnFormula>
    </tableColumn>
    <tableColumn id="8" xr3:uid="{E16AE38C-7652-4771-A602-4043B581B8CE}" name="DESIGN _x000a_LWT" dataDxfId="546" totalsRowDxfId="545">
      <calculatedColumnFormula>INPUT_OUTPUTS!$C$17</calculatedColumnFormula>
    </tableColumn>
    <tableColumn id="9" xr3:uid="{494A5CA5-FC2F-4016-9EDA-AAD0074B0288}" name="EAT" dataDxfId="544" totalsRowDxfId="543">
      <calculatedColumnFormula>AV2</calculatedColumnFormula>
    </tableColumn>
    <tableColumn id="10" xr3:uid="{7B534454-B13B-4823-B389-688DB1FFC0C2}" name="DESIGN _x000a_LAT" dataDxfId="542" totalsRowDxfId="541">
      <calculatedColumnFormula>AW2</calculatedColumnFormula>
    </tableColumn>
    <tableColumn id="11" xr3:uid="{58C190FA-9339-4475-8FE4-B94254008B39}" name="MIN MBH" totalsRowFunction="sum" dataDxfId="540" totalsRowDxfId="539">
      <calculatedColumnFormula>MROUND((1.08*(AW3-AV3)*AHU1_CAV_SCHEDULE4451416[[#This Row],[HEATING AIRFLOW 
(CFM)]])/1000,0.1)</calculatedColumnFormula>
    </tableColumn>
    <tableColumn id="12" xr3:uid="{E8FC4A04-BE1B-467E-A94D-1BC0BAFF2FAC}" name="AGPM" dataDxfId="538" totalsRowDxfId="537">
      <calculatedColumnFormula>(AX3*1000)/(500*(AT3-AU3))</calculatedColumnFormula>
    </tableColumn>
    <tableColumn id="13" xr3:uid="{AAA466EF-B5D0-49B1-A9E7-E101103D64B4}" name="GPM" totalsRowFunction="sum" dataDxfId="536" totalsRowDxfId="535">
      <calculatedColumnFormula>IF(AY3&lt;0.5,0.5,AY3)</calculatedColumnFormula>
    </tableColumn>
    <tableColumn id="14" xr3:uid="{8B37A8C5-27D0-4D67-9351-B38D9137444F}" name="MAX WATER _x000a_PD (FT)" dataDxfId="534" totalsRowDxfId="533">
      <calculatedColumnFormula>BA2</calculatedColumnFormula>
    </tableColumn>
    <tableColumn id="15" xr3:uid="{CE1AD8A3-6CC9-4182-A598-A96DC629A332}" name="OPER _x000a_WEIGHT_x000a_(LBS)" dataDxfId="532" totalsRowDxfId="531">
      <calculatedColumnFormula>IFERROR((_xlfn.XLOOKUP(AQ3,'DO NOT TOUCH'!$C$9:$C$14,'DO NOT TOUCH'!$D$9:$D$14,)),"TBD")</calculatedColumnFormula>
    </tableColumn>
    <tableColumn id="16" xr3:uid="{46061A8B-CF07-404A-89CF-B3DC053B9D47}" name="MTG _x000a_DETAIL" dataDxfId="530" totalsRowDxfId="529">
      <calculatedColumnFormula>INPUT_OUTPUTS!$C$19</calculatedColumnFormula>
    </tableColumn>
    <tableColumn id="17" xr3:uid="{AFA49697-1C1E-4B56-9982-63047E73069E}" name="REMARKS" dataDxfId="528" totalsRowDxfId="527">
      <calculatedColumnFormula>BD2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496" dataDxfId="494" totalsRowDxfId="492" headerRowBorderDxfId="495" tableBorderDxfId="493" totalsRowBorderDxfId="491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490" totalsRowDxfId="489"/>
    <tableColumn id="3" xr3:uid="{C2F54D71-F1C6-49DB-922E-7D2631440381}" name="ROOM" dataDxfId="488" totalsRowDxfId="487"/>
    <tableColumn id="4" xr3:uid="{189BFD32-5838-4B8D-83F1-8FF63371B25D}" name="ROOM _x000a_NUMBER" dataDxfId="486" totalsRowDxfId="485"/>
    <tableColumn id="5" xr3:uid="{7FC753AE-3B21-46CB-956D-DCD0916DD59D}" name="AREA _x000a_(FT²)" totalsRowFunction="sum" dataDxfId="484" totalsRowDxfId="483"/>
    <tableColumn id="6" xr3:uid="{212AC2DD-3F08-44C5-838C-413FFEC1F4C6}" name="HG_x000a_(FT)" dataDxfId="482" totalsRowDxfId="481"/>
    <tableColumn id="8" xr3:uid="{B747ED35-F271-4E44-B347-594DCF339F19}" name="100%_x000a_EA" dataDxfId="480" totalsRowDxfId="479">
      <calculatedColumnFormula>VLOOKUP($K7,'UMC Table 4-A'!$A$2:$E$132,5,FALSE)</calculatedColumnFormula>
    </tableColumn>
    <tableColumn id="1" xr3:uid="{4FD13E19-A2C6-4F05-8163-E6C650FDA1DE}" name="Desired Air Balance Difference" dataDxfId="478" totalsRowDxfId="477"/>
    <tableColumn id="10" xr3:uid="{614FC840-D402-45A6-89B3-CE1DEF3FB988}" name="LOAD _x000a_(CFM)" dataDxfId="476" totalsRowDxfId="475"/>
    <tableColumn id="12" xr3:uid="{3BD29DF7-A320-479F-AB6B-6729E84FCEAB}" name="1 or 0.5 CFM/SF" dataDxfId="474" totalsRowDxfId="473">
      <calculatedColumnFormula>IF(OR((K7="PATIENT CORRIDOR"),(K7="TOILET")),(E7*0.5),E7)</calculatedColumnFormula>
    </tableColumn>
    <tableColumn id="13" xr3:uid="{9407B204-8E03-4498-BEE0-3E05952C0289}" name="FUNCTION OR SPACE" dataDxfId="472" totalsRowDxfId="471"/>
    <tableColumn id="14" xr3:uid="{FA54CB06-931D-43A8-B96F-0CBA46308F44}" name="PRESSURE RELATIONSHIP TO ADJACENT AREAS" dataDxfId="470" totalsRowDxfId="469">
      <calculatedColumnFormula>VLOOKUP($K7,'UMC Table 4-A'!$A$2:$E$132,2,FALSE)</calculatedColumnFormula>
    </tableColumn>
    <tableColumn id="15" xr3:uid="{15A74791-FF44-4F36-9B6F-046690A0794D}" name="MIN OUTDOOR ACH_x000a_(AC/HR)" dataDxfId="468" totalsRowDxfId="467">
      <calculatedColumnFormula>VLOOKUP($K7,'UMC Table 4-A'!$A$2:$E$132,3,FALSE)</calculatedColumnFormula>
    </tableColumn>
    <tableColumn id="16" xr3:uid="{87103CC9-4D45-4E78-BF34-B058CC675F73}" name="MIN OUTDOOR ACH _x000a_(CFM)" totalsRowFunction="sum" dataDxfId="466" totalsRowDxfId="465">
      <calculatedColumnFormula>IF(M7&lt;&gt;"NR",ROUNDUP((E7*F7*M7)/60,-1),0)</calculatedColumnFormula>
    </tableColumn>
    <tableColumn id="7" xr3:uid="{1422055C-7D3C-4AC4-BA02-F92D824538A1}" name="MIN TOTAL ACH (AC/HR)" dataDxfId="464" totalsRowDxfId="463">
      <calculatedColumnFormula>VLOOKUP($K7,'UMC Table 4-A'!$A$2:$E$132,4,FALSE)</calculatedColumnFormula>
    </tableColumn>
    <tableColumn id="11" xr3:uid="{503D0C83-9936-4893-B3CE-323297186610}" name="MIN TOTAL ACH _x000a_(CFM)" dataDxfId="462" totalsRowDxfId="461">
      <calculatedColumnFormula>IF(O7&lt;&gt;"NR",ROUNDUP((E7*F7*O7)/60,-1),0)</calculatedColumnFormula>
    </tableColumn>
    <tableColumn id="17" xr3:uid="{3F5F975F-3AF5-49AF-804D-E68DEB3CA6DE}" name="100% EA_x000a_ (YES/NR)" dataDxfId="460" totalsRowDxfId="459">
      <calculatedColumnFormula>VLOOKUP($K7,'UMC Table 4-A'!$A$2:$E$132,5,FALSE)</calculatedColumnFormula>
    </tableColumn>
    <tableColumn id="9" xr3:uid="{28CE80D3-3D31-43C8-8472-BB2E79C01D35}" name="MIN EA _x000a_(CFM)" dataDxfId="458" totalsRowDxfId="457">
      <calculatedColumnFormula>IF(G7="Yes",P7,"-")</calculatedColumnFormula>
    </tableColumn>
    <tableColumn id="18" xr3:uid="{EC1A34C4-186B-4F5D-BBBF-F944DABAE0DE}" name="CALCULATED SA _x000a_(CFM)" totalsRowFunction="sum" dataDxfId="456" totalsRowDxfId="455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454" totalsRowDxfId="453">
      <calculatedColumnFormula>S7</calculatedColumnFormula>
    </tableColumn>
    <tableColumn id="20" xr3:uid="{3EA21BB5-0F64-4AE1-85D8-9CF36F64F169}" name="DESIGN RA_x000a_(CFM)" totalsRowFunction="sum" dataDxfId="452" totalsRowDxfId="451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450" totalsRowDxfId="449">
      <calculatedColumnFormula>IF(Q7="Yes",R7,0)</calculatedColumnFormula>
    </tableColumn>
    <tableColumn id="22" xr3:uid="{670B1646-1347-4231-BEAC-EACE1B9AB3F0}" name="Transfer Air CFM" totalsRowFunction="sum" dataDxfId="448" totalsRowDxfId="447">
      <calculatedColumnFormula>T7-U7-V7</calculatedColumnFormula>
    </tableColumn>
    <tableColumn id="24" xr3:uid="{48A894A3-2372-4DA8-BDE4-ECEEDE3D0EF6}" name="CFM/SF" dataDxfId="446" totalsRowDxfId="445">
      <calculatedColumnFormula>IFERROR(S7/E7,"-")</calculatedColumnFormula>
    </tableColumn>
    <tableColumn id="25" xr3:uid="{9BC6F763-35E7-482F-8273-B0601EC26A45}" name="OSA PERCENT" dataDxfId="444" totalsRowDxfId="443"/>
    <tableColumn id="26" xr3:uid="{E4CF811E-B4F1-4772-93DA-71987AA79E17}" name="ACH/hr" dataDxfId="442" totalsRowDxfId="441"/>
    <tableColumn id="23" xr3:uid="{2AF622FD-992A-4DDD-B9A9-B3EFD3519585}" name="Balance?" dataDxfId="440" totalsRowDxfId="439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438" dataDxfId="436" totalsRowDxfId="434" headerRowBorderDxfId="437" tableBorderDxfId="435" totalsRowBorderDxfId="433">
  <autoFilter ref="AD6:AT44" xr:uid="{2A2B6BA6-0EAB-2349-A085-FD569408EC9D}"/>
  <tableColumns count="17">
    <tableColumn id="1" xr3:uid="{57BE8BDC-A4D3-4989-BC7B-7D4035BFFB37}" name="ZONE" totalsRowLabel="Total" dataDxfId="432" totalsRowDxfId="431"/>
    <tableColumn id="2" xr3:uid="{BC752A02-1DF4-4483-B512-23CC7F568DD8}" name="BASIS OF DESIGN _x000a_MANUFACTURER" dataDxfId="430" totalsRowDxfId="429"/>
    <tableColumn id="3" xr3:uid="{242E7275-C722-4C29-9346-0DF293287756}" name="DESCRIPTION" dataDxfId="428" totalsRowDxfId="427"/>
    <tableColumn id="4" xr3:uid="{22EB9722-D35D-46A4-B4D9-BDCCDDE1D567}" name="CFM" dataDxfId="426" totalsRowDxfId="425">
      <calculatedColumnFormula>SUMIF($B$7:$B$17,AD7,$T$7:$T$17)</calculatedColumnFormula>
    </tableColumn>
    <tableColumn id="5" xr3:uid="{51309487-29A6-4A90-9ACE-1C65D844B978}" name="CAV INLET SIZE" dataDxfId="424" totalsRowDxfId="423">
      <calculatedColumnFormula>IFERROR((VLOOKUP(AG7,'DO NOT TOUCH'!$B$9:$C$14,2,TRUE)),"TBD")</calculatedColumnFormula>
    </tableColumn>
    <tableColumn id="6" xr3:uid="{215C2515-E562-4D91-AA5F-B9EF101C10B1}" name="MAX TOTAL CAV PD _x000a_(IN W.G.)" dataDxfId="422" totalsRowDxfId="421">
      <calculatedColumnFormula>AI6</calculatedColumnFormula>
    </tableColumn>
    <tableColumn id="7" xr3:uid="{44ABD785-5FF4-4BDF-8DA8-ABCB4A3BD858}" name="EWT" dataDxfId="420" totalsRowDxfId="419">
      <calculatedColumnFormula>INPUT_OUTPUTS!$C$16</calculatedColumnFormula>
    </tableColumn>
    <tableColumn id="8" xr3:uid="{D7A38AF8-CCEA-4611-B868-D92E45DFB31D}" name="DESIGN _x000a_LWT" dataDxfId="418" totalsRowDxfId="417">
      <calculatedColumnFormula>INPUT_OUTPUTS!$C$17</calculatedColumnFormula>
    </tableColumn>
    <tableColumn id="9" xr3:uid="{74E9A83C-F72E-4681-B2A6-32313CCD9052}" name="EAT" dataDxfId="416" totalsRowDxfId="415">
      <calculatedColumnFormula>AL6</calculatedColumnFormula>
    </tableColumn>
    <tableColumn id="10" xr3:uid="{8B982646-83B7-4FAB-B9B2-3DE24C1C5929}" name="DESIGN _x000a_LAT" dataDxfId="414" totalsRowDxfId="413">
      <calculatedColumnFormula>AM6</calculatedColumnFormula>
    </tableColumn>
    <tableColumn id="11" xr3:uid="{272BE2CC-D55E-4E27-A9CD-23F7D3C69C7E}" name="MIN MBH" totalsRowFunction="sum" dataDxfId="412" totalsRowDxfId="411">
      <calculatedColumnFormula>MROUND((1.08*(AM7-AL7)*AG7)/1000,0.1)</calculatedColumnFormula>
    </tableColumn>
    <tableColumn id="12" xr3:uid="{7397E695-5680-41E5-BD4B-54E06DBC3660}" name="AGPM" dataDxfId="410" totalsRowDxfId="409">
      <calculatedColumnFormula>(AN7*1000)/(500*(AJ7-AK7))</calculatedColumnFormula>
    </tableColumn>
    <tableColumn id="13" xr3:uid="{414C9995-C808-4163-A7C0-6FBE3CE786D5}" name="GPM" totalsRowFunction="sum" dataDxfId="408" totalsRowDxfId="407">
      <calculatedColumnFormula>IF(AO7&lt;0.5,0.5,AO7)</calculatedColumnFormula>
    </tableColumn>
    <tableColumn id="14" xr3:uid="{FA76CB50-9C92-48CB-9847-CD2C20E3C0EA}" name="MAX WATER _x000a_PD (FT)" dataDxfId="406" totalsRowDxfId="405">
      <calculatedColumnFormula>AQ6</calculatedColumnFormula>
    </tableColumn>
    <tableColumn id="15" xr3:uid="{754EB634-20EB-4627-9050-4DA3F237AC8C}" name="OPER _x000a_WEIGHT_x000a_(LBS)" dataDxfId="404" totalsRowDxfId="403">
      <calculatedColumnFormula>IFERROR((_xlfn.XLOOKUP(AH7,'DO NOT TOUCH'!$C$9:$C$14,'DO NOT TOUCH'!$D$9:$D$14,)),"TBD")</calculatedColumnFormula>
    </tableColumn>
    <tableColumn id="16" xr3:uid="{97D93DD7-F48C-4EE7-8FD7-BFAA5497DDA8}" name="MTG _x000a_DETAIL" dataDxfId="402" totalsRowDxfId="401">
      <calculatedColumnFormula>INPUT_OUTPUTS!$C$19</calculatedColumnFormula>
    </tableColumn>
    <tableColumn id="17" xr3:uid="{E363493A-6B19-483A-BFC0-A10768DD7DBD}" name="REMARKS" dataDxfId="400" totalsRowDxfId="399">
      <calculatedColumnFormula>AT6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E14" totalsRowCount="1" headerRowDxfId="398" dataDxfId="396" headerRowBorderDxfId="397" tableBorderDxfId="395">
  <autoFilter ref="A11:BE13" xr:uid="{E6D9D33A-2DE5-364A-B78C-5DD7A614D29B}"/>
  <tableColumns count="57">
    <tableColumn id="1" xr3:uid="{75084425-A44B-8E45-87AE-08AECD33E09D}" name="TAG" totalsRowLabel="Total" dataDxfId="217" totalsRowDxfId="62"/>
    <tableColumn id="2" xr3:uid="{C741F4EF-D022-3147-B8E2-8A68ED8EF0CC}" name="(CFM)" totalsRowFunction="sum" dataDxfId="216" totalsRowDxfId="61">
      <calculatedColumnFormula>Generic!$AW$2</calculatedColumnFormula>
    </tableColumn>
    <tableColumn id="4" xr3:uid="{8F33E354-148B-E049-A9AB-2FEBF1D2ABCF}" name="(CFM)2" dataDxfId="215" totalsRowDxfId="60">
      <calculatedColumnFormula>Generic!$AX$2</calculatedColumnFormula>
    </tableColumn>
    <tableColumn id="6" xr3:uid="{44289BD7-7B7A-5040-A9C3-A81E708605BA}" name="(˚F db)" dataDxfId="214" totalsRowDxfId="59"/>
    <tableColumn id="7" xr3:uid="{A118C93B-9473-8340-A213-7536CC01FA69}" name="(˚F wb)" dataDxfId="213" totalsRowDxfId="58"/>
    <tableColumn id="8" xr3:uid="{BA4E1C0D-A98F-C94F-B5DE-2C36AC9D0BA3}" name="(CFM)3" dataDxfId="212" totalsRowDxfId="57">
      <calculatedColumnFormula>Generic!$AY$2</calculatedColumnFormula>
    </tableColumn>
    <tableColumn id="9" xr3:uid="{8E2A683D-7B4C-954E-A75A-56B4A8A15F0B}" name="(˚F db)4" dataDxfId="211" totalsRowDxfId="56">
      <calculatedColumnFormula>INPUT_OUTPUTS!$C$8</calculatedColumnFormula>
    </tableColumn>
    <tableColumn id="10" xr3:uid="{D83D5AD6-51F5-5E4B-BE3C-C238ECC50CFF}" name="(˚F wb)5" dataDxfId="210" totalsRowDxfId="55">
      <calculatedColumnFormula>INPUT_OUTPUTS!$C$9</calculatedColumnFormula>
    </tableColumn>
    <tableColumn id="11" xr3:uid="{58DDBF84-EFFA-734F-B069-FD929AE8505B}" name="(CFM)6" dataDxfId="209" totalsRowDxfId="54">
      <calculatedColumnFormula>Table7[[#This Row],[(CFM)3]]</calculatedColumnFormula>
    </tableColumn>
    <tableColumn id="12" xr3:uid="{7D7925B1-33E7-A84F-AAEC-67A01BBE986C}" name="(˚F db)7" dataDxfId="208" totalsRowDxfId="53">
      <calculatedColumnFormula>INPUT_OUTPUTS!$C$10</calculatedColumnFormula>
    </tableColumn>
    <tableColumn id="13" xr3:uid="{9E21E0BF-E9C5-C54C-9B8C-005C0935E109}" name="(˚F wb)8" dataDxfId="207" totalsRowDxfId="52">
      <calculatedColumnFormula>INPUT_OUTPUTS!$C$11</calculatedColumnFormula>
    </tableColumn>
    <tableColumn id="14" xr3:uid="{AC23D981-3B01-5147-97B6-3252A7FC953B}" name="(˚F db)9" dataDxfId="206" totalsRowDxfId="51">
      <calculatedColumnFormula>INPUT_OUTPUTS!$F$8</calculatedColumnFormula>
    </tableColumn>
    <tableColumn id="15" xr3:uid="{DB54E7DD-3A47-6447-A89B-94C85E52BE7D}" name="(CFM)10" dataDxfId="205" totalsRowDxfId="50">
      <calculatedColumnFormula>C12+F12-B12</calculatedColumnFormula>
    </tableColumn>
    <tableColumn id="16" xr3:uid="{4FEC2D7C-9758-744F-A9BF-FBA46547E062}" name="(˚F db)11" dataDxfId="204" totalsRowDxfId="49">
      <calculatedColumnFormula array="1">[1]!MixedAirTemp(Table7[[#This Row],[(CFM)3]],Table7[[#This Row],[(˚F db)4]],(Table7[[#This Row],[(CFM)2]]-Table7[[#This Row],[(CFM)10]]),Table7[[#This Row],[(˚F db)]])</calculatedColumnFormula>
    </tableColumn>
    <tableColumn id="17" xr3:uid="{B005BDD5-39CF-2B47-842F-C982BA9FC7E1}" name="(˚F wb)12" dataDxfId="203" totalsRowDxfId="48">
      <calculatedColumnFormula array="1">[1]!MixedAirTemp(Table7[[#This Row],[(CFM)3]],Table7[[#This Row],[(˚F wb)5]],(Table7[[#This Row],[(CFM)2]]-Table7[[#This Row],[(CFM)10]]),Table7[[#This Row],[(˚F wb)]])</calculatedColumnFormula>
    </tableColumn>
    <tableColumn id="18" xr3:uid="{5AC4E564-0F72-0E49-B041-B5DE3FD4DD18}" name="(h)" dataDxfId="202" totalsRowDxfId="47">
      <calculatedColumnFormula array="1">GetMoistAirEnthalpy(Table7[[#This Row],[(˚F db)11]],(GetHumRatioFromTWetBulb(Table7[[#This Row],[(˚F db)11]],Table7[[#This Row],[(˚F wb)12]],GetStandardAtmPressure(INPUT_OUTPUTS!$G$6))))</calculatedColumnFormula>
    </tableColumn>
    <tableColumn id="19" xr3:uid="{1CF6B834-F9E4-7943-9908-D52F6A59E930}" name="(˚F db)13" dataDxfId="201" totalsRowDxfId="46"/>
    <tableColumn id="20" xr3:uid="{069031AB-30B0-304F-BA24-44B4C6E6101C}" name="(˚F wb)14" dataDxfId="200" totalsRowDxfId="45"/>
    <tableColumn id="21" xr3:uid="{1EA24A2B-BE77-6945-9098-6C4501A9902F}" name="(h)15" dataDxfId="199" totalsRowDxfId="44">
      <calculatedColumnFormula array="1">GetMoistAirEnthalpy(Table7[[#This Row],[(˚F db)13]],(GetHumRatioFromTWetBulb(Table7[[#This Row],[(˚F db)13]],Table7[[#This Row],[(˚F wb)14]],GetStandardAtmPressure(INPUT_OUTPUTS!$G$6))))</calculatedColumnFormula>
    </tableColumn>
    <tableColumn id="22" xr3:uid="{05796239-DA0D-E349-ADE3-8A1B87E96861}" name="(Btu/hr)" dataDxfId="198" totalsRowDxfId="43">
      <calculatedColumnFormula>B12*1.085*(N12-Q12)</calculatedColumnFormula>
    </tableColumn>
    <tableColumn id="23" xr3:uid="{02C21CA2-732A-8C4C-93ED-640017544BD3}" name="(Btu/hr)16" dataDxfId="197" totalsRowDxfId="42">
      <calculatedColumnFormula>4.5*B12*(P12-S12)</calculatedColumnFormula>
    </tableColumn>
    <tableColumn id="24" xr3:uid="{80183150-6317-2C46-B9FB-5600693E1D79}" name="(Tons)" dataDxfId="196" totalsRowDxfId="41">
      <calculatedColumnFormula>IF(U12&lt;T12,"INVALID POINT",U12/12000)</calculatedColumnFormula>
    </tableColumn>
    <tableColumn id="25" xr3:uid="{8AF1DEDF-1446-A54C-A718-1F4A80DCED1F}" name="(˚F db)17" dataDxfId="195" totalsRowDxfId="40">
      <calculatedColumnFormula>INPUT_OUTPUTS!$C$14</calculatedColumnFormula>
    </tableColumn>
    <tableColumn id="26" xr3:uid="{30713AF6-10A7-A640-9A81-7C9C656F28C6}" name="(˚F db)18" dataDxfId="194" totalsRowDxfId="39">
      <calculatedColumnFormula>INPUT_OUTPUTS!$C$15</calculatedColumnFormula>
    </tableColumn>
    <tableColumn id="27" xr3:uid="{07E9B9A3-68BD-0040-B64A-445B4F7DB78B}" name="GPM" totalsRowFunction="sum" dataDxfId="193" totalsRowDxfId="38">
      <calculatedColumnFormula>U12/(500*(X12-W12))</calculatedColumnFormula>
    </tableColumn>
    <tableColumn id="28" xr3:uid="{63A1C04A-F0C1-344B-9C91-CDCBB09CC808}" name="(˚F db)19" dataDxfId="192" totalsRowDxfId="37">
      <calculatedColumnFormula>D12*((C12-M12)/B12) + J12*(F12/B12)</calculatedColumnFormula>
    </tableColumn>
    <tableColumn id="29" xr3:uid="{6B8C516D-DE70-BF40-8E5C-0B23062187E5}" name="(˚F wb)20" dataDxfId="191" totalsRowDxfId="36">
      <calculatedColumnFormula>TRUNC(E12*((C12-M12)/B12) + K12*(F12/B12),1)</calculatedColumnFormula>
    </tableColumn>
    <tableColumn id="30" xr3:uid="{045EE11E-9647-ED4C-9652-8752BBE74982}" name="(h)21" dataDxfId="190" totalsRowDxfId="35">
      <calculatedColumnFormula array="1">GetMoistAirEnthalpy(Table7[[#This Row],[(˚F db)19]],(GetHumRatioFromTWetBulb(Table7[[#This Row],[(˚F db)19]],Table7[[#This Row],[(˚F wb)20]],GetStandardAtmPressure(INPUT_OUTPUTS!$G$6))))</calculatedColumnFormula>
    </tableColumn>
    <tableColumn id="31" xr3:uid="{1C877888-78C7-FA4C-A946-1B9EDB031094}" name="(˚F db)22" dataDxfId="189" totalsRowDxfId="34">
      <calculatedColumnFormula>Table7[[#This Row],[(˚F db)13]]</calculatedColumnFormula>
    </tableColumn>
    <tableColumn id="32" xr3:uid="{5E7C32E8-28E9-554C-93A3-4ED479273F5C}" name="(˚F wb)23" dataDxfId="188" totalsRowDxfId="33">
      <calculatedColumnFormula>Table7[[#This Row],[(˚F wb)14]]</calculatedColumnFormula>
    </tableColumn>
    <tableColumn id="33" xr3:uid="{7EB81F19-A30A-5844-B465-95995C2169F1}" name="(h)24" dataDxfId="187" totalsRowDxfId="32">
      <calculatedColumnFormula array="1">GetMoistAirEnthalpy(Table7[[#This Row],[(˚F db)22]],(GetHumRatioFromTWetBulb(Table7[[#This Row],[(˚F db)22]],Table7[[#This Row],[(˚F wb)23]],GetStandardAtmPressure(INPUT_OUTPUTS!$G$6))))</calculatedColumnFormula>
    </tableColumn>
    <tableColumn id="37" xr3:uid="{B86C10F8-CA05-8945-8F0F-F9E339D5FA04}" name="(Btu/hr)28" dataDxfId="186" totalsRowDxfId="31">
      <calculatedColumnFormula>B12*1.085*(Z12-AC12)</calculatedColumnFormula>
    </tableColumn>
    <tableColumn id="38" xr3:uid="{3C9101C2-66E5-5844-8571-55FD8B0FA8E4}" name="(Btu/hr)29" dataDxfId="185" totalsRowDxfId="30">
      <calculatedColumnFormula>4.5*B12*(AB12-AE12)</calculatedColumnFormula>
    </tableColumn>
    <tableColumn id="39" xr3:uid="{611DF507-C49C-8E40-9B22-204394B4D484}" name="(Tons)30" dataDxfId="184" totalsRowDxfId="29">
      <calculatedColumnFormula>IF(AG12&lt;AF12,"INVALID POINT",AG12/12000)</calculatedColumnFormula>
    </tableColumn>
    <tableColumn id="40" xr3:uid="{8D69DAB9-C665-1C40-8BEE-2F67013BDA9E}" name="(˚F db)31" dataDxfId="183" totalsRowDxfId="28">
      <calculatedColumnFormula>INPUT_OUTPUTS!$C$14</calculatedColumnFormula>
    </tableColumn>
    <tableColumn id="41" xr3:uid="{2C7A8B9E-09E2-C245-8AD4-9B511603B988}" name="(˚F db)32" dataDxfId="182" totalsRowDxfId="27">
      <calculatedColumnFormula>INPUT_OUTPUTS!$C$15</calculatedColumnFormula>
    </tableColumn>
    <tableColumn id="42" xr3:uid="{97B72D8E-BA89-4E4A-B5D1-F02C61433D68}" name="GPM33" totalsRowFunction="sum" dataDxfId="181" totalsRowDxfId="26">
      <calculatedColumnFormula>AG12/(500*(AJ12-AI12))</calculatedColumnFormula>
    </tableColumn>
    <tableColumn id="43" xr3:uid="{EE7A438B-ECC2-DF4B-9129-EA55728EFC2E}" name="(Tons)34" totalsRowFunction="sum" dataDxfId="180" totalsRowDxfId="25">
      <calculatedColumnFormula>MAX(AH12,V12)</calculatedColumnFormula>
    </tableColumn>
    <tableColumn id="44" xr3:uid="{B68CC7E9-570D-A84E-8670-D3C2DEA54479}" name="(CFM)35" dataDxfId="179" totalsRowDxfId="24">
      <calculatedColumnFormula>B12/AH12</calculatedColumnFormula>
    </tableColumn>
    <tableColumn id="59" xr3:uid="{2F2BA6E3-EE55-BA45-94DB-4A9361068B22}" name="GPM MAX" totalsRowFunction="sum" dataDxfId="178" totalsRowDxfId="23">
      <calculatedColumnFormula>MAX(Table7[[#This Row],[GPM33]],Table7[[#This Row],[GPM]])</calculatedColumnFormula>
    </tableColumn>
    <tableColumn id="45" xr3:uid="{033D6B36-8B19-EB4B-A1E7-E7585C21489B}" name="(CFM)36" dataDxfId="177" totalsRowDxfId="22">
      <calculatedColumnFormula>IF(Table7[[#This Row],[(˚F db)9]]&lt;35,B12,"NOT NEEDED")</calculatedColumnFormula>
    </tableColumn>
    <tableColumn id="46" xr3:uid="{940C5796-789D-5B4A-9FCD-445173CBE38B}" name="(˚F db)37" dataDxfId="176" totalsRowDxfId="21">
      <calculatedColumnFormula>IF(Table7[[#This Row],[(˚F db)9]]&lt;35,Table7[[#This Row],[(˚F db)9]],"NOT NEEDED")</calculatedColumnFormula>
    </tableColumn>
    <tableColumn id="47" xr3:uid="{33252E21-E95C-E84B-AA5C-160823174238}" name="(˚F db)38" dataDxfId="175" totalsRowDxfId="20">
      <calculatedColumnFormula>IF(Table7[[#This Row],[(˚F db)9]]&lt;35,38,"NOT NEEDED")</calculatedColumnFormula>
    </tableColumn>
    <tableColumn id="48" xr3:uid="{F5FF0CC7-9CD6-DC4B-9AC8-6CF9532FE75F}" name="(MBH)" totalsRowFunction="sum" dataDxfId="174" totalsRowDxfId="19">
      <calculatedColumnFormula>IF(Table7[[#This Row],[(˚F db)9]]&lt;35,AO12*1.085*(AQ12-AP12)/1000,0)</calculatedColumnFormula>
    </tableColumn>
    <tableColumn id="49" xr3:uid="{41191CD7-30B2-EE4D-850D-B2169746F6D6}" name="(˚F db)39" dataDxfId="173" totalsRowDxfId="18">
      <calculatedColumnFormula>INPUT_OUTPUTS!$C$16</calculatedColumnFormula>
    </tableColumn>
    <tableColumn id="50" xr3:uid="{4D3CE10E-9198-0E44-849F-6C7B4A36B8CE}" name="(˚F db)40" dataDxfId="172" totalsRowDxfId="17">
      <calculatedColumnFormula>INPUT_OUTPUTS!$C$17</calculatedColumnFormula>
    </tableColumn>
    <tableColumn id="51" xr3:uid="{01E8F924-565C-4D42-9E39-E87365245FFA}" name="GPM41" totalsRowFunction="sum" dataDxfId="171" totalsRowDxfId="16">
      <calculatedColumnFormula>(AR12*1000)/(500*(AS12-AT12))</calculatedColumnFormula>
    </tableColumn>
    <tableColumn id="34" xr3:uid="{7FA025E3-2A8E-4918-AE49-513BEFF26646}" name="CFM" dataDxfId="170" totalsRowDxfId="15"/>
    <tableColumn id="54" xr3:uid="{D0D7EAE6-3EA2-E244-8B8D-01899554629D}" name="(˚F db)43" dataDxfId="169" totalsRowDxfId="14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168" totalsRowDxfId="13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167" totalsRowDxfId="12">
      <calculatedColumnFormula>IF(Table7[[#This Row],[(˚F db)43]]&lt;Table7[[#This Row],[(˚F db)13]],(Table7[[#This Row],[CFM]]*1.08*(Table7[[#This Row],[(˚F db)45]]-Table7[[#This Row],[(˚F db)43]]))/1000,0)</calculatedColumnFormula>
    </tableColumn>
    <tableColumn id="60" xr3:uid="{3575FFB4-394C-DC4E-9487-884A377EB86A}" name="(˚F db)46" totalsRowFunction="sum" dataDxfId="166" totalsRowDxfId="11">
      <calculatedColumnFormula>(Table7[[#This Row],[(mbh)46]]*1000)/(500*(Table7[[#This Row],[(˚F db)39]]-Table7[[#This Row],[(˚F db)40]]))</calculatedColumnFormula>
    </tableColumn>
    <tableColumn id="3" xr3:uid="{08404160-A568-4BE0-A13C-756AE8DD2B84}" name="CFM2" dataDxfId="165" totalsRowDxfId="10">
      <calculatedColumnFormula>Table7[[#This Row],[CFM]]</calculatedColumnFormula>
    </tableColumn>
    <tableColumn id="5" xr3:uid="{7FA18FE7-40E2-40BA-B789-D5464F9073D9}" name="(˚F db)433" dataDxfId="164" totalsRowDxfId="9">
      <calculatedColumnFormula>Table7[[#This Row],[(˚F db)45]]</calculatedColumnFormula>
    </tableColumn>
    <tableColumn id="35" xr3:uid="{90110432-2271-4C72-8955-86F29A4EBEEF}" name="(˚F db)454" dataDxfId="163" totalsRowDxfId="8"/>
    <tableColumn id="36" xr3:uid="{57E2F4EA-42FB-47EC-B0FD-52A1FDCCA354}" name="(mbh)465" dataDxfId="162" totalsRowDxfId="7">
      <calculatedColumnFormula>(Table7[[#This Row],[CFM2]]*1.08*(Table7[[#This Row],[(˚F db)454]]-Table7[[#This Row],[(˚F db)433]]))/1000</calculatedColumnFormula>
    </tableColumn>
    <tableColumn id="52" xr3:uid="{3FF67394-5B69-4718-9C85-8D4ECBEC8096}" name="(˚F db)466" dataDxfId="161" totalsRowDxfId="6">
      <calculatedColumnFormula>(Table7[[#This Row],[(mbh)46]]*1000)/(500*(Table7[[#This Row],[(˚F db)39]]-Table7[[#This Row],[(˚F db)40]]))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394" dataDxfId="393" totalsRowDxfId="391" tableBorderDxfId="392">
  <autoFilter ref="A2:Z5" xr:uid="{59B85608-0CD2-47F2-870C-191ADDE0C2B8}"/>
  <tableColumns count="26">
    <tableColumn id="1" xr3:uid="{AACF3619-1A60-4FCF-BCFF-F336ADCF73B8}" name="Zone" totalsRowLabel="TOTAL" dataDxfId="390" totalsRowDxfId="389"/>
    <tableColumn id="3" xr3:uid="{80B2F9E7-1259-4673-96AB-0F4F83EB3D46}" name="Room Number" dataDxfId="388" totalsRowDxfId="387"/>
    <tableColumn id="4" xr3:uid="{0BD09193-37D6-4F7C-BCAE-45CFF2C8A151}" name="Room" totalsRowFunction="count" dataDxfId="386" totalsRowDxfId="385"/>
    <tableColumn id="6" xr3:uid="{E95CEC16-C2FC-4214-A0EB-7A08FDEAF0F9}" name="AREA _x000a_(FT²)" totalsRowFunction="sum" dataDxfId="384" totalsRowDxfId="383"/>
    <tableColumn id="18" xr3:uid="{6DA2FAE7-17CA-4FE0-8359-8C4FF34595A6}" name="Exhaust Units" dataDxfId="382" totalsRowDxfId="381"/>
    <tableColumn id="7" xr3:uid="{583FAE05-9F7D-48E5-BEF5-13CEE070C1D5}" name="OFFICE STANDARD _x000a_(CFM)" dataDxfId="380" totalsRowDxfId="379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378" totalsRowDxfId="377"/>
    <tableColumn id="17" xr3:uid="{9950D068-2B64-41F9-A84D-F7BB46AA37B4}" name="Exhaust Category" dataDxfId="376" totalsRowDxfId="375"/>
    <tableColumn id="5" xr3:uid="{593AD6F9-FDB5-4388-9BB0-C939DB13E66D}" name="Occupancy Category" dataDxfId="374" totalsRowDxfId="373"/>
    <tableColumn id="10" xr3:uid="{7266144B-9C83-4090-884A-1BB5A987F5A7}" name="RP_x000a_(CFM/PER PERSON)" dataDxfId="372" totalsRowDxfId="371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370" totalsRowDxfId="369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368" totalsRowDxfId="367">
      <calculatedColumnFormula>VLOOKUP(Ahu_Ashrae_sheet[[#This Row],[Occupancy Category]],Ashrae90.1Vent[#All],4,FALSE)</calculatedColumnFormula>
    </tableColumn>
    <tableColumn id="12" xr3:uid="{B627EA84-4F12-4D9C-9B2E-8C8B23AA47EF}" name="Air Class" dataDxfId="366" totalsRowDxfId="365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364" totalsRowDxfId="363">
      <calculatedColumnFormula>CEILING((L3/1000)*D3,1)</calculatedColumnFormula>
    </tableColumn>
    <tableColumn id="14" xr3:uid="{F57C4FE9-D689-4840-BE7F-8AAC8AF32E90}" name="Vbz" dataDxfId="362" totalsRowDxfId="361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360" totalsRowDxfId="359"/>
    <tableColumn id="16" xr3:uid="{E815DDA4-80F1-4B30-89A0-831145D8A65F}" name="Voz" dataDxfId="358" totalsRowDxfId="357">
      <calculatedColumnFormula>O3/P3</calculatedColumnFormula>
    </tableColumn>
    <tableColumn id="21" xr3:uid="{3796FC97-1024-4F8D-AF4A-C1BCEDC0304A}" name="OUTSIDE AIRFLOW (CFM) (Vot)" totalsRowFunction="sum" dataDxfId="356" totalsRowDxfId="355">
      <calculatedColumnFormula>Ahu_Ashrae_sheet[[#This Row],[Voz]]</calculatedColumnFormula>
    </tableColumn>
    <tableColumn id="27" xr3:uid="{D6F07612-EAC0-4AD6-8EB3-909D232BF60F}" name="EA RATE_x000a_(CFM/UNIT)" dataDxfId="354" totalsRowDxfId="353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352" totalsRowDxfId="351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350" totalsRowDxfId="349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348" totalsRowDxfId="347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346" totalsRowDxfId="345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344" totalsRowDxfId="343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342" totalsRowDxfId="341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340" totalsRowDxfId="339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338" dataDxfId="337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336" dataCellStyle="Normal 2"/>
    <tableColumn id="3" xr3:uid="{9733D35C-867E-4C4B-8F2B-E086ECB58CD3}" name="RP" dataDxfId="335" dataCellStyle="Normal 2"/>
    <tableColumn id="4" xr3:uid="{8749CE45-D3E3-463B-A943-59B6B0450B44}" name="RA" dataDxfId="334" dataCellStyle="Normal 2"/>
    <tableColumn id="5" xr3:uid="{CD462116-5E1B-4F25-96C0-8DB927D62FAD}" name="OCCUPANT DENSITY" dataDxfId="333" dataCellStyle="Normal 2"/>
    <tableColumn id="6" xr3:uid="{17ED933E-614D-45F6-B2C6-C5FD970DCCC2}" name="AIR CLASS" dataDxfId="332" dataCellStyle="Normal 2"/>
    <tableColumn id="7" xr3:uid="{8990C0AF-57F2-4ABC-A0E1-FC88BC4B024A}" name="OS" dataDxfId="331" dataCellStyle="Normal 2"/>
    <tableColumn id="10" xr3:uid="{2064FBAE-870A-46AE-9F8C-5F5DF7BCEC22}" name="0.5?" dataDxfId="330" dataCellStyle="Normal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329" dataDxfId="328" dataCellStyle="Normal 2">
  <autoFilter ref="J1:N37" xr:uid="{FC3692C1-EB92-41FB-9444-5DAEF8591757}"/>
  <tableColumns count="5">
    <tableColumn id="7" xr3:uid="{CA4FE357-07FF-4EBE-B427-878AF4AE4EB8}" name="Occupancy Category" dataDxfId="327" dataCellStyle="Normal 2"/>
    <tableColumn id="3" xr3:uid="{FF109B0F-3E01-4002-A883-C4CDF4B3E8CA}" name="EXHAUST RATE PER UNIT" dataDxfId="326" dataCellStyle="Normal 2"/>
    <tableColumn id="4" xr3:uid="{9EBCCC92-92E9-4FE1-B17B-CA56536298A4}" name="EXHAUST RATE PER AREA" dataDxfId="325" dataCellStyle="Normal 2"/>
    <tableColumn id="5" xr3:uid="{0075CAEE-1CDF-4D4F-8B21-A29737198283}" name="NOTES" dataDxfId="324" dataCellStyle="Normal 2"/>
    <tableColumn id="6" xr3:uid="{73E3E663-31ED-4991-8F25-4C660DE5C8CC}" name="AIR CLASS " dataDxfId="323" dataCellStyle="Normal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322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321" tableBorderDxfId="320">
  <autoFilter ref="A1:J127" xr:uid="{4540C5B7-7ED8-1346-9688-BBD6F913E0FF}"/>
  <tableColumns count="10">
    <tableColumn id="1" xr3:uid="{7BF2CBE1-A9FA-634B-9D43-EBA146167592}" name="Area Designation" dataDxfId="319"/>
    <tableColumn id="2" xr3:uid="{1460B4E9-9118-944C-9857-493DDFFE200A}" name="Air Balance Rerationship to Adjacent Areas" dataDxfId="318"/>
    <tableColumn id="3" xr3:uid="{25BE9BDC-FBB0-7A47-894B-42F72D14066C}" name="Minimum Air Changes of Outdoor Air per Hour" dataDxfId="317"/>
    <tableColumn id="4" xr3:uid="{82F49D63-6B08-DA45-8A60-1FF0FD6AC5B9}" name="Minimum Total Air Changes per Hour" dataDxfId="316"/>
    <tableColumn id="5" xr3:uid="{4FDAD794-62F4-8F49-87E5-EA2422234CCC}" name="All Air Exhausted Directly To Outdoors_x000a_(j)" dataDxfId="315"/>
    <tableColumn id="6" xr3:uid="{B9C49FC8-C251-2342-AE20-E81B274FAA4A}" name="Air Recirculated by Means of Room Units (a)" dataDxfId="314"/>
    <tableColumn id="7" xr3:uid="{E57842AF-587D-1D42-B911-B576DF543C66}" name="Design Relative Humidity (k)%" dataDxfId="313"/>
    <tableColumn id="8" xr3:uid="{BE19DA4C-3671-2040-8AE0-8608C571F1B5}" name="MIN Design Temperature(l)" dataDxfId="312"/>
    <tableColumn id="10" xr3:uid="{40B13846-A1DF-B641-AA80-2CDFCA140F33}" name="MAX Design Temperature" dataDxfId="311"/>
    <tableColumn id="9" xr3:uid="{D8B11080-DB40-234A-BEF6-09CC488530B9}" name="Notes" dataDxfId="310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309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308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1F7BC847-D1FA-4C8D-AE7C-0642CE67D69C}">
    <text xml:space="preserve">This is a manual number added here when the percent outside air needs to be increased. </text>
  </threadedComment>
  <threadedComment ref="B6" dT="2023-01-20T01:58:59.17" personId="{4EB4B6F3-1969-DB48-B081-3832009A33BA}" id="{3E17E428-799B-47F5-A7C7-9BDB14E65EFF}">
    <text>Import zone from Revit</text>
  </threadedComment>
  <threadedComment ref="C6" dT="2023-01-20T01:59:19.81" personId="{4EB4B6F3-1969-DB48-B081-3832009A33BA}" id="{4E676915-C7BE-49FF-A874-AD60DAD052ED}">
    <text>Import room from Revit</text>
  </threadedComment>
  <threadedComment ref="D6" dT="2023-01-20T01:59:37.35" personId="{4EB4B6F3-1969-DB48-B081-3832009A33BA}" id="{D25E963B-03EE-4209-9A25-F33F9AF70364}">
    <text>Import room number from Revit</text>
  </threadedComment>
  <threadedComment ref="E6" dT="2023-01-20T01:59:56.66" personId="{4EB4B6F3-1969-DB48-B081-3832009A33BA}" id="{24D35D74-B4E4-40D7-9E4F-F846E2D881AF}">
    <text>Import Area from Revit</text>
  </threadedComment>
  <threadedComment ref="F6" dT="2023-01-20T02:00:11.73" personId="{4EB4B6F3-1969-DB48-B081-3832009A33BA}" id="{9DD64EFA-929F-4E8A-A721-02C7113C5C34}">
    <text>Import height from Revit</text>
  </threadedComment>
  <threadedComment ref="T6" dT="2023-01-20T02:57:22.76" personId="{4EB4B6F3-1969-DB48-B081-3832009A33BA}" id="{BB2A355F-4399-46B3-B5AA-0BB6C957392B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33AC57F6-9EE6-46F5-819D-BC1EA96FF5AA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BF3AADB4-792F-417E-82FE-CAA6F9A474A9}">
    <text xml:space="preserve">Usually automatic, but check and edit as necessary. </text>
  </threadedComment>
  <threadedComment ref="Y6" dT="2023-01-20T02:57:47.98" personId="{4EB4B6F3-1969-DB48-B081-3832009A33BA}" id="{18588ABA-E9EA-4FF9-9E6F-13DD1B34DA61}">
    <text>All cells in this column must be green</text>
  </threadedComment>
  <threadedComment ref="AD6" dT="2023-01-20T03:02:14.75" personId="{4EB4B6F3-1969-DB48-B081-3832009A33BA}" id="{555AFC02-3E77-49E6-92C2-A926E87CED67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DE6DCBA9-EA47-4887-A3E6-337DB78FF56B}">
    <text xml:space="preserve">This is a manual number added here when the percent outside air needs to be increased. </text>
  </threadedComment>
  <threadedComment ref="B6" dT="2023-01-20T01:58:59.17" personId="{4EB4B6F3-1969-DB48-B081-3832009A33BA}" id="{A66CCCA1-94A6-43AC-922B-E9352551A14B}">
    <text>Import zone from Revit</text>
  </threadedComment>
  <threadedComment ref="C6" dT="2023-01-20T01:59:19.81" personId="{4EB4B6F3-1969-DB48-B081-3832009A33BA}" id="{BF83FFD4-DABD-4405-9220-3AA1B9C49690}">
    <text>Import room from Revit</text>
  </threadedComment>
  <threadedComment ref="D6" dT="2023-01-20T01:59:37.35" personId="{4EB4B6F3-1969-DB48-B081-3832009A33BA}" id="{75E461AD-46C1-4439-9A31-EA1A4EF9D6C2}">
    <text>Import room number from Revit</text>
  </threadedComment>
  <threadedComment ref="E6" dT="2023-01-20T01:59:56.66" personId="{4EB4B6F3-1969-DB48-B081-3832009A33BA}" id="{2FF02F18-3F27-400C-8051-1D6953C7273F}">
    <text>Import Area from Revit</text>
  </threadedComment>
  <threadedComment ref="F6" dT="2023-01-20T02:00:11.73" personId="{4EB4B6F3-1969-DB48-B081-3832009A33BA}" id="{989ED1B4-CAE6-409C-920C-C6CFEEE395A1}">
    <text>Import height from Revit</text>
  </threadedComment>
  <threadedComment ref="AM6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6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6" dT="2023-01-20T03:01:25.80" personId="{4EB4B6F3-1969-DB48-B081-3832009A33BA}" id="{7F185DA6-DB3E-4BFB-B34A-655772AA1EE7}">
    <text xml:space="preserve">Usually automatic, but check and edit as necessary. </text>
  </threadedComment>
  <threadedComment ref="AR6" dT="2023-01-20T02:57:47.98" personId="{4EB4B6F3-1969-DB48-B081-3832009A33BA}" id="{2100AEBD-D5E7-4E2B-86D2-E5575750B200}">
    <text>All cells in this column must be green</text>
  </threadedComment>
  <threadedComment ref="AW7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N2" dT="2023-04-25T00:25:17.94" personId="{9818FCBF-2832-490A-8648-B86041484521}" id="{37A41AF8-43E0-4E53-97C1-7B232202F572}">
    <text>To be inputted Manually if the total occupancy seems high</text>
  </threadedComment>
  <threadedComment ref="U2" dT="2023-04-25T00:26:28.36" personId="{9818FCBF-2832-490A-8648-B86041484521}" id="{6AA7AC04-FAAA-4D66-BDEA-A5CAE99FC69E}">
    <text>Pick Based on the zone efficiency table in ASHRAE 62.1</text>
  </threadedComment>
  <threadedComment ref="AL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3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4.v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microsoft.com/office/2017/10/relationships/threadedComment" Target="../threadedComments/threadedComment5.xml"/><Relationship Id="rId2" Type="http://schemas.openxmlformats.org/officeDocument/2006/relationships/printerSettings" Target="../printerSettings/printerSettings4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5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7.vml"/><Relationship Id="rId4" Type="http://schemas.microsoft.com/office/2017/10/relationships/threadedComment" Target="../threadedComments/threadedComment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6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1"/>
  <sheetViews>
    <sheetView showGridLines="0" showRowColHeaders="0" tabSelected="1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Q11" sqref="Q11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33" t="s">
        <v>201</v>
      </c>
      <c r="C2" s="323" t="s">
        <v>202</v>
      </c>
      <c r="D2" s="324"/>
      <c r="E2" s="33" t="s">
        <v>203</v>
      </c>
      <c r="F2" s="325"/>
      <c r="G2" s="324"/>
    </row>
    <row r="3" spans="2:25">
      <c r="B3" s="13"/>
      <c r="C3" s="32"/>
      <c r="D3" s="32"/>
      <c r="V3" s="13" t="s">
        <v>204</v>
      </c>
      <c r="W3" s="13" t="s">
        <v>205</v>
      </c>
      <c r="X3" s="13" t="s">
        <v>206</v>
      </c>
      <c r="Y3" s="13" t="s">
        <v>207</v>
      </c>
    </row>
    <row r="4" spans="2:25">
      <c r="B4" s="326" t="s">
        <v>208</v>
      </c>
      <c r="C4" s="327"/>
      <c r="D4" s="327"/>
      <c r="E4" s="327"/>
      <c r="F4" s="327"/>
      <c r="G4" s="328"/>
      <c r="J4" s="329" t="s">
        <v>209</v>
      </c>
      <c r="K4" s="329"/>
      <c r="L4" s="329"/>
      <c r="V4" s="13" t="s">
        <v>57</v>
      </c>
      <c r="W4" s="13" t="s">
        <v>210</v>
      </c>
      <c r="X4" s="13" t="s">
        <v>211</v>
      </c>
      <c r="Y4" s="13" t="s">
        <v>212</v>
      </c>
    </row>
    <row r="5" spans="2:25">
      <c r="B5" s="330" t="s">
        <v>213</v>
      </c>
      <c r="C5" s="330"/>
      <c r="D5" s="330"/>
      <c r="E5" s="330"/>
      <c r="F5" s="330"/>
      <c r="G5" s="330"/>
      <c r="S5" s="13"/>
      <c r="W5" s="13" t="s">
        <v>214</v>
      </c>
      <c r="X5" s="13" t="s">
        <v>215</v>
      </c>
    </row>
    <row r="6" spans="2:25">
      <c r="B6" s="150" t="s">
        <v>216</v>
      </c>
      <c r="C6" s="151" t="s">
        <v>217</v>
      </c>
      <c r="D6" s="3"/>
      <c r="E6" s="332" t="s">
        <v>218</v>
      </c>
      <c r="F6" s="333"/>
      <c r="G6" s="151">
        <v>0</v>
      </c>
      <c r="J6" s="340" t="s">
        <v>219</v>
      </c>
      <c r="K6" s="341"/>
      <c r="L6" s="342"/>
      <c r="S6" s="13"/>
      <c r="X6" s="13" t="s">
        <v>220</v>
      </c>
    </row>
    <row r="7" spans="2:25">
      <c r="B7" s="329" t="s">
        <v>221</v>
      </c>
      <c r="C7" s="329"/>
      <c r="D7" s="329"/>
      <c r="E7" s="329" t="s">
        <v>222</v>
      </c>
      <c r="F7" s="329"/>
      <c r="G7" s="329"/>
      <c r="J7" s="29" t="s">
        <v>223</v>
      </c>
      <c r="K7" s="30">
        <f ca="1">Table7[[#Totals],[(Tons)34]]</f>
        <v>18.025055302397426</v>
      </c>
      <c r="L7" s="31" t="s">
        <v>224</v>
      </c>
      <c r="X7" s="13" t="s">
        <v>225</v>
      </c>
    </row>
    <row r="8" spans="2:25">
      <c r="B8" s="331" t="s">
        <v>226</v>
      </c>
      <c r="C8" s="151">
        <v>90</v>
      </c>
      <c r="D8" s="150" t="s">
        <v>227</v>
      </c>
      <c r="E8" s="331" t="s">
        <v>228</v>
      </c>
      <c r="F8" s="334">
        <v>36</v>
      </c>
      <c r="G8" s="331" t="s">
        <v>229</v>
      </c>
      <c r="J8" s="29" t="s">
        <v>230</v>
      </c>
      <c r="K8" s="30">
        <f ca="1">Table7[[#Totals],[GPM MAX]]</f>
        <v>43.26013272575382</v>
      </c>
      <c r="L8" s="31" t="s">
        <v>231</v>
      </c>
      <c r="X8" s="13" t="s">
        <v>232</v>
      </c>
    </row>
    <row r="9" spans="2:25">
      <c r="B9" s="331"/>
      <c r="C9" s="151">
        <v>65</v>
      </c>
      <c r="D9" s="150" t="s">
        <v>233</v>
      </c>
      <c r="E9" s="331"/>
      <c r="F9" s="335"/>
      <c r="G9" s="331"/>
      <c r="J9" s="29" t="s">
        <v>234</v>
      </c>
      <c r="K9" s="30" cm="1">
        <f t="array" aca="1" ref="K9" ca="1">K8/Table1[number of CHW Pumps]</f>
        <v>21.63006636287691</v>
      </c>
      <c r="L9" s="31" t="s">
        <v>231</v>
      </c>
      <c r="X9" s="13" t="s">
        <v>235</v>
      </c>
    </row>
    <row r="10" spans="2:25">
      <c r="B10" s="331" t="s">
        <v>236</v>
      </c>
      <c r="C10" s="152">
        <v>80</v>
      </c>
      <c r="D10" s="150" t="s">
        <v>229</v>
      </c>
      <c r="E10" s="331" t="s">
        <v>237</v>
      </c>
      <c r="F10" s="151"/>
      <c r="G10" s="150" t="s">
        <v>229</v>
      </c>
      <c r="J10" s="29" t="s">
        <v>238</v>
      </c>
      <c r="K10" s="30" t="e">
        <f>Table7[[#Totals],[(mbh)46]]</f>
        <v>#DIV/0!</v>
      </c>
      <c r="L10" s="31" t="s">
        <v>239</v>
      </c>
    </row>
    <row r="11" spans="2:25">
      <c r="B11" s="331"/>
      <c r="C11" s="152">
        <v>75</v>
      </c>
      <c r="D11" s="150" t="s">
        <v>233</v>
      </c>
      <c r="E11" s="331"/>
      <c r="F11" s="151"/>
      <c r="G11" s="150" t="s">
        <v>240</v>
      </c>
      <c r="J11" s="29" t="s">
        <v>241</v>
      </c>
      <c r="K11" s="30">
        <f>Table7[[#Totals],[(˚F db)46]]</f>
        <v>19</v>
      </c>
      <c r="L11" s="31" t="s">
        <v>231</v>
      </c>
    </row>
    <row r="12" spans="2:25">
      <c r="B12" s="2"/>
      <c r="D12" s="3"/>
      <c r="E12" s="3"/>
      <c r="J12" s="21"/>
      <c r="K12" s="21"/>
      <c r="L12" s="21"/>
    </row>
    <row r="13" spans="2:25">
      <c r="B13" s="329" t="s">
        <v>242</v>
      </c>
      <c r="C13" s="329"/>
      <c r="D13" s="329"/>
    </row>
    <row r="14" spans="2:25">
      <c r="B14" s="153" t="s">
        <v>243</v>
      </c>
      <c r="C14" s="152">
        <v>42</v>
      </c>
      <c r="D14" s="150" t="s">
        <v>244</v>
      </c>
    </row>
    <row r="15" spans="2:25">
      <c r="B15" s="153" t="s">
        <v>245</v>
      </c>
      <c r="C15" s="152">
        <v>52</v>
      </c>
      <c r="D15" s="150" t="s">
        <v>244</v>
      </c>
    </row>
    <row r="16" spans="2:25">
      <c r="B16" s="153" t="s">
        <v>246</v>
      </c>
      <c r="C16" s="152">
        <v>140</v>
      </c>
      <c r="D16" s="150" t="s">
        <v>244</v>
      </c>
    </row>
    <row r="17" spans="2:20">
      <c r="B17" s="153" t="s">
        <v>247</v>
      </c>
      <c r="C17" s="152">
        <v>100</v>
      </c>
      <c r="D17" s="150" t="s">
        <v>244</v>
      </c>
    </row>
    <row r="18" spans="2:20">
      <c r="B18" s="153" t="s">
        <v>248</v>
      </c>
      <c r="C18" s="154">
        <v>1.2</v>
      </c>
      <c r="D18" s="150" t="s">
        <v>249</v>
      </c>
    </row>
    <row r="19" spans="2:20">
      <c r="B19" s="153" t="s">
        <v>250</v>
      </c>
      <c r="C19" s="154"/>
      <c r="D19" s="150" t="s">
        <v>251</v>
      </c>
      <c r="H19" s="21"/>
      <c r="I19" s="21"/>
      <c r="J19" s="21"/>
      <c r="K19" s="21"/>
      <c r="L19" s="21"/>
    </row>
    <row r="20" spans="2:20">
      <c r="H20" s="21"/>
      <c r="I20" s="21"/>
      <c r="J20" s="339" t="s">
        <v>252</v>
      </c>
      <c r="K20" s="339"/>
      <c r="L20" s="21"/>
    </row>
    <row r="21" spans="2:20">
      <c r="H21" s="21"/>
      <c r="I21" s="21"/>
      <c r="J21" s="21"/>
      <c r="K21" s="21"/>
      <c r="L21" s="21"/>
    </row>
    <row r="23" spans="2:20">
      <c r="B23" s="336" t="s">
        <v>253</v>
      </c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8"/>
    </row>
    <row r="24" spans="2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2:20" ht="22.5">
      <c r="B25" s="37" t="s">
        <v>254</v>
      </c>
      <c r="C25" s="35" t="s">
        <v>255</v>
      </c>
      <c r="D25" s="35" t="s">
        <v>256</v>
      </c>
      <c r="E25" s="35" t="s">
        <v>257</v>
      </c>
      <c r="F25" s="35" t="s">
        <v>258</v>
      </c>
      <c r="G25" s="35" t="s">
        <v>259</v>
      </c>
      <c r="H25" s="35" t="s">
        <v>260</v>
      </c>
      <c r="I25" s="35" t="s">
        <v>261</v>
      </c>
      <c r="J25" s="35" t="s">
        <v>262</v>
      </c>
      <c r="K25" s="35" t="s">
        <v>263</v>
      </c>
      <c r="L25" s="35" t="s">
        <v>264</v>
      </c>
      <c r="M25" s="35" t="s">
        <v>265</v>
      </c>
      <c r="N25" s="35" t="s">
        <v>266</v>
      </c>
      <c r="O25" s="35" t="s">
        <v>267</v>
      </c>
      <c r="P25" s="35" t="s">
        <v>268</v>
      </c>
      <c r="Q25" s="35" t="s">
        <v>269</v>
      </c>
      <c r="R25" s="35" t="s">
        <v>270</v>
      </c>
      <c r="S25" s="35" t="s">
        <v>271</v>
      </c>
      <c r="T25" s="36" t="s">
        <v>272</v>
      </c>
    </row>
    <row r="26" spans="2:20" hidden="1">
      <c r="B26" s="38"/>
      <c r="C26" s="152" t="s">
        <v>210</v>
      </c>
      <c r="D26" s="155" t="s">
        <v>205</v>
      </c>
      <c r="E26" s="155" t="s">
        <v>204</v>
      </c>
      <c r="F26" s="155" t="s">
        <v>204</v>
      </c>
      <c r="G26" s="155" t="s">
        <v>204</v>
      </c>
      <c r="H26" s="155" t="s">
        <v>204</v>
      </c>
      <c r="I26" s="155" t="s">
        <v>204</v>
      </c>
      <c r="J26" s="155" t="s">
        <v>204</v>
      </c>
      <c r="K26" s="155" t="s">
        <v>204</v>
      </c>
      <c r="L26" s="155" t="s">
        <v>57</v>
      </c>
      <c r="M26" s="155" t="s">
        <v>57</v>
      </c>
      <c r="N26" s="155" t="s">
        <v>204</v>
      </c>
      <c r="O26" s="155" t="s">
        <v>57</v>
      </c>
      <c r="P26" s="155" t="s">
        <v>206</v>
      </c>
      <c r="Q26" s="155" t="s">
        <v>235</v>
      </c>
      <c r="R26" s="155" t="s">
        <v>204</v>
      </c>
      <c r="S26" s="155" t="s">
        <v>57</v>
      </c>
      <c r="T26" s="64" t="s">
        <v>57</v>
      </c>
    </row>
    <row r="27" spans="2:20">
      <c r="B27" s="38" t="s">
        <v>789</v>
      </c>
      <c r="C27" s="374"/>
      <c r="D27" s="375"/>
      <c r="E27" s="375"/>
      <c r="F27" s="375"/>
      <c r="G27" s="375"/>
      <c r="H27" s="375"/>
      <c r="I27" s="375"/>
      <c r="J27" s="375"/>
      <c r="K27" s="375"/>
      <c r="L27" s="375"/>
      <c r="M27" s="375"/>
      <c r="N27" s="375"/>
      <c r="O27" s="375"/>
      <c r="P27" s="375"/>
      <c r="Q27" s="375"/>
      <c r="R27" s="375"/>
      <c r="S27" s="375"/>
      <c r="T27" s="376"/>
    </row>
    <row r="28" spans="2:20">
      <c r="K28" s="21"/>
      <c r="L28" s="21"/>
      <c r="M28" s="21"/>
      <c r="N28" s="21"/>
    </row>
    <row r="30" spans="2:20">
      <c r="B30" s="61" t="s">
        <v>273</v>
      </c>
      <c r="C30" s="61" t="s">
        <v>274</v>
      </c>
      <c r="D30" s="61" t="s">
        <v>275</v>
      </c>
      <c r="E30" s="62" t="s">
        <v>276</v>
      </c>
    </row>
    <row r="31" spans="2:20">
      <c r="B31" s="62">
        <v>2</v>
      </c>
      <c r="C31" s="63">
        <v>0.7</v>
      </c>
      <c r="D31" s="62">
        <v>2</v>
      </c>
      <c r="E31" s="62"/>
    </row>
  </sheetData>
  <mergeCells count="18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</mergeCells>
  <phoneticPr fontId="9" type="noConversion"/>
  <dataValidations disablePrompts="1"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7 R26:T27" xr:uid="{57127854-0033-9F43-9FDF-126419A3E943}">
      <formula1>$V$3:$V$4</formula1>
    </dataValidation>
    <dataValidation type="list" allowBlank="1" showInputMessage="1" showErrorMessage="1" sqref="C26:D27" xr:uid="{752016F0-3485-7D46-A297-38E9578FC1FD}">
      <formula1>$W$3:$W$5</formula1>
    </dataValidation>
    <dataValidation type="list" allowBlank="1" showInputMessage="1" showErrorMessage="1" sqref="P26:P27" xr:uid="{69929419-8A96-0A4C-BC33-A3DDB95DC281}">
      <formula1>$X$3:$X$6</formula1>
    </dataValidation>
    <dataValidation type="list" allowBlank="1" showInputMessage="1" showErrorMessage="1" sqref="Q26:Q27" xr:uid="{7B4C686C-BBBC-D948-B85E-80E76ED94999}">
      <formula1>$X$7:$X$9</formula1>
    </dataValidation>
    <dataValidation type="whole" operator="greaterThan" allowBlank="1" showInputMessage="1" showErrorMessage="1" sqref="G6" xr:uid="{0EEAE432-7AE5-4E19-99A0-476DD6038212}">
      <formula1>-1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0DBC4-349B-49A0-93B6-05470754B317}">
  <sheetPr codeName="Sheet13">
    <pageSetUpPr fitToPage="1"/>
  </sheetPr>
  <dimension ref="A1:BB104"/>
  <sheetViews>
    <sheetView showGridLines="0" topLeftCell="J1" zoomScale="85" zoomScaleNormal="85" zoomScaleSheetLayoutView="50" zoomScalePageLayoutView="80" workbookViewId="0">
      <pane ySplit="6" topLeftCell="A7" activePane="bottomLeft" state="frozen"/>
      <selection pane="bottomLeft" activeCell="K13" sqref="K1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15.85546875" style="39" bestFit="1" customWidth="1"/>
    <col min="10" max="10" width="34.85546875" style="39" bestFit="1" customWidth="1"/>
    <col min="11" max="11" width="34.85546875" style="42" bestFit="1" customWidth="1"/>
    <col min="12" max="12" width="29.140625" style="39" bestFit="1" customWidth="1"/>
    <col min="13" max="13" width="30.7109375" style="39" customWidth="1"/>
    <col min="14" max="15" width="25.85546875" style="42" bestFit="1" customWidth="1"/>
    <col min="16" max="16" width="25.85546875" style="39" bestFit="1" customWidth="1"/>
    <col min="17" max="17" width="17.7109375" style="39" bestFit="1" customWidth="1"/>
    <col min="18" max="18" width="18" style="39" customWidth="1"/>
    <col min="19" max="19" width="22.85546875" style="42" customWidth="1"/>
    <col min="20" max="20" width="16.42578125" style="42" customWidth="1"/>
    <col min="21" max="21" width="19.140625" style="40" bestFit="1" customWidth="1"/>
    <col min="22" max="22" width="16.7109375" style="42" bestFit="1" customWidth="1"/>
    <col min="23" max="23" width="18" style="43" customWidth="1"/>
    <col min="24" max="24" width="19.140625" style="39" bestFit="1" customWidth="1"/>
    <col min="25" max="25" width="15.85546875" style="40" bestFit="1" customWidth="1"/>
    <col min="26" max="26" width="15.85546875" style="40" customWidth="1"/>
    <col min="27" max="27" width="9.42578125" style="40" customWidth="1"/>
    <col min="28" max="28" width="22.42578125" style="40" bestFit="1" customWidth="1"/>
    <col min="29" max="29" width="13.28515625" style="40" bestFit="1" customWidth="1"/>
    <col min="30" max="30" width="18.42578125" style="44" bestFit="1" customWidth="1"/>
    <col min="31" max="31" width="22" style="44" bestFit="1" customWidth="1"/>
    <col min="32" max="32" width="7.28515625" style="44" customWidth="1"/>
    <col min="33" max="33" width="11.85546875" style="45" bestFit="1" customWidth="1"/>
    <col min="34" max="34" width="13.140625" style="45" bestFit="1" customWidth="1"/>
    <col min="35" max="35" width="20" style="45" bestFit="1" customWidth="1"/>
    <col min="36" max="36" width="8.42578125" style="39" hidden="1" customWidth="1"/>
    <col min="37" max="37" width="15.42578125" style="39" bestFit="1" customWidth="1"/>
    <col min="38" max="38" width="10.85546875" style="39" bestFit="1" customWidth="1"/>
    <col min="39" max="39" width="15.42578125" style="39" bestFit="1" customWidth="1"/>
    <col min="40" max="40" width="5.85546875" style="39" hidden="1" customWidth="1"/>
    <col min="41" max="41" width="13.5703125" style="39" bestFit="1" customWidth="1"/>
    <col min="42" max="42" width="12.140625" style="39" bestFit="1" customWidth="1"/>
    <col min="43" max="43" width="15" style="39" bestFit="1" customWidth="1"/>
    <col min="44" max="44" width="15.7109375" style="39" bestFit="1" customWidth="1"/>
    <col min="45" max="45" width="14.5703125" style="39" bestFit="1" customWidth="1"/>
    <col min="46" max="46" width="18.28515625" style="39" bestFit="1" customWidth="1"/>
    <col min="47" max="47" width="8.85546875" style="39"/>
    <col min="48" max="48" width="0" style="39" hidden="1" customWidth="1"/>
    <col min="49" max="51" width="9.28515625" style="39" hidden="1" customWidth="1"/>
    <col min="52" max="54" width="0" style="39" hidden="1" customWidth="1"/>
    <col min="55" max="16384" width="8.85546875" style="39"/>
  </cols>
  <sheetData>
    <row r="1" spans="1:54">
      <c r="AW1" s="39" t="s">
        <v>0</v>
      </c>
      <c r="AX1" s="39" t="s">
        <v>1</v>
      </c>
      <c r="AY1" s="39" t="s">
        <v>2</v>
      </c>
      <c r="BA1" s="39" t="s">
        <v>3</v>
      </c>
      <c r="BB1" s="39" t="s">
        <v>4</v>
      </c>
    </row>
    <row r="2" spans="1:54" ht="18" thickBot="1">
      <c r="AW2" s="11">
        <f>ROUNDUP(T18*INPUT_OUTPUTS!$C$18,-2)</f>
        <v>5100</v>
      </c>
      <c r="AX2" s="11">
        <f>ROUNDUP(U18*INPUT_OUTPUTS!$C$18,-2)</f>
        <v>4500</v>
      </c>
      <c r="AY2" s="10">
        <f>ROUNDUP((N18*INPUT_OUTPUTS!C18)+Y4,-2)</f>
        <v>1600</v>
      </c>
      <c r="BA2" s="46">
        <f>AHU1_CAV_SCHEDULE441120[[#Totals],[GPM]]</f>
        <v>19</v>
      </c>
      <c r="BB2" s="47">
        <f>AHU1_CAV_SCHEDULE441120[[#Totals],[MIN MBH]]</f>
        <v>0</v>
      </c>
    </row>
    <row r="3" spans="1:54" ht="15.75" customHeight="1">
      <c r="C3" s="39"/>
      <c r="H3" s="39"/>
      <c r="K3" s="39"/>
      <c r="N3" s="39"/>
      <c r="O3" s="39"/>
      <c r="S3" s="39"/>
      <c r="T3" s="39"/>
      <c r="U3" s="39"/>
      <c r="V3" s="39"/>
      <c r="W3" s="48"/>
      <c r="Y3" s="39"/>
      <c r="Z3" s="39"/>
      <c r="AA3" s="39"/>
    </row>
    <row r="4" spans="1:54" ht="15.75">
      <c r="B4" s="42"/>
      <c r="C4" s="42"/>
      <c r="D4" s="42"/>
      <c r="E4" s="42"/>
      <c r="F4" s="42"/>
      <c r="G4" s="42"/>
      <c r="I4" s="42"/>
      <c r="J4" s="42"/>
      <c r="L4" s="42"/>
      <c r="M4" s="42"/>
      <c r="P4" s="42"/>
      <c r="Q4" s="42"/>
      <c r="R4" s="42"/>
      <c r="U4" s="42"/>
      <c r="W4" s="133" t="s">
        <v>5</v>
      </c>
      <c r="X4" s="156">
        <f>(AY2/AX2)*100</f>
        <v>35.555555555555557</v>
      </c>
      <c r="Y4" s="343">
        <v>0</v>
      </c>
      <c r="Z4" s="343"/>
      <c r="AA4" s="39"/>
    </row>
    <row r="5" spans="1:54">
      <c r="B5" s="315" t="s">
        <v>6</v>
      </c>
      <c r="C5" s="316"/>
      <c r="D5" s="316"/>
      <c r="E5" s="316"/>
      <c r="F5" s="316"/>
      <c r="G5" s="316"/>
      <c r="H5" s="317"/>
      <c r="I5" s="315" t="s">
        <v>277</v>
      </c>
      <c r="J5" s="316"/>
      <c r="K5" s="316"/>
      <c r="L5" s="316"/>
      <c r="M5" s="316"/>
      <c r="N5" s="316"/>
      <c r="O5" s="316"/>
      <c r="P5" s="316"/>
      <c r="Q5" s="316"/>
      <c r="R5" s="317"/>
      <c r="S5" s="315" t="s">
        <v>278</v>
      </c>
      <c r="T5" s="316"/>
      <c r="U5" s="316"/>
      <c r="V5" s="317"/>
      <c r="W5" s="157"/>
      <c r="X5" s="344" t="s">
        <v>279</v>
      </c>
      <c r="Y5" s="345"/>
      <c r="Z5" s="346"/>
      <c r="AD5" s="318" t="s">
        <v>53</v>
      </c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318"/>
      <c r="AP5" s="318"/>
      <c r="AQ5" s="318"/>
      <c r="AR5" s="318"/>
      <c r="AS5" s="318"/>
      <c r="AT5" s="318"/>
    </row>
    <row r="6" spans="1:54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44</v>
      </c>
      <c r="T6" s="95" t="s">
        <v>45</v>
      </c>
      <c r="U6" s="95" t="s">
        <v>46</v>
      </c>
      <c r="V6" s="95" t="s">
        <v>47</v>
      </c>
      <c r="W6" s="95" t="s">
        <v>48</v>
      </c>
      <c r="X6" s="95" t="s">
        <v>49</v>
      </c>
      <c r="Y6" s="95" t="s">
        <v>50</v>
      </c>
      <c r="Z6" s="95" t="s">
        <v>51</v>
      </c>
      <c r="AA6" s="97" t="s">
        <v>52</v>
      </c>
      <c r="AB6" s="50"/>
      <c r="AC6" s="50"/>
      <c r="AD6" s="130" t="s">
        <v>9</v>
      </c>
      <c r="AE6" s="130" t="s">
        <v>58</v>
      </c>
      <c r="AF6" s="130" t="s">
        <v>59</v>
      </c>
      <c r="AG6" s="130" t="s">
        <v>60</v>
      </c>
      <c r="AH6" s="130" t="s">
        <v>61</v>
      </c>
      <c r="AI6" s="130" t="s">
        <v>62</v>
      </c>
      <c r="AJ6" s="130" t="s">
        <v>63</v>
      </c>
      <c r="AK6" s="130" t="s">
        <v>64</v>
      </c>
      <c r="AL6" s="130" t="s">
        <v>65</v>
      </c>
      <c r="AM6" s="130" t="s">
        <v>66</v>
      </c>
      <c r="AN6" s="130" t="s">
        <v>67</v>
      </c>
      <c r="AO6" s="130" t="s">
        <v>68</v>
      </c>
      <c r="AP6" s="130" t="s">
        <v>3</v>
      </c>
      <c r="AQ6" s="130" t="s">
        <v>69</v>
      </c>
      <c r="AR6" s="130" t="s">
        <v>70</v>
      </c>
      <c r="AS6" s="130" t="s">
        <v>71</v>
      </c>
      <c r="AT6" s="130" t="s">
        <v>72</v>
      </c>
    </row>
    <row r="7" spans="1:54" ht="15" customHeight="1">
      <c r="B7" s="91" t="s">
        <v>54</v>
      </c>
      <c r="C7" s="123" t="s">
        <v>54</v>
      </c>
      <c r="D7" s="123">
        <v>1234</v>
      </c>
      <c r="E7" s="123">
        <v>100</v>
      </c>
      <c r="F7" s="123">
        <v>10</v>
      </c>
      <c r="G7" s="120" t="str">
        <f>VLOOKUP($K7,'UMC Table 4-A'!$A$2:$E$132,5,FALSE)</f>
        <v>NR</v>
      </c>
      <c r="H7" s="123">
        <v>100</v>
      </c>
      <c r="I7" s="120">
        <v>0</v>
      </c>
      <c r="J7" s="120">
        <f t="shared" ref="J7:J17" si="0">IF(OR((K7="PATIENT CORRIDOR"),(K7="TOILET")),(E7*0.5),E7)</f>
        <v>50</v>
      </c>
      <c r="K7" s="123" t="s">
        <v>280</v>
      </c>
      <c r="L7" s="120" t="str">
        <f>VLOOKUP($K7,'UMC Table 4-A'!$A$2:$E$132,2,FALSE)</f>
        <v>NR</v>
      </c>
      <c r="M7" s="120" t="str">
        <f>VLOOKUP($K7,'UMC Table 4-A'!$A$2:$E$132,3,FALSE)</f>
        <v>NR</v>
      </c>
      <c r="N7" s="120">
        <f t="shared" ref="N7:N17" si="1">IF(M7&lt;&gt;"NR",ROUNDUP((E7*F7*M7)/60,-1),0)</f>
        <v>0</v>
      </c>
      <c r="O7" s="120">
        <f>VLOOKUP($K7,'UMC Table 4-A'!$A$2:$E$132,4,FALSE)</f>
        <v>2</v>
      </c>
      <c r="P7" s="120">
        <f t="shared" ref="P7:P17" si="2">IF(O7&lt;&gt;"NR",ROUNDUP((E7*F7*O7)/60,-1),0)</f>
        <v>40</v>
      </c>
      <c r="Q7" s="120" t="str">
        <f>VLOOKUP($K7,'UMC Table 4-A'!$A$2:$E$132,5,FALSE)</f>
        <v>NR</v>
      </c>
      <c r="R7" s="120" t="str">
        <f t="shared" ref="R7:R17" si="3">IF(G7="Yes",P7,"-")</f>
        <v>-</v>
      </c>
      <c r="S7" s="120">
        <f>IF(N7="Negative",V7-TABLE4A43919[[#This Row],[Desired Air Balance Difference]],CEILING(MAX(TABLE4A43919[[#This Row],[1 or 0.5 CFM/SF]],TABLE4A43919[[#This Row],[MIN TOTAL ACH 
(CFM)]],TABLE4A43919[[#This Row],[LOAD 
(CFM)]]),5))</f>
        <v>50</v>
      </c>
      <c r="T7" s="128">
        <f t="shared" ref="T7:T17" si="4">S7</f>
        <v>50</v>
      </c>
      <c r="U7" s="158"/>
      <c r="V7" s="128"/>
      <c r="W7" s="129">
        <f t="shared" ref="W7:W17" si="5">T7-U7-V7</f>
        <v>50</v>
      </c>
      <c r="X7" s="129">
        <f t="shared" ref="X7:X17" si="6">IFERROR(S7/E7,"-")</f>
        <v>0.5</v>
      </c>
      <c r="Y7" s="129">
        <f>(N7/T7)*100</f>
        <v>0</v>
      </c>
      <c r="Z7" s="129">
        <f>S7/E7/F7*60</f>
        <v>3</v>
      </c>
      <c r="AA7" s="92" t="str">
        <f t="shared" ref="AA7:AA17" si="7">IF(S7-U7-V7+W7=0,"Yes","No")</f>
        <v>No</v>
      </c>
      <c r="AD7" s="131" t="s">
        <v>74</v>
      </c>
      <c r="AE7" s="131" t="s">
        <v>75</v>
      </c>
      <c r="AF7" s="131" t="s">
        <v>76</v>
      </c>
      <c r="AG7" s="120">
        <f t="shared" ref="AG7:AG44" si="8">SUMIF($B$7:$B$17,AD7,$T$7:$T$17)</f>
        <v>0</v>
      </c>
      <c r="AH7" s="120" t="str">
        <f>IFERROR((VLOOKUP(AG7,'DO NOT TOUCH'!$B$9:$C$14,2,TRUE)),"TBD")</f>
        <v>TBD</v>
      </c>
      <c r="AI7" s="120">
        <v>0.5</v>
      </c>
      <c r="AJ7" s="120">
        <f>INPUT_OUTPUTS!$C$16</f>
        <v>140</v>
      </c>
      <c r="AK7" s="120">
        <f>INPUT_OUTPUTS!$C$17</f>
        <v>100</v>
      </c>
      <c r="AL7" s="120">
        <v>55</v>
      </c>
      <c r="AM7" s="120">
        <v>85</v>
      </c>
      <c r="AN7" s="120">
        <f t="shared" ref="AN7:AN44" si="9">MROUND((1.08*(AM7-AL7)*AG7)/1000,0.1)</f>
        <v>0</v>
      </c>
      <c r="AO7" s="132">
        <f>(AN7*1000)/(500*(AJ7-AK7))</f>
        <v>0</v>
      </c>
      <c r="AP7" s="132">
        <f>IF(AO7&lt;0.5,0.5,AO7)</f>
        <v>0.5</v>
      </c>
      <c r="AQ7" s="132">
        <v>5</v>
      </c>
      <c r="AR7" s="132" t="str">
        <f>IFERROR((_xlfn.XLOOKUP(AH7,'DO NOT TOUCH'!$C$9:$C$14,'DO NOT TOUCH'!$D$9:$D$14,)),"TBD")</f>
        <v>TBD</v>
      </c>
      <c r="AS7" s="132">
        <f>INPUT_OUTPUTS!$C$19</f>
        <v>0</v>
      </c>
      <c r="AT7" s="120" t="s">
        <v>77</v>
      </c>
    </row>
    <row r="8" spans="1:54" ht="15" customHeight="1">
      <c r="B8" s="91" t="s">
        <v>54</v>
      </c>
      <c r="C8" s="123" t="s">
        <v>54</v>
      </c>
      <c r="D8" s="123">
        <v>1234</v>
      </c>
      <c r="E8" s="123">
        <v>200</v>
      </c>
      <c r="F8" s="123">
        <v>9.5</v>
      </c>
      <c r="G8" s="120" t="str">
        <f>VLOOKUP($K8,'UMC Table 4-A'!$A$2:$E$132,5,FALSE)</f>
        <v>NR</v>
      </c>
      <c r="H8" s="123"/>
      <c r="I8" s="120">
        <v>0</v>
      </c>
      <c r="J8" s="120">
        <f t="shared" si="0"/>
        <v>200</v>
      </c>
      <c r="K8" s="123" t="s">
        <v>73</v>
      </c>
      <c r="L8" s="120" t="str">
        <f>VLOOKUP($K8,'UMC Table 4-A'!$A$2:$E$132,2,FALSE)</f>
        <v>NR</v>
      </c>
      <c r="M8" s="120">
        <f>VLOOKUP($K8,'UMC Table 4-A'!$A$2:$E$132,3,FALSE)</f>
        <v>2</v>
      </c>
      <c r="N8" s="120">
        <f t="shared" si="1"/>
        <v>70</v>
      </c>
      <c r="O8" s="120">
        <f>VLOOKUP($K8,'UMC Table 4-A'!$A$2:$E$132,4,FALSE)</f>
        <v>4</v>
      </c>
      <c r="P8" s="120">
        <f t="shared" si="2"/>
        <v>130</v>
      </c>
      <c r="Q8" s="120" t="str">
        <f>VLOOKUP($K8,'UMC Table 4-A'!$A$2:$E$132,5,FALSE)</f>
        <v>NR</v>
      </c>
      <c r="R8" s="120" t="str">
        <f t="shared" si="3"/>
        <v>-</v>
      </c>
      <c r="S8" s="125">
        <f>IF(N8="Negative",V8-TABLE4A43919[[#This Row],[Desired Air Balance Difference]],CEILING(MAX(TABLE4A43919[[#This Row],[1 or 0.5 CFM/SF]],TABLE4A43919[[#This Row],[MIN TOTAL ACH 
(CFM)]],TABLE4A43919[[#This Row],[LOAD 
(CFM)]]),5))</f>
        <v>200</v>
      </c>
      <c r="T8" s="128">
        <f t="shared" si="4"/>
        <v>200</v>
      </c>
      <c r="U8" s="128">
        <f t="shared" ref="U8:U17" si="10">IF(Q8="Yes",0,IF(L8="Positive",IF(0.1*S8&gt;50,S8-0.1*S8,S8-50),IF(L8="Negative",IF(0.1*S8&gt;50,S8+0.1*S8,S8+50),S8)))</f>
        <v>200</v>
      </c>
      <c r="V8" s="128">
        <f t="shared" ref="V8:V17" si="11">IF(Q8="Yes",R8,0)</f>
        <v>0</v>
      </c>
      <c r="W8" s="126">
        <f t="shared" si="5"/>
        <v>0</v>
      </c>
      <c r="X8" s="129">
        <f t="shared" si="6"/>
        <v>1</v>
      </c>
      <c r="Y8" s="129">
        <f t="shared" ref="Y8:Y17" si="12">IFERROR(((N8/T8)*100),"-")</f>
        <v>35</v>
      </c>
      <c r="Z8" s="129">
        <f t="shared" ref="Z8:Z17" si="13">IFERROR((S8/E8/F8*60),"-")</f>
        <v>6.3157894736842106</v>
      </c>
      <c r="AA8" s="92" t="str">
        <f t="shared" si="7"/>
        <v>Yes</v>
      </c>
      <c r="AD8" s="131" t="s">
        <v>80</v>
      </c>
      <c r="AE8" s="131" t="s">
        <v>75</v>
      </c>
      <c r="AF8" s="131" t="s">
        <v>76</v>
      </c>
      <c r="AG8" s="120">
        <f t="shared" si="8"/>
        <v>0</v>
      </c>
      <c r="AH8" s="120" t="str">
        <f>IFERROR((VLOOKUP(AG8,'DO NOT TOUCH'!$B$9:$C$14,2,TRUE)),"TBD")</f>
        <v>TBD</v>
      </c>
      <c r="AI8" s="120">
        <f>AI7</f>
        <v>0.5</v>
      </c>
      <c r="AJ8" s="120">
        <f>INPUT_OUTPUTS!$C$16</f>
        <v>140</v>
      </c>
      <c r="AK8" s="120">
        <f>INPUT_OUTPUTS!$C$17</f>
        <v>100</v>
      </c>
      <c r="AL8" s="120">
        <f t="shared" ref="AL8:AM23" si="14">AL7</f>
        <v>55</v>
      </c>
      <c r="AM8" s="120">
        <f t="shared" si="14"/>
        <v>85</v>
      </c>
      <c r="AN8" s="120">
        <f t="shared" si="9"/>
        <v>0</v>
      </c>
      <c r="AO8" s="132">
        <f>(AN8*1000)/(500*(AJ8-AK8))</f>
        <v>0</v>
      </c>
      <c r="AP8" s="132">
        <f t="shared" ref="AP8:AP44" si="15">IF(AO8&lt;0.5,0.5,AO8)</f>
        <v>0.5</v>
      </c>
      <c r="AQ8" s="132">
        <f>AQ7</f>
        <v>5</v>
      </c>
      <c r="AR8" s="132" t="str">
        <f>IFERROR((_xlfn.XLOOKUP(AH8,'DO NOT TOUCH'!$C$9:$C$14,'DO NOT TOUCH'!$D$9:$D$14,)),"TBD")</f>
        <v>TBD</v>
      </c>
      <c r="AS8" s="132">
        <f>INPUT_OUTPUTS!$C$19</f>
        <v>0</v>
      </c>
      <c r="AT8" s="120" t="str">
        <f>AT7</f>
        <v>1, 2</v>
      </c>
    </row>
    <row r="9" spans="1:54" ht="15" customHeight="1">
      <c r="B9" s="91" t="s">
        <v>78</v>
      </c>
      <c r="C9" s="123" t="s">
        <v>54</v>
      </c>
      <c r="D9" s="123">
        <v>1234</v>
      </c>
      <c r="E9" s="123">
        <v>300</v>
      </c>
      <c r="F9" s="123">
        <v>10</v>
      </c>
      <c r="G9" s="120" t="str">
        <f>VLOOKUP($K9,'UMC Table 4-A'!$A$2:$E$132,5,FALSE)</f>
        <v>Yes</v>
      </c>
      <c r="H9" s="123"/>
      <c r="I9" s="120">
        <v>0</v>
      </c>
      <c r="J9" s="120">
        <f t="shared" si="0"/>
        <v>300</v>
      </c>
      <c r="K9" s="123" t="s">
        <v>79</v>
      </c>
      <c r="L9" s="133" t="str">
        <f>VLOOKUP($K9,'UMC Table 4-A'!$A$2:$E$132,2,FALSE)</f>
        <v>Negative</v>
      </c>
      <c r="M9" s="120" t="str">
        <f>VLOOKUP($K9,'UMC Table 4-A'!$A$2:$E$132,3,FALSE)</f>
        <v>NR</v>
      </c>
      <c r="N9" s="159">
        <f t="shared" si="1"/>
        <v>0</v>
      </c>
      <c r="O9" s="120">
        <f>VLOOKUP($K9,'UMC Table 4-A'!$A$2:$E$132,4,FALSE)</f>
        <v>10</v>
      </c>
      <c r="P9" s="120">
        <f t="shared" si="2"/>
        <v>500</v>
      </c>
      <c r="Q9" s="120" t="str">
        <f>VLOOKUP($K9,'UMC Table 4-A'!$A$2:$E$132,5,FALSE)</f>
        <v>Yes</v>
      </c>
      <c r="R9" s="120">
        <f t="shared" si="3"/>
        <v>500</v>
      </c>
      <c r="S9" s="125">
        <f>IF(N9="Negative",V9-TABLE4A43919[[#This Row],[Desired Air Balance Difference]],CEILING(MAX(TABLE4A43919[[#This Row],[1 or 0.5 CFM/SF]],TABLE4A43919[[#This Row],[MIN TOTAL ACH 
(CFM)]],TABLE4A43919[[#This Row],[LOAD 
(CFM)]]),5))</f>
        <v>500</v>
      </c>
      <c r="T9" s="128">
        <f t="shared" si="4"/>
        <v>500</v>
      </c>
      <c r="U9" s="128">
        <f t="shared" si="10"/>
        <v>0</v>
      </c>
      <c r="V9" s="128">
        <f t="shared" si="11"/>
        <v>500</v>
      </c>
      <c r="W9" s="126">
        <f t="shared" si="5"/>
        <v>0</v>
      </c>
      <c r="X9" s="129">
        <f t="shared" si="6"/>
        <v>1.6666666666666667</v>
      </c>
      <c r="Y9" s="129">
        <f t="shared" si="12"/>
        <v>0</v>
      </c>
      <c r="Z9" s="129">
        <f t="shared" si="13"/>
        <v>10.000000000000002</v>
      </c>
      <c r="AA9" s="90" t="str">
        <f t="shared" si="7"/>
        <v>Yes</v>
      </c>
      <c r="AD9" s="131" t="s">
        <v>83</v>
      </c>
      <c r="AE9" s="131" t="s">
        <v>75</v>
      </c>
      <c r="AF9" s="131" t="s">
        <v>76</v>
      </c>
      <c r="AG9" s="120">
        <f t="shared" si="8"/>
        <v>0</v>
      </c>
      <c r="AH9" s="120" t="str">
        <f>IFERROR((VLOOKUP(AG9,'DO NOT TOUCH'!$B$9:$C$14,2,TRUE)),"TBD")</f>
        <v>TBD</v>
      </c>
      <c r="AI9" s="120">
        <f t="shared" ref="AI9:AI44" si="16">AI8</f>
        <v>0.5</v>
      </c>
      <c r="AJ9" s="120">
        <f>INPUT_OUTPUTS!$C$16</f>
        <v>140</v>
      </c>
      <c r="AK9" s="120">
        <f>INPUT_OUTPUTS!$C$17</f>
        <v>100</v>
      </c>
      <c r="AL9" s="120">
        <f t="shared" si="14"/>
        <v>55</v>
      </c>
      <c r="AM9" s="120">
        <f t="shared" si="14"/>
        <v>85</v>
      </c>
      <c r="AN9" s="120">
        <f t="shared" si="9"/>
        <v>0</v>
      </c>
      <c r="AO9" s="132">
        <f t="shared" ref="AO9:AO44" si="17">(AN9*1000)/(500*(AJ9-AK9))</f>
        <v>0</v>
      </c>
      <c r="AP9" s="132">
        <f t="shared" si="15"/>
        <v>0.5</v>
      </c>
      <c r="AQ9" s="132">
        <f t="shared" ref="AQ9:AQ44" si="18">AQ8</f>
        <v>5</v>
      </c>
      <c r="AR9" s="132" t="str">
        <f>IFERROR((_xlfn.XLOOKUP(AH9,'DO NOT TOUCH'!$C$9:$C$14,'DO NOT TOUCH'!$D$9:$D$14,)),"TBD")</f>
        <v>TBD</v>
      </c>
      <c r="AS9" s="132">
        <f>INPUT_OUTPUTS!$C$19</f>
        <v>0</v>
      </c>
      <c r="AT9" s="120" t="str">
        <f t="shared" ref="AT9:AT44" si="19">AT8</f>
        <v>1, 2</v>
      </c>
    </row>
    <row r="10" spans="1:54" ht="15" customHeight="1">
      <c r="B10" s="91" t="s">
        <v>81</v>
      </c>
      <c r="C10" s="123" t="s">
        <v>54</v>
      </c>
      <c r="D10" s="123">
        <v>1234</v>
      </c>
      <c r="E10" s="123">
        <v>20</v>
      </c>
      <c r="F10" s="123">
        <v>10</v>
      </c>
      <c r="G10" s="120" t="str">
        <f>VLOOKUP($K10,'UMC Table 4-A'!$A$2:$E$132,5,FALSE)</f>
        <v>NR</v>
      </c>
      <c r="H10" s="123"/>
      <c r="I10" s="120">
        <v>0</v>
      </c>
      <c r="J10" s="120">
        <f t="shared" si="0"/>
        <v>20</v>
      </c>
      <c r="K10" s="123" t="s">
        <v>82</v>
      </c>
      <c r="L10" s="133" t="str">
        <f>VLOOKUP($K10,'UMC Table 4-A'!$A$2:$E$132,2,FALSE)</f>
        <v>NR</v>
      </c>
      <c r="M10" s="120">
        <f>VLOOKUP($K10,'UMC Table 4-A'!$A$2:$E$132,3,FALSE)</f>
        <v>2</v>
      </c>
      <c r="N10" s="159">
        <f t="shared" si="1"/>
        <v>10</v>
      </c>
      <c r="O10" s="120">
        <f>VLOOKUP($K10,'UMC Table 4-A'!$A$2:$E$132,4,FALSE)</f>
        <v>6</v>
      </c>
      <c r="P10" s="120">
        <f t="shared" si="2"/>
        <v>20</v>
      </c>
      <c r="Q10" s="120" t="str">
        <f>VLOOKUP($K10,'UMC Table 4-A'!$A$2:$E$132,5,FALSE)</f>
        <v>NR</v>
      </c>
      <c r="R10" s="120" t="str">
        <f t="shared" si="3"/>
        <v>-</v>
      </c>
      <c r="S10" s="125">
        <f>IF(N10="Negative",V10-TABLE4A43919[[#This Row],[Desired Air Balance Difference]],CEILING(MAX(TABLE4A43919[[#This Row],[1 or 0.5 CFM/SF]],TABLE4A43919[[#This Row],[MIN TOTAL ACH 
(CFM)]],TABLE4A43919[[#This Row],[LOAD 
(CFM)]]),5))</f>
        <v>20</v>
      </c>
      <c r="T10" s="128">
        <f t="shared" si="4"/>
        <v>20</v>
      </c>
      <c r="U10" s="128">
        <f t="shared" si="10"/>
        <v>20</v>
      </c>
      <c r="V10" s="128">
        <f t="shared" si="11"/>
        <v>0</v>
      </c>
      <c r="W10" s="126">
        <f t="shared" si="5"/>
        <v>0</v>
      </c>
      <c r="X10" s="129">
        <f t="shared" si="6"/>
        <v>1</v>
      </c>
      <c r="Y10" s="129">
        <f t="shared" si="12"/>
        <v>50</v>
      </c>
      <c r="Z10" s="129">
        <f t="shared" si="13"/>
        <v>6</v>
      </c>
      <c r="AA10" s="90" t="str">
        <f t="shared" si="7"/>
        <v>Yes</v>
      </c>
      <c r="AD10" s="131" t="s">
        <v>86</v>
      </c>
      <c r="AE10" s="131" t="s">
        <v>75</v>
      </c>
      <c r="AF10" s="131" t="s">
        <v>76</v>
      </c>
      <c r="AG10" s="120">
        <f t="shared" si="8"/>
        <v>0</v>
      </c>
      <c r="AH10" s="120" t="str">
        <f>IFERROR((VLOOKUP(AG10,'DO NOT TOUCH'!$B$9:$C$14,2,TRUE)),"TBD")</f>
        <v>TBD</v>
      </c>
      <c r="AI10" s="120">
        <f t="shared" si="16"/>
        <v>0.5</v>
      </c>
      <c r="AJ10" s="120">
        <f>INPUT_OUTPUTS!$C$16</f>
        <v>140</v>
      </c>
      <c r="AK10" s="120">
        <f>INPUT_OUTPUTS!$C$17</f>
        <v>100</v>
      </c>
      <c r="AL10" s="120">
        <f t="shared" si="14"/>
        <v>55</v>
      </c>
      <c r="AM10" s="120">
        <f t="shared" si="14"/>
        <v>85</v>
      </c>
      <c r="AN10" s="120">
        <f t="shared" si="9"/>
        <v>0</v>
      </c>
      <c r="AO10" s="132">
        <f t="shared" si="17"/>
        <v>0</v>
      </c>
      <c r="AP10" s="132">
        <f t="shared" si="15"/>
        <v>0.5</v>
      </c>
      <c r="AQ10" s="132">
        <f t="shared" si="18"/>
        <v>5</v>
      </c>
      <c r="AR10" s="132" t="str">
        <f>IFERROR((_xlfn.XLOOKUP(AH10,'DO NOT TOUCH'!$C$9:$C$14,'DO NOT TOUCH'!$D$9:$D$14,)),"TBD")</f>
        <v>TBD</v>
      </c>
      <c r="AS10" s="132">
        <f>INPUT_OUTPUTS!$C$19</f>
        <v>0</v>
      </c>
      <c r="AT10" s="120" t="str">
        <f t="shared" si="19"/>
        <v>1, 2</v>
      </c>
    </row>
    <row r="11" spans="1:54" ht="15" customHeight="1">
      <c r="B11" s="91" t="s">
        <v>84</v>
      </c>
      <c r="C11" s="123" t="s">
        <v>54</v>
      </c>
      <c r="D11" s="123">
        <v>1234</v>
      </c>
      <c r="E11" s="123">
        <v>36</v>
      </c>
      <c r="F11" s="123">
        <v>10</v>
      </c>
      <c r="G11" s="120" t="str">
        <f>VLOOKUP($K11,'UMC Table 4-A'!$A$2:$E$132,5,FALSE)</f>
        <v>NR</v>
      </c>
      <c r="H11" s="123"/>
      <c r="I11" s="120">
        <v>0</v>
      </c>
      <c r="J11" s="120">
        <f t="shared" si="0"/>
        <v>36</v>
      </c>
      <c r="K11" s="123" t="s">
        <v>73</v>
      </c>
      <c r="L11" s="133" t="str">
        <f>VLOOKUP($K11,'UMC Table 4-A'!$A$2:$E$132,2,FALSE)</f>
        <v>NR</v>
      </c>
      <c r="M11" s="120">
        <f>VLOOKUP($K11,'UMC Table 4-A'!$A$2:$E$132,3,FALSE)</f>
        <v>2</v>
      </c>
      <c r="N11" s="159">
        <f t="shared" si="1"/>
        <v>20</v>
      </c>
      <c r="O11" s="120">
        <f>VLOOKUP($K11,'UMC Table 4-A'!$A$2:$E$132,4,FALSE)</f>
        <v>4</v>
      </c>
      <c r="P11" s="120">
        <f t="shared" si="2"/>
        <v>30</v>
      </c>
      <c r="Q11" s="120" t="str">
        <f>VLOOKUP($K11,'UMC Table 4-A'!$A$2:$E$132,5,FALSE)</f>
        <v>NR</v>
      </c>
      <c r="R11" s="120" t="str">
        <f t="shared" si="3"/>
        <v>-</v>
      </c>
      <c r="S11" s="125">
        <f>IF(N11="Negative",V11-TABLE4A43919[[#This Row],[Desired Air Balance Difference]],CEILING(MAX(TABLE4A43919[[#This Row],[1 or 0.5 CFM/SF]],TABLE4A43919[[#This Row],[MIN TOTAL ACH 
(CFM)]],TABLE4A43919[[#This Row],[LOAD 
(CFM)]]),5))</f>
        <v>40</v>
      </c>
      <c r="T11" s="128">
        <f t="shared" si="4"/>
        <v>40</v>
      </c>
      <c r="U11" s="128">
        <f t="shared" si="10"/>
        <v>40</v>
      </c>
      <c r="V11" s="128">
        <f t="shared" si="11"/>
        <v>0</v>
      </c>
      <c r="W11" s="126">
        <f t="shared" si="5"/>
        <v>0</v>
      </c>
      <c r="X11" s="129">
        <f t="shared" si="6"/>
        <v>1.1111111111111112</v>
      </c>
      <c r="Y11" s="129">
        <f t="shared" si="12"/>
        <v>50</v>
      </c>
      <c r="Z11" s="129">
        <f t="shared" si="13"/>
        <v>6.666666666666667</v>
      </c>
      <c r="AA11" s="90" t="str">
        <f t="shared" si="7"/>
        <v>Yes</v>
      </c>
      <c r="AD11" s="131" t="s">
        <v>87</v>
      </c>
      <c r="AE11" s="131" t="s">
        <v>75</v>
      </c>
      <c r="AF11" s="131" t="s">
        <v>76</v>
      </c>
      <c r="AG11" s="120">
        <f t="shared" si="8"/>
        <v>0</v>
      </c>
      <c r="AH11" s="120" t="str">
        <f>IFERROR((VLOOKUP(AG11,'DO NOT TOUCH'!$B$9:$C$14,2,TRUE)),"TBD")</f>
        <v>TBD</v>
      </c>
      <c r="AI11" s="120">
        <f t="shared" si="16"/>
        <v>0.5</v>
      </c>
      <c r="AJ11" s="120">
        <f>INPUT_OUTPUTS!$C$16</f>
        <v>140</v>
      </c>
      <c r="AK11" s="120">
        <f>INPUT_OUTPUTS!$C$17</f>
        <v>100</v>
      </c>
      <c r="AL11" s="120">
        <f t="shared" si="14"/>
        <v>55</v>
      </c>
      <c r="AM11" s="120">
        <f t="shared" si="14"/>
        <v>85</v>
      </c>
      <c r="AN11" s="120">
        <f t="shared" si="9"/>
        <v>0</v>
      </c>
      <c r="AO11" s="132">
        <f t="shared" si="17"/>
        <v>0</v>
      </c>
      <c r="AP11" s="132">
        <f t="shared" si="15"/>
        <v>0.5</v>
      </c>
      <c r="AQ11" s="132">
        <f t="shared" si="18"/>
        <v>5</v>
      </c>
      <c r="AR11" s="132" t="str">
        <f>IFERROR((_xlfn.XLOOKUP(AH11,'DO NOT TOUCH'!$C$9:$C$14,'DO NOT TOUCH'!$D$9:$D$14,)),"TBD")</f>
        <v>TBD</v>
      </c>
      <c r="AS11" s="132">
        <f>INPUT_OUTPUTS!$C$19</f>
        <v>0</v>
      </c>
      <c r="AT11" s="120" t="str">
        <f t="shared" si="19"/>
        <v>1, 2</v>
      </c>
    </row>
    <row r="12" spans="1:54" ht="15" customHeight="1">
      <c r="B12" s="91" t="s">
        <v>84</v>
      </c>
      <c r="C12" s="123" t="s">
        <v>54</v>
      </c>
      <c r="D12" s="123">
        <v>1234</v>
      </c>
      <c r="E12" s="123">
        <v>212</v>
      </c>
      <c r="F12" s="123">
        <v>10</v>
      </c>
      <c r="G12" s="120" t="str">
        <f>VLOOKUP($K12,'UMC Table 4-A'!$A$2:$E$132,5,FALSE)</f>
        <v>NR</v>
      </c>
      <c r="H12" s="123"/>
      <c r="I12" s="120">
        <v>0</v>
      </c>
      <c r="J12" s="120">
        <f t="shared" si="0"/>
        <v>212</v>
      </c>
      <c r="K12" s="123" t="s">
        <v>73</v>
      </c>
      <c r="L12" s="133" t="str">
        <f>VLOOKUP($K12,'UMC Table 4-A'!$A$2:$E$132,2,FALSE)</f>
        <v>NR</v>
      </c>
      <c r="M12" s="120">
        <f>VLOOKUP($K12,'UMC Table 4-A'!$A$2:$E$132,3,FALSE)</f>
        <v>2</v>
      </c>
      <c r="N12" s="159">
        <f t="shared" si="1"/>
        <v>80</v>
      </c>
      <c r="O12" s="120">
        <f>VLOOKUP($K12,'UMC Table 4-A'!$A$2:$E$132,4,FALSE)</f>
        <v>4</v>
      </c>
      <c r="P12" s="120">
        <f t="shared" si="2"/>
        <v>150</v>
      </c>
      <c r="Q12" s="120" t="str">
        <f>VLOOKUP($K12,'UMC Table 4-A'!$A$2:$E$132,5,FALSE)</f>
        <v>NR</v>
      </c>
      <c r="R12" s="120" t="str">
        <f t="shared" si="3"/>
        <v>-</v>
      </c>
      <c r="S12" s="125">
        <f>IF(N12="Negative",V12-TABLE4A43919[[#This Row],[Desired Air Balance Difference]],CEILING(MAX(TABLE4A43919[[#This Row],[1 or 0.5 CFM/SF]],TABLE4A43919[[#This Row],[MIN TOTAL ACH 
(CFM)]],TABLE4A43919[[#This Row],[LOAD 
(CFM)]]),5))</f>
        <v>215</v>
      </c>
      <c r="T12" s="128">
        <f t="shared" si="4"/>
        <v>215</v>
      </c>
      <c r="U12" s="128">
        <f t="shared" si="10"/>
        <v>215</v>
      </c>
      <c r="V12" s="128">
        <f t="shared" si="11"/>
        <v>0</v>
      </c>
      <c r="W12" s="126">
        <f t="shared" si="5"/>
        <v>0</v>
      </c>
      <c r="X12" s="129">
        <f t="shared" si="6"/>
        <v>1.0141509433962264</v>
      </c>
      <c r="Y12" s="129">
        <f t="shared" si="12"/>
        <v>37.209302325581397</v>
      </c>
      <c r="Z12" s="129">
        <f t="shared" si="13"/>
        <v>6.0849056603773581</v>
      </c>
      <c r="AA12" s="90" t="str">
        <f t="shared" si="7"/>
        <v>Yes</v>
      </c>
      <c r="AD12" s="131" t="s">
        <v>90</v>
      </c>
      <c r="AE12" s="131" t="s">
        <v>75</v>
      </c>
      <c r="AF12" s="131" t="s">
        <v>76</v>
      </c>
      <c r="AG12" s="120">
        <f t="shared" si="8"/>
        <v>0</v>
      </c>
      <c r="AH12" s="120" t="str">
        <f>IFERROR((VLOOKUP(AG12,'DO NOT TOUCH'!$B$9:$C$14,2,TRUE)),"TBD")</f>
        <v>TBD</v>
      </c>
      <c r="AI12" s="120">
        <f t="shared" si="16"/>
        <v>0.5</v>
      </c>
      <c r="AJ12" s="120">
        <f>INPUT_OUTPUTS!$C$16</f>
        <v>140</v>
      </c>
      <c r="AK12" s="120">
        <f>INPUT_OUTPUTS!$C$17</f>
        <v>100</v>
      </c>
      <c r="AL12" s="120">
        <f t="shared" si="14"/>
        <v>55</v>
      </c>
      <c r="AM12" s="120">
        <f t="shared" si="14"/>
        <v>85</v>
      </c>
      <c r="AN12" s="120">
        <f t="shared" si="9"/>
        <v>0</v>
      </c>
      <c r="AO12" s="132">
        <f t="shared" si="17"/>
        <v>0</v>
      </c>
      <c r="AP12" s="132">
        <f t="shared" si="15"/>
        <v>0.5</v>
      </c>
      <c r="AQ12" s="132">
        <f t="shared" si="18"/>
        <v>5</v>
      </c>
      <c r="AR12" s="132" t="str">
        <f>IFERROR((_xlfn.XLOOKUP(AH12,'DO NOT TOUCH'!$C$9:$C$14,'DO NOT TOUCH'!$D$9:$D$14,)),"TBD")</f>
        <v>TBD</v>
      </c>
      <c r="AS12" s="132">
        <f>INPUT_OUTPUTS!$C$19</f>
        <v>0</v>
      </c>
      <c r="AT12" s="120" t="str">
        <f t="shared" si="19"/>
        <v>1, 2</v>
      </c>
    </row>
    <row r="13" spans="1:54" ht="15" customHeight="1">
      <c r="B13" s="91" t="s">
        <v>88</v>
      </c>
      <c r="C13" s="123" t="s">
        <v>54</v>
      </c>
      <c r="D13" s="123">
        <v>1234</v>
      </c>
      <c r="E13" s="123">
        <v>27</v>
      </c>
      <c r="F13" s="123">
        <v>10</v>
      </c>
      <c r="G13" s="120" t="str">
        <f>VLOOKUP($K13,'UMC Table 4-A'!$A$2:$E$132,5,FALSE)</f>
        <v>NR</v>
      </c>
      <c r="H13" s="123"/>
      <c r="I13" s="120">
        <v>0</v>
      </c>
      <c r="J13" s="120">
        <f t="shared" si="0"/>
        <v>27</v>
      </c>
      <c r="K13" s="123" t="s">
        <v>281</v>
      </c>
      <c r="L13" s="133" t="str">
        <f>VLOOKUP($K13,'UMC Table 4-A'!$A$2:$E$132,2,FALSE)</f>
        <v>NR</v>
      </c>
      <c r="M13" s="120">
        <f>VLOOKUP($K13,'UMC Table 4-A'!$A$2:$E$132,3,FALSE)</f>
        <v>2</v>
      </c>
      <c r="N13" s="159">
        <f t="shared" si="1"/>
        <v>10</v>
      </c>
      <c r="O13" s="120">
        <f>VLOOKUP($K13,'UMC Table 4-A'!$A$2:$E$132,4,FALSE)</f>
        <v>6</v>
      </c>
      <c r="P13" s="120">
        <f t="shared" si="2"/>
        <v>30</v>
      </c>
      <c r="Q13" s="120" t="str">
        <f>VLOOKUP($K13,'UMC Table 4-A'!$A$2:$E$132,5,FALSE)</f>
        <v>NR</v>
      </c>
      <c r="R13" s="120" t="str">
        <f t="shared" si="3"/>
        <v>-</v>
      </c>
      <c r="S13" s="125">
        <f>IF(N13="Negative",V13-TABLE4A43919[[#This Row],[Desired Air Balance Difference]],CEILING(MAX(TABLE4A43919[[#This Row],[1 or 0.5 CFM/SF]],TABLE4A43919[[#This Row],[MIN TOTAL ACH 
(CFM)]],TABLE4A43919[[#This Row],[LOAD 
(CFM)]]),5))</f>
        <v>30</v>
      </c>
      <c r="T13" s="128">
        <f t="shared" si="4"/>
        <v>30</v>
      </c>
      <c r="U13" s="128">
        <f t="shared" si="10"/>
        <v>30</v>
      </c>
      <c r="V13" s="128">
        <f t="shared" si="11"/>
        <v>0</v>
      </c>
      <c r="W13" s="126">
        <f t="shared" si="5"/>
        <v>0</v>
      </c>
      <c r="X13" s="129">
        <f t="shared" si="6"/>
        <v>1.1111111111111112</v>
      </c>
      <c r="Y13" s="129">
        <f t="shared" si="12"/>
        <v>33.333333333333329</v>
      </c>
      <c r="Z13" s="129">
        <f t="shared" si="13"/>
        <v>6.666666666666667</v>
      </c>
      <c r="AA13" s="90" t="str">
        <f t="shared" si="7"/>
        <v>Yes</v>
      </c>
      <c r="AD13" s="17" t="s">
        <v>92</v>
      </c>
      <c r="AE13" s="131" t="s">
        <v>75</v>
      </c>
      <c r="AF13" s="131" t="s">
        <v>76</v>
      </c>
      <c r="AG13" s="120">
        <f t="shared" si="8"/>
        <v>0</v>
      </c>
      <c r="AH13" s="120" t="str">
        <f>IFERROR((VLOOKUP(AG13,'DO NOT TOUCH'!$B$9:$C$14,2,TRUE)),"TBD")</f>
        <v>TBD</v>
      </c>
      <c r="AI13" s="120">
        <f t="shared" si="16"/>
        <v>0.5</v>
      </c>
      <c r="AJ13" s="120">
        <f>INPUT_OUTPUTS!$C$16</f>
        <v>140</v>
      </c>
      <c r="AK13" s="120">
        <f>INPUT_OUTPUTS!$C$17</f>
        <v>100</v>
      </c>
      <c r="AL13" s="120">
        <f t="shared" si="14"/>
        <v>55</v>
      </c>
      <c r="AM13" s="120">
        <f t="shared" si="14"/>
        <v>85</v>
      </c>
      <c r="AN13" s="120">
        <f t="shared" si="9"/>
        <v>0</v>
      </c>
      <c r="AO13" s="132">
        <f t="shared" si="17"/>
        <v>0</v>
      </c>
      <c r="AP13" s="132">
        <f t="shared" si="15"/>
        <v>0.5</v>
      </c>
      <c r="AQ13" s="132">
        <f t="shared" si="18"/>
        <v>5</v>
      </c>
      <c r="AR13" s="132" t="str">
        <f>IFERROR((_xlfn.XLOOKUP(AH13,'DO NOT TOUCH'!$C$9:$C$14,'DO NOT TOUCH'!$D$9:$D$14,)),"TBD")</f>
        <v>TBD</v>
      </c>
      <c r="AS13" s="132">
        <f>INPUT_OUTPUTS!$C$19</f>
        <v>0</v>
      </c>
      <c r="AT13" s="90" t="str">
        <f t="shared" si="19"/>
        <v>1, 2</v>
      </c>
    </row>
    <row r="14" spans="1:54" ht="15" customHeight="1">
      <c r="B14" s="91" t="s">
        <v>91</v>
      </c>
      <c r="C14" s="123" t="s">
        <v>54</v>
      </c>
      <c r="D14" s="123">
        <v>1234</v>
      </c>
      <c r="E14" s="123">
        <v>111</v>
      </c>
      <c r="F14" s="123">
        <v>10</v>
      </c>
      <c r="G14" s="120" t="str">
        <f>VLOOKUP($K14,'UMC Table 4-A'!$A$2:$E$132,5,FALSE)</f>
        <v>NR</v>
      </c>
      <c r="H14" s="123"/>
      <c r="I14" s="120">
        <v>0</v>
      </c>
      <c r="J14" s="120">
        <f t="shared" si="0"/>
        <v>111</v>
      </c>
      <c r="K14" s="123" t="s">
        <v>73</v>
      </c>
      <c r="L14" s="133" t="str">
        <f>VLOOKUP($K14,'UMC Table 4-A'!$A$2:$E$132,2,FALSE)</f>
        <v>NR</v>
      </c>
      <c r="M14" s="120">
        <f>VLOOKUP($K14,'UMC Table 4-A'!$A$2:$E$132,3,FALSE)</f>
        <v>2</v>
      </c>
      <c r="N14" s="159">
        <f t="shared" si="1"/>
        <v>40</v>
      </c>
      <c r="O14" s="120">
        <f>VLOOKUP($K14,'UMC Table 4-A'!$A$2:$E$132,4,FALSE)</f>
        <v>4</v>
      </c>
      <c r="P14" s="120">
        <f t="shared" si="2"/>
        <v>80</v>
      </c>
      <c r="Q14" s="120" t="str">
        <f>VLOOKUP($K14,'UMC Table 4-A'!$A$2:$E$132,5,FALSE)</f>
        <v>NR</v>
      </c>
      <c r="R14" s="120" t="str">
        <f t="shared" si="3"/>
        <v>-</v>
      </c>
      <c r="S14" s="125">
        <f>IF(N14="Negative",V14-TABLE4A43919[[#This Row],[Desired Air Balance Difference]],CEILING(MAX(TABLE4A43919[[#This Row],[1 or 0.5 CFM/SF]],TABLE4A43919[[#This Row],[MIN TOTAL ACH 
(CFM)]],TABLE4A43919[[#This Row],[LOAD 
(CFM)]]),5))</f>
        <v>115</v>
      </c>
      <c r="T14" s="128">
        <f t="shared" si="4"/>
        <v>115</v>
      </c>
      <c r="U14" s="128">
        <f t="shared" si="10"/>
        <v>115</v>
      </c>
      <c r="V14" s="128">
        <f t="shared" si="11"/>
        <v>0</v>
      </c>
      <c r="W14" s="126">
        <f t="shared" si="5"/>
        <v>0</v>
      </c>
      <c r="X14" s="129">
        <f t="shared" si="6"/>
        <v>1.0360360360360361</v>
      </c>
      <c r="Y14" s="129">
        <f t="shared" si="12"/>
        <v>34.782608695652172</v>
      </c>
      <c r="Z14" s="129">
        <f t="shared" si="13"/>
        <v>6.2162162162162167</v>
      </c>
      <c r="AA14" s="90" t="str">
        <f t="shared" si="7"/>
        <v>Yes</v>
      </c>
      <c r="AD14" s="17" t="s">
        <v>93</v>
      </c>
      <c r="AE14" s="131" t="s">
        <v>75</v>
      </c>
      <c r="AF14" s="131" t="s">
        <v>76</v>
      </c>
      <c r="AG14" s="120">
        <f t="shared" si="8"/>
        <v>0</v>
      </c>
      <c r="AH14" s="120" t="str">
        <f>IFERROR((VLOOKUP(AG14,'DO NOT TOUCH'!$B$9:$C$14,2,TRUE)),"TBD")</f>
        <v>TBD</v>
      </c>
      <c r="AI14" s="120">
        <f t="shared" si="16"/>
        <v>0.5</v>
      </c>
      <c r="AJ14" s="120">
        <f>INPUT_OUTPUTS!$C$16</f>
        <v>140</v>
      </c>
      <c r="AK14" s="120">
        <f>INPUT_OUTPUTS!$C$17</f>
        <v>100</v>
      </c>
      <c r="AL14" s="120">
        <f t="shared" si="14"/>
        <v>55</v>
      </c>
      <c r="AM14" s="120">
        <f t="shared" si="14"/>
        <v>85</v>
      </c>
      <c r="AN14" s="120">
        <f t="shared" si="9"/>
        <v>0</v>
      </c>
      <c r="AO14" s="132">
        <f t="shared" si="17"/>
        <v>0</v>
      </c>
      <c r="AP14" s="132">
        <f t="shared" si="15"/>
        <v>0.5</v>
      </c>
      <c r="AQ14" s="132">
        <f t="shared" si="18"/>
        <v>5</v>
      </c>
      <c r="AR14" s="132" t="str">
        <f>IFERROR((_xlfn.XLOOKUP(AH14,'DO NOT TOUCH'!$C$9:$C$14,'DO NOT TOUCH'!$D$9:$D$14,)),"TBD")</f>
        <v>TBD</v>
      </c>
      <c r="AS14" s="132">
        <f>INPUT_OUTPUTS!$C$19</f>
        <v>0</v>
      </c>
      <c r="AT14" s="90" t="str">
        <f t="shared" si="19"/>
        <v>1, 2</v>
      </c>
    </row>
    <row r="15" spans="1:54" ht="15" customHeight="1">
      <c r="B15" s="91" t="s">
        <v>91</v>
      </c>
      <c r="C15" s="123" t="s">
        <v>54</v>
      </c>
      <c r="D15" s="123">
        <v>1234</v>
      </c>
      <c r="E15" s="123">
        <v>256</v>
      </c>
      <c r="F15" s="123">
        <v>10</v>
      </c>
      <c r="G15" s="120" t="str">
        <f>VLOOKUP($K15,'UMC Table 4-A'!$A$2:$E$132,5,FALSE)</f>
        <v>NR</v>
      </c>
      <c r="H15" s="123"/>
      <c r="I15" s="120">
        <v>0</v>
      </c>
      <c r="J15" s="120">
        <f t="shared" si="0"/>
        <v>256</v>
      </c>
      <c r="K15" s="123" t="s">
        <v>73</v>
      </c>
      <c r="L15" s="133" t="str">
        <f>VLOOKUP($K15,'UMC Table 4-A'!$A$2:$E$132,2,FALSE)</f>
        <v>NR</v>
      </c>
      <c r="M15" s="120">
        <f>VLOOKUP($K15,'UMC Table 4-A'!$A$2:$E$132,3,FALSE)</f>
        <v>2</v>
      </c>
      <c r="N15" s="159">
        <f t="shared" si="1"/>
        <v>90</v>
      </c>
      <c r="O15" s="120">
        <f>VLOOKUP($K15,'UMC Table 4-A'!$A$2:$E$132,4,FALSE)</f>
        <v>4</v>
      </c>
      <c r="P15" s="120">
        <f t="shared" si="2"/>
        <v>180</v>
      </c>
      <c r="Q15" s="120" t="str">
        <f>VLOOKUP($K15,'UMC Table 4-A'!$A$2:$E$132,5,FALSE)</f>
        <v>NR</v>
      </c>
      <c r="R15" s="120" t="str">
        <f t="shared" si="3"/>
        <v>-</v>
      </c>
      <c r="S15" s="125">
        <f>IF(N15="Negative",V15-TABLE4A43919[[#This Row],[Desired Air Balance Difference]],CEILING(MAX(TABLE4A43919[[#This Row],[1 or 0.5 CFM/SF]],TABLE4A43919[[#This Row],[MIN TOTAL ACH 
(CFM)]],TABLE4A43919[[#This Row],[LOAD 
(CFM)]]),5))</f>
        <v>260</v>
      </c>
      <c r="T15" s="128">
        <f t="shared" si="4"/>
        <v>260</v>
      </c>
      <c r="U15" s="128">
        <f t="shared" si="10"/>
        <v>260</v>
      </c>
      <c r="V15" s="128">
        <f t="shared" si="11"/>
        <v>0</v>
      </c>
      <c r="W15" s="126">
        <f t="shared" si="5"/>
        <v>0</v>
      </c>
      <c r="X15" s="129">
        <f t="shared" si="6"/>
        <v>1.015625</v>
      </c>
      <c r="Y15" s="129">
        <f t="shared" si="12"/>
        <v>34.615384615384613</v>
      </c>
      <c r="Z15" s="129">
        <f t="shared" si="13"/>
        <v>6.09375</v>
      </c>
      <c r="AA15" s="90" t="str">
        <f t="shared" si="7"/>
        <v>Yes</v>
      </c>
      <c r="AD15" s="17" t="s">
        <v>97</v>
      </c>
      <c r="AE15" s="131" t="s">
        <v>75</v>
      </c>
      <c r="AF15" s="131" t="s">
        <v>76</v>
      </c>
      <c r="AG15" s="120">
        <f t="shared" si="8"/>
        <v>0</v>
      </c>
      <c r="AH15" s="120" t="str">
        <f>IFERROR((VLOOKUP(AG15,'DO NOT TOUCH'!$B$9:$C$14,2,TRUE)),"TBD")</f>
        <v>TBD</v>
      </c>
      <c r="AI15" s="120">
        <f t="shared" si="16"/>
        <v>0.5</v>
      </c>
      <c r="AJ15" s="120">
        <f>INPUT_OUTPUTS!$C$16</f>
        <v>140</v>
      </c>
      <c r="AK15" s="120">
        <f>INPUT_OUTPUTS!$C$17</f>
        <v>100</v>
      </c>
      <c r="AL15" s="120">
        <f t="shared" si="14"/>
        <v>55</v>
      </c>
      <c r="AM15" s="120">
        <f t="shared" si="14"/>
        <v>85</v>
      </c>
      <c r="AN15" s="120">
        <f t="shared" si="9"/>
        <v>0</v>
      </c>
      <c r="AO15" s="132">
        <f t="shared" si="17"/>
        <v>0</v>
      </c>
      <c r="AP15" s="132">
        <f t="shared" si="15"/>
        <v>0.5</v>
      </c>
      <c r="AQ15" s="132">
        <f t="shared" si="18"/>
        <v>5</v>
      </c>
      <c r="AR15" s="132" t="str">
        <f>IFERROR((_xlfn.XLOOKUP(AH15,'DO NOT TOUCH'!$C$9:$C$14,'DO NOT TOUCH'!$D$9:$D$14,)),"TBD")</f>
        <v>TBD</v>
      </c>
      <c r="AS15" s="132">
        <f>INPUT_OUTPUTS!$C$19</f>
        <v>0</v>
      </c>
      <c r="AT15" s="90" t="str">
        <f t="shared" si="19"/>
        <v>1, 2</v>
      </c>
    </row>
    <row r="16" spans="1:54" ht="15" customHeight="1">
      <c r="B16" s="91" t="s">
        <v>94</v>
      </c>
      <c r="C16" s="123" t="s">
        <v>54</v>
      </c>
      <c r="D16" s="123">
        <v>1234</v>
      </c>
      <c r="E16" s="123">
        <v>2347</v>
      </c>
      <c r="F16" s="123">
        <v>10</v>
      </c>
      <c r="G16" s="120" t="str">
        <f>VLOOKUP($K16,'UMC Table 4-A'!$A$2:$E$132,5,FALSE)</f>
        <v>NR</v>
      </c>
      <c r="H16" s="123"/>
      <c r="I16" s="120">
        <v>0</v>
      </c>
      <c r="J16" s="120">
        <f t="shared" si="0"/>
        <v>2347</v>
      </c>
      <c r="K16" s="123" t="s">
        <v>73</v>
      </c>
      <c r="L16" s="133" t="str">
        <f>VLOOKUP($K16,'UMC Table 4-A'!$A$2:$E$132,2,FALSE)</f>
        <v>NR</v>
      </c>
      <c r="M16" s="120">
        <f>VLOOKUP($K16,'UMC Table 4-A'!$A$2:$E$132,3,FALSE)</f>
        <v>2</v>
      </c>
      <c r="N16" s="159">
        <f t="shared" si="1"/>
        <v>790</v>
      </c>
      <c r="O16" s="120">
        <f>VLOOKUP($K16,'UMC Table 4-A'!$A$2:$E$132,4,FALSE)</f>
        <v>4</v>
      </c>
      <c r="P16" s="120">
        <f t="shared" si="2"/>
        <v>1570</v>
      </c>
      <c r="Q16" s="120" t="str">
        <f>VLOOKUP($K16,'UMC Table 4-A'!$A$2:$E$132,5,FALSE)</f>
        <v>NR</v>
      </c>
      <c r="R16" s="120" t="str">
        <f t="shared" si="3"/>
        <v>-</v>
      </c>
      <c r="S16" s="125">
        <f>IF(N16="Negative",V16-TABLE4A43919[[#This Row],[Desired Air Balance Difference]],CEILING(MAX(TABLE4A43919[[#This Row],[1 or 0.5 CFM/SF]],TABLE4A43919[[#This Row],[MIN TOTAL ACH 
(CFM)]],TABLE4A43919[[#This Row],[LOAD 
(CFM)]]),5))</f>
        <v>2350</v>
      </c>
      <c r="T16" s="128">
        <f t="shared" si="4"/>
        <v>2350</v>
      </c>
      <c r="U16" s="128">
        <f t="shared" si="10"/>
        <v>2350</v>
      </c>
      <c r="V16" s="128">
        <f t="shared" si="11"/>
        <v>0</v>
      </c>
      <c r="W16" s="126">
        <f t="shared" si="5"/>
        <v>0</v>
      </c>
      <c r="X16" s="129">
        <f t="shared" si="6"/>
        <v>1.0012782275244994</v>
      </c>
      <c r="Y16" s="129">
        <f t="shared" si="12"/>
        <v>33.617021276595743</v>
      </c>
      <c r="Z16" s="129">
        <f t="shared" si="13"/>
        <v>6.0076693651469961</v>
      </c>
      <c r="AA16" s="90" t="str">
        <f t="shared" si="7"/>
        <v>Yes</v>
      </c>
      <c r="AD16" s="17" t="s">
        <v>99</v>
      </c>
      <c r="AE16" s="131" t="s">
        <v>75</v>
      </c>
      <c r="AF16" s="131" t="s">
        <v>76</v>
      </c>
      <c r="AG16" s="120">
        <f t="shared" si="8"/>
        <v>0</v>
      </c>
      <c r="AH16" s="120" t="str">
        <f>IFERROR((VLOOKUP(AG16,'DO NOT TOUCH'!$B$9:$C$14,2,TRUE)),"TBD")</f>
        <v>TBD</v>
      </c>
      <c r="AI16" s="120">
        <f t="shared" si="16"/>
        <v>0.5</v>
      </c>
      <c r="AJ16" s="120">
        <f>INPUT_OUTPUTS!$C$16</f>
        <v>140</v>
      </c>
      <c r="AK16" s="120">
        <f>INPUT_OUTPUTS!$C$17</f>
        <v>100</v>
      </c>
      <c r="AL16" s="120">
        <f t="shared" si="14"/>
        <v>55</v>
      </c>
      <c r="AM16" s="120">
        <f t="shared" si="14"/>
        <v>85</v>
      </c>
      <c r="AN16" s="120">
        <f t="shared" si="9"/>
        <v>0</v>
      </c>
      <c r="AO16" s="132">
        <f t="shared" si="17"/>
        <v>0</v>
      </c>
      <c r="AP16" s="132">
        <f t="shared" si="15"/>
        <v>0.5</v>
      </c>
      <c r="AQ16" s="132">
        <f t="shared" si="18"/>
        <v>5</v>
      </c>
      <c r="AR16" s="132" t="str">
        <f>IFERROR((_xlfn.XLOOKUP(AH16,'DO NOT TOUCH'!$C$9:$C$14,'DO NOT TOUCH'!$D$9:$D$14,)),"TBD")</f>
        <v>TBD</v>
      </c>
      <c r="AS16" s="132">
        <f>INPUT_OUTPUTS!$C$19</f>
        <v>0</v>
      </c>
      <c r="AT16" s="90" t="str">
        <f t="shared" si="19"/>
        <v>1, 2</v>
      </c>
    </row>
    <row r="17" spans="2:46" ht="15" customHeight="1">
      <c r="B17" s="91" t="s">
        <v>98</v>
      </c>
      <c r="C17" s="123" t="s">
        <v>54</v>
      </c>
      <c r="D17" s="123">
        <v>1234</v>
      </c>
      <c r="E17" s="123">
        <v>454</v>
      </c>
      <c r="F17" s="123">
        <v>10</v>
      </c>
      <c r="G17" s="120" t="str">
        <f>VLOOKUP($K17,'UMC Table 4-A'!$A$2:$E$132,5,FALSE)</f>
        <v>NR</v>
      </c>
      <c r="H17" s="123"/>
      <c r="I17" s="120">
        <v>0</v>
      </c>
      <c r="J17" s="120">
        <f t="shared" si="0"/>
        <v>454</v>
      </c>
      <c r="K17" s="123" t="s">
        <v>73</v>
      </c>
      <c r="L17" s="133" t="str">
        <f>VLOOKUP($K17,'UMC Table 4-A'!$A$2:$E$132,2,FALSE)</f>
        <v>NR</v>
      </c>
      <c r="M17" s="120">
        <f>VLOOKUP($K17,'UMC Table 4-A'!$A$2:$E$132,3,FALSE)</f>
        <v>2</v>
      </c>
      <c r="N17" s="159">
        <f t="shared" si="1"/>
        <v>160</v>
      </c>
      <c r="O17" s="120">
        <f>VLOOKUP($K17,'UMC Table 4-A'!$A$2:$E$132,4,FALSE)</f>
        <v>4</v>
      </c>
      <c r="P17" s="120">
        <f t="shared" si="2"/>
        <v>310</v>
      </c>
      <c r="Q17" s="120" t="str">
        <f>VLOOKUP($K17,'UMC Table 4-A'!$A$2:$E$132,5,FALSE)</f>
        <v>NR</v>
      </c>
      <c r="R17" s="120" t="str">
        <f t="shared" si="3"/>
        <v>-</v>
      </c>
      <c r="S17" s="125">
        <f>IF(N17="Negative",V17-TABLE4A43919[[#This Row],[Desired Air Balance Difference]],CEILING(MAX(TABLE4A43919[[#This Row],[1 or 0.5 CFM/SF]],TABLE4A43919[[#This Row],[MIN TOTAL ACH 
(CFM)]],TABLE4A43919[[#This Row],[LOAD 
(CFM)]]),5))</f>
        <v>455</v>
      </c>
      <c r="T17" s="128">
        <f t="shared" si="4"/>
        <v>455</v>
      </c>
      <c r="U17" s="128">
        <f t="shared" si="10"/>
        <v>455</v>
      </c>
      <c r="V17" s="128">
        <f t="shared" si="11"/>
        <v>0</v>
      </c>
      <c r="W17" s="126">
        <f t="shared" si="5"/>
        <v>0</v>
      </c>
      <c r="X17" s="129">
        <f t="shared" si="6"/>
        <v>1.0022026431718061</v>
      </c>
      <c r="Y17" s="129">
        <f t="shared" si="12"/>
        <v>35.164835164835168</v>
      </c>
      <c r="Z17" s="129">
        <f t="shared" si="13"/>
        <v>6.0132158590308364</v>
      </c>
      <c r="AA17" s="90" t="str">
        <f t="shared" si="7"/>
        <v>Yes</v>
      </c>
      <c r="AD17" s="17" t="s">
        <v>100</v>
      </c>
      <c r="AE17" s="131" t="s">
        <v>75</v>
      </c>
      <c r="AF17" s="131" t="s">
        <v>76</v>
      </c>
      <c r="AG17" s="120">
        <f t="shared" si="8"/>
        <v>0</v>
      </c>
      <c r="AH17" s="120" t="str">
        <f>IFERROR((VLOOKUP(AG17,'DO NOT TOUCH'!$B$9:$C$14,2,TRUE)),"TBD")</f>
        <v>TBD</v>
      </c>
      <c r="AI17" s="120">
        <f t="shared" si="16"/>
        <v>0.5</v>
      </c>
      <c r="AJ17" s="120">
        <f>INPUT_OUTPUTS!$C$16</f>
        <v>140</v>
      </c>
      <c r="AK17" s="120">
        <f>INPUT_OUTPUTS!$C$17</f>
        <v>100</v>
      </c>
      <c r="AL17" s="120">
        <f t="shared" si="14"/>
        <v>55</v>
      </c>
      <c r="AM17" s="120">
        <f t="shared" si="14"/>
        <v>85</v>
      </c>
      <c r="AN17" s="120">
        <f t="shared" si="9"/>
        <v>0</v>
      </c>
      <c r="AO17" s="132">
        <f t="shared" si="17"/>
        <v>0</v>
      </c>
      <c r="AP17" s="132">
        <f t="shared" si="15"/>
        <v>0.5</v>
      </c>
      <c r="AQ17" s="132">
        <f t="shared" si="18"/>
        <v>5</v>
      </c>
      <c r="AR17" s="132" t="str">
        <f>IFERROR((_xlfn.XLOOKUP(AH17,'DO NOT TOUCH'!$C$9:$C$14,'DO NOT TOUCH'!$D$9:$D$14,)),"TBD")</f>
        <v>TBD</v>
      </c>
      <c r="AS17" s="132">
        <f>INPUT_OUTPUTS!$C$19</f>
        <v>0</v>
      </c>
      <c r="AT17" s="90" t="str">
        <f t="shared" si="19"/>
        <v>1, 2</v>
      </c>
    </row>
    <row r="18" spans="2:46" ht="15" customHeight="1">
      <c r="B18" s="107"/>
      <c r="C18" s="134"/>
      <c r="D18" s="134"/>
      <c r="E18" s="135">
        <f>SUBTOTAL(109,TABLE4A43919[AREA 
(FT²)])</f>
        <v>4063</v>
      </c>
      <c r="F18" s="135"/>
      <c r="G18" s="135"/>
      <c r="H18" s="135"/>
      <c r="I18" s="135"/>
      <c r="J18" s="135"/>
      <c r="K18" s="135"/>
      <c r="L18" s="135"/>
      <c r="M18" s="135"/>
      <c r="N18" s="136">
        <f>SUBTOTAL(109,TABLE4A43919[MIN OUTDOOR ACH 
(CFM)])</f>
        <v>1270</v>
      </c>
      <c r="O18" s="135"/>
      <c r="P18" s="135"/>
      <c r="Q18" s="135"/>
      <c r="R18" s="135"/>
      <c r="S18" s="135">
        <f>SUBTOTAL(109,TABLE4A43919[CALCULATED SA 
(CFM)])</f>
        <v>4235</v>
      </c>
      <c r="T18" s="135">
        <f>SUBTOTAL(109,TABLE4A43919[DESIGN SA 
(CFM)])</f>
        <v>4235</v>
      </c>
      <c r="U18" s="135">
        <f>SUBTOTAL(109,TABLE4A43919[DESIGN RA
(CFM)])</f>
        <v>3685</v>
      </c>
      <c r="V18" s="135">
        <f>SUBTOTAL(109,TABLE4A43919[DESIGN EA
(CFM)])</f>
        <v>500</v>
      </c>
      <c r="W18" s="135">
        <f>SUBTOTAL(109,TABLE4A43919[Transfer Air CFM])</f>
        <v>50</v>
      </c>
      <c r="X18" s="135"/>
      <c r="Y18" s="137"/>
      <c r="Z18" s="137"/>
      <c r="AA18" s="108"/>
      <c r="AD18" s="17" t="s">
        <v>101</v>
      </c>
      <c r="AE18" s="131" t="s">
        <v>75</v>
      </c>
      <c r="AF18" s="131" t="s">
        <v>76</v>
      </c>
      <c r="AG18" s="120">
        <f t="shared" si="8"/>
        <v>0</v>
      </c>
      <c r="AH18" s="120" t="str">
        <f>IFERROR((VLOOKUP(AG18,'DO NOT TOUCH'!$B$9:$C$14,2,TRUE)),"TBD")</f>
        <v>TBD</v>
      </c>
      <c r="AI18" s="120">
        <f t="shared" si="16"/>
        <v>0.5</v>
      </c>
      <c r="AJ18" s="120">
        <f>INPUT_OUTPUTS!$C$16</f>
        <v>140</v>
      </c>
      <c r="AK18" s="120">
        <f>INPUT_OUTPUTS!$C$17</f>
        <v>100</v>
      </c>
      <c r="AL18" s="120">
        <f t="shared" si="14"/>
        <v>55</v>
      </c>
      <c r="AM18" s="120">
        <f t="shared" si="14"/>
        <v>85</v>
      </c>
      <c r="AN18" s="120">
        <f t="shared" si="9"/>
        <v>0</v>
      </c>
      <c r="AO18" s="132">
        <f t="shared" si="17"/>
        <v>0</v>
      </c>
      <c r="AP18" s="132">
        <f t="shared" si="15"/>
        <v>0.5</v>
      </c>
      <c r="AQ18" s="132">
        <f t="shared" si="18"/>
        <v>5</v>
      </c>
      <c r="AR18" s="132" t="str">
        <f>IFERROR((_xlfn.XLOOKUP(AH18,'DO NOT TOUCH'!$C$9:$C$14,'DO NOT TOUCH'!$D$9:$D$14,)),"TBD")</f>
        <v>TBD</v>
      </c>
      <c r="AS18" s="132">
        <f>INPUT_OUTPUTS!$C$19</f>
        <v>0</v>
      </c>
      <c r="AT18" s="90" t="str">
        <f t="shared" si="19"/>
        <v>1, 2</v>
      </c>
    </row>
    <row r="19" spans="2:46" ht="15" customHeight="1">
      <c r="B19" s="52"/>
      <c r="C19" s="53"/>
      <c r="G19" s="40"/>
      <c r="H19" s="54"/>
      <c r="K19" s="55"/>
      <c r="L19" s="56"/>
      <c r="M19" s="56"/>
      <c r="O19" s="39"/>
      <c r="R19" s="57"/>
      <c r="S19" s="57"/>
      <c r="T19" s="39"/>
      <c r="U19" s="39"/>
      <c r="V19" s="39"/>
      <c r="W19" s="39"/>
      <c r="X19" s="57"/>
      <c r="Y19" s="58"/>
      <c r="AD19" s="17" t="s">
        <v>102</v>
      </c>
      <c r="AE19" s="131" t="s">
        <v>75</v>
      </c>
      <c r="AF19" s="131" t="s">
        <v>76</v>
      </c>
      <c r="AG19" s="120">
        <f t="shared" si="8"/>
        <v>0</v>
      </c>
      <c r="AH19" s="120" t="str">
        <f>IFERROR((VLOOKUP(AG19,'DO NOT TOUCH'!$B$9:$C$14,2,TRUE)),"TBD")</f>
        <v>TBD</v>
      </c>
      <c r="AI19" s="120">
        <f t="shared" si="16"/>
        <v>0.5</v>
      </c>
      <c r="AJ19" s="120">
        <f>INPUT_OUTPUTS!$C$16</f>
        <v>140</v>
      </c>
      <c r="AK19" s="120">
        <f>INPUT_OUTPUTS!$C$17</f>
        <v>100</v>
      </c>
      <c r="AL19" s="120">
        <f t="shared" si="14"/>
        <v>55</v>
      </c>
      <c r="AM19" s="120">
        <f t="shared" si="14"/>
        <v>85</v>
      </c>
      <c r="AN19" s="120">
        <f t="shared" si="9"/>
        <v>0</v>
      </c>
      <c r="AO19" s="132">
        <f t="shared" si="17"/>
        <v>0</v>
      </c>
      <c r="AP19" s="132">
        <f t="shared" si="15"/>
        <v>0.5</v>
      </c>
      <c r="AQ19" s="132">
        <f t="shared" si="18"/>
        <v>5</v>
      </c>
      <c r="AR19" s="132" t="str">
        <f>IFERROR((_xlfn.XLOOKUP(AH19,'DO NOT TOUCH'!$C$9:$C$14,'DO NOT TOUCH'!$D$9:$D$14,)),"TBD")</f>
        <v>TBD</v>
      </c>
      <c r="AS19" s="132">
        <f>INPUT_OUTPUTS!$C$19</f>
        <v>0</v>
      </c>
      <c r="AT19" s="90" t="str">
        <f t="shared" si="19"/>
        <v>1, 2</v>
      </c>
    </row>
    <row r="20" spans="2:46" ht="15" customHeight="1">
      <c r="B20" s="59"/>
      <c r="C20" s="53"/>
      <c r="G20" s="40"/>
      <c r="H20" s="54"/>
      <c r="K20" s="55"/>
      <c r="L20" s="56"/>
      <c r="M20" s="56"/>
      <c r="O20" s="39"/>
      <c r="T20" s="39"/>
      <c r="U20" s="39"/>
      <c r="V20" s="39"/>
      <c r="W20" s="39"/>
      <c r="X20" s="40"/>
      <c r="Y20" s="58"/>
      <c r="AD20" s="17" t="s">
        <v>103</v>
      </c>
      <c r="AE20" s="131" t="s">
        <v>75</v>
      </c>
      <c r="AF20" s="131" t="s">
        <v>76</v>
      </c>
      <c r="AG20" s="120">
        <f t="shared" si="8"/>
        <v>0</v>
      </c>
      <c r="AH20" s="120" t="str">
        <f>IFERROR((VLOOKUP(AG20,'DO NOT TOUCH'!$B$9:$C$14,2,TRUE)),"TBD")</f>
        <v>TBD</v>
      </c>
      <c r="AI20" s="120">
        <f t="shared" si="16"/>
        <v>0.5</v>
      </c>
      <c r="AJ20" s="120">
        <f>INPUT_OUTPUTS!$C$16</f>
        <v>140</v>
      </c>
      <c r="AK20" s="120">
        <f>INPUT_OUTPUTS!$C$17</f>
        <v>100</v>
      </c>
      <c r="AL20" s="120">
        <f t="shared" si="14"/>
        <v>55</v>
      </c>
      <c r="AM20" s="120">
        <f t="shared" si="14"/>
        <v>85</v>
      </c>
      <c r="AN20" s="120">
        <f t="shared" si="9"/>
        <v>0</v>
      </c>
      <c r="AO20" s="132">
        <f t="shared" si="17"/>
        <v>0</v>
      </c>
      <c r="AP20" s="132">
        <f t="shared" si="15"/>
        <v>0.5</v>
      </c>
      <c r="AQ20" s="132">
        <f t="shared" si="18"/>
        <v>5</v>
      </c>
      <c r="AR20" s="132" t="str">
        <f>IFERROR((_xlfn.XLOOKUP(AH20,'DO NOT TOUCH'!$C$9:$C$14,'DO NOT TOUCH'!$D$9:$D$14,)),"TBD")</f>
        <v>TBD</v>
      </c>
      <c r="AS20" s="132">
        <f>INPUT_OUTPUTS!$C$19</f>
        <v>0</v>
      </c>
      <c r="AT20" s="90" t="str">
        <f t="shared" si="19"/>
        <v>1, 2</v>
      </c>
    </row>
    <row r="21" spans="2:46" ht="15" customHeight="1">
      <c r="B21" s="52"/>
      <c r="C21" s="53"/>
      <c r="T21" s="39"/>
      <c r="U21" s="39"/>
      <c r="V21" s="39"/>
      <c r="W21" s="39"/>
      <c r="AD21" s="17" t="s">
        <v>105</v>
      </c>
      <c r="AE21" s="131" t="s">
        <v>75</v>
      </c>
      <c r="AF21" s="131" t="s">
        <v>76</v>
      </c>
      <c r="AG21" s="120">
        <f t="shared" si="8"/>
        <v>0</v>
      </c>
      <c r="AH21" s="120" t="str">
        <f>IFERROR((VLOOKUP(AG21,'DO NOT TOUCH'!$B$9:$C$14,2,TRUE)),"TBD")</f>
        <v>TBD</v>
      </c>
      <c r="AI21" s="120">
        <f t="shared" si="16"/>
        <v>0.5</v>
      </c>
      <c r="AJ21" s="120">
        <f>INPUT_OUTPUTS!$C$16</f>
        <v>140</v>
      </c>
      <c r="AK21" s="120">
        <f>INPUT_OUTPUTS!$C$17</f>
        <v>100</v>
      </c>
      <c r="AL21" s="120">
        <f t="shared" si="14"/>
        <v>55</v>
      </c>
      <c r="AM21" s="120">
        <f t="shared" si="14"/>
        <v>85</v>
      </c>
      <c r="AN21" s="120">
        <f t="shared" si="9"/>
        <v>0</v>
      </c>
      <c r="AO21" s="132">
        <f t="shared" si="17"/>
        <v>0</v>
      </c>
      <c r="AP21" s="132">
        <f t="shared" si="15"/>
        <v>0.5</v>
      </c>
      <c r="AQ21" s="132">
        <f t="shared" si="18"/>
        <v>5</v>
      </c>
      <c r="AR21" s="132" t="str">
        <f>IFERROR((_xlfn.XLOOKUP(AH21,'DO NOT TOUCH'!$C$9:$C$14,'DO NOT TOUCH'!$D$9:$D$14,)),"TBD")</f>
        <v>TBD</v>
      </c>
      <c r="AS21" s="132">
        <f>INPUT_OUTPUTS!$C$19</f>
        <v>0</v>
      </c>
      <c r="AT21" s="90" t="str">
        <f t="shared" si="19"/>
        <v>1, 2</v>
      </c>
    </row>
    <row r="22" spans="2:46" ht="15" customHeight="1">
      <c r="K22" s="39"/>
      <c r="N22" s="39"/>
      <c r="Q22" s="39" t="s">
        <v>104</v>
      </c>
      <c r="T22" s="39"/>
      <c r="U22" s="39"/>
      <c r="V22" s="39"/>
      <c r="W22" s="39"/>
      <c r="AD22" s="17" t="s">
        <v>106</v>
      </c>
      <c r="AE22" s="131" t="s">
        <v>75</v>
      </c>
      <c r="AF22" s="131" t="s">
        <v>76</v>
      </c>
      <c r="AG22" s="120">
        <f t="shared" si="8"/>
        <v>0</v>
      </c>
      <c r="AH22" s="120" t="str">
        <f>IFERROR((VLOOKUP(AG22,'DO NOT TOUCH'!$B$9:$C$14,2,TRUE)),"TBD")</f>
        <v>TBD</v>
      </c>
      <c r="AI22" s="120">
        <f t="shared" si="16"/>
        <v>0.5</v>
      </c>
      <c r="AJ22" s="120">
        <f>INPUT_OUTPUTS!$C$16</f>
        <v>140</v>
      </c>
      <c r="AK22" s="120">
        <f>INPUT_OUTPUTS!$C$17</f>
        <v>100</v>
      </c>
      <c r="AL22" s="120">
        <f t="shared" si="14"/>
        <v>55</v>
      </c>
      <c r="AM22" s="120">
        <f t="shared" si="14"/>
        <v>85</v>
      </c>
      <c r="AN22" s="120">
        <f t="shared" si="9"/>
        <v>0</v>
      </c>
      <c r="AO22" s="132">
        <f t="shared" si="17"/>
        <v>0</v>
      </c>
      <c r="AP22" s="132">
        <f t="shared" si="15"/>
        <v>0.5</v>
      </c>
      <c r="AQ22" s="132">
        <f t="shared" si="18"/>
        <v>5</v>
      </c>
      <c r="AR22" s="132" t="str">
        <f>IFERROR((_xlfn.XLOOKUP(AH22,'DO NOT TOUCH'!$C$9:$C$14,'DO NOT TOUCH'!$D$9:$D$14,)),"TBD")</f>
        <v>TBD</v>
      </c>
      <c r="AS22" s="132">
        <f>INPUT_OUTPUTS!$C$19</f>
        <v>0</v>
      </c>
      <c r="AT22" s="90" t="str">
        <f t="shared" si="19"/>
        <v>1, 2</v>
      </c>
    </row>
    <row r="23" spans="2:46" ht="15" customHeight="1">
      <c r="T23" s="39"/>
      <c r="U23" s="39"/>
      <c r="V23" s="39"/>
      <c r="W23" s="39"/>
      <c r="AD23" s="17" t="s">
        <v>107</v>
      </c>
      <c r="AE23" s="131" t="s">
        <v>75</v>
      </c>
      <c r="AF23" s="131" t="s">
        <v>76</v>
      </c>
      <c r="AG23" s="120">
        <f t="shared" si="8"/>
        <v>0</v>
      </c>
      <c r="AH23" s="120" t="str">
        <f>IFERROR((VLOOKUP(AG23,'DO NOT TOUCH'!$B$9:$C$14,2,TRUE)),"TBD")</f>
        <v>TBD</v>
      </c>
      <c r="AI23" s="120">
        <f t="shared" si="16"/>
        <v>0.5</v>
      </c>
      <c r="AJ23" s="120">
        <f>INPUT_OUTPUTS!$C$16</f>
        <v>140</v>
      </c>
      <c r="AK23" s="120">
        <f>INPUT_OUTPUTS!$C$17</f>
        <v>100</v>
      </c>
      <c r="AL23" s="120">
        <f t="shared" si="14"/>
        <v>55</v>
      </c>
      <c r="AM23" s="120">
        <f t="shared" si="14"/>
        <v>85</v>
      </c>
      <c r="AN23" s="120">
        <f t="shared" si="9"/>
        <v>0</v>
      </c>
      <c r="AO23" s="132">
        <f t="shared" si="17"/>
        <v>0</v>
      </c>
      <c r="AP23" s="132">
        <f t="shared" si="15"/>
        <v>0.5</v>
      </c>
      <c r="AQ23" s="132">
        <f t="shared" si="18"/>
        <v>5</v>
      </c>
      <c r="AR23" s="132" t="str">
        <f>IFERROR((_xlfn.XLOOKUP(AH23,'DO NOT TOUCH'!$C$9:$C$14,'DO NOT TOUCH'!$D$9:$D$14,)),"TBD")</f>
        <v>TBD</v>
      </c>
      <c r="AS23" s="132">
        <f>INPUT_OUTPUTS!$C$19</f>
        <v>0</v>
      </c>
      <c r="AT23" s="90" t="str">
        <f t="shared" si="19"/>
        <v>1, 2</v>
      </c>
    </row>
    <row r="24" spans="2:46" ht="15" customHeight="1">
      <c r="T24" s="39"/>
      <c r="U24" s="39"/>
      <c r="V24" s="39"/>
      <c r="W24" s="39"/>
      <c r="AD24" s="17" t="s">
        <v>108</v>
      </c>
      <c r="AE24" s="131" t="s">
        <v>75</v>
      </c>
      <c r="AF24" s="131" t="s">
        <v>76</v>
      </c>
      <c r="AG24" s="120">
        <f t="shared" si="8"/>
        <v>0</v>
      </c>
      <c r="AH24" s="120" t="str">
        <f>IFERROR((VLOOKUP(AG24,'DO NOT TOUCH'!$B$9:$C$14,2,TRUE)),"TBD")</f>
        <v>TBD</v>
      </c>
      <c r="AI24" s="120">
        <f t="shared" si="16"/>
        <v>0.5</v>
      </c>
      <c r="AJ24" s="120">
        <f>INPUT_OUTPUTS!$C$16</f>
        <v>140</v>
      </c>
      <c r="AK24" s="120">
        <f>INPUT_OUTPUTS!$C$17</f>
        <v>100</v>
      </c>
      <c r="AL24" s="120">
        <f t="shared" ref="AL24:AM39" si="20">AL23</f>
        <v>55</v>
      </c>
      <c r="AM24" s="120">
        <f t="shared" si="20"/>
        <v>85</v>
      </c>
      <c r="AN24" s="120">
        <f t="shared" si="9"/>
        <v>0</v>
      </c>
      <c r="AO24" s="132">
        <f t="shared" si="17"/>
        <v>0</v>
      </c>
      <c r="AP24" s="132">
        <f t="shared" si="15"/>
        <v>0.5</v>
      </c>
      <c r="AQ24" s="132">
        <f t="shared" si="18"/>
        <v>5</v>
      </c>
      <c r="AR24" s="132" t="str">
        <f>IFERROR((_xlfn.XLOOKUP(AH24,'DO NOT TOUCH'!$C$9:$C$14,'DO NOT TOUCH'!$D$9:$D$14,)),"TBD")</f>
        <v>TBD</v>
      </c>
      <c r="AS24" s="132">
        <f>INPUT_OUTPUTS!$C$19</f>
        <v>0</v>
      </c>
      <c r="AT24" s="90" t="str">
        <f t="shared" si="19"/>
        <v>1, 2</v>
      </c>
    </row>
    <row r="25" spans="2:46" ht="15" customHeight="1">
      <c r="T25" s="39"/>
      <c r="U25" s="39"/>
      <c r="V25" s="39"/>
      <c r="W25" s="39"/>
      <c r="AD25" s="17" t="s">
        <v>109</v>
      </c>
      <c r="AE25" s="131" t="s">
        <v>75</v>
      </c>
      <c r="AF25" s="131" t="s">
        <v>76</v>
      </c>
      <c r="AG25" s="120">
        <f t="shared" si="8"/>
        <v>0</v>
      </c>
      <c r="AH25" s="120" t="str">
        <f>IFERROR((VLOOKUP(AG25,'DO NOT TOUCH'!$B$9:$C$14,2,TRUE)),"TBD")</f>
        <v>TBD</v>
      </c>
      <c r="AI25" s="120">
        <f t="shared" si="16"/>
        <v>0.5</v>
      </c>
      <c r="AJ25" s="120">
        <f>INPUT_OUTPUTS!$C$16</f>
        <v>140</v>
      </c>
      <c r="AK25" s="120">
        <f>INPUT_OUTPUTS!$C$17</f>
        <v>100</v>
      </c>
      <c r="AL25" s="120">
        <f t="shared" si="20"/>
        <v>55</v>
      </c>
      <c r="AM25" s="120">
        <f t="shared" si="20"/>
        <v>85</v>
      </c>
      <c r="AN25" s="120">
        <f t="shared" si="9"/>
        <v>0</v>
      </c>
      <c r="AO25" s="132">
        <f t="shared" si="17"/>
        <v>0</v>
      </c>
      <c r="AP25" s="132">
        <f t="shared" si="15"/>
        <v>0.5</v>
      </c>
      <c r="AQ25" s="132">
        <f t="shared" si="18"/>
        <v>5</v>
      </c>
      <c r="AR25" s="132" t="str">
        <f>IFERROR((_xlfn.XLOOKUP(AH25,'DO NOT TOUCH'!$C$9:$C$14,'DO NOT TOUCH'!$D$9:$D$14,)),"TBD")</f>
        <v>TBD</v>
      </c>
      <c r="AS25" s="132">
        <f>INPUT_OUTPUTS!$C$19</f>
        <v>0</v>
      </c>
      <c r="AT25" s="90" t="str">
        <f t="shared" si="19"/>
        <v>1, 2</v>
      </c>
    </row>
    <row r="26" spans="2:46" ht="15" customHeight="1">
      <c r="T26" s="39"/>
      <c r="U26" s="39"/>
      <c r="V26" s="39"/>
      <c r="W26" s="39"/>
      <c r="AD26" s="17" t="s">
        <v>110</v>
      </c>
      <c r="AE26" s="131" t="s">
        <v>75</v>
      </c>
      <c r="AF26" s="131" t="s">
        <v>76</v>
      </c>
      <c r="AG26" s="120">
        <f t="shared" si="8"/>
        <v>0</v>
      </c>
      <c r="AH26" s="120" t="str">
        <f>IFERROR((VLOOKUP(AG26,'DO NOT TOUCH'!$B$9:$C$14,2,TRUE)),"TBD")</f>
        <v>TBD</v>
      </c>
      <c r="AI26" s="120">
        <f t="shared" si="16"/>
        <v>0.5</v>
      </c>
      <c r="AJ26" s="120">
        <f>INPUT_OUTPUTS!$C$16</f>
        <v>140</v>
      </c>
      <c r="AK26" s="120">
        <f>INPUT_OUTPUTS!$C$17</f>
        <v>100</v>
      </c>
      <c r="AL26" s="120">
        <f t="shared" si="20"/>
        <v>55</v>
      </c>
      <c r="AM26" s="120">
        <f t="shared" si="20"/>
        <v>85</v>
      </c>
      <c r="AN26" s="120">
        <f t="shared" si="9"/>
        <v>0</v>
      </c>
      <c r="AO26" s="132">
        <f t="shared" si="17"/>
        <v>0</v>
      </c>
      <c r="AP26" s="132">
        <f t="shared" si="15"/>
        <v>0.5</v>
      </c>
      <c r="AQ26" s="132">
        <f t="shared" si="18"/>
        <v>5</v>
      </c>
      <c r="AR26" s="132" t="str">
        <f>IFERROR((_xlfn.XLOOKUP(AH26,'DO NOT TOUCH'!$C$9:$C$14,'DO NOT TOUCH'!$D$9:$D$14,)),"TBD")</f>
        <v>TBD</v>
      </c>
      <c r="AS26" s="132">
        <f>INPUT_OUTPUTS!$C$19</f>
        <v>0</v>
      </c>
      <c r="AT26" s="90" t="str">
        <f t="shared" si="19"/>
        <v>1, 2</v>
      </c>
    </row>
    <row r="27" spans="2:46" ht="15" customHeight="1">
      <c r="AD27" s="17" t="s">
        <v>111</v>
      </c>
      <c r="AE27" s="131" t="s">
        <v>75</v>
      </c>
      <c r="AF27" s="131" t="s">
        <v>76</v>
      </c>
      <c r="AG27" s="120">
        <f t="shared" si="8"/>
        <v>0</v>
      </c>
      <c r="AH27" s="120" t="str">
        <f>IFERROR((VLOOKUP(AG27,'DO NOT TOUCH'!$B$9:$C$14,2,TRUE)),"TBD")</f>
        <v>TBD</v>
      </c>
      <c r="AI27" s="120">
        <f t="shared" si="16"/>
        <v>0.5</v>
      </c>
      <c r="AJ27" s="120">
        <f>INPUT_OUTPUTS!$C$16</f>
        <v>140</v>
      </c>
      <c r="AK27" s="120">
        <f>INPUT_OUTPUTS!$C$17</f>
        <v>100</v>
      </c>
      <c r="AL27" s="120">
        <f t="shared" si="20"/>
        <v>55</v>
      </c>
      <c r="AM27" s="120">
        <f t="shared" si="20"/>
        <v>85</v>
      </c>
      <c r="AN27" s="120">
        <f t="shared" si="9"/>
        <v>0</v>
      </c>
      <c r="AO27" s="132">
        <f t="shared" si="17"/>
        <v>0</v>
      </c>
      <c r="AP27" s="132">
        <f t="shared" si="15"/>
        <v>0.5</v>
      </c>
      <c r="AQ27" s="132">
        <f t="shared" si="18"/>
        <v>5</v>
      </c>
      <c r="AR27" s="132" t="str">
        <f>IFERROR((_xlfn.XLOOKUP(AH27,'DO NOT TOUCH'!$C$9:$C$14,'DO NOT TOUCH'!$D$9:$D$14,)),"TBD")</f>
        <v>TBD</v>
      </c>
      <c r="AS27" s="132">
        <f>INPUT_OUTPUTS!$C$19</f>
        <v>0</v>
      </c>
      <c r="AT27" s="90" t="str">
        <f t="shared" si="19"/>
        <v>1, 2</v>
      </c>
    </row>
    <row r="28" spans="2:46" ht="15" customHeight="1">
      <c r="AD28" s="17" t="s">
        <v>112</v>
      </c>
      <c r="AE28" s="131" t="s">
        <v>75</v>
      </c>
      <c r="AF28" s="131" t="s">
        <v>76</v>
      </c>
      <c r="AG28" s="120">
        <f t="shared" si="8"/>
        <v>0</v>
      </c>
      <c r="AH28" s="120" t="str">
        <f>IFERROR((VLOOKUP(AG28,'DO NOT TOUCH'!$B$9:$C$14,2,TRUE)),"TBD")</f>
        <v>TBD</v>
      </c>
      <c r="AI28" s="120">
        <f t="shared" si="16"/>
        <v>0.5</v>
      </c>
      <c r="AJ28" s="120">
        <f>INPUT_OUTPUTS!$C$16</f>
        <v>140</v>
      </c>
      <c r="AK28" s="120">
        <f>INPUT_OUTPUTS!$C$17</f>
        <v>100</v>
      </c>
      <c r="AL28" s="120">
        <f t="shared" si="20"/>
        <v>55</v>
      </c>
      <c r="AM28" s="120">
        <f t="shared" si="20"/>
        <v>85</v>
      </c>
      <c r="AN28" s="120">
        <f t="shared" si="9"/>
        <v>0</v>
      </c>
      <c r="AO28" s="132">
        <f t="shared" si="17"/>
        <v>0</v>
      </c>
      <c r="AP28" s="132">
        <f t="shared" si="15"/>
        <v>0.5</v>
      </c>
      <c r="AQ28" s="132">
        <f t="shared" si="18"/>
        <v>5</v>
      </c>
      <c r="AR28" s="132" t="str">
        <f>IFERROR((_xlfn.XLOOKUP(AH28,'DO NOT TOUCH'!$C$9:$C$14,'DO NOT TOUCH'!$D$9:$D$14,)),"TBD")</f>
        <v>TBD</v>
      </c>
      <c r="AS28" s="132">
        <f>INPUT_OUTPUTS!$C$19</f>
        <v>0</v>
      </c>
      <c r="AT28" s="90" t="str">
        <f t="shared" si="19"/>
        <v>1, 2</v>
      </c>
    </row>
    <row r="29" spans="2:46" ht="15" customHeight="1">
      <c r="AD29" s="17" t="s">
        <v>113</v>
      </c>
      <c r="AE29" s="131" t="s">
        <v>75</v>
      </c>
      <c r="AF29" s="131" t="s">
        <v>76</v>
      </c>
      <c r="AG29" s="120">
        <f t="shared" si="8"/>
        <v>0</v>
      </c>
      <c r="AH29" s="120" t="str">
        <f>IFERROR((VLOOKUP(AG29,'DO NOT TOUCH'!$B$9:$C$14,2,TRUE)),"TBD")</f>
        <v>TBD</v>
      </c>
      <c r="AI29" s="120">
        <f t="shared" si="16"/>
        <v>0.5</v>
      </c>
      <c r="AJ29" s="120">
        <f>INPUT_OUTPUTS!$C$16</f>
        <v>140</v>
      </c>
      <c r="AK29" s="120">
        <f>INPUT_OUTPUTS!$C$17</f>
        <v>100</v>
      </c>
      <c r="AL29" s="120">
        <f t="shared" si="20"/>
        <v>55</v>
      </c>
      <c r="AM29" s="120">
        <f t="shared" si="20"/>
        <v>85</v>
      </c>
      <c r="AN29" s="120">
        <f t="shared" si="9"/>
        <v>0</v>
      </c>
      <c r="AO29" s="132">
        <f t="shared" si="17"/>
        <v>0</v>
      </c>
      <c r="AP29" s="132">
        <f t="shared" si="15"/>
        <v>0.5</v>
      </c>
      <c r="AQ29" s="132">
        <f t="shared" si="18"/>
        <v>5</v>
      </c>
      <c r="AR29" s="132" t="str">
        <f>IFERROR((_xlfn.XLOOKUP(AH29,'DO NOT TOUCH'!$C$9:$C$14,'DO NOT TOUCH'!$D$9:$D$14,)),"TBD")</f>
        <v>TBD</v>
      </c>
      <c r="AS29" s="132">
        <f>INPUT_OUTPUTS!$C$19</f>
        <v>0</v>
      </c>
      <c r="AT29" s="90" t="str">
        <f t="shared" si="19"/>
        <v>1, 2</v>
      </c>
    </row>
    <row r="30" spans="2:46" ht="15" customHeight="1">
      <c r="AD30" s="17" t="s">
        <v>114</v>
      </c>
      <c r="AE30" s="131" t="s">
        <v>75</v>
      </c>
      <c r="AF30" s="131" t="s">
        <v>76</v>
      </c>
      <c r="AG30" s="120">
        <f t="shared" si="8"/>
        <v>0</v>
      </c>
      <c r="AH30" s="120" t="str">
        <f>IFERROR((VLOOKUP(AG30,'DO NOT TOUCH'!$B$9:$C$14,2,TRUE)),"TBD")</f>
        <v>TBD</v>
      </c>
      <c r="AI30" s="120">
        <f t="shared" si="16"/>
        <v>0.5</v>
      </c>
      <c r="AJ30" s="120">
        <f>INPUT_OUTPUTS!$C$16</f>
        <v>140</v>
      </c>
      <c r="AK30" s="120">
        <f>INPUT_OUTPUTS!$C$17</f>
        <v>100</v>
      </c>
      <c r="AL30" s="120">
        <f t="shared" si="20"/>
        <v>55</v>
      </c>
      <c r="AM30" s="120">
        <f t="shared" si="20"/>
        <v>85</v>
      </c>
      <c r="AN30" s="120">
        <f t="shared" si="9"/>
        <v>0</v>
      </c>
      <c r="AO30" s="132">
        <f t="shared" si="17"/>
        <v>0</v>
      </c>
      <c r="AP30" s="132">
        <f t="shared" si="15"/>
        <v>0.5</v>
      </c>
      <c r="AQ30" s="132">
        <f t="shared" si="18"/>
        <v>5</v>
      </c>
      <c r="AR30" s="132" t="str">
        <f>IFERROR((_xlfn.XLOOKUP(AH30,'DO NOT TOUCH'!$C$9:$C$14,'DO NOT TOUCH'!$D$9:$D$14,)),"TBD")</f>
        <v>TBD</v>
      </c>
      <c r="AS30" s="132">
        <f>INPUT_OUTPUTS!$C$19</f>
        <v>0</v>
      </c>
      <c r="AT30" s="90" t="str">
        <f t="shared" si="19"/>
        <v>1, 2</v>
      </c>
    </row>
    <row r="31" spans="2:46" ht="15" customHeight="1">
      <c r="AD31" s="17" t="s">
        <v>115</v>
      </c>
      <c r="AE31" s="131" t="s">
        <v>75</v>
      </c>
      <c r="AF31" s="131" t="s">
        <v>76</v>
      </c>
      <c r="AG31" s="120">
        <f t="shared" si="8"/>
        <v>0</v>
      </c>
      <c r="AH31" s="120" t="str">
        <f>IFERROR((VLOOKUP(AG31,'DO NOT TOUCH'!$B$9:$C$14,2,TRUE)),"TBD")</f>
        <v>TBD</v>
      </c>
      <c r="AI31" s="120">
        <f t="shared" si="16"/>
        <v>0.5</v>
      </c>
      <c r="AJ31" s="120">
        <f>INPUT_OUTPUTS!$C$16</f>
        <v>140</v>
      </c>
      <c r="AK31" s="120">
        <f>INPUT_OUTPUTS!$C$17</f>
        <v>100</v>
      </c>
      <c r="AL31" s="120">
        <f t="shared" si="20"/>
        <v>55</v>
      </c>
      <c r="AM31" s="120">
        <f t="shared" si="20"/>
        <v>85</v>
      </c>
      <c r="AN31" s="120">
        <f t="shared" si="9"/>
        <v>0</v>
      </c>
      <c r="AO31" s="132">
        <f t="shared" si="17"/>
        <v>0</v>
      </c>
      <c r="AP31" s="132">
        <f t="shared" si="15"/>
        <v>0.5</v>
      </c>
      <c r="AQ31" s="132">
        <f t="shared" si="18"/>
        <v>5</v>
      </c>
      <c r="AR31" s="132" t="str">
        <f>IFERROR((_xlfn.XLOOKUP(AH31,'DO NOT TOUCH'!$C$9:$C$14,'DO NOT TOUCH'!$D$9:$D$14,)),"TBD")</f>
        <v>TBD</v>
      </c>
      <c r="AS31" s="132">
        <f>INPUT_OUTPUTS!$C$19</f>
        <v>0</v>
      </c>
      <c r="AT31" s="90" t="str">
        <f t="shared" si="19"/>
        <v>1, 2</v>
      </c>
    </row>
    <row r="32" spans="2:46" ht="15" customHeight="1">
      <c r="AD32" s="17" t="s">
        <v>116</v>
      </c>
      <c r="AE32" s="131" t="s">
        <v>75</v>
      </c>
      <c r="AF32" s="131" t="s">
        <v>76</v>
      </c>
      <c r="AG32" s="120">
        <f t="shared" si="8"/>
        <v>0</v>
      </c>
      <c r="AH32" s="120" t="str">
        <f>IFERROR((VLOOKUP(AG32,'DO NOT TOUCH'!$B$9:$C$14,2,TRUE)),"TBD")</f>
        <v>TBD</v>
      </c>
      <c r="AI32" s="120">
        <f t="shared" si="16"/>
        <v>0.5</v>
      </c>
      <c r="AJ32" s="120">
        <f>INPUT_OUTPUTS!$C$16</f>
        <v>140</v>
      </c>
      <c r="AK32" s="120">
        <f>INPUT_OUTPUTS!$C$17</f>
        <v>100</v>
      </c>
      <c r="AL32" s="120">
        <f t="shared" si="20"/>
        <v>55</v>
      </c>
      <c r="AM32" s="120">
        <f t="shared" si="20"/>
        <v>85</v>
      </c>
      <c r="AN32" s="120">
        <f t="shared" si="9"/>
        <v>0</v>
      </c>
      <c r="AO32" s="132">
        <f t="shared" si="17"/>
        <v>0</v>
      </c>
      <c r="AP32" s="132">
        <f t="shared" si="15"/>
        <v>0.5</v>
      </c>
      <c r="AQ32" s="132">
        <f t="shared" si="18"/>
        <v>5</v>
      </c>
      <c r="AR32" s="132" t="str">
        <f>IFERROR((_xlfn.XLOOKUP(AH32,'DO NOT TOUCH'!$C$9:$C$14,'DO NOT TOUCH'!$D$9:$D$14,)),"TBD")</f>
        <v>TBD</v>
      </c>
      <c r="AS32" s="132">
        <f>INPUT_OUTPUTS!$C$19</f>
        <v>0</v>
      </c>
      <c r="AT32" s="90" t="str">
        <f t="shared" si="19"/>
        <v>1, 2</v>
      </c>
    </row>
    <row r="33" spans="30:46" ht="15" customHeight="1">
      <c r="AD33" s="17" t="s">
        <v>117</v>
      </c>
      <c r="AE33" s="131" t="s">
        <v>75</v>
      </c>
      <c r="AF33" s="131" t="s">
        <v>76</v>
      </c>
      <c r="AG33" s="120">
        <f t="shared" si="8"/>
        <v>0</v>
      </c>
      <c r="AH33" s="120" t="str">
        <f>IFERROR((VLOOKUP(AG33,'DO NOT TOUCH'!$B$9:$C$14,2,TRUE)),"TBD")</f>
        <v>TBD</v>
      </c>
      <c r="AI33" s="120">
        <f t="shared" si="16"/>
        <v>0.5</v>
      </c>
      <c r="AJ33" s="120">
        <f>INPUT_OUTPUTS!$C$16</f>
        <v>140</v>
      </c>
      <c r="AK33" s="120">
        <f>INPUT_OUTPUTS!$C$17</f>
        <v>100</v>
      </c>
      <c r="AL33" s="120">
        <f t="shared" si="20"/>
        <v>55</v>
      </c>
      <c r="AM33" s="120">
        <f t="shared" si="20"/>
        <v>85</v>
      </c>
      <c r="AN33" s="120">
        <f t="shared" si="9"/>
        <v>0</v>
      </c>
      <c r="AO33" s="132">
        <f t="shared" si="17"/>
        <v>0</v>
      </c>
      <c r="AP33" s="132">
        <f t="shared" si="15"/>
        <v>0.5</v>
      </c>
      <c r="AQ33" s="132">
        <f t="shared" si="18"/>
        <v>5</v>
      </c>
      <c r="AR33" s="132" t="str">
        <f>IFERROR((_xlfn.XLOOKUP(AH33,'DO NOT TOUCH'!$C$9:$C$14,'DO NOT TOUCH'!$D$9:$D$14,)),"TBD")</f>
        <v>TBD</v>
      </c>
      <c r="AS33" s="132">
        <f>INPUT_OUTPUTS!$C$19</f>
        <v>0</v>
      </c>
      <c r="AT33" s="90" t="str">
        <f t="shared" si="19"/>
        <v>1, 2</v>
      </c>
    </row>
    <row r="34" spans="30:46" ht="15" customHeight="1">
      <c r="AD34" s="17" t="s">
        <v>118</v>
      </c>
      <c r="AE34" s="131" t="s">
        <v>75</v>
      </c>
      <c r="AF34" s="131" t="s">
        <v>76</v>
      </c>
      <c r="AG34" s="120">
        <f t="shared" si="8"/>
        <v>0</v>
      </c>
      <c r="AH34" s="120" t="str">
        <f>IFERROR((VLOOKUP(AG34,'DO NOT TOUCH'!$B$9:$C$14,2,TRUE)),"TBD")</f>
        <v>TBD</v>
      </c>
      <c r="AI34" s="120">
        <f t="shared" si="16"/>
        <v>0.5</v>
      </c>
      <c r="AJ34" s="120">
        <f>INPUT_OUTPUTS!$C$16</f>
        <v>140</v>
      </c>
      <c r="AK34" s="120">
        <f>INPUT_OUTPUTS!$C$17</f>
        <v>100</v>
      </c>
      <c r="AL34" s="120">
        <f t="shared" si="20"/>
        <v>55</v>
      </c>
      <c r="AM34" s="120">
        <f t="shared" si="20"/>
        <v>85</v>
      </c>
      <c r="AN34" s="120">
        <f t="shared" si="9"/>
        <v>0</v>
      </c>
      <c r="AO34" s="132">
        <f t="shared" si="17"/>
        <v>0</v>
      </c>
      <c r="AP34" s="132">
        <f t="shared" si="15"/>
        <v>0.5</v>
      </c>
      <c r="AQ34" s="132">
        <f t="shared" si="18"/>
        <v>5</v>
      </c>
      <c r="AR34" s="132" t="str">
        <f>IFERROR((_xlfn.XLOOKUP(AH34,'DO NOT TOUCH'!$C$9:$C$14,'DO NOT TOUCH'!$D$9:$D$14,)),"TBD")</f>
        <v>TBD</v>
      </c>
      <c r="AS34" s="132">
        <f>INPUT_OUTPUTS!$C$19</f>
        <v>0</v>
      </c>
      <c r="AT34" s="90" t="str">
        <f t="shared" si="19"/>
        <v>1, 2</v>
      </c>
    </row>
    <row r="35" spans="30:46" ht="15" customHeight="1">
      <c r="AD35" s="17" t="s">
        <v>119</v>
      </c>
      <c r="AE35" s="131" t="s">
        <v>75</v>
      </c>
      <c r="AF35" s="131" t="s">
        <v>76</v>
      </c>
      <c r="AG35" s="120">
        <f t="shared" si="8"/>
        <v>0</v>
      </c>
      <c r="AH35" s="120" t="str">
        <f>IFERROR((VLOOKUP(AG35,'DO NOT TOUCH'!$B$9:$C$14,2,TRUE)),"TBD")</f>
        <v>TBD</v>
      </c>
      <c r="AI35" s="120">
        <f t="shared" si="16"/>
        <v>0.5</v>
      </c>
      <c r="AJ35" s="120">
        <f>INPUT_OUTPUTS!$C$16</f>
        <v>140</v>
      </c>
      <c r="AK35" s="120">
        <f>INPUT_OUTPUTS!$C$17</f>
        <v>100</v>
      </c>
      <c r="AL35" s="120">
        <f t="shared" si="20"/>
        <v>55</v>
      </c>
      <c r="AM35" s="120">
        <f t="shared" si="20"/>
        <v>85</v>
      </c>
      <c r="AN35" s="120">
        <f t="shared" si="9"/>
        <v>0</v>
      </c>
      <c r="AO35" s="132">
        <f t="shared" si="17"/>
        <v>0</v>
      </c>
      <c r="AP35" s="132">
        <f t="shared" si="15"/>
        <v>0.5</v>
      </c>
      <c r="AQ35" s="132">
        <f t="shared" si="18"/>
        <v>5</v>
      </c>
      <c r="AR35" s="132" t="str">
        <f>IFERROR((_xlfn.XLOOKUP(AH35,'DO NOT TOUCH'!$C$9:$C$14,'DO NOT TOUCH'!$D$9:$D$14,)),"TBD")</f>
        <v>TBD</v>
      </c>
      <c r="AS35" s="132">
        <f>INPUT_OUTPUTS!$C$19</f>
        <v>0</v>
      </c>
      <c r="AT35" s="90" t="str">
        <f t="shared" si="19"/>
        <v>1, 2</v>
      </c>
    </row>
    <row r="36" spans="30:46" ht="15" customHeight="1">
      <c r="AD36" s="17" t="s">
        <v>120</v>
      </c>
      <c r="AE36" s="131" t="s">
        <v>75</v>
      </c>
      <c r="AF36" s="131" t="s">
        <v>76</v>
      </c>
      <c r="AG36" s="120">
        <f t="shared" si="8"/>
        <v>0</v>
      </c>
      <c r="AH36" s="120" t="str">
        <f>IFERROR((VLOOKUP(AG36,'DO NOT TOUCH'!$B$9:$C$14,2,TRUE)),"TBD")</f>
        <v>TBD</v>
      </c>
      <c r="AI36" s="120">
        <f t="shared" si="16"/>
        <v>0.5</v>
      </c>
      <c r="AJ36" s="120">
        <f>INPUT_OUTPUTS!$C$16</f>
        <v>140</v>
      </c>
      <c r="AK36" s="120">
        <f>INPUT_OUTPUTS!$C$17</f>
        <v>100</v>
      </c>
      <c r="AL36" s="120">
        <f t="shared" si="20"/>
        <v>55</v>
      </c>
      <c r="AM36" s="120">
        <f t="shared" si="20"/>
        <v>85</v>
      </c>
      <c r="AN36" s="120">
        <f t="shared" si="9"/>
        <v>0</v>
      </c>
      <c r="AO36" s="132">
        <f t="shared" si="17"/>
        <v>0</v>
      </c>
      <c r="AP36" s="132">
        <f t="shared" si="15"/>
        <v>0.5</v>
      </c>
      <c r="AQ36" s="132">
        <f t="shared" si="18"/>
        <v>5</v>
      </c>
      <c r="AR36" s="132" t="str">
        <f>IFERROR((_xlfn.XLOOKUP(AH36,'DO NOT TOUCH'!$C$9:$C$14,'DO NOT TOUCH'!$D$9:$D$14,)),"TBD")</f>
        <v>TBD</v>
      </c>
      <c r="AS36" s="132">
        <f>INPUT_OUTPUTS!$C$19</f>
        <v>0</v>
      </c>
      <c r="AT36" s="90" t="str">
        <f t="shared" si="19"/>
        <v>1, 2</v>
      </c>
    </row>
    <row r="37" spans="30:46" ht="15" customHeight="1">
      <c r="AD37" s="17" t="s">
        <v>121</v>
      </c>
      <c r="AE37" s="131" t="s">
        <v>75</v>
      </c>
      <c r="AF37" s="131" t="s">
        <v>76</v>
      </c>
      <c r="AG37" s="120">
        <f t="shared" si="8"/>
        <v>0</v>
      </c>
      <c r="AH37" s="120" t="str">
        <f>IFERROR((VLOOKUP(AG37,'DO NOT TOUCH'!$B$9:$C$14,2,TRUE)),"TBD")</f>
        <v>TBD</v>
      </c>
      <c r="AI37" s="120">
        <f t="shared" si="16"/>
        <v>0.5</v>
      </c>
      <c r="AJ37" s="120">
        <f>INPUT_OUTPUTS!$C$16</f>
        <v>140</v>
      </c>
      <c r="AK37" s="120">
        <f>INPUT_OUTPUTS!$C$17</f>
        <v>100</v>
      </c>
      <c r="AL37" s="120">
        <f t="shared" si="20"/>
        <v>55</v>
      </c>
      <c r="AM37" s="120">
        <f t="shared" si="20"/>
        <v>85</v>
      </c>
      <c r="AN37" s="120">
        <f t="shared" si="9"/>
        <v>0</v>
      </c>
      <c r="AO37" s="132">
        <f t="shared" si="17"/>
        <v>0</v>
      </c>
      <c r="AP37" s="132">
        <f t="shared" si="15"/>
        <v>0.5</v>
      </c>
      <c r="AQ37" s="132">
        <f t="shared" si="18"/>
        <v>5</v>
      </c>
      <c r="AR37" s="132" t="str">
        <f>IFERROR((_xlfn.XLOOKUP(AH37,'DO NOT TOUCH'!$C$9:$C$14,'DO NOT TOUCH'!$D$9:$D$14,)),"TBD")</f>
        <v>TBD</v>
      </c>
      <c r="AS37" s="132">
        <f>INPUT_OUTPUTS!$C$19</f>
        <v>0</v>
      </c>
      <c r="AT37" s="90" t="str">
        <f t="shared" si="19"/>
        <v>1, 2</v>
      </c>
    </row>
    <row r="38" spans="30:46" ht="15" customHeight="1">
      <c r="AD38" s="17" t="s">
        <v>122</v>
      </c>
      <c r="AE38" s="131" t="s">
        <v>75</v>
      </c>
      <c r="AF38" s="131" t="s">
        <v>76</v>
      </c>
      <c r="AG38" s="120">
        <f t="shared" si="8"/>
        <v>0</v>
      </c>
      <c r="AH38" s="120" t="str">
        <f>IFERROR((VLOOKUP(AG38,'DO NOT TOUCH'!$B$9:$C$14,2,TRUE)),"TBD")</f>
        <v>TBD</v>
      </c>
      <c r="AI38" s="120">
        <f t="shared" si="16"/>
        <v>0.5</v>
      </c>
      <c r="AJ38" s="120">
        <f>INPUT_OUTPUTS!$C$16</f>
        <v>140</v>
      </c>
      <c r="AK38" s="120">
        <f>INPUT_OUTPUTS!$C$17</f>
        <v>100</v>
      </c>
      <c r="AL38" s="120">
        <f t="shared" si="20"/>
        <v>55</v>
      </c>
      <c r="AM38" s="120">
        <f t="shared" si="20"/>
        <v>85</v>
      </c>
      <c r="AN38" s="120">
        <f t="shared" si="9"/>
        <v>0</v>
      </c>
      <c r="AO38" s="132">
        <f t="shared" si="17"/>
        <v>0</v>
      </c>
      <c r="AP38" s="132">
        <f t="shared" si="15"/>
        <v>0.5</v>
      </c>
      <c r="AQ38" s="132">
        <f t="shared" si="18"/>
        <v>5</v>
      </c>
      <c r="AR38" s="132" t="str">
        <f>IFERROR((_xlfn.XLOOKUP(AH38,'DO NOT TOUCH'!$C$9:$C$14,'DO NOT TOUCH'!$D$9:$D$14,)),"TBD")</f>
        <v>TBD</v>
      </c>
      <c r="AS38" s="132">
        <f>INPUT_OUTPUTS!$C$19</f>
        <v>0</v>
      </c>
      <c r="AT38" s="90" t="str">
        <f t="shared" si="19"/>
        <v>1, 2</v>
      </c>
    </row>
    <row r="39" spans="30:46" ht="15" customHeight="1">
      <c r="AD39" s="17" t="s">
        <v>123</v>
      </c>
      <c r="AE39" s="131" t="s">
        <v>75</v>
      </c>
      <c r="AF39" s="131" t="s">
        <v>76</v>
      </c>
      <c r="AG39" s="120">
        <f t="shared" si="8"/>
        <v>0</v>
      </c>
      <c r="AH39" s="120" t="str">
        <f>IFERROR((VLOOKUP(AG39,'DO NOT TOUCH'!$B$9:$C$14,2,TRUE)),"TBD")</f>
        <v>TBD</v>
      </c>
      <c r="AI39" s="120">
        <f t="shared" si="16"/>
        <v>0.5</v>
      </c>
      <c r="AJ39" s="120">
        <f>INPUT_OUTPUTS!$C$16</f>
        <v>140</v>
      </c>
      <c r="AK39" s="120">
        <f>INPUT_OUTPUTS!$C$17</f>
        <v>100</v>
      </c>
      <c r="AL39" s="120">
        <f t="shared" si="20"/>
        <v>55</v>
      </c>
      <c r="AM39" s="120">
        <f t="shared" si="20"/>
        <v>85</v>
      </c>
      <c r="AN39" s="120">
        <f t="shared" si="9"/>
        <v>0</v>
      </c>
      <c r="AO39" s="132">
        <f t="shared" si="17"/>
        <v>0</v>
      </c>
      <c r="AP39" s="132">
        <f t="shared" si="15"/>
        <v>0.5</v>
      </c>
      <c r="AQ39" s="132">
        <f t="shared" si="18"/>
        <v>5</v>
      </c>
      <c r="AR39" s="132" t="str">
        <f>IFERROR((_xlfn.XLOOKUP(AH39,'DO NOT TOUCH'!$C$9:$C$14,'DO NOT TOUCH'!$D$9:$D$14,)),"TBD")</f>
        <v>TBD</v>
      </c>
      <c r="AS39" s="132">
        <f>INPUT_OUTPUTS!$C$19</f>
        <v>0</v>
      </c>
      <c r="AT39" s="90" t="str">
        <f t="shared" si="19"/>
        <v>1, 2</v>
      </c>
    </row>
    <row r="40" spans="30:46" ht="15" customHeight="1">
      <c r="AD40" s="17" t="s">
        <v>124</v>
      </c>
      <c r="AE40" s="131" t="s">
        <v>75</v>
      </c>
      <c r="AF40" s="131" t="s">
        <v>76</v>
      </c>
      <c r="AG40" s="120">
        <f t="shared" si="8"/>
        <v>0</v>
      </c>
      <c r="AH40" s="120" t="str">
        <f>IFERROR((VLOOKUP(AG40,'DO NOT TOUCH'!$B$9:$C$14,2,TRUE)),"TBD")</f>
        <v>TBD</v>
      </c>
      <c r="AI40" s="120">
        <f t="shared" si="16"/>
        <v>0.5</v>
      </c>
      <c r="AJ40" s="120">
        <f>INPUT_OUTPUTS!$C$16</f>
        <v>140</v>
      </c>
      <c r="AK40" s="120">
        <f>INPUT_OUTPUTS!$C$17</f>
        <v>100</v>
      </c>
      <c r="AL40" s="120">
        <f t="shared" ref="AL40:AM44" si="21">AL39</f>
        <v>55</v>
      </c>
      <c r="AM40" s="120">
        <f t="shared" si="21"/>
        <v>85</v>
      </c>
      <c r="AN40" s="120">
        <f t="shared" si="9"/>
        <v>0</v>
      </c>
      <c r="AO40" s="132">
        <f t="shared" si="17"/>
        <v>0</v>
      </c>
      <c r="AP40" s="132">
        <f t="shared" si="15"/>
        <v>0.5</v>
      </c>
      <c r="AQ40" s="132">
        <f t="shared" si="18"/>
        <v>5</v>
      </c>
      <c r="AR40" s="132" t="str">
        <f>IFERROR((_xlfn.XLOOKUP(AH40,'DO NOT TOUCH'!$C$9:$C$14,'DO NOT TOUCH'!$D$9:$D$14,)),"TBD")</f>
        <v>TBD</v>
      </c>
      <c r="AS40" s="132">
        <f>INPUT_OUTPUTS!$C$19</f>
        <v>0</v>
      </c>
      <c r="AT40" s="90" t="str">
        <f t="shared" si="19"/>
        <v>1, 2</v>
      </c>
    </row>
    <row r="41" spans="30:46" ht="15" customHeight="1">
      <c r="AD41" s="17" t="s">
        <v>125</v>
      </c>
      <c r="AE41" s="131" t="s">
        <v>75</v>
      </c>
      <c r="AF41" s="131" t="s">
        <v>76</v>
      </c>
      <c r="AG41" s="120">
        <f t="shared" si="8"/>
        <v>0</v>
      </c>
      <c r="AH41" s="120" t="str">
        <f>IFERROR((VLOOKUP(AG41,'DO NOT TOUCH'!$B$9:$C$14,2,TRUE)),"TBD")</f>
        <v>TBD</v>
      </c>
      <c r="AI41" s="120">
        <f t="shared" si="16"/>
        <v>0.5</v>
      </c>
      <c r="AJ41" s="120">
        <f>INPUT_OUTPUTS!$C$16</f>
        <v>140</v>
      </c>
      <c r="AK41" s="120">
        <f>INPUT_OUTPUTS!$C$17</f>
        <v>100</v>
      </c>
      <c r="AL41" s="120">
        <f t="shared" si="21"/>
        <v>55</v>
      </c>
      <c r="AM41" s="120">
        <f t="shared" si="21"/>
        <v>85</v>
      </c>
      <c r="AN41" s="120">
        <f t="shared" si="9"/>
        <v>0</v>
      </c>
      <c r="AO41" s="132">
        <f t="shared" si="17"/>
        <v>0</v>
      </c>
      <c r="AP41" s="132">
        <f t="shared" si="15"/>
        <v>0.5</v>
      </c>
      <c r="AQ41" s="132">
        <f t="shared" si="18"/>
        <v>5</v>
      </c>
      <c r="AR41" s="132" t="str">
        <f>IFERROR((_xlfn.XLOOKUP(AH41,'DO NOT TOUCH'!$C$9:$C$14,'DO NOT TOUCH'!$D$9:$D$14,)),"TBD")</f>
        <v>TBD</v>
      </c>
      <c r="AS41" s="132">
        <f>INPUT_OUTPUTS!$C$19</f>
        <v>0</v>
      </c>
      <c r="AT41" s="90" t="str">
        <f t="shared" si="19"/>
        <v>1, 2</v>
      </c>
    </row>
    <row r="42" spans="30:46" ht="15" customHeight="1">
      <c r="AD42" s="17" t="s">
        <v>126</v>
      </c>
      <c r="AE42" s="131" t="s">
        <v>75</v>
      </c>
      <c r="AF42" s="131" t="s">
        <v>76</v>
      </c>
      <c r="AG42" s="120">
        <f t="shared" si="8"/>
        <v>0</v>
      </c>
      <c r="AH42" s="120" t="str">
        <f>IFERROR((VLOOKUP(AG42,'DO NOT TOUCH'!$B$9:$C$14,2,TRUE)),"TBD")</f>
        <v>TBD</v>
      </c>
      <c r="AI42" s="120">
        <f t="shared" si="16"/>
        <v>0.5</v>
      </c>
      <c r="AJ42" s="120">
        <f>INPUT_OUTPUTS!$C$16</f>
        <v>140</v>
      </c>
      <c r="AK42" s="120">
        <f>INPUT_OUTPUTS!$C$17</f>
        <v>100</v>
      </c>
      <c r="AL42" s="120">
        <f t="shared" si="21"/>
        <v>55</v>
      </c>
      <c r="AM42" s="120">
        <f t="shared" si="21"/>
        <v>85</v>
      </c>
      <c r="AN42" s="120">
        <f t="shared" si="9"/>
        <v>0</v>
      </c>
      <c r="AO42" s="132">
        <f t="shared" si="17"/>
        <v>0</v>
      </c>
      <c r="AP42" s="132">
        <f t="shared" si="15"/>
        <v>0.5</v>
      </c>
      <c r="AQ42" s="132">
        <f t="shared" si="18"/>
        <v>5</v>
      </c>
      <c r="AR42" s="132" t="str">
        <f>IFERROR((_xlfn.XLOOKUP(AH42,'DO NOT TOUCH'!$C$9:$C$14,'DO NOT TOUCH'!$D$9:$D$14,)),"TBD")</f>
        <v>TBD</v>
      </c>
      <c r="AS42" s="132">
        <f>INPUT_OUTPUTS!$C$19</f>
        <v>0</v>
      </c>
      <c r="AT42" s="90" t="str">
        <f t="shared" si="19"/>
        <v>1, 2</v>
      </c>
    </row>
    <row r="43" spans="30:46" ht="15" customHeight="1">
      <c r="AD43" s="17" t="s">
        <v>127</v>
      </c>
      <c r="AE43" s="131" t="s">
        <v>75</v>
      </c>
      <c r="AF43" s="131" t="s">
        <v>76</v>
      </c>
      <c r="AG43" s="120">
        <f t="shared" si="8"/>
        <v>0</v>
      </c>
      <c r="AH43" s="120" t="str">
        <f>IFERROR((VLOOKUP(AG43,'DO NOT TOUCH'!$B$9:$C$14,2,TRUE)),"TBD")</f>
        <v>TBD</v>
      </c>
      <c r="AI43" s="120">
        <f t="shared" si="16"/>
        <v>0.5</v>
      </c>
      <c r="AJ43" s="120">
        <f>INPUT_OUTPUTS!$C$16</f>
        <v>140</v>
      </c>
      <c r="AK43" s="120">
        <f>INPUT_OUTPUTS!$C$17</f>
        <v>100</v>
      </c>
      <c r="AL43" s="120">
        <f t="shared" si="21"/>
        <v>55</v>
      </c>
      <c r="AM43" s="120">
        <f t="shared" si="21"/>
        <v>85</v>
      </c>
      <c r="AN43" s="120">
        <f t="shared" si="9"/>
        <v>0</v>
      </c>
      <c r="AO43" s="132">
        <f t="shared" si="17"/>
        <v>0</v>
      </c>
      <c r="AP43" s="132">
        <f t="shared" si="15"/>
        <v>0.5</v>
      </c>
      <c r="AQ43" s="132">
        <f t="shared" si="18"/>
        <v>5</v>
      </c>
      <c r="AR43" s="132" t="str">
        <f>IFERROR((_xlfn.XLOOKUP(AH43,'DO NOT TOUCH'!$C$9:$C$14,'DO NOT TOUCH'!$D$9:$D$14,)),"TBD")</f>
        <v>TBD</v>
      </c>
      <c r="AS43" s="132">
        <f>INPUT_OUTPUTS!$C$19</f>
        <v>0</v>
      </c>
      <c r="AT43" s="90" t="str">
        <f t="shared" si="19"/>
        <v>1, 2</v>
      </c>
    </row>
    <row r="44" spans="30:46" ht="15" customHeight="1">
      <c r="AD44" s="138" t="s">
        <v>128</v>
      </c>
      <c r="AE44" s="139" t="s">
        <v>75</v>
      </c>
      <c r="AF44" s="139" t="s">
        <v>76</v>
      </c>
      <c r="AG44" s="137">
        <f t="shared" si="8"/>
        <v>0</v>
      </c>
      <c r="AH44" s="137" t="str">
        <f>IFERROR((VLOOKUP(AG44,'DO NOT TOUCH'!$B$9:$C$14,2,TRUE)),"TBD")</f>
        <v>TBD</v>
      </c>
      <c r="AI44" s="137">
        <f t="shared" si="16"/>
        <v>0.5</v>
      </c>
      <c r="AJ44" s="137">
        <f>INPUT_OUTPUTS!$C$16</f>
        <v>140</v>
      </c>
      <c r="AK44" s="137">
        <f>INPUT_OUTPUTS!$C$17</f>
        <v>100</v>
      </c>
      <c r="AL44" s="137">
        <f t="shared" si="21"/>
        <v>55</v>
      </c>
      <c r="AM44" s="137">
        <f t="shared" si="21"/>
        <v>85</v>
      </c>
      <c r="AN44" s="137">
        <f t="shared" si="9"/>
        <v>0</v>
      </c>
      <c r="AO44" s="140">
        <f t="shared" si="17"/>
        <v>0</v>
      </c>
      <c r="AP44" s="140">
        <f t="shared" si="15"/>
        <v>0.5</v>
      </c>
      <c r="AQ44" s="140">
        <f t="shared" si="18"/>
        <v>5</v>
      </c>
      <c r="AR44" s="140" t="str">
        <f>IFERROR((_xlfn.XLOOKUP(AH44,'DO NOT TOUCH'!$C$9:$C$14,'DO NOT TOUCH'!$D$9:$D$14,)),"TBD")</f>
        <v>TBD</v>
      </c>
      <c r="AS44" s="132">
        <f>INPUT_OUTPUTS!$C$19</f>
        <v>0</v>
      </c>
      <c r="AT44" s="121" t="str">
        <f t="shared" si="19"/>
        <v>1, 2</v>
      </c>
    </row>
    <row r="45" spans="30:46" ht="15" customHeight="1">
      <c r="AD45" s="138" t="s">
        <v>129</v>
      </c>
      <c r="AE45" s="139"/>
      <c r="AF45" s="139"/>
      <c r="AG45" s="141"/>
      <c r="AH45" s="141"/>
      <c r="AI45" s="141"/>
      <c r="AJ45" s="141"/>
      <c r="AK45" s="141"/>
      <c r="AL45" s="141"/>
      <c r="AM45" s="141"/>
      <c r="AN45" s="141">
        <f>SUBTOTAL(109,AHU1_CAV_SCHEDULE441120[MIN MBH])</f>
        <v>0</v>
      </c>
      <c r="AO45" s="141"/>
      <c r="AP45" s="142">
        <f>SUBTOTAL(109,AHU1_CAV_SCHEDULE441120[GPM])</f>
        <v>19</v>
      </c>
      <c r="AQ45" s="141"/>
      <c r="AR45" s="141"/>
      <c r="AS45" s="141"/>
      <c r="AT45" s="143"/>
    </row>
    <row r="46" spans="30:46" ht="15" customHeight="1">
      <c r="AD46" s="304" t="s">
        <v>130</v>
      </c>
      <c r="AE46" s="305"/>
      <c r="AF46" s="305"/>
      <c r="AG46" s="305"/>
      <c r="AH46" s="305"/>
      <c r="AI46" s="305"/>
      <c r="AJ46" s="305"/>
      <c r="AK46" s="305"/>
      <c r="AL46" s="305"/>
      <c r="AM46" s="305"/>
      <c r="AN46" s="305"/>
      <c r="AO46" s="305"/>
      <c r="AP46" s="305"/>
      <c r="AQ46" s="305"/>
      <c r="AR46" s="305"/>
      <c r="AS46" s="305"/>
      <c r="AT46" s="306"/>
    </row>
    <row r="47" spans="30:46" ht="15" customHeight="1">
      <c r="AD47" s="307"/>
      <c r="AE47" s="308"/>
      <c r="AF47" s="308"/>
      <c r="AG47" s="308"/>
      <c r="AH47" s="308"/>
      <c r="AI47" s="308"/>
      <c r="AJ47" s="308"/>
      <c r="AK47" s="308"/>
      <c r="AL47" s="308"/>
      <c r="AM47" s="308"/>
      <c r="AN47" s="308"/>
      <c r="AO47" s="308"/>
      <c r="AP47" s="308"/>
      <c r="AQ47" s="308"/>
      <c r="AR47" s="308"/>
      <c r="AS47" s="308"/>
      <c r="AT47" s="309"/>
    </row>
    <row r="48" spans="30:46" ht="15" customHeight="1">
      <c r="AD48" s="307"/>
      <c r="AE48" s="308"/>
      <c r="AF48" s="308"/>
      <c r="AG48" s="308"/>
      <c r="AH48" s="308"/>
      <c r="AI48" s="308"/>
      <c r="AJ48" s="308"/>
      <c r="AK48" s="308"/>
      <c r="AL48" s="308"/>
      <c r="AM48" s="308"/>
      <c r="AN48" s="308"/>
      <c r="AO48" s="308"/>
      <c r="AP48" s="308"/>
      <c r="AQ48" s="308"/>
      <c r="AR48" s="308"/>
      <c r="AS48" s="308"/>
      <c r="AT48" s="309"/>
    </row>
    <row r="49" spans="29:46" ht="15" customHeight="1">
      <c r="AD49" s="310"/>
      <c r="AE49" s="311"/>
      <c r="AF49" s="311"/>
      <c r="AG49" s="311"/>
      <c r="AH49" s="311"/>
      <c r="AI49" s="311"/>
      <c r="AJ49" s="311"/>
      <c r="AK49" s="311"/>
      <c r="AL49" s="311"/>
      <c r="AM49" s="311"/>
      <c r="AN49" s="311"/>
      <c r="AO49" s="311"/>
      <c r="AP49" s="311"/>
      <c r="AQ49" s="311"/>
      <c r="AR49" s="311"/>
      <c r="AS49" s="311"/>
      <c r="AT49" s="312"/>
    </row>
    <row r="50" spans="29:46" ht="15" customHeight="1">
      <c r="AD50" s="42"/>
      <c r="AE50" s="39"/>
      <c r="AF50" s="39"/>
      <c r="AG50" s="42"/>
      <c r="AH50" s="39"/>
      <c r="AI50" s="39"/>
      <c r="AJ50" s="42"/>
      <c r="AK50" s="42"/>
      <c r="AO50" s="42"/>
      <c r="AP50" s="42"/>
      <c r="AQ50" s="40"/>
      <c r="AR50" s="42"/>
      <c r="AS50" s="43"/>
    </row>
    <row r="51" spans="29:46" ht="15" customHeight="1"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</row>
    <row r="52" spans="29:46" ht="15" customHeight="1"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</row>
    <row r="53" spans="29:46" ht="15" customHeight="1"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</row>
    <row r="54" spans="29:46" ht="15" customHeight="1"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</row>
    <row r="55" spans="29:46" ht="15" customHeight="1">
      <c r="AC55" s="44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T55" s="40"/>
    </row>
    <row r="56" spans="29:46" ht="15" customHeight="1">
      <c r="AC56" s="44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T56" s="40"/>
    </row>
    <row r="57" spans="29:46" ht="15" customHeight="1">
      <c r="AC57" s="44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T57" s="40"/>
    </row>
    <row r="58" spans="29:46" ht="15" customHeight="1">
      <c r="AC58" s="44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T58" s="40"/>
    </row>
    <row r="59" spans="29:46" ht="15" customHeight="1">
      <c r="AC59" s="44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T59" s="40"/>
    </row>
    <row r="60" spans="29:46" ht="15" customHeight="1">
      <c r="AC60" s="44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T60" s="40"/>
    </row>
    <row r="61" spans="29:46" ht="15" customHeight="1">
      <c r="AC61" s="44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T61" s="40"/>
    </row>
    <row r="62" spans="29:46" ht="15" customHeight="1">
      <c r="AC62" s="44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T62" s="40"/>
    </row>
    <row r="63" spans="29:46" ht="15" customHeight="1">
      <c r="AC63" s="44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T63" s="40"/>
    </row>
    <row r="64" spans="29:46" ht="15" customHeight="1">
      <c r="AC64" s="44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T64" s="40"/>
    </row>
    <row r="65" spans="27:47" ht="15" customHeight="1">
      <c r="AC65" s="44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T65" s="40"/>
    </row>
    <row r="66" spans="27:47" ht="15" customHeight="1">
      <c r="AC66" s="44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T66" s="40"/>
    </row>
    <row r="67" spans="27:47" ht="15" customHeight="1">
      <c r="AC67" s="44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T67" s="40"/>
    </row>
    <row r="68" spans="27:47" ht="15" customHeight="1">
      <c r="AC68" s="44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T68" s="40"/>
    </row>
    <row r="69" spans="27:47" ht="15" customHeight="1">
      <c r="AC69" s="44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T69" s="40"/>
    </row>
    <row r="70" spans="27:47" ht="15" customHeight="1">
      <c r="AC70" s="44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T70" s="40"/>
    </row>
    <row r="71" spans="27:47" ht="15" customHeight="1">
      <c r="AC71" s="44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T71" s="40"/>
    </row>
    <row r="72" spans="27:47" ht="15" customHeight="1">
      <c r="AC72" s="44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T72" s="40"/>
    </row>
    <row r="73" spans="27:47" ht="15" customHeight="1">
      <c r="AC73" s="44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T73" s="40"/>
    </row>
    <row r="74" spans="27:47" ht="15" customHeight="1">
      <c r="AC74" s="44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T74" s="40"/>
    </row>
    <row r="75" spans="27:47" ht="15" customHeight="1">
      <c r="AC75" s="44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T75" s="40"/>
    </row>
    <row r="76" spans="27:47" ht="15" customHeight="1">
      <c r="AC76" s="44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T76" s="40"/>
    </row>
    <row r="77" spans="27:47" ht="15" customHeight="1">
      <c r="AC77" s="44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T77" s="40"/>
    </row>
    <row r="78" spans="27:47" ht="15" customHeight="1">
      <c r="AC78" s="44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T78" s="40"/>
    </row>
    <row r="79" spans="27:47" ht="15" customHeight="1">
      <c r="AC79" s="44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T79" s="40"/>
    </row>
    <row r="80" spans="27:47">
      <c r="AA80" s="57"/>
      <c r="AC80" s="44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U80" s="40"/>
    </row>
    <row r="81" spans="27:47" ht="15" customHeight="1">
      <c r="AA81" s="57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U81" s="40"/>
    </row>
    <row r="82" spans="27:47" ht="15" customHeight="1">
      <c r="AA82" s="58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U82" s="40"/>
    </row>
    <row r="83" spans="27:47" ht="15" customHeight="1"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U83" s="40"/>
    </row>
    <row r="84" spans="27:47" ht="15" customHeight="1"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U84" s="40"/>
    </row>
    <row r="85" spans="27:47" ht="15" customHeight="1"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U85" s="40"/>
    </row>
    <row r="86" spans="27:47" ht="15" customHeight="1"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U86" s="40"/>
    </row>
    <row r="87" spans="27:47" ht="15" customHeight="1"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U87" s="40"/>
    </row>
    <row r="88" spans="27:47" ht="15" customHeight="1"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</row>
    <row r="89" spans="27:47" ht="15" customHeight="1"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U89" s="40"/>
    </row>
    <row r="90" spans="27:47" ht="15" customHeight="1"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U90" s="40"/>
    </row>
    <row r="91" spans="27:47" ht="15" customHeight="1"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U91" s="40"/>
    </row>
    <row r="92" spans="27:47" ht="15" customHeight="1"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U92" s="40"/>
    </row>
    <row r="93" spans="27:47" ht="15" customHeight="1"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U93" s="40"/>
    </row>
    <row r="94" spans="27:47" ht="15" customHeight="1"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U94" s="40"/>
    </row>
    <row r="95" spans="27:47" ht="15" customHeight="1"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U95" s="40"/>
    </row>
    <row r="96" spans="27:47" ht="15" customHeight="1"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U96" s="40"/>
    </row>
    <row r="97" spans="33:47" ht="15" customHeight="1"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U97" s="40"/>
    </row>
    <row r="98" spans="33:47" ht="15.75" customHeight="1"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U98" s="40"/>
    </row>
    <row r="99" spans="33:47"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U99" s="40"/>
    </row>
    <row r="100" spans="33:47"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U100" s="40"/>
    </row>
    <row r="101" spans="33:47"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U101" s="40"/>
    </row>
    <row r="102" spans="33:47" ht="15" customHeight="1"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U102" s="40"/>
    </row>
    <row r="103" spans="33:47"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</row>
    <row r="104" spans="33:47">
      <c r="AP104" s="60"/>
      <c r="AQ104" s="60"/>
      <c r="AR104" s="60"/>
      <c r="AS104" s="60"/>
    </row>
  </sheetData>
  <dataConsolidate topLabels="1">
    <dataRefs count="1">
      <dataRef ref="C8:D86" sheet="AHU 1" r:id="rId1"/>
    </dataRefs>
  </dataConsolidate>
  <mergeCells count="7">
    <mergeCell ref="AD46:AT49"/>
    <mergeCell ref="Y4:Z4"/>
    <mergeCell ref="B5:H5"/>
    <mergeCell ref="I5:R5"/>
    <mergeCell ref="S5:V5"/>
    <mergeCell ref="X5:Z5"/>
    <mergeCell ref="AD5:AT5"/>
  </mergeCells>
  <conditionalFormatting sqref="Y7:Y17">
    <cfRule type="cellIs" dxfId="5" priority="2" operator="greaterThan">
      <formula>$X$4</formula>
    </cfRule>
  </conditionalFormatting>
  <conditionalFormatting sqref="W7:X7">
    <cfRule type="cellIs" dxfId="4" priority="1" operator="greaterThan">
      <formula>$X$4</formula>
    </cfRule>
  </conditionalFormatting>
  <dataValidations count="4">
    <dataValidation type="whole" operator="greaterThan" allowBlank="1" showInputMessage="1" showErrorMessage="1" sqref="V7:V17" xr:uid="{EACFE001-00A6-44BB-9986-F430318FEF01}">
      <formula1>-1</formula1>
    </dataValidation>
    <dataValidation type="whole" operator="greaterThan" allowBlank="1" showInputMessage="1" showErrorMessage="1" sqref="E7:E17" xr:uid="{7E33E0DB-61A9-4711-A169-46CA04E3D800}">
      <formula1>1</formula1>
    </dataValidation>
    <dataValidation type="decimal" operator="greaterThan" allowBlank="1" showInputMessage="1" showErrorMessage="1" sqref="F7:F17" xr:uid="{5B3C6D55-1FE0-4AD3-A9F6-18792518064B}">
      <formula1>1</formula1>
    </dataValidation>
    <dataValidation type="whole" operator="greaterThan" allowBlank="1" showInputMessage="1" showErrorMessage="1" sqref="T7:T17" xr:uid="{03C07015-18C1-4347-A9AB-F48818E95A30}">
      <formula1>0</formula1>
    </dataValidation>
  </dataValidations>
  <pageMargins left="0.25" right="0.25" top="0.75" bottom="0.75" header="0.3" footer="0.3"/>
  <pageSetup paperSize="17" scale="53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5A7E0975-2EF4-4108-B1AB-4989B586B537}">
          <x14:formula1>
            <xm:f>'UMC Table 4-A'!$A$2:$A$132</xm:f>
          </x14:formula1>
          <xm:sqref>K7:K9 K11:K17</xm:sqref>
        </x14:dataValidation>
        <x14:dataValidation type="list" allowBlank="1" showInputMessage="1" showErrorMessage="1" promptTitle="Title" prompt="Input message" xr:uid="{2F6F3180-D9A4-418D-8870-C889FD7C9ACB}">
          <x14:formula1>
            <xm:f>'UMC Table 4-A'!$A$1:$A$127</xm:f>
          </x14:formula1>
          <xm:sqref>K10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pageSetUpPr fitToPage="1"/>
  </sheetPr>
  <dimension ref="A1:BM104"/>
  <sheetViews>
    <sheetView showGridLines="0" zoomScale="70" zoomScaleNormal="70" zoomScaleSheetLayoutView="50" zoomScalePageLayoutView="80" workbookViewId="0">
      <pane ySplit="6" topLeftCell="A7" activePane="bottomLeft" state="frozen"/>
      <selection pane="bottomLeft" activeCell="K27" sqref="A27:K29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20.7109375" style="42" customWidth="1"/>
    <col min="10" max="10" width="15.85546875" style="39" customWidth="1"/>
    <col min="11" max="11" width="34.85546875" style="39" bestFit="1" customWidth="1"/>
    <col min="12" max="12" width="34.85546875" style="42" bestFit="1" customWidth="1"/>
    <col min="13" max="13" width="29.140625" style="39" bestFit="1" customWidth="1"/>
    <col min="14" max="14" width="30.7109375" style="39" customWidth="1"/>
    <col min="15" max="16" width="25.85546875" style="42" bestFit="1" customWidth="1"/>
    <col min="17" max="17" width="25.85546875" style="39" bestFit="1" customWidth="1"/>
    <col min="18" max="18" width="17.7109375" style="39" bestFit="1" customWidth="1"/>
    <col min="19" max="19" width="23.7109375" style="39" bestFit="1" customWidth="1"/>
    <col min="20" max="20" width="23.28515625" style="42" bestFit="1" customWidth="1"/>
    <col min="21" max="21" width="63" style="42" bestFit="1" customWidth="1"/>
    <col min="22" max="22" width="19.140625" style="40" bestFit="1" customWidth="1"/>
    <col min="23" max="23" width="16.7109375" style="42" bestFit="1" customWidth="1"/>
    <col min="24" max="24" width="18" style="43" customWidth="1"/>
    <col min="25" max="25" width="19.140625" style="39" bestFit="1" customWidth="1"/>
    <col min="26" max="26" width="19.7109375" style="40" customWidth="1"/>
    <col min="27" max="27" width="20.42578125" style="40" customWidth="1"/>
    <col min="28" max="28" width="21.85546875" style="40" bestFit="1" customWidth="1"/>
    <col min="29" max="29" width="22.42578125" style="40" bestFit="1" customWidth="1"/>
    <col min="30" max="30" width="13.28515625" style="40" bestFit="1" customWidth="1"/>
    <col min="31" max="31" width="18.42578125" style="44" bestFit="1" customWidth="1"/>
    <col min="32" max="32" width="22" style="44" bestFit="1" customWidth="1"/>
    <col min="33" max="33" width="17.42578125" style="44" customWidth="1"/>
    <col min="34" max="34" width="18.85546875" style="45" customWidth="1"/>
    <col min="35" max="35" width="16" style="45" customWidth="1"/>
    <col min="36" max="36" width="20" style="45" bestFit="1" customWidth="1"/>
    <col min="37" max="38" width="21" style="39" customWidth="1"/>
    <col min="39" max="39" width="19.5703125" style="39" customWidth="1"/>
    <col min="40" max="40" width="16.7109375" style="39" customWidth="1"/>
    <col min="41" max="41" width="15.42578125" style="39" bestFit="1" customWidth="1"/>
    <col min="42" max="42" width="5.85546875" style="39" hidden="1" customWidth="1"/>
    <col min="43" max="43" width="13.5703125" style="39" bestFit="1" customWidth="1"/>
    <col min="44" max="44" width="12.140625" style="39" bestFit="1" customWidth="1"/>
    <col min="45" max="45" width="15" style="39" bestFit="1" customWidth="1"/>
    <col min="46" max="46" width="15.7109375" style="39" bestFit="1" customWidth="1"/>
    <col min="47" max="47" width="14.5703125" style="39" bestFit="1" customWidth="1"/>
    <col min="48" max="48" width="18.28515625" style="39" bestFit="1" customWidth="1"/>
    <col min="49" max="49" width="8.85546875" style="39"/>
    <col min="50" max="50" width="8.85546875" style="39" customWidth="1"/>
    <col min="51" max="53" width="9.28515625" style="39" customWidth="1"/>
    <col min="54" max="56" width="8.85546875" style="39" customWidth="1"/>
    <col min="57" max="16384" width="8.85546875" style="39"/>
  </cols>
  <sheetData>
    <row r="1" spans="1:65">
      <c r="AY1" s="39" t="s">
        <v>0</v>
      </c>
      <c r="AZ1" s="39" t="s">
        <v>1</v>
      </c>
      <c r="BA1" s="39" t="s">
        <v>2</v>
      </c>
      <c r="BC1" s="39" t="s">
        <v>3</v>
      </c>
      <c r="BD1" s="39" t="s">
        <v>4</v>
      </c>
    </row>
    <row r="2" spans="1:65" ht="18" hidden="1" thickBot="1">
      <c r="AY2" s="11">
        <f ca="1">ROUNDUP(AM18*INPUT_OUTPUTS!$C$18,-2)</f>
        <v>6300</v>
      </c>
      <c r="AZ2" s="11">
        <f ca="1">ROUNDUP(AN18*INPUT_OUTPUTS!$C$18,-2)</f>
        <v>4800</v>
      </c>
      <c r="BA2" s="10">
        <f>ROUNDUP((AK18*INPUT_OUTPUTS!C18)+Z4,-2)</f>
        <v>1900</v>
      </c>
      <c r="BC2" s="46">
        <f>AHU1_CAV_SCHEDULE441114[[#Totals],[GPM]]</f>
        <v>19</v>
      </c>
      <c r="BD2" s="47">
        <f>AHU1_CAV_SCHEDULE441114[[#Totals],[MIN MBH]]</f>
        <v>0</v>
      </c>
    </row>
    <row r="3" spans="1:65" ht="15.75" customHeight="1">
      <c r="C3" s="39"/>
      <c r="H3" s="39"/>
      <c r="I3" s="39"/>
      <c r="L3" s="39"/>
      <c r="O3" s="39"/>
      <c r="P3" s="39"/>
      <c r="T3" s="39"/>
      <c r="U3" s="39"/>
      <c r="V3" s="39"/>
      <c r="W3" s="39"/>
      <c r="X3" s="48"/>
      <c r="Z3" s="39"/>
      <c r="AA3" s="39"/>
      <c r="AB3" s="39"/>
    </row>
    <row r="4" spans="1:65" ht="15.75">
      <c r="B4" s="42"/>
      <c r="C4" s="42"/>
      <c r="D4" s="42"/>
      <c r="E4" s="42"/>
      <c r="F4" s="42"/>
      <c r="G4" s="42"/>
      <c r="J4" s="42"/>
      <c r="K4" s="42"/>
      <c r="M4" s="42"/>
      <c r="N4" s="42"/>
      <c r="Q4" s="42"/>
      <c r="R4" s="42"/>
      <c r="S4" s="42"/>
      <c r="V4" s="42"/>
      <c r="X4" s="110" t="s">
        <v>5</v>
      </c>
      <c r="Y4" s="109">
        <f ca="1">(BA2/AY2)*100</f>
        <v>30.158730158730158</v>
      </c>
      <c r="Z4" s="314">
        <v>0</v>
      </c>
      <c r="AA4" s="314"/>
      <c r="AB4" s="39"/>
    </row>
    <row r="5" spans="1:65">
      <c r="B5" s="315" t="s">
        <v>6</v>
      </c>
      <c r="C5" s="316"/>
      <c r="D5" s="316"/>
      <c r="E5" s="316"/>
      <c r="F5" s="316"/>
      <c r="G5" s="316"/>
      <c r="H5" s="317"/>
      <c r="I5" s="106"/>
      <c r="J5" s="122"/>
      <c r="K5" s="313" t="s">
        <v>7</v>
      </c>
      <c r="L5" s="313"/>
      <c r="M5" s="313"/>
      <c r="N5" s="313"/>
      <c r="O5" s="313"/>
      <c r="P5" s="313"/>
      <c r="Q5" s="313"/>
      <c r="R5" s="313"/>
      <c r="S5" s="313" t="s">
        <v>8</v>
      </c>
      <c r="T5" s="313"/>
      <c r="U5" s="313"/>
      <c r="V5" s="313"/>
      <c r="W5" s="313"/>
      <c r="X5" s="313"/>
      <c r="Y5" s="313"/>
      <c r="Z5" s="313"/>
      <c r="AA5" s="313"/>
      <c r="AB5" s="313"/>
      <c r="AC5" s="313"/>
      <c r="AD5" s="313"/>
      <c r="AE5" s="313"/>
      <c r="AF5" s="313"/>
      <c r="AG5" s="313"/>
      <c r="AH5" s="313"/>
      <c r="AI5" s="313"/>
      <c r="AJ5" s="313"/>
    </row>
    <row r="6" spans="1:65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26</v>
      </c>
      <c r="T6" s="96" t="s">
        <v>27</v>
      </c>
      <c r="U6" s="95" t="s">
        <v>28</v>
      </c>
      <c r="V6" s="95" t="s">
        <v>29</v>
      </c>
      <c r="W6" s="95" t="s">
        <v>30</v>
      </c>
      <c r="X6" s="95" t="s">
        <v>31</v>
      </c>
      <c r="Y6" s="95" t="s">
        <v>32</v>
      </c>
      <c r="Z6" s="95" t="s">
        <v>33</v>
      </c>
      <c r="AA6" s="95" t="s">
        <v>34</v>
      </c>
      <c r="AB6" s="95" t="s">
        <v>35</v>
      </c>
      <c r="AC6" s="95" t="s">
        <v>36</v>
      </c>
      <c r="AD6" s="95" t="s">
        <v>37</v>
      </c>
      <c r="AE6" s="95" t="s">
        <v>38</v>
      </c>
      <c r="AF6" s="95" t="s">
        <v>39</v>
      </c>
      <c r="AG6" s="95" t="s">
        <v>40</v>
      </c>
      <c r="AH6" s="95" t="s">
        <v>41</v>
      </c>
      <c r="AI6" s="95" t="s">
        <v>42</v>
      </c>
      <c r="AJ6" s="95" t="s">
        <v>43</v>
      </c>
      <c r="AK6" s="95" t="s">
        <v>788</v>
      </c>
      <c r="AL6" s="95" t="s">
        <v>44</v>
      </c>
      <c r="AM6" s="95" t="s">
        <v>45</v>
      </c>
      <c r="AN6" s="95" t="s">
        <v>46</v>
      </c>
      <c r="AO6" s="95" t="s">
        <v>47</v>
      </c>
      <c r="AP6" s="95" t="s">
        <v>48</v>
      </c>
      <c r="AQ6" s="95" t="s">
        <v>49</v>
      </c>
      <c r="AR6" s="95" t="s">
        <v>50</v>
      </c>
      <c r="AS6" s="95" t="s">
        <v>51</v>
      </c>
      <c r="AT6" s="97" t="s">
        <v>52</v>
      </c>
      <c r="AU6" s="50"/>
      <c r="AV6" s="50"/>
      <c r="AW6" s="318" t="s">
        <v>53</v>
      </c>
      <c r="AX6" s="318"/>
      <c r="AY6" s="318"/>
      <c r="AZ6" s="318"/>
      <c r="BA6" s="318"/>
      <c r="BB6" s="318"/>
      <c r="BC6" s="318"/>
      <c r="BD6" s="318"/>
      <c r="BE6" s="318"/>
      <c r="BF6" s="318"/>
      <c r="BG6" s="318"/>
      <c r="BH6" s="318"/>
      <c r="BI6" s="318"/>
      <c r="BJ6" s="318"/>
      <c r="BK6" s="318"/>
      <c r="BL6" s="318"/>
      <c r="BM6" s="318"/>
    </row>
    <row r="7" spans="1:65" ht="15" customHeight="1">
      <c r="B7" s="91" t="s">
        <v>54</v>
      </c>
      <c r="C7" s="123" t="s">
        <v>54</v>
      </c>
      <c r="D7" s="123">
        <v>1234</v>
      </c>
      <c r="E7" s="123">
        <v>100</v>
      </c>
      <c r="F7" s="123">
        <v>10</v>
      </c>
      <c r="G7" s="120" t="str">
        <f>VLOOKUP($K7,'UMC Table 4-A'!$A$2:$E$132,5,FALSE)</f>
        <v>NR</v>
      </c>
      <c r="H7" s="123">
        <v>100</v>
      </c>
      <c r="I7" s="120">
        <v>250</v>
      </c>
      <c r="J7" s="120">
        <f t="shared" ref="J7:J17" si="0">IF(OR((K7="PATIENT CORRIDOR"),(K7="TOILET")),(E7*0.5),E7)</f>
        <v>100</v>
      </c>
      <c r="K7" s="123" t="s">
        <v>657</v>
      </c>
      <c r="L7" s="120" t="str">
        <f>VLOOKUP($K7,'UMC Table 4-A'!$A$2:$E$132,2,FALSE)</f>
        <v>NR</v>
      </c>
      <c r="M7" s="120">
        <f>VLOOKUP($K7,'UMC Table 4-A'!$A$2:$E$132,3,FALSE)</f>
        <v>2</v>
      </c>
      <c r="N7" s="124">
        <f>IF(TABLE4A4398[[#This Row],[FUNCTION OR SPACE]]="NOT PER TABLE 4A","NA",IF(M7&lt;&gt;"NR",ROUNDUP((E7*F7*M7)/60,-1),0))</f>
        <v>40</v>
      </c>
      <c r="O7" s="120">
        <f>VLOOKUP($K7,'UMC Table 4-A'!$A$2:$E$132,4,FALSE)</f>
        <v>6</v>
      </c>
      <c r="P7" s="120">
        <f>IF(TABLE4A4398[[#This Row],[FUNCTION OR SPACE]]="NOT PER TABLE 4A","NA",IF(O7&lt;&gt;"NR",ROUNDUP((E7*F7*O7)/60,-1),0))</f>
        <v>100</v>
      </c>
      <c r="Q7" s="120" t="str">
        <f>VLOOKUP($K7,'UMC Table 4-A'!$A$2:$E$132,5,FALSE)</f>
        <v>NR</v>
      </c>
      <c r="R7" s="120">
        <f>IF(G7="Yes",P7,0)</f>
        <v>0</v>
      </c>
      <c r="S7" s="123" t="s">
        <v>56</v>
      </c>
      <c r="T7" s="123">
        <v>0</v>
      </c>
      <c r="U7" s="123" t="s">
        <v>56</v>
      </c>
      <c r="V7" s="120" t="str">
        <f>IF(TABLE4A4398[[#This Row],[FUNCTION OR SPACE]]="NOT PER TABLE 4A",VLOOKUP(TABLE4A4398[[#This Row],[OCCUPANCY CATEGORY]],Ashrae90.1Vent[#All],2,FALSE),"NA")</f>
        <v>NA</v>
      </c>
      <c r="W7" s="125" t="str">
        <f>IF(TABLE4A4398[[#This Row],[FUNCTION OR SPACE]]="NOT PER TABLE 4A", VLOOKUP(TABLE4A4398[[#This Row],[OCCUPANCY CATEGORY]],Ashrae90.1Vent[#All],3,FALSE),"NA")</f>
        <v>NA</v>
      </c>
      <c r="X7" s="125" t="str">
        <f>IF(TABLE4A4398[[#This Row],[FUNCTION OR SPACE]]="NOT PER TABLE 4A",VLOOKUP(TABLE4A4398[[#This Row],[OCCUPANCY CATEGORY]],Ashrae90.1Vent[#All],4,FALSE),"NA")</f>
        <v>NA</v>
      </c>
      <c r="Y7" s="125" t="str">
        <f>IF(TABLE4A4398[[#This Row],[FUNCTION OR SPACE]]="NOT PER TABLE 4A",VLOOKUP(TABLE4A4398[[#This Row],[OCCUPANCY CATEGORY]],Ashrae90.1Vent[#All],5,FALSE),"NA")</f>
        <v>NA</v>
      </c>
      <c r="Z7" s="123" t="str">
        <f>IF(TABLE4A4398[[#This Row],[FUNCTION OR SPACE]]="NOT PER TABLE 4A",TABLE4A4398[[#This Row],[Occupants (Pz)]],"NA")</f>
        <v>NA</v>
      </c>
      <c r="AA7" s="125" t="str">
        <f>IF(TABLE4A4398[[#This Row],[FUNCTION OR SPACE]]="NOT PER TABLE 4A",CEILING((X7/1000)*E7,1),"NA")</f>
        <v>NA</v>
      </c>
      <c r="AB7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27" t="str">
        <f>IF(TABLE4A4398[[#This Row],[FUNCTION OR SPACE]]="NOT PER TABLE 4A",IF(TABLE4A4398[[#This Row],[DIVERSITY (D)]]&lt;0.6,(0.88*TABLE4A4398[[#This Row],[DIVERSITY (D)]]+0.22),0.75),"NA")</f>
        <v>NA</v>
      </c>
      <c r="AE7" s="126" t="str">
        <f>IF(TABLE4A4398[[#This Row],[FUNCTION OR SPACE]]="NOT PER TABLE 4A",TABLE4A4398[[#This Row],[Uncorrected OA (Vou)]]/TABLE4A4398[[#This Row],[System Efficiency (Ev)]],"NA")</f>
        <v>NA</v>
      </c>
      <c r="AF7" s="123" t="s">
        <v>57</v>
      </c>
      <c r="AG7" s="126" t="str">
        <f>VLOOKUP(TABLE4A4398[[#This Row],[OCCUPANCY CATEGORY]],Ashrae90.1Vent[#All],6,FALSE)</f>
        <v>NA</v>
      </c>
      <c r="AH7" s="126" t="str">
        <f>IF(TABLE4A4398[[#This Row],[Exhaust Category]]="NOT APPLICABLE","NA",VLOOKUP(TABLE4A4398[[#This Row],[Exhaust Category]],ASHRAE_EA_Table[#All],2,FALSE))</f>
        <v>NA</v>
      </c>
      <c r="AI7" s="126" t="str">
        <f>IF(TABLE4A4398[[#This Row],[Exhaust Category]]="NOT APPLICABLE","NA",VLOOKUP(TABLE4A4398[[#This Row],[Exhaust Category]],ASHRAE_EA_Table[#All],3,FALSE))</f>
        <v>NA</v>
      </c>
      <c r="AJ7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7" s="111">
        <f>MROUND(IF(TABLE4A4398[[#This Row],[FUNCTION OR SPACE]]="NOT PER TABLE 4A",TABLE4A4398[[#This Row],[OUTSIDE AIRFLOW (CFM) (Vot)]],TABLE4A4398[[#This Row],[MIN OUTDOOR ACH 
(CFM)]]),5)</f>
        <v>40</v>
      </c>
      <c r="AL7" s="120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250</v>
      </c>
      <c r="AM7" s="128">
        <f ca="1">TABLE4A4398[[#This Row],[CALCULATED SA 
(CFM)]]</f>
        <v>250</v>
      </c>
      <c r="AN7" s="128" cm="1">
        <f t="array" aca="1" ref="AN7" ca="1">returnair_comb(TABLE4A4398[[#This Row],[DESIGN SA 
(CFM)]],TABLE4A4398[[#This Row],[Desired Air Balance Difference]],TABLE4A4398[[#This Row],[100% EA
 (YES/NR)]],TABLE4A4398[[#This Row],[FUNCTION OR SPACE]],TABLE4A4398[[#This Row],[Exhaust Category]],TABLE4A4398[[#This Row],[MIN ASHRAE EA
(CFM)]])</f>
        <v>150</v>
      </c>
      <c r="AO7" s="128" cm="1">
        <f t="array" aca="1" ref="AO7" ca="1">Exhaustair_comb(TABLE4A4398[[#This Row],[DESIGN SA 
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29">
        <f t="shared" ref="AP7:AP17" ca="1" si="1">AM7-AN7-AO7</f>
        <v>100</v>
      </c>
      <c r="AQ7" s="129">
        <f t="shared" ref="AQ7:AQ17" ca="1" si="2">IFERROR(AL7/E7,"-")</f>
        <v>2.5</v>
      </c>
      <c r="AR7" s="129">
        <f ca="1">(AK7/AM7)*100</f>
        <v>16</v>
      </c>
      <c r="AS7" s="129">
        <f ca="1">AM7/E7/F7*60</f>
        <v>15</v>
      </c>
      <c r="AT7" s="92" t="str">
        <f t="shared" ref="AT7:AT17" ca="1" si="3">IF(AL7-AN7-AO7+AP7=0,"Yes","No")</f>
        <v>No</v>
      </c>
      <c r="AU7" s="40"/>
      <c r="AV7" s="40"/>
      <c r="AW7" s="130" t="s">
        <v>9</v>
      </c>
      <c r="AX7" s="130" t="s">
        <v>58</v>
      </c>
      <c r="AY7" s="130" t="s">
        <v>59</v>
      </c>
      <c r="AZ7" s="130" t="s">
        <v>60</v>
      </c>
      <c r="BA7" s="130" t="s">
        <v>61</v>
      </c>
      <c r="BB7" s="130" t="s">
        <v>62</v>
      </c>
      <c r="BC7" s="130" t="s">
        <v>63</v>
      </c>
      <c r="BD7" s="130" t="s">
        <v>64</v>
      </c>
      <c r="BE7" s="130" t="s">
        <v>65</v>
      </c>
      <c r="BF7" s="130" t="s">
        <v>66</v>
      </c>
      <c r="BG7" s="130" t="s">
        <v>67</v>
      </c>
      <c r="BH7" s="130" t="s">
        <v>68</v>
      </c>
      <c r="BI7" s="130" t="s">
        <v>3</v>
      </c>
      <c r="BJ7" s="130" t="s">
        <v>69</v>
      </c>
      <c r="BK7" s="130" t="s">
        <v>70</v>
      </c>
      <c r="BL7" s="130" t="s">
        <v>71</v>
      </c>
      <c r="BM7" s="130" t="s">
        <v>72</v>
      </c>
    </row>
    <row r="8" spans="1:65" ht="15" customHeight="1">
      <c r="B8" s="91" t="s">
        <v>54</v>
      </c>
      <c r="C8" s="123" t="s">
        <v>54</v>
      </c>
      <c r="D8" s="123">
        <v>1234</v>
      </c>
      <c r="E8" s="123">
        <v>200</v>
      </c>
      <c r="F8" s="123">
        <v>9.5</v>
      </c>
      <c r="G8" s="120" t="str">
        <f>VLOOKUP($K8,'UMC Table 4-A'!$A$2:$E$132,5,FALSE)</f>
        <v>NR</v>
      </c>
      <c r="H8" s="123">
        <v>100</v>
      </c>
      <c r="I8" s="120">
        <v>30</v>
      </c>
      <c r="J8" s="120">
        <f t="shared" si="0"/>
        <v>200</v>
      </c>
      <c r="K8" s="123" t="s">
        <v>73</v>
      </c>
      <c r="L8" s="120" t="str">
        <f>VLOOKUP($K8,'UMC Table 4-A'!$A$2:$E$132,2,FALSE)</f>
        <v>NR</v>
      </c>
      <c r="M8" s="120">
        <f>VLOOKUP($K8,'UMC Table 4-A'!$A$2:$E$132,3,FALSE)</f>
        <v>2</v>
      </c>
      <c r="N8" s="124">
        <f>IF(TABLE4A4398[[#This Row],[FUNCTION OR SPACE]]="NOT PER TABLE 4A","NA",IF(M8&lt;&gt;"NR",ROUNDUP((E8*F8*M8)/60,-1),0))</f>
        <v>70</v>
      </c>
      <c r="O8" s="120">
        <f>VLOOKUP($K8,'UMC Table 4-A'!$A$2:$E$132,4,FALSE)</f>
        <v>4</v>
      </c>
      <c r="P8" s="120">
        <f>IF(TABLE4A4398[[#This Row],[FUNCTION OR SPACE]]="NOT PER TABLE 4A","NA",IF(O8&lt;&gt;"NR",ROUNDUP((E8*F8*O8)/60,-1),0))</f>
        <v>130</v>
      </c>
      <c r="Q8" s="120" t="str">
        <f>VLOOKUP($K8,'UMC Table 4-A'!$A$2:$E$132,5,FALSE)</f>
        <v>NR</v>
      </c>
      <c r="R8" s="120">
        <f t="shared" ref="R8:R17" si="4">IF(G8="Yes",P8,0)</f>
        <v>0</v>
      </c>
      <c r="S8" s="123" t="s">
        <v>56</v>
      </c>
      <c r="T8" s="123">
        <v>0</v>
      </c>
      <c r="U8" s="123" t="s">
        <v>56</v>
      </c>
      <c r="V8" s="120" t="str">
        <f>IF(TABLE4A4398[[#This Row],[FUNCTION OR SPACE]]="NOT PER TABLE 4A",VLOOKUP(TABLE4A4398[[#This Row],[OCCUPANCY CATEGORY]],Ashrae90.1Vent[#All],2,FALSE),"NA")</f>
        <v>NA</v>
      </c>
      <c r="W8" s="125" t="str">
        <f>IF(TABLE4A4398[[#This Row],[FUNCTION OR SPACE]]="NOT PER TABLE 4A", VLOOKUP(TABLE4A4398[[#This Row],[OCCUPANCY CATEGORY]],Ashrae90.1Vent[#All],3,FALSE),"NA")</f>
        <v>NA</v>
      </c>
      <c r="X8" s="125" t="str">
        <f>VLOOKUP(TABLE4A4398[[#This Row],[OCCUPANCY CATEGORY]],Ashrae90.1Vent[#All],4,FALSE)</f>
        <v>NA</v>
      </c>
      <c r="Y8" s="125" t="str">
        <f>IF(TABLE4A4398[[#This Row],[FUNCTION OR SPACE]]="NOT PER TABLE 4A",VLOOKUP(TABLE4A4398[[#This Row],[OCCUPANCY CATEGORY]],Ashrae90.1Vent[#All],5,FALSE),"NA")</f>
        <v>NA</v>
      </c>
      <c r="Z8" s="123" t="str">
        <f>IF(TABLE4A4398[[#This Row],[FUNCTION OR SPACE]]="NOT PER TABLE 4A",TABLE4A4398[[#This Row],[Occupants (Pz)]],"NA")</f>
        <v>NA</v>
      </c>
      <c r="AA8" s="125" t="str">
        <f>IF(TABLE4A4398[[#This Row],[FUNCTION OR SPACE]]="NOT PER TABLE 4A",CEILING((X8/1000)*E8,1),"NA")</f>
        <v>NA</v>
      </c>
      <c r="AB8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27" t="str">
        <f>IF(TABLE4A4398[[#This Row],[FUNCTION OR SPACE]]="NOT PER TABLE 4A",IF(TABLE4A4398[[#This Row],[DIVERSITY (D)]]&lt;0.6,(0.88*TABLE4A4398[[#This Row],[DIVERSITY (D)]]+0.22),0.75),"NA")</f>
        <v>NA</v>
      </c>
      <c r="AE8" s="126" t="str">
        <f>IF(TABLE4A4398[[#This Row],[FUNCTION OR SPACE]]="NOT PER TABLE 4A",TABLE4A4398[[#This Row],[Uncorrected OA (Vou)]]/TABLE4A4398[[#This Row],[System Efficiency (Ev)]],"NA")</f>
        <v>NA</v>
      </c>
      <c r="AF8" s="123" t="s">
        <v>57</v>
      </c>
      <c r="AG8" s="126" t="str">
        <f>VLOOKUP(TABLE4A4398[[#This Row],[OCCUPANCY CATEGORY]],Ashrae90.1Vent[#All],6,FALSE)</f>
        <v>NA</v>
      </c>
      <c r="AH8" s="126" t="str">
        <f>IF(TABLE4A4398[[#This Row],[Exhaust Category]]="NOT APPLICABLE","NA",VLOOKUP(TABLE4A4398[[#This Row],[Exhaust Category]],ASHRAE_EA_Table[#All],2,FALSE))</f>
        <v>NA</v>
      </c>
      <c r="AI8" s="126" t="str">
        <f>IF(TABLE4A4398[[#This Row],[Exhaust Category]]="NOT APPLICABLE","NA",VLOOKUP(TABLE4A4398[[#This Row],[Exhaust Category]],ASHRAE_EA_Table[#All],3,FALSE))</f>
        <v>NA</v>
      </c>
      <c r="AJ8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8" s="111">
        <f>MROUND(IF(TABLE4A4398[[#This Row],[FUNCTION OR SPACE]]="NOT PER TABLE 4A",TABLE4A4398[[#This Row],[OUTSIDE AIRFLOW (CFM) (Vot)]],TABLE4A4398[[#This Row],[MIN OUTDOOR ACH 
(CFM)]]),5)</f>
        <v>70</v>
      </c>
      <c r="AL8" s="120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200</v>
      </c>
      <c r="AM8" s="128">
        <f ca="1">TABLE4A4398[[#This Row],[CALCULATED SA 
(CFM)]]</f>
        <v>200</v>
      </c>
      <c r="AN8" s="128" cm="1">
        <f t="array" aca="1" ref="AN8" ca="1">returnair_comb(TABLE4A4398[[#This Row],[DESIGN SA 
(CFM)]],TABLE4A4398[[#This Row],[Desired Air Balance Difference]],TABLE4A4398[[#This Row],[100% EA
 (YES/NR)]],TABLE4A4398[[#This Row],[FUNCTION OR SPACE]],TABLE4A4398[[#This Row],[Exhaust Category]],TABLE4A4398[[#This Row],[MIN ASHRAE EA
(CFM)]])</f>
        <v>100</v>
      </c>
      <c r="AO8" s="128" cm="1">
        <f t="array" aca="1" ref="AO8" ca="1">Exhaustair_comb(TABLE4A4398[[#This Row],[DESIGN SA 
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26">
        <f t="shared" ca="1" si="1"/>
        <v>100</v>
      </c>
      <c r="AQ8" s="129">
        <f t="shared" ca="1" si="2"/>
        <v>1</v>
      </c>
      <c r="AR8" s="129">
        <f t="shared" ref="AR8:AR17" ca="1" si="5">(AK8/AM8)*100</f>
        <v>35</v>
      </c>
      <c r="AS8" s="129">
        <f t="shared" ref="AS8:AS17" ca="1" si="6">AM8/E8/F8*60</f>
        <v>6.3157894736842106</v>
      </c>
      <c r="AT8" s="92" t="str">
        <f t="shared" ca="1" si="3"/>
        <v>No</v>
      </c>
      <c r="AU8" s="40"/>
      <c r="AV8" s="40"/>
      <c r="AW8" s="131" t="s">
        <v>74</v>
      </c>
      <c r="AX8" s="131" t="s">
        <v>75</v>
      </c>
      <c r="AY8" s="131" t="s">
        <v>76</v>
      </c>
      <c r="AZ8" s="120">
        <f t="shared" ref="AZ8:AZ45" si="7">SUMIF($B$7:$B$17,AW8,$AM$7:$AM$17)</f>
        <v>0</v>
      </c>
      <c r="BA8" s="120" t="str">
        <f>IFERROR((VLOOKUP(AZ8,'DO NOT TOUCH'!$B$9:$C$14,2,TRUE)),"TBD")</f>
        <v>TBD</v>
      </c>
      <c r="BB8" s="120">
        <v>0.5</v>
      </c>
      <c r="BC8" s="120">
        <f>INPUT_OUTPUTS!$C$16</f>
        <v>140</v>
      </c>
      <c r="BD8" s="120">
        <f>INPUT_OUTPUTS!$C$17</f>
        <v>100</v>
      </c>
      <c r="BE8" s="120">
        <v>55</v>
      </c>
      <c r="BF8" s="120">
        <v>85</v>
      </c>
      <c r="BG8" s="120">
        <f t="shared" ref="BG8:BG45" si="8">MROUND((1.08*(BF8-BE8)*AZ8)/1000,0.1)</f>
        <v>0</v>
      </c>
      <c r="BH8" s="132">
        <f>(BG8*1000)/(500*(BC8-BD8))</f>
        <v>0</v>
      </c>
      <c r="BI8" s="132">
        <f>IF(BH8&lt;0.5,0.5,BH8)</f>
        <v>0.5</v>
      </c>
      <c r="BJ8" s="132">
        <v>5</v>
      </c>
      <c r="BK8" s="132" t="str">
        <f>IFERROR((_xlfn.XLOOKUP(BA8,'DO NOT TOUCH'!$C$9:$C$14,'DO NOT TOUCH'!$D$9:$D$14,)),"TBD")</f>
        <v>TBD</v>
      </c>
      <c r="BL8" s="132">
        <f>INPUT_OUTPUTS!$C$19</f>
        <v>0</v>
      </c>
      <c r="BM8" s="120" t="s">
        <v>77</v>
      </c>
    </row>
    <row r="9" spans="1:65" ht="15" customHeight="1">
      <c r="B9" s="91" t="s">
        <v>78</v>
      </c>
      <c r="C9" s="123" t="s">
        <v>54</v>
      </c>
      <c r="D9" s="123">
        <v>1234</v>
      </c>
      <c r="E9" s="123">
        <v>300</v>
      </c>
      <c r="F9" s="123">
        <v>10</v>
      </c>
      <c r="G9" s="120" t="str">
        <f>VLOOKUP($K9,'UMC Table 4-A'!$A$2:$E$132,5,FALSE)</f>
        <v>Yes</v>
      </c>
      <c r="H9" s="123">
        <v>100</v>
      </c>
      <c r="I9" s="120">
        <v>55</v>
      </c>
      <c r="J9" s="120">
        <f t="shared" si="0"/>
        <v>300</v>
      </c>
      <c r="K9" s="123" t="s">
        <v>79</v>
      </c>
      <c r="L9" s="133" t="str">
        <f>VLOOKUP($K9,'UMC Table 4-A'!$A$2:$E$132,2,FALSE)</f>
        <v>Negative</v>
      </c>
      <c r="M9" s="120" t="str">
        <f>VLOOKUP($K9,'UMC Table 4-A'!$A$2:$E$132,3,FALSE)</f>
        <v>NR</v>
      </c>
      <c r="N9" s="124">
        <f>IF(TABLE4A4398[[#This Row],[FUNCTION OR SPACE]]="NOT PER TABLE 4A","NA",IF(M9&lt;&gt;"NR",ROUNDUP((E9*F9*M9)/60,-1),0))</f>
        <v>0</v>
      </c>
      <c r="O9" s="120">
        <f>VLOOKUP($K9,'UMC Table 4-A'!$A$2:$E$132,4,FALSE)</f>
        <v>10</v>
      </c>
      <c r="P9" s="120">
        <f>IF(TABLE4A4398[[#This Row],[FUNCTION OR SPACE]]="NOT PER TABLE 4A","NA",IF(O9&lt;&gt;"NR",ROUNDUP((E9*F9*O9)/60,-1),0))</f>
        <v>500</v>
      </c>
      <c r="Q9" s="120" t="str">
        <f>VLOOKUP($K9,'UMC Table 4-A'!$A$2:$E$132,5,FALSE)</f>
        <v>Yes</v>
      </c>
      <c r="R9" s="120">
        <f t="shared" si="4"/>
        <v>500</v>
      </c>
      <c r="S9" s="123" t="s">
        <v>56</v>
      </c>
      <c r="T9" s="123">
        <v>0</v>
      </c>
      <c r="U9" s="123" t="s">
        <v>56</v>
      </c>
      <c r="V9" s="120" t="str">
        <f>IF(TABLE4A4398[[#This Row],[FUNCTION OR SPACE]]="NOT PER TABLE 4A",VLOOKUP(TABLE4A4398[[#This Row],[OCCUPANCY CATEGORY]],Ashrae90.1Vent[#All],2,FALSE),"NA")</f>
        <v>NA</v>
      </c>
      <c r="W9" s="125" t="str">
        <f>IF(TABLE4A4398[[#This Row],[FUNCTION OR SPACE]]="NOT PER TABLE 4A", VLOOKUP(TABLE4A4398[[#This Row],[OCCUPANCY CATEGORY]],Ashrae90.1Vent[#All],3,FALSE),"NA")</f>
        <v>NA</v>
      </c>
      <c r="X9" s="125" t="str">
        <f>VLOOKUP(TABLE4A4398[[#This Row],[OCCUPANCY CATEGORY]],Ashrae90.1Vent[#All],4,FALSE)</f>
        <v>NA</v>
      </c>
      <c r="Y9" s="125" t="str">
        <f>IF(TABLE4A4398[[#This Row],[FUNCTION OR SPACE]]="NOT PER TABLE 4A",VLOOKUP(TABLE4A4398[[#This Row],[OCCUPANCY CATEGORY]],Ashrae90.1Vent[#All],5,FALSE),"NA")</f>
        <v>NA</v>
      </c>
      <c r="Z9" s="123" t="str">
        <f>IF(TABLE4A4398[[#This Row],[FUNCTION OR SPACE]]="NOT PER TABLE 4A",TABLE4A4398[[#This Row],[Occupants (Pz)]],"NA")</f>
        <v>NA</v>
      </c>
      <c r="AA9" s="125" t="str">
        <f>IF(TABLE4A4398[[#This Row],[FUNCTION OR SPACE]]="NOT PER TABLE 4A",CEILING((X9/1000)*E9,1),"NA")</f>
        <v>NA</v>
      </c>
      <c r="AB9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27" t="str">
        <f>IF(TABLE4A4398[[#This Row],[FUNCTION OR SPACE]]="NOT PER TABLE 4A",IF(TABLE4A4398[[#This Row],[DIVERSITY (D)]]&lt;0.6,(0.88*TABLE4A4398[[#This Row],[DIVERSITY (D)]]+0.22),0.75),"NA")</f>
        <v>NA</v>
      </c>
      <c r="AE9" s="126" t="str">
        <f>IF(TABLE4A4398[[#This Row],[FUNCTION OR SPACE]]="NOT PER TABLE 4A",TABLE4A4398[[#This Row],[Uncorrected OA (Vou)]]/TABLE4A4398[[#This Row],[System Efficiency (Ev)]],"NA")</f>
        <v>NA</v>
      </c>
      <c r="AF9" s="123" t="s">
        <v>57</v>
      </c>
      <c r="AG9" s="126" t="str">
        <f>VLOOKUP(TABLE4A4398[[#This Row],[OCCUPANCY CATEGORY]],Ashrae90.1Vent[#All],6,FALSE)</f>
        <v>NA</v>
      </c>
      <c r="AH9" s="126" t="str">
        <f>IF(TABLE4A4398[[#This Row],[Exhaust Category]]="NOT APPLICABLE","NA",VLOOKUP(TABLE4A4398[[#This Row],[Exhaust Category]],ASHRAE_EA_Table[#All],2,FALSE))</f>
        <v>NA</v>
      </c>
      <c r="AI9" s="126" t="str">
        <f>IF(TABLE4A4398[[#This Row],[Exhaust Category]]="NOT APPLICABLE","NA",VLOOKUP(TABLE4A4398[[#This Row],[Exhaust Category]],ASHRAE_EA_Table[#All],3,FALSE))</f>
        <v>NA</v>
      </c>
      <c r="AJ9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9" s="111">
        <f>MROUND(IF(TABLE4A4398[[#This Row],[FUNCTION OR SPACE]]="NOT PER TABLE 4A",TABLE4A4398[[#This Row],[OUTSIDE AIRFLOW (CFM) (Vot)]],TABLE4A4398[[#This Row],[MIN OUTDOOR ACH 
(CFM)]]),5)</f>
        <v>0</v>
      </c>
      <c r="AL9" s="120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400</v>
      </c>
      <c r="AM9" s="128">
        <f ca="1">TABLE4A4398[[#This Row],[CALCULATED SA 
(CFM)]]</f>
        <v>400</v>
      </c>
      <c r="AN9" s="128" cm="1">
        <f t="array" aca="1" ref="AN9" ca="1">returnair_comb(TABLE4A4398[[#This Row],[DESIGN SA 
(CFM)]],TABLE4A4398[[#This Row],[Desired Air Balance Difference]],TABLE4A4398[[#This Row],[100% EA
 (YES/NR)]],TABLE4A4398[[#This Row],[FUNCTION OR SPACE]],TABLE4A4398[[#This Row],[Exhaust Category]],TABLE4A4398[[#This Row],[MIN ASHRAE EA
(CFM)]])</f>
        <v>0</v>
      </c>
      <c r="AO9" s="128" cm="1">
        <f t="array" aca="1" ref="AO9" ca="1">Exhaustair_comb(TABLE4A4398[[#This Row],[DESIGN SA 
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500</v>
      </c>
      <c r="AP9" s="126">
        <f t="shared" ca="1" si="1"/>
        <v>-100</v>
      </c>
      <c r="AQ9" s="129">
        <f t="shared" ca="1" si="2"/>
        <v>1.3333333333333333</v>
      </c>
      <c r="AR9" s="129">
        <f t="shared" ca="1" si="5"/>
        <v>0</v>
      </c>
      <c r="AS9" s="129">
        <f t="shared" ca="1" si="6"/>
        <v>8</v>
      </c>
      <c r="AT9" s="90" t="str">
        <f t="shared" ca="1" si="3"/>
        <v>No</v>
      </c>
      <c r="AU9" s="40"/>
      <c r="AV9" s="40"/>
      <c r="AW9" s="131" t="s">
        <v>80</v>
      </c>
      <c r="AX9" s="131" t="s">
        <v>75</v>
      </c>
      <c r="AY9" s="131" t="s">
        <v>76</v>
      </c>
      <c r="AZ9" s="120">
        <f t="shared" si="7"/>
        <v>0</v>
      </c>
      <c r="BA9" s="120" t="str">
        <f>IFERROR((VLOOKUP(AZ9,'DO NOT TOUCH'!$B$9:$C$14,2,TRUE)),"TBD")</f>
        <v>TBD</v>
      </c>
      <c r="BB9" s="120">
        <f>BB8</f>
        <v>0.5</v>
      </c>
      <c r="BC9" s="120">
        <f>INPUT_OUTPUTS!$C$16</f>
        <v>140</v>
      </c>
      <c r="BD9" s="120">
        <f>INPUT_OUTPUTS!$C$17</f>
        <v>100</v>
      </c>
      <c r="BE9" s="120">
        <f t="shared" ref="BE9:BF24" si="9">BE8</f>
        <v>55</v>
      </c>
      <c r="BF9" s="120">
        <f t="shared" si="9"/>
        <v>85</v>
      </c>
      <c r="BG9" s="120">
        <f t="shared" si="8"/>
        <v>0</v>
      </c>
      <c r="BH9" s="132">
        <f>(BG9*1000)/(500*(BC9-BD9))</f>
        <v>0</v>
      </c>
      <c r="BI9" s="132">
        <f t="shared" ref="BI9:BI45" si="10">IF(BH9&lt;0.5,0.5,BH9)</f>
        <v>0.5</v>
      </c>
      <c r="BJ9" s="132">
        <f>BJ8</f>
        <v>5</v>
      </c>
      <c r="BK9" s="132" t="str">
        <f>IFERROR((_xlfn.XLOOKUP(BA9,'DO NOT TOUCH'!$C$9:$C$14,'DO NOT TOUCH'!$D$9:$D$14,)),"TBD")</f>
        <v>TBD</v>
      </c>
      <c r="BL9" s="132">
        <f>INPUT_OUTPUTS!$C$19</f>
        <v>0</v>
      </c>
      <c r="BM9" s="120" t="str">
        <f>BM8</f>
        <v>1, 2</v>
      </c>
    </row>
    <row r="10" spans="1:65" ht="15" customHeight="1">
      <c r="B10" s="91" t="s">
        <v>81</v>
      </c>
      <c r="C10" s="123" t="s">
        <v>54</v>
      </c>
      <c r="D10" s="123">
        <v>1234</v>
      </c>
      <c r="E10" s="123">
        <v>20</v>
      </c>
      <c r="F10" s="123">
        <v>10</v>
      </c>
      <c r="G10" s="120" t="str">
        <f>VLOOKUP($K10,'UMC Table 4-A'!$A$2:$E$132,5,FALSE)</f>
        <v>NR</v>
      </c>
      <c r="H10" s="123">
        <v>100</v>
      </c>
      <c r="I10" s="120">
        <v>350</v>
      </c>
      <c r="J10" s="120">
        <f t="shared" si="0"/>
        <v>20</v>
      </c>
      <c r="K10" s="123" t="s">
        <v>82</v>
      </c>
      <c r="L10" s="133" t="str">
        <f>VLOOKUP($K10,'UMC Table 4-A'!$A$2:$E$132,2,FALSE)</f>
        <v>NR</v>
      </c>
      <c r="M10" s="120">
        <f>VLOOKUP($K10,'UMC Table 4-A'!$A$2:$E$132,3,FALSE)</f>
        <v>2</v>
      </c>
      <c r="N10" s="124">
        <f>IF(TABLE4A4398[[#This Row],[FUNCTION OR SPACE]]="NOT PER TABLE 4A","NA",IF(M10&lt;&gt;"NR",ROUNDUP((E10*F10*M10)/60,-1),0))</f>
        <v>10</v>
      </c>
      <c r="O10" s="120">
        <f>VLOOKUP($K10,'UMC Table 4-A'!$A$2:$E$132,4,FALSE)</f>
        <v>6</v>
      </c>
      <c r="P10" s="120">
        <f>IF(TABLE4A4398[[#This Row],[FUNCTION OR SPACE]]="NOT PER TABLE 4A","NA",IF(O10&lt;&gt;"NR",ROUNDUP((E10*F10*O10)/60,-1),0))</f>
        <v>20</v>
      </c>
      <c r="Q10" s="120" t="str">
        <f>VLOOKUP($K10,'UMC Table 4-A'!$A$2:$E$132,5,FALSE)</f>
        <v>NR</v>
      </c>
      <c r="R10" s="120">
        <f t="shared" si="4"/>
        <v>0</v>
      </c>
      <c r="S10" s="123" t="s">
        <v>56</v>
      </c>
      <c r="T10" s="123">
        <v>0</v>
      </c>
      <c r="U10" s="123" t="s">
        <v>56</v>
      </c>
      <c r="V10" s="120" t="str">
        <f>IF(TABLE4A4398[[#This Row],[FUNCTION OR SPACE]]="NOT PER TABLE 4A",VLOOKUP(TABLE4A4398[[#This Row],[OCCUPANCY CATEGORY]],Ashrae90.1Vent[#All],2,FALSE),"NA")</f>
        <v>NA</v>
      </c>
      <c r="W10" s="125" t="str">
        <f>IF(TABLE4A4398[[#This Row],[FUNCTION OR SPACE]]="NOT PER TABLE 4A", VLOOKUP(TABLE4A4398[[#This Row],[OCCUPANCY CATEGORY]],Ashrae90.1Vent[#All],3,FALSE),"NA")</f>
        <v>NA</v>
      </c>
      <c r="X10" s="125" t="str">
        <f>VLOOKUP(TABLE4A4398[[#This Row],[OCCUPANCY CATEGORY]],Ashrae90.1Vent[#All],4,FALSE)</f>
        <v>NA</v>
      </c>
      <c r="Y10" s="125" t="str">
        <f>IF(TABLE4A4398[[#This Row],[FUNCTION OR SPACE]]="NOT PER TABLE 4A",VLOOKUP(TABLE4A4398[[#This Row],[OCCUPANCY CATEGORY]],Ashrae90.1Vent[#All],5,FALSE),"NA")</f>
        <v>NA</v>
      </c>
      <c r="Z10" s="123" t="str">
        <f>IF(TABLE4A4398[[#This Row],[FUNCTION OR SPACE]]="NOT PER TABLE 4A",TABLE4A4398[[#This Row],[Occupants (Pz)]],"NA")</f>
        <v>NA</v>
      </c>
      <c r="AA10" s="125" t="str">
        <f>IF(TABLE4A4398[[#This Row],[FUNCTION OR SPACE]]="NOT PER TABLE 4A",CEILING((X10/1000)*E10,1),"NA")</f>
        <v>NA</v>
      </c>
      <c r="AB10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27" t="str">
        <f>IF(TABLE4A4398[[#This Row],[FUNCTION OR SPACE]]="NOT PER TABLE 4A",IF(TABLE4A4398[[#This Row],[DIVERSITY (D)]]&lt;0.6,(0.88*TABLE4A4398[[#This Row],[DIVERSITY (D)]]+0.22),0.75),"NA")</f>
        <v>NA</v>
      </c>
      <c r="AE10" s="126" t="str">
        <f>IF(TABLE4A4398[[#This Row],[FUNCTION OR SPACE]]="NOT PER TABLE 4A",TABLE4A4398[[#This Row],[Uncorrected OA (Vou)]]/TABLE4A4398[[#This Row],[System Efficiency (Ev)]],"NA")</f>
        <v>NA</v>
      </c>
      <c r="AF10" s="123" t="s">
        <v>57</v>
      </c>
      <c r="AG10" s="126" t="str">
        <f>VLOOKUP(TABLE4A4398[[#This Row],[OCCUPANCY CATEGORY]],Ashrae90.1Vent[#All],6,FALSE)</f>
        <v>NA</v>
      </c>
      <c r="AH10" s="126" t="str">
        <f>IF(TABLE4A4398[[#This Row],[Exhaust Category]]="NOT APPLICABLE","NA",VLOOKUP(TABLE4A4398[[#This Row],[Exhaust Category]],ASHRAE_EA_Table[#All],2,FALSE))</f>
        <v>NA</v>
      </c>
      <c r="AI10" s="126" t="str">
        <f>IF(TABLE4A4398[[#This Row],[Exhaust Category]]="NOT APPLICABLE","NA",VLOOKUP(TABLE4A4398[[#This Row],[Exhaust Category]],ASHRAE_EA_Table[#All],3,FALSE))</f>
        <v>NA</v>
      </c>
      <c r="AJ10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0" s="111">
        <f>MROUND(IF(TABLE4A4398[[#This Row],[FUNCTION OR SPACE]]="NOT PER TABLE 4A",TABLE4A4398[[#This Row],[OUTSIDE AIRFLOW (CFM) (Vot)]],TABLE4A4398[[#This Row],[MIN OUTDOOR ACH 
(CFM)]]),5)</f>
        <v>10</v>
      </c>
      <c r="AL10" s="120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350</v>
      </c>
      <c r="AM10" s="128">
        <f ca="1">TABLE4A4398[[#This Row],[CALCULATED SA 
(CFM)]]</f>
        <v>350</v>
      </c>
      <c r="AN10" s="128" cm="1">
        <f t="array" aca="1" ref="AN10" ca="1">returnair_comb(TABLE4A4398[[#This Row],[DESIGN SA 
(CFM)]],TABLE4A4398[[#This Row],[Desired Air Balance Difference]],TABLE4A4398[[#This Row],[100% EA
 (YES/NR)]],TABLE4A4398[[#This Row],[FUNCTION OR SPACE]],TABLE4A4398[[#This Row],[Exhaust Category]],TABLE4A4398[[#This Row],[MIN ASHRAE EA
(CFM)]])</f>
        <v>250</v>
      </c>
      <c r="AO10" s="128" cm="1">
        <f t="array" aca="1" ref="AO10" ca="1">Exhaustair_comb(TABLE4A4398[[#This Row],[DESIGN SA 
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26">
        <f t="shared" ca="1" si="1"/>
        <v>100</v>
      </c>
      <c r="AQ10" s="129">
        <f t="shared" ca="1" si="2"/>
        <v>17.5</v>
      </c>
      <c r="AR10" s="129">
        <f t="shared" ca="1" si="5"/>
        <v>2.8571428571428572</v>
      </c>
      <c r="AS10" s="129">
        <f t="shared" ca="1" si="6"/>
        <v>105</v>
      </c>
      <c r="AT10" s="90" t="str">
        <f t="shared" ca="1" si="3"/>
        <v>No</v>
      </c>
      <c r="AU10" s="40"/>
      <c r="AV10" s="40"/>
      <c r="AW10" s="131" t="s">
        <v>83</v>
      </c>
      <c r="AX10" s="131" t="s">
        <v>75</v>
      </c>
      <c r="AY10" s="131" t="s">
        <v>76</v>
      </c>
      <c r="AZ10" s="120">
        <f t="shared" si="7"/>
        <v>0</v>
      </c>
      <c r="BA10" s="120" t="str">
        <f>IFERROR((VLOOKUP(AZ10,'DO NOT TOUCH'!$B$9:$C$14,2,TRUE)),"TBD")</f>
        <v>TBD</v>
      </c>
      <c r="BB10" s="120">
        <f t="shared" ref="BB10:BB45" si="11">BB9</f>
        <v>0.5</v>
      </c>
      <c r="BC10" s="120">
        <f>INPUT_OUTPUTS!$C$16</f>
        <v>140</v>
      </c>
      <c r="BD10" s="120">
        <f>INPUT_OUTPUTS!$C$17</f>
        <v>100</v>
      </c>
      <c r="BE10" s="120">
        <f t="shared" si="9"/>
        <v>55</v>
      </c>
      <c r="BF10" s="120">
        <f t="shared" si="9"/>
        <v>85</v>
      </c>
      <c r="BG10" s="120">
        <f t="shared" si="8"/>
        <v>0</v>
      </c>
      <c r="BH10" s="132">
        <f t="shared" ref="BH10:BH45" si="12">(BG10*1000)/(500*(BC10-BD10))</f>
        <v>0</v>
      </c>
      <c r="BI10" s="132">
        <f t="shared" si="10"/>
        <v>0.5</v>
      </c>
      <c r="BJ10" s="132">
        <f t="shared" ref="BJ10:BJ45" si="13">BJ9</f>
        <v>5</v>
      </c>
      <c r="BK10" s="132" t="str">
        <f>IFERROR((_xlfn.XLOOKUP(BA10,'DO NOT TOUCH'!$C$9:$C$14,'DO NOT TOUCH'!$D$9:$D$14,)),"TBD")</f>
        <v>TBD</v>
      </c>
      <c r="BL10" s="132">
        <f>INPUT_OUTPUTS!$C$19</f>
        <v>0</v>
      </c>
      <c r="BM10" s="120" t="str">
        <f t="shared" ref="BM10:BM45" si="14">BM9</f>
        <v>1, 2</v>
      </c>
    </row>
    <row r="11" spans="1:65" ht="15" customHeight="1">
      <c r="B11" s="91" t="s">
        <v>84</v>
      </c>
      <c r="C11" s="123" t="s">
        <v>54</v>
      </c>
      <c r="D11" s="123">
        <v>1234</v>
      </c>
      <c r="E11" s="123">
        <v>36</v>
      </c>
      <c r="F11" s="123">
        <v>10</v>
      </c>
      <c r="G11" s="120" t="str">
        <f>VLOOKUP($K11,'UMC Table 4-A'!$A$2:$E$132,5,FALSE)</f>
        <v>NR</v>
      </c>
      <c r="H11" s="123">
        <v>100</v>
      </c>
      <c r="I11" s="120">
        <v>600</v>
      </c>
      <c r="J11" s="120">
        <f t="shared" si="0"/>
        <v>36</v>
      </c>
      <c r="K11" s="123" t="s">
        <v>73</v>
      </c>
      <c r="L11" s="133" t="str">
        <f>VLOOKUP($K11,'UMC Table 4-A'!$A$2:$E$132,2,FALSE)</f>
        <v>NR</v>
      </c>
      <c r="M11" s="120">
        <f>VLOOKUP($K11,'UMC Table 4-A'!$A$2:$E$132,3,FALSE)</f>
        <v>2</v>
      </c>
      <c r="N11" s="124">
        <f>IF(TABLE4A4398[[#This Row],[FUNCTION OR SPACE]]="NOT PER TABLE 4A","NA",IF(M11&lt;&gt;"NR",ROUNDUP((E11*F11*M11)/60,-1),0))</f>
        <v>20</v>
      </c>
      <c r="O11" s="120">
        <f>VLOOKUP($K11,'UMC Table 4-A'!$A$2:$E$132,4,FALSE)</f>
        <v>4</v>
      </c>
      <c r="P11" s="120">
        <f>IF(TABLE4A4398[[#This Row],[FUNCTION OR SPACE]]="NOT PER TABLE 4A","NA",IF(O11&lt;&gt;"NR",ROUNDUP((E11*F11*O11)/60,-1),0))</f>
        <v>30</v>
      </c>
      <c r="Q11" s="120" t="str">
        <f>VLOOKUP($K11,'UMC Table 4-A'!$A$2:$E$132,5,FALSE)</f>
        <v>NR</v>
      </c>
      <c r="R11" s="120">
        <f t="shared" si="4"/>
        <v>0</v>
      </c>
      <c r="S11" s="123" t="s">
        <v>85</v>
      </c>
      <c r="T11" s="123">
        <v>1</v>
      </c>
      <c r="U11" s="123" t="s">
        <v>56</v>
      </c>
      <c r="V11" s="120" t="str">
        <f>IF(TABLE4A4398[[#This Row],[FUNCTION OR SPACE]]="NOT PER TABLE 4A",VLOOKUP(TABLE4A4398[[#This Row],[OCCUPANCY CATEGORY]],Ashrae90.1Vent[#All],2,FALSE),"NA")</f>
        <v>NA</v>
      </c>
      <c r="W11" s="125" t="str">
        <f>IF(TABLE4A4398[[#This Row],[FUNCTION OR SPACE]]="NOT PER TABLE 4A", VLOOKUP(TABLE4A4398[[#This Row],[OCCUPANCY CATEGORY]],Ashrae90.1Vent[#All],3,FALSE),"NA")</f>
        <v>NA</v>
      </c>
      <c r="X11" s="125" t="str">
        <f>VLOOKUP(TABLE4A4398[[#This Row],[OCCUPANCY CATEGORY]],Ashrae90.1Vent[#All],4,FALSE)</f>
        <v>NA</v>
      </c>
      <c r="Y11" s="125" t="str">
        <f>IF(TABLE4A4398[[#This Row],[FUNCTION OR SPACE]]="NOT PER TABLE 4A",VLOOKUP(TABLE4A4398[[#This Row],[OCCUPANCY CATEGORY]],Ashrae90.1Vent[#All],5,FALSE),"NA")</f>
        <v>NA</v>
      </c>
      <c r="Z11" s="123" t="str">
        <f>IF(TABLE4A4398[[#This Row],[FUNCTION OR SPACE]]="NOT PER TABLE 4A",TABLE4A4398[[#This Row],[Occupants (Pz)]],"NA")</f>
        <v>NA</v>
      </c>
      <c r="AA11" s="125" t="str">
        <f>IF(TABLE4A4398[[#This Row],[FUNCTION OR SPACE]]="NOT PER TABLE 4A",CEILING((X11/1000)*E11,1),"NA")</f>
        <v>NA</v>
      </c>
      <c r="AB11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27" t="str">
        <f>IF(TABLE4A4398[[#This Row],[FUNCTION OR SPACE]]="NOT PER TABLE 4A",IF(TABLE4A4398[[#This Row],[DIVERSITY (D)]]&lt;0.6,(0.88*TABLE4A4398[[#This Row],[DIVERSITY (D)]]+0.22),0.75),"NA")</f>
        <v>NA</v>
      </c>
      <c r="AE11" s="126" t="str">
        <f>IF(TABLE4A4398[[#This Row],[FUNCTION OR SPACE]]="NOT PER TABLE 4A",TABLE4A4398[[#This Row],[Uncorrected OA (Vou)]]/TABLE4A4398[[#This Row],[System Efficiency (Ev)]],"NA")</f>
        <v>NA</v>
      </c>
      <c r="AF11" s="123" t="s">
        <v>57</v>
      </c>
      <c r="AG11" s="126" t="str">
        <f>VLOOKUP(TABLE4A4398[[#This Row],[OCCUPANCY CATEGORY]],Ashrae90.1Vent[#All],6,FALSE)</f>
        <v>NA</v>
      </c>
      <c r="AH11" s="126">
        <f>IF(TABLE4A4398[[#This Row],[Exhaust Category]]="NOT APPLICABLE","NA",VLOOKUP(TABLE4A4398[[#This Row],[Exhaust Category]],ASHRAE_EA_Table[#All],2,FALSE))</f>
        <v>50</v>
      </c>
      <c r="AI11" s="126">
        <f>IF(TABLE4A4398[[#This Row],[Exhaust Category]]="NOT APPLICABLE","NA",VLOOKUP(TABLE4A4398[[#This Row],[Exhaust Category]],ASHRAE_EA_Table[#All],3,FALSE))</f>
        <v>0</v>
      </c>
      <c r="AJ11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50</v>
      </c>
      <c r="AK11" s="111">
        <f>MROUND(IF(TABLE4A4398[[#This Row],[FUNCTION OR SPACE]]="NOT PER TABLE 4A",TABLE4A4398[[#This Row],[OUTSIDE AIRFLOW (CFM) (Vot)]],TABLE4A4398[[#This Row],[MIN OUTDOOR ACH 
(CFM)]]),5)</f>
        <v>20</v>
      </c>
      <c r="AL11" s="120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600</v>
      </c>
      <c r="AM11" s="128">
        <f ca="1">TABLE4A4398[[#This Row],[CALCULATED SA 
(CFM)]]</f>
        <v>600</v>
      </c>
      <c r="AN11" s="128" cm="1">
        <f t="array" aca="1" ref="AN11" ca="1">returnair_comb(TABLE4A4398[[#This Row],[DESIGN SA 
(CFM)]],TABLE4A4398[[#This Row],[Desired Air Balance Difference]],TABLE4A4398[[#This Row],[100% EA
 (YES/NR)]],TABLE4A4398[[#This Row],[FUNCTION OR SPACE]],TABLE4A4398[[#This Row],[Exhaust Category]],TABLE4A4398[[#This Row],[MIN ASHRAE EA
(CFM)]])</f>
        <v>500</v>
      </c>
      <c r="AO11" s="128" cm="1">
        <f t="array" aca="1" ref="AO11" ca="1">Exhaustair_comb(TABLE4A4398[[#This Row],[DESIGN SA 
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26">
        <f t="shared" ca="1" si="1"/>
        <v>100</v>
      </c>
      <c r="AQ11" s="129">
        <f t="shared" ca="1" si="2"/>
        <v>16.666666666666668</v>
      </c>
      <c r="AR11" s="129">
        <f t="shared" ca="1" si="5"/>
        <v>3.3333333333333335</v>
      </c>
      <c r="AS11" s="129">
        <f t="shared" ca="1" si="6"/>
        <v>100</v>
      </c>
      <c r="AT11" s="90" t="str">
        <f t="shared" ca="1" si="3"/>
        <v>No</v>
      </c>
      <c r="AU11" s="40"/>
      <c r="AV11" s="40"/>
      <c r="AW11" s="131" t="s">
        <v>86</v>
      </c>
      <c r="AX11" s="131" t="s">
        <v>75</v>
      </c>
      <c r="AY11" s="131" t="s">
        <v>76</v>
      </c>
      <c r="AZ11" s="120">
        <f t="shared" si="7"/>
        <v>0</v>
      </c>
      <c r="BA11" s="120" t="str">
        <f>IFERROR((VLOOKUP(AZ11,'DO NOT TOUCH'!$B$9:$C$14,2,TRUE)),"TBD")</f>
        <v>TBD</v>
      </c>
      <c r="BB11" s="120">
        <f t="shared" si="11"/>
        <v>0.5</v>
      </c>
      <c r="BC11" s="120">
        <f>INPUT_OUTPUTS!$C$16</f>
        <v>140</v>
      </c>
      <c r="BD11" s="120">
        <f>INPUT_OUTPUTS!$C$17</f>
        <v>100</v>
      </c>
      <c r="BE11" s="120">
        <f t="shared" si="9"/>
        <v>55</v>
      </c>
      <c r="BF11" s="120">
        <f t="shared" si="9"/>
        <v>85</v>
      </c>
      <c r="BG11" s="120">
        <f t="shared" si="8"/>
        <v>0</v>
      </c>
      <c r="BH11" s="132">
        <f t="shared" si="12"/>
        <v>0</v>
      </c>
      <c r="BI11" s="132">
        <f t="shared" si="10"/>
        <v>0.5</v>
      </c>
      <c r="BJ11" s="132">
        <f t="shared" si="13"/>
        <v>5</v>
      </c>
      <c r="BK11" s="132" t="str">
        <f>IFERROR((_xlfn.XLOOKUP(BA11,'DO NOT TOUCH'!$C$9:$C$14,'DO NOT TOUCH'!$D$9:$D$14,)),"TBD")</f>
        <v>TBD</v>
      </c>
      <c r="BL11" s="132">
        <f>INPUT_OUTPUTS!$C$19</f>
        <v>0</v>
      </c>
      <c r="BM11" s="120" t="str">
        <f t="shared" si="14"/>
        <v>1, 2</v>
      </c>
    </row>
    <row r="12" spans="1:65" ht="15" customHeight="1">
      <c r="B12" s="91" t="s">
        <v>84</v>
      </c>
      <c r="C12" s="123" t="s">
        <v>54</v>
      </c>
      <c r="D12" s="123">
        <v>1234</v>
      </c>
      <c r="E12" s="123">
        <v>212</v>
      </c>
      <c r="F12" s="123">
        <v>10</v>
      </c>
      <c r="G12" s="120" t="str">
        <f>VLOOKUP($K12,'UMC Table 4-A'!$A$2:$E$132,5,FALSE)</f>
        <v>NR</v>
      </c>
      <c r="H12" s="123">
        <v>100</v>
      </c>
      <c r="I12" s="120">
        <v>36</v>
      </c>
      <c r="J12" s="120">
        <f t="shared" si="0"/>
        <v>212</v>
      </c>
      <c r="K12" s="123" t="s">
        <v>73</v>
      </c>
      <c r="L12" s="133" t="str">
        <f>VLOOKUP($K12,'UMC Table 4-A'!$A$2:$E$132,2,FALSE)</f>
        <v>NR</v>
      </c>
      <c r="M12" s="120">
        <f>VLOOKUP($K12,'UMC Table 4-A'!$A$2:$E$132,3,FALSE)</f>
        <v>2</v>
      </c>
      <c r="N12" s="124">
        <f>IF(TABLE4A4398[[#This Row],[FUNCTION OR SPACE]]="NOT PER TABLE 4A","NA",IF(M12&lt;&gt;"NR",ROUNDUP((E12*F12*M12)/60,-1),0))</f>
        <v>80</v>
      </c>
      <c r="O12" s="120">
        <f>VLOOKUP($K12,'UMC Table 4-A'!$A$2:$E$132,4,FALSE)</f>
        <v>4</v>
      </c>
      <c r="P12" s="120">
        <f>IF(TABLE4A4398[[#This Row],[FUNCTION OR SPACE]]="NOT PER TABLE 4A","NA",IF(O12&lt;&gt;"NR",ROUNDUP((E12*F12*O12)/60,-1),0))</f>
        <v>150</v>
      </c>
      <c r="Q12" s="120" t="str">
        <f>VLOOKUP($K12,'UMC Table 4-A'!$A$2:$E$132,5,FALSE)</f>
        <v>NR</v>
      </c>
      <c r="R12" s="120">
        <f t="shared" si="4"/>
        <v>0</v>
      </c>
      <c r="S12" s="123" t="s">
        <v>56</v>
      </c>
      <c r="T12" s="123">
        <v>0</v>
      </c>
      <c r="U12" s="123" t="s">
        <v>56</v>
      </c>
      <c r="V12" s="120" t="str">
        <f>IF(TABLE4A4398[[#This Row],[FUNCTION OR SPACE]]="NOT PER TABLE 4A",VLOOKUP(TABLE4A4398[[#This Row],[OCCUPANCY CATEGORY]],Ashrae90.1Vent[#All],2,FALSE),"NA")</f>
        <v>NA</v>
      </c>
      <c r="W12" s="125" t="str">
        <f>IF(TABLE4A4398[[#This Row],[FUNCTION OR SPACE]]="NOT PER TABLE 4A", VLOOKUP(TABLE4A4398[[#This Row],[OCCUPANCY CATEGORY]],Ashrae90.1Vent[#All],3,FALSE),"NA")</f>
        <v>NA</v>
      </c>
      <c r="X12" s="125" t="str">
        <f>VLOOKUP(TABLE4A4398[[#This Row],[OCCUPANCY CATEGORY]],Ashrae90.1Vent[#All],4,FALSE)</f>
        <v>NA</v>
      </c>
      <c r="Y12" s="125" t="str">
        <f>IF(TABLE4A4398[[#This Row],[FUNCTION OR SPACE]]="NOT PER TABLE 4A",VLOOKUP(TABLE4A4398[[#This Row],[OCCUPANCY CATEGORY]],Ashrae90.1Vent[#All],5,FALSE),"NA")</f>
        <v>NA</v>
      </c>
      <c r="Z12" s="123" t="str">
        <f>IF(TABLE4A4398[[#This Row],[FUNCTION OR SPACE]]="NOT PER TABLE 4A",TABLE4A4398[[#This Row],[Occupants (Pz)]],"NA")</f>
        <v>NA</v>
      </c>
      <c r="AA12" s="125" t="str">
        <f>IF(TABLE4A4398[[#This Row],[FUNCTION OR SPACE]]="NOT PER TABLE 4A",CEILING((X12/1000)*E12,1),"NA")</f>
        <v>NA</v>
      </c>
      <c r="AB12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27" t="str">
        <f>IF(TABLE4A4398[[#This Row],[FUNCTION OR SPACE]]="NOT PER TABLE 4A",IF(TABLE4A4398[[#This Row],[DIVERSITY (D)]]&lt;0.6,(0.88*TABLE4A4398[[#This Row],[DIVERSITY (D)]]+0.22),0.75),"NA")</f>
        <v>NA</v>
      </c>
      <c r="AE12" s="126" t="str">
        <f>IF(TABLE4A4398[[#This Row],[FUNCTION OR SPACE]]="NOT PER TABLE 4A",TABLE4A4398[[#This Row],[Uncorrected OA (Vou)]]/TABLE4A4398[[#This Row],[System Efficiency (Ev)]],"NA")</f>
        <v>NA</v>
      </c>
      <c r="AF12" s="123" t="s">
        <v>57</v>
      </c>
      <c r="AG12" s="126" t="str">
        <f>VLOOKUP(TABLE4A4398[[#This Row],[OCCUPANCY CATEGORY]],Ashrae90.1Vent[#All],6,FALSE)</f>
        <v>NA</v>
      </c>
      <c r="AH12" s="126" t="str">
        <f>IF(TABLE4A4398[[#This Row],[Exhaust Category]]="NOT APPLICABLE","NA",VLOOKUP(TABLE4A4398[[#This Row],[Exhaust Category]],ASHRAE_EA_Table[#All],2,FALSE))</f>
        <v>NA</v>
      </c>
      <c r="AI12" s="126" t="str">
        <f>IF(TABLE4A4398[[#This Row],[Exhaust Category]]="NOT APPLICABLE","NA",VLOOKUP(TABLE4A4398[[#This Row],[Exhaust Category]],ASHRAE_EA_Table[#All],3,FALSE))</f>
        <v>NA</v>
      </c>
      <c r="AJ12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2" s="111">
        <f>MROUND(IF(TABLE4A4398[[#This Row],[FUNCTION OR SPACE]]="NOT PER TABLE 4A",TABLE4A4398[[#This Row],[OUTSIDE AIRFLOW (CFM) (Vot)]],TABLE4A4398[[#This Row],[MIN OUTDOOR ACH 
(CFM)]]),5)</f>
        <v>80</v>
      </c>
      <c r="AL12" s="120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210</v>
      </c>
      <c r="AM12" s="128">
        <f ca="1">TABLE4A4398[[#This Row],[CALCULATED SA 
(CFM)]]</f>
        <v>210</v>
      </c>
      <c r="AN12" s="128" cm="1">
        <f t="array" aca="1" ref="AN12" ca="1">returnair_comb(TABLE4A4398[[#This Row],[DESIGN SA 
(CFM)]],TABLE4A4398[[#This Row],[Desired Air Balance Difference]],TABLE4A4398[[#This Row],[100% EA
 (YES/NR)]],TABLE4A4398[[#This Row],[FUNCTION OR SPACE]],TABLE4A4398[[#This Row],[Exhaust Category]],TABLE4A4398[[#This Row],[MIN ASHRAE EA
(CFM)]])</f>
        <v>110</v>
      </c>
      <c r="AO12" s="128" cm="1">
        <f t="array" aca="1" ref="AO12" ca="1">Exhaustair_comb(TABLE4A4398[[#This Row],[DESIGN SA 
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26">
        <f t="shared" ca="1" si="1"/>
        <v>100</v>
      </c>
      <c r="AQ12" s="129">
        <f t="shared" ca="1" si="2"/>
        <v>0.99056603773584906</v>
      </c>
      <c r="AR12" s="129">
        <f t="shared" ca="1" si="5"/>
        <v>38.095238095238095</v>
      </c>
      <c r="AS12" s="129">
        <f t="shared" ca="1" si="6"/>
        <v>5.9433962264150946</v>
      </c>
      <c r="AT12" s="90" t="str">
        <f t="shared" ca="1" si="3"/>
        <v>No</v>
      </c>
      <c r="AU12" s="40"/>
      <c r="AV12" s="40"/>
      <c r="AW12" s="131" t="s">
        <v>87</v>
      </c>
      <c r="AX12" s="131" t="s">
        <v>75</v>
      </c>
      <c r="AY12" s="131" t="s">
        <v>76</v>
      </c>
      <c r="AZ12" s="120">
        <f t="shared" si="7"/>
        <v>0</v>
      </c>
      <c r="BA12" s="120" t="str">
        <f>IFERROR((VLOOKUP(AZ12,'DO NOT TOUCH'!$B$9:$C$14,2,TRUE)),"TBD")</f>
        <v>TBD</v>
      </c>
      <c r="BB12" s="120">
        <f t="shared" si="11"/>
        <v>0.5</v>
      </c>
      <c r="BC12" s="120">
        <f>INPUT_OUTPUTS!$C$16</f>
        <v>140</v>
      </c>
      <c r="BD12" s="120">
        <f>INPUT_OUTPUTS!$C$17</f>
        <v>100</v>
      </c>
      <c r="BE12" s="120">
        <f t="shared" si="9"/>
        <v>55</v>
      </c>
      <c r="BF12" s="120">
        <f t="shared" si="9"/>
        <v>85</v>
      </c>
      <c r="BG12" s="120">
        <f t="shared" si="8"/>
        <v>0</v>
      </c>
      <c r="BH12" s="132">
        <f t="shared" si="12"/>
        <v>0</v>
      </c>
      <c r="BI12" s="132">
        <f t="shared" si="10"/>
        <v>0.5</v>
      </c>
      <c r="BJ12" s="132">
        <f t="shared" si="13"/>
        <v>5</v>
      </c>
      <c r="BK12" s="132" t="str">
        <f>IFERROR((_xlfn.XLOOKUP(BA12,'DO NOT TOUCH'!$C$9:$C$14,'DO NOT TOUCH'!$D$9:$D$14,)),"TBD")</f>
        <v>TBD</v>
      </c>
      <c r="BL12" s="132">
        <f>INPUT_OUTPUTS!$C$19</f>
        <v>0</v>
      </c>
      <c r="BM12" s="120" t="str">
        <f t="shared" si="14"/>
        <v>1, 2</v>
      </c>
    </row>
    <row r="13" spans="1:65" ht="15" customHeight="1">
      <c r="B13" s="91" t="s">
        <v>88</v>
      </c>
      <c r="C13" s="123" t="s">
        <v>54</v>
      </c>
      <c r="D13" s="123">
        <v>1234</v>
      </c>
      <c r="E13" s="123">
        <v>50</v>
      </c>
      <c r="F13" s="123">
        <v>10</v>
      </c>
      <c r="G13" s="120" t="str">
        <f>VLOOKUP($K13,'UMC Table 4-A'!$A$2:$E$132,5,FALSE)</f>
        <v>NR</v>
      </c>
      <c r="H13" s="123">
        <v>0</v>
      </c>
      <c r="I13" s="120">
        <v>33</v>
      </c>
      <c r="J13" s="120">
        <f t="shared" si="0"/>
        <v>50</v>
      </c>
      <c r="K13" s="123" t="s">
        <v>89</v>
      </c>
      <c r="L13" s="133" t="str">
        <f>VLOOKUP($K13,'UMC Table 4-A'!$A$2:$E$132,2,FALSE)</f>
        <v>NR</v>
      </c>
      <c r="M13" s="120">
        <f>VLOOKUP($K13,'UMC Table 4-A'!$A$2:$E$132,3,FALSE)</f>
        <v>2</v>
      </c>
      <c r="N13" s="124">
        <f>IF(TABLE4A4398[[#This Row],[FUNCTION OR SPACE]]="NOT PER TABLE 4A","NA",IF(M13&lt;&gt;"NR",ROUNDUP((E13*F13*M13)/60,-1),0))</f>
        <v>20</v>
      </c>
      <c r="O13" s="120">
        <f>VLOOKUP($K13,'UMC Table 4-A'!$A$2:$E$132,4,FALSE)</f>
        <v>6</v>
      </c>
      <c r="P13" s="120">
        <f>IF(TABLE4A4398[[#This Row],[FUNCTION OR SPACE]]="NOT PER TABLE 4A","NA",IF(O13&lt;&gt;"NR",ROUNDUP((E13*F13*O13)/60,-1),0))</f>
        <v>50</v>
      </c>
      <c r="Q13" s="120" t="str">
        <f>VLOOKUP($K13,'UMC Table 4-A'!$A$2:$E$132,5,FALSE)</f>
        <v>NR</v>
      </c>
      <c r="R13" s="120">
        <f t="shared" si="4"/>
        <v>0</v>
      </c>
      <c r="S13" s="123" t="s">
        <v>56</v>
      </c>
      <c r="T13" s="123">
        <v>0</v>
      </c>
      <c r="U13" s="123" t="s">
        <v>56</v>
      </c>
      <c r="V13" s="120" t="str">
        <f>IF(TABLE4A4398[[#This Row],[FUNCTION OR SPACE]]="NOT PER TABLE 4A",VLOOKUP(TABLE4A4398[[#This Row],[OCCUPANCY CATEGORY]],Ashrae90.1Vent[#All],2,FALSE),"NA")</f>
        <v>NA</v>
      </c>
      <c r="W13" s="125" t="str">
        <f>IF(TABLE4A4398[[#This Row],[FUNCTION OR SPACE]]="NOT PER TABLE 4A", VLOOKUP(TABLE4A4398[[#This Row],[OCCUPANCY CATEGORY]],Ashrae90.1Vent[#All],3,FALSE),"NA")</f>
        <v>NA</v>
      </c>
      <c r="X13" s="125" t="str">
        <f>VLOOKUP(TABLE4A4398[[#This Row],[OCCUPANCY CATEGORY]],Ashrae90.1Vent[#All],4,FALSE)</f>
        <v>NA</v>
      </c>
      <c r="Y13" s="125" t="str">
        <f>IF(TABLE4A4398[[#This Row],[FUNCTION OR SPACE]]="NOT PER TABLE 4A",VLOOKUP(TABLE4A4398[[#This Row],[OCCUPANCY CATEGORY]],Ashrae90.1Vent[#All],5,FALSE),"NA")</f>
        <v>NA</v>
      </c>
      <c r="Z13" s="123" t="str">
        <f>IF(TABLE4A4398[[#This Row],[FUNCTION OR SPACE]]="NOT PER TABLE 4A",TABLE4A4398[[#This Row],[Occupants (Pz)]],"NA")</f>
        <v>NA</v>
      </c>
      <c r="AA13" s="125" t="str">
        <f>IF(TABLE4A4398[[#This Row],[FUNCTION OR SPACE]]="NOT PER TABLE 4A",CEILING((X13/1000)*E13,1),"NA")</f>
        <v>NA</v>
      </c>
      <c r="AB13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3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3" s="127" t="str">
        <f>IF(TABLE4A4398[[#This Row],[FUNCTION OR SPACE]]="NOT PER TABLE 4A",IF(TABLE4A4398[[#This Row],[DIVERSITY (D)]]&lt;0.6,(0.88*TABLE4A4398[[#This Row],[DIVERSITY (D)]]+0.22),0.75),"NA")</f>
        <v>NA</v>
      </c>
      <c r="AE13" s="126" t="str">
        <f>IF(TABLE4A4398[[#This Row],[FUNCTION OR SPACE]]="NOT PER TABLE 4A",TABLE4A4398[[#This Row],[Uncorrected OA (Vou)]]/TABLE4A4398[[#This Row],[System Efficiency (Ev)]],"NA")</f>
        <v>NA</v>
      </c>
      <c r="AF13" s="123" t="s">
        <v>57</v>
      </c>
      <c r="AG13" s="126" t="str">
        <f>VLOOKUP(TABLE4A4398[[#This Row],[OCCUPANCY CATEGORY]],Ashrae90.1Vent[#All],6,FALSE)</f>
        <v>NA</v>
      </c>
      <c r="AH13" s="126" t="str">
        <f>IF(TABLE4A4398[[#This Row],[Exhaust Category]]="NOT APPLICABLE","NA",VLOOKUP(TABLE4A4398[[#This Row],[Exhaust Category]],ASHRAE_EA_Table[#All],2,FALSE))</f>
        <v>NA</v>
      </c>
      <c r="AI13" s="126" t="str">
        <f>IF(TABLE4A4398[[#This Row],[Exhaust Category]]="NOT APPLICABLE","NA",VLOOKUP(TABLE4A4398[[#This Row],[Exhaust Category]],ASHRAE_EA_Table[#All],3,FALSE))</f>
        <v>NA</v>
      </c>
      <c r="AJ13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3" s="111">
        <f>MROUND(IF(TABLE4A4398[[#This Row],[FUNCTION OR SPACE]]="NOT PER TABLE 4A",TABLE4A4398[[#This Row],[OUTSIDE AIRFLOW (CFM) (Vot)]],TABLE4A4398[[#This Row],[MIN OUTDOOR ACH 
(CFM)]]),5)</f>
        <v>20</v>
      </c>
      <c r="AL13" s="120" cm="1">
        <f t="array" aca="1" ref="AL13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50</v>
      </c>
      <c r="AM13" s="128">
        <f ca="1">TABLE4A4398[[#This Row],[CALCULATED SA 
(CFM)]]</f>
        <v>50</v>
      </c>
      <c r="AN13" s="128" cm="1">
        <f t="array" aca="1" ref="AN13" ca="1">returnair_comb(TABLE4A4398[[#This Row],[DESIGN SA 
(CFM)]],TABLE4A4398[[#This Row],[Desired Air Balance Difference]],TABLE4A4398[[#This Row],[100% EA
 (YES/NR)]],TABLE4A4398[[#This Row],[FUNCTION OR SPACE]],TABLE4A4398[[#This Row],[Exhaust Category]],TABLE4A4398[[#This Row],[MIN ASHRAE EA
(CFM)]])</f>
        <v>50</v>
      </c>
      <c r="AO13" s="128" cm="1">
        <f t="array" aca="1" ref="AO13" ca="1">Exhaustair_comb(TABLE4A4398[[#This Row],[DESIGN SA 
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3" s="126">
        <f t="shared" ca="1" si="1"/>
        <v>0</v>
      </c>
      <c r="AQ13" s="129">
        <f t="shared" ca="1" si="2"/>
        <v>1</v>
      </c>
      <c r="AR13" s="129">
        <f t="shared" ca="1" si="5"/>
        <v>40</v>
      </c>
      <c r="AS13" s="129">
        <f t="shared" ca="1" si="6"/>
        <v>6</v>
      </c>
      <c r="AT13" s="90" t="str">
        <f t="shared" ca="1" si="3"/>
        <v>Yes</v>
      </c>
      <c r="AU13" s="40"/>
      <c r="AV13" s="40"/>
      <c r="AW13" s="131" t="s">
        <v>90</v>
      </c>
      <c r="AX13" s="131" t="s">
        <v>75</v>
      </c>
      <c r="AY13" s="131" t="s">
        <v>76</v>
      </c>
      <c r="AZ13" s="120">
        <f t="shared" si="7"/>
        <v>0</v>
      </c>
      <c r="BA13" s="120" t="str">
        <f>IFERROR((VLOOKUP(AZ13,'DO NOT TOUCH'!$B$9:$C$14,2,TRUE)),"TBD")</f>
        <v>TBD</v>
      </c>
      <c r="BB13" s="120">
        <f t="shared" si="11"/>
        <v>0.5</v>
      </c>
      <c r="BC13" s="120">
        <f>INPUT_OUTPUTS!$C$16</f>
        <v>140</v>
      </c>
      <c r="BD13" s="120">
        <f>INPUT_OUTPUTS!$C$17</f>
        <v>100</v>
      </c>
      <c r="BE13" s="120">
        <f t="shared" si="9"/>
        <v>55</v>
      </c>
      <c r="BF13" s="120">
        <f t="shared" si="9"/>
        <v>85</v>
      </c>
      <c r="BG13" s="120">
        <f t="shared" si="8"/>
        <v>0</v>
      </c>
      <c r="BH13" s="132">
        <f t="shared" si="12"/>
        <v>0</v>
      </c>
      <c r="BI13" s="132">
        <f t="shared" si="10"/>
        <v>0.5</v>
      </c>
      <c r="BJ13" s="132">
        <f t="shared" si="13"/>
        <v>5</v>
      </c>
      <c r="BK13" s="132" t="str">
        <f>IFERROR((_xlfn.XLOOKUP(BA13,'DO NOT TOUCH'!$C$9:$C$14,'DO NOT TOUCH'!$D$9:$D$14,)),"TBD")</f>
        <v>TBD</v>
      </c>
      <c r="BL13" s="132">
        <f>INPUT_OUTPUTS!$C$19</f>
        <v>0</v>
      </c>
      <c r="BM13" s="120" t="str">
        <f t="shared" si="14"/>
        <v>1, 2</v>
      </c>
    </row>
    <row r="14" spans="1:65" ht="15" customHeight="1">
      <c r="B14" s="91" t="s">
        <v>91</v>
      </c>
      <c r="C14" s="123" t="s">
        <v>54</v>
      </c>
      <c r="D14" s="123">
        <v>1234</v>
      </c>
      <c r="E14" s="123">
        <v>111</v>
      </c>
      <c r="F14" s="123">
        <v>10</v>
      </c>
      <c r="G14" s="120" t="str">
        <f>VLOOKUP($K14,'UMC Table 4-A'!$A$2:$E$132,5,FALSE)</f>
        <v>NR</v>
      </c>
      <c r="H14" s="123">
        <v>100</v>
      </c>
      <c r="I14" s="120">
        <v>21</v>
      </c>
      <c r="J14" s="120">
        <f t="shared" si="0"/>
        <v>111</v>
      </c>
      <c r="K14" s="123" t="s">
        <v>73</v>
      </c>
      <c r="L14" s="133" t="str">
        <f>VLOOKUP($K14,'UMC Table 4-A'!$A$2:$E$132,2,FALSE)</f>
        <v>NR</v>
      </c>
      <c r="M14" s="120">
        <f>VLOOKUP($K14,'UMC Table 4-A'!$A$2:$E$132,3,FALSE)</f>
        <v>2</v>
      </c>
      <c r="N14" s="124">
        <f>IF(TABLE4A4398[[#This Row],[FUNCTION OR SPACE]]="NOT PER TABLE 4A","NA",IF(M14&lt;&gt;"NR",ROUNDUP((E14*F14*M14)/60,-1),0))</f>
        <v>40</v>
      </c>
      <c r="O14" s="120">
        <f>VLOOKUP($K14,'UMC Table 4-A'!$A$2:$E$132,4,FALSE)</f>
        <v>4</v>
      </c>
      <c r="P14" s="120">
        <f>IF(TABLE4A4398[[#This Row],[FUNCTION OR SPACE]]="NOT PER TABLE 4A","NA",IF(O14&lt;&gt;"NR",ROUNDUP((E14*F14*O14)/60,-1),0))</f>
        <v>80</v>
      </c>
      <c r="Q14" s="120" t="str">
        <f>VLOOKUP($K14,'UMC Table 4-A'!$A$2:$E$132,5,FALSE)</f>
        <v>NR</v>
      </c>
      <c r="R14" s="120">
        <f t="shared" si="4"/>
        <v>0</v>
      </c>
      <c r="S14" s="123" t="s">
        <v>56</v>
      </c>
      <c r="T14" s="123">
        <v>0</v>
      </c>
      <c r="U14" s="123" t="s">
        <v>56</v>
      </c>
      <c r="V14" s="120" t="str">
        <f>IF(TABLE4A4398[[#This Row],[FUNCTION OR SPACE]]="NOT PER TABLE 4A",VLOOKUP(TABLE4A4398[[#This Row],[OCCUPANCY CATEGORY]],Ashrae90.1Vent[#All],2,FALSE),"NA")</f>
        <v>NA</v>
      </c>
      <c r="W14" s="125" t="str">
        <f>IF(TABLE4A4398[[#This Row],[FUNCTION OR SPACE]]="NOT PER TABLE 4A", VLOOKUP(TABLE4A4398[[#This Row],[OCCUPANCY CATEGORY]],Ashrae90.1Vent[#All],3,FALSE),"NA")</f>
        <v>NA</v>
      </c>
      <c r="X14" s="125" t="str">
        <f>VLOOKUP(TABLE4A4398[[#This Row],[OCCUPANCY CATEGORY]],Ashrae90.1Vent[#All],4,FALSE)</f>
        <v>NA</v>
      </c>
      <c r="Y14" s="125" t="str">
        <f>IF(TABLE4A4398[[#This Row],[FUNCTION OR SPACE]]="NOT PER TABLE 4A",VLOOKUP(TABLE4A4398[[#This Row],[OCCUPANCY CATEGORY]],Ashrae90.1Vent[#All],5,FALSE),"NA")</f>
        <v>NA</v>
      </c>
      <c r="Z14" s="123" t="str">
        <f>IF(TABLE4A4398[[#This Row],[FUNCTION OR SPACE]]="NOT PER TABLE 4A",TABLE4A4398[[#This Row],[Occupants (Pz)]],"NA")</f>
        <v>NA</v>
      </c>
      <c r="AA14" s="125" t="str">
        <f>IF(TABLE4A4398[[#This Row],[FUNCTION OR SPACE]]="NOT PER TABLE 4A",CEILING((X14/1000)*E14,1),"NA")</f>
        <v>NA</v>
      </c>
      <c r="AB14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4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4" s="127" t="str">
        <f>IF(TABLE4A4398[[#This Row],[FUNCTION OR SPACE]]="NOT PER TABLE 4A",IF(TABLE4A4398[[#This Row],[DIVERSITY (D)]]&lt;0.6,(0.88*TABLE4A4398[[#This Row],[DIVERSITY (D)]]+0.22),0.75),"NA")</f>
        <v>NA</v>
      </c>
      <c r="AE14" s="126" t="str">
        <f>IF(TABLE4A4398[[#This Row],[FUNCTION OR SPACE]]="NOT PER TABLE 4A",TABLE4A4398[[#This Row],[Uncorrected OA (Vou)]]/TABLE4A4398[[#This Row],[System Efficiency (Ev)]],"NA")</f>
        <v>NA</v>
      </c>
      <c r="AF14" s="123" t="s">
        <v>57</v>
      </c>
      <c r="AG14" s="126" t="str">
        <f>VLOOKUP(TABLE4A4398[[#This Row],[OCCUPANCY CATEGORY]],Ashrae90.1Vent[#All],6,FALSE)</f>
        <v>NA</v>
      </c>
      <c r="AH14" s="126" t="str">
        <f>IF(TABLE4A4398[[#This Row],[Exhaust Category]]="NOT APPLICABLE","NA",VLOOKUP(TABLE4A4398[[#This Row],[Exhaust Category]],ASHRAE_EA_Table[#All],2,FALSE))</f>
        <v>NA</v>
      </c>
      <c r="AI14" s="126" t="str">
        <f>IF(TABLE4A4398[[#This Row],[Exhaust Category]]="NOT APPLICABLE","NA",VLOOKUP(TABLE4A4398[[#This Row],[Exhaust Category]],ASHRAE_EA_Table[#All],3,FALSE))</f>
        <v>NA</v>
      </c>
      <c r="AJ14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4" s="111">
        <f>MROUND(IF(TABLE4A4398[[#This Row],[FUNCTION OR SPACE]]="NOT PER TABLE 4A",TABLE4A4398[[#This Row],[OUTSIDE AIRFLOW (CFM) (Vot)]],TABLE4A4398[[#This Row],[MIN OUTDOOR ACH 
(CFM)]]),5)</f>
        <v>40</v>
      </c>
      <c r="AL14" s="120" cm="1">
        <f t="array" aca="1" ref="AL14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110</v>
      </c>
      <c r="AM14" s="128">
        <f ca="1">TABLE4A4398[[#This Row],[CALCULATED SA 
(CFM)]]</f>
        <v>110</v>
      </c>
      <c r="AN14" s="128" cm="1">
        <f t="array" aca="1" ref="AN14" ca="1">returnair_comb(TABLE4A4398[[#This Row],[DESIGN SA 
(CFM)]],TABLE4A4398[[#This Row],[Desired Air Balance Difference]],TABLE4A4398[[#This Row],[100% EA
 (YES/NR)]],TABLE4A4398[[#This Row],[FUNCTION OR SPACE]],TABLE4A4398[[#This Row],[Exhaust Category]],TABLE4A4398[[#This Row],[MIN ASHRAE EA
(CFM)]])</f>
        <v>10</v>
      </c>
      <c r="AO14" s="128" cm="1">
        <f t="array" aca="1" ref="AO14" ca="1">Exhaustair_comb(TABLE4A4398[[#This Row],[DESIGN SA 
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4" s="126">
        <f t="shared" ca="1" si="1"/>
        <v>100</v>
      </c>
      <c r="AQ14" s="129">
        <f t="shared" ca="1" si="2"/>
        <v>0.99099099099099097</v>
      </c>
      <c r="AR14" s="129">
        <f t="shared" ca="1" si="5"/>
        <v>36.363636363636367</v>
      </c>
      <c r="AS14" s="129">
        <f t="shared" ca="1" si="6"/>
        <v>5.9459459459459456</v>
      </c>
      <c r="AT14" s="90" t="str">
        <f t="shared" ca="1" si="3"/>
        <v>No</v>
      </c>
      <c r="AU14" s="40"/>
      <c r="AV14" s="40"/>
      <c r="AW14" s="17" t="s">
        <v>92</v>
      </c>
      <c r="AX14" s="131" t="s">
        <v>75</v>
      </c>
      <c r="AY14" s="131" t="s">
        <v>76</v>
      </c>
      <c r="AZ14" s="120">
        <f t="shared" si="7"/>
        <v>0</v>
      </c>
      <c r="BA14" s="120" t="str">
        <f>IFERROR((VLOOKUP(AZ14,'DO NOT TOUCH'!$B$9:$C$14,2,TRUE)),"TBD")</f>
        <v>TBD</v>
      </c>
      <c r="BB14" s="120">
        <f t="shared" si="11"/>
        <v>0.5</v>
      </c>
      <c r="BC14" s="120">
        <f>INPUT_OUTPUTS!$C$16</f>
        <v>140</v>
      </c>
      <c r="BD14" s="120">
        <f>INPUT_OUTPUTS!$C$17</f>
        <v>100</v>
      </c>
      <c r="BE14" s="120">
        <f t="shared" si="9"/>
        <v>55</v>
      </c>
      <c r="BF14" s="120">
        <f t="shared" si="9"/>
        <v>85</v>
      </c>
      <c r="BG14" s="120">
        <f t="shared" si="8"/>
        <v>0</v>
      </c>
      <c r="BH14" s="132">
        <f t="shared" si="12"/>
        <v>0</v>
      </c>
      <c r="BI14" s="132">
        <f t="shared" si="10"/>
        <v>0.5</v>
      </c>
      <c r="BJ14" s="132">
        <f t="shared" si="13"/>
        <v>5</v>
      </c>
      <c r="BK14" s="132" t="str">
        <f>IFERROR((_xlfn.XLOOKUP(BA14,'DO NOT TOUCH'!$C$9:$C$14,'DO NOT TOUCH'!$D$9:$D$14,)),"TBD")</f>
        <v>TBD</v>
      </c>
      <c r="BL14" s="132">
        <f>INPUT_OUTPUTS!$C$19</f>
        <v>0</v>
      </c>
      <c r="BM14" s="90" t="str">
        <f t="shared" si="14"/>
        <v>1, 2</v>
      </c>
    </row>
    <row r="15" spans="1:65" ht="15" customHeight="1">
      <c r="B15" s="91" t="s">
        <v>91</v>
      </c>
      <c r="C15" s="123" t="s">
        <v>54</v>
      </c>
      <c r="D15" s="123">
        <v>1234</v>
      </c>
      <c r="E15" s="123">
        <v>256</v>
      </c>
      <c r="F15" s="123">
        <v>10</v>
      </c>
      <c r="G15" s="120" t="str">
        <f>VLOOKUP($K15,'UMC Table 4-A'!$A$2:$E$132,5,FALSE)</f>
        <v>NR</v>
      </c>
      <c r="H15" s="123">
        <v>100</v>
      </c>
      <c r="I15" s="120">
        <v>222</v>
      </c>
      <c r="J15" s="120">
        <f t="shared" si="0"/>
        <v>256</v>
      </c>
      <c r="K15" s="123" t="s">
        <v>73</v>
      </c>
      <c r="L15" s="133" t="str">
        <f>VLOOKUP($K15,'UMC Table 4-A'!$A$2:$E$132,2,FALSE)</f>
        <v>NR</v>
      </c>
      <c r="M15" s="120">
        <f>VLOOKUP($K15,'UMC Table 4-A'!$A$2:$E$132,3,FALSE)</f>
        <v>2</v>
      </c>
      <c r="N15" s="124">
        <f>IF(TABLE4A4398[[#This Row],[FUNCTION OR SPACE]]="NOT PER TABLE 4A","NA",IF(M15&lt;&gt;"NR",ROUNDUP((E15*F15*M15)/60,-1),0))</f>
        <v>90</v>
      </c>
      <c r="O15" s="120">
        <f>VLOOKUP($K15,'UMC Table 4-A'!$A$2:$E$132,4,FALSE)</f>
        <v>4</v>
      </c>
      <c r="P15" s="120">
        <f>IF(TABLE4A4398[[#This Row],[FUNCTION OR SPACE]]="NOT PER TABLE 4A","NA",IF(O15&lt;&gt;"NR",ROUNDUP((E15*F15*O15)/60,-1),0))</f>
        <v>180</v>
      </c>
      <c r="Q15" s="120" t="str">
        <f>VLOOKUP($K15,'UMC Table 4-A'!$A$2:$E$132,5,FALSE)</f>
        <v>NR</v>
      </c>
      <c r="R15" s="120">
        <f t="shared" si="4"/>
        <v>0</v>
      </c>
      <c r="S15" s="123" t="s">
        <v>56</v>
      </c>
      <c r="T15" s="123">
        <v>0</v>
      </c>
      <c r="U15" s="123" t="s">
        <v>56</v>
      </c>
      <c r="V15" s="120" t="str">
        <f>IF(TABLE4A4398[[#This Row],[FUNCTION OR SPACE]]="NOT PER TABLE 4A",VLOOKUP(TABLE4A4398[[#This Row],[OCCUPANCY CATEGORY]],Ashrae90.1Vent[#All],2,FALSE),"NA")</f>
        <v>NA</v>
      </c>
      <c r="W15" s="125" t="str">
        <f>IF(TABLE4A4398[[#This Row],[FUNCTION OR SPACE]]="NOT PER TABLE 4A", VLOOKUP(TABLE4A4398[[#This Row],[OCCUPANCY CATEGORY]],Ashrae90.1Vent[#All],3,FALSE),"NA")</f>
        <v>NA</v>
      </c>
      <c r="X15" s="125" t="str">
        <f>VLOOKUP(TABLE4A4398[[#This Row],[OCCUPANCY CATEGORY]],Ashrae90.1Vent[#All],4,FALSE)</f>
        <v>NA</v>
      </c>
      <c r="Y15" s="125" t="str">
        <f>IF(TABLE4A4398[[#This Row],[FUNCTION OR SPACE]]="NOT PER TABLE 4A",VLOOKUP(TABLE4A4398[[#This Row],[OCCUPANCY CATEGORY]],Ashrae90.1Vent[#All],5,FALSE),"NA")</f>
        <v>NA</v>
      </c>
      <c r="Z15" s="123" t="str">
        <f>IF(TABLE4A4398[[#This Row],[FUNCTION OR SPACE]]="NOT PER TABLE 4A",TABLE4A4398[[#This Row],[Occupants (Pz)]],"NA")</f>
        <v>NA</v>
      </c>
      <c r="AA15" s="125" t="str">
        <f>IF(TABLE4A4398[[#This Row],[FUNCTION OR SPACE]]="NOT PER TABLE 4A",CEILING((X15/1000)*E15,1),"NA")</f>
        <v>NA</v>
      </c>
      <c r="AB15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5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5" s="127" t="str">
        <f>IF(TABLE4A4398[[#This Row],[FUNCTION OR SPACE]]="NOT PER TABLE 4A",IF(TABLE4A4398[[#This Row],[DIVERSITY (D)]]&lt;0.6,(0.88*TABLE4A4398[[#This Row],[DIVERSITY (D)]]+0.22),0.75),"NA")</f>
        <v>NA</v>
      </c>
      <c r="AE15" s="126" t="str">
        <f>IF(TABLE4A4398[[#This Row],[FUNCTION OR SPACE]]="NOT PER TABLE 4A",TABLE4A4398[[#This Row],[Uncorrected OA (Vou)]]/TABLE4A4398[[#This Row],[System Efficiency (Ev)]],"NA")</f>
        <v>NA</v>
      </c>
      <c r="AF15" s="123" t="s">
        <v>57</v>
      </c>
      <c r="AG15" s="126" t="str">
        <f>VLOOKUP(TABLE4A4398[[#This Row],[OCCUPANCY CATEGORY]],Ashrae90.1Vent[#All],6,FALSE)</f>
        <v>NA</v>
      </c>
      <c r="AH15" s="126" t="str">
        <f>IF(TABLE4A4398[[#This Row],[Exhaust Category]]="NOT APPLICABLE","NA",VLOOKUP(TABLE4A4398[[#This Row],[Exhaust Category]],ASHRAE_EA_Table[#All],2,FALSE))</f>
        <v>NA</v>
      </c>
      <c r="AI15" s="126" t="str">
        <f>IF(TABLE4A4398[[#This Row],[Exhaust Category]]="NOT APPLICABLE","NA",VLOOKUP(TABLE4A4398[[#This Row],[Exhaust Category]],ASHRAE_EA_Table[#All],3,FALSE))</f>
        <v>NA</v>
      </c>
      <c r="AJ15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5" s="111">
        <f>MROUND(IF(TABLE4A4398[[#This Row],[FUNCTION OR SPACE]]="NOT PER TABLE 4A",TABLE4A4398[[#This Row],[OUTSIDE AIRFLOW (CFM) (Vot)]],TABLE4A4398[[#This Row],[MIN OUTDOOR ACH 
(CFM)]]),5)</f>
        <v>90</v>
      </c>
      <c r="AL15" s="120" cm="1">
        <f t="array" aca="1" ref="AL1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255</v>
      </c>
      <c r="AM15" s="128">
        <f ca="1">TABLE4A4398[[#This Row],[CALCULATED SA 
(CFM)]]</f>
        <v>255</v>
      </c>
      <c r="AN15" s="128" cm="1">
        <f t="array" aca="1" ref="AN15" ca="1">returnair_comb(TABLE4A4398[[#This Row],[DESIGN SA 
(CFM)]],TABLE4A4398[[#This Row],[Desired Air Balance Difference]],TABLE4A4398[[#This Row],[100% EA
 (YES/NR)]],TABLE4A4398[[#This Row],[FUNCTION OR SPACE]],TABLE4A4398[[#This Row],[Exhaust Category]],TABLE4A4398[[#This Row],[MIN ASHRAE EA
(CFM)]])</f>
        <v>155</v>
      </c>
      <c r="AO15" s="128" cm="1">
        <f t="array" aca="1" ref="AO15" ca="1">Exhaustair_comb(TABLE4A4398[[#This Row],[DESIGN SA 
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5" s="126">
        <f t="shared" ca="1" si="1"/>
        <v>100</v>
      </c>
      <c r="AQ15" s="129">
        <f t="shared" ca="1" si="2"/>
        <v>0.99609375</v>
      </c>
      <c r="AR15" s="129">
        <f t="shared" ca="1" si="5"/>
        <v>35.294117647058826</v>
      </c>
      <c r="AS15" s="129">
        <f t="shared" ca="1" si="6"/>
        <v>5.9765625</v>
      </c>
      <c r="AT15" s="90" t="str">
        <f t="shared" ca="1" si="3"/>
        <v>No</v>
      </c>
      <c r="AU15" s="40"/>
      <c r="AV15" s="40"/>
      <c r="AW15" s="17" t="s">
        <v>93</v>
      </c>
      <c r="AX15" s="131" t="s">
        <v>75</v>
      </c>
      <c r="AY15" s="131" t="s">
        <v>76</v>
      </c>
      <c r="AZ15" s="120">
        <f t="shared" si="7"/>
        <v>0</v>
      </c>
      <c r="BA15" s="120" t="str">
        <f>IFERROR((VLOOKUP(AZ15,'DO NOT TOUCH'!$B$9:$C$14,2,TRUE)),"TBD")</f>
        <v>TBD</v>
      </c>
      <c r="BB15" s="120">
        <f t="shared" si="11"/>
        <v>0.5</v>
      </c>
      <c r="BC15" s="120">
        <f>INPUT_OUTPUTS!$C$16</f>
        <v>140</v>
      </c>
      <c r="BD15" s="120">
        <f>INPUT_OUTPUTS!$C$17</f>
        <v>100</v>
      </c>
      <c r="BE15" s="120">
        <f t="shared" si="9"/>
        <v>55</v>
      </c>
      <c r="BF15" s="120">
        <f t="shared" si="9"/>
        <v>85</v>
      </c>
      <c r="BG15" s="120">
        <f t="shared" si="8"/>
        <v>0</v>
      </c>
      <c r="BH15" s="132">
        <f t="shared" si="12"/>
        <v>0</v>
      </c>
      <c r="BI15" s="132">
        <f t="shared" si="10"/>
        <v>0.5</v>
      </c>
      <c r="BJ15" s="132">
        <f t="shared" si="13"/>
        <v>5</v>
      </c>
      <c r="BK15" s="132" t="str">
        <f>IFERROR((_xlfn.XLOOKUP(BA15,'DO NOT TOUCH'!$C$9:$C$14,'DO NOT TOUCH'!$D$9:$D$14,)),"TBD")</f>
        <v>TBD</v>
      </c>
      <c r="BL15" s="132">
        <f>INPUT_OUTPUTS!$C$19</f>
        <v>0</v>
      </c>
      <c r="BM15" s="90" t="str">
        <f t="shared" si="14"/>
        <v>1, 2</v>
      </c>
    </row>
    <row r="16" spans="1:65" ht="15" customHeight="1">
      <c r="B16" s="91" t="s">
        <v>94</v>
      </c>
      <c r="C16" s="123" t="s">
        <v>54</v>
      </c>
      <c r="D16" s="123">
        <v>1234</v>
      </c>
      <c r="E16" s="123">
        <v>2347</v>
      </c>
      <c r="F16" s="123">
        <v>10</v>
      </c>
      <c r="G16" s="120" t="str">
        <f>VLOOKUP($K16,'UMC Table 4-A'!$A$2:$E$132,5,FALSE)</f>
        <v>NA</v>
      </c>
      <c r="H16" s="123">
        <v>100</v>
      </c>
      <c r="I16" s="120">
        <v>35</v>
      </c>
      <c r="J16" s="120">
        <f t="shared" si="0"/>
        <v>2347</v>
      </c>
      <c r="K16" s="123" t="s">
        <v>95</v>
      </c>
      <c r="L16" s="133" t="str">
        <f>VLOOKUP($K16,'UMC Table 4-A'!$A$2:$E$132,2,FALSE)</f>
        <v>NA</v>
      </c>
      <c r="M16" s="120" t="str">
        <f>VLOOKUP($K16,'UMC Table 4-A'!$A$2:$E$132,3,FALSE)</f>
        <v>NA</v>
      </c>
      <c r="N16" s="124" t="str">
        <f>IF(TABLE4A4398[[#This Row],[FUNCTION OR SPACE]]="NOT PER TABLE 4A","NA",IF(M16&lt;&gt;"NR",ROUNDUP((E16*F16*M16)/60,-1),0))</f>
        <v>NA</v>
      </c>
      <c r="O16" s="120" t="str">
        <f>VLOOKUP($K16,'UMC Table 4-A'!$A$2:$E$132,4,FALSE)</f>
        <v>NA</v>
      </c>
      <c r="P16" s="120" t="str">
        <f>IF(TABLE4A4398[[#This Row],[FUNCTION OR SPACE]]="NOT PER TABLE 4A","NA",IF(O16&lt;&gt;"NR",ROUNDUP((E16*F16*O16)/60,-1),0))</f>
        <v>NA</v>
      </c>
      <c r="Q16" s="120" t="str">
        <f>VLOOKUP($K16,'UMC Table 4-A'!$A$2:$E$132,5,FALSE)</f>
        <v>NA</v>
      </c>
      <c r="R16" s="120">
        <f t="shared" si="4"/>
        <v>0</v>
      </c>
      <c r="S16" s="123" t="s">
        <v>56</v>
      </c>
      <c r="T16" s="123">
        <v>0</v>
      </c>
      <c r="U16" s="123" t="s">
        <v>96</v>
      </c>
      <c r="V16" s="120">
        <f>IF(TABLE4A4398[[#This Row],[FUNCTION OR SPACE]]="NOT PER TABLE 4A",VLOOKUP(TABLE4A4398[[#This Row],[OCCUPANCY CATEGORY]],Ashrae90.1Vent[#All],2,FALSE),"NA")</f>
        <v>5</v>
      </c>
      <c r="W16" s="125">
        <f>IF(TABLE4A4398[[#This Row],[FUNCTION OR SPACE]]="NOT PER TABLE 4A", VLOOKUP(TABLE4A4398[[#This Row],[OCCUPANCY CATEGORY]],Ashrae90.1Vent[#All],3,FALSE),"NA")</f>
        <v>0.06</v>
      </c>
      <c r="X16" s="125">
        <f>VLOOKUP(TABLE4A4398[[#This Row],[OCCUPANCY CATEGORY]],Ashrae90.1Vent[#All],4,FALSE)</f>
        <v>50</v>
      </c>
      <c r="Y16" s="125">
        <f>IF(TABLE4A4398[[#This Row],[FUNCTION OR SPACE]]="NOT PER TABLE 4A",VLOOKUP(TABLE4A4398[[#This Row],[OCCUPANCY CATEGORY]],Ashrae90.1Vent[#All],5,FALSE),"NA")</f>
        <v>1</v>
      </c>
      <c r="Z16" s="123">
        <f>IF(TABLE4A4398[[#This Row],[FUNCTION OR SPACE]]="NOT PER TABLE 4A",TABLE4A4398[[#This Row],[Occupants (Pz)]],"NA")</f>
        <v>118</v>
      </c>
      <c r="AA16" s="125">
        <f>IF(TABLE4A4398[[#This Row],[FUNCTION OR SPACE]]="NOT PER TABLE 4A",CEILING((X16/1000)*E16,1),"NA")</f>
        <v>118</v>
      </c>
      <c r="AB16" s="125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1</v>
      </c>
      <c r="AC16" s="126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730.81999999999994</v>
      </c>
      <c r="AD16" s="127">
        <f>IF(TABLE4A4398[[#This Row],[FUNCTION OR SPACE]]="NOT PER TABLE 4A",IF(TABLE4A4398[[#This Row],[DIVERSITY (D)]]&lt;0.6,(0.88*TABLE4A4398[[#This Row],[DIVERSITY (D)]]+0.22),0.75),"NA")</f>
        <v>0.75</v>
      </c>
      <c r="AE16" s="126">
        <f>IF(TABLE4A4398[[#This Row],[FUNCTION OR SPACE]]="NOT PER TABLE 4A",TABLE4A4398[[#This Row],[Uncorrected OA (Vou)]]/TABLE4A4398[[#This Row],[System Efficiency (Ev)]],"NA")</f>
        <v>974.42666666666662</v>
      </c>
      <c r="AF16" s="123" t="s">
        <v>57</v>
      </c>
      <c r="AG16" s="126" t="str">
        <f>VLOOKUP(TABLE4A4398[[#This Row],[OCCUPANCY CATEGORY]],Ashrae90.1Vent[#All],6,FALSE)</f>
        <v>YES</v>
      </c>
      <c r="AH16" s="126" t="str">
        <f>IF(TABLE4A4398[[#This Row],[Exhaust Category]]="NOT APPLICABLE","NA",VLOOKUP(TABLE4A4398[[#This Row],[Exhaust Category]],ASHRAE_EA_Table[#All],2,FALSE))</f>
        <v>NA</v>
      </c>
      <c r="AI16" s="126" t="str">
        <f>IF(TABLE4A4398[[#This Row],[Exhaust Category]]="NOT APPLICABLE","NA",VLOOKUP(TABLE4A4398[[#This Row],[Exhaust Category]],ASHRAE_EA_Table[#All],3,FALSE))</f>
        <v>NA</v>
      </c>
      <c r="AJ16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6" s="111">
        <f>MROUND(IF(TABLE4A4398[[#This Row],[FUNCTION OR SPACE]]="NOT PER TABLE 4A",TABLE4A4398[[#This Row],[OUTSIDE AIRFLOW (CFM) (Vot)]],TABLE4A4398[[#This Row],[MIN OUTDOOR ACH 
(CFM)]]),5)</f>
        <v>975</v>
      </c>
      <c r="AL16" s="120" cm="1">
        <f t="array" aca="1" ref="AL1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2345</v>
      </c>
      <c r="AM16" s="128">
        <f ca="1">TABLE4A4398[[#This Row],[CALCULATED SA 
(CFM)]]</f>
        <v>2345</v>
      </c>
      <c r="AN16" s="128" cm="1">
        <f t="array" aca="1" ref="AN16" ca="1">returnair_comb(TABLE4A4398[[#This Row],[DESIGN SA 
(CFM)]],TABLE4A4398[[#This Row],[Desired Air Balance Difference]],TABLE4A4398[[#This Row],[100% EA
 (YES/NR)]],TABLE4A4398[[#This Row],[FUNCTION OR SPACE]],TABLE4A4398[[#This Row],[Exhaust Category]],TABLE4A4398[[#This Row],[MIN ASHRAE EA
(CFM)]])</f>
        <v>2245</v>
      </c>
      <c r="AO16" s="128" cm="1">
        <f t="array" aca="1" ref="AO16" ca="1">Exhaustair_comb(TABLE4A4398[[#This Row],[DESIGN SA 
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2245</v>
      </c>
      <c r="AP16" s="126">
        <f t="shared" ca="1" si="1"/>
        <v>-2145</v>
      </c>
      <c r="AQ16" s="129">
        <f t="shared" ca="1" si="2"/>
        <v>0.99914784831700043</v>
      </c>
      <c r="AR16" s="129">
        <f t="shared" ca="1" si="5"/>
        <v>41.57782515991471</v>
      </c>
      <c r="AS16" s="129">
        <f t="shared" ca="1" si="6"/>
        <v>5.9948870899020026</v>
      </c>
      <c r="AT16" s="90" t="str">
        <f t="shared" ca="1" si="3"/>
        <v>No</v>
      </c>
      <c r="AU16" s="40"/>
      <c r="AV16" s="40"/>
      <c r="AW16" s="17" t="s">
        <v>97</v>
      </c>
      <c r="AX16" s="131" t="s">
        <v>75</v>
      </c>
      <c r="AY16" s="131" t="s">
        <v>76</v>
      </c>
      <c r="AZ16" s="120">
        <f t="shared" si="7"/>
        <v>0</v>
      </c>
      <c r="BA16" s="120" t="str">
        <f>IFERROR((VLOOKUP(AZ16,'DO NOT TOUCH'!$B$9:$C$14,2,TRUE)),"TBD")</f>
        <v>TBD</v>
      </c>
      <c r="BB16" s="120">
        <f t="shared" si="11"/>
        <v>0.5</v>
      </c>
      <c r="BC16" s="120">
        <f>INPUT_OUTPUTS!$C$16</f>
        <v>140</v>
      </c>
      <c r="BD16" s="120">
        <f>INPUT_OUTPUTS!$C$17</f>
        <v>100</v>
      </c>
      <c r="BE16" s="120">
        <f t="shared" si="9"/>
        <v>55</v>
      </c>
      <c r="BF16" s="120">
        <f t="shared" si="9"/>
        <v>85</v>
      </c>
      <c r="BG16" s="120">
        <f t="shared" si="8"/>
        <v>0</v>
      </c>
      <c r="BH16" s="132">
        <f t="shared" si="12"/>
        <v>0</v>
      </c>
      <c r="BI16" s="132">
        <f t="shared" si="10"/>
        <v>0.5</v>
      </c>
      <c r="BJ16" s="132">
        <f t="shared" si="13"/>
        <v>5</v>
      </c>
      <c r="BK16" s="132" t="str">
        <f>IFERROR((_xlfn.XLOOKUP(BA16,'DO NOT TOUCH'!$C$9:$C$14,'DO NOT TOUCH'!$D$9:$D$14,)),"TBD")</f>
        <v>TBD</v>
      </c>
      <c r="BL16" s="132">
        <f>INPUT_OUTPUTS!$C$19</f>
        <v>0</v>
      </c>
      <c r="BM16" s="90" t="str">
        <f t="shared" si="14"/>
        <v>1, 2</v>
      </c>
    </row>
    <row r="17" spans="2:65" ht="15" customHeight="1">
      <c r="B17" s="91" t="s">
        <v>98</v>
      </c>
      <c r="C17" s="123" t="s">
        <v>54</v>
      </c>
      <c r="D17" s="123">
        <v>1234</v>
      </c>
      <c r="E17" s="123">
        <v>454</v>
      </c>
      <c r="F17" s="123">
        <v>10</v>
      </c>
      <c r="G17" s="120" t="str">
        <f>VLOOKUP($K17,'UMC Table 4-A'!$A$2:$E$132,5,FALSE)</f>
        <v>NR</v>
      </c>
      <c r="H17" s="123">
        <v>100</v>
      </c>
      <c r="I17" s="120">
        <v>333</v>
      </c>
      <c r="J17" s="120">
        <f t="shared" si="0"/>
        <v>454</v>
      </c>
      <c r="K17" s="123" t="s">
        <v>73</v>
      </c>
      <c r="L17" s="133" t="str">
        <f>VLOOKUP($K17,'UMC Table 4-A'!$A$2:$E$132,2,FALSE)</f>
        <v>NR</v>
      </c>
      <c r="M17" s="120">
        <f>VLOOKUP($K17,'UMC Table 4-A'!$A$2:$E$132,3,FALSE)</f>
        <v>2</v>
      </c>
      <c r="N17" s="124">
        <f>IF(TABLE4A4398[[#This Row],[FUNCTION OR SPACE]]="NOT PER TABLE 4A","NA",IF(M17&lt;&gt;"NR",ROUNDUP((E17*F17*M17)/60,-1),0))</f>
        <v>160</v>
      </c>
      <c r="O17" s="120">
        <f>VLOOKUP($K17,'UMC Table 4-A'!$A$2:$E$132,4,FALSE)</f>
        <v>4</v>
      </c>
      <c r="P17" s="120">
        <f>IF(TABLE4A4398[[#This Row],[FUNCTION OR SPACE]]="NOT PER TABLE 4A","NA",IF(O17&lt;&gt;"NR",ROUNDUP((E17*F17*O17)/60,-1),0))</f>
        <v>310</v>
      </c>
      <c r="Q17" s="120" t="str">
        <f>VLOOKUP($K17,'UMC Table 4-A'!$A$2:$E$132,5,FALSE)</f>
        <v>NR</v>
      </c>
      <c r="R17" s="120">
        <f t="shared" si="4"/>
        <v>0</v>
      </c>
      <c r="S17" s="123" t="s">
        <v>56</v>
      </c>
      <c r="T17" s="123">
        <v>0</v>
      </c>
      <c r="U17" s="123" t="s">
        <v>56</v>
      </c>
      <c r="V17" s="120" t="str">
        <f>IF(TABLE4A4398[[#This Row],[FUNCTION OR SPACE]]="NOT PER TABLE 4A",VLOOKUP(TABLE4A4398[[#This Row],[OCCUPANCY CATEGORY]],Ashrae90.1Vent[#All],2,FALSE),"NA")</f>
        <v>NA</v>
      </c>
      <c r="W17" s="125" t="str">
        <f>IF(TABLE4A4398[[#This Row],[FUNCTION OR SPACE]]="NOT PER TABLE 4A", VLOOKUP(TABLE4A4398[[#This Row],[OCCUPANCY CATEGORY]],Ashrae90.1Vent[#All],3,FALSE),"NA")</f>
        <v>NA</v>
      </c>
      <c r="X17" s="125" t="str">
        <f>VLOOKUP(TABLE4A4398[[#This Row],[OCCUPANCY CATEGORY]],Ashrae90.1Vent[#All],4,FALSE)</f>
        <v>NA</v>
      </c>
      <c r="Y17" s="125" t="str">
        <f>IF(TABLE4A4398[[#This Row],[FUNCTION OR SPACE]]="NOT PER TABLE 4A",VLOOKUP(TABLE4A4398[[#This Row],[OCCUPANCY CATEGORY]],Ashrae90.1Vent[#All],5,FALSE),"NA")</f>
        <v>NA</v>
      </c>
      <c r="Z17" s="123" t="str">
        <f>IF(TABLE4A4398[[#This Row],[FUNCTION OR SPACE]]="NOT PER TABLE 4A",TABLE4A4398[[#This Row],[Occupants (Pz)]],"NA")</f>
        <v>NA</v>
      </c>
      <c r="AA17" s="125" t="str">
        <f>IF(TABLE4A4398[[#This Row],[FUNCTION OR SPACE]]="NOT PER TABLE 4A",CEILING((X17/1000)*E17,1),"NA")</f>
        <v>NA</v>
      </c>
      <c r="AB17" s="125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7" s="126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7" s="127" t="str">
        <f>IF(TABLE4A4398[[#This Row],[FUNCTION OR SPACE]]="NOT PER TABLE 4A",IF(TABLE4A4398[[#This Row],[DIVERSITY (D)]]&lt;0.6,(0.88*TABLE4A4398[[#This Row],[DIVERSITY (D)]]+0.22),0.75),"NA")</f>
        <v>NA</v>
      </c>
      <c r="AE17" s="126" t="str">
        <f>IF(TABLE4A4398[[#This Row],[FUNCTION OR SPACE]]="NOT PER TABLE 4A",TABLE4A4398[[#This Row],[Uncorrected OA (Vou)]]/TABLE4A4398[[#This Row],[System Efficiency (Ev)]],"NA")</f>
        <v>NA</v>
      </c>
      <c r="AF17" s="123" t="s">
        <v>57</v>
      </c>
      <c r="AG17" s="126" t="str">
        <f>VLOOKUP(TABLE4A4398[[#This Row],[OCCUPANCY CATEGORY]],Ashrae90.1Vent[#All],6,FALSE)</f>
        <v>NA</v>
      </c>
      <c r="AH17" s="126" t="str">
        <f>IF(TABLE4A4398[[#This Row],[Exhaust Category]]="NOT APPLICABLE","NA",VLOOKUP(TABLE4A4398[[#This Row],[Exhaust Category]],ASHRAE_EA_Table[#All],2,FALSE))</f>
        <v>NA</v>
      </c>
      <c r="AI17" s="126" t="str">
        <f>IF(TABLE4A4398[[#This Row],[Exhaust Category]]="NOT APPLICABLE","NA",VLOOKUP(TABLE4A4398[[#This Row],[Exhaust Category]],ASHRAE_EA_Table[#All],3,FALSE))</f>
        <v>NA</v>
      </c>
      <c r="AJ17" s="125">
        <f>IFERROR(IF(TABLE4A4398[[#This Row],[EA RATE
(CFM/UNIT)]] = "NA",TABLE4A4398[[#This Row],[EA RATE
(CFM/FT²)]]*TABLE4A4398[[#This Row],[AREA 
(FT²)]],TABLE4A4398[[#This Row],[EA RATE
(CFM/UNIT)]]*TABLE4A4398[[#This Row],[ASHRAE
EXHAUST UNIT]]),0)</f>
        <v>0</v>
      </c>
      <c r="AK17" s="111">
        <f>MROUND(IF(TABLE4A4398[[#This Row],[FUNCTION OR SPACE]]="NOT PER TABLE 4A",TABLE4A4398[[#This Row],[OUTSIDE AIRFLOW (CFM) (Vot)]],TABLE4A4398[[#This Row],[MIN OUTDOOR ACH 
(CFM)]]),5)</f>
        <v>160</v>
      </c>
      <c r="AL17" s="120" cm="1">
        <f t="array" aca="1" ref="AL1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(CFM)]])</f>
        <v>455</v>
      </c>
      <c r="AM17" s="128">
        <f ca="1">TABLE4A4398[[#This Row],[CALCULATED SA 
(CFM)]]</f>
        <v>455</v>
      </c>
      <c r="AN17" s="128" cm="1">
        <f t="array" aca="1" ref="AN17" ca="1">returnair_comb(TABLE4A4398[[#This Row],[DESIGN SA 
(CFM)]],TABLE4A4398[[#This Row],[Desired Air Balance Difference]],TABLE4A4398[[#This Row],[100% EA
 (YES/NR)]],TABLE4A4398[[#This Row],[FUNCTION OR SPACE]],TABLE4A4398[[#This Row],[Exhaust Category]],TABLE4A4398[[#This Row],[MIN ASHRAE EA
(CFM)]])</f>
        <v>355</v>
      </c>
      <c r="AO17" s="128" cm="1">
        <f t="array" aca="1" ref="AO17" ca="1">Exhaustair_comb(TABLE4A4398[[#This Row],[DESIGN SA 
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7" s="126">
        <f t="shared" ca="1" si="1"/>
        <v>100</v>
      </c>
      <c r="AQ17" s="129">
        <f t="shared" ca="1" si="2"/>
        <v>1.0022026431718061</v>
      </c>
      <c r="AR17" s="129">
        <f t="shared" ca="1" si="5"/>
        <v>35.164835164835168</v>
      </c>
      <c r="AS17" s="129">
        <f t="shared" ca="1" si="6"/>
        <v>6.0132158590308364</v>
      </c>
      <c r="AT17" s="90" t="str">
        <f t="shared" ca="1" si="3"/>
        <v>No</v>
      </c>
      <c r="AU17" s="40"/>
      <c r="AV17" s="40"/>
      <c r="AW17" s="17" t="s">
        <v>99</v>
      </c>
      <c r="AX17" s="131" t="s">
        <v>75</v>
      </c>
      <c r="AY17" s="131" t="s">
        <v>76</v>
      </c>
      <c r="AZ17" s="120">
        <f t="shared" si="7"/>
        <v>0</v>
      </c>
      <c r="BA17" s="120" t="str">
        <f>IFERROR((VLOOKUP(AZ17,'DO NOT TOUCH'!$B$9:$C$14,2,TRUE)),"TBD")</f>
        <v>TBD</v>
      </c>
      <c r="BB17" s="120">
        <f t="shared" si="11"/>
        <v>0.5</v>
      </c>
      <c r="BC17" s="120">
        <f>INPUT_OUTPUTS!$C$16</f>
        <v>140</v>
      </c>
      <c r="BD17" s="120">
        <f>INPUT_OUTPUTS!$C$17</f>
        <v>100</v>
      </c>
      <c r="BE17" s="120">
        <f t="shared" si="9"/>
        <v>55</v>
      </c>
      <c r="BF17" s="120">
        <f t="shared" si="9"/>
        <v>85</v>
      </c>
      <c r="BG17" s="120">
        <f t="shared" si="8"/>
        <v>0</v>
      </c>
      <c r="BH17" s="132">
        <f t="shared" si="12"/>
        <v>0</v>
      </c>
      <c r="BI17" s="132">
        <f t="shared" si="10"/>
        <v>0.5</v>
      </c>
      <c r="BJ17" s="132">
        <f t="shared" si="13"/>
        <v>5</v>
      </c>
      <c r="BK17" s="132" t="str">
        <f>IFERROR((_xlfn.XLOOKUP(BA17,'DO NOT TOUCH'!$C$9:$C$14,'DO NOT TOUCH'!$D$9:$D$14,)),"TBD")</f>
        <v>TBD</v>
      </c>
      <c r="BL17" s="132">
        <f>INPUT_OUTPUTS!$C$19</f>
        <v>0</v>
      </c>
      <c r="BM17" s="90" t="str">
        <f t="shared" si="14"/>
        <v>1, 2</v>
      </c>
    </row>
    <row r="18" spans="2:65" ht="15" customHeight="1">
      <c r="B18" s="363"/>
      <c r="C18" s="364"/>
      <c r="D18" s="364"/>
      <c r="E18" s="362">
        <f>SUBTOTAL(109,TABLE4A4398[AREA 
(FT²)])</f>
        <v>4086</v>
      </c>
      <c r="F18" s="362"/>
      <c r="G18" s="362"/>
      <c r="H18" s="362"/>
      <c r="I18" s="362"/>
      <c r="J18" s="362"/>
      <c r="K18" s="362"/>
      <c r="L18" s="362"/>
      <c r="M18" s="362"/>
      <c r="N18" s="365">
        <f>SUBTOTAL(109,TABLE4A4398[MIN OUTDOOR ACH 
(CFM)])</f>
        <v>530</v>
      </c>
      <c r="O18" s="362"/>
      <c r="P18" s="362">
        <f>SUBTOTAL(109,TABLE4A4398[MIN TOTAL ACH 
(CFM)])</f>
        <v>1550</v>
      </c>
      <c r="Q18" s="362"/>
      <c r="R18" s="362">
        <f>SUBTOTAL(109,TABLE4A4398[MIN EA 
(CFM)])</f>
        <v>500</v>
      </c>
      <c r="S18" s="362"/>
      <c r="T18" s="362"/>
      <c r="U18" s="362"/>
      <c r="V18" s="362"/>
      <c r="W18" s="362"/>
      <c r="X18" s="362"/>
      <c r="Y18" s="362"/>
      <c r="Z18" s="362">
        <f>SUBTOTAL(109,TABLE4A4398[Actual Number of  Occupants (Ps)])</f>
        <v>118</v>
      </c>
      <c r="AA18" s="362">
        <f>SUBTOTAL(109,TABLE4A4398[Occupants (Pz)])</f>
        <v>118</v>
      </c>
      <c r="AB18" s="362"/>
      <c r="AC18" s="362"/>
      <c r="AD18" s="362"/>
      <c r="AE18" s="362"/>
      <c r="AF18" s="362"/>
      <c r="AG18" s="362"/>
      <c r="AH18" s="362"/>
      <c r="AI18" s="362"/>
      <c r="AJ18" s="362"/>
      <c r="AK18" s="362">
        <f>SUBTOTAL(109,TABLE4A4398[DESIGN OA (CFM)])</f>
        <v>1505</v>
      </c>
      <c r="AL18" s="362">
        <f ca="1">SUBTOTAL(109,TABLE4A4398[CALCULATED SA 
(CFM)])</f>
        <v>5225</v>
      </c>
      <c r="AM18" s="362">
        <f ca="1">SUBTOTAL(109,TABLE4A4398[DESIGN SA 
(CFM)])</f>
        <v>5225</v>
      </c>
      <c r="AN18" s="365">
        <f ca="1">SUBTOTAL(109,TABLE4A4398[DESIGN RA
(CFM)])</f>
        <v>3925</v>
      </c>
      <c r="AO18" s="362">
        <f ca="1">SUBTOTAL(109,TABLE4A4398[DESIGN EA
(CFM)])</f>
        <v>2745</v>
      </c>
      <c r="AP18" s="362">
        <f ca="1">SUBTOTAL(109,TABLE4A4398[Transfer Air CFM])</f>
        <v>-1445</v>
      </c>
      <c r="AQ18" s="362"/>
      <c r="AR18" s="366"/>
      <c r="AS18" s="366"/>
      <c r="AT18" s="367"/>
      <c r="AU18" s="40"/>
      <c r="AV18" s="40"/>
      <c r="AW18" s="17" t="s">
        <v>100</v>
      </c>
      <c r="AX18" s="131" t="s">
        <v>75</v>
      </c>
      <c r="AY18" s="131" t="s">
        <v>76</v>
      </c>
      <c r="AZ18" s="120">
        <f t="shared" si="7"/>
        <v>0</v>
      </c>
      <c r="BA18" s="120" t="str">
        <f>IFERROR((VLOOKUP(AZ18,'DO NOT TOUCH'!$B$9:$C$14,2,TRUE)),"TBD")</f>
        <v>TBD</v>
      </c>
      <c r="BB18" s="120">
        <f t="shared" si="11"/>
        <v>0.5</v>
      </c>
      <c r="BC18" s="120">
        <f>INPUT_OUTPUTS!$C$16</f>
        <v>140</v>
      </c>
      <c r="BD18" s="120">
        <f>INPUT_OUTPUTS!$C$17</f>
        <v>100</v>
      </c>
      <c r="BE18" s="120">
        <f t="shared" si="9"/>
        <v>55</v>
      </c>
      <c r="BF18" s="120">
        <f t="shared" si="9"/>
        <v>85</v>
      </c>
      <c r="BG18" s="120">
        <f t="shared" si="8"/>
        <v>0</v>
      </c>
      <c r="BH18" s="132">
        <f t="shared" si="12"/>
        <v>0</v>
      </c>
      <c r="BI18" s="132">
        <f t="shared" si="10"/>
        <v>0.5</v>
      </c>
      <c r="BJ18" s="132">
        <f t="shared" si="13"/>
        <v>5</v>
      </c>
      <c r="BK18" s="132" t="str">
        <f>IFERROR((_xlfn.XLOOKUP(BA18,'DO NOT TOUCH'!$C$9:$C$14,'DO NOT TOUCH'!$D$9:$D$14,)),"TBD")</f>
        <v>TBD</v>
      </c>
      <c r="BL18" s="132">
        <f>INPUT_OUTPUTS!$C$19</f>
        <v>0</v>
      </c>
      <c r="BM18" s="90" t="str">
        <f t="shared" si="14"/>
        <v>1, 2</v>
      </c>
    </row>
    <row r="19" spans="2:65" ht="15" customHeight="1">
      <c r="B19" s="52"/>
      <c r="C19" s="53"/>
      <c r="G19" s="40"/>
      <c r="H19" s="54"/>
      <c r="I19" s="54"/>
      <c r="L19" s="55"/>
      <c r="M19" s="56"/>
      <c r="N19" s="56"/>
      <c r="P19" s="39"/>
      <c r="S19" s="57"/>
      <c r="T19" s="57"/>
      <c r="U19" s="39"/>
      <c r="V19" s="39"/>
      <c r="W19" s="39"/>
      <c r="X19" s="39"/>
      <c r="Y19" s="57"/>
      <c r="Z19" s="58"/>
      <c r="AW19" s="17" t="s">
        <v>101</v>
      </c>
      <c r="AX19" s="131" t="s">
        <v>75</v>
      </c>
      <c r="AY19" s="131" t="s">
        <v>76</v>
      </c>
      <c r="AZ19" s="120">
        <f t="shared" si="7"/>
        <v>0</v>
      </c>
      <c r="BA19" s="120" t="str">
        <f>IFERROR((VLOOKUP(AZ19,'DO NOT TOUCH'!$B$9:$C$14,2,TRUE)),"TBD")</f>
        <v>TBD</v>
      </c>
      <c r="BB19" s="120">
        <f t="shared" si="11"/>
        <v>0.5</v>
      </c>
      <c r="BC19" s="120">
        <f>INPUT_OUTPUTS!$C$16</f>
        <v>140</v>
      </c>
      <c r="BD19" s="120">
        <f>INPUT_OUTPUTS!$C$17</f>
        <v>100</v>
      </c>
      <c r="BE19" s="120">
        <f t="shared" si="9"/>
        <v>55</v>
      </c>
      <c r="BF19" s="120">
        <f t="shared" si="9"/>
        <v>85</v>
      </c>
      <c r="BG19" s="120">
        <f t="shared" si="8"/>
        <v>0</v>
      </c>
      <c r="BH19" s="132">
        <f t="shared" si="12"/>
        <v>0</v>
      </c>
      <c r="BI19" s="132">
        <f t="shared" si="10"/>
        <v>0.5</v>
      </c>
      <c r="BJ19" s="132">
        <f t="shared" si="13"/>
        <v>5</v>
      </c>
      <c r="BK19" s="132" t="str">
        <f>IFERROR((_xlfn.XLOOKUP(BA19,'DO NOT TOUCH'!$C$9:$C$14,'DO NOT TOUCH'!$D$9:$D$14,)),"TBD")</f>
        <v>TBD</v>
      </c>
      <c r="BL19" s="132">
        <f>INPUT_OUTPUTS!$C$19</f>
        <v>0</v>
      </c>
      <c r="BM19" s="90" t="str">
        <f t="shared" si="14"/>
        <v>1, 2</v>
      </c>
    </row>
    <row r="20" spans="2:65" ht="15" customHeight="1">
      <c r="B20" s="59"/>
      <c r="C20" s="53"/>
      <c r="G20" s="40"/>
      <c r="H20" s="54"/>
      <c r="I20" s="54"/>
      <c r="L20" s="55"/>
      <c r="M20" s="56"/>
      <c r="N20" s="56"/>
      <c r="P20" s="39"/>
      <c r="U20" s="39"/>
      <c r="V20" s="39"/>
      <c r="W20" s="39"/>
      <c r="X20" s="39"/>
      <c r="Y20" s="40"/>
      <c r="Z20" s="58"/>
      <c r="AW20" s="17" t="s">
        <v>102</v>
      </c>
      <c r="AX20" s="131" t="s">
        <v>75</v>
      </c>
      <c r="AY20" s="131" t="s">
        <v>76</v>
      </c>
      <c r="AZ20" s="120">
        <f t="shared" si="7"/>
        <v>0</v>
      </c>
      <c r="BA20" s="120" t="str">
        <f>IFERROR((VLOOKUP(AZ20,'DO NOT TOUCH'!$B$9:$C$14,2,TRUE)),"TBD")</f>
        <v>TBD</v>
      </c>
      <c r="BB20" s="120">
        <f t="shared" si="11"/>
        <v>0.5</v>
      </c>
      <c r="BC20" s="120">
        <f>INPUT_OUTPUTS!$C$16</f>
        <v>140</v>
      </c>
      <c r="BD20" s="120">
        <f>INPUT_OUTPUTS!$C$17</f>
        <v>100</v>
      </c>
      <c r="BE20" s="120">
        <f t="shared" si="9"/>
        <v>55</v>
      </c>
      <c r="BF20" s="120">
        <f t="shared" si="9"/>
        <v>85</v>
      </c>
      <c r="BG20" s="120">
        <f t="shared" si="8"/>
        <v>0</v>
      </c>
      <c r="BH20" s="132">
        <f t="shared" si="12"/>
        <v>0</v>
      </c>
      <c r="BI20" s="132">
        <f t="shared" si="10"/>
        <v>0.5</v>
      </c>
      <c r="BJ20" s="132">
        <f t="shared" si="13"/>
        <v>5</v>
      </c>
      <c r="BK20" s="132" t="str">
        <f>IFERROR((_xlfn.XLOOKUP(BA20,'DO NOT TOUCH'!$C$9:$C$14,'DO NOT TOUCH'!$D$9:$D$14,)),"TBD")</f>
        <v>TBD</v>
      </c>
      <c r="BL20" s="132">
        <f>INPUT_OUTPUTS!$C$19</f>
        <v>0</v>
      </c>
      <c r="BM20" s="90" t="str">
        <f t="shared" si="14"/>
        <v>1, 2</v>
      </c>
    </row>
    <row r="21" spans="2:65" ht="15" customHeight="1">
      <c r="B21" s="52"/>
      <c r="C21" s="53"/>
      <c r="U21" s="39"/>
      <c r="V21" s="39"/>
      <c r="W21" s="39"/>
      <c r="X21" s="39"/>
      <c r="AW21" s="17" t="s">
        <v>103</v>
      </c>
      <c r="AX21" s="131" t="s">
        <v>75</v>
      </c>
      <c r="AY21" s="131" t="s">
        <v>76</v>
      </c>
      <c r="AZ21" s="120">
        <f t="shared" si="7"/>
        <v>0</v>
      </c>
      <c r="BA21" s="120" t="str">
        <f>IFERROR((VLOOKUP(AZ21,'DO NOT TOUCH'!$B$9:$C$14,2,TRUE)),"TBD")</f>
        <v>TBD</v>
      </c>
      <c r="BB21" s="120">
        <f t="shared" si="11"/>
        <v>0.5</v>
      </c>
      <c r="BC21" s="120">
        <f>INPUT_OUTPUTS!$C$16</f>
        <v>140</v>
      </c>
      <c r="BD21" s="120">
        <f>INPUT_OUTPUTS!$C$17</f>
        <v>100</v>
      </c>
      <c r="BE21" s="120">
        <f t="shared" si="9"/>
        <v>55</v>
      </c>
      <c r="BF21" s="120">
        <f t="shared" si="9"/>
        <v>85</v>
      </c>
      <c r="BG21" s="120">
        <f t="shared" si="8"/>
        <v>0</v>
      </c>
      <c r="BH21" s="132">
        <f t="shared" si="12"/>
        <v>0</v>
      </c>
      <c r="BI21" s="132">
        <f t="shared" si="10"/>
        <v>0.5</v>
      </c>
      <c r="BJ21" s="132">
        <f t="shared" si="13"/>
        <v>5</v>
      </c>
      <c r="BK21" s="132" t="str">
        <f>IFERROR((_xlfn.XLOOKUP(BA21,'DO NOT TOUCH'!$C$9:$C$14,'DO NOT TOUCH'!$D$9:$D$14,)),"TBD")</f>
        <v>TBD</v>
      </c>
      <c r="BL21" s="132">
        <f>INPUT_OUTPUTS!$C$19</f>
        <v>0</v>
      </c>
      <c r="BM21" s="90" t="str">
        <f t="shared" si="14"/>
        <v>1, 2</v>
      </c>
    </row>
    <row r="22" spans="2:65" ht="15" customHeight="1">
      <c r="L22" s="39"/>
      <c r="O22" s="39"/>
      <c r="R22" s="39" t="s">
        <v>104</v>
      </c>
      <c r="U22" s="39"/>
      <c r="V22" s="39"/>
      <c r="W22" s="39"/>
      <c r="X22" s="39"/>
      <c r="AW22" s="17" t="s">
        <v>105</v>
      </c>
      <c r="AX22" s="131" t="s">
        <v>75</v>
      </c>
      <c r="AY22" s="131" t="s">
        <v>76</v>
      </c>
      <c r="AZ22" s="120">
        <f t="shared" si="7"/>
        <v>0</v>
      </c>
      <c r="BA22" s="120" t="str">
        <f>IFERROR((VLOOKUP(AZ22,'DO NOT TOUCH'!$B$9:$C$14,2,TRUE)),"TBD")</f>
        <v>TBD</v>
      </c>
      <c r="BB22" s="120">
        <f t="shared" si="11"/>
        <v>0.5</v>
      </c>
      <c r="BC22" s="120">
        <f>INPUT_OUTPUTS!$C$16</f>
        <v>140</v>
      </c>
      <c r="BD22" s="120">
        <f>INPUT_OUTPUTS!$C$17</f>
        <v>100</v>
      </c>
      <c r="BE22" s="120">
        <f t="shared" si="9"/>
        <v>55</v>
      </c>
      <c r="BF22" s="120">
        <f t="shared" si="9"/>
        <v>85</v>
      </c>
      <c r="BG22" s="120">
        <f t="shared" si="8"/>
        <v>0</v>
      </c>
      <c r="BH22" s="132">
        <f t="shared" si="12"/>
        <v>0</v>
      </c>
      <c r="BI22" s="132">
        <f t="shared" si="10"/>
        <v>0.5</v>
      </c>
      <c r="BJ22" s="132">
        <f t="shared" si="13"/>
        <v>5</v>
      </c>
      <c r="BK22" s="132" t="str">
        <f>IFERROR((_xlfn.XLOOKUP(BA22,'DO NOT TOUCH'!$C$9:$C$14,'DO NOT TOUCH'!$D$9:$D$14,)),"TBD")</f>
        <v>TBD</v>
      </c>
      <c r="BL22" s="132">
        <f>INPUT_OUTPUTS!$C$19</f>
        <v>0</v>
      </c>
      <c r="BM22" s="90" t="str">
        <f t="shared" si="14"/>
        <v>1, 2</v>
      </c>
    </row>
    <row r="23" spans="2:65" ht="15" customHeight="1">
      <c r="U23" s="39"/>
      <c r="V23" s="39"/>
      <c r="W23" s="39"/>
      <c r="X23" s="39"/>
      <c r="AW23" s="17" t="s">
        <v>106</v>
      </c>
      <c r="AX23" s="131" t="s">
        <v>75</v>
      </c>
      <c r="AY23" s="131" t="s">
        <v>76</v>
      </c>
      <c r="AZ23" s="120">
        <f t="shared" si="7"/>
        <v>0</v>
      </c>
      <c r="BA23" s="120" t="str">
        <f>IFERROR((VLOOKUP(AZ23,'DO NOT TOUCH'!$B$9:$C$14,2,TRUE)),"TBD")</f>
        <v>TBD</v>
      </c>
      <c r="BB23" s="120">
        <f t="shared" si="11"/>
        <v>0.5</v>
      </c>
      <c r="BC23" s="120">
        <f>INPUT_OUTPUTS!$C$16</f>
        <v>140</v>
      </c>
      <c r="BD23" s="120">
        <f>INPUT_OUTPUTS!$C$17</f>
        <v>100</v>
      </c>
      <c r="BE23" s="120">
        <f t="shared" si="9"/>
        <v>55</v>
      </c>
      <c r="BF23" s="120">
        <f t="shared" si="9"/>
        <v>85</v>
      </c>
      <c r="BG23" s="120">
        <f t="shared" si="8"/>
        <v>0</v>
      </c>
      <c r="BH23" s="132">
        <f t="shared" si="12"/>
        <v>0</v>
      </c>
      <c r="BI23" s="132">
        <f t="shared" si="10"/>
        <v>0.5</v>
      </c>
      <c r="BJ23" s="132">
        <f t="shared" si="13"/>
        <v>5</v>
      </c>
      <c r="BK23" s="132" t="str">
        <f>IFERROR((_xlfn.XLOOKUP(BA23,'DO NOT TOUCH'!$C$9:$C$14,'DO NOT TOUCH'!$D$9:$D$14,)),"TBD")</f>
        <v>TBD</v>
      </c>
      <c r="BL23" s="132">
        <f>INPUT_OUTPUTS!$C$19</f>
        <v>0</v>
      </c>
      <c r="BM23" s="90" t="str">
        <f t="shared" si="14"/>
        <v>1, 2</v>
      </c>
    </row>
    <row r="24" spans="2:65" ht="15" customHeight="1">
      <c r="U24" s="39"/>
      <c r="V24" s="39"/>
      <c r="W24" s="39"/>
      <c r="X24" s="39"/>
      <c r="AW24" s="17" t="s">
        <v>107</v>
      </c>
      <c r="AX24" s="131" t="s">
        <v>75</v>
      </c>
      <c r="AY24" s="131" t="s">
        <v>76</v>
      </c>
      <c r="AZ24" s="120">
        <f t="shared" si="7"/>
        <v>0</v>
      </c>
      <c r="BA24" s="120" t="str">
        <f>IFERROR((VLOOKUP(AZ24,'DO NOT TOUCH'!$B$9:$C$14,2,TRUE)),"TBD")</f>
        <v>TBD</v>
      </c>
      <c r="BB24" s="120">
        <f t="shared" si="11"/>
        <v>0.5</v>
      </c>
      <c r="BC24" s="120">
        <f>INPUT_OUTPUTS!$C$16</f>
        <v>140</v>
      </c>
      <c r="BD24" s="120">
        <f>INPUT_OUTPUTS!$C$17</f>
        <v>100</v>
      </c>
      <c r="BE24" s="120">
        <f t="shared" si="9"/>
        <v>55</v>
      </c>
      <c r="BF24" s="120">
        <f t="shared" si="9"/>
        <v>85</v>
      </c>
      <c r="BG24" s="120">
        <f t="shared" si="8"/>
        <v>0</v>
      </c>
      <c r="BH24" s="132">
        <f t="shared" si="12"/>
        <v>0</v>
      </c>
      <c r="BI24" s="132">
        <f t="shared" si="10"/>
        <v>0.5</v>
      </c>
      <c r="BJ24" s="132">
        <f t="shared" si="13"/>
        <v>5</v>
      </c>
      <c r="BK24" s="132" t="str">
        <f>IFERROR((_xlfn.XLOOKUP(BA24,'DO NOT TOUCH'!$C$9:$C$14,'DO NOT TOUCH'!$D$9:$D$14,)),"TBD")</f>
        <v>TBD</v>
      </c>
      <c r="BL24" s="132">
        <f>INPUT_OUTPUTS!$C$19</f>
        <v>0</v>
      </c>
      <c r="BM24" s="90" t="str">
        <f t="shared" si="14"/>
        <v>1, 2</v>
      </c>
    </row>
    <row r="25" spans="2:65" ht="15" customHeight="1">
      <c r="U25" s="39"/>
      <c r="V25" s="39"/>
      <c r="W25" s="39"/>
      <c r="X25" s="39"/>
      <c r="AW25" s="17" t="s">
        <v>108</v>
      </c>
      <c r="AX25" s="131" t="s">
        <v>75</v>
      </c>
      <c r="AY25" s="131" t="s">
        <v>76</v>
      </c>
      <c r="AZ25" s="120">
        <f t="shared" si="7"/>
        <v>0</v>
      </c>
      <c r="BA25" s="120" t="str">
        <f>IFERROR((VLOOKUP(AZ25,'DO NOT TOUCH'!$B$9:$C$14,2,TRUE)),"TBD")</f>
        <v>TBD</v>
      </c>
      <c r="BB25" s="120">
        <f t="shared" si="11"/>
        <v>0.5</v>
      </c>
      <c r="BC25" s="120">
        <f>INPUT_OUTPUTS!$C$16</f>
        <v>140</v>
      </c>
      <c r="BD25" s="120">
        <f>INPUT_OUTPUTS!$C$17</f>
        <v>100</v>
      </c>
      <c r="BE25" s="120">
        <f t="shared" ref="BE25:BF40" si="15">BE24</f>
        <v>55</v>
      </c>
      <c r="BF25" s="120">
        <f t="shared" si="15"/>
        <v>85</v>
      </c>
      <c r="BG25" s="120">
        <f t="shared" si="8"/>
        <v>0</v>
      </c>
      <c r="BH25" s="132">
        <f t="shared" si="12"/>
        <v>0</v>
      </c>
      <c r="BI25" s="132">
        <f t="shared" si="10"/>
        <v>0.5</v>
      </c>
      <c r="BJ25" s="132">
        <f t="shared" si="13"/>
        <v>5</v>
      </c>
      <c r="BK25" s="132" t="str">
        <f>IFERROR((_xlfn.XLOOKUP(BA25,'DO NOT TOUCH'!$C$9:$C$14,'DO NOT TOUCH'!$D$9:$D$14,)),"TBD")</f>
        <v>TBD</v>
      </c>
      <c r="BL25" s="132">
        <f>INPUT_OUTPUTS!$C$19</f>
        <v>0</v>
      </c>
      <c r="BM25" s="90" t="str">
        <f t="shared" si="14"/>
        <v>1, 2</v>
      </c>
    </row>
    <row r="26" spans="2:65" ht="15" customHeight="1">
      <c r="U26" s="39"/>
      <c r="V26" s="39"/>
      <c r="W26" s="39"/>
      <c r="X26" s="39"/>
      <c r="Z26" s="368">
        <f>SUM(TABLE4A4398[DESIGN OA (CFM)])</f>
        <v>1505</v>
      </c>
      <c r="AW26" s="17" t="s">
        <v>109</v>
      </c>
      <c r="AX26" s="131" t="s">
        <v>75</v>
      </c>
      <c r="AY26" s="131" t="s">
        <v>76</v>
      </c>
      <c r="AZ26" s="120">
        <f t="shared" si="7"/>
        <v>0</v>
      </c>
      <c r="BA26" s="120" t="str">
        <f>IFERROR((VLOOKUP(AZ26,'DO NOT TOUCH'!$B$9:$C$14,2,TRUE)),"TBD")</f>
        <v>TBD</v>
      </c>
      <c r="BB26" s="120">
        <f t="shared" si="11"/>
        <v>0.5</v>
      </c>
      <c r="BC26" s="120">
        <f>INPUT_OUTPUTS!$C$16</f>
        <v>140</v>
      </c>
      <c r="BD26" s="120">
        <f>INPUT_OUTPUTS!$C$17</f>
        <v>100</v>
      </c>
      <c r="BE26" s="120">
        <f t="shared" si="15"/>
        <v>55</v>
      </c>
      <c r="BF26" s="120">
        <f t="shared" si="15"/>
        <v>85</v>
      </c>
      <c r="BG26" s="120">
        <f t="shared" si="8"/>
        <v>0</v>
      </c>
      <c r="BH26" s="132">
        <f t="shared" si="12"/>
        <v>0</v>
      </c>
      <c r="BI26" s="132">
        <f t="shared" si="10"/>
        <v>0.5</v>
      </c>
      <c r="BJ26" s="132">
        <f t="shared" si="13"/>
        <v>5</v>
      </c>
      <c r="BK26" s="132" t="str">
        <f>IFERROR((_xlfn.XLOOKUP(BA26,'DO NOT TOUCH'!$C$9:$C$14,'DO NOT TOUCH'!$D$9:$D$14,)),"TBD")</f>
        <v>TBD</v>
      </c>
      <c r="BL26" s="132">
        <f>INPUT_OUTPUTS!$C$19</f>
        <v>0</v>
      </c>
      <c r="BM26" s="90" t="str">
        <f t="shared" si="14"/>
        <v>1, 2</v>
      </c>
    </row>
    <row r="27" spans="2:65" ht="15" customHeight="1">
      <c r="AW27" s="17" t="s">
        <v>110</v>
      </c>
      <c r="AX27" s="131" t="s">
        <v>75</v>
      </c>
      <c r="AY27" s="131" t="s">
        <v>76</v>
      </c>
      <c r="AZ27" s="120">
        <f t="shared" si="7"/>
        <v>0</v>
      </c>
      <c r="BA27" s="120" t="str">
        <f>IFERROR((VLOOKUP(AZ27,'DO NOT TOUCH'!$B$9:$C$14,2,TRUE)),"TBD")</f>
        <v>TBD</v>
      </c>
      <c r="BB27" s="120">
        <f t="shared" si="11"/>
        <v>0.5</v>
      </c>
      <c r="BC27" s="120">
        <f>INPUT_OUTPUTS!$C$16</f>
        <v>140</v>
      </c>
      <c r="BD27" s="120">
        <f>INPUT_OUTPUTS!$C$17</f>
        <v>100</v>
      </c>
      <c r="BE27" s="120">
        <f t="shared" si="15"/>
        <v>55</v>
      </c>
      <c r="BF27" s="120">
        <f t="shared" si="15"/>
        <v>85</v>
      </c>
      <c r="BG27" s="120">
        <f t="shared" si="8"/>
        <v>0</v>
      </c>
      <c r="BH27" s="132">
        <f t="shared" si="12"/>
        <v>0</v>
      </c>
      <c r="BI27" s="132">
        <f t="shared" si="10"/>
        <v>0.5</v>
      </c>
      <c r="BJ27" s="132">
        <f t="shared" si="13"/>
        <v>5</v>
      </c>
      <c r="BK27" s="132" t="str">
        <f>IFERROR((_xlfn.XLOOKUP(BA27,'DO NOT TOUCH'!$C$9:$C$14,'DO NOT TOUCH'!$D$9:$D$14,)),"TBD")</f>
        <v>TBD</v>
      </c>
      <c r="BL27" s="132">
        <f>INPUT_OUTPUTS!$C$19</f>
        <v>0</v>
      </c>
      <c r="BM27" s="90" t="str">
        <f t="shared" si="14"/>
        <v>1, 2</v>
      </c>
    </row>
    <row r="28" spans="2:65" ht="15" customHeight="1">
      <c r="AW28" s="17" t="s">
        <v>111</v>
      </c>
      <c r="AX28" s="131" t="s">
        <v>75</v>
      </c>
      <c r="AY28" s="131" t="s">
        <v>76</v>
      </c>
      <c r="AZ28" s="120">
        <f t="shared" si="7"/>
        <v>0</v>
      </c>
      <c r="BA28" s="120" t="str">
        <f>IFERROR((VLOOKUP(AZ28,'DO NOT TOUCH'!$B$9:$C$14,2,TRUE)),"TBD")</f>
        <v>TBD</v>
      </c>
      <c r="BB28" s="120">
        <f t="shared" si="11"/>
        <v>0.5</v>
      </c>
      <c r="BC28" s="120">
        <f>INPUT_OUTPUTS!$C$16</f>
        <v>140</v>
      </c>
      <c r="BD28" s="120">
        <f>INPUT_OUTPUTS!$C$17</f>
        <v>100</v>
      </c>
      <c r="BE28" s="120">
        <f t="shared" si="15"/>
        <v>55</v>
      </c>
      <c r="BF28" s="120">
        <f t="shared" si="15"/>
        <v>85</v>
      </c>
      <c r="BG28" s="120">
        <f t="shared" si="8"/>
        <v>0</v>
      </c>
      <c r="BH28" s="132">
        <f t="shared" si="12"/>
        <v>0</v>
      </c>
      <c r="BI28" s="132">
        <f t="shared" si="10"/>
        <v>0.5</v>
      </c>
      <c r="BJ28" s="132">
        <f t="shared" si="13"/>
        <v>5</v>
      </c>
      <c r="BK28" s="132" t="str">
        <f>IFERROR((_xlfn.XLOOKUP(BA28,'DO NOT TOUCH'!$C$9:$C$14,'DO NOT TOUCH'!$D$9:$D$14,)),"TBD")</f>
        <v>TBD</v>
      </c>
      <c r="BL28" s="132">
        <f>INPUT_OUTPUTS!$C$19</f>
        <v>0</v>
      </c>
      <c r="BM28" s="90" t="str">
        <f t="shared" si="14"/>
        <v>1, 2</v>
      </c>
    </row>
    <row r="29" spans="2:65" ht="15" customHeight="1">
      <c r="AW29" s="17" t="s">
        <v>112</v>
      </c>
      <c r="AX29" s="131" t="s">
        <v>75</v>
      </c>
      <c r="AY29" s="131" t="s">
        <v>76</v>
      </c>
      <c r="AZ29" s="120">
        <f t="shared" si="7"/>
        <v>0</v>
      </c>
      <c r="BA29" s="120" t="str">
        <f>IFERROR((VLOOKUP(AZ29,'DO NOT TOUCH'!$B$9:$C$14,2,TRUE)),"TBD")</f>
        <v>TBD</v>
      </c>
      <c r="BB29" s="120">
        <f t="shared" si="11"/>
        <v>0.5</v>
      </c>
      <c r="BC29" s="120">
        <f>INPUT_OUTPUTS!$C$16</f>
        <v>140</v>
      </c>
      <c r="BD29" s="120">
        <f>INPUT_OUTPUTS!$C$17</f>
        <v>100</v>
      </c>
      <c r="BE29" s="120">
        <f t="shared" si="15"/>
        <v>55</v>
      </c>
      <c r="BF29" s="120">
        <f t="shared" si="15"/>
        <v>85</v>
      </c>
      <c r="BG29" s="120">
        <f t="shared" si="8"/>
        <v>0</v>
      </c>
      <c r="BH29" s="132">
        <f t="shared" si="12"/>
        <v>0</v>
      </c>
      <c r="BI29" s="132">
        <f t="shared" si="10"/>
        <v>0.5</v>
      </c>
      <c r="BJ29" s="132">
        <f t="shared" si="13"/>
        <v>5</v>
      </c>
      <c r="BK29" s="132" t="str">
        <f>IFERROR((_xlfn.XLOOKUP(BA29,'DO NOT TOUCH'!$C$9:$C$14,'DO NOT TOUCH'!$D$9:$D$14,)),"TBD")</f>
        <v>TBD</v>
      </c>
      <c r="BL29" s="132">
        <f>INPUT_OUTPUTS!$C$19</f>
        <v>0</v>
      </c>
      <c r="BM29" s="90" t="str">
        <f t="shared" si="14"/>
        <v>1, 2</v>
      </c>
    </row>
    <row r="30" spans="2:65" ht="15" customHeight="1">
      <c r="AW30" s="17" t="s">
        <v>113</v>
      </c>
      <c r="AX30" s="131" t="s">
        <v>75</v>
      </c>
      <c r="AY30" s="131" t="s">
        <v>76</v>
      </c>
      <c r="AZ30" s="120">
        <f t="shared" si="7"/>
        <v>0</v>
      </c>
      <c r="BA30" s="120" t="str">
        <f>IFERROR((VLOOKUP(AZ30,'DO NOT TOUCH'!$B$9:$C$14,2,TRUE)),"TBD")</f>
        <v>TBD</v>
      </c>
      <c r="BB30" s="120">
        <f t="shared" si="11"/>
        <v>0.5</v>
      </c>
      <c r="BC30" s="120">
        <f>INPUT_OUTPUTS!$C$16</f>
        <v>140</v>
      </c>
      <c r="BD30" s="120">
        <f>INPUT_OUTPUTS!$C$17</f>
        <v>100</v>
      </c>
      <c r="BE30" s="120">
        <f t="shared" si="15"/>
        <v>55</v>
      </c>
      <c r="BF30" s="120">
        <f t="shared" si="15"/>
        <v>85</v>
      </c>
      <c r="BG30" s="120">
        <f t="shared" si="8"/>
        <v>0</v>
      </c>
      <c r="BH30" s="132">
        <f t="shared" si="12"/>
        <v>0</v>
      </c>
      <c r="BI30" s="132">
        <f t="shared" si="10"/>
        <v>0.5</v>
      </c>
      <c r="BJ30" s="132">
        <f t="shared" si="13"/>
        <v>5</v>
      </c>
      <c r="BK30" s="132" t="str">
        <f>IFERROR((_xlfn.XLOOKUP(BA30,'DO NOT TOUCH'!$C$9:$C$14,'DO NOT TOUCH'!$D$9:$D$14,)),"TBD")</f>
        <v>TBD</v>
      </c>
      <c r="BL30" s="132">
        <f>INPUT_OUTPUTS!$C$19</f>
        <v>0</v>
      </c>
      <c r="BM30" s="90" t="str">
        <f t="shared" si="14"/>
        <v>1, 2</v>
      </c>
    </row>
    <row r="31" spans="2:65" ht="15" customHeight="1">
      <c r="AW31" s="17" t="s">
        <v>114</v>
      </c>
      <c r="AX31" s="131" t="s">
        <v>75</v>
      </c>
      <c r="AY31" s="131" t="s">
        <v>76</v>
      </c>
      <c r="AZ31" s="120">
        <f t="shared" si="7"/>
        <v>0</v>
      </c>
      <c r="BA31" s="120" t="str">
        <f>IFERROR((VLOOKUP(AZ31,'DO NOT TOUCH'!$B$9:$C$14,2,TRUE)),"TBD")</f>
        <v>TBD</v>
      </c>
      <c r="BB31" s="120">
        <f t="shared" si="11"/>
        <v>0.5</v>
      </c>
      <c r="BC31" s="120">
        <f>INPUT_OUTPUTS!$C$16</f>
        <v>140</v>
      </c>
      <c r="BD31" s="120">
        <f>INPUT_OUTPUTS!$C$17</f>
        <v>100</v>
      </c>
      <c r="BE31" s="120">
        <f t="shared" si="15"/>
        <v>55</v>
      </c>
      <c r="BF31" s="120">
        <f t="shared" si="15"/>
        <v>85</v>
      </c>
      <c r="BG31" s="120">
        <f t="shared" si="8"/>
        <v>0</v>
      </c>
      <c r="BH31" s="132">
        <f t="shared" si="12"/>
        <v>0</v>
      </c>
      <c r="BI31" s="132">
        <f t="shared" si="10"/>
        <v>0.5</v>
      </c>
      <c r="BJ31" s="132">
        <f t="shared" si="13"/>
        <v>5</v>
      </c>
      <c r="BK31" s="132" t="str">
        <f>IFERROR((_xlfn.XLOOKUP(BA31,'DO NOT TOUCH'!$C$9:$C$14,'DO NOT TOUCH'!$D$9:$D$14,)),"TBD")</f>
        <v>TBD</v>
      </c>
      <c r="BL31" s="132">
        <f>INPUT_OUTPUTS!$C$19</f>
        <v>0</v>
      </c>
      <c r="BM31" s="90" t="str">
        <f t="shared" si="14"/>
        <v>1, 2</v>
      </c>
    </row>
    <row r="32" spans="2:65" ht="15" customHeight="1">
      <c r="AW32" s="17" t="s">
        <v>115</v>
      </c>
      <c r="AX32" s="131" t="s">
        <v>75</v>
      </c>
      <c r="AY32" s="131" t="s">
        <v>76</v>
      </c>
      <c r="AZ32" s="120">
        <f t="shared" si="7"/>
        <v>0</v>
      </c>
      <c r="BA32" s="120" t="str">
        <f>IFERROR((VLOOKUP(AZ32,'DO NOT TOUCH'!$B$9:$C$14,2,TRUE)),"TBD")</f>
        <v>TBD</v>
      </c>
      <c r="BB32" s="120">
        <f t="shared" si="11"/>
        <v>0.5</v>
      </c>
      <c r="BC32" s="120">
        <f>INPUT_OUTPUTS!$C$16</f>
        <v>140</v>
      </c>
      <c r="BD32" s="120">
        <f>INPUT_OUTPUTS!$C$17</f>
        <v>100</v>
      </c>
      <c r="BE32" s="120">
        <f t="shared" si="15"/>
        <v>55</v>
      </c>
      <c r="BF32" s="120">
        <f t="shared" si="15"/>
        <v>85</v>
      </c>
      <c r="BG32" s="120">
        <f t="shared" si="8"/>
        <v>0</v>
      </c>
      <c r="BH32" s="132">
        <f t="shared" si="12"/>
        <v>0</v>
      </c>
      <c r="BI32" s="132">
        <f t="shared" si="10"/>
        <v>0.5</v>
      </c>
      <c r="BJ32" s="132">
        <f t="shared" si="13"/>
        <v>5</v>
      </c>
      <c r="BK32" s="132" t="str">
        <f>IFERROR((_xlfn.XLOOKUP(BA32,'DO NOT TOUCH'!$C$9:$C$14,'DO NOT TOUCH'!$D$9:$D$14,)),"TBD")</f>
        <v>TBD</v>
      </c>
      <c r="BL32" s="132">
        <f>INPUT_OUTPUTS!$C$19</f>
        <v>0</v>
      </c>
      <c r="BM32" s="90" t="str">
        <f t="shared" si="14"/>
        <v>1, 2</v>
      </c>
    </row>
    <row r="33" spans="49:65" ht="15" customHeight="1">
      <c r="AW33" s="17" t="s">
        <v>116</v>
      </c>
      <c r="AX33" s="131" t="s">
        <v>75</v>
      </c>
      <c r="AY33" s="131" t="s">
        <v>76</v>
      </c>
      <c r="AZ33" s="120">
        <f t="shared" si="7"/>
        <v>0</v>
      </c>
      <c r="BA33" s="120" t="str">
        <f>IFERROR((VLOOKUP(AZ33,'DO NOT TOUCH'!$B$9:$C$14,2,TRUE)),"TBD")</f>
        <v>TBD</v>
      </c>
      <c r="BB33" s="120">
        <f t="shared" si="11"/>
        <v>0.5</v>
      </c>
      <c r="BC33" s="120">
        <f>INPUT_OUTPUTS!$C$16</f>
        <v>140</v>
      </c>
      <c r="BD33" s="120">
        <f>INPUT_OUTPUTS!$C$17</f>
        <v>100</v>
      </c>
      <c r="BE33" s="120">
        <f t="shared" si="15"/>
        <v>55</v>
      </c>
      <c r="BF33" s="120">
        <f t="shared" si="15"/>
        <v>85</v>
      </c>
      <c r="BG33" s="120">
        <f t="shared" si="8"/>
        <v>0</v>
      </c>
      <c r="BH33" s="132">
        <f t="shared" si="12"/>
        <v>0</v>
      </c>
      <c r="BI33" s="132">
        <f t="shared" si="10"/>
        <v>0.5</v>
      </c>
      <c r="BJ33" s="132">
        <f t="shared" si="13"/>
        <v>5</v>
      </c>
      <c r="BK33" s="132" t="str">
        <f>IFERROR((_xlfn.XLOOKUP(BA33,'DO NOT TOUCH'!$C$9:$C$14,'DO NOT TOUCH'!$D$9:$D$14,)),"TBD")</f>
        <v>TBD</v>
      </c>
      <c r="BL33" s="132">
        <f>INPUT_OUTPUTS!$C$19</f>
        <v>0</v>
      </c>
      <c r="BM33" s="90" t="str">
        <f t="shared" si="14"/>
        <v>1, 2</v>
      </c>
    </row>
    <row r="34" spans="49:65" ht="15" customHeight="1">
      <c r="AW34" s="17" t="s">
        <v>117</v>
      </c>
      <c r="AX34" s="131" t="s">
        <v>75</v>
      </c>
      <c r="AY34" s="131" t="s">
        <v>76</v>
      </c>
      <c r="AZ34" s="120">
        <f t="shared" si="7"/>
        <v>0</v>
      </c>
      <c r="BA34" s="120" t="str">
        <f>IFERROR((VLOOKUP(AZ34,'DO NOT TOUCH'!$B$9:$C$14,2,TRUE)),"TBD")</f>
        <v>TBD</v>
      </c>
      <c r="BB34" s="120">
        <f t="shared" si="11"/>
        <v>0.5</v>
      </c>
      <c r="BC34" s="120">
        <f>INPUT_OUTPUTS!$C$16</f>
        <v>140</v>
      </c>
      <c r="BD34" s="120">
        <f>INPUT_OUTPUTS!$C$17</f>
        <v>100</v>
      </c>
      <c r="BE34" s="120">
        <f t="shared" si="15"/>
        <v>55</v>
      </c>
      <c r="BF34" s="120">
        <f t="shared" si="15"/>
        <v>85</v>
      </c>
      <c r="BG34" s="120">
        <f t="shared" si="8"/>
        <v>0</v>
      </c>
      <c r="BH34" s="132">
        <f t="shared" si="12"/>
        <v>0</v>
      </c>
      <c r="BI34" s="132">
        <f t="shared" si="10"/>
        <v>0.5</v>
      </c>
      <c r="BJ34" s="132">
        <f t="shared" si="13"/>
        <v>5</v>
      </c>
      <c r="BK34" s="132" t="str">
        <f>IFERROR((_xlfn.XLOOKUP(BA34,'DO NOT TOUCH'!$C$9:$C$14,'DO NOT TOUCH'!$D$9:$D$14,)),"TBD")</f>
        <v>TBD</v>
      </c>
      <c r="BL34" s="132">
        <f>INPUT_OUTPUTS!$C$19</f>
        <v>0</v>
      </c>
      <c r="BM34" s="90" t="str">
        <f t="shared" si="14"/>
        <v>1, 2</v>
      </c>
    </row>
    <row r="35" spans="49:65" ht="15" customHeight="1">
      <c r="AW35" s="17" t="s">
        <v>118</v>
      </c>
      <c r="AX35" s="131" t="s">
        <v>75</v>
      </c>
      <c r="AY35" s="131" t="s">
        <v>76</v>
      </c>
      <c r="AZ35" s="120">
        <f t="shared" si="7"/>
        <v>0</v>
      </c>
      <c r="BA35" s="120" t="str">
        <f>IFERROR((VLOOKUP(AZ35,'DO NOT TOUCH'!$B$9:$C$14,2,TRUE)),"TBD")</f>
        <v>TBD</v>
      </c>
      <c r="BB35" s="120">
        <f t="shared" si="11"/>
        <v>0.5</v>
      </c>
      <c r="BC35" s="120">
        <f>INPUT_OUTPUTS!$C$16</f>
        <v>140</v>
      </c>
      <c r="BD35" s="120">
        <f>INPUT_OUTPUTS!$C$17</f>
        <v>100</v>
      </c>
      <c r="BE35" s="120">
        <f t="shared" si="15"/>
        <v>55</v>
      </c>
      <c r="BF35" s="120">
        <f t="shared" si="15"/>
        <v>85</v>
      </c>
      <c r="BG35" s="120">
        <f t="shared" si="8"/>
        <v>0</v>
      </c>
      <c r="BH35" s="132">
        <f t="shared" si="12"/>
        <v>0</v>
      </c>
      <c r="BI35" s="132">
        <f t="shared" si="10"/>
        <v>0.5</v>
      </c>
      <c r="BJ35" s="132">
        <f t="shared" si="13"/>
        <v>5</v>
      </c>
      <c r="BK35" s="132" t="str">
        <f>IFERROR((_xlfn.XLOOKUP(BA35,'DO NOT TOUCH'!$C$9:$C$14,'DO NOT TOUCH'!$D$9:$D$14,)),"TBD")</f>
        <v>TBD</v>
      </c>
      <c r="BL35" s="132">
        <f>INPUT_OUTPUTS!$C$19</f>
        <v>0</v>
      </c>
      <c r="BM35" s="90" t="str">
        <f t="shared" si="14"/>
        <v>1, 2</v>
      </c>
    </row>
    <row r="36" spans="49:65" ht="15" customHeight="1">
      <c r="AW36" s="17" t="s">
        <v>119</v>
      </c>
      <c r="AX36" s="131" t="s">
        <v>75</v>
      </c>
      <c r="AY36" s="131" t="s">
        <v>76</v>
      </c>
      <c r="AZ36" s="120">
        <f t="shared" si="7"/>
        <v>0</v>
      </c>
      <c r="BA36" s="120" t="str">
        <f>IFERROR((VLOOKUP(AZ36,'DO NOT TOUCH'!$B$9:$C$14,2,TRUE)),"TBD")</f>
        <v>TBD</v>
      </c>
      <c r="BB36" s="120">
        <f t="shared" si="11"/>
        <v>0.5</v>
      </c>
      <c r="BC36" s="120">
        <f>INPUT_OUTPUTS!$C$16</f>
        <v>140</v>
      </c>
      <c r="BD36" s="120">
        <f>INPUT_OUTPUTS!$C$17</f>
        <v>100</v>
      </c>
      <c r="BE36" s="120">
        <f t="shared" si="15"/>
        <v>55</v>
      </c>
      <c r="BF36" s="120">
        <f t="shared" si="15"/>
        <v>85</v>
      </c>
      <c r="BG36" s="120">
        <f t="shared" si="8"/>
        <v>0</v>
      </c>
      <c r="BH36" s="132">
        <f t="shared" si="12"/>
        <v>0</v>
      </c>
      <c r="BI36" s="132">
        <f t="shared" si="10"/>
        <v>0.5</v>
      </c>
      <c r="BJ36" s="132">
        <f t="shared" si="13"/>
        <v>5</v>
      </c>
      <c r="BK36" s="132" t="str">
        <f>IFERROR((_xlfn.XLOOKUP(BA36,'DO NOT TOUCH'!$C$9:$C$14,'DO NOT TOUCH'!$D$9:$D$14,)),"TBD")</f>
        <v>TBD</v>
      </c>
      <c r="BL36" s="132">
        <f>INPUT_OUTPUTS!$C$19</f>
        <v>0</v>
      </c>
      <c r="BM36" s="90" t="str">
        <f t="shared" si="14"/>
        <v>1, 2</v>
      </c>
    </row>
    <row r="37" spans="49:65" ht="15" customHeight="1">
      <c r="AW37" s="17" t="s">
        <v>120</v>
      </c>
      <c r="AX37" s="131" t="s">
        <v>75</v>
      </c>
      <c r="AY37" s="131" t="s">
        <v>76</v>
      </c>
      <c r="AZ37" s="120">
        <f t="shared" si="7"/>
        <v>0</v>
      </c>
      <c r="BA37" s="120" t="str">
        <f>IFERROR((VLOOKUP(AZ37,'DO NOT TOUCH'!$B$9:$C$14,2,TRUE)),"TBD")</f>
        <v>TBD</v>
      </c>
      <c r="BB37" s="120">
        <f t="shared" si="11"/>
        <v>0.5</v>
      </c>
      <c r="BC37" s="120">
        <f>INPUT_OUTPUTS!$C$16</f>
        <v>140</v>
      </c>
      <c r="BD37" s="120">
        <f>INPUT_OUTPUTS!$C$17</f>
        <v>100</v>
      </c>
      <c r="BE37" s="120">
        <f t="shared" si="15"/>
        <v>55</v>
      </c>
      <c r="BF37" s="120">
        <f t="shared" si="15"/>
        <v>85</v>
      </c>
      <c r="BG37" s="120">
        <f t="shared" si="8"/>
        <v>0</v>
      </c>
      <c r="BH37" s="132">
        <f t="shared" si="12"/>
        <v>0</v>
      </c>
      <c r="BI37" s="132">
        <f t="shared" si="10"/>
        <v>0.5</v>
      </c>
      <c r="BJ37" s="132">
        <f t="shared" si="13"/>
        <v>5</v>
      </c>
      <c r="BK37" s="132" t="str">
        <f>IFERROR((_xlfn.XLOOKUP(BA37,'DO NOT TOUCH'!$C$9:$C$14,'DO NOT TOUCH'!$D$9:$D$14,)),"TBD")</f>
        <v>TBD</v>
      </c>
      <c r="BL37" s="132">
        <f>INPUT_OUTPUTS!$C$19</f>
        <v>0</v>
      </c>
      <c r="BM37" s="90" t="str">
        <f t="shared" si="14"/>
        <v>1, 2</v>
      </c>
    </row>
    <row r="38" spans="49:65" ht="15" customHeight="1">
      <c r="AW38" s="17" t="s">
        <v>121</v>
      </c>
      <c r="AX38" s="131" t="s">
        <v>75</v>
      </c>
      <c r="AY38" s="131" t="s">
        <v>76</v>
      </c>
      <c r="AZ38" s="120">
        <f t="shared" si="7"/>
        <v>0</v>
      </c>
      <c r="BA38" s="120" t="str">
        <f>IFERROR((VLOOKUP(AZ38,'DO NOT TOUCH'!$B$9:$C$14,2,TRUE)),"TBD")</f>
        <v>TBD</v>
      </c>
      <c r="BB38" s="120">
        <f t="shared" si="11"/>
        <v>0.5</v>
      </c>
      <c r="BC38" s="120">
        <f>INPUT_OUTPUTS!$C$16</f>
        <v>140</v>
      </c>
      <c r="BD38" s="120">
        <f>INPUT_OUTPUTS!$C$17</f>
        <v>100</v>
      </c>
      <c r="BE38" s="120">
        <f t="shared" si="15"/>
        <v>55</v>
      </c>
      <c r="BF38" s="120">
        <f t="shared" si="15"/>
        <v>85</v>
      </c>
      <c r="BG38" s="120">
        <f t="shared" si="8"/>
        <v>0</v>
      </c>
      <c r="BH38" s="132">
        <f t="shared" si="12"/>
        <v>0</v>
      </c>
      <c r="BI38" s="132">
        <f t="shared" si="10"/>
        <v>0.5</v>
      </c>
      <c r="BJ38" s="132">
        <f t="shared" si="13"/>
        <v>5</v>
      </c>
      <c r="BK38" s="132" t="str">
        <f>IFERROR((_xlfn.XLOOKUP(BA38,'DO NOT TOUCH'!$C$9:$C$14,'DO NOT TOUCH'!$D$9:$D$14,)),"TBD")</f>
        <v>TBD</v>
      </c>
      <c r="BL38" s="132">
        <f>INPUT_OUTPUTS!$C$19</f>
        <v>0</v>
      </c>
      <c r="BM38" s="90" t="str">
        <f t="shared" si="14"/>
        <v>1, 2</v>
      </c>
    </row>
    <row r="39" spans="49:65" ht="15" customHeight="1">
      <c r="AW39" s="17" t="s">
        <v>122</v>
      </c>
      <c r="AX39" s="131" t="s">
        <v>75</v>
      </c>
      <c r="AY39" s="131" t="s">
        <v>76</v>
      </c>
      <c r="AZ39" s="120">
        <f t="shared" si="7"/>
        <v>0</v>
      </c>
      <c r="BA39" s="120" t="str">
        <f>IFERROR((VLOOKUP(AZ39,'DO NOT TOUCH'!$B$9:$C$14,2,TRUE)),"TBD")</f>
        <v>TBD</v>
      </c>
      <c r="BB39" s="120">
        <f t="shared" si="11"/>
        <v>0.5</v>
      </c>
      <c r="BC39" s="120">
        <f>INPUT_OUTPUTS!$C$16</f>
        <v>140</v>
      </c>
      <c r="BD39" s="120">
        <f>INPUT_OUTPUTS!$C$17</f>
        <v>100</v>
      </c>
      <c r="BE39" s="120">
        <f t="shared" si="15"/>
        <v>55</v>
      </c>
      <c r="BF39" s="120">
        <f t="shared" si="15"/>
        <v>85</v>
      </c>
      <c r="BG39" s="120">
        <f t="shared" si="8"/>
        <v>0</v>
      </c>
      <c r="BH39" s="132">
        <f t="shared" si="12"/>
        <v>0</v>
      </c>
      <c r="BI39" s="132">
        <f t="shared" si="10"/>
        <v>0.5</v>
      </c>
      <c r="BJ39" s="132">
        <f t="shared" si="13"/>
        <v>5</v>
      </c>
      <c r="BK39" s="132" t="str">
        <f>IFERROR((_xlfn.XLOOKUP(BA39,'DO NOT TOUCH'!$C$9:$C$14,'DO NOT TOUCH'!$D$9:$D$14,)),"TBD")</f>
        <v>TBD</v>
      </c>
      <c r="BL39" s="132">
        <f>INPUT_OUTPUTS!$C$19</f>
        <v>0</v>
      </c>
      <c r="BM39" s="90" t="str">
        <f t="shared" si="14"/>
        <v>1, 2</v>
      </c>
    </row>
    <row r="40" spans="49:65" ht="15" customHeight="1">
      <c r="AW40" s="17" t="s">
        <v>123</v>
      </c>
      <c r="AX40" s="131" t="s">
        <v>75</v>
      </c>
      <c r="AY40" s="131" t="s">
        <v>76</v>
      </c>
      <c r="AZ40" s="120">
        <f t="shared" si="7"/>
        <v>0</v>
      </c>
      <c r="BA40" s="120" t="str">
        <f>IFERROR((VLOOKUP(AZ40,'DO NOT TOUCH'!$B$9:$C$14,2,TRUE)),"TBD")</f>
        <v>TBD</v>
      </c>
      <c r="BB40" s="120">
        <f t="shared" si="11"/>
        <v>0.5</v>
      </c>
      <c r="BC40" s="120">
        <f>INPUT_OUTPUTS!$C$16</f>
        <v>140</v>
      </c>
      <c r="BD40" s="120">
        <f>INPUT_OUTPUTS!$C$17</f>
        <v>100</v>
      </c>
      <c r="BE40" s="120">
        <f t="shared" si="15"/>
        <v>55</v>
      </c>
      <c r="BF40" s="120">
        <f t="shared" si="15"/>
        <v>85</v>
      </c>
      <c r="BG40" s="120">
        <f t="shared" si="8"/>
        <v>0</v>
      </c>
      <c r="BH40" s="132">
        <f t="shared" si="12"/>
        <v>0</v>
      </c>
      <c r="BI40" s="132">
        <f t="shared" si="10"/>
        <v>0.5</v>
      </c>
      <c r="BJ40" s="132">
        <f t="shared" si="13"/>
        <v>5</v>
      </c>
      <c r="BK40" s="132" t="str">
        <f>IFERROR((_xlfn.XLOOKUP(BA40,'DO NOT TOUCH'!$C$9:$C$14,'DO NOT TOUCH'!$D$9:$D$14,)),"TBD")</f>
        <v>TBD</v>
      </c>
      <c r="BL40" s="132">
        <f>INPUT_OUTPUTS!$C$19</f>
        <v>0</v>
      </c>
      <c r="BM40" s="90" t="str">
        <f t="shared" si="14"/>
        <v>1, 2</v>
      </c>
    </row>
    <row r="41" spans="49:65" ht="15" customHeight="1">
      <c r="AW41" s="17" t="s">
        <v>124</v>
      </c>
      <c r="AX41" s="131" t="s">
        <v>75</v>
      </c>
      <c r="AY41" s="131" t="s">
        <v>76</v>
      </c>
      <c r="AZ41" s="120">
        <f t="shared" si="7"/>
        <v>0</v>
      </c>
      <c r="BA41" s="120" t="str">
        <f>IFERROR((VLOOKUP(AZ41,'DO NOT TOUCH'!$B$9:$C$14,2,TRUE)),"TBD")</f>
        <v>TBD</v>
      </c>
      <c r="BB41" s="120">
        <f t="shared" si="11"/>
        <v>0.5</v>
      </c>
      <c r="BC41" s="120">
        <f>INPUT_OUTPUTS!$C$16</f>
        <v>140</v>
      </c>
      <c r="BD41" s="120">
        <f>INPUT_OUTPUTS!$C$17</f>
        <v>100</v>
      </c>
      <c r="BE41" s="120">
        <f t="shared" ref="BE41:BF45" si="16">BE40</f>
        <v>55</v>
      </c>
      <c r="BF41" s="120">
        <f t="shared" si="16"/>
        <v>85</v>
      </c>
      <c r="BG41" s="120">
        <f t="shared" si="8"/>
        <v>0</v>
      </c>
      <c r="BH41" s="132">
        <f t="shared" si="12"/>
        <v>0</v>
      </c>
      <c r="BI41" s="132">
        <f t="shared" si="10"/>
        <v>0.5</v>
      </c>
      <c r="BJ41" s="132">
        <f t="shared" si="13"/>
        <v>5</v>
      </c>
      <c r="BK41" s="132" t="str">
        <f>IFERROR((_xlfn.XLOOKUP(BA41,'DO NOT TOUCH'!$C$9:$C$14,'DO NOT TOUCH'!$D$9:$D$14,)),"TBD")</f>
        <v>TBD</v>
      </c>
      <c r="BL41" s="132">
        <f>INPUT_OUTPUTS!$C$19</f>
        <v>0</v>
      </c>
      <c r="BM41" s="90" t="str">
        <f t="shared" si="14"/>
        <v>1, 2</v>
      </c>
    </row>
    <row r="42" spans="49:65" ht="15" customHeight="1">
      <c r="AW42" s="17" t="s">
        <v>125</v>
      </c>
      <c r="AX42" s="131" t="s">
        <v>75</v>
      </c>
      <c r="AY42" s="131" t="s">
        <v>76</v>
      </c>
      <c r="AZ42" s="120">
        <f t="shared" si="7"/>
        <v>0</v>
      </c>
      <c r="BA42" s="120" t="str">
        <f>IFERROR((VLOOKUP(AZ42,'DO NOT TOUCH'!$B$9:$C$14,2,TRUE)),"TBD")</f>
        <v>TBD</v>
      </c>
      <c r="BB42" s="120">
        <f t="shared" si="11"/>
        <v>0.5</v>
      </c>
      <c r="BC42" s="120">
        <f>INPUT_OUTPUTS!$C$16</f>
        <v>140</v>
      </c>
      <c r="BD42" s="120">
        <f>INPUT_OUTPUTS!$C$17</f>
        <v>100</v>
      </c>
      <c r="BE42" s="120">
        <f t="shared" si="16"/>
        <v>55</v>
      </c>
      <c r="BF42" s="120">
        <f t="shared" si="16"/>
        <v>85</v>
      </c>
      <c r="BG42" s="120">
        <f t="shared" si="8"/>
        <v>0</v>
      </c>
      <c r="BH42" s="132">
        <f t="shared" si="12"/>
        <v>0</v>
      </c>
      <c r="BI42" s="132">
        <f t="shared" si="10"/>
        <v>0.5</v>
      </c>
      <c r="BJ42" s="132">
        <f t="shared" si="13"/>
        <v>5</v>
      </c>
      <c r="BK42" s="132" t="str">
        <f>IFERROR((_xlfn.XLOOKUP(BA42,'DO NOT TOUCH'!$C$9:$C$14,'DO NOT TOUCH'!$D$9:$D$14,)),"TBD")</f>
        <v>TBD</v>
      </c>
      <c r="BL42" s="132">
        <f>INPUT_OUTPUTS!$C$19</f>
        <v>0</v>
      </c>
      <c r="BM42" s="90" t="str">
        <f t="shared" si="14"/>
        <v>1, 2</v>
      </c>
    </row>
    <row r="43" spans="49:65" ht="15" customHeight="1">
      <c r="AW43" s="17" t="s">
        <v>126</v>
      </c>
      <c r="AX43" s="131" t="s">
        <v>75</v>
      </c>
      <c r="AY43" s="131" t="s">
        <v>76</v>
      </c>
      <c r="AZ43" s="120">
        <f t="shared" si="7"/>
        <v>0</v>
      </c>
      <c r="BA43" s="120" t="str">
        <f>IFERROR((VLOOKUP(AZ43,'DO NOT TOUCH'!$B$9:$C$14,2,TRUE)),"TBD")</f>
        <v>TBD</v>
      </c>
      <c r="BB43" s="120">
        <f t="shared" si="11"/>
        <v>0.5</v>
      </c>
      <c r="BC43" s="120">
        <f>INPUT_OUTPUTS!$C$16</f>
        <v>140</v>
      </c>
      <c r="BD43" s="120">
        <f>INPUT_OUTPUTS!$C$17</f>
        <v>100</v>
      </c>
      <c r="BE43" s="120">
        <f t="shared" si="16"/>
        <v>55</v>
      </c>
      <c r="BF43" s="120">
        <f t="shared" si="16"/>
        <v>85</v>
      </c>
      <c r="BG43" s="120">
        <f t="shared" si="8"/>
        <v>0</v>
      </c>
      <c r="BH43" s="132">
        <f t="shared" si="12"/>
        <v>0</v>
      </c>
      <c r="BI43" s="132">
        <f t="shared" si="10"/>
        <v>0.5</v>
      </c>
      <c r="BJ43" s="132">
        <f t="shared" si="13"/>
        <v>5</v>
      </c>
      <c r="BK43" s="132" t="str">
        <f>IFERROR((_xlfn.XLOOKUP(BA43,'DO NOT TOUCH'!$C$9:$C$14,'DO NOT TOUCH'!$D$9:$D$14,)),"TBD")</f>
        <v>TBD</v>
      </c>
      <c r="BL43" s="132">
        <f>INPUT_OUTPUTS!$C$19</f>
        <v>0</v>
      </c>
      <c r="BM43" s="90" t="str">
        <f t="shared" si="14"/>
        <v>1, 2</v>
      </c>
    </row>
    <row r="44" spans="49:65" ht="15" customHeight="1">
      <c r="AW44" s="17" t="s">
        <v>127</v>
      </c>
      <c r="AX44" s="131" t="s">
        <v>75</v>
      </c>
      <c r="AY44" s="131" t="s">
        <v>76</v>
      </c>
      <c r="AZ44" s="120">
        <f t="shared" si="7"/>
        <v>0</v>
      </c>
      <c r="BA44" s="120" t="str">
        <f>IFERROR((VLOOKUP(AZ44,'DO NOT TOUCH'!$B$9:$C$14,2,TRUE)),"TBD")</f>
        <v>TBD</v>
      </c>
      <c r="BB44" s="120">
        <f t="shared" si="11"/>
        <v>0.5</v>
      </c>
      <c r="BC44" s="120">
        <f>INPUT_OUTPUTS!$C$16</f>
        <v>140</v>
      </c>
      <c r="BD44" s="120">
        <f>INPUT_OUTPUTS!$C$17</f>
        <v>100</v>
      </c>
      <c r="BE44" s="120">
        <f t="shared" si="16"/>
        <v>55</v>
      </c>
      <c r="BF44" s="120">
        <f t="shared" si="16"/>
        <v>85</v>
      </c>
      <c r="BG44" s="120">
        <f t="shared" si="8"/>
        <v>0</v>
      </c>
      <c r="BH44" s="132">
        <f t="shared" si="12"/>
        <v>0</v>
      </c>
      <c r="BI44" s="132">
        <f t="shared" si="10"/>
        <v>0.5</v>
      </c>
      <c r="BJ44" s="132">
        <f t="shared" si="13"/>
        <v>5</v>
      </c>
      <c r="BK44" s="132" t="str">
        <f>IFERROR((_xlfn.XLOOKUP(BA44,'DO NOT TOUCH'!$C$9:$C$14,'DO NOT TOUCH'!$D$9:$D$14,)),"TBD")</f>
        <v>TBD</v>
      </c>
      <c r="BL44" s="132">
        <f>INPUT_OUTPUTS!$C$19</f>
        <v>0</v>
      </c>
      <c r="BM44" s="90" t="str">
        <f t="shared" si="14"/>
        <v>1, 2</v>
      </c>
    </row>
    <row r="45" spans="49:65" ht="15" customHeight="1">
      <c r="AW45" s="138" t="s">
        <v>128</v>
      </c>
      <c r="AX45" s="139" t="s">
        <v>75</v>
      </c>
      <c r="AY45" s="139" t="s">
        <v>76</v>
      </c>
      <c r="AZ45" s="137">
        <f t="shared" si="7"/>
        <v>0</v>
      </c>
      <c r="BA45" s="137" t="str">
        <f>IFERROR((VLOOKUP(AZ45,'DO NOT TOUCH'!$B$9:$C$14,2,TRUE)),"TBD")</f>
        <v>TBD</v>
      </c>
      <c r="BB45" s="137">
        <f t="shared" si="11"/>
        <v>0.5</v>
      </c>
      <c r="BC45" s="137">
        <f>INPUT_OUTPUTS!$C$16</f>
        <v>140</v>
      </c>
      <c r="BD45" s="137">
        <f>INPUT_OUTPUTS!$C$17</f>
        <v>100</v>
      </c>
      <c r="BE45" s="137">
        <f t="shared" si="16"/>
        <v>55</v>
      </c>
      <c r="BF45" s="137">
        <f t="shared" si="16"/>
        <v>85</v>
      </c>
      <c r="BG45" s="137">
        <f t="shared" si="8"/>
        <v>0</v>
      </c>
      <c r="BH45" s="140">
        <f t="shared" si="12"/>
        <v>0</v>
      </c>
      <c r="BI45" s="140">
        <f t="shared" si="10"/>
        <v>0.5</v>
      </c>
      <c r="BJ45" s="140">
        <f t="shared" si="13"/>
        <v>5</v>
      </c>
      <c r="BK45" s="140" t="str">
        <f>IFERROR((_xlfn.XLOOKUP(BA45,'DO NOT TOUCH'!$C$9:$C$14,'DO NOT TOUCH'!$D$9:$D$14,)),"TBD")</f>
        <v>TBD</v>
      </c>
      <c r="BL45" s="132">
        <f>INPUT_OUTPUTS!$C$19</f>
        <v>0</v>
      </c>
      <c r="BM45" s="121" t="str">
        <f t="shared" si="14"/>
        <v>1, 2</v>
      </c>
    </row>
    <row r="46" spans="49:65" ht="15" customHeight="1">
      <c r="AW46" s="138" t="s">
        <v>129</v>
      </c>
      <c r="AX46" s="139"/>
      <c r="AY46" s="139"/>
      <c r="AZ46" s="141"/>
      <c r="BA46" s="141"/>
      <c r="BB46" s="141"/>
      <c r="BC46" s="141"/>
      <c r="BD46" s="141"/>
      <c r="BE46" s="141"/>
      <c r="BF46" s="141"/>
      <c r="BG46" s="141">
        <f>SUBTOTAL(109,AHU1_CAV_SCHEDULE441114[MIN MBH])</f>
        <v>0</v>
      </c>
      <c r="BH46" s="141"/>
      <c r="BI46" s="142">
        <f>SUBTOTAL(109,AHU1_CAV_SCHEDULE441114[GPM])</f>
        <v>19</v>
      </c>
      <c r="BJ46" s="141"/>
      <c r="BK46" s="141"/>
      <c r="BL46" s="141"/>
      <c r="BM46" s="143"/>
    </row>
    <row r="47" spans="49:65" ht="15" customHeight="1">
      <c r="AW47" s="304" t="s">
        <v>130</v>
      </c>
      <c r="AX47" s="305"/>
      <c r="AY47" s="305"/>
      <c r="AZ47" s="305"/>
      <c r="BA47" s="305"/>
      <c r="BB47" s="305"/>
      <c r="BC47" s="305"/>
      <c r="BD47" s="305"/>
      <c r="BE47" s="305"/>
      <c r="BF47" s="305"/>
      <c r="BG47" s="305"/>
      <c r="BH47" s="305"/>
      <c r="BI47" s="305"/>
      <c r="BJ47" s="305"/>
      <c r="BK47" s="305"/>
      <c r="BL47" s="305"/>
      <c r="BM47" s="306"/>
    </row>
    <row r="48" spans="49:65" ht="15" customHeight="1">
      <c r="AW48" s="307"/>
      <c r="AX48" s="308"/>
      <c r="AY48" s="308"/>
      <c r="AZ48" s="308"/>
      <c r="BA48" s="308"/>
      <c r="BB48" s="308"/>
      <c r="BC48" s="308"/>
      <c r="BD48" s="308"/>
      <c r="BE48" s="308"/>
      <c r="BF48" s="308"/>
      <c r="BG48" s="308"/>
      <c r="BH48" s="308"/>
      <c r="BI48" s="308"/>
      <c r="BJ48" s="308"/>
      <c r="BK48" s="308"/>
      <c r="BL48" s="308"/>
      <c r="BM48" s="309"/>
    </row>
    <row r="49" spans="33:65" ht="15" customHeight="1">
      <c r="AW49" s="307"/>
      <c r="AX49" s="308"/>
      <c r="AY49" s="308"/>
      <c r="AZ49" s="308"/>
      <c r="BA49" s="308"/>
      <c r="BB49" s="308"/>
      <c r="BC49" s="308"/>
      <c r="BD49" s="308"/>
      <c r="BE49" s="308"/>
      <c r="BF49" s="308"/>
      <c r="BG49" s="308"/>
      <c r="BH49" s="308"/>
      <c r="BI49" s="308"/>
      <c r="BJ49" s="308"/>
      <c r="BK49" s="308"/>
      <c r="BL49" s="308"/>
      <c r="BM49" s="309"/>
    </row>
    <row r="50" spans="33:65" ht="15" customHeight="1">
      <c r="AW50" s="310"/>
      <c r="AX50" s="311"/>
      <c r="AY50" s="311"/>
      <c r="AZ50" s="311"/>
      <c r="BA50" s="311"/>
      <c r="BB50" s="311"/>
      <c r="BC50" s="311"/>
      <c r="BD50" s="311"/>
      <c r="BE50" s="311"/>
      <c r="BF50" s="311"/>
      <c r="BG50" s="311"/>
      <c r="BH50" s="311"/>
      <c r="BI50" s="311"/>
      <c r="BJ50" s="311"/>
      <c r="BK50" s="311"/>
      <c r="BL50" s="311"/>
      <c r="BM50" s="312"/>
    </row>
    <row r="51" spans="33:65" ht="15" customHeight="1"/>
    <row r="52" spans="33:65" ht="15" customHeight="1"/>
    <row r="53" spans="33:65" ht="15" customHeight="1"/>
    <row r="54" spans="33:65" ht="15" customHeight="1"/>
    <row r="55" spans="33:65" ht="15" customHeight="1"/>
    <row r="56" spans="33:65" ht="15" customHeight="1"/>
    <row r="57" spans="33:65" ht="15" customHeight="1"/>
    <row r="58" spans="33:65" ht="15" customHeight="1"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V58" s="40"/>
    </row>
    <row r="59" spans="33:65" ht="15" customHeight="1"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V59" s="40"/>
    </row>
    <row r="60" spans="33:65" ht="15" customHeight="1"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V60" s="40"/>
    </row>
    <row r="61" spans="33:65" ht="15" customHeight="1"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V61" s="40"/>
    </row>
    <row r="62" spans="33:65" ht="15" customHeight="1"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V62" s="40"/>
    </row>
    <row r="63" spans="33:65" ht="15" customHeight="1"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V63" s="40"/>
    </row>
    <row r="64" spans="33:65" ht="15" customHeight="1"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V64" s="40"/>
    </row>
    <row r="65" spans="14:49" ht="15" customHeight="1"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V65" s="40"/>
    </row>
    <row r="66" spans="14:49" ht="15" customHeight="1"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V66" s="40"/>
    </row>
    <row r="67" spans="14:49" ht="15" customHeight="1"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V67" s="40"/>
    </row>
    <row r="68" spans="14:49" ht="15" customHeight="1"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V68" s="40"/>
    </row>
    <row r="69" spans="14:49" ht="15" customHeight="1"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V69" s="40"/>
    </row>
    <row r="70" spans="14:49" ht="15" customHeight="1"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V70" s="40"/>
    </row>
    <row r="71" spans="14:49" ht="15" customHeight="1"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V71" s="40"/>
    </row>
    <row r="72" spans="14:49" ht="15" customHeight="1"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V72" s="40"/>
    </row>
    <row r="73" spans="14:49" ht="15" customHeight="1"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V73" s="40"/>
    </row>
    <row r="74" spans="14:49" ht="15" customHeight="1">
      <c r="N74" s="42"/>
      <c r="O74" s="39"/>
      <c r="P74" s="39"/>
      <c r="Q74" s="42"/>
      <c r="V74" s="39"/>
      <c r="W74" s="39"/>
      <c r="X74" s="39"/>
      <c r="Y74" s="42"/>
      <c r="Z74" s="42"/>
      <c r="AB74" s="42"/>
      <c r="AC74" s="43"/>
      <c r="AD74" s="39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V74" s="40"/>
    </row>
    <row r="75" spans="14:49" ht="15" customHeight="1">
      <c r="N75" s="40"/>
      <c r="O75" s="40"/>
      <c r="P75" s="40"/>
      <c r="Q75" s="40"/>
      <c r="R75" s="40"/>
      <c r="S75" s="40"/>
      <c r="T75" s="40"/>
      <c r="U75" s="40"/>
      <c r="W75" s="40"/>
      <c r="X75" s="40"/>
      <c r="Y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V75" s="40"/>
    </row>
    <row r="76" spans="14:49" ht="15" customHeight="1">
      <c r="N76" s="40"/>
      <c r="O76" s="40"/>
      <c r="P76" s="40"/>
      <c r="Q76" s="40"/>
      <c r="R76" s="40"/>
      <c r="S76" s="40"/>
      <c r="T76" s="40"/>
      <c r="U76" s="40"/>
      <c r="W76" s="40"/>
      <c r="X76" s="40"/>
      <c r="Y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V76" s="40"/>
    </row>
    <row r="77" spans="14:49" ht="15" customHeight="1">
      <c r="N77" s="40"/>
      <c r="O77" s="40"/>
      <c r="P77" s="40"/>
      <c r="Q77" s="40"/>
      <c r="R77" s="40"/>
      <c r="S77" s="40"/>
      <c r="T77" s="40"/>
      <c r="U77" s="40"/>
      <c r="W77" s="40"/>
      <c r="X77" s="40"/>
      <c r="Y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V77" s="40"/>
    </row>
    <row r="78" spans="14:49" ht="15" customHeight="1">
      <c r="N78" s="40"/>
      <c r="O78" s="40"/>
      <c r="P78" s="40"/>
      <c r="Q78" s="40"/>
      <c r="R78" s="40"/>
      <c r="S78" s="40"/>
      <c r="T78" s="40"/>
      <c r="U78" s="40"/>
      <c r="W78" s="40"/>
      <c r="X78" s="40"/>
      <c r="Y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V78" s="40"/>
    </row>
    <row r="79" spans="14:49" ht="15" customHeight="1">
      <c r="N79" s="44"/>
      <c r="O79" s="44"/>
      <c r="P79" s="40"/>
      <c r="Q79" s="40"/>
      <c r="R79" s="40"/>
      <c r="S79" s="40"/>
      <c r="T79" s="40"/>
      <c r="U79" s="40"/>
      <c r="W79" s="40"/>
      <c r="X79" s="40"/>
      <c r="Y79" s="40"/>
      <c r="AC79" s="39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V79" s="40"/>
    </row>
    <row r="80" spans="14:49">
      <c r="N80" s="44"/>
      <c r="O80" s="44"/>
      <c r="P80" s="40"/>
      <c r="Q80" s="40"/>
      <c r="R80" s="40"/>
      <c r="S80" s="40"/>
      <c r="T80" s="40"/>
      <c r="U80" s="40"/>
      <c r="W80" s="40"/>
      <c r="X80" s="40"/>
      <c r="Y80" s="40"/>
      <c r="AC80" s="39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W80" s="40"/>
    </row>
    <row r="81" spans="14:49" ht="15" customHeight="1">
      <c r="N81" s="44"/>
      <c r="O81" s="44"/>
      <c r="P81" s="40"/>
      <c r="Q81" s="40"/>
      <c r="R81" s="40"/>
      <c r="S81" s="40"/>
      <c r="T81" s="40"/>
      <c r="U81" s="40"/>
      <c r="W81" s="40"/>
      <c r="X81" s="40"/>
      <c r="Y81" s="40"/>
      <c r="AC81" s="39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W81" s="40"/>
    </row>
    <row r="82" spans="14:49" ht="15" customHeight="1">
      <c r="AB82" s="58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W82" s="40"/>
    </row>
    <row r="83" spans="14:49" ht="15" customHeight="1"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W83" s="40"/>
    </row>
    <row r="84" spans="14:49" ht="15" customHeight="1"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W84" s="40"/>
    </row>
    <row r="85" spans="14:49" ht="15" customHeight="1"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W85" s="40"/>
    </row>
    <row r="86" spans="14:49" ht="15" customHeight="1"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W86" s="40"/>
    </row>
    <row r="87" spans="14:49" ht="15" customHeight="1"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W87" s="40"/>
    </row>
    <row r="88" spans="14:49" ht="15" customHeight="1"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W88" s="40"/>
    </row>
    <row r="89" spans="14:49" ht="15" customHeight="1"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W89" s="40"/>
    </row>
    <row r="90" spans="14:49" ht="15" customHeight="1"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W90" s="40"/>
    </row>
    <row r="91" spans="14:49" ht="15" customHeight="1"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W91" s="40"/>
    </row>
    <row r="92" spans="14:49" ht="15" customHeight="1"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W92" s="40"/>
    </row>
    <row r="93" spans="14:49" ht="15" customHeight="1"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W93" s="40"/>
    </row>
    <row r="94" spans="14:49" ht="15" customHeight="1"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W94" s="40"/>
    </row>
    <row r="95" spans="14:49" ht="15" customHeight="1"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W95" s="40"/>
    </row>
    <row r="96" spans="14:49" ht="15" customHeight="1"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W96" s="40"/>
    </row>
    <row r="97" spans="34:49" ht="15" customHeight="1"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W97" s="40"/>
    </row>
    <row r="98" spans="34:49" ht="15.75" customHeight="1"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W98" s="40"/>
    </row>
    <row r="99" spans="34:49"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W99" s="40"/>
    </row>
    <row r="100" spans="34:49"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W100" s="40"/>
    </row>
    <row r="101" spans="34:49"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W101" s="40"/>
    </row>
    <row r="102" spans="34:49" ht="15" customHeight="1"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W102" s="40"/>
    </row>
    <row r="103" spans="34:49"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</row>
    <row r="104" spans="34:49">
      <c r="AR104" s="60"/>
      <c r="AS104" s="60"/>
      <c r="AT104" s="60"/>
      <c r="AU104" s="60"/>
    </row>
  </sheetData>
  <dataConsolidate topLabels="1">
    <dataRefs count="1">
      <dataRef ref="C8:D86" sheet="AHU 1" r:id="rId1"/>
    </dataRefs>
  </dataConsolidate>
  <mergeCells count="6">
    <mergeCell ref="AW47:BM50"/>
    <mergeCell ref="K5:R5"/>
    <mergeCell ref="S5:AJ5"/>
    <mergeCell ref="Z4:AA4"/>
    <mergeCell ref="B5:H5"/>
    <mergeCell ref="AW6:BM6"/>
  </mergeCells>
  <phoneticPr fontId="9" type="noConversion"/>
  <conditionalFormatting sqref="AR7:AR17">
    <cfRule type="cellIs" dxfId="3" priority="2" operator="greaterThan">
      <formula>$Y$4</formula>
    </cfRule>
  </conditionalFormatting>
  <conditionalFormatting sqref="AP7:AQ7">
    <cfRule type="cellIs" dxfId="2" priority="1" operator="greaterThan">
      <formula>$Y$4</formula>
    </cfRule>
  </conditionalFormatting>
  <dataValidations disablePrompts="1" count="4">
    <dataValidation type="whole" operator="greaterThan" allowBlank="1" showInputMessage="1" showErrorMessage="1" sqref="AN7:AO17" xr:uid="{2C826603-EAFD-4AAE-9F20-882A4446A8AE}">
      <formula1>-1</formula1>
    </dataValidation>
    <dataValidation type="whole" operator="greaterThan" allowBlank="1" showInputMessage="1" showErrorMessage="1" sqref="E7:E17" xr:uid="{B3A111F1-8A33-4C11-913E-140CC35EA048}">
      <formula1>1</formula1>
    </dataValidation>
    <dataValidation type="decimal" operator="greaterThan" allowBlank="1" showInputMessage="1" showErrorMessage="1" sqref="F7:F17" xr:uid="{C2C84CC5-1E8B-47D7-B43F-6797E0635F46}">
      <formula1>1</formula1>
    </dataValidation>
    <dataValidation type="whole" operator="greaterThan" allowBlank="1" showInputMessage="1" showErrorMessage="1" sqref="AM7:AM17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K7:K9 K11:K17</xm:sqref>
        </x14:dataValidation>
        <x14:dataValidation type="list" allowBlank="1" showInputMessage="1" showErrorMessage="1" promptTitle="Title" prompt="Input message" xr:uid="{62996145-9E5E-4432-B588-A9DC5E8F9CCD}">
          <x14:formula1>
            <xm:f>'UMC Table 4-A'!$A$1:$A$127</xm:f>
          </x14:formula1>
          <xm:sqref>K10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S7:S17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U7:U17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D41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13" sqref="A9:I13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6">
      <c r="A1" s="319" t="s">
        <v>131</v>
      </c>
      <c r="B1" s="320"/>
      <c r="C1" s="320"/>
      <c r="D1" s="320"/>
      <c r="E1" s="320"/>
      <c r="F1" s="320"/>
      <c r="G1" s="320"/>
      <c r="H1" s="321" t="s">
        <v>132</v>
      </c>
      <c r="I1" s="322"/>
      <c r="J1" s="322"/>
      <c r="K1" s="322"/>
      <c r="L1" s="322"/>
      <c r="M1" s="322"/>
      <c r="N1" s="322"/>
      <c r="O1" s="322"/>
      <c r="P1" s="322"/>
      <c r="Q1" s="322"/>
      <c r="R1" s="322"/>
      <c r="S1" s="322"/>
      <c r="T1" s="322"/>
      <c r="U1" s="322"/>
      <c r="V1" s="322"/>
      <c r="W1" s="322"/>
      <c r="X1" s="322"/>
      <c r="Y1" s="322"/>
      <c r="Z1" s="322"/>
      <c r="AA1" s="322"/>
      <c r="AB1" s="322"/>
      <c r="AC1" s="322"/>
    </row>
    <row r="2" spans="1:56" s="13" customFormat="1" ht="63">
      <c r="A2" s="75" t="s">
        <v>133</v>
      </c>
      <c r="B2" s="76" t="s">
        <v>134</v>
      </c>
      <c r="C2" s="76" t="s">
        <v>135</v>
      </c>
      <c r="D2" s="77" t="s">
        <v>136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33</v>
      </c>
      <c r="O2" s="78" t="s">
        <v>34</v>
      </c>
      <c r="P2" s="78" t="s">
        <v>35</v>
      </c>
      <c r="Q2" s="79" t="s">
        <v>36</v>
      </c>
      <c r="R2" s="79" t="s">
        <v>37</v>
      </c>
      <c r="S2" s="79" t="s">
        <v>38</v>
      </c>
      <c r="T2" s="89" t="s">
        <v>141</v>
      </c>
      <c r="U2" s="89" t="s">
        <v>142</v>
      </c>
      <c r="V2" s="89" t="s">
        <v>143</v>
      </c>
      <c r="W2" s="89" t="s">
        <v>39</v>
      </c>
      <c r="X2" s="89" t="s">
        <v>144</v>
      </c>
      <c r="Y2" s="89" t="s">
        <v>40</v>
      </c>
      <c r="Z2" s="89" t="s">
        <v>145</v>
      </c>
      <c r="AA2" s="78" t="s">
        <v>41</v>
      </c>
      <c r="AB2" s="78" t="s">
        <v>42</v>
      </c>
      <c r="AC2" s="77" t="s">
        <v>43</v>
      </c>
      <c r="AD2" s="79" t="s">
        <v>146</v>
      </c>
      <c r="AE2" s="79" t="s">
        <v>147</v>
      </c>
      <c r="AF2" s="79" t="s">
        <v>148</v>
      </c>
      <c r="AG2" s="77" t="s">
        <v>149</v>
      </c>
      <c r="AH2" s="80" t="s">
        <v>48</v>
      </c>
      <c r="AI2" s="81" t="s">
        <v>150</v>
      </c>
      <c r="AL2" s="130" t="s">
        <v>9</v>
      </c>
      <c r="AM2" s="130" t="s">
        <v>58</v>
      </c>
      <c r="AN2" s="130" t="s">
        <v>59</v>
      </c>
      <c r="AO2" s="130" t="s">
        <v>151</v>
      </c>
      <c r="AP2" s="130" t="s">
        <v>152</v>
      </c>
      <c r="AQ2" s="130" t="s">
        <v>153</v>
      </c>
      <c r="AR2" s="130" t="s">
        <v>154</v>
      </c>
      <c r="AS2" s="130" t="s">
        <v>155</v>
      </c>
      <c r="AT2" s="130" t="s">
        <v>63</v>
      </c>
      <c r="AU2" s="130" t="s">
        <v>64</v>
      </c>
      <c r="AV2" s="130" t="s">
        <v>65</v>
      </c>
      <c r="AW2" s="130" t="s">
        <v>66</v>
      </c>
      <c r="AX2" s="130" t="s">
        <v>67</v>
      </c>
      <c r="AY2" s="130" t="s">
        <v>68</v>
      </c>
      <c r="AZ2" s="130" t="s">
        <v>3</v>
      </c>
      <c r="BA2" s="130" t="s">
        <v>69</v>
      </c>
      <c r="BB2" s="130" t="s">
        <v>70</v>
      </c>
      <c r="BC2" s="130" t="s">
        <v>71</v>
      </c>
      <c r="BD2" s="130" t="s">
        <v>72</v>
      </c>
    </row>
    <row r="3" spans="1:56" ht="17.25">
      <c r="A3" s="123" t="s">
        <v>156</v>
      </c>
      <c r="B3" s="123">
        <v>102</v>
      </c>
      <c r="C3" s="123" t="s">
        <v>157</v>
      </c>
      <c r="D3" s="123">
        <v>900</v>
      </c>
      <c r="E3" s="123">
        <v>4</v>
      </c>
      <c r="F3" s="144">
        <f>IF((VLOOKUP(Ahu_Ashrae_sheet15[[#This Row],[Occupancy Category]],Ashrae90.1Vent[#All],7,FALSE)) = "YES",MROUND(D3/2,5),MROUND(D3,5))</f>
        <v>450</v>
      </c>
      <c r="G3" s="123">
        <v>650</v>
      </c>
      <c r="H3" s="123" t="s">
        <v>85</v>
      </c>
      <c r="I3" s="123" t="s">
        <v>158</v>
      </c>
      <c r="J3" s="125">
        <f>VLOOKUP(Ahu_Ashrae_sheet15[[#This Row],[Occupancy Category]],Ashrae90.1Vent[#All],2,FALSE)</f>
        <v>0</v>
      </c>
      <c r="K3" s="125">
        <f>VLOOKUP(Ahu_Ashrae_sheet15[[#This Row],[Occupancy Category]],Ashrae90.1Vent[#All],3,FALSE)</f>
        <v>0</v>
      </c>
      <c r="L3" s="125">
        <f>VLOOKUP(Ahu_Ashrae_sheet15[[#This Row],[Occupancy Category]],Ashrae90.1Vent[#All],4,FALSE)</f>
        <v>0</v>
      </c>
      <c r="M3" s="125">
        <f>VLOOKUP(Ahu_Ashrae_sheet15[[#This Row],[Occupancy Category]],Ashrae90.1Vent[#All],5,FALSE)</f>
        <v>2</v>
      </c>
      <c r="N3" s="123">
        <f>Ahu_Ashrae_sheet15[[#This Row],[Occupants (Pz)]]</f>
        <v>0</v>
      </c>
      <c r="O3" s="125">
        <f>CEILING((L3/1000)*D3,1)</f>
        <v>0</v>
      </c>
      <c r="P3" s="125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3" s="126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R3" s="127">
        <f>IF(Ahu_Ashrae_sheet15[[#This Row],[DIVERSITY (D)]]&lt;0.6,(0.88*Ahu_Ashrae_sheet15[[#This Row],[DIVERSITY (D)]]+0.22),0.75)</f>
        <v>0.75</v>
      </c>
      <c r="S3" s="126">
        <f>Ahu_Ashrae_sheet15[[#This Row],[Uncorrected OA (Vou)]]/Ahu_Ashrae_sheet15[[#This Row],[System Efficiency (Ev)]]</f>
        <v>0</v>
      </c>
      <c r="T3" s="126">
        <f>(Ahu_Ashrae_sheet15[[#This Row],[RP
(CFM/PER PERSON)]]*Ahu_Ashrae_sheet15[[#This Row],[Occupants (Pz)]])+(Ahu_Ashrae_sheet15[[#This Row],[RA
(CFM/FT²)]]*Ahu_Ashrae_sheet15[[#This Row],[AREA (FT²)]])</f>
        <v>0</v>
      </c>
      <c r="U3" s="123">
        <v>0.8</v>
      </c>
      <c r="V3" s="126">
        <f>Ahu_Ashrae_sheet15[[#This Row],[Breathing Zone OA (Vbz)]]/Ahu_Ashrae_sheet15[[#This Row],[Zone Efficiency (Ez)]]</f>
        <v>0</v>
      </c>
      <c r="W3" s="123" t="s">
        <v>57</v>
      </c>
      <c r="X3" s="126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Y3" s="126" t="str">
        <f>VLOOKUP(Ahu_Ashrae_sheet15[[#This Row],[Occupancy Category]],Ashrae90.1Vent[#All],6,FALSE)</f>
        <v>NO</v>
      </c>
      <c r="Z3" s="126">
        <f>IF(Ahu_Ashrae_sheet15[[#This Row],[OS]]="YES",0,Ahu_Ashrae_sheet15[[#This Row],[RA
(CFM/FT²)]]*Ahu_Ashrae_sheet15[[#This Row],[AREA (FT²)]])</f>
        <v>0</v>
      </c>
      <c r="AA3" s="126">
        <f>IF(Ahu_Ashrae_sheet15[[#This Row],[Exhaust Category]]="NOT APPLICABLE","NA",VLOOKUP(Ahu_Ashrae_sheet15[[#This Row],[Exhaust Category]],ASHRAE_EA_Table[#All],2,FALSE))</f>
        <v>50</v>
      </c>
      <c r="AB3" s="126">
        <f>IF(Ahu_Ashrae_sheet15[[#This Row],[Exhaust Category]]="NOT APPLICABLE","NA",VLOOKUP(Ahu_Ashrae_sheet15[[#This Row],[Exhaust Category]],ASHRAE_EA_Table[#All],3,FALSE))</f>
        <v>0</v>
      </c>
      <c r="AC3" s="125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D3" s="126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195</v>
      </c>
      <c r="AE3" s="123">
        <f>IF(Ahu_Ashrae_sheet15[[#This Row],[MIN ASHRAE EA
(CFM)]]=0,MAX(Ahu_Ashrae_sheet15[[#This Row],[LOAD (CFM)]],Ahu_Ashrae_sheet15[[#This Row],[OFFICE STANDARD 
(CFM)]]),Ahu_Ashrae_sheet15[[#This Row],[DESIGN EA(CFM)]]-100)</f>
        <v>650</v>
      </c>
      <c r="AF3" s="123">
        <f>IF(Ahu_Ashrae_sheet15[[#This Row],[MIN ASHRAE EA
(CFM)]]=0,Ahu_Ashrae_sheet15[[#This Row],[DESIGN VAV MAX SA(CFM)]],0)</f>
        <v>0</v>
      </c>
      <c r="AG3" s="123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750</v>
      </c>
      <c r="AH3" s="126">
        <f>Ahu_Ashrae_sheet15[[#This Row],[DESIGN VAV MAX SA(CFM)]]-Ahu_Ashrae_sheet15[[#This Row],[DESIGN RA (CFM)]]-Ahu_Ashrae_sheet15[[#This Row],[DESIGN EA(CFM)]]</f>
        <v>-100</v>
      </c>
      <c r="AI3" s="82">
        <f>Ahu_Ashrae_sheet15[[#This Row],[OUTSIDE AIRFLOW (CFM) (Vot)]]/Ahu_Ashrae_sheet15[[#This Row],[DESIGN VAV MAX SA(CFM)]]</f>
        <v>0</v>
      </c>
      <c r="AL3" s="145" t="s">
        <v>156</v>
      </c>
      <c r="AM3" s="145" t="s">
        <v>75</v>
      </c>
      <c r="AN3" s="145" t="s">
        <v>76</v>
      </c>
      <c r="AO3" s="146">
        <f>SUMIF(Ahu_Ashrae_sheet15[Zone],AHU1_CAV_SCHEDULE4451416[[#This Row],[ZONE]],Ahu_Ashrae_sheet15[DESIGN VAV MIN SA(CFM)])</f>
        <v>410</v>
      </c>
      <c r="AP3" s="145">
        <f>SUMIF(Ahu_Ashrae_sheet15[Zone],AHU1_CAV_SCHEDULE4451416[[#This Row],[ZONE]],Ahu_Ashrae_sheet15[DESIGN VAV MAX SA(CFM)])</f>
        <v>950</v>
      </c>
      <c r="AQ3" s="147">
        <f>IFERROR((VLOOKUP(AHU1_CAV_SCHEDULE4451416[[#This Row],[MAX VAV
(CFM)]],'DO NOT TOUCH'!$B$9:$C$14,2,TRUE)),"TBD")</f>
        <v>10</v>
      </c>
      <c r="AR3" s="147">
        <v>0.5</v>
      </c>
      <c r="AS3" s="147">
        <f>AHU1_CAV_SCHEDULE4451416[[#This Row],[MIN VAV
(CFM)]]</f>
        <v>410</v>
      </c>
      <c r="AT3" s="147">
        <f>INPUT_OUTPUTS!$C$16</f>
        <v>140</v>
      </c>
      <c r="AU3" s="147">
        <f>INPUT_OUTPUTS!$C$17</f>
        <v>100</v>
      </c>
      <c r="AV3" s="147">
        <v>55</v>
      </c>
      <c r="AW3" s="147">
        <v>80</v>
      </c>
      <c r="AX3" s="147">
        <f>MROUND((1.08*(AW3-AV3)*AHU1_CAV_SCHEDULE4451416[[#This Row],[HEATING AIRFLOW 
(CFM)]])/1000,0.1)</f>
        <v>11.100000000000001</v>
      </c>
      <c r="AY3" s="148">
        <f>(AX3*1000)/(500*(AT3-AU3))</f>
        <v>0.55500000000000005</v>
      </c>
      <c r="AZ3" s="148">
        <f>IF(AY3&lt;0.5,0.5,AY3)</f>
        <v>0.55500000000000005</v>
      </c>
      <c r="BA3" s="148">
        <v>5</v>
      </c>
      <c r="BB3" s="148">
        <f>IFERROR((_xlfn.XLOOKUP(AQ3,'DO NOT TOUCH'!$C$9:$C$14,'DO NOT TOUCH'!$D$9:$D$14,)),"TBD")</f>
        <v>35</v>
      </c>
      <c r="BC3" s="148">
        <f>INPUT_OUTPUTS!$C$19</f>
        <v>0</v>
      </c>
      <c r="BD3" s="147" t="s">
        <v>77</v>
      </c>
    </row>
    <row r="4" spans="1:56" ht="17.25">
      <c r="A4" s="123" t="s">
        <v>156</v>
      </c>
      <c r="B4" s="123">
        <v>103</v>
      </c>
      <c r="C4" s="123" t="s">
        <v>159</v>
      </c>
      <c r="D4" s="123">
        <v>300</v>
      </c>
      <c r="E4" s="123">
        <v>0</v>
      </c>
      <c r="F4" s="144">
        <f>IF((VLOOKUP(Ahu_Ashrae_sheet15[[#This Row],[Occupancy Category]],Ashrae90.1Vent[#All],7,FALSE)) = "YES",MROUND(D4/2,5),MROUND(D4,5))</f>
        <v>300</v>
      </c>
      <c r="G4" s="123">
        <v>280</v>
      </c>
      <c r="H4" s="123" t="s">
        <v>56</v>
      </c>
      <c r="I4" s="123" t="s">
        <v>160</v>
      </c>
      <c r="J4" s="125">
        <f>VLOOKUP(Ahu_Ashrae_sheet15[[#This Row],[Occupancy Category]],Ashrae90.1Vent[#All],2,FALSE)</f>
        <v>10</v>
      </c>
      <c r="K4" s="125">
        <f>VLOOKUP(Ahu_Ashrae_sheet15[[#This Row],[Occupancy Category]],Ashrae90.1Vent[#All],3,FALSE)</f>
        <v>0.18</v>
      </c>
      <c r="L4" s="125">
        <f>VLOOKUP(Ahu_Ashrae_sheet15[[#This Row],[Occupancy Category]],Ashrae90.1Vent[#All],4,FALSE)</f>
        <v>20</v>
      </c>
      <c r="M4" s="125">
        <f>VLOOKUP(Ahu_Ashrae_sheet15[[#This Row],[Occupancy Category]],Ashrae90.1Vent[#All],5,FALSE)</f>
        <v>3</v>
      </c>
      <c r="N4" s="123">
        <f>Ahu_Ashrae_sheet15[[#This Row],[Occupants (Pz)]]</f>
        <v>6</v>
      </c>
      <c r="O4" s="125">
        <f>CEILING((L4/1000)*D4,1)</f>
        <v>6</v>
      </c>
      <c r="P4" s="125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4" s="126">
        <f>(Ahu_Ashrae_sheet15[[#This Row],[DIVERSITY (D)]]*Ahu_Ashrae_sheet15[[#This Row],[RP
(CFM/PER PERSON)]]*Ahu_Ashrae_sheet15[[#This Row],[Occupants (Pz)]])+(Ahu_Ashrae_sheet15[[#This Row],[RA
(CFM/FT²)]]*Ahu_Ashrae_sheet15[[#This Row],[AREA (FT²)]])</f>
        <v>114</v>
      </c>
      <c r="R4" s="127">
        <f>IF(Ahu_Ashrae_sheet15[[#This Row],[DIVERSITY (D)]]&lt;0.6,(0.88*Ahu_Ashrae_sheet15[[#This Row],[DIVERSITY (D)]]+0.22),0.75)</f>
        <v>0.75</v>
      </c>
      <c r="S4" s="126">
        <f>Ahu_Ashrae_sheet15[[#This Row],[Uncorrected OA (Vou)]]/Ahu_Ashrae_sheet15[[#This Row],[System Efficiency (Ev)]]</f>
        <v>152</v>
      </c>
      <c r="T4" s="126">
        <f>(Ahu_Ashrae_sheet15[[#This Row],[RP
(CFM/PER PERSON)]]*Ahu_Ashrae_sheet15[[#This Row],[Occupants (Pz)]])+(Ahu_Ashrae_sheet15[[#This Row],[RA
(CFM/FT²)]]*Ahu_Ashrae_sheet15[[#This Row],[AREA (FT²)]])</f>
        <v>114</v>
      </c>
      <c r="U4" s="123">
        <v>0.8</v>
      </c>
      <c r="V4" s="126">
        <f>Ahu_Ashrae_sheet15[[#This Row],[Breathing Zone OA (Vbz)]]/Ahu_Ashrae_sheet15[[#This Row],[Zone Efficiency (Ez)]]</f>
        <v>142.5</v>
      </c>
      <c r="W4" s="123" t="s">
        <v>57</v>
      </c>
      <c r="X4" s="126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Y4" s="126" t="str">
        <f>VLOOKUP(Ahu_Ashrae_sheet15[[#This Row],[Occupancy Category]],Ashrae90.1Vent[#All],6,FALSE)</f>
        <v>NO</v>
      </c>
      <c r="Z4" s="126">
        <f>IF(Ahu_Ashrae_sheet15[[#This Row],[OS]]="YES",0,Ahu_Ashrae_sheet15[[#This Row],[RA
(CFM/FT²)]]*Ahu_Ashrae_sheet15[[#This Row],[AREA (FT²)]])</f>
        <v>54</v>
      </c>
      <c r="AA4" s="126" t="str">
        <f>IF(Ahu_Ashrae_sheet15[[#This Row],[Exhaust Category]]="NOT APPLICABLE","NA",VLOOKUP(Ahu_Ashrae_sheet15[[#This Row],[Exhaust Category]],ASHRAE_EA_Table[#All],2,FALSE))</f>
        <v>NA</v>
      </c>
      <c r="AB4" s="126" t="str">
        <f>IF(Ahu_Ashrae_sheet15[[#This Row],[Exhaust Category]]="NOT APPLICABLE","NA",VLOOKUP(Ahu_Ashrae_sheet15[[#This Row],[Exhaust Category]],ASHRAE_EA_Table[#All],3,FALSE))</f>
        <v>NA</v>
      </c>
      <c r="AC4" s="125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4" s="126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E4" s="123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F4" s="123">
        <f>IF(Ahu_Ashrae_sheet15[[#This Row],[MIN ASHRAE EA
(CFM)]]=0,Ahu_Ashrae_sheet15[[#This Row],[DESIGN VAV MAX SA(CFM)]],0)</f>
        <v>300</v>
      </c>
      <c r="AG4" s="123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4" s="126">
        <f>Ahu_Ashrae_sheet15[[#This Row],[DESIGN VAV MAX SA(CFM)]]-Ahu_Ashrae_sheet15[[#This Row],[DESIGN RA (CFM)]]-Ahu_Ashrae_sheet15[[#This Row],[DESIGN EA(CFM)]]</f>
        <v>0</v>
      </c>
      <c r="AI4" s="82">
        <f>Ahu_Ashrae_sheet15[[#This Row],[OUTSIDE AIRFLOW (CFM) (Vot)]]/Ahu_Ashrae_sheet15[[#This Row],[DESIGN VAV MAX SA(CFM)]]</f>
        <v>0.50666666666666671</v>
      </c>
      <c r="AL4" s="145" t="s">
        <v>161</v>
      </c>
      <c r="AM4" s="145" t="s">
        <v>75</v>
      </c>
      <c r="AN4" s="145" t="s">
        <v>76</v>
      </c>
      <c r="AO4" s="146">
        <f>SUMIF(Ahu_Ashrae_sheet15[Zone],AHU1_CAV_SCHEDULE4451416[[#This Row],[ZONE]],Ahu_Ashrae_sheet15[DESIGN VAV MIN SA(CFM)])</f>
        <v>0</v>
      </c>
      <c r="AP4" s="145">
        <f>SUMIF(Ahu_Ashrae_sheet15[Zone],AHU1_CAV_SCHEDULE4451416[[#This Row],[ZONE]],Ahu_Ashrae_sheet15[DESIGN VAV MAX SA(CFM)])</f>
        <v>0</v>
      </c>
      <c r="AQ4" s="147" t="str">
        <f>IFERROR((VLOOKUP(AHU1_CAV_SCHEDULE4451416[[#This Row],[MAX VAV
(CFM)]],'DO NOT TOUCH'!$B$9:$C$14,2,TRUE)),"TBD")</f>
        <v>TBD</v>
      </c>
      <c r="AR4" s="147">
        <f>AR3</f>
        <v>0.5</v>
      </c>
      <c r="AS4" s="147">
        <f>AHU1_CAV_SCHEDULE4451416[[#This Row],[MIN VAV
(CFM)]]</f>
        <v>0</v>
      </c>
      <c r="AT4" s="147">
        <f>INPUT_OUTPUTS!$C$16</f>
        <v>140</v>
      </c>
      <c r="AU4" s="147">
        <f>INPUT_OUTPUTS!$C$17</f>
        <v>100</v>
      </c>
      <c r="AV4" s="147">
        <f t="shared" ref="AV4:AW19" si="0">AV3</f>
        <v>55</v>
      </c>
      <c r="AW4" s="147">
        <f t="shared" si="0"/>
        <v>80</v>
      </c>
      <c r="AX4" s="147">
        <f>MROUND((1.08*(AW4-AV4)*AHU1_CAV_SCHEDULE4451416[[#This Row],[HEATING AIRFLOW 
(CFM)]])/1000,0.1)</f>
        <v>0</v>
      </c>
      <c r="AY4" s="148">
        <f>(AX4*1000)/(500*(AT4-AU4))</f>
        <v>0</v>
      </c>
      <c r="AZ4" s="148">
        <f t="shared" ref="AZ4:AZ40" si="1">IF(AY4&lt;0.5,0.5,AY4)</f>
        <v>0.5</v>
      </c>
      <c r="BA4" s="148">
        <f>BA3</f>
        <v>5</v>
      </c>
      <c r="BB4" s="148" t="str">
        <f>IFERROR((_xlfn.XLOOKUP(AQ4,'DO NOT TOUCH'!$C$9:$C$14,'DO NOT TOUCH'!$D$9:$D$14,)),"TBD")</f>
        <v>TBD</v>
      </c>
      <c r="BC4" s="148">
        <f>INPUT_OUTPUTS!$C$19</f>
        <v>0</v>
      </c>
      <c r="BD4" s="147" t="str">
        <f>BD3</f>
        <v>1, 2</v>
      </c>
    </row>
    <row r="5" spans="1:56" ht="17.25">
      <c r="A5" s="123" t="s">
        <v>162</v>
      </c>
      <c r="B5" s="123">
        <v>104</v>
      </c>
      <c r="C5" s="123" t="s">
        <v>163</v>
      </c>
      <c r="D5" s="123">
        <v>1200</v>
      </c>
      <c r="E5" s="123">
        <v>0</v>
      </c>
      <c r="F5" s="144">
        <f>IF((VLOOKUP(Ahu_Ashrae_sheet15[[#This Row],[Occupancy Category]],Ashrae90.1Vent[#All],7,FALSE)) = "YES",MROUND(D5/2,5),MROUND(D5,5))</f>
        <v>1200</v>
      </c>
      <c r="G5" s="123">
        <v>150</v>
      </c>
      <c r="H5" s="123" t="s">
        <v>56</v>
      </c>
      <c r="I5" s="123" t="s">
        <v>164</v>
      </c>
      <c r="J5" s="125">
        <f>VLOOKUP(Ahu_Ashrae_sheet15[[#This Row],[Occupancy Category]],Ashrae90.1Vent[#All],2,FALSE)</f>
        <v>5</v>
      </c>
      <c r="K5" s="125">
        <f>VLOOKUP(Ahu_Ashrae_sheet15[[#This Row],[Occupancy Category]],Ashrae90.1Vent[#All],3,FALSE)</f>
        <v>0.12</v>
      </c>
      <c r="L5" s="125">
        <f>VLOOKUP(Ahu_Ashrae_sheet15[[#This Row],[Occupancy Category]],Ashrae90.1Vent[#All],4,FALSE)</f>
        <v>10</v>
      </c>
      <c r="M5" s="125">
        <f>VLOOKUP(Ahu_Ashrae_sheet15[[#This Row],[Occupancy Category]],Ashrae90.1Vent[#All],5,FALSE)</f>
        <v>0</v>
      </c>
      <c r="N5" s="123">
        <f>Ahu_Ashrae_sheet15[[#This Row],[Occupants (Pz)]]</f>
        <v>12</v>
      </c>
      <c r="O5" s="125">
        <f>CEILING((L5/1000)*D5,1)</f>
        <v>12</v>
      </c>
      <c r="P5" s="125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5" s="126">
        <f>(Ahu_Ashrae_sheet15[[#This Row],[DIVERSITY (D)]]*Ahu_Ashrae_sheet15[[#This Row],[RP
(CFM/PER PERSON)]]*Ahu_Ashrae_sheet15[[#This Row],[Occupants (Pz)]])+(Ahu_Ashrae_sheet15[[#This Row],[RA
(CFM/FT²)]]*Ahu_Ashrae_sheet15[[#This Row],[AREA (FT²)]])</f>
        <v>204</v>
      </c>
      <c r="R5" s="127">
        <f>IF(Ahu_Ashrae_sheet15[[#This Row],[DIVERSITY (D)]]&lt;0.6,(0.88*Ahu_Ashrae_sheet15[[#This Row],[DIVERSITY (D)]]+0.22),0.75)</f>
        <v>0.75</v>
      </c>
      <c r="S5" s="126">
        <f>Ahu_Ashrae_sheet15[[#This Row],[Uncorrected OA (Vou)]]/Ahu_Ashrae_sheet15[[#This Row],[System Efficiency (Ev)]]</f>
        <v>272</v>
      </c>
      <c r="T5" s="126">
        <f>(Ahu_Ashrae_sheet15[[#This Row],[RP
(CFM/PER PERSON)]]*Ahu_Ashrae_sheet15[[#This Row],[Occupants (Pz)]])+(Ahu_Ashrae_sheet15[[#This Row],[RA
(CFM/FT²)]]*Ahu_Ashrae_sheet15[[#This Row],[AREA (FT²)]])</f>
        <v>204</v>
      </c>
      <c r="U5" s="123">
        <v>0.8</v>
      </c>
      <c r="V5" s="126">
        <f>Ahu_Ashrae_sheet15[[#This Row],[Breathing Zone OA (Vbz)]]/Ahu_Ashrae_sheet15[[#This Row],[Zone Efficiency (Ez)]]</f>
        <v>255</v>
      </c>
      <c r="W5" s="123" t="s">
        <v>57</v>
      </c>
      <c r="X5" s="126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Y5" s="126" t="str">
        <f>VLOOKUP(Ahu_Ashrae_sheet15[[#This Row],[Occupancy Category]],Ashrae90.1Vent[#All],6,FALSE)</f>
        <v>NO</v>
      </c>
      <c r="Z5" s="126">
        <f>IF(Ahu_Ashrae_sheet15[[#This Row],[OS]]="YES",0,Ahu_Ashrae_sheet15[[#This Row],[RA
(CFM/FT²)]]*Ahu_Ashrae_sheet15[[#This Row],[AREA (FT²)]])</f>
        <v>144</v>
      </c>
      <c r="AA5" s="126" t="str">
        <f>IF(Ahu_Ashrae_sheet15[[#This Row],[Exhaust Category]]="NOT APPLICABLE","NA",VLOOKUP(Ahu_Ashrae_sheet15[[#This Row],[Exhaust Category]],ASHRAE_EA_Table[#All],2,FALSE))</f>
        <v>NA</v>
      </c>
      <c r="AB5" s="126" t="str">
        <f>IF(Ahu_Ashrae_sheet15[[#This Row],[Exhaust Category]]="NOT APPLICABLE","NA",VLOOKUP(Ahu_Ashrae_sheet15[[#This Row],[Exhaust Category]],ASHRAE_EA_Table[#All],3,FALSE))</f>
        <v>NA</v>
      </c>
      <c r="AC5" s="125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5" s="126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E5" s="123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F5" s="123">
        <f>IF(Ahu_Ashrae_sheet15[[#This Row],[MIN ASHRAE EA
(CFM)]]=0,Ahu_Ashrae_sheet15[[#This Row],[DESIGN VAV MAX SA(CFM)]],0)</f>
        <v>1200</v>
      </c>
      <c r="AG5" s="123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5" s="126">
        <f>Ahu_Ashrae_sheet15[[#This Row],[DESIGN VAV MAX SA(CFM)]]-Ahu_Ashrae_sheet15[[#This Row],[DESIGN RA (CFM)]]-Ahu_Ashrae_sheet15[[#This Row],[DESIGN EA(CFM)]]</f>
        <v>0</v>
      </c>
      <c r="AI5" s="82">
        <f>Ahu_Ashrae_sheet15[[#This Row],[OUTSIDE AIRFLOW (CFM) (Vot)]]/Ahu_Ashrae_sheet15[[#This Row],[DESIGN VAV MAX SA(CFM)]]</f>
        <v>0.22666666666666666</v>
      </c>
      <c r="AL5" s="145" t="s">
        <v>162</v>
      </c>
      <c r="AM5" s="145" t="s">
        <v>75</v>
      </c>
      <c r="AN5" s="145" t="s">
        <v>76</v>
      </c>
      <c r="AO5" s="146">
        <f>SUMIF(Ahu_Ashrae_sheet15[Zone],AHU1_CAV_SCHEDULE4451416[[#This Row],[ZONE]],Ahu_Ashrae_sheet15[DESIGN VAV MIN SA(CFM)])</f>
        <v>385</v>
      </c>
      <c r="AP5" s="145">
        <f>SUMIF(Ahu_Ashrae_sheet15[Zone],AHU1_CAV_SCHEDULE4451416[[#This Row],[ZONE]],Ahu_Ashrae_sheet15[DESIGN VAV MAX SA(CFM)])</f>
        <v>1200</v>
      </c>
      <c r="AQ5" s="147">
        <f>IFERROR((VLOOKUP(AHU1_CAV_SCHEDULE4451416[[#This Row],[MAX VAV
(CFM)]],'DO NOT TOUCH'!$B$9:$C$14,2,TRUE)),"TBD")</f>
        <v>12</v>
      </c>
      <c r="AR5" s="147">
        <f t="shared" ref="AR5:AR40" si="2">AR4</f>
        <v>0.5</v>
      </c>
      <c r="AS5" s="147">
        <f>AHU1_CAV_SCHEDULE4451416[[#This Row],[MIN VAV
(CFM)]]</f>
        <v>385</v>
      </c>
      <c r="AT5" s="147">
        <f>INPUT_OUTPUTS!$C$16</f>
        <v>140</v>
      </c>
      <c r="AU5" s="147">
        <f>INPUT_OUTPUTS!$C$17</f>
        <v>100</v>
      </c>
      <c r="AV5" s="147">
        <f t="shared" si="0"/>
        <v>55</v>
      </c>
      <c r="AW5" s="147">
        <f t="shared" si="0"/>
        <v>80</v>
      </c>
      <c r="AX5" s="147">
        <f>MROUND((1.08*(AW5-AV5)*AHU1_CAV_SCHEDULE4451416[[#This Row],[HEATING AIRFLOW 
(CFM)]])/1000,0.1)</f>
        <v>10.4</v>
      </c>
      <c r="AY5" s="148">
        <f t="shared" ref="AY5:AY40" si="3">(AX5*1000)/(500*(AT5-AU5))</f>
        <v>0.52</v>
      </c>
      <c r="AZ5" s="148">
        <f t="shared" si="1"/>
        <v>0.52</v>
      </c>
      <c r="BA5" s="148">
        <f t="shared" ref="BA5:BA40" si="4">BA4</f>
        <v>5</v>
      </c>
      <c r="BB5" s="148">
        <f>IFERROR((_xlfn.XLOOKUP(AQ5,'DO NOT TOUCH'!$C$9:$C$14,'DO NOT TOUCH'!$D$9:$D$14,)),"TBD")</f>
        <v>45</v>
      </c>
      <c r="BC5" s="148">
        <f>INPUT_OUTPUTS!$C$19</f>
        <v>0</v>
      </c>
      <c r="BD5" s="147" t="str">
        <f t="shared" ref="BD5:BD40" si="5">BD4</f>
        <v>1, 2</v>
      </c>
    </row>
    <row r="6" spans="1:56" ht="15.75">
      <c r="A6" s="76" t="s">
        <v>165</v>
      </c>
      <c r="B6" s="76"/>
      <c r="C6" s="112">
        <f>SUBTOTAL(103,Ahu_Ashrae_sheet15[Room])</f>
        <v>3</v>
      </c>
      <c r="D6" s="113">
        <f>SUBTOTAL(109,Ahu_Ashrae_sheet15[AREA (FT²)])</f>
        <v>2400</v>
      </c>
      <c r="E6" s="114"/>
      <c r="F6" s="115"/>
      <c r="G6" s="116">
        <f>SUBTOTAL(109,Ahu_Ashrae_sheet15[LOAD (CFM)])</f>
        <v>1080</v>
      </c>
      <c r="H6" s="76"/>
      <c r="I6" s="76"/>
      <c r="J6" s="117"/>
      <c r="K6" s="117"/>
      <c r="L6" s="117"/>
      <c r="M6" s="117"/>
      <c r="N6" s="118">
        <f>SUBTOTAL(109,Ahu_Ashrae_sheet15[Actual Number of  Occupants (Ps)])</f>
        <v>18</v>
      </c>
      <c r="O6" s="118">
        <f>SUBTOTAL(109,Ahu_Ashrae_sheet15[Occupants (Pz)])</f>
        <v>18</v>
      </c>
      <c r="P6" s="118"/>
      <c r="Q6" s="119">
        <f>SUBTOTAL(109,Ahu_Ashrae_sheet15[Uncorrected OA (Vou)])</f>
        <v>318</v>
      </c>
      <c r="R6" s="117"/>
      <c r="S6" s="119">
        <f>SUBTOTAL(109,Ahu_Ashrae_sheet15[OUTSIDE AIRFLOW (CFM) (Vot)])</f>
        <v>424</v>
      </c>
      <c r="T6" s="119"/>
      <c r="U6" s="119"/>
      <c r="V6" s="119"/>
      <c r="W6" s="119"/>
      <c r="X6" s="119"/>
      <c r="Y6" s="119"/>
      <c r="Z6" s="119">
        <f>SUBTOTAL(109,Ahu_Ashrae_sheet15[MIN OA ALLOWABLE (WITH DCV)])</f>
        <v>198</v>
      </c>
      <c r="AA6" s="117"/>
      <c r="AB6" s="117"/>
      <c r="AC6" s="117"/>
      <c r="AD6" s="117"/>
      <c r="AE6" s="119">
        <f>SUBTOTAL(109,Ahu_Ashrae_sheet15[DESIGN VAV MAX SA(CFM)])</f>
        <v>2150</v>
      </c>
      <c r="AF6" s="119">
        <f>SUBTOTAL(109,Ahu_Ashrae_sheet15[DESIGN RA (CFM)])</f>
        <v>1500</v>
      </c>
      <c r="AG6" s="119">
        <f>SUBTOTAL(109,Ahu_Ashrae_sheet15[DESIGN EA(CFM)])</f>
        <v>750</v>
      </c>
      <c r="AH6" s="117"/>
      <c r="AI6" s="88"/>
      <c r="AL6" s="145" t="s">
        <v>166</v>
      </c>
      <c r="AM6" s="145" t="s">
        <v>75</v>
      </c>
      <c r="AN6" s="145" t="s">
        <v>76</v>
      </c>
      <c r="AO6" s="146">
        <f>SUMIF(Ahu_Ashrae_sheet15[Zone],AHU1_CAV_SCHEDULE4451416[[#This Row],[ZONE]],Ahu_Ashrae_sheet15[DESIGN VAV MIN SA(CFM)])</f>
        <v>0</v>
      </c>
      <c r="AP6" s="145">
        <f>SUMIF(Ahu_Ashrae_sheet15[Zone],AHU1_CAV_SCHEDULE4451416[[#This Row],[ZONE]],Ahu_Ashrae_sheet15[DESIGN VAV MAX SA(CFM)])</f>
        <v>0</v>
      </c>
      <c r="AQ6" s="147" t="str">
        <f>IFERROR((VLOOKUP(AHU1_CAV_SCHEDULE4451416[[#This Row],[MAX VAV
(CFM)]],'DO NOT TOUCH'!$B$9:$C$14,2,TRUE)),"TBD")</f>
        <v>TBD</v>
      </c>
      <c r="AR6" s="147">
        <f t="shared" si="2"/>
        <v>0.5</v>
      </c>
      <c r="AS6" s="147">
        <f>AHU1_CAV_SCHEDULE4451416[[#This Row],[MIN VAV
(CFM)]]</f>
        <v>0</v>
      </c>
      <c r="AT6" s="147">
        <f>INPUT_OUTPUTS!$C$16</f>
        <v>140</v>
      </c>
      <c r="AU6" s="147">
        <f>INPUT_OUTPUTS!$C$17</f>
        <v>100</v>
      </c>
      <c r="AV6" s="147">
        <f t="shared" si="0"/>
        <v>55</v>
      </c>
      <c r="AW6" s="147">
        <f t="shared" si="0"/>
        <v>80</v>
      </c>
      <c r="AX6" s="147">
        <f>MROUND((1.08*(AW6-AV6)*AHU1_CAV_SCHEDULE4451416[[#This Row],[HEATING AIRFLOW 
(CFM)]])/1000,0.1)</f>
        <v>0</v>
      </c>
      <c r="AY6" s="148">
        <f t="shared" si="3"/>
        <v>0</v>
      </c>
      <c r="AZ6" s="148">
        <f t="shared" si="1"/>
        <v>0.5</v>
      </c>
      <c r="BA6" s="148">
        <f t="shared" si="4"/>
        <v>5</v>
      </c>
      <c r="BB6" s="148" t="str">
        <f>IFERROR((_xlfn.XLOOKUP(AQ6,'DO NOT TOUCH'!$C$9:$C$14,'DO NOT TOUCH'!$D$9:$D$14,)),"TBD")</f>
        <v>TBD</v>
      </c>
      <c r="BC6" s="148">
        <f>INPUT_OUTPUTS!$C$19</f>
        <v>0</v>
      </c>
      <c r="BD6" s="147" t="str">
        <f t="shared" si="5"/>
        <v>1, 2</v>
      </c>
    </row>
    <row r="7" spans="1:56" ht="15">
      <c r="AL7" s="145" t="s">
        <v>167</v>
      </c>
      <c r="AM7" s="145" t="s">
        <v>75</v>
      </c>
      <c r="AN7" s="145" t="s">
        <v>76</v>
      </c>
      <c r="AO7" s="146">
        <f>SUMIF(Ahu_Ashrae_sheet15[Zone],AHU1_CAV_SCHEDULE4451416[[#This Row],[ZONE]],Ahu_Ashrae_sheet15[DESIGN VAV MIN SA(CFM)])</f>
        <v>0</v>
      </c>
      <c r="AP7" s="145">
        <f>SUMIF(Ahu_Ashrae_sheet15[Zone],AHU1_CAV_SCHEDULE4451416[[#This Row],[ZONE]],Ahu_Ashrae_sheet15[DESIGN VAV MAX SA(CFM)])</f>
        <v>0</v>
      </c>
      <c r="AQ7" s="147" t="str">
        <f>IFERROR((VLOOKUP(AHU1_CAV_SCHEDULE4451416[[#This Row],[MAX VAV
(CFM)]],'DO NOT TOUCH'!$B$9:$C$14,2,TRUE)),"TBD")</f>
        <v>TBD</v>
      </c>
      <c r="AR7" s="147">
        <f t="shared" si="2"/>
        <v>0.5</v>
      </c>
      <c r="AS7" s="147">
        <f>AHU1_CAV_SCHEDULE4451416[[#This Row],[MIN VAV
(CFM)]]</f>
        <v>0</v>
      </c>
      <c r="AT7" s="147">
        <f>INPUT_OUTPUTS!$C$16</f>
        <v>140</v>
      </c>
      <c r="AU7" s="147">
        <f>INPUT_OUTPUTS!$C$17</f>
        <v>100</v>
      </c>
      <c r="AV7" s="147">
        <f t="shared" si="0"/>
        <v>55</v>
      </c>
      <c r="AW7" s="147">
        <f t="shared" si="0"/>
        <v>80</v>
      </c>
      <c r="AX7" s="147">
        <f>MROUND((1.08*(AW7-AV7)*AHU1_CAV_SCHEDULE4451416[[#This Row],[HEATING AIRFLOW 
(CFM)]])/1000,0.1)</f>
        <v>0</v>
      </c>
      <c r="AY7" s="148">
        <f t="shared" si="3"/>
        <v>0</v>
      </c>
      <c r="AZ7" s="148">
        <f t="shared" si="1"/>
        <v>0.5</v>
      </c>
      <c r="BA7" s="148">
        <f t="shared" si="4"/>
        <v>5</v>
      </c>
      <c r="BB7" s="148" t="str">
        <f>IFERROR((_xlfn.XLOOKUP(AQ7,'DO NOT TOUCH'!$C$9:$C$14,'DO NOT TOUCH'!$D$9:$D$14,)),"TBD")</f>
        <v>TBD</v>
      </c>
      <c r="BC7" s="148">
        <f>INPUT_OUTPUTS!$C$19</f>
        <v>0</v>
      </c>
      <c r="BD7" s="147" t="str">
        <f t="shared" si="5"/>
        <v>1, 2</v>
      </c>
    </row>
    <row r="8" spans="1:56" ht="15">
      <c r="AL8" s="145" t="s">
        <v>168</v>
      </c>
      <c r="AM8" s="145" t="s">
        <v>75</v>
      </c>
      <c r="AN8" s="145" t="s">
        <v>76</v>
      </c>
      <c r="AO8" s="146">
        <f>SUMIF(Ahu_Ashrae_sheet15[Zone],AHU1_CAV_SCHEDULE4451416[[#This Row],[ZONE]],Ahu_Ashrae_sheet15[DESIGN VAV MIN SA(CFM)])</f>
        <v>0</v>
      </c>
      <c r="AP8" s="145">
        <f>SUMIF(Ahu_Ashrae_sheet15[Zone],AHU1_CAV_SCHEDULE4451416[[#This Row],[ZONE]],Ahu_Ashrae_sheet15[DESIGN VAV MAX SA(CFM)])</f>
        <v>0</v>
      </c>
      <c r="AQ8" s="147" t="str">
        <f>IFERROR((VLOOKUP(AHU1_CAV_SCHEDULE4451416[[#This Row],[MAX VAV
(CFM)]],'DO NOT TOUCH'!$B$9:$C$14,2,TRUE)),"TBD")</f>
        <v>TBD</v>
      </c>
      <c r="AR8" s="147">
        <f t="shared" si="2"/>
        <v>0.5</v>
      </c>
      <c r="AS8" s="147">
        <f>AHU1_CAV_SCHEDULE4451416[[#This Row],[MIN VAV
(CFM)]]</f>
        <v>0</v>
      </c>
      <c r="AT8" s="147">
        <f>INPUT_OUTPUTS!$C$16</f>
        <v>140</v>
      </c>
      <c r="AU8" s="147">
        <f>INPUT_OUTPUTS!$C$17</f>
        <v>100</v>
      </c>
      <c r="AV8" s="147">
        <f t="shared" si="0"/>
        <v>55</v>
      </c>
      <c r="AW8" s="147">
        <f t="shared" si="0"/>
        <v>80</v>
      </c>
      <c r="AX8" s="147">
        <f>MROUND((1.08*(AW8-AV8)*AHU1_CAV_SCHEDULE4451416[[#This Row],[HEATING AIRFLOW 
(CFM)]])/1000,0.1)</f>
        <v>0</v>
      </c>
      <c r="AY8" s="148">
        <f t="shared" si="3"/>
        <v>0</v>
      </c>
      <c r="AZ8" s="148">
        <f t="shared" si="1"/>
        <v>0.5</v>
      </c>
      <c r="BA8" s="148">
        <f t="shared" si="4"/>
        <v>5</v>
      </c>
      <c r="BB8" s="148" t="str">
        <f>IFERROR((_xlfn.XLOOKUP(AQ8,'DO NOT TOUCH'!$C$9:$C$14,'DO NOT TOUCH'!$D$9:$D$14,)),"TBD")</f>
        <v>TBD</v>
      </c>
      <c r="BC8" s="148">
        <f>INPUT_OUTPUTS!$C$19</f>
        <v>0</v>
      </c>
      <c r="BD8" s="147" t="str">
        <f t="shared" si="5"/>
        <v>1, 2</v>
      </c>
    </row>
    <row r="9" spans="1:56" ht="15">
      <c r="AL9" s="145" t="s">
        <v>169</v>
      </c>
      <c r="AM9" s="145" t="s">
        <v>75</v>
      </c>
      <c r="AN9" s="145" t="s">
        <v>76</v>
      </c>
      <c r="AO9" s="146">
        <f>SUMIF(Ahu_Ashrae_sheet15[Zone],AHU1_CAV_SCHEDULE4451416[[#This Row],[ZONE]],Ahu_Ashrae_sheet15[DESIGN VAV MIN SA(CFM)])</f>
        <v>0</v>
      </c>
      <c r="AP9" s="145">
        <f>SUMIF(Ahu_Ashrae_sheet15[Zone],AHU1_CAV_SCHEDULE4451416[[#This Row],[ZONE]],Ahu_Ashrae_sheet15[DESIGN VAV MAX SA(CFM)])</f>
        <v>0</v>
      </c>
      <c r="AQ9" s="147" t="str">
        <f>IFERROR((VLOOKUP(AHU1_CAV_SCHEDULE4451416[[#This Row],[MAX VAV
(CFM)]],'DO NOT TOUCH'!$B$9:$C$14,2,TRUE)),"TBD")</f>
        <v>TBD</v>
      </c>
      <c r="AR9" s="147">
        <f t="shared" si="2"/>
        <v>0.5</v>
      </c>
      <c r="AS9" s="147">
        <f>AHU1_CAV_SCHEDULE4451416[[#This Row],[MIN VAV
(CFM)]]</f>
        <v>0</v>
      </c>
      <c r="AT9" s="147">
        <f>INPUT_OUTPUTS!$C$16</f>
        <v>140</v>
      </c>
      <c r="AU9" s="147">
        <f>INPUT_OUTPUTS!$C$17</f>
        <v>100</v>
      </c>
      <c r="AV9" s="147">
        <f t="shared" si="0"/>
        <v>55</v>
      </c>
      <c r="AW9" s="147">
        <f t="shared" si="0"/>
        <v>80</v>
      </c>
      <c r="AX9" s="147">
        <f>MROUND((1.08*(AW9-AV9)*AHU1_CAV_SCHEDULE4451416[[#This Row],[HEATING AIRFLOW 
(CFM)]])/1000,0.1)</f>
        <v>0</v>
      </c>
      <c r="AY9" s="148">
        <f t="shared" si="3"/>
        <v>0</v>
      </c>
      <c r="AZ9" s="148">
        <f t="shared" si="1"/>
        <v>0.5</v>
      </c>
      <c r="BA9" s="148">
        <f t="shared" si="4"/>
        <v>5</v>
      </c>
      <c r="BB9" s="148" t="str">
        <f>IFERROR((_xlfn.XLOOKUP(AQ9,'DO NOT TOUCH'!$C$9:$C$14,'DO NOT TOUCH'!$D$9:$D$14,)),"TBD")</f>
        <v>TBD</v>
      </c>
      <c r="BC9" s="148">
        <f>INPUT_OUTPUTS!$C$19</f>
        <v>0</v>
      </c>
      <c r="BD9" s="18" t="str">
        <f t="shared" si="5"/>
        <v>1, 2</v>
      </c>
    </row>
    <row r="10" spans="1:56" ht="15">
      <c r="AL10" s="145" t="s">
        <v>170</v>
      </c>
      <c r="AM10" s="145" t="s">
        <v>75</v>
      </c>
      <c r="AN10" s="145" t="s">
        <v>76</v>
      </c>
      <c r="AO10" s="146">
        <f>SUMIF(Ahu_Ashrae_sheet15[Zone],AHU1_CAV_SCHEDULE4451416[[#This Row],[ZONE]],Ahu_Ashrae_sheet15[DESIGN VAV MIN SA(CFM)])</f>
        <v>0</v>
      </c>
      <c r="AP10" s="145">
        <f>SUMIF(Ahu_Ashrae_sheet15[Zone],AHU1_CAV_SCHEDULE4451416[[#This Row],[ZONE]],Ahu_Ashrae_sheet15[DESIGN VAV MAX SA(CFM)])</f>
        <v>0</v>
      </c>
      <c r="AQ10" s="147" t="str">
        <f>IFERROR((VLOOKUP(AHU1_CAV_SCHEDULE4451416[[#This Row],[MAX VAV
(CFM)]],'DO NOT TOUCH'!$B$9:$C$14,2,TRUE)),"TBD")</f>
        <v>TBD</v>
      </c>
      <c r="AR10" s="147">
        <f t="shared" si="2"/>
        <v>0.5</v>
      </c>
      <c r="AS10" s="147">
        <f>AHU1_CAV_SCHEDULE4451416[[#This Row],[MIN VAV
(CFM)]]</f>
        <v>0</v>
      </c>
      <c r="AT10" s="147">
        <f>INPUT_OUTPUTS!$C$16</f>
        <v>140</v>
      </c>
      <c r="AU10" s="147">
        <f>INPUT_OUTPUTS!$C$17</f>
        <v>100</v>
      </c>
      <c r="AV10" s="147">
        <f t="shared" si="0"/>
        <v>55</v>
      </c>
      <c r="AW10" s="147">
        <f t="shared" si="0"/>
        <v>80</v>
      </c>
      <c r="AX10" s="147">
        <f>MROUND((1.08*(AW10-AV10)*AHU1_CAV_SCHEDULE4451416[[#This Row],[HEATING AIRFLOW 
(CFM)]])/1000,0.1)</f>
        <v>0</v>
      </c>
      <c r="AY10" s="148">
        <f t="shared" si="3"/>
        <v>0</v>
      </c>
      <c r="AZ10" s="148">
        <f t="shared" si="1"/>
        <v>0.5</v>
      </c>
      <c r="BA10" s="148">
        <f t="shared" si="4"/>
        <v>5</v>
      </c>
      <c r="BB10" s="148" t="str">
        <f>IFERROR((_xlfn.XLOOKUP(AQ10,'DO NOT TOUCH'!$C$9:$C$14,'DO NOT TOUCH'!$D$9:$D$14,)),"TBD")</f>
        <v>TBD</v>
      </c>
      <c r="BC10" s="148">
        <f>INPUT_OUTPUTS!$C$19</f>
        <v>0</v>
      </c>
      <c r="BD10" s="18" t="str">
        <f t="shared" si="5"/>
        <v>1, 2</v>
      </c>
    </row>
    <row r="11" spans="1:56" ht="15">
      <c r="AL11" s="145" t="s">
        <v>171</v>
      </c>
      <c r="AM11" s="145" t="s">
        <v>75</v>
      </c>
      <c r="AN11" s="145" t="s">
        <v>76</v>
      </c>
      <c r="AO11" s="146">
        <f>SUMIF(Ahu_Ashrae_sheet15[Zone],AHU1_CAV_SCHEDULE4451416[[#This Row],[ZONE]],Ahu_Ashrae_sheet15[DESIGN VAV MIN SA(CFM)])</f>
        <v>0</v>
      </c>
      <c r="AP11" s="145">
        <f>SUMIF(Ahu_Ashrae_sheet15[Zone],AHU1_CAV_SCHEDULE4451416[[#This Row],[ZONE]],Ahu_Ashrae_sheet15[DESIGN VAV MAX SA(CFM)])</f>
        <v>0</v>
      </c>
      <c r="AQ11" s="147" t="str">
        <f>IFERROR((VLOOKUP(AHU1_CAV_SCHEDULE4451416[[#This Row],[MAX VAV
(CFM)]],'DO NOT TOUCH'!$B$9:$C$14,2,TRUE)),"TBD")</f>
        <v>TBD</v>
      </c>
      <c r="AR11" s="147">
        <f t="shared" si="2"/>
        <v>0.5</v>
      </c>
      <c r="AS11" s="147">
        <f>AHU1_CAV_SCHEDULE4451416[[#This Row],[MIN VAV
(CFM)]]</f>
        <v>0</v>
      </c>
      <c r="AT11" s="147">
        <f>INPUT_OUTPUTS!$C$16</f>
        <v>140</v>
      </c>
      <c r="AU11" s="147">
        <f>INPUT_OUTPUTS!$C$17</f>
        <v>100</v>
      </c>
      <c r="AV11" s="147">
        <f t="shared" si="0"/>
        <v>55</v>
      </c>
      <c r="AW11" s="147">
        <f t="shared" si="0"/>
        <v>80</v>
      </c>
      <c r="AX11" s="147">
        <f>MROUND((1.08*(AW11-AV11)*AHU1_CAV_SCHEDULE4451416[[#This Row],[HEATING AIRFLOW 
(CFM)]])/1000,0.1)</f>
        <v>0</v>
      </c>
      <c r="AY11" s="148">
        <f t="shared" si="3"/>
        <v>0</v>
      </c>
      <c r="AZ11" s="148">
        <f t="shared" si="1"/>
        <v>0.5</v>
      </c>
      <c r="BA11" s="148">
        <f t="shared" si="4"/>
        <v>5</v>
      </c>
      <c r="BB11" s="148" t="str">
        <f>IFERROR((_xlfn.XLOOKUP(AQ11,'DO NOT TOUCH'!$C$9:$C$14,'DO NOT TOUCH'!$D$9:$D$14,)),"TBD")</f>
        <v>TBD</v>
      </c>
      <c r="BC11" s="148">
        <f>INPUT_OUTPUTS!$C$19</f>
        <v>0</v>
      </c>
      <c r="BD11" s="18" t="str">
        <f t="shared" si="5"/>
        <v>1, 2</v>
      </c>
    </row>
    <row r="12" spans="1:56" ht="15">
      <c r="AL12" s="145" t="s">
        <v>172</v>
      </c>
      <c r="AM12" s="145" t="s">
        <v>75</v>
      </c>
      <c r="AN12" s="145" t="s">
        <v>76</v>
      </c>
      <c r="AO12" s="146">
        <f>SUMIF(Ahu_Ashrae_sheet15[Zone],AHU1_CAV_SCHEDULE4451416[[#This Row],[ZONE]],Ahu_Ashrae_sheet15[DESIGN VAV MIN SA(CFM)])</f>
        <v>0</v>
      </c>
      <c r="AP12" s="145">
        <f>SUMIF(Ahu_Ashrae_sheet15[Zone],AHU1_CAV_SCHEDULE4451416[[#This Row],[ZONE]],Ahu_Ashrae_sheet15[DESIGN VAV MAX SA(CFM)])</f>
        <v>0</v>
      </c>
      <c r="AQ12" s="147" t="str">
        <f>IFERROR((VLOOKUP(AHU1_CAV_SCHEDULE4451416[[#This Row],[MAX VAV
(CFM)]],'DO NOT TOUCH'!$B$9:$C$14,2,TRUE)),"TBD")</f>
        <v>TBD</v>
      </c>
      <c r="AR12" s="147">
        <f t="shared" si="2"/>
        <v>0.5</v>
      </c>
      <c r="AS12" s="147">
        <f>AHU1_CAV_SCHEDULE4451416[[#This Row],[MIN VAV
(CFM)]]</f>
        <v>0</v>
      </c>
      <c r="AT12" s="147">
        <f>INPUT_OUTPUTS!$C$16</f>
        <v>140</v>
      </c>
      <c r="AU12" s="147">
        <f>INPUT_OUTPUTS!$C$17</f>
        <v>100</v>
      </c>
      <c r="AV12" s="147">
        <f t="shared" si="0"/>
        <v>55</v>
      </c>
      <c r="AW12" s="147">
        <f t="shared" si="0"/>
        <v>80</v>
      </c>
      <c r="AX12" s="147">
        <f>MROUND((1.08*(AW12-AV12)*AHU1_CAV_SCHEDULE4451416[[#This Row],[HEATING AIRFLOW 
(CFM)]])/1000,0.1)</f>
        <v>0</v>
      </c>
      <c r="AY12" s="148">
        <f t="shared" si="3"/>
        <v>0</v>
      </c>
      <c r="AZ12" s="148">
        <f t="shared" si="1"/>
        <v>0.5</v>
      </c>
      <c r="BA12" s="148">
        <f t="shared" si="4"/>
        <v>5</v>
      </c>
      <c r="BB12" s="148" t="str">
        <f>IFERROR((_xlfn.XLOOKUP(AQ12,'DO NOT TOUCH'!$C$9:$C$14,'DO NOT TOUCH'!$D$9:$D$14,)),"TBD")</f>
        <v>TBD</v>
      </c>
      <c r="BC12" s="148">
        <f>INPUT_OUTPUTS!$C$19</f>
        <v>0</v>
      </c>
      <c r="BD12" s="18" t="str">
        <f t="shared" si="5"/>
        <v>1, 2</v>
      </c>
    </row>
    <row r="13" spans="1:56" ht="15">
      <c r="AL13" s="145" t="s">
        <v>173</v>
      </c>
      <c r="AM13" s="145" t="s">
        <v>75</v>
      </c>
      <c r="AN13" s="145" t="s">
        <v>76</v>
      </c>
      <c r="AO13" s="146">
        <f>SUMIF(Ahu_Ashrae_sheet15[Zone],AHU1_CAV_SCHEDULE4451416[[#This Row],[ZONE]],Ahu_Ashrae_sheet15[DESIGN VAV MIN SA(CFM)])</f>
        <v>0</v>
      </c>
      <c r="AP13" s="145">
        <f>SUMIF(Ahu_Ashrae_sheet15[Zone],AHU1_CAV_SCHEDULE4451416[[#This Row],[ZONE]],Ahu_Ashrae_sheet15[DESIGN VAV MAX SA(CFM)])</f>
        <v>0</v>
      </c>
      <c r="AQ13" s="147" t="str">
        <f>IFERROR((VLOOKUP(AHU1_CAV_SCHEDULE4451416[[#This Row],[MAX VAV
(CFM)]],'DO NOT TOUCH'!$B$9:$C$14,2,TRUE)),"TBD")</f>
        <v>TBD</v>
      </c>
      <c r="AR13" s="147">
        <f t="shared" si="2"/>
        <v>0.5</v>
      </c>
      <c r="AS13" s="147">
        <f>AHU1_CAV_SCHEDULE4451416[[#This Row],[MIN VAV
(CFM)]]</f>
        <v>0</v>
      </c>
      <c r="AT13" s="147">
        <f>INPUT_OUTPUTS!$C$16</f>
        <v>140</v>
      </c>
      <c r="AU13" s="147">
        <f>INPUT_OUTPUTS!$C$17</f>
        <v>100</v>
      </c>
      <c r="AV13" s="147">
        <f t="shared" si="0"/>
        <v>55</v>
      </c>
      <c r="AW13" s="147">
        <f t="shared" si="0"/>
        <v>80</v>
      </c>
      <c r="AX13" s="147">
        <f>MROUND((1.08*(AW13-AV13)*AHU1_CAV_SCHEDULE4451416[[#This Row],[HEATING AIRFLOW 
(CFM)]])/1000,0.1)</f>
        <v>0</v>
      </c>
      <c r="AY13" s="148">
        <f t="shared" si="3"/>
        <v>0</v>
      </c>
      <c r="AZ13" s="148">
        <f t="shared" si="1"/>
        <v>0.5</v>
      </c>
      <c r="BA13" s="148">
        <f t="shared" si="4"/>
        <v>5</v>
      </c>
      <c r="BB13" s="148" t="str">
        <f>IFERROR((_xlfn.XLOOKUP(AQ13,'DO NOT TOUCH'!$C$9:$C$14,'DO NOT TOUCH'!$D$9:$D$14,)),"TBD")</f>
        <v>TBD</v>
      </c>
      <c r="BC13" s="148">
        <f>INPUT_OUTPUTS!$C$19</f>
        <v>0</v>
      </c>
      <c r="BD13" s="18" t="str">
        <f t="shared" si="5"/>
        <v>1, 2</v>
      </c>
    </row>
    <row r="14" spans="1:56" ht="15">
      <c r="AL14" s="145" t="s">
        <v>174</v>
      </c>
      <c r="AM14" s="145" t="s">
        <v>75</v>
      </c>
      <c r="AN14" s="145" t="s">
        <v>76</v>
      </c>
      <c r="AO14" s="146">
        <f>SUMIF(Ahu_Ashrae_sheet15[Zone],AHU1_CAV_SCHEDULE4451416[[#This Row],[ZONE]],Ahu_Ashrae_sheet15[DESIGN VAV MIN SA(CFM)])</f>
        <v>0</v>
      </c>
      <c r="AP14" s="145">
        <f>SUMIF(Ahu_Ashrae_sheet15[Zone],AHU1_CAV_SCHEDULE4451416[[#This Row],[ZONE]],Ahu_Ashrae_sheet15[DESIGN VAV MAX SA(CFM)])</f>
        <v>0</v>
      </c>
      <c r="AQ14" s="147" t="str">
        <f>IFERROR((VLOOKUP(AHU1_CAV_SCHEDULE4451416[[#This Row],[MAX VAV
(CFM)]],'DO NOT TOUCH'!$B$9:$C$14,2,TRUE)),"TBD")</f>
        <v>TBD</v>
      </c>
      <c r="AR14" s="147">
        <f t="shared" si="2"/>
        <v>0.5</v>
      </c>
      <c r="AS14" s="147">
        <f>AHU1_CAV_SCHEDULE4451416[[#This Row],[MIN VAV
(CFM)]]</f>
        <v>0</v>
      </c>
      <c r="AT14" s="147">
        <f>INPUT_OUTPUTS!$C$16</f>
        <v>140</v>
      </c>
      <c r="AU14" s="147">
        <f>INPUT_OUTPUTS!$C$17</f>
        <v>100</v>
      </c>
      <c r="AV14" s="147">
        <f t="shared" si="0"/>
        <v>55</v>
      </c>
      <c r="AW14" s="147">
        <f t="shared" si="0"/>
        <v>80</v>
      </c>
      <c r="AX14" s="147">
        <f>MROUND((1.08*(AW14-AV14)*AHU1_CAV_SCHEDULE4451416[[#This Row],[HEATING AIRFLOW 
(CFM)]])/1000,0.1)</f>
        <v>0</v>
      </c>
      <c r="AY14" s="148">
        <f t="shared" si="3"/>
        <v>0</v>
      </c>
      <c r="AZ14" s="148">
        <f t="shared" si="1"/>
        <v>0.5</v>
      </c>
      <c r="BA14" s="148">
        <f t="shared" si="4"/>
        <v>5</v>
      </c>
      <c r="BB14" s="148" t="str">
        <f>IFERROR((_xlfn.XLOOKUP(AQ14,'DO NOT TOUCH'!$C$9:$C$14,'DO NOT TOUCH'!$D$9:$D$14,)),"TBD")</f>
        <v>TBD</v>
      </c>
      <c r="BC14" s="148">
        <f>INPUT_OUTPUTS!$C$19</f>
        <v>0</v>
      </c>
      <c r="BD14" s="18" t="str">
        <f t="shared" si="5"/>
        <v>1, 2</v>
      </c>
    </row>
    <row r="15" spans="1:56" ht="15">
      <c r="AL15" s="145" t="s">
        <v>175</v>
      </c>
      <c r="AM15" s="145" t="s">
        <v>75</v>
      </c>
      <c r="AN15" s="145" t="s">
        <v>76</v>
      </c>
      <c r="AO15" s="146">
        <f>SUMIF(Ahu_Ashrae_sheet15[Zone],AHU1_CAV_SCHEDULE4451416[[#This Row],[ZONE]],Ahu_Ashrae_sheet15[DESIGN VAV MIN SA(CFM)])</f>
        <v>0</v>
      </c>
      <c r="AP15" s="145">
        <f>SUMIF(Ahu_Ashrae_sheet15[Zone],AHU1_CAV_SCHEDULE4451416[[#This Row],[ZONE]],Ahu_Ashrae_sheet15[DESIGN VAV MAX SA(CFM)])</f>
        <v>0</v>
      </c>
      <c r="AQ15" s="147" t="str">
        <f>IFERROR((VLOOKUP(AHU1_CAV_SCHEDULE4451416[[#This Row],[MAX VAV
(CFM)]],'DO NOT TOUCH'!$B$9:$C$14,2,TRUE)),"TBD")</f>
        <v>TBD</v>
      </c>
      <c r="AR15" s="147">
        <f t="shared" si="2"/>
        <v>0.5</v>
      </c>
      <c r="AS15" s="147">
        <f>AHU1_CAV_SCHEDULE4451416[[#This Row],[MIN VAV
(CFM)]]</f>
        <v>0</v>
      </c>
      <c r="AT15" s="147">
        <f>INPUT_OUTPUTS!$C$16</f>
        <v>140</v>
      </c>
      <c r="AU15" s="147">
        <f>INPUT_OUTPUTS!$C$17</f>
        <v>100</v>
      </c>
      <c r="AV15" s="147">
        <f t="shared" si="0"/>
        <v>55</v>
      </c>
      <c r="AW15" s="147">
        <f t="shared" si="0"/>
        <v>80</v>
      </c>
      <c r="AX15" s="147">
        <f>MROUND((1.08*(AW15-AV15)*AHU1_CAV_SCHEDULE4451416[[#This Row],[HEATING AIRFLOW 
(CFM)]])/1000,0.1)</f>
        <v>0</v>
      </c>
      <c r="AY15" s="148">
        <f t="shared" si="3"/>
        <v>0</v>
      </c>
      <c r="AZ15" s="148">
        <f t="shared" si="1"/>
        <v>0.5</v>
      </c>
      <c r="BA15" s="148">
        <f t="shared" si="4"/>
        <v>5</v>
      </c>
      <c r="BB15" s="148" t="str">
        <f>IFERROR((_xlfn.XLOOKUP(AQ15,'DO NOT TOUCH'!$C$9:$C$14,'DO NOT TOUCH'!$D$9:$D$14,)),"TBD")</f>
        <v>TBD</v>
      </c>
      <c r="BC15" s="148">
        <f>INPUT_OUTPUTS!$C$19</f>
        <v>0</v>
      </c>
      <c r="BD15" s="18" t="str">
        <f t="shared" si="5"/>
        <v>1, 2</v>
      </c>
    </row>
    <row r="16" spans="1:56" ht="15">
      <c r="AL16" s="145" t="s">
        <v>176</v>
      </c>
      <c r="AM16" s="145" t="s">
        <v>75</v>
      </c>
      <c r="AN16" s="145" t="s">
        <v>76</v>
      </c>
      <c r="AO16" s="146">
        <f>SUMIF(Ahu_Ashrae_sheet15[Zone],AHU1_CAV_SCHEDULE4451416[[#This Row],[ZONE]],Ahu_Ashrae_sheet15[DESIGN VAV MIN SA(CFM)])</f>
        <v>0</v>
      </c>
      <c r="AP16" s="145">
        <f>SUMIF(Ahu_Ashrae_sheet15[Zone],AHU1_CAV_SCHEDULE4451416[[#This Row],[ZONE]],Ahu_Ashrae_sheet15[DESIGN VAV MAX SA(CFM)])</f>
        <v>0</v>
      </c>
      <c r="AQ16" s="147" t="str">
        <f>IFERROR((VLOOKUP(AHU1_CAV_SCHEDULE4451416[[#This Row],[MAX VAV
(CFM)]],'DO NOT TOUCH'!$B$9:$C$14,2,TRUE)),"TBD")</f>
        <v>TBD</v>
      </c>
      <c r="AR16" s="147">
        <f t="shared" si="2"/>
        <v>0.5</v>
      </c>
      <c r="AS16" s="147">
        <f>AHU1_CAV_SCHEDULE4451416[[#This Row],[MIN VAV
(CFM)]]</f>
        <v>0</v>
      </c>
      <c r="AT16" s="147">
        <f>INPUT_OUTPUTS!$C$16</f>
        <v>140</v>
      </c>
      <c r="AU16" s="147">
        <f>INPUT_OUTPUTS!$C$17</f>
        <v>100</v>
      </c>
      <c r="AV16" s="147">
        <f t="shared" si="0"/>
        <v>55</v>
      </c>
      <c r="AW16" s="147">
        <f t="shared" si="0"/>
        <v>80</v>
      </c>
      <c r="AX16" s="147">
        <f>MROUND((1.08*(AW16-AV16)*AHU1_CAV_SCHEDULE4451416[[#This Row],[HEATING AIRFLOW 
(CFM)]])/1000,0.1)</f>
        <v>0</v>
      </c>
      <c r="AY16" s="148">
        <f t="shared" si="3"/>
        <v>0</v>
      </c>
      <c r="AZ16" s="148">
        <f t="shared" si="1"/>
        <v>0.5</v>
      </c>
      <c r="BA16" s="148">
        <f t="shared" si="4"/>
        <v>5</v>
      </c>
      <c r="BB16" s="148" t="str">
        <f>IFERROR((_xlfn.XLOOKUP(AQ16,'DO NOT TOUCH'!$C$9:$C$14,'DO NOT TOUCH'!$D$9:$D$14,)),"TBD")</f>
        <v>TBD</v>
      </c>
      <c r="BC16" s="148">
        <f>INPUT_OUTPUTS!$C$19</f>
        <v>0</v>
      </c>
      <c r="BD16" s="18" t="str">
        <f t="shared" si="5"/>
        <v>1, 2</v>
      </c>
    </row>
    <row r="17" spans="38:56" ht="15">
      <c r="AL17" s="145" t="s">
        <v>177</v>
      </c>
      <c r="AM17" s="145" t="s">
        <v>75</v>
      </c>
      <c r="AN17" s="145" t="s">
        <v>76</v>
      </c>
      <c r="AO17" s="146">
        <f>SUMIF(Ahu_Ashrae_sheet15[Zone],AHU1_CAV_SCHEDULE4451416[[#This Row],[ZONE]],Ahu_Ashrae_sheet15[DESIGN VAV MIN SA(CFM)])</f>
        <v>0</v>
      </c>
      <c r="AP17" s="145">
        <f>SUMIF(Ahu_Ashrae_sheet15[Zone],AHU1_CAV_SCHEDULE4451416[[#This Row],[ZONE]],Ahu_Ashrae_sheet15[DESIGN VAV MAX SA(CFM)])</f>
        <v>0</v>
      </c>
      <c r="AQ17" s="147" t="str">
        <f>IFERROR((VLOOKUP(AHU1_CAV_SCHEDULE4451416[[#This Row],[MAX VAV
(CFM)]],'DO NOT TOUCH'!$B$9:$C$14,2,TRUE)),"TBD")</f>
        <v>TBD</v>
      </c>
      <c r="AR17" s="147">
        <f t="shared" si="2"/>
        <v>0.5</v>
      </c>
      <c r="AS17" s="147">
        <f>AHU1_CAV_SCHEDULE4451416[[#This Row],[MIN VAV
(CFM)]]</f>
        <v>0</v>
      </c>
      <c r="AT17" s="147">
        <f>INPUT_OUTPUTS!$C$16</f>
        <v>140</v>
      </c>
      <c r="AU17" s="147">
        <f>INPUT_OUTPUTS!$C$17</f>
        <v>100</v>
      </c>
      <c r="AV17" s="147">
        <f t="shared" si="0"/>
        <v>55</v>
      </c>
      <c r="AW17" s="147">
        <f t="shared" si="0"/>
        <v>80</v>
      </c>
      <c r="AX17" s="147">
        <f>MROUND((1.08*(AW17-AV17)*AHU1_CAV_SCHEDULE4451416[[#This Row],[HEATING AIRFLOW 
(CFM)]])/1000,0.1)</f>
        <v>0</v>
      </c>
      <c r="AY17" s="148">
        <f t="shared" si="3"/>
        <v>0</v>
      </c>
      <c r="AZ17" s="148">
        <f t="shared" si="1"/>
        <v>0.5</v>
      </c>
      <c r="BA17" s="148">
        <f t="shared" si="4"/>
        <v>5</v>
      </c>
      <c r="BB17" s="148" t="str">
        <f>IFERROR((_xlfn.XLOOKUP(AQ17,'DO NOT TOUCH'!$C$9:$C$14,'DO NOT TOUCH'!$D$9:$D$14,)),"TBD")</f>
        <v>TBD</v>
      </c>
      <c r="BC17" s="148">
        <f>INPUT_OUTPUTS!$C$19</f>
        <v>0</v>
      </c>
      <c r="BD17" s="18" t="str">
        <f t="shared" si="5"/>
        <v>1, 2</v>
      </c>
    </row>
    <row r="18" spans="38:56" ht="15">
      <c r="AL18" s="145" t="s">
        <v>178</v>
      </c>
      <c r="AM18" s="145" t="s">
        <v>75</v>
      </c>
      <c r="AN18" s="145" t="s">
        <v>76</v>
      </c>
      <c r="AO18" s="146">
        <f>SUMIF(Ahu_Ashrae_sheet15[Zone],AHU1_CAV_SCHEDULE4451416[[#This Row],[ZONE]],Ahu_Ashrae_sheet15[DESIGN VAV MIN SA(CFM)])</f>
        <v>0</v>
      </c>
      <c r="AP18" s="145">
        <f>SUMIF(Ahu_Ashrae_sheet15[Zone],AHU1_CAV_SCHEDULE4451416[[#This Row],[ZONE]],Ahu_Ashrae_sheet15[DESIGN VAV MAX SA(CFM)])</f>
        <v>0</v>
      </c>
      <c r="AQ18" s="147" t="str">
        <f>IFERROR((VLOOKUP(AHU1_CAV_SCHEDULE4451416[[#This Row],[MAX VAV
(CFM)]],'DO NOT TOUCH'!$B$9:$C$14,2,TRUE)),"TBD")</f>
        <v>TBD</v>
      </c>
      <c r="AR18" s="147">
        <f t="shared" si="2"/>
        <v>0.5</v>
      </c>
      <c r="AS18" s="147">
        <f>AHU1_CAV_SCHEDULE4451416[[#This Row],[MIN VAV
(CFM)]]</f>
        <v>0</v>
      </c>
      <c r="AT18" s="147">
        <f>INPUT_OUTPUTS!$C$16</f>
        <v>140</v>
      </c>
      <c r="AU18" s="147">
        <f>INPUT_OUTPUTS!$C$17</f>
        <v>100</v>
      </c>
      <c r="AV18" s="147">
        <f t="shared" si="0"/>
        <v>55</v>
      </c>
      <c r="AW18" s="147">
        <f t="shared" si="0"/>
        <v>80</v>
      </c>
      <c r="AX18" s="147">
        <f>MROUND((1.08*(AW18-AV18)*AHU1_CAV_SCHEDULE4451416[[#This Row],[HEATING AIRFLOW 
(CFM)]])/1000,0.1)</f>
        <v>0</v>
      </c>
      <c r="AY18" s="148">
        <f t="shared" si="3"/>
        <v>0</v>
      </c>
      <c r="AZ18" s="148">
        <f t="shared" si="1"/>
        <v>0.5</v>
      </c>
      <c r="BA18" s="148">
        <f t="shared" si="4"/>
        <v>5</v>
      </c>
      <c r="BB18" s="148" t="str">
        <f>IFERROR((_xlfn.XLOOKUP(AQ18,'DO NOT TOUCH'!$C$9:$C$14,'DO NOT TOUCH'!$D$9:$D$14,)),"TBD")</f>
        <v>TBD</v>
      </c>
      <c r="BC18" s="148">
        <f>INPUT_OUTPUTS!$C$19</f>
        <v>0</v>
      </c>
      <c r="BD18" s="18" t="str">
        <f t="shared" si="5"/>
        <v>1, 2</v>
      </c>
    </row>
    <row r="19" spans="38:56" ht="15">
      <c r="AL19" s="145" t="s">
        <v>179</v>
      </c>
      <c r="AM19" s="145" t="s">
        <v>75</v>
      </c>
      <c r="AN19" s="145" t="s">
        <v>76</v>
      </c>
      <c r="AO19" s="146">
        <f>SUMIF(Ahu_Ashrae_sheet15[Zone],AHU1_CAV_SCHEDULE4451416[[#This Row],[ZONE]],Ahu_Ashrae_sheet15[DESIGN VAV MIN SA(CFM)])</f>
        <v>0</v>
      </c>
      <c r="AP19" s="145">
        <f>SUMIF(Ahu_Ashrae_sheet15[Zone],AHU1_CAV_SCHEDULE4451416[[#This Row],[ZONE]],Ahu_Ashrae_sheet15[DESIGN VAV MAX SA(CFM)])</f>
        <v>0</v>
      </c>
      <c r="AQ19" s="147" t="str">
        <f>IFERROR((VLOOKUP(AHU1_CAV_SCHEDULE4451416[[#This Row],[MAX VAV
(CFM)]],'DO NOT TOUCH'!$B$9:$C$14,2,TRUE)),"TBD")</f>
        <v>TBD</v>
      </c>
      <c r="AR19" s="147">
        <f t="shared" si="2"/>
        <v>0.5</v>
      </c>
      <c r="AS19" s="147">
        <f>AHU1_CAV_SCHEDULE4451416[[#This Row],[MIN VAV
(CFM)]]</f>
        <v>0</v>
      </c>
      <c r="AT19" s="147">
        <f>INPUT_OUTPUTS!$C$16</f>
        <v>140</v>
      </c>
      <c r="AU19" s="147">
        <f>INPUT_OUTPUTS!$C$17</f>
        <v>100</v>
      </c>
      <c r="AV19" s="147">
        <f t="shared" si="0"/>
        <v>55</v>
      </c>
      <c r="AW19" s="147">
        <f t="shared" si="0"/>
        <v>80</v>
      </c>
      <c r="AX19" s="147">
        <f>MROUND((1.08*(AW19-AV19)*AHU1_CAV_SCHEDULE4451416[[#This Row],[HEATING AIRFLOW 
(CFM)]])/1000,0.1)</f>
        <v>0</v>
      </c>
      <c r="AY19" s="148">
        <f t="shared" si="3"/>
        <v>0</v>
      </c>
      <c r="AZ19" s="148">
        <f t="shared" si="1"/>
        <v>0.5</v>
      </c>
      <c r="BA19" s="148">
        <f t="shared" si="4"/>
        <v>5</v>
      </c>
      <c r="BB19" s="148" t="str">
        <f>IFERROR((_xlfn.XLOOKUP(AQ19,'DO NOT TOUCH'!$C$9:$C$14,'DO NOT TOUCH'!$D$9:$D$14,)),"TBD")</f>
        <v>TBD</v>
      </c>
      <c r="BC19" s="148">
        <f>INPUT_OUTPUTS!$C$19</f>
        <v>0</v>
      </c>
      <c r="BD19" s="18" t="str">
        <f t="shared" si="5"/>
        <v>1, 2</v>
      </c>
    </row>
    <row r="20" spans="38:56" ht="15">
      <c r="AL20" s="145" t="s">
        <v>180</v>
      </c>
      <c r="AM20" s="145" t="s">
        <v>75</v>
      </c>
      <c r="AN20" s="145" t="s">
        <v>76</v>
      </c>
      <c r="AO20" s="146">
        <f>SUMIF(Ahu_Ashrae_sheet15[Zone],AHU1_CAV_SCHEDULE4451416[[#This Row],[ZONE]],Ahu_Ashrae_sheet15[DESIGN VAV MIN SA(CFM)])</f>
        <v>0</v>
      </c>
      <c r="AP20" s="145">
        <f>SUMIF(Ahu_Ashrae_sheet15[Zone],AHU1_CAV_SCHEDULE4451416[[#This Row],[ZONE]],Ahu_Ashrae_sheet15[DESIGN VAV MAX SA(CFM)])</f>
        <v>0</v>
      </c>
      <c r="AQ20" s="147" t="str">
        <f>IFERROR((VLOOKUP(AHU1_CAV_SCHEDULE4451416[[#This Row],[MAX VAV
(CFM)]],'DO NOT TOUCH'!$B$9:$C$14,2,TRUE)),"TBD")</f>
        <v>TBD</v>
      </c>
      <c r="AR20" s="147">
        <f t="shared" si="2"/>
        <v>0.5</v>
      </c>
      <c r="AS20" s="147">
        <f>AHU1_CAV_SCHEDULE4451416[[#This Row],[MIN VAV
(CFM)]]</f>
        <v>0</v>
      </c>
      <c r="AT20" s="147">
        <f>INPUT_OUTPUTS!$C$16</f>
        <v>140</v>
      </c>
      <c r="AU20" s="147">
        <f>INPUT_OUTPUTS!$C$17</f>
        <v>100</v>
      </c>
      <c r="AV20" s="147">
        <f t="shared" ref="AV20:AW35" si="6">AV19</f>
        <v>55</v>
      </c>
      <c r="AW20" s="147">
        <f t="shared" si="6"/>
        <v>80</v>
      </c>
      <c r="AX20" s="147">
        <f>MROUND((1.08*(AW20-AV20)*AHU1_CAV_SCHEDULE4451416[[#This Row],[HEATING AIRFLOW 
(CFM)]])/1000,0.1)</f>
        <v>0</v>
      </c>
      <c r="AY20" s="148">
        <f t="shared" si="3"/>
        <v>0</v>
      </c>
      <c r="AZ20" s="148">
        <f t="shared" si="1"/>
        <v>0.5</v>
      </c>
      <c r="BA20" s="148">
        <f t="shared" si="4"/>
        <v>5</v>
      </c>
      <c r="BB20" s="148" t="str">
        <f>IFERROR((_xlfn.XLOOKUP(AQ20,'DO NOT TOUCH'!$C$9:$C$14,'DO NOT TOUCH'!$D$9:$D$14,)),"TBD")</f>
        <v>TBD</v>
      </c>
      <c r="BC20" s="148">
        <f>INPUT_OUTPUTS!$C$19</f>
        <v>0</v>
      </c>
      <c r="BD20" s="18" t="str">
        <f t="shared" si="5"/>
        <v>1, 2</v>
      </c>
    </row>
    <row r="21" spans="38:56" ht="15">
      <c r="AL21" s="145" t="s">
        <v>181</v>
      </c>
      <c r="AM21" s="145" t="s">
        <v>75</v>
      </c>
      <c r="AN21" s="145" t="s">
        <v>76</v>
      </c>
      <c r="AO21" s="146">
        <f>SUMIF(Ahu_Ashrae_sheet15[Zone],AHU1_CAV_SCHEDULE4451416[[#This Row],[ZONE]],Ahu_Ashrae_sheet15[DESIGN VAV MIN SA(CFM)])</f>
        <v>0</v>
      </c>
      <c r="AP21" s="145">
        <f>SUMIF(Ahu_Ashrae_sheet15[Zone],AHU1_CAV_SCHEDULE4451416[[#This Row],[ZONE]],Ahu_Ashrae_sheet15[DESIGN VAV MAX SA(CFM)])</f>
        <v>0</v>
      </c>
      <c r="AQ21" s="147" t="str">
        <f>IFERROR((VLOOKUP(AHU1_CAV_SCHEDULE4451416[[#This Row],[MAX VAV
(CFM)]],'DO NOT TOUCH'!$B$9:$C$14,2,TRUE)),"TBD")</f>
        <v>TBD</v>
      </c>
      <c r="AR21" s="147">
        <f t="shared" si="2"/>
        <v>0.5</v>
      </c>
      <c r="AS21" s="147">
        <f>AHU1_CAV_SCHEDULE4451416[[#This Row],[MIN VAV
(CFM)]]</f>
        <v>0</v>
      </c>
      <c r="AT21" s="147">
        <f>INPUT_OUTPUTS!$C$16</f>
        <v>140</v>
      </c>
      <c r="AU21" s="147">
        <f>INPUT_OUTPUTS!$C$17</f>
        <v>100</v>
      </c>
      <c r="AV21" s="147">
        <f t="shared" si="6"/>
        <v>55</v>
      </c>
      <c r="AW21" s="147">
        <f t="shared" si="6"/>
        <v>80</v>
      </c>
      <c r="AX21" s="147">
        <f>MROUND((1.08*(AW21-AV21)*AHU1_CAV_SCHEDULE4451416[[#This Row],[HEATING AIRFLOW 
(CFM)]])/1000,0.1)</f>
        <v>0</v>
      </c>
      <c r="AY21" s="148">
        <f t="shared" si="3"/>
        <v>0</v>
      </c>
      <c r="AZ21" s="148">
        <f t="shared" si="1"/>
        <v>0.5</v>
      </c>
      <c r="BA21" s="148">
        <f t="shared" si="4"/>
        <v>5</v>
      </c>
      <c r="BB21" s="148" t="str">
        <f>IFERROR((_xlfn.XLOOKUP(AQ21,'DO NOT TOUCH'!$C$9:$C$14,'DO NOT TOUCH'!$D$9:$D$14,)),"TBD")</f>
        <v>TBD</v>
      </c>
      <c r="BC21" s="148">
        <f>INPUT_OUTPUTS!$C$19</f>
        <v>0</v>
      </c>
      <c r="BD21" s="18" t="str">
        <f t="shared" si="5"/>
        <v>1, 2</v>
      </c>
    </row>
    <row r="22" spans="38:56" ht="15">
      <c r="AL22" s="145" t="s">
        <v>182</v>
      </c>
      <c r="AM22" s="145" t="s">
        <v>75</v>
      </c>
      <c r="AN22" s="145" t="s">
        <v>76</v>
      </c>
      <c r="AO22" s="146">
        <f>SUMIF(Ahu_Ashrae_sheet15[Zone],AHU1_CAV_SCHEDULE4451416[[#This Row],[ZONE]],Ahu_Ashrae_sheet15[DESIGN VAV MIN SA(CFM)])</f>
        <v>0</v>
      </c>
      <c r="AP22" s="145">
        <f>SUMIF(Ahu_Ashrae_sheet15[Zone],AHU1_CAV_SCHEDULE4451416[[#This Row],[ZONE]],Ahu_Ashrae_sheet15[DESIGN VAV MAX SA(CFM)])</f>
        <v>0</v>
      </c>
      <c r="AQ22" s="147" t="str">
        <f>IFERROR((VLOOKUP(AHU1_CAV_SCHEDULE4451416[[#This Row],[MAX VAV
(CFM)]],'DO NOT TOUCH'!$B$9:$C$14,2,TRUE)),"TBD")</f>
        <v>TBD</v>
      </c>
      <c r="AR22" s="147">
        <f t="shared" si="2"/>
        <v>0.5</v>
      </c>
      <c r="AS22" s="147">
        <f>AHU1_CAV_SCHEDULE4451416[[#This Row],[MIN VAV
(CFM)]]</f>
        <v>0</v>
      </c>
      <c r="AT22" s="147">
        <f>INPUT_OUTPUTS!$C$16</f>
        <v>140</v>
      </c>
      <c r="AU22" s="147">
        <f>INPUT_OUTPUTS!$C$17</f>
        <v>100</v>
      </c>
      <c r="AV22" s="147">
        <f t="shared" si="6"/>
        <v>55</v>
      </c>
      <c r="AW22" s="147">
        <f t="shared" si="6"/>
        <v>80</v>
      </c>
      <c r="AX22" s="147">
        <f>MROUND((1.08*(AW22-AV22)*AHU1_CAV_SCHEDULE4451416[[#This Row],[HEATING AIRFLOW 
(CFM)]])/1000,0.1)</f>
        <v>0</v>
      </c>
      <c r="AY22" s="148">
        <f t="shared" si="3"/>
        <v>0</v>
      </c>
      <c r="AZ22" s="148">
        <f t="shared" si="1"/>
        <v>0.5</v>
      </c>
      <c r="BA22" s="148">
        <f t="shared" si="4"/>
        <v>5</v>
      </c>
      <c r="BB22" s="148" t="str">
        <f>IFERROR((_xlfn.XLOOKUP(AQ22,'DO NOT TOUCH'!$C$9:$C$14,'DO NOT TOUCH'!$D$9:$D$14,)),"TBD")</f>
        <v>TBD</v>
      </c>
      <c r="BC22" s="148">
        <f>INPUT_OUTPUTS!$C$19</f>
        <v>0</v>
      </c>
      <c r="BD22" s="18" t="str">
        <f t="shared" si="5"/>
        <v>1, 2</v>
      </c>
    </row>
    <row r="23" spans="38:56" ht="15">
      <c r="AL23" s="145" t="s">
        <v>183</v>
      </c>
      <c r="AM23" s="145" t="s">
        <v>75</v>
      </c>
      <c r="AN23" s="145" t="s">
        <v>76</v>
      </c>
      <c r="AO23" s="146">
        <f>SUMIF(Ahu_Ashrae_sheet15[Zone],AHU1_CAV_SCHEDULE4451416[[#This Row],[ZONE]],Ahu_Ashrae_sheet15[DESIGN VAV MIN SA(CFM)])</f>
        <v>0</v>
      </c>
      <c r="AP23" s="145">
        <f>SUMIF(Ahu_Ashrae_sheet15[Zone],AHU1_CAV_SCHEDULE4451416[[#This Row],[ZONE]],Ahu_Ashrae_sheet15[DESIGN VAV MAX SA(CFM)])</f>
        <v>0</v>
      </c>
      <c r="AQ23" s="147" t="str">
        <f>IFERROR((VLOOKUP(AHU1_CAV_SCHEDULE4451416[[#This Row],[MAX VAV
(CFM)]],'DO NOT TOUCH'!$B$9:$C$14,2,TRUE)),"TBD")</f>
        <v>TBD</v>
      </c>
      <c r="AR23" s="147">
        <f t="shared" si="2"/>
        <v>0.5</v>
      </c>
      <c r="AS23" s="147">
        <f>AHU1_CAV_SCHEDULE4451416[[#This Row],[MIN VAV
(CFM)]]</f>
        <v>0</v>
      </c>
      <c r="AT23" s="147">
        <f>INPUT_OUTPUTS!$C$16</f>
        <v>140</v>
      </c>
      <c r="AU23" s="147">
        <f>INPUT_OUTPUTS!$C$17</f>
        <v>100</v>
      </c>
      <c r="AV23" s="147">
        <f t="shared" si="6"/>
        <v>55</v>
      </c>
      <c r="AW23" s="147">
        <f t="shared" si="6"/>
        <v>80</v>
      </c>
      <c r="AX23" s="147">
        <f>MROUND((1.08*(AW23-AV23)*AHU1_CAV_SCHEDULE4451416[[#This Row],[HEATING AIRFLOW 
(CFM)]])/1000,0.1)</f>
        <v>0</v>
      </c>
      <c r="AY23" s="148">
        <f t="shared" si="3"/>
        <v>0</v>
      </c>
      <c r="AZ23" s="148">
        <f t="shared" si="1"/>
        <v>0.5</v>
      </c>
      <c r="BA23" s="148">
        <f t="shared" si="4"/>
        <v>5</v>
      </c>
      <c r="BB23" s="148" t="str">
        <f>IFERROR((_xlfn.XLOOKUP(AQ23,'DO NOT TOUCH'!$C$9:$C$14,'DO NOT TOUCH'!$D$9:$D$14,)),"TBD")</f>
        <v>TBD</v>
      </c>
      <c r="BC23" s="148">
        <f>INPUT_OUTPUTS!$C$19</f>
        <v>0</v>
      </c>
      <c r="BD23" s="18" t="str">
        <f t="shared" si="5"/>
        <v>1, 2</v>
      </c>
    </row>
    <row r="24" spans="38:56" ht="15">
      <c r="AL24" s="145" t="s">
        <v>184</v>
      </c>
      <c r="AM24" s="145" t="s">
        <v>75</v>
      </c>
      <c r="AN24" s="145" t="s">
        <v>76</v>
      </c>
      <c r="AO24" s="146">
        <f>SUMIF(Ahu_Ashrae_sheet15[Zone],AHU1_CAV_SCHEDULE4451416[[#This Row],[ZONE]],Ahu_Ashrae_sheet15[DESIGN VAV MIN SA(CFM)])</f>
        <v>0</v>
      </c>
      <c r="AP24" s="145">
        <f>SUMIF(Ahu_Ashrae_sheet15[Zone],AHU1_CAV_SCHEDULE4451416[[#This Row],[ZONE]],Ahu_Ashrae_sheet15[DESIGN VAV MAX SA(CFM)])</f>
        <v>0</v>
      </c>
      <c r="AQ24" s="147" t="str">
        <f>IFERROR((VLOOKUP(AHU1_CAV_SCHEDULE4451416[[#This Row],[MAX VAV
(CFM)]],'DO NOT TOUCH'!$B$9:$C$14,2,TRUE)),"TBD")</f>
        <v>TBD</v>
      </c>
      <c r="AR24" s="147">
        <f t="shared" si="2"/>
        <v>0.5</v>
      </c>
      <c r="AS24" s="147">
        <f>AHU1_CAV_SCHEDULE4451416[[#This Row],[MIN VAV
(CFM)]]</f>
        <v>0</v>
      </c>
      <c r="AT24" s="147">
        <f>INPUT_OUTPUTS!$C$16</f>
        <v>140</v>
      </c>
      <c r="AU24" s="147">
        <f>INPUT_OUTPUTS!$C$17</f>
        <v>100</v>
      </c>
      <c r="AV24" s="147">
        <f t="shared" si="6"/>
        <v>55</v>
      </c>
      <c r="AW24" s="147">
        <f t="shared" si="6"/>
        <v>80</v>
      </c>
      <c r="AX24" s="147">
        <f>MROUND((1.08*(AW24-AV24)*AHU1_CAV_SCHEDULE4451416[[#This Row],[HEATING AIRFLOW 
(CFM)]])/1000,0.1)</f>
        <v>0</v>
      </c>
      <c r="AY24" s="148">
        <f t="shared" si="3"/>
        <v>0</v>
      </c>
      <c r="AZ24" s="148">
        <f t="shared" si="1"/>
        <v>0.5</v>
      </c>
      <c r="BA24" s="148">
        <f t="shared" si="4"/>
        <v>5</v>
      </c>
      <c r="BB24" s="148" t="str">
        <f>IFERROR((_xlfn.XLOOKUP(AQ24,'DO NOT TOUCH'!$C$9:$C$14,'DO NOT TOUCH'!$D$9:$D$14,)),"TBD")</f>
        <v>TBD</v>
      </c>
      <c r="BC24" s="148">
        <f>INPUT_OUTPUTS!$C$19</f>
        <v>0</v>
      </c>
      <c r="BD24" s="18" t="str">
        <f t="shared" si="5"/>
        <v>1, 2</v>
      </c>
    </row>
    <row r="25" spans="38:56" ht="15">
      <c r="AL25" s="145" t="s">
        <v>185</v>
      </c>
      <c r="AM25" s="145" t="s">
        <v>75</v>
      </c>
      <c r="AN25" s="145" t="s">
        <v>76</v>
      </c>
      <c r="AO25" s="146">
        <f>SUMIF(Ahu_Ashrae_sheet15[Zone],AHU1_CAV_SCHEDULE4451416[[#This Row],[ZONE]],Ahu_Ashrae_sheet15[DESIGN VAV MIN SA(CFM)])</f>
        <v>0</v>
      </c>
      <c r="AP25" s="145">
        <f>SUMIF(Ahu_Ashrae_sheet15[Zone],AHU1_CAV_SCHEDULE4451416[[#This Row],[ZONE]],Ahu_Ashrae_sheet15[DESIGN VAV MAX SA(CFM)])</f>
        <v>0</v>
      </c>
      <c r="AQ25" s="147" t="str">
        <f>IFERROR((VLOOKUP(AHU1_CAV_SCHEDULE4451416[[#This Row],[MAX VAV
(CFM)]],'DO NOT TOUCH'!$B$9:$C$14,2,TRUE)),"TBD")</f>
        <v>TBD</v>
      </c>
      <c r="AR25" s="147">
        <f t="shared" si="2"/>
        <v>0.5</v>
      </c>
      <c r="AS25" s="147">
        <f>AHU1_CAV_SCHEDULE4451416[[#This Row],[MIN VAV
(CFM)]]</f>
        <v>0</v>
      </c>
      <c r="AT25" s="147">
        <f>INPUT_OUTPUTS!$C$16</f>
        <v>140</v>
      </c>
      <c r="AU25" s="147">
        <f>INPUT_OUTPUTS!$C$17</f>
        <v>100</v>
      </c>
      <c r="AV25" s="147">
        <f t="shared" si="6"/>
        <v>55</v>
      </c>
      <c r="AW25" s="147">
        <f t="shared" si="6"/>
        <v>80</v>
      </c>
      <c r="AX25" s="147">
        <f>MROUND((1.08*(AW25-AV25)*AHU1_CAV_SCHEDULE4451416[[#This Row],[HEATING AIRFLOW 
(CFM)]])/1000,0.1)</f>
        <v>0</v>
      </c>
      <c r="AY25" s="148">
        <f t="shared" si="3"/>
        <v>0</v>
      </c>
      <c r="AZ25" s="148">
        <f t="shared" si="1"/>
        <v>0.5</v>
      </c>
      <c r="BA25" s="148">
        <f t="shared" si="4"/>
        <v>5</v>
      </c>
      <c r="BB25" s="148" t="str">
        <f>IFERROR((_xlfn.XLOOKUP(AQ25,'DO NOT TOUCH'!$C$9:$C$14,'DO NOT TOUCH'!$D$9:$D$14,)),"TBD")</f>
        <v>TBD</v>
      </c>
      <c r="BC25" s="148">
        <f>INPUT_OUTPUTS!$C$19</f>
        <v>0</v>
      </c>
      <c r="BD25" s="18" t="str">
        <f t="shared" si="5"/>
        <v>1, 2</v>
      </c>
    </row>
    <row r="26" spans="38:56" ht="15">
      <c r="AL26" s="145" t="s">
        <v>186</v>
      </c>
      <c r="AM26" s="145" t="s">
        <v>75</v>
      </c>
      <c r="AN26" s="145" t="s">
        <v>76</v>
      </c>
      <c r="AO26" s="146">
        <f>SUMIF(Ahu_Ashrae_sheet15[Zone],AHU1_CAV_SCHEDULE4451416[[#This Row],[ZONE]],Ahu_Ashrae_sheet15[DESIGN VAV MIN SA(CFM)])</f>
        <v>0</v>
      </c>
      <c r="AP26" s="145">
        <f>SUMIF(Ahu_Ashrae_sheet15[Zone],AHU1_CAV_SCHEDULE4451416[[#This Row],[ZONE]],Ahu_Ashrae_sheet15[DESIGN VAV MAX SA(CFM)])</f>
        <v>0</v>
      </c>
      <c r="AQ26" s="147" t="str">
        <f>IFERROR((VLOOKUP(AHU1_CAV_SCHEDULE4451416[[#This Row],[MAX VAV
(CFM)]],'DO NOT TOUCH'!$B$9:$C$14,2,TRUE)),"TBD")</f>
        <v>TBD</v>
      </c>
      <c r="AR26" s="147">
        <f t="shared" si="2"/>
        <v>0.5</v>
      </c>
      <c r="AS26" s="147">
        <f>AHU1_CAV_SCHEDULE4451416[[#This Row],[MIN VAV
(CFM)]]</f>
        <v>0</v>
      </c>
      <c r="AT26" s="147">
        <f>INPUT_OUTPUTS!$C$16</f>
        <v>140</v>
      </c>
      <c r="AU26" s="147">
        <f>INPUT_OUTPUTS!$C$17</f>
        <v>100</v>
      </c>
      <c r="AV26" s="147">
        <f t="shared" si="6"/>
        <v>55</v>
      </c>
      <c r="AW26" s="147">
        <f t="shared" si="6"/>
        <v>80</v>
      </c>
      <c r="AX26" s="147">
        <f>MROUND((1.08*(AW26-AV26)*AHU1_CAV_SCHEDULE4451416[[#This Row],[HEATING AIRFLOW 
(CFM)]])/1000,0.1)</f>
        <v>0</v>
      </c>
      <c r="AY26" s="148">
        <f t="shared" si="3"/>
        <v>0</v>
      </c>
      <c r="AZ26" s="148">
        <f t="shared" si="1"/>
        <v>0.5</v>
      </c>
      <c r="BA26" s="148">
        <f t="shared" si="4"/>
        <v>5</v>
      </c>
      <c r="BB26" s="148" t="str">
        <f>IFERROR((_xlfn.XLOOKUP(AQ26,'DO NOT TOUCH'!$C$9:$C$14,'DO NOT TOUCH'!$D$9:$D$14,)),"TBD")</f>
        <v>TBD</v>
      </c>
      <c r="BC26" s="148">
        <f>INPUT_OUTPUTS!$C$19</f>
        <v>0</v>
      </c>
      <c r="BD26" s="18" t="str">
        <f t="shared" si="5"/>
        <v>1, 2</v>
      </c>
    </row>
    <row r="27" spans="38:56" ht="15">
      <c r="AL27" s="145" t="s">
        <v>187</v>
      </c>
      <c r="AM27" s="145" t="s">
        <v>75</v>
      </c>
      <c r="AN27" s="145" t="s">
        <v>76</v>
      </c>
      <c r="AO27" s="146">
        <f>SUMIF(Ahu_Ashrae_sheet15[Zone],AHU1_CAV_SCHEDULE4451416[[#This Row],[ZONE]],Ahu_Ashrae_sheet15[DESIGN VAV MIN SA(CFM)])</f>
        <v>0</v>
      </c>
      <c r="AP27" s="145">
        <f>SUMIF(Ahu_Ashrae_sheet15[Zone],AHU1_CAV_SCHEDULE4451416[[#This Row],[ZONE]],Ahu_Ashrae_sheet15[DESIGN VAV MAX SA(CFM)])</f>
        <v>0</v>
      </c>
      <c r="AQ27" s="147" t="str">
        <f>IFERROR((VLOOKUP(AHU1_CAV_SCHEDULE4451416[[#This Row],[MAX VAV
(CFM)]],'DO NOT TOUCH'!$B$9:$C$14,2,TRUE)),"TBD")</f>
        <v>TBD</v>
      </c>
      <c r="AR27" s="147">
        <f t="shared" si="2"/>
        <v>0.5</v>
      </c>
      <c r="AS27" s="147">
        <f>AHU1_CAV_SCHEDULE4451416[[#This Row],[MIN VAV
(CFM)]]</f>
        <v>0</v>
      </c>
      <c r="AT27" s="147">
        <f>INPUT_OUTPUTS!$C$16</f>
        <v>140</v>
      </c>
      <c r="AU27" s="147">
        <f>INPUT_OUTPUTS!$C$17</f>
        <v>100</v>
      </c>
      <c r="AV27" s="147">
        <f t="shared" si="6"/>
        <v>55</v>
      </c>
      <c r="AW27" s="147">
        <f t="shared" si="6"/>
        <v>80</v>
      </c>
      <c r="AX27" s="147">
        <f>MROUND((1.08*(AW27-AV27)*AHU1_CAV_SCHEDULE4451416[[#This Row],[HEATING AIRFLOW 
(CFM)]])/1000,0.1)</f>
        <v>0</v>
      </c>
      <c r="AY27" s="148">
        <f t="shared" si="3"/>
        <v>0</v>
      </c>
      <c r="AZ27" s="148">
        <f t="shared" si="1"/>
        <v>0.5</v>
      </c>
      <c r="BA27" s="148">
        <f t="shared" si="4"/>
        <v>5</v>
      </c>
      <c r="BB27" s="148" t="str">
        <f>IFERROR((_xlfn.XLOOKUP(AQ27,'DO NOT TOUCH'!$C$9:$C$14,'DO NOT TOUCH'!$D$9:$D$14,)),"TBD")</f>
        <v>TBD</v>
      </c>
      <c r="BC27" s="148">
        <f>INPUT_OUTPUTS!$C$19</f>
        <v>0</v>
      </c>
      <c r="BD27" s="18" t="str">
        <f t="shared" si="5"/>
        <v>1, 2</v>
      </c>
    </row>
    <row r="28" spans="38:56" ht="15">
      <c r="AL28" s="145" t="s">
        <v>188</v>
      </c>
      <c r="AM28" s="145" t="s">
        <v>75</v>
      </c>
      <c r="AN28" s="145" t="s">
        <v>76</v>
      </c>
      <c r="AO28" s="146">
        <f>SUMIF(Ahu_Ashrae_sheet15[Zone],AHU1_CAV_SCHEDULE4451416[[#This Row],[ZONE]],Ahu_Ashrae_sheet15[DESIGN VAV MIN SA(CFM)])</f>
        <v>0</v>
      </c>
      <c r="AP28" s="145">
        <f>SUMIF(Ahu_Ashrae_sheet15[Zone],AHU1_CAV_SCHEDULE4451416[[#This Row],[ZONE]],Ahu_Ashrae_sheet15[DESIGN VAV MAX SA(CFM)])</f>
        <v>0</v>
      </c>
      <c r="AQ28" s="147" t="str">
        <f>IFERROR((VLOOKUP(AHU1_CAV_SCHEDULE4451416[[#This Row],[MAX VAV
(CFM)]],'DO NOT TOUCH'!$B$9:$C$14,2,TRUE)),"TBD")</f>
        <v>TBD</v>
      </c>
      <c r="AR28" s="147">
        <f t="shared" si="2"/>
        <v>0.5</v>
      </c>
      <c r="AS28" s="147">
        <f>AHU1_CAV_SCHEDULE4451416[[#This Row],[MIN VAV
(CFM)]]</f>
        <v>0</v>
      </c>
      <c r="AT28" s="147">
        <f>INPUT_OUTPUTS!$C$16</f>
        <v>140</v>
      </c>
      <c r="AU28" s="147">
        <f>INPUT_OUTPUTS!$C$17</f>
        <v>100</v>
      </c>
      <c r="AV28" s="147">
        <f t="shared" si="6"/>
        <v>55</v>
      </c>
      <c r="AW28" s="147">
        <f t="shared" si="6"/>
        <v>80</v>
      </c>
      <c r="AX28" s="147">
        <f>MROUND((1.08*(AW28-AV28)*AHU1_CAV_SCHEDULE4451416[[#This Row],[HEATING AIRFLOW 
(CFM)]])/1000,0.1)</f>
        <v>0</v>
      </c>
      <c r="AY28" s="148">
        <f t="shared" si="3"/>
        <v>0</v>
      </c>
      <c r="AZ28" s="148">
        <f t="shared" si="1"/>
        <v>0.5</v>
      </c>
      <c r="BA28" s="148">
        <f t="shared" si="4"/>
        <v>5</v>
      </c>
      <c r="BB28" s="148" t="str">
        <f>IFERROR((_xlfn.XLOOKUP(AQ28,'DO NOT TOUCH'!$C$9:$C$14,'DO NOT TOUCH'!$D$9:$D$14,)),"TBD")</f>
        <v>TBD</v>
      </c>
      <c r="BC28" s="148">
        <f>INPUT_OUTPUTS!$C$19</f>
        <v>0</v>
      </c>
      <c r="BD28" s="18" t="str">
        <f t="shared" si="5"/>
        <v>1, 2</v>
      </c>
    </row>
    <row r="29" spans="38:56" ht="15">
      <c r="AL29" s="145" t="s">
        <v>189</v>
      </c>
      <c r="AM29" s="145" t="s">
        <v>75</v>
      </c>
      <c r="AN29" s="145" t="s">
        <v>76</v>
      </c>
      <c r="AO29" s="146">
        <f>SUMIF(Ahu_Ashrae_sheet15[Zone],AHU1_CAV_SCHEDULE4451416[[#This Row],[ZONE]],Ahu_Ashrae_sheet15[DESIGN VAV MIN SA(CFM)])</f>
        <v>0</v>
      </c>
      <c r="AP29" s="145">
        <f>SUMIF(Ahu_Ashrae_sheet15[Zone],AHU1_CAV_SCHEDULE4451416[[#This Row],[ZONE]],Ahu_Ashrae_sheet15[DESIGN VAV MAX SA(CFM)])</f>
        <v>0</v>
      </c>
      <c r="AQ29" s="147" t="str">
        <f>IFERROR((VLOOKUP(AHU1_CAV_SCHEDULE4451416[[#This Row],[MAX VAV
(CFM)]],'DO NOT TOUCH'!$B$9:$C$14,2,TRUE)),"TBD")</f>
        <v>TBD</v>
      </c>
      <c r="AR29" s="147">
        <f t="shared" si="2"/>
        <v>0.5</v>
      </c>
      <c r="AS29" s="147">
        <f>AHU1_CAV_SCHEDULE4451416[[#This Row],[MIN VAV
(CFM)]]</f>
        <v>0</v>
      </c>
      <c r="AT29" s="147">
        <f>INPUT_OUTPUTS!$C$16</f>
        <v>140</v>
      </c>
      <c r="AU29" s="147">
        <f>INPUT_OUTPUTS!$C$17</f>
        <v>100</v>
      </c>
      <c r="AV29" s="147">
        <f t="shared" si="6"/>
        <v>55</v>
      </c>
      <c r="AW29" s="147">
        <f t="shared" si="6"/>
        <v>80</v>
      </c>
      <c r="AX29" s="147">
        <f>MROUND((1.08*(AW29-AV29)*AHU1_CAV_SCHEDULE4451416[[#This Row],[HEATING AIRFLOW 
(CFM)]])/1000,0.1)</f>
        <v>0</v>
      </c>
      <c r="AY29" s="148">
        <f t="shared" si="3"/>
        <v>0</v>
      </c>
      <c r="AZ29" s="148">
        <f t="shared" si="1"/>
        <v>0.5</v>
      </c>
      <c r="BA29" s="148">
        <f t="shared" si="4"/>
        <v>5</v>
      </c>
      <c r="BB29" s="148" t="str">
        <f>IFERROR((_xlfn.XLOOKUP(AQ29,'DO NOT TOUCH'!$C$9:$C$14,'DO NOT TOUCH'!$D$9:$D$14,)),"TBD")</f>
        <v>TBD</v>
      </c>
      <c r="BC29" s="148">
        <f>INPUT_OUTPUTS!$C$19</f>
        <v>0</v>
      </c>
      <c r="BD29" s="18" t="str">
        <f t="shared" si="5"/>
        <v>1, 2</v>
      </c>
    </row>
    <row r="30" spans="38:56" ht="15">
      <c r="AL30" s="145" t="s">
        <v>190</v>
      </c>
      <c r="AM30" s="145" t="s">
        <v>75</v>
      </c>
      <c r="AN30" s="145" t="s">
        <v>76</v>
      </c>
      <c r="AO30" s="146">
        <f>SUMIF(Ahu_Ashrae_sheet15[Zone],AHU1_CAV_SCHEDULE4451416[[#This Row],[ZONE]],Ahu_Ashrae_sheet15[DESIGN VAV MIN SA(CFM)])</f>
        <v>0</v>
      </c>
      <c r="AP30" s="145">
        <f>SUMIF(Ahu_Ashrae_sheet15[Zone],AHU1_CAV_SCHEDULE4451416[[#This Row],[ZONE]],Ahu_Ashrae_sheet15[DESIGN VAV MAX SA(CFM)])</f>
        <v>0</v>
      </c>
      <c r="AQ30" s="147" t="str">
        <f>IFERROR((VLOOKUP(AHU1_CAV_SCHEDULE4451416[[#This Row],[MAX VAV
(CFM)]],'DO NOT TOUCH'!$B$9:$C$14,2,TRUE)),"TBD")</f>
        <v>TBD</v>
      </c>
      <c r="AR30" s="147">
        <f t="shared" si="2"/>
        <v>0.5</v>
      </c>
      <c r="AS30" s="147">
        <f>AHU1_CAV_SCHEDULE4451416[[#This Row],[MIN VAV
(CFM)]]</f>
        <v>0</v>
      </c>
      <c r="AT30" s="147">
        <f>INPUT_OUTPUTS!$C$16</f>
        <v>140</v>
      </c>
      <c r="AU30" s="147">
        <f>INPUT_OUTPUTS!$C$17</f>
        <v>100</v>
      </c>
      <c r="AV30" s="147">
        <f t="shared" si="6"/>
        <v>55</v>
      </c>
      <c r="AW30" s="147">
        <f t="shared" si="6"/>
        <v>80</v>
      </c>
      <c r="AX30" s="147">
        <f>MROUND((1.08*(AW30-AV30)*AHU1_CAV_SCHEDULE4451416[[#This Row],[HEATING AIRFLOW 
(CFM)]])/1000,0.1)</f>
        <v>0</v>
      </c>
      <c r="AY30" s="148">
        <f t="shared" si="3"/>
        <v>0</v>
      </c>
      <c r="AZ30" s="148">
        <f t="shared" si="1"/>
        <v>0.5</v>
      </c>
      <c r="BA30" s="148">
        <f t="shared" si="4"/>
        <v>5</v>
      </c>
      <c r="BB30" s="148" t="str">
        <f>IFERROR((_xlfn.XLOOKUP(AQ30,'DO NOT TOUCH'!$C$9:$C$14,'DO NOT TOUCH'!$D$9:$D$14,)),"TBD")</f>
        <v>TBD</v>
      </c>
      <c r="BC30" s="148">
        <f>INPUT_OUTPUTS!$C$19</f>
        <v>0</v>
      </c>
      <c r="BD30" s="18" t="str">
        <f t="shared" si="5"/>
        <v>1, 2</v>
      </c>
    </row>
    <row r="31" spans="38:56" ht="15">
      <c r="AL31" s="145" t="s">
        <v>191</v>
      </c>
      <c r="AM31" s="145" t="s">
        <v>75</v>
      </c>
      <c r="AN31" s="145" t="s">
        <v>76</v>
      </c>
      <c r="AO31" s="146">
        <f>SUMIF(Ahu_Ashrae_sheet15[Zone],AHU1_CAV_SCHEDULE4451416[[#This Row],[ZONE]],Ahu_Ashrae_sheet15[DESIGN VAV MIN SA(CFM)])</f>
        <v>0</v>
      </c>
      <c r="AP31" s="145">
        <f>SUMIF(Ahu_Ashrae_sheet15[Zone],AHU1_CAV_SCHEDULE4451416[[#This Row],[ZONE]],Ahu_Ashrae_sheet15[DESIGN VAV MAX SA(CFM)])</f>
        <v>0</v>
      </c>
      <c r="AQ31" s="147" t="str">
        <f>IFERROR((VLOOKUP(AHU1_CAV_SCHEDULE4451416[[#This Row],[MAX VAV
(CFM)]],'DO NOT TOUCH'!$B$9:$C$14,2,TRUE)),"TBD")</f>
        <v>TBD</v>
      </c>
      <c r="AR31" s="147">
        <f t="shared" si="2"/>
        <v>0.5</v>
      </c>
      <c r="AS31" s="147">
        <f>AHU1_CAV_SCHEDULE4451416[[#This Row],[MIN VAV
(CFM)]]</f>
        <v>0</v>
      </c>
      <c r="AT31" s="147">
        <f>INPUT_OUTPUTS!$C$16</f>
        <v>140</v>
      </c>
      <c r="AU31" s="147">
        <f>INPUT_OUTPUTS!$C$17</f>
        <v>100</v>
      </c>
      <c r="AV31" s="147">
        <f t="shared" si="6"/>
        <v>55</v>
      </c>
      <c r="AW31" s="147">
        <f t="shared" si="6"/>
        <v>80</v>
      </c>
      <c r="AX31" s="147">
        <f>MROUND((1.08*(AW31-AV31)*AHU1_CAV_SCHEDULE4451416[[#This Row],[HEATING AIRFLOW 
(CFM)]])/1000,0.1)</f>
        <v>0</v>
      </c>
      <c r="AY31" s="148">
        <f t="shared" si="3"/>
        <v>0</v>
      </c>
      <c r="AZ31" s="148">
        <f t="shared" si="1"/>
        <v>0.5</v>
      </c>
      <c r="BA31" s="148">
        <f t="shared" si="4"/>
        <v>5</v>
      </c>
      <c r="BB31" s="148" t="str">
        <f>IFERROR((_xlfn.XLOOKUP(AQ31,'DO NOT TOUCH'!$C$9:$C$14,'DO NOT TOUCH'!$D$9:$D$14,)),"TBD")</f>
        <v>TBD</v>
      </c>
      <c r="BC31" s="148">
        <f>INPUT_OUTPUTS!$C$19</f>
        <v>0</v>
      </c>
      <c r="BD31" s="18" t="str">
        <f t="shared" si="5"/>
        <v>1, 2</v>
      </c>
    </row>
    <row r="32" spans="38:56" ht="15">
      <c r="AL32" s="145" t="s">
        <v>192</v>
      </c>
      <c r="AM32" s="145" t="s">
        <v>75</v>
      </c>
      <c r="AN32" s="145" t="s">
        <v>76</v>
      </c>
      <c r="AO32" s="146">
        <f>SUMIF(Ahu_Ashrae_sheet15[Zone],AHU1_CAV_SCHEDULE4451416[[#This Row],[ZONE]],Ahu_Ashrae_sheet15[DESIGN VAV MIN SA(CFM)])</f>
        <v>0</v>
      </c>
      <c r="AP32" s="145">
        <f>SUMIF(Ahu_Ashrae_sheet15[Zone],AHU1_CAV_SCHEDULE4451416[[#This Row],[ZONE]],Ahu_Ashrae_sheet15[DESIGN VAV MAX SA(CFM)])</f>
        <v>0</v>
      </c>
      <c r="AQ32" s="147" t="str">
        <f>IFERROR((VLOOKUP(AHU1_CAV_SCHEDULE4451416[[#This Row],[MAX VAV
(CFM)]],'DO NOT TOUCH'!$B$9:$C$14,2,TRUE)),"TBD")</f>
        <v>TBD</v>
      </c>
      <c r="AR32" s="147">
        <f t="shared" si="2"/>
        <v>0.5</v>
      </c>
      <c r="AS32" s="147">
        <f>AHU1_CAV_SCHEDULE4451416[[#This Row],[MIN VAV
(CFM)]]</f>
        <v>0</v>
      </c>
      <c r="AT32" s="147">
        <f>INPUT_OUTPUTS!$C$16</f>
        <v>140</v>
      </c>
      <c r="AU32" s="147">
        <f>INPUT_OUTPUTS!$C$17</f>
        <v>100</v>
      </c>
      <c r="AV32" s="147">
        <f t="shared" si="6"/>
        <v>55</v>
      </c>
      <c r="AW32" s="147">
        <f t="shared" si="6"/>
        <v>80</v>
      </c>
      <c r="AX32" s="147">
        <f>MROUND((1.08*(AW32-AV32)*AHU1_CAV_SCHEDULE4451416[[#This Row],[HEATING AIRFLOW 
(CFM)]])/1000,0.1)</f>
        <v>0</v>
      </c>
      <c r="AY32" s="148">
        <f t="shared" si="3"/>
        <v>0</v>
      </c>
      <c r="AZ32" s="148">
        <f t="shared" si="1"/>
        <v>0.5</v>
      </c>
      <c r="BA32" s="148">
        <f t="shared" si="4"/>
        <v>5</v>
      </c>
      <c r="BB32" s="148" t="str">
        <f>IFERROR((_xlfn.XLOOKUP(AQ32,'DO NOT TOUCH'!$C$9:$C$14,'DO NOT TOUCH'!$D$9:$D$14,)),"TBD")</f>
        <v>TBD</v>
      </c>
      <c r="BC32" s="148">
        <f>INPUT_OUTPUTS!$C$19</f>
        <v>0</v>
      </c>
      <c r="BD32" s="18" t="str">
        <f t="shared" si="5"/>
        <v>1, 2</v>
      </c>
    </row>
    <row r="33" spans="38:56" ht="15">
      <c r="AL33" s="145" t="s">
        <v>193</v>
      </c>
      <c r="AM33" s="145" t="s">
        <v>75</v>
      </c>
      <c r="AN33" s="145" t="s">
        <v>76</v>
      </c>
      <c r="AO33" s="146">
        <f>SUMIF(Ahu_Ashrae_sheet15[Zone],AHU1_CAV_SCHEDULE4451416[[#This Row],[ZONE]],Ahu_Ashrae_sheet15[DESIGN VAV MIN SA(CFM)])</f>
        <v>0</v>
      </c>
      <c r="AP33" s="145">
        <f>SUMIF(Ahu_Ashrae_sheet15[Zone],AHU1_CAV_SCHEDULE4451416[[#This Row],[ZONE]],Ahu_Ashrae_sheet15[DESIGN VAV MAX SA(CFM)])</f>
        <v>0</v>
      </c>
      <c r="AQ33" s="147" t="str">
        <f>IFERROR((VLOOKUP(AHU1_CAV_SCHEDULE4451416[[#This Row],[MAX VAV
(CFM)]],'DO NOT TOUCH'!$B$9:$C$14,2,TRUE)),"TBD")</f>
        <v>TBD</v>
      </c>
      <c r="AR33" s="147">
        <f t="shared" si="2"/>
        <v>0.5</v>
      </c>
      <c r="AS33" s="147">
        <f>AHU1_CAV_SCHEDULE4451416[[#This Row],[MIN VAV
(CFM)]]</f>
        <v>0</v>
      </c>
      <c r="AT33" s="147">
        <f>INPUT_OUTPUTS!$C$16</f>
        <v>140</v>
      </c>
      <c r="AU33" s="147">
        <f>INPUT_OUTPUTS!$C$17</f>
        <v>100</v>
      </c>
      <c r="AV33" s="147">
        <f t="shared" si="6"/>
        <v>55</v>
      </c>
      <c r="AW33" s="147">
        <f t="shared" si="6"/>
        <v>80</v>
      </c>
      <c r="AX33" s="147">
        <f>MROUND((1.08*(AW33-AV33)*AHU1_CAV_SCHEDULE4451416[[#This Row],[HEATING AIRFLOW 
(CFM)]])/1000,0.1)</f>
        <v>0</v>
      </c>
      <c r="AY33" s="148">
        <f t="shared" si="3"/>
        <v>0</v>
      </c>
      <c r="AZ33" s="148">
        <f t="shared" si="1"/>
        <v>0.5</v>
      </c>
      <c r="BA33" s="148">
        <f t="shared" si="4"/>
        <v>5</v>
      </c>
      <c r="BB33" s="148" t="str">
        <f>IFERROR((_xlfn.XLOOKUP(AQ33,'DO NOT TOUCH'!$C$9:$C$14,'DO NOT TOUCH'!$D$9:$D$14,)),"TBD")</f>
        <v>TBD</v>
      </c>
      <c r="BC33" s="148">
        <f>INPUT_OUTPUTS!$C$19</f>
        <v>0</v>
      </c>
      <c r="BD33" s="18" t="str">
        <f t="shared" si="5"/>
        <v>1, 2</v>
      </c>
    </row>
    <row r="34" spans="38:56" ht="15">
      <c r="AL34" s="145" t="s">
        <v>194</v>
      </c>
      <c r="AM34" s="145" t="s">
        <v>75</v>
      </c>
      <c r="AN34" s="145" t="s">
        <v>76</v>
      </c>
      <c r="AO34" s="146">
        <f>SUMIF(Ahu_Ashrae_sheet15[Zone],AHU1_CAV_SCHEDULE4451416[[#This Row],[ZONE]],Ahu_Ashrae_sheet15[DESIGN VAV MIN SA(CFM)])</f>
        <v>0</v>
      </c>
      <c r="AP34" s="145">
        <f>SUMIF(Ahu_Ashrae_sheet15[Zone],AHU1_CAV_SCHEDULE4451416[[#This Row],[ZONE]],Ahu_Ashrae_sheet15[DESIGN VAV MAX SA(CFM)])</f>
        <v>0</v>
      </c>
      <c r="AQ34" s="147" t="str">
        <f>IFERROR((VLOOKUP(AHU1_CAV_SCHEDULE4451416[[#This Row],[MAX VAV
(CFM)]],'DO NOT TOUCH'!$B$9:$C$14,2,TRUE)),"TBD")</f>
        <v>TBD</v>
      </c>
      <c r="AR34" s="147">
        <f t="shared" si="2"/>
        <v>0.5</v>
      </c>
      <c r="AS34" s="147">
        <f>AHU1_CAV_SCHEDULE4451416[[#This Row],[MIN VAV
(CFM)]]</f>
        <v>0</v>
      </c>
      <c r="AT34" s="147">
        <f>INPUT_OUTPUTS!$C$16</f>
        <v>140</v>
      </c>
      <c r="AU34" s="147">
        <f>INPUT_OUTPUTS!$C$17</f>
        <v>100</v>
      </c>
      <c r="AV34" s="147">
        <f t="shared" si="6"/>
        <v>55</v>
      </c>
      <c r="AW34" s="147">
        <f t="shared" si="6"/>
        <v>80</v>
      </c>
      <c r="AX34" s="147">
        <f>MROUND((1.08*(AW34-AV34)*AHU1_CAV_SCHEDULE4451416[[#This Row],[HEATING AIRFLOW 
(CFM)]])/1000,0.1)</f>
        <v>0</v>
      </c>
      <c r="AY34" s="148">
        <f t="shared" si="3"/>
        <v>0</v>
      </c>
      <c r="AZ34" s="148">
        <f t="shared" si="1"/>
        <v>0.5</v>
      </c>
      <c r="BA34" s="148">
        <f t="shared" si="4"/>
        <v>5</v>
      </c>
      <c r="BB34" s="148" t="str">
        <f>IFERROR((_xlfn.XLOOKUP(AQ34,'DO NOT TOUCH'!$C$9:$C$14,'DO NOT TOUCH'!$D$9:$D$14,)),"TBD")</f>
        <v>TBD</v>
      </c>
      <c r="BC34" s="148">
        <f>INPUT_OUTPUTS!$C$19</f>
        <v>0</v>
      </c>
      <c r="BD34" s="18" t="str">
        <f t="shared" si="5"/>
        <v>1, 2</v>
      </c>
    </row>
    <row r="35" spans="38:56" ht="15">
      <c r="AL35" s="145" t="s">
        <v>195</v>
      </c>
      <c r="AM35" s="145" t="s">
        <v>75</v>
      </c>
      <c r="AN35" s="145" t="s">
        <v>76</v>
      </c>
      <c r="AO35" s="146">
        <f>SUMIF(Ahu_Ashrae_sheet15[Zone],AHU1_CAV_SCHEDULE4451416[[#This Row],[ZONE]],Ahu_Ashrae_sheet15[DESIGN VAV MIN SA(CFM)])</f>
        <v>0</v>
      </c>
      <c r="AP35" s="145">
        <f>SUMIF(Ahu_Ashrae_sheet15[Zone],AHU1_CAV_SCHEDULE4451416[[#This Row],[ZONE]],Ahu_Ashrae_sheet15[DESIGN VAV MAX SA(CFM)])</f>
        <v>0</v>
      </c>
      <c r="AQ35" s="147" t="str">
        <f>IFERROR((VLOOKUP(AHU1_CAV_SCHEDULE4451416[[#This Row],[MAX VAV
(CFM)]],'DO NOT TOUCH'!$B$9:$C$14,2,TRUE)),"TBD")</f>
        <v>TBD</v>
      </c>
      <c r="AR35" s="147">
        <f t="shared" si="2"/>
        <v>0.5</v>
      </c>
      <c r="AS35" s="147">
        <f>AHU1_CAV_SCHEDULE4451416[[#This Row],[MIN VAV
(CFM)]]</f>
        <v>0</v>
      </c>
      <c r="AT35" s="147">
        <f>INPUT_OUTPUTS!$C$16</f>
        <v>140</v>
      </c>
      <c r="AU35" s="147">
        <f>INPUT_OUTPUTS!$C$17</f>
        <v>100</v>
      </c>
      <c r="AV35" s="147">
        <f t="shared" si="6"/>
        <v>55</v>
      </c>
      <c r="AW35" s="147">
        <f t="shared" si="6"/>
        <v>80</v>
      </c>
      <c r="AX35" s="147">
        <f>MROUND((1.08*(AW35-AV35)*AHU1_CAV_SCHEDULE4451416[[#This Row],[HEATING AIRFLOW 
(CFM)]])/1000,0.1)</f>
        <v>0</v>
      </c>
      <c r="AY35" s="148">
        <f t="shared" si="3"/>
        <v>0</v>
      </c>
      <c r="AZ35" s="148">
        <f t="shared" si="1"/>
        <v>0.5</v>
      </c>
      <c r="BA35" s="148">
        <f t="shared" si="4"/>
        <v>5</v>
      </c>
      <c r="BB35" s="148" t="str">
        <f>IFERROR((_xlfn.XLOOKUP(AQ35,'DO NOT TOUCH'!$C$9:$C$14,'DO NOT TOUCH'!$D$9:$D$14,)),"TBD")</f>
        <v>TBD</v>
      </c>
      <c r="BC35" s="148">
        <f>INPUT_OUTPUTS!$C$19</f>
        <v>0</v>
      </c>
      <c r="BD35" s="18" t="str">
        <f t="shared" si="5"/>
        <v>1, 2</v>
      </c>
    </row>
    <row r="36" spans="38:56" ht="15">
      <c r="AL36" s="145" t="s">
        <v>196</v>
      </c>
      <c r="AM36" s="145" t="s">
        <v>75</v>
      </c>
      <c r="AN36" s="145" t="s">
        <v>76</v>
      </c>
      <c r="AO36" s="146">
        <f>SUMIF(Ahu_Ashrae_sheet15[Zone],AHU1_CAV_SCHEDULE4451416[[#This Row],[ZONE]],Ahu_Ashrae_sheet15[DESIGN VAV MIN SA(CFM)])</f>
        <v>0</v>
      </c>
      <c r="AP36" s="145">
        <f>SUMIF(Ahu_Ashrae_sheet15[Zone],AHU1_CAV_SCHEDULE4451416[[#This Row],[ZONE]],Ahu_Ashrae_sheet15[DESIGN VAV MAX SA(CFM)])</f>
        <v>0</v>
      </c>
      <c r="AQ36" s="147" t="str">
        <f>IFERROR((VLOOKUP(AHU1_CAV_SCHEDULE4451416[[#This Row],[MAX VAV
(CFM)]],'DO NOT TOUCH'!$B$9:$C$14,2,TRUE)),"TBD")</f>
        <v>TBD</v>
      </c>
      <c r="AR36" s="147">
        <f t="shared" si="2"/>
        <v>0.5</v>
      </c>
      <c r="AS36" s="147">
        <f>AHU1_CAV_SCHEDULE4451416[[#This Row],[MIN VAV
(CFM)]]</f>
        <v>0</v>
      </c>
      <c r="AT36" s="147">
        <f>INPUT_OUTPUTS!$C$16</f>
        <v>140</v>
      </c>
      <c r="AU36" s="147">
        <f>INPUT_OUTPUTS!$C$17</f>
        <v>100</v>
      </c>
      <c r="AV36" s="147">
        <f t="shared" ref="AV36:AW40" si="7">AV35</f>
        <v>55</v>
      </c>
      <c r="AW36" s="147">
        <f t="shared" si="7"/>
        <v>80</v>
      </c>
      <c r="AX36" s="147">
        <f>MROUND((1.08*(AW36-AV36)*AHU1_CAV_SCHEDULE4451416[[#This Row],[HEATING AIRFLOW 
(CFM)]])/1000,0.1)</f>
        <v>0</v>
      </c>
      <c r="AY36" s="148">
        <f t="shared" si="3"/>
        <v>0</v>
      </c>
      <c r="AZ36" s="148">
        <f t="shared" si="1"/>
        <v>0.5</v>
      </c>
      <c r="BA36" s="148">
        <f t="shared" si="4"/>
        <v>5</v>
      </c>
      <c r="BB36" s="148" t="str">
        <f>IFERROR((_xlfn.XLOOKUP(AQ36,'DO NOT TOUCH'!$C$9:$C$14,'DO NOT TOUCH'!$D$9:$D$14,)),"TBD")</f>
        <v>TBD</v>
      </c>
      <c r="BC36" s="148">
        <f>INPUT_OUTPUTS!$C$19</f>
        <v>0</v>
      </c>
      <c r="BD36" s="18" t="str">
        <f t="shared" si="5"/>
        <v>1, 2</v>
      </c>
    </row>
    <row r="37" spans="38:56" ht="15">
      <c r="AL37" s="145" t="s">
        <v>197</v>
      </c>
      <c r="AM37" s="145" t="s">
        <v>75</v>
      </c>
      <c r="AN37" s="145" t="s">
        <v>76</v>
      </c>
      <c r="AO37" s="146">
        <f>SUMIF(Ahu_Ashrae_sheet15[Zone],AHU1_CAV_SCHEDULE4451416[[#This Row],[ZONE]],Ahu_Ashrae_sheet15[DESIGN VAV MIN SA(CFM)])</f>
        <v>0</v>
      </c>
      <c r="AP37" s="145">
        <f>SUMIF(Ahu_Ashrae_sheet15[Zone],AHU1_CAV_SCHEDULE4451416[[#This Row],[ZONE]],Ahu_Ashrae_sheet15[DESIGN VAV MAX SA(CFM)])</f>
        <v>0</v>
      </c>
      <c r="AQ37" s="147" t="str">
        <f>IFERROR((VLOOKUP(AHU1_CAV_SCHEDULE4451416[[#This Row],[MAX VAV
(CFM)]],'DO NOT TOUCH'!$B$9:$C$14,2,TRUE)),"TBD")</f>
        <v>TBD</v>
      </c>
      <c r="AR37" s="147">
        <f t="shared" si="2"/>
        <v>0.5</v>
      </c>
      <c r="AS37" s="147">
        <f>AHU1_CAV_SCHEDULE4451416[[#This Row],[MIN VAV
(CFM)]]</f>
        <v>0</v>
      </c>
      <c r="AT37" s="147">
        <f>INPUT_OUTPUTS!$C$16</f>
        <v>140</v>
      </c>
      <c r="AU37" s="147">
        <f>INPUT_OUTPUTS!$C$17</f>
        <v>100</v>
      </c>
      <c r="AV37" s="147">
        <f t="shared" si="7"/>
        <v>55</v>
      </c>
      <c r="AW37" s="147">
        <f t="shared" si="7"/>
        <v>80</v>
      </c>
      <c r="AX37" s="147">
        <f>MROUND((1.08*(AW37-AV37)*AHU1_CAV_SCHEDULE4451416[[#This Row],[HEATING AIRFLOW 
(CFM)]])/1000,0.1)</f>
        <v>0</v>
      </c>
      <c r="AY37" s="148">
        <f t="shared" si="3"/>
        <v>0</v>
      </c>
      <c r="AZ37" s="148">
        <f t="shared" si="1"/>
        <v>0.5</v>
      </c>
      <c r="BA37" s="148">
        <f t="shared" si="4"/>
        <v>5</v>
      </c>
      <c r="BB37" s="148" t="str">
        <f>IFERROR((_xlfn.XLOOKUP(AQ37,'DO NOT TOUCH'!$C$9:$C$14,'DO NOT TOUCH'!$D$9:$D$14,)),"TBD")</f>
        <v>TBD</v>
      </c>
      <c r="BC37" s="148">
        <f>INPUT_OUTPUTS!$C$19</f>
        <v>0</v>
      </c>
      <c r="BD37" s="18" t="str">
        <f t="shared" si="5"/>
        <v>1, 2</v>
      </c>
    </row>
    <row r="38" spans="38:56" ht="15">
      <c r="AL38" s="145" t="s">
        <v>198</v>
      </c>
      <c r="AM38" s="145" t="s">
        <v>75</v>
      </c>
      <c r="AN38" s="145" t="s">
        <v>76</v>
      </c>
      <c r="AO38" s="146">
        <f>SUMIF(Ahu_Ashrae_sheet15[Zone],AHU1_CAV_SCHEDULE4451416[[#This Row],[ZONE]],Ahu_Ashrae_sheet15[DESIGN VAV MIN SA(CFM)])</f>
        <v>0</v>
      </c>
      <c r="AP38" s="145">
        <f>SUMIF(Ahu_Ashrae_sheet15[Zone],AHU1_CAV_SCHEDULE4451416[[#This Row],[ZONE]],Ahu_Ashrae_sheet15[DESIGN VAV MAX SA(CFM)])</f>
        <v>0</v>
      </c>
      <c r="AQ38" s="147" t="str">
        <f>IFERROR((VLOOKUP(AHU1_CAV_SCHEDULE4451416[[#This Row],[MAX VAV
(CFM)]],'DO NOT TOUCH'!$B$9:$C$14,2,TRUE)),"TBD")</f>
        <v>TBD</v>
      </c>
      <c r="AR38" s="147">
        <f t="shared" si="2"/>
        <v>0.5</v>
      </c>
      <c r="AS38" s="147">
        <f>AHU1_CAV_SCHEDULE4451416[[#This Row],[MIN VAV
(CFM)]]</f>
        <v>0</v>
      </c>
      <c r="AT38" s="147">
        <f>INPUT_OUTPUTS!$C$16</f>
        <v>140</v>
      </c>
      <c r="AU38" s="147">
        <f>INPUT_OUTPUTS!$C$17</f>
        <v>100</v>
      </c>
      <c r="AV38" s="147">
        <f t="shared" si="7"/>
        <v>55</v>
      </c>
      <c r="AW38" s="147">
        <f t="shared" si="7"/>
        <v>80</v>
      </c>
      <c r="AX38" s="147">
        <f>MROUND((1.08*(AW38-AV38)*AHU1_CAV_SCHEDULE4451416[[#This Row],[HEATING AIRFLOW 
(CFM)]])/1000,0.1)</f>
        <v>0</v>
      </c>
      <c r="AY38" s="148">
        <f t="shared" si="3"/>
        <v>0</v>
      </c>
      <c r="AZ38" s="148">
        <f t="shared" si="1"/>
        <v>0.5</v>
      </c>
      <c r="BA38" s="148">
        <f t="shared" si="4"/>
        <v>5</v>
      </c>
      <c r="BB38" s="148" t="str">
        <f>IFERROR((_xlfn.XLOOKUP(AQ38,'DO NOT TOUCH'!$C$9:$C$14,'DO NOT TOUCH'!$D$9:$D$14,)),"TBD")</f>
        <v>TBD</v>
      </c>
      <c r="BC38" s="148">
        <f>INPUT_OUTPUTS!$C$19</f>
        <v>0</v>
      </c>
      <c r="BD38" s="18" t="str">
        <f t="shared" si="5"/>
        <v>1, 2</v>
      </c>
    </row>
    <row r="39" spans="38:56" ht="15">
      <c r="AL39" s="145" t="s">
        <v>199</v>
      </c>
      <c r="AM39" s="145" t="s">
        <v>75</v>
      </c>
      <c r="AN39" s="145" t="s">
        <v>76</v>
      </c>
      <c r="AO39" s="146">
        <f>SUMIF(Ahu_Ashrae_sheet15[Zone],AHU1_CAV_SCHEDULE4451416[[#This Row],[ZONE]],Ahu_Ashrae_sheet15[DESIGN VAV MIN SA(CFM)])</f>
        <v>0</v>
      </c>
      <c r="AP39" s="145">
        <f>SUMIF(Ahu_Ashrae_sheet15[Zone],AHU1_CAV_SCHEDULE4451416[[#This Row],[ZONE]],Ahu_Ashrae_sheet15[DESIGN VAV MAX SA(CFM)])</f>
        <v>0</v>
      </c>
      <c r="AQ39" s="147" t="str">
        <f>IFERROR((VLOOKUP(AHU1_CAV_SCHEDULE4451416[[#This Row],[MAX VAV
(CFM)]],'DO NOT TOUCH'!$B$9:$C$14,2,TRUE)),"TBD")</f>
        <v>TBD</v>
      </c>
      <c r="AR39" s="147">
        <f t="shared" si="2"/>
        <v>0.5</v>
      </c>
      <c r="AS39" s="147">
        <f>AHU1_CAV_SCHEDULE4451416[[#This Row],[MIN VAV
(CFM)]]</f>
        <v>0</v>
      </c>
      <c r="AT39" s="147">
        <f>INPUT_OUTPUTS!$C$16</f>
        <v>140</v>
      </c>
      <c r="AU39" s="147">
        <f>INPUT_OUTPUTS!$C$17</f>
        <v>100</v>
      </c>
      <c r="AV39" s="147">
        <f t="shared" si="7"/>
        <v>55</v>
      </c>
      <c r="AW39" s="147">
        <f t="shared" si="7"/>
        <v>80</v>
      </c>
      <c r="AX39" s="147">
        <f>MROUND((1.08*(AW39-AV39)*AHU1_CAV_SCHEDULE4451416[[#This Row],[HEATING AIRFLOW 
(CFM)]])/1000,0.1)</f>
        <v>0</v>
      </c>
      <c r="AY39" s="148">
        <f t="shared" si="3"/>
        <v>0</v>
      </c>
      <c r="AZ39" s="148">
        <f t="shared" si="1"/>
        <v>0.5</v>
      </c>
      <c r="BA39" s="148">
        <f t="shared" si="4"/>
        <v>5</v>
      </c>
      <c r="BB39" s="148" t="str">
        <f>IFERROR((_xlfn.XLOOKUP(AQ39,'DO NOT TOUCH'!$C$9:$C$14,'DO NOT TOUCH'!$D$9:$D$14,)),"TBD")</f>
        <v>TBD</v>
      </c>
      <c r="BC39" s="148">
        <f>INPUT_OUTPUTS!$C$19</f>
        <v>0</v>
      </c>
      <c r="BD39" s="18" t="str">
        <f t="shared" si="5"/>
        <v>1, 2</v>
      </c>
    </row>
    <row r="40" spans="38:56" ht="15">
      <c r="AL40" s="145" t="s">
        <v>200</v>
      </c>
      <c r="AM40" s="149" t="s">
        <v>75</v>
      </c>
      <c r="AN40" s="149" t="s">
        <v>76</v>
      </c>
      <c r="AO40" s="146">
        <f>SUMIF(Ahu_Ashrae_sheet15[Zone],AHU1_CAV_SCHEDULE4451416[[#This Row],[ZONE]],Ahu_Ashrae_sheet15[DESIGN VAV MIN SA(CFM)])</f>
        <v>0</v>
      </c>
      <c r="AP40" s="145">
        <f>SUMIF(Ahu_Ashrae_sheet15[Zone],AHU1_CAV_SCHEDULE4451416[[#This Row],[ZONE]],Ahu_Ashrae_sheet15[DESIGN VAV MAX SA(CFM)])</f>
        <v>0</v>
      </c>
      <c r="AQ40" s="147" t="str">
        <f>IFERROR((VLOOKUP(AHU1_CAV_SCHEDULE4451416[[#This Row],[MAX VAV
(CFM)]],'DO NOT TOUCH'!$B$9:$C$14,2,TRUE)),"TBD")</f>
        <v>TBD</v>
      </c>
      <c r="AR40" s="141">
        <f t="shared" si="2"/>
        <v>0.5</v>
      </c>
      <c r="AS40" s="147">
        <f>AHU1_CAV_SCHEDULE4451416[[#This Row],[MIN VAV
(CFM)]]</f>
        <v>0</v>
      </c>
      <c r="AT40" s="147">
        <f>INPUT_OUTPUTS!$C$16</f>
        <v>140</v>
      </c>
      <c r="AU40" s="147">
        <f>INPUT_OUTPUTS!$C$17</f>
        <v>100</v>
      </c>
      <c r="AV40" s="141">
        <f t="shared" si="7"/>
        <v>55</v>
      </c>
      <c r="AW40" s="141">
        <f t="shared" si="7"/>
        <v>80</v>
      </c>
      <c r="AX40" s="147">
        <f>MROUND((1.08*(AW40-AV40)*AHU1_CAV_SCHEDULE4451416[[#This Row],[HEATING AIRFLOW 
(CFM)]])/1000,0.1)</f>
        <v>0</v>
      </c>
      <c r="AY40" s="142">
        <f t="shared" si="3"/>
        <v>0</v>
      </c>
      <c r="AZ40" s="142">
        <f t="shared" si="1"/>
        <v>0.5</v>
      </c>
      <c r="BA40" s="142">
        <f t="shared" si="4"/>
        <v>5</v>
      </c>
      <c r="BB40" s="142" t="str">
        <f>IFERROR((_xlfn.XLOOKUP(AQ40,'DO NOT TOUCH'!$C$9:$C$14,'DO NOT TOUCH'!$D$9:$D$14,)),"TBD")</f>
        <v>TBD</v>
      </c>
      <c r="BC40" s="148">
        <f>INPUT_OUTPUTS!$C$19</f>
        <v>0</v>
      </c>
      <c r="BD40" s="143" t="str">
        <f t="shared" si="5"/>
        <v>1, 2</v>
      </c>
    </row>
    <row r="41" spans="38:56" ht="15">
      <c r="AL41" s="138" t="s">
        <v>129</v>
      </c>
      <c r="AM41" s="139"/>
      <c r="AN41" s="139"/>
      <c r="AO41" s="139"/>
      <c r="AP41" s="141"/>
      <c r="AQ41" s="141"/>
      <c r="AR41" s="141"/>
      <c r="AS41" s="141"/>
      <c r="AT41" s="141"/>
      <c r="AU41" s="141"/>
      <c r="AV41" s="141"/>
      <c r="AW41" s="141"/>
      <c r="AX41" s="141">
        <f>SUBTOTAL(109,AHU1_CAV_SCHEDULE4451416[MIN MBH])</f>
        <v>21.5</v>
      </c>
      <c r="AY41" s="141"/>
      <c r="AZ41" s="142">
        <f>SUBTOTAL(109,AHU1_CAV_SCHEDULE4451416[GPM])</f>
        <v>19.074999999999999</v>
      </c>
      <c r="BA41" s="141"/>
      <c r="BB41" s="141"/>
      <c r="BC41" s="141"/>
      <c r="BD41" s="143"/>
    </row>
  </sheetData>
  <mergeCells count="2">
    <mergeCell ref="A1:G1"/>
    <mergeCell ref="H1:AC1"/>
  </mergeCells>
  <phoneticPr fontId="9" type="noConversion"/>
  <pageMargins left="0.7" right="0.7" top="0.75" bottom="0.75" header="0.3" footer="0.3"/>
  <ignoredErrors>
    <ignoredError sqref="AD3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U3:U5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I3:I5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topLeftCell="J1" zoomScale="85" zoomScaleNormal="85" zoomScaleSheetLayoutView="50" zoomScalePageLayoutView="80" workbookViewId="0">
      <pane ySplit="6" topLeftCell="A7" activePane="bottomLeft" state="frozen"/>
      <selection pane="bottomLeft" activeCell="K13" sqref="K1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15.85546875" style="39" bestFit="1" customWidth="1"/>
    <col min="10" max="10" width="34.85546875" style="39" bestFit="1" customWidth="1"/>
    <col min="11" max="11" width="34.85546875" style="42" bestFit="1" customWidth="1"/>
    <col min="12" max="12" width="29.140625" style="39" bestFit="1" customWidth="1"/>
    <col min="13" max="13" width="30.7109375" style="39" customWidth="1"/>
    <col min="14" max="15" width="25.85546875" style="42" bestFit="1" customWidth="1"/>
    <col min="16" max="16" width="25.85546875" style="39" bestFit="1" customWidth="1"/>
    <col min="17" max="17" width="17.7109375" style="39" bestFit="1" customWidth="1"/>
    <col min="18" max="18" width="18" style="39" customWidth="1"/>
    <col min="19" max="19" width="22.85546875" style="42" customWidth="1"/>
    <col min="20" max="20" width="16.42578125" style="42" customWidth="1"/>
    <col min="21" max="21" width="19.140625" style="40" bestFit="1" customWidth="1"/>
    <col min="22" max="22" width="16.7109375" style="42" bestFit="1" customWidth="1"/>
    <col min="23" max="23" width="18" style="43" customWidth="1"/>
    <col min="24" max="24" width="19.140625" style="39" bestFit="1" customWidth="1"/>
    <col min="25" max="25" width="15.85546875" style="40" bestFit="1" customWidth="1"/>
    <col min="26" max="26" width="15.85546875" style="40" customWidth="1"/>
    <col min="27" max="27" width="9.42578125" style="40" customWidth="1"/>
    <col min="28" max="28" width="22.42578125" style="40" bestFit="1" customWidth="1"/>
    <col min="29" max="29" width="13.28515625" style="40" bestFit="1" customWidth="1"/>
    <col min="30" max="30" width="18.42578125" style="44" bestFit="1" customWidth="1"/>
    <col min="31" max="31" width="22" style="44" bestFit="1" customWidth="1"/>
    <col min="32" max="32" width="7.28515625" style="44" customWidth="1"/>
    <col min="33" max="33" width="11.85546875" style="45" bestFit="1" customWidth="1"/>
    <col min="34" max="34" width="13.140625" style="45" bestFit="1" customWidth="1"/>
    <col min="35" max="35" width="20" style="45" bestFit="1" customWidth="1"/>
    <col min="36" max="36" width="8.42578125" style="39" hidden="1" customWidth="1"/>
    <col min="37" max="37" width="15.42578125" style="39" bestFit="1" customWidth="1"/>
    <col min="38" max="38" width="10.85546875" style="39" bestFit="1" customWidth="1"/>
    <col min="39" max="39" width="15.42578125" style="39" bestFit="1" customWidth="1"/>
    <col min="40" max="40" width="5.85546875" style="39" hidden="1" customWidth="1"/>
    <col min="41" max="41" width="13.5703125" style="39" bestFit="1" customWidth="1"/>
    <col min="42" max="42" width="12.140625" style="39" bestFit="1" customWidth="1"/>
    <col min="43" max="43" width="15" style="39" bestFit="1" customWidth="1"/>
    <col min="44" max="44" width="15.7109375" style="39" bestFit="1" customWidth="1"/>
    <col min="45" max="45" width="14.5703125" style="39" bestFit="1" customWidth="1"/>
    <col min="46" max="46" width="18.28515625" style="39" bestFit="1" customWidth="1"/>
    <col min="47" max="47" width="8.85546875" style="39"/>
    <col min="48" max="48" width="0" style="39" hidden="1" customWidth="1"/>
    <col min="49" max="51" width="9.28515625" style="39" hidden="1" customWidth="1"/>
    <col min="52" max="54" width="0" style="39" hidden="1" customWidth="1"/>
    <col min="55" max="16384" width="8.85546875" style="39"/>
  </cols>
  <sheetData>
    <row r="1" spans="1:54">
      <c r="AW1" s="39" t="s">
        <v>0</v>
      </c>
      <c r="AX1" s="39" t="s">
        <v>1</v>
      </c>
      <c r="AY1" s="39" t="s">
        <v>2</v>
      </c>
      <c r="BA1" s="39" t="s">
        <v>3</v>
      </c>
      <c r="BB1" s="39" t="s">
        <v>4</v>
      </c>
    </row>
    <row r="2" spans="1:54" ht="18" thickBot="1">
      <c r="AW2" s="11">
        <f>ROUNDUP(T18*INPUT_OUTPUTS!$C$18,-2)</f>
        <v>5100</v>
      </c>
      <c r="AX2" s="11">
        <f>ROUNDUP(U18*INPUT_OUTPUTS!$C$18,-2)</f>
        <v>4500</v>
      </c>
      <c r="AY2" s="10">
        <f>ROUNDUP((N18*INPUT_OUTPUTS!C18)+Y4,-2)</f>
        <v>1600</v>
      </c>
      <c r="BA2" s="46">
        <f>AHU1_CAV_SCHEDULE4411[[#Totals],[GPM]]</f>
        <v>19</v>
      </c>
      <c r="BB2" s="47">
        <f>AHU1_CAV_SCHEDULE4411[[#Totals],[MIN MBH]]</f>
        <v>0</v>
      </c>
    </row>
    <row r="3" spans="1:54" ht="15.75" customHeight="1">
      <c r="C3" s="39"/>
      <c r="H3" s="39"/>
      <c r="K3" s="39"/>
      <c r="N3" s="39"/>
      <c r="O3" s="39"/>
      <c r="S3" s="39"/>
      <c r="T3" s="39"/>
      <c r="U3" s="39"/>
      <c r="V3" s="39"/>
      <c r="W3" s="48"/>
      <c r="Y3" s="39"/>
      <c r="Z3" s="39"/>
      <c r="AA3" s="39"/>
    </row>
    <row r="4" spans="1:54" ht="15.75">
      <c r="B4" s="42"/>
      <c r="C4" s="42"/>
      <c r="D4" s="42"/>
      <c r="E4" s="42"/>
      <c r="F4" s="42"/>
      <c r="G4" s="42"/>
      <c r="I4" s="42"/>
      <c r="J4" s="42"/>
      <c r="L4" s="42"/>
      <c r="M4" s="42"/>
      <c r="P4" s="42"/>
      <c r="Q4" s="42"/>
      <c r="R4" s="42"/>
      <c r="U4" s="42"/>
      <c r="W4" s="133" t="s">
        <v>5</v>
      </c>
      <c r="X4" s="156">
        <f>(AY2/AX2)*100</f>
        <v>35.555555555555557</v>
      </c>
      <c r="Y4" s="343">
        <v>0</v>
      </c>
      <c r="Z4" s="343"/>
      <c r="AA4" s="39"/>
    </row>
    <row r="5" spans="1:54">
      <c r="B5" s="315" t="s">
        <v>6</v>
      </c>
      <c r="C5" s="316"/>
      <c r="D5" s="316"/>
      <c r="E5" s="316"/>
      <c r="F5" s="316"/>
      <c r="G5" s="316"/>
      <c r="H5" s="317"/>
      <c r="I5" s="315" t="s">
        <v>277</v>
      </c>
      <c r="J5" s="316"/>
      <c r="K5" s="316"/>
      <c r="L5" s="316"/>
      <c r="M5" s="316"/>
      <c r="N5" s="316"/>
      <c r="O5" s="316"/>
      <c r="P5" s="316"/>
      <c r="Q5" s="316"/>
      <c r="R5" s="317"/>
      <c r="S5" s="315" t="s">
        <v>278</v>
      </c>
      <c r="T5" s="316"/>
      <c r="U5" s="316"/>
      <c r="V5" s="317"/>
      <c r="W5" s="157"/>
      <c r="X5" s="344" t="s">
        <v>279</v>
      </c>
      <c r="Y5" s="345"/>
      <c r="Z5" s="346"/>
      <c r="AD5" s="318" t="s">
        <v>53</v>
      </c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318"/>
      <c r="AP5" s="318"/>
      <c r="AQ5" s="318"/>
      <c r="AR5" s="318"/>
      <c r="AS5" s="318"/>
      <c r="AT5" s="318"/>
    </row>
    <row r="6" spans="1:54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44</v>
      </c>
      <c r="T6" s="95" t="s">
        <v>45</v>
      </c>
      <c r="U6" s="95" t="s">
        <v>46</v>
      </c>
      <c r="V6" s="95" t="s">
        <v>47</v>
      </c>
      <c r="W6" s="95" t="s">
        <v>48</v>
      </c>
      <c r="X6" s="95" t="s">
        <v>49</v>
      </c>
      <c r="Y6" s="95" t="s">
        <v>50</v>
      </c>
      <c r="Z6" s="95" t="s">
        <v>51</v>
      </c>
      <c r="AA6" s="97" t="s">
        <v>52</v>
      </c>
      <c r="AB6" s="50"/>
      <c r="AC6" s="50"/>
      <c r="AD6" s="130" t="s">
        <v>9</v>
      </c>
      <c r="AE6" s="130" t="s">
        <v>58</v>
      </c>
      <c r="AF6" s="130" t="s">
        <v>59</v>
      </c>
      <c r="AG6" s="130" t="s">
        <v>60</v>
      </c>
      <c r="AH6" s="130" t="s">
        <v>61</v>
      </c>
      <c r="AI6" s="130" t="s">
        <v>62</v>
      </c>
      <c r="AJ6" s="130" t="s">
        <v>63</v>
      </c>
      <c r="AK6" s="130" t="s">
        <v>64</v>
      </c>
      <c r="AL6" s="130" t="s">
        <v>65</v>
      </c>
      <c r="AM6" s="130" t="s">
        <v>66</v>
      </c>
      <c r="AN6" s="130" t="s">
        <v>67</v>
      </c>
      <c r="AO6" s="130" t="s">
        <v>68</v>
      </c>
      <c r="AP6" s="130" t="s">
        <v>3</v>
      </c>
      <c r="AQ6" s="130" t="s">
        <v>69</v>
      </c>
      <c r="AR6" s="130" t="s">
        <v>70</v>
      </c>
      <c r="AS6" s="130" t="s">
        <v>71</v>
      </c>
      <c r="AT6" s="130" t="s">
        <v>72</v>
      </c>
    </row>
    <row r="7" spans="1:54" ht="15" customHeight="1">
      <c r="B7" s="91" t="s">
        <v>54</v>
      </c>
      <c r="C7" s="123" t="s">
        <v>54</v>
      </c>
      <c r="D7" s="123">
        <v>1234</v>
      </c>
      <c r="E7" s="123">
        <v>100</v>
      </c>
      <c r="F7" s="123">
        <v>10</v>
      </c>
      <c r="G7" s="120" t="str">
        <f>VLOOKUP($K7,'UMC Table 4-A'!$A$2:$E$132,5,FALSE)</f>
        <v>NR</v>
      </c>
      <c r="H7" s="123">
        <v>100</v>
      </c>
      <c r="I7" s="120">
        <v>0</v>
      </c>
      <c r="J7" s="120">
        <f t="shared" ref="J7:J17" si="0">IF(OR((K7="PATIENT CORRIDOR"),(K7="TOILET")),(E7*0.5),E7)</f>
        <v>50</v>
      </c>
      <c r="K7" s="123" t="s">
        <v>280</v>
      </c>
      <c r="L7" s="120" t="str">
        <f>VLOOKUP($K7,'UMC Table 4-A'!$A$2:$E$132,2,FALSE)</f>
        <v>NR</v>
      </c>
      <c r="M7" s="120" t="str">
        <f>VLOOKUP($K7,'UMC Table 4-A'!$A$2:$E$132,3,FALSE)</f>
        <v>NR</v>
      </c>
      <c r="N7" s="120">
        <f t="shared" ref="N7:N17" si="1">IF(M7&lt;&gt;"NR",ROUNDUP((E7*F7*M7)/60,-1),0)</f>
        <v>0</v>
      </c>
      <c r="O7" s="120">
        <f>VLOOKUP($K7,'UMC Table 4-A'!$A$2:$E$132,4,FALSE)</f>
        <v>2</v>
      </c>
      <c r="P7" s="120">
        <f t="shared" ref="P7:P17" si="2">IF(O7&lt;&gt;"NR",ROUNDUP((E7*F7*O7)/60,-1),0)</f>
        <v>40</v>
      </c>
      <c r="Q7" s="120" t="str">
        <f>VLOOKUP($K7,'UMC Table 4-A'!$A$2:$E$132,5,FALSE)</f>
        <v>NR</v>
      </c>
      <c r="R7" s="120" t="str">
        <f t="shared" ref="R7:R17" si="3">IF(G7="Yes",P7,"-")</f>
        <v>-</v>
      </c>
      <c r="S7" s="120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28">
        <f t="shared" ref="T7:T17" si="4">S7</f>
        <v>50</v>
      </c>
      <c r="U7" s="158"/>
      <c r="V7" s="128"/>
      <c r="W7" s="129">
        <f t="shared" ref="W7:W17" si="5">T7-U7-V7</f>
        <v>50</v>
      </c>
      <c r="X7" s="129">
        <f t="shared" ref="X7:X17" si="6">IFERROR(S7/E7,"-")</f>
        <v>0.5</v>
      </c>
      <c r="Y7" s="129">
        <f>(N7/T7)*100</f>
        <v>0</v>
      </c>
      <c r="Z7" s="129">
        <f>S7/E7/F7*60</f>
        <v>3</v>
      </c>
      <c r="AA7" s="92" t="str">
        <f t="shared" ref="AA7:AA17" si="7">IF(S7-U7-V7+W7=0,"Yes","No")</f>
        <v>No</v>
      </c>
      <c r="AD7" s="131" t="s">
        <v>74</v>
      </c>
      <c r="AE7" s="131" t="s">
        <v>75</v>
      </c>
      <c r="AF7" s="131" t="s">
        <v>76</v>
      </c>
      <c r="AG7" s="120">
        <f t="shared" ref="AG7:AG44" si="8">SUMIF($B$7:$B$17,AD7,$T$7:$T$17)</f>
        <v>0</v>
      </c>
      <c r="AH7" s="120" t="str">
        <f>IFERROR((VLOOKUP(AG7,'DO NOT TOUCH'!$B$9:$C$14,2,TRUE)),"TBD")</f>
        <v>TBD</v>
      </c>
      <c r="AI7" s="120">
        <v>0.5</v>
      </c>
      <c r="AJ7" s="120">
        <f>INPUT_OUTPUTS!$C$16</f>
        <v>140</v>
      </c>
      <c r="AK7" s="120">
        <f>INPUT_OUTPUTS!$C$17</f>
        <v>100</v>
      </c>
      <c r="AL7" s="120">
        <v>55</v>
      </c>
      <c r="AM7" s="120">
        <v>85</v>
      </c>
      <c r="AN7" s="120">
        <f t="shared" ref="AN7:AN44" si="9">MROUND((1.08*(AM7-AL7)*AG7)/1000,0.1)</f>
        <v>0</v>
      </c>
      <c r="AO7" s="132">
        <f>(AN7*1000)/(500*(AJ7-AK7))</f>
        <v>0</v>
      </c>
      <c r="AP7" s="132">
        <f>IF(AO7&lt;0.5,0.5,AO7)</f>
        <v>0.5</v>
      </c>
      <c r="AQ7" s="132">
        <v>5</v>
      </c>
      <c r="AR7" s="132" t="str">
        <f>IFERROR((_xlfn.XLOOKUP(AH7,'DO NOT TOUCH'!$C$9:$C$14,'DO NOT TOUCH'!$D$9:$D$14,)),"TBD")</f>
        <v>TBD</v>
      </c>
      <c r="AS7" s="132">
        <f>INPUT_OUTPUTS!$C$19</f>
        <v>0</v>
      </c>
      <c r="AT7" s="120" t="s">
        <v>77</v>
      </c>
    </row>
    <row r="8" spans="1:54" ht="15" customHeight="1">
      <c r="B8" s="91" t="s">
        <v>54</v>
      </c>
      <c r="C8" s="123" t="s">
        <v>54</v>
      </c>
      <c r="D8" s="123">
        <v>1234</v>
      </c>
      <c r="E8" s="123">
        <v>200</v>
      </c>
      <c r="F8" s="123">
        <v>9.5</v>
      </c>
      <c r="G8" s="120" t="str">
        <f>VLOOKUP($K8,'UMC Table 4-A'!$A$2:$E$132,5,FALSE)</f>
        <v>NR</v>
      </c>
      <c r="H8" s="123"/>
      <c r="I8" s="120">
        <v>0</v>
      </c>
      <c r="J8" s="120">
        <f t="shared" si="0"/>
        <v>200</v>
      </c>
      <c r="K8" s="123" t="s">
        <v>73</v>
      </c>
      <c r="L8" s="120" t="str">
        <f>VLOOKUP($K8,'UMC Table 4-A'!$A$2:$E$132,2,FALSE)</f>
        <v>NR</v>
      </c>
      <c r="M8" s="120">
        <f>VLOOKUP($K8,'UMC Table 4-A'!$A$2:$E$132,3,FALSE)</f>
        <v>2</v>
      </c>
      <c r="N8" s="120">
        <f t="shared" si="1"/>
        <v>70</v>
      </c>
      <c r="O8" s="120">
        <f>VLOOKUP($K8,'UMC Table 4-A'!$A$2:$E$132,4,FALSE)</f>
        <v>4</v>
      </c>
      <c r="P8" s="120">
        <f t="shared" si="2"/>
        <v>130</v>
      </c>
      <c r="Q8" s="120" t="str">
        <f>VLOOKUP($K8,'UMC Table 4-A'!$A$2:$E$132,5,FALSE)</f>
        <v>NR</v>
      </c>
      <c r="R8" s="120" t="str">
        <f t="shared" si="3"/>
        <v>-</v>
      </c>
      <c r="S8" s="125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28">
        <f t="shared" si="4"/>
        <v>200</v>
      </c>
      <c r="U8" s="128">
        <f t="shared" ref="U8:U17" si="10">IF(Q8="Yes",0,IF(L8="Positive",IF(0.1*S8&gt;50,S8-0.1*S8,S8-50),IF(L8="Negative",IF(0.1*S8&gt;50,S8+0.1*S8,S8+50),S8)))</f>
        <v>200</v>
      </c>
      <c r="V8" s="128">
        <f t="shared" ref="V8:V17" si="11">IF(Q8="Yes",R8,0)</f>
        <v>0</v>
      </c>
      <c r="W8" s="126">
        <f t="shared" si="5"/>
        <v>0</v>
      </c>
      <c r="X8" s="129">
        <f t="shared" si="6"/>
        <v>1</v>
      </c>
      <c r="Y8" s="129">
        <f t="shared" ref="Y8:Y17" si="12">IFERROR(((N8/T8)*100),"-")</f>
        <v>35</v>
      </c>
      <c r="Z8" s="129">
        <f t="shared" ref="Z8:Z17" si="13">IFERROR((S8/E8/F8*60),"-")</f>
        <v>6.3157894736842106</v>
      </c>
      <c r="AA8" s="92" t="str">
        <f t="shared" si="7"/>
        <v>Yes</v>
      </c>
      <c r="AD8" s="131" t="s">
        <v>80</v>
      </c>
      <c r="AE8" s="131" t="s">
        <v>75</v>
      </c>
      <c r="AF8" s="131" t="s">
        <v>76</v>
      </c>
      <c r="AG8" s="120">
        <f t="shared" si="8"/>
        <v>0</v>
      </c>
      <c r="AH8" s="120" t="str">
        <f>IFERROR((VLOOKUP(AG8,'DO NOT TOUCH'!$B$9:$C$14,2,TRUE)),"TBD")</f>
        <v>TBD</v>
      </c>
      <c r="AI8" s="120">
        <f>AI7</f>
        <v>0.5</v>
      </c>
      <c r="AJ8" s="120">
        <f>INPUT_OUTPUTS!$C$16</f>
        <v>140</v>
      </c>
      <c r="AK8" s="120">
        <f>INPUT_OUTPUTS!$C$17</f>
        <v>100</v>
      </c>
      <c r="AL8" s="120">
        <f t="shared" ref="AL8:AM23" si="14">AL7</f>
        <v>55</v>
      </c>
      <c r="AM8" s="120">
        <f t="shared" si="14"/>
        <v>85</v>
      </c>
      <c r="AN8" s="120">
        <f t="shared" si="9"/>
        <v>0</v>
      </c>
      <c r="AO8" s="132">
        <f>(AN8*1000)/(500*(AJ8-AK8))</f>
        <v>0</v>
      </c>
      <c r="AP8" s="132">
        <f t="shared" ref="AP8:AP44" si="15">IF(AO8&lt;0.5,0.5,AO8)</f>
        <v>0.5</v>
      </c>
      <c r="AQ8" s="132">
        <f>AQ7</f>
        <v>5</v>
      </c>
      <c r="AR8" s="132" t="str">
        <f>IFERROR((_xlfn.XLOOKUP(AH8,'DO NOT TOUCH'!$C$9:$C$14,'DO NOT TOUCH'!$D$9:$D$14,)),"TBD")</f>
        <v>TBD</v>
      </c>
      <c r="AS8" s="132">
        <f>INPUT_OUTPUTS!$C$19</f>
        <v>0</v>
      </c>
      <c r="AT8" s="120" t="str">
        <f>AT7</f>
        <v>1, 2</v>
      </c>
    </row>
    <row r="9" spans="1:54" ht="15" customHeight="1">
      <c r="B9" s="91" t="s">
        <v>78</v>
      </c>
      <c r="C9" s="123" t="s">
        <v>54</v>
      </c>
      <c r="D9" s="123">
        <v>1234</v>
      </c>
      <c r="E9" s="123">
        <v>300</v>
      </c>
      <c r="F9" s="123">
        <v>10</v>
      </c>
      <c r="G9" s="120" t="str">
        <f>VLOOKUP($K9,'UMC Table 4-A'!$A$2:$E$132,5,FALSE)</f>
        <v>Yes</v>
      </c>
      <c r="H9" s="123"/>
      <c r="I9" s="120">
        <v>0</v>
      </c>
      <c r="J9" s="120">
        <f t="shared" si="0"/>
        <v>300</v>
      </c>
      <c r="K9" s="123" t="s">
        <v>79</v>
      </c>
      <c r="L9" s="133" t="str">
        <f>VLOOKUP($K9,'UMC Table 4-A'!$A$2:$E$132,2,FALSE)</f>
        <v>Negative</v>
      </c>
      <c r="M9" s="120" t="str">
        <f>VLOOKUP($K9,'UMC Table 4-A'!$A$2:$E$132,3,FALSE)</f>
        <v>NR</v>
      </c>
      <c r="N9" s="159">
        <f t="shared" si="1"/>
        <v>0</v>
      </c>
      <c r="O9" s="120">
        <f>VLOOKUP($K9,'UMC Table 4-A'!$A$2:$E$132,4,FALSE)</f>
        <v>10</v>
      </c>
      <c r="P9" s="120">
        <f t="shared" si="2"/>
        <v>500</v>
      </c>
      <c r="Q9" s="120" t="str">
        <f>VLOOKUP($K9,'UMC Table 4-A'!$A$2:$E$132,5,FALSE)</f>
        <v>Yes</v>
      </c>
      <c r="R9" s="120">
        <f t="shared" si="3"/>
        <v>500</v>
      </c>
      <c r="S9" s="125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28">
        <f t="shared" si="4"/>
        <v>500</v>
      </c>
      <c r="U9" s="128">
        <f t="shared" si="10"/>
        <v>0</v>
      </c>
      <c r="V9" s="128">
        <f t="shared" si="11"/>
        <v>500</v>
      </c>
      <c r="W9" s="126">
        <f t="shared" si="5"/>
        <v>0</v>
      </c>
      <c r="X9" s="129">
        <f t="shared" si="6"/>
        <v>1.6666666666666667</v>
      </c>
      <c r="Y9" s="129">
        <f t="shared" si="12"/>
        <v>0</v>
      </c>
      <c r="Z9" s="129">
        <f t="shared" si="13"/>
        <v>10.000000000000002</v>
      </c>
      <c r="AA9" s="90" t="str">
        <f t="shared" si="7"/>
        <v>Yes</v>
      </c>
      <c r="AD9" s="131" t="s">
        <v>83</v>
      </c>
      <c r="AE9" s="131" t="s">
        <v>75</v>
      </c>
      <c r="AF9" s="131" t="s">
        <v>76</v>
      </c>
      <c r="AG9" s="120">
        <f t="shared" si="8"/>
        <v>0</v>
      </c>
      <c r="AH9" s="120" t="str">
        <f>IFERROR((VLOOKUP(AG9,'DO NOT TOUCH'!$B$9:$C$14,2,TRUE)),"TBD")</f>
        <v>TBD</v>
      </c>
      <c r="AI9" s="120">
        <f t="shared" ref="AI9:AI44" si="16">AI8</f>
        <v>0.5</v>
      </c>
      <c r="AJ9" s="120">
        <f>INPUT_OUTPUTS!$C$16</f>
        <v>140</v>
      </c>
      <c r="AK9" s="120">
        <f>INPUT_OUTPUTS!$C$17</f>
        <v>100</v>
      </c>
      <c r="AL9" s="120">
        <f t="shared" si="14"/>
        <v>55</v>
      </c>
      <c r="AM9" s="120">
        <f t="shared" si="14"/>
        <v>85</v>
      </c>
      <c r="AN9" s="120">
        <f t="shared" si="9"/>
        <v>0</v>
      </c>
      <c r="AO9" s="132">
        <f t="shared" ref="AO9:AO44" si="17">(AN9*1000)/(500*(AJ9-AK9))</f>
        <v>0</v>
      </c>
      <c r="AP9" s="132">
        <f t="shared" si="15"/>
        <v>0.5</v>
      </c>
      <c r="AQ9" s="132">
        <f t="shared" ref="AQ9:AQ44" si="18">AQ8</f>
        <v>5</v>
      </c>
      <c r="AR9" s="132" t="str">
        <f>IFERROR((_xlfn.XLOOKUP(AH9,'DO NOT TOUCH'!$C$9:$C$14,'DO NOT TOUCH'!$D$9:$D$14,)),"TBD")</f>
        <v>TBD</v>
      </c>
      <c r="AS9" s="132">
        <f>INPUT_OUTPUTS!$C$19</f>
        <v>0</v>
      </c>
      <c r="AT9" s="120" t="str">
        <f t="shared" ref="AT9:AT44" si="19">AT8</f>
        <v>1, 2</v>
      </c>
    </row>
    <row r="10" spans="1:54" ht="15" customHeight="1">
      <c r="B10" s="91" t="s">
        <v>81</v>
      </c>
      <c r="C10" s="123" t="s">
        <v>54</v>
      </c>
      <c r="D10" s="123">
        <v>1234</v>
      </c>
      <c r="E10" s="123">
        <v>20</v>
      </c>
      <c r="F10" s="123">
        <v>10</v>
      </c>
      <c r="G10" s="120" t="str">
        <f>VLOOKUP($K10,'UMC Table 4-A'!$A$2:$E$132,5,FALSE)</f>
        <v>NR</v>
      </c>
      <c r="H10" s="123"/>
      <c r="I10" s="120">
        <v>0</v>
      </c>
      <c r="J10" s="120">
        <f t="shared" si="0"/>
        <v>20</v>
      </c>
      <c r="K10" s="123" t="s">
        <v>82</v>
      </c>
      <c r="L10" s="133" t="str">
        <f>VLOOKUP($K10,'UMC Table 4-A'!$A$2:$E$132,2,FALSE)</f>
        <v>NR</v>
      </c>
      <c r="M10" s="120">
        <f>VLOOKUP($K10,'UMC Table 4-A'!$A$2:$E$132,3,FALSE)</f>
        <v>2</v>
      </c>
      <c r="N10" s="159">
        <f t="shared" si="1"/>
        <v>10</v>
      </c>
      <c r="O10" s="120">
        <f>VLOOKUP($K10,'UMC Table 4-A'!$A$2:$E$132,4,FALSE)</f>
        <v>6</v>
      </c>
      <c r="P10" s="120">
        <f t="shared" si="2"/>
        <v>20</v>
      </c>
      <c r="Q10" s="120" t="str">
        <f>VLOOKUP($K10,'UMC Table 4-A'!$A$2:$E$132,5,FALSE)</f>
        <v>NR</v>
      </c>
      <c r="R10" s="120" t="str">
        <f t="shared" si="3"/>
        <v>-</v>
      </c>
      <c r="S10" s="125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28">
        <f t="shared" si="4"/>
        <v>20</v>
      </c>
      <c r="U10" s="128">
        <f t="shared" si="10"/>
        <v>20</v>
      </c>
      <c r="V10" s="128">
        <f t="shared" si="11"/>
        <v>0</v>
      </c>
      <c r="W10" s="126">
        <f t="shared" si="5"/>
        <v>0</v>
      </c>
      <c r="X10" s="129">
        <f t="shared" si="6"/>
        <v>1</v>
      </c>
      <c r="Y10" s="129">
        <f t="shared" si="12"/>
        <v>50</v>
      </c>
      <c r="Z10" s="129">
        <f t="shared" si="13"/>
        <v>6</v>
      </c>
      <c r="AA10" s="90" t="str">
        <f t="shared" si="7"/>
        <v>Yes</v>
      </c>
      <c r="AD10" s="131" t="s">
        <v>86</v>
      </c>
      <c r="AE10" s="131" t="s">
        <v>75</v>
      </c>
      <c r="AF10" s="131" t="s">
        <v>76</v>
      </c>
      <c r="AG10" s="120">
        <f t="shared" si="8"/>
        <v>0</v>
      </c>
      <c r="AH10" s="120" t="str">
        <f>IFERROR((VLOOKUP(AG10,'DO NOT TOUCH'!$B$9:$C$14,2,TRUE)),"TBD")</f>
        <v>TBD</v>
      </c>
      <c r="AI10" s="120">
        <f t="shared" si="16"/>
        <v>0.5</v>
      </c>
      <c r="AJ10" s="120">
        <f>INPUT_OUTPUTS!$C$16</f>
        <v>140</v>
      </c>
      <c r="AK10" s="120">
        <f>INPUT_OUTPUTS!$C$17</f>
        <v>100</v>
      </c>
      <c r="AL10" s="120">
        <f t="shared" si="14"/>
        <v>55</v>
      </c>
      <c r="AM10" s="120">
        <f t="shared" si="14"/>
        <v>85</v>
      </c>
      <c r="AN10" s="120">
        <f t="shared" si="9"/>
        <v>0</v>
      </c>
      <c r="AO10" s="132">
        <f t="shared" si="17"/>
        <v>0</v>
      </c>
      <c r="AP10" s="132">
        <f t="shared" si="15"/>
        <v>0.5</v>
      </c>
      <c r="AQ10" s="132">
        <f t="shared" si="18"/>
        <v>5</v>
      </c>
      <c r="AR10" s="132" t="str">
        <f>IFERROR((_xlfn.XLOOKUP(AH10,'DO NOT TOUCH'!$C$9:$C$14,'DO NOT TOUCH'!$D$9:$D$14,)),"TBD")</f>
        <v>TBD</v>
      </c>
      <c r="AS10" s="132">
        <f>INPUT_OUTPUTS!$C$19</f>
        <v>0</v>
      </c>
      <c r="AT10" s="120" t="str">
        <f t="shared" si="19"/>
        <v>1, 2</v>
      </c>
    </row>
    <row r="11" spans="1:54" ht="15" customHeight="1">
      <c r="B11" s="91" t="s">
        <v>84</v>
      </c>
      <c r="C11" s="123" t="s">
        <v>54</v>
      </c>
      <c r="D11" s="123">
        <v>1234</v>
      </c>
      <c r="E11" s="123">
        <v>36</v>
      </c>
      <c r="F11" s="123">
        <v>10</v>
      </c>
      <c r="G11" s="120" t="str">
        <f>VLOOKUP($K11,'UMC Table 4-A'!$A$2:$E$132,5,FALSE)</f>
        <v>NR</v>
      </c>
      <c r="H11" s="123"/>
      <c r="I11" s="120">
        <v>0</v>
      </c>
      <c r="J11" s="120">
        <f t="shared" si="0"/>
        <v>36</v>
      </c>
      <c r="K11" s="123" t="s">
        <v>73</v>
      </c>
      <c r="L11" s="133" t="str">
        <f>VLOOKUP($K11,'UMC Table 4-A'!$A$2:$E$132,2,FALSE)</f>
        <v>NR</v>
      </c>
      <c r="M11" s="120">
        <f>VLOOKUP($K11,'UMC Table 4-A'!$A$2:$E$132,3,FALSE)</f>
        <v>2</v>
      </c>
      <c r="N11" s="159">
        <f t="shared" si="1"/>
        <v>20</v>
      </c>
      <c r="O11" s="120">
        <f>VLOOKUP($K11,'UMC Table 4-A'!$A$2:$E$132,4,FALSE)</f>
        <v>4</v>
      </c>
      <c r="P11" s="120">
        <f t="shared" si="2"/>
        <v>30</v>
      </c>
      <c r="Q11" s="120" t="str">
        <f>VLOOKUP($K11,'UMC Table 4-A'!$A$2:$E$132,5,FALSE)</f>
        <v>NR</v>
      </c>
      <c r="R11" s="120" t="str">
        <f t="shared" si="3"/>
        <v>-</v>
      </c>
      <c r="S11" s="125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28">
        <f t="shared" si="4"/>
        <v>40</v>
      </c>
      <c r="U11" s="128">
        <f t="shared" si="10"/>
        <v>40</v>
      </c>
      <c r="V11" s="128">
        <f t="shared" si="11"/>
        <v>0</v>
      </c>
      <c r="W11" s="126">
        <f t="shared" si="5"/>
        <v>0</v>
      </c>
      <c r="X11" s="129">
        <f t="shared" si="6"/>
        <v>1.1111111111111112</v>
      </c>
      <c r="Y11" s="129">
        <f t="shared" si="12"/>
        <v>50</v>
      </c>
      <c r="Z11" s="129">
        <f t="shared" si="13"/>
        <v>6.666666666666667</v>
      </c>
      <c r="AA11" s="90" t="str">
        <f t="shared" si="7"/>
        <v>Yes</v>
      </c>
      <c r="AD11" s="131" t="s">
        <v>87</v>
      </c>
      <c r="AE11" s="131" t="s">
        <v>75</v>
      </c>
      <c r="AF11" s="131" t="s">
        <v>76</v>
      </c>
      <c r="AG11" s="120">
        <f t="shared" si="8"/>
        <v>0</v>
      </c>
      <c r="AH11" s="120" t="str">
        <f>IFERROR((VLOOKUP(AG11,'DO NOT TOUCH'!$B$9:$C$14,2,TRUE)),"TBD")</f>
        <v>TBD</v>
      </c>
      <c r="AI11" s="120">
        <f t="shared" si="16"/>
        <v>0.5</v>
      </c>
      <c r="AJ11" s="120">
        <f>INPUT_OUTPUTS!$C$16</f>
        <v>140</v>
      </c>
      <c r="AK11" s="120">
        <f>INPUT_OUTPUTS!$C$17</f>
        <v>100</v>
      </c>
      <c r="AL11" s="120">
        <f t="shared" si="14"/>
        <v>55</v>
      </c>
      <c r="AM11" s="120">
        <f t="shared" si="14"/>
        <v>85</v>
      </c>
      <c r="AN11" s="120">
        <f t="shared" si="9"/>
        <v>0</v>
      </c>
      <c r="AO11" s="132">
        <f t="shared" si="17"/>
        <v>0</v>
      </c>
      <c r="AP11" s="132">
        <f t="shared" si="15"/>
        <v>0.5</v>
      </c>
      <c r="AQ11" s="132">
        <f t="shared" si="18"/>
        <v>5</v>
      </c>
      <c r="AR11" s="132" t="str">
        <f>IFERROR((_xlfn.XLOOKUP(AH11,'DO NOT TOUCH'!$C$9:$C$14,'DO NOT TOUCH'!$D$9:$D$14,)),"TBD")</f>
        <v>TBD</v>
      </c>
      <c r="AS11" s="132">
        <f>INPUT_OUTPUTS!$C$19</f>
        <v>0</v>
      </c>
      <c r="AT11" s="120" t="str">
        <f t="shared" si="19"/>
        <v>1, 2</v>
      </c>
    </row>
    <row r="12" spans="1:54" ht="15" customHeight="1">
      <c r="B12" s="91" t="s">
        <v>84</v>
      </c>
      <c r="C12" s="123" t="s">
        <v>54</v>
      </c>
      <c r="D12" s="123">
        <v>1234</v>
      </c>
      <c r="E12" s="123">
        <v>212</v>
      </c>
      <c r="F12" s="123">
        <v>10</v>
      </c>
      <c r="G12" s="120" t="str">
        <f>VLOOKUP($K12,'UMC Table 4-A'!$A$2:$E$132,5,FALSE)</f>
        <v>NR</v>
      </c>
      <c r="H12" s="123"/>
      <c r="I12" s="120">
        <v>0</v>
      </c>
      <c r="J12" s="120">
        <f t="shared" si="0"/>
        <v>212</v>
      </c>
      <c r="K12" s="123" t="s">
        <v>73</v>
      </c>
      <c r="L12" s="133" t="str">
        <f>VLOOKUP($K12,'UMC Table 4-A'!$A$2:$E$132,2,FALSE)</f>
        <v>NR</v>
      </c>
      <c r="M12" s="120">
        <f>VLOOKUP($K12,'UMC Table 4-A'!$A$2:$E$132,3,FALSE)</f>
        <v>2</v>
      </c>
      <c r="N12" s="159">
        <f t="shared" si="1"/>
        <v>80</v>
      </c>
      <c r="O12" s="120">
        <f>VLOOKUP($K12,'UMC Table 4-A'!$A$2:$E$132,4,FALSE)</f>
        <v>4</v>
      </c>
      <c r="P12" s="120">
        <f t="shared" si="2"/>
        <v>150</v>
      </c>
      <c r="Q12" s="120" t="str">
        <f>VLOOKUP($K12,'UMC Table 4-A'!$A$2:$E$132,5,FALSE)</f>
        <v>NR</v>
      </c>
      <c r="R12" s="120" t="str">
        <f t="shared" si="3"/>
        <v>-</v>
      </c>
      <c r="S12" s="125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28">
        <f t="shared" si="4"/>
        <v>215</v>
      </c>
      <c r="U12" s="128">
        <f t="shared" si="10"/>
        <v>215</v>
      </c>
      <c r="V12" s="128">
        <f t="shared" si="11"/>
        <v>0</v>
      </c>
      <c r="W12" s="126">
        <f t="shared" si="5"/>
        <v>0</v>
      </c>
      <c r="X12" s="129">
        <f t="shared" si="6"/>
        <v>1.0141509433962264</v>
      </c>
      <c r="Y12" s="129">
        <f t="shared" si="12"/>
        <v>37.209302325581397</v>
      </c>
      <c r="Z12" s="129">
        <f t="shared" si="13"/>
        <v>6.0849056603773581</v>
      </c>
      <c r="AA12" s="90" t="str">
        <f t="shared" si="7"/>
        <v>Yes</v>
      </c>
      <c r="AD12" s="131" t="s">
        <v>90</v>
      </c>
      <c r="AE12" s="131" t="s">
        <v>75</v>
      </c>
      <c r="AF12" s="131" t="s">
        <v>76</v>
      </c>
      <c r="AG12" s="120">
        <f t="shared" si="8"/>
        <v>0</v>
      </c>
      <c r="AH12" s="120" t="str">
        <f>IFERROR((VLOOKUP(AG12,'DO NOT TOUCH'!$B$9:$C$14,2,TRUE)),"TBD")</f>
        <v>TBD</v>
      </c>
      <c r="AI12" s="120">
        <f t="shared" si="16"/>
        <v>0.5</v>
      </c>
      <c r="AJ12" s="120">
        <f>INPUT_OUTPUTS!$C$16</f>
        <v>140</v>
      </c>
      <c r="AK12" s="120">
        <f>INPUT_OUTPUTS!$C$17</f>
        <v>100</v>
      </c>
      <c r="AL12" s="120">
        <f t="shared" si="14"/>
        <v>55</v>
      </c>
      <c r="AM12" s="120">
        <f t="shared" si="14"/>
        <v>85</v>
      </c>
      <c r="AN12" s="120">
        <f t="shared" si="9"/>
        <v>0</v>
      </c>
      <c r="AO12" s="132">
        <f t="shared" si="17"/>
        <v>0</v>
      </c>
      <c r="AP12" s="132">
        <f t="shared" si="15"/>
        <v>0.5</v>
      </c>
      <c r="AQ12" s="132">
        <f t="shared" si="18"/>
        <v>5</v>
      </c>
      <c r="AR12" s="132" t="str">
        <f>IFERROR((_xlfn.XLOOKUP(AH12,'DO NOT TOUCH'!$C$9:$C$14,'DO NOT TOUCH'!$D$9:$D$14,)),"TBD")</f>
        <v>TBD</v>
      </c>
      <c r="AS12" s="132">
        <f>INPUT_OUTPUTS!$C$19</f>
        <v>0</v>
      </c>
      <c r="AT12" s="120" t="str">
        <f t="shared" si="19"/>
        <v>1, 2</v>
      </c>
    </row>
    <row r="13" spans="1:54" ht="15" customHeight="1">
      <c r="B13" s="91" t="s">
        <v>88</v>
      </c>
      <c r="C13" s="123" t="s">
        <v>54</v>
      </c>
      <c r="D13" s="123">
        <v>1234</v>
      </c>
      <c r="E13" s="123">
        <v>27</v>
      </c>
      <c r="F13" s="123">
        <v>10</v>
      </c>
      <c r="G13" s="120" t="str">
        <f>VLOOKUP($K13,'UMC Table 4-A'!$A$2:$E$132,5,FALSE)</f>
        <v>NR</v>
      </c>
      <c r="H13" s="123"/>
      <c r="I13" s="120">
        <v>0</v>
      </c>
      <c r="J13" s="120">
        <f t="shared" si="0"/>
        <v>27</v>
      </c>
      <c r="K13" s="123" t="s">
        <v>281</v>
      </c>
      <c r="L13" s="133" t="str">
        <f>VLOOKUP($K13,'UMC Table 4-A'!$A$2:$E$132,2,FALSE)</f>
        <v>NR</v>
      </c>
      <c r="M13" s="120">
        <f>VLOOKUP($K13,'UMC Table 4-A'!$A$2:$E$132,3,FALSE)</f>
        <v>2</v>
      </c>
      <c r="N13" s="159">
        <f t="shared" si="1"/>
        <v>10</v>
      </c>
      <c r="O13" s="120">
        <f>VLOOKUP($K13,'UMC Table 4-A'!$A$2:$E$132,4,FALSE)</f>
        <v>6</v>
      </c>
      <c r="P13" s="120">
        <f t="shared" si="2"/>
        <v>30</v>
      </c>
      <c r="Q13" s="120" t="str">
        <f>VLOOKUP($K13,'UMC Table 4-A'!$A$2:$E$132,5,FALSE)</f>
        <v>NR</v>
      </c>
      <c r="R13" s="120" t="str">
        <f t="shared" si="3"/>
        <v>-</v>
      </c>
      <c r="S13" s="125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28">
        <f t="shared" si="4"/>
        <v>30</v>
      </c>
      <c r="U13" s="128">
        <f t="shared" si="10"/>
        <v>30</v>
      </c>
      <c r="V13" s="128">
        <f t="shared" si="11"/>
        <v>0</v>
      </c>
      <c r="W13" s="126">
        <f t="shared" si="5"/>
        <v>0</v>
      </c>
      <c r="X13" s="129">
        <f t="shared" si="6"/>
        <v>1.1111111111111112</v>
      </c>
      <c r="Y13" s="129">
        <f t="shared" si="12"/>
        <v>33.333333333333329</v>
      </c>
      <c r="Z13" s="129">
        <f t="shared" si="13"/>
        <v>6.666666666666667</v>
      </c>
      <c r="AA13" s="90" t="str">
        <f t="shared" si="7"/>
        <v>Yes</v>
      </c>
      <c r="AD13" s="17" t="s">
        <v>92</v>
      </c>
      <c r="AE13" s="131" t="s">
        <v>75</v>
      </c>
      <c r="AF13" s="131" t="s">
        <v>76</v>
      </c>
      <c r="AG13" s="120">
        <f t="shared" si="8"/>
        <v>0</v>
      </c>
      <c r="AH13" s="120" t="str">
        <f>IFERROR((VLOOKUP(AG13,'DO NOT TOUCH'!$B$9:$C$14,2,TRUE)),"TBD")</f>
        <v>TBD</v>
      </c>
      <c r="AI13" s="120">
        <f t="shared" si="16"/>
        <v>0.5</v>
      </c>
      <c r="AJ13" s="120">
        <f>INPUT_OUTPUTS!$C$16</f>
        <v>140</v>
      </c>
      <c r="AK13" s="120">
        <f>INPUT_OUTPUTS!$C$17</f>
        <v>100</v>
      </c>
      <c r="AL13" s="120">
        <f t="shared" si="14"/>
        <v>55</v>
      </c>
      <c r="AM13" s="120">
        <f t="shared" si="14"/>
        <v>85</v>
      </c>
      <c r="AN13" s="120">
        <f t="shared" si="9"/>
        <v>0</v>
      </c>
      <c r="AO13" s="132">
        <f t="shared" si="17"/>
        <v>0</v>
      </c>
      <c r="AP13" s="132">
        <f t="shared" si="15"/>
        <v>0.5</v>
      </c>
      <c r="AQ13" s="132">
        <f t="shared" si="18"/>
        <v>5</v>
      </c>
      <c r="AR13" s="132" t="str">
        <f>IFERROR((_xlfn.XLOOKUP(AH13,'DO NOT TOUCH'!$C$9:$C$14,'DO NOT TOUCH'!$D$9:$D$14,)),"TBD")</f>
        <v>TBD</v>
      </c>
      <c r="AS13" s="132">
        <f>INPUT_OUTPUTS!$C$19</f>
        <v>0</v>
      </c>
      <c r="AT13" s="90" t="str">
        <f t="shared" si="19"/>
        <v>1, 2</v>
      </c>
    </row>
    <row r="14" spans="1:54" ht="15" customHeight="1">
      <c r="B14" s="91" t="s">
        <v>91</v>
      </c>
      <c r="C14" s="123" t="s">
        <v>54</v>
      </c>
      <c r="D14" s="123">
        <v>1234</v>
      </c>
      <c r="E14" s="123">
        <v>111</v>
      </c>
      <c r="F14" s="123">
        <v>10</v>
      </c>
      <c r="G14" s="120" t="str">
        <f>VLOOKUP($K14,'UMC Table 4-A'!$A$2:$E$132,5,FALSE)</f>
        <v>NR</v>
      </c>
      <c r="H14" s="123"/>
      <c r="I14" s="120">
        <v>0</v>
      </c>
      <c r="J14" s="120">
        <f t="shared" si="0"/>
        <v>111</v>
      </c>
      <c r="K14" s="123" t="s">
        <v>73</v>
      </c>
      <c r="L14" s="133" t="str">
        <f>VLOOKUP($K14,'UMC Table 4-A'!$A$2:$E$132,2,FALSE)</f>
        <v>NR</v>
      </c>
      <c r="M14" s="120">
        <f>VLOOKUP($K14,'UMC Table 4-A'!$A$2:$E$132,3,FALSE)</f>
        <v>2</v>
      </c>
      <c r="N14" s="159">
        <f t="shared" si="1"/>
        <v>40</v>
      </c>
      <c r="O14" s="120">
        <f>VLOOKUP($K14,'UMC Table 4-A'!$A$2:$E$132,4,FALSE)</f>
        <v>4</v>
      </c>
      <c r="P14" s="120">
        <f t="shared" si="2"/>
        <v>80</v>
      </c>
      <c r="Q14" s="120" t="str">
        <f>VLOOKUP($K14,'UMC Table 4-A'!$A$2:$E$132,5,FALSE)</f>
        <v>NR</v>
      </c>
      <c r="R14" s="120" t="str">
        <f t="shared" si="3"/>
        <v>-</v>
      </c>
      <c r="S14" s="125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28">
        <f t="shared" si="4"/>
        <v>115</v>
      </c>
      <c r="U14" s="128">
        <f t="shared" si="10"/>
        <v>115</v>
      </c>
      <c r="V14" s="128">
        <f t="shared" si="11"/>
        <v>0</v>
      </c>
      <c r="W14" s="126">
        <f t="shared" si="5"/>
        <v>0</v>
      </c>
      <c r="X14" s="129">
        <f t="shared" si="6"/>
        <v>1.0360360360360361</v>
      </c>
      <c r="Y14" s="129">
        <f t="shared" si="12"/>
        <v>34.782608695652172</v>
      </c>
      <c r="Z14" s="129">
        <f t="shared" si="13"/>
        <v>6.2162162162162167</v>
      </c>
      <c r="AA14" s="90" t="str">
        <f t="shared" si="7"/>
        <v>Yes</v>
      </c>
      <c r="AD14" s="17" t="s">
        <v>93</v>
      </c>
      <c r="AE14" s="131" t="s">
        <v>75</v>
      </c>
      <c r="AF14" s="131" t="s">
        <v>76</v>
      </c>
      <c r="AG14" s="120">
        <f t="shared" si="8"/>
        <v>0</v>
      </c>
      <c r="AH14" s="120" t="str">
        <f>IFERROR((VLOOKUP(AG14,'DO NOT TOUCH'!$B$9:$C$14,2,TRUE)),"TBD")</f>
        <v>TBD</v>
      </c>
      <c r="AI14" s="120">
        <f t="shared" si="16"/>
        <v>0.5</v>
      </c>
      <c r="AJ14" s="120">
        <f>INPUT_OUTPUTS!$C$16</f>
        <v>140</v>
      </c>
      <c r="AK14" s="120">
        <f>INPUT_OUTPUTS!$C$17</f>
        <v>100</v>
      </c>
      <c r="AL14" s="120">
        <f t="shared" si="14"/>
        <v>55</v>
      </c>
      <c r="AM14" s="120">
        <f t="shared" si="14"/>
        <v>85</v>
      </c>
      <c r="AN14" s="120">
        <f t="shared" si="9"/>
        <v>0</v>
      </c>
      <c r="AO14" s="132">
        <f t="shared" si="17"/>
        <v>0</v>
      </c>
      <c r="AP14" s="132">
        <f t="shared" si="15"/>
        <v>0.5</v>
      </c>
      <c r="AQ14" s="132">
        <f t="shared" si="18"/>
        <v>5</v>
      </c>
      <c r="AR14" s="132" t="str">
        <f>IFERROR((_xlfn.XLOOKUP(AH14,'DO NOT TOUCH'!$C$9:$C$14,'DO NOT TOUCH'!$D$9:$D$14,)),"TBD")</f>
        <v>TBD</v>
      </c>
      <c r="AS14" s="132">
        <f>INPUT_OUTPUTS!$C$19</f>
        <v>0</v>
      </c>
      <c r="AT14" s="90" t="str">
        <f t="shared" si="19"/>
        <v>1, 2</v>
      </c>
    </row>
    <row r="15" spans="1:54" ht="15" customHeight="1">
      <c r="B15" s="91" t="s">
        <v>91</v>
      </c>
      <c r="C15" s="123" t="s">
        <v>54</v>
      </c>
      <c r="D15" s="123">
        <v>1234</v>
      </c>
      <c r="E15" s="123">
        <v>256</v>
      </c>
      <c r="F15" s="123">
        <v>10</v>
      </c>
      <c r="G15" s="120" t="str">
        <f>VLOOKUP($K15,'UMC Table 4-A'!$A$2:$E$132,5,FALSE)</f>
        <v>NR</v>
      </c>
      <c r="H15" s="123"/>
      <c r="I15" s="120">
        <v>0</v>
      </c>
      <c r="J15" s="120">
        <f t="shared" si="0"/>
        <v>256</v>
      </c>
      <c r="K15" s="123" t="s">
        <v>73</v>
      </c>
      <c r="L15" s="133" t="str">
        <f>VLOOKUP($K15,'UMC Table 4-A'!$A$2:$E$132,2,FALSE)</f>
        <v>NR</v>
      </c>
      <c r="M15" s="120">
        <f>VLOOKUP($K15,'UMC Table 4-A'!$A$2:$E$132,3,FALSE)</f>
        <v>2</v>
      </c>
      <c r="N15" s="159">
        <f t="shared" si="1"/>
        <v>90</v>
      </c>
      <c r="O15" s="120">
        <f>VLOOKUP($K15,'UMC Table 4-A'!$A$2:$E$132,4,FALSE)</f>
        <v>4</v>
      </c>
      <c r="P15" s="120">
        <f t="shared" si="2"/>
        <v>180</v>
      </c>
      <c r="Q15" s="120" t="str">
        <f>VLOOKUP($K15,'UMC Table 4-A'!$A$2:$E$132,5,FALSE)</f>
        <v>NR</v>
      </c>
      <c r="R15" s="120" t="str">
        <f t="shared" si="3"/>
        <v>-</v>
      </c>
      <c r="S15" s="125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28">
        <f t="shared" si="4"/>
        <v>260</v>
      </c>
      <c r="U15" s="128">
        <f t="shared" si="10"/>
        <v>260</v>
      </c>
      <c r="V15" s="128">
        <f t="shared" si="11"/>
        <v>0</v>
      </c>
      <c r="W15" s="126">
        <f t="shared" si="5"/>
        <v>0</v>
      </c>
      <c r="X15" s="129">
        <f t="shared" si="6"/>
        <v>1.015625</v>
      </c>
      <c r="Y15" s="129">
        <f t="shared" si="12"/>
        <v>34.615384615384613</v>
      </c>
      <c r="Z15" s="129">
        <f t="shared" si="13"/>
        <v>6.09375</v>
      </c>
      <c r="AA15" s="90" t="str">
        <f t="shared" si="7"/>
        <v>Yes</v>
      </c>
      <c r="AD15" s="17" t="s">
        <v>97</v>
      </c>
      <c r="AE15" s="131" t="s">
        <v>75</v>
      </c>
      <c r="AF15" s="131" t="s">
        <v>76</v>
      </c>
      <c r="AG15" s="120">
        <f t="shared" si="8"/>
        <v>0</v>
      </c>
      <c r="AH15" s="120" t="str">
        <f>IFERROR((VLOOKUP(AG15,'DO NOT TOUCH'!$B$9:$C$14,2,TRUE)),"TBD")</f>
        <v>TBD</v>
      </c>
      <c r="AI15" s="120">
        <f t="shared" si="16"/>
        <v>0.5</v>
      </c>
      <c r="AJ15" s="120">
        <f>INPUT_OUTPUTS!$C$16</f>
        <v>140</v>
      </c>
      <c r="AK15" s="120">
        <f>INPUT_OUTPUTS!$C$17</f>
        <v>100</v>
      </c>
      <c r="AL15" s="120">
        <f t="shared" si="14"/>
        <v>55</v>
      </c>
      <c r="AM15" s="120">
        <f t="shared" si="14"/>
        <v>85</v>
      </c>
      <c r="AN15" s="120">
        <f t="shared" si="9"/>
        <v>0</v>
      </c>
      <c r="AO15" s="132">
        <f t="shared" si="17"/>
        <v>0</v>
      </c>
      <c r="AP15" s="132">
        <f t="shared" si="15"/>
        <v>0.5</v>
      </c>
      <c r="AQ15" s="132">
        <f t="shared" si="18"/>
        <v>5</v>
      </c>
      <c r="AR15" s="132" t="str">
        <f>IFERROR((_xlfn.XLOOKUP(AH15,'DO NOT TOUCH'!$C$9:$C$14,'DO NOT TOUCH'!$D$9:$D$14,)),"TBD")</f>
        <v>TBD</v>
      </c>
      <c r="AS15" s="132">
        <f>INPUT_OUTPUTS!$C$19</f>
        <v>0</v>
      </c>
      <c r="AT15" s="90" t="str">
        <f t="shared" si="19"/>
        <v>1, 2</v>
      </c>
    </row>
    <row r="16" spans="1:54" ht="15" customHeight="1">
      <c r="B16" s="91" t="s">
        <v>94</v>
      </c>
      <c r="C16" s="123" t="s">
        <v>54</v>
      </c>
      <c r="D16" s="123">
        <v>1234</v>
      </c>
      <c r="E16" s="123">
        <v>2347</v>
      </c>
      <c r="F16" s="123">
        <v>10</v>
      </c>
      <c r="G16" s="120" t="str">
        <f>VLOOKUP($K16,'UMC Table 4-A'!$A$2:$E$132,5,FALSE)</f>
        <v>NR</v>
      </c>
      <c r="H16" s="123"/>
      <c r="I16" s="120">
        <v>0</v>
      </c>
      <c r="J16" s="120">
        <f t="shared" si="0"/>
        <v>2347</v>
      </c>
      <c r="K16" s="123" t="s">
        <v>73</v>
      </c>
      <c r="L16" s="133" t="str">
        <f>VLOOKUP($K16,'UMC Table 4-A'!$A$2:$E$132,2,FALSE)</f>
        <v>NR</v>
      </c>
      <c r="M16" s="120">
        <f>VLOOKUP($K16,'UMC Table 4-A'!$A$2:$E$132,3,FALSE)</f>
        <v>2</v>
      </c>
      <c r="N16" s="159">
        <f t="shared" si="1"/>
        <v>790</v>
      </c>
      <c r="O16" s="120">
        <f>VLOOKUP($K16,'UMC Table 4-A'!$A$2:$E$132,4,FALSE)</f>
        <v>4</v>
      </c>
      <c r="P16" s="120">
        <f t="shared" si="2"/>
        <v>1570</v>
      </c>
      <c r="Q16" s="120" t="str">
        <f>VLOOKUP($K16,'UMC Table 4-A'!$A$2:$E$132,5,FALSE)</f>
        <v>NR</v>
      </c>
      <c r="R16" s="120" t="str">
        <f t="shared" si="3"/>
        <v>-</v>
      </c>
      <c r="S16" s="125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28">
        <f t="shared" si="4"/>
        <v>2350</v>
      </c>
      <c r="U16" s="128">
        <f t="shared" si="10"/>
        <v>2350</v>
      </c>
      <c r="V16" s="128">
        <f t="shared" si="11"/>
        <v>0</v>
      </c>
      <c r="W16" s="126">
        <f t="shared" si="5"/>
        <v>0</v>
      </c>
      <c r="X16" s="129">
        <f t="shared" si="6"/>
        <v>1.0012782275244994</v>
      </c>
      <c r="Y16" s="129">
        <f t="shared" si="12"/>
        <v>33.617021276595743</v>
      </c>
      <c r="Z16" s="129">
        <f t="shared" si="13"/>
        <v>6.0076693651469961</v>
      </c>
      <c r="AA16" s="90" t="str">
        <f t="shared" si="7"/>
        <v>Yes</v>
      </c>
      <c r="AD16" s="17" t="s">
        <v>99</v>
      </c>
      <c r="AE16" s="131" t="s">
        <v>75</v>
      </c>
      <c r="AF16" s="131" t="s">
        <v>76</v>
      </c>
      <c r="AG16" s="120">
        <f t="shared" si="8"/>
        <v>0</v>
      </c>
      <c r="AH16" s="120" t="str">
        <f>IFERROR((VLOOKUP(AG16,'DO NOT TOUCH'!$B$9:$C$14,2,TRUE)),"TBD")</f>
        <v>TBD</v>
      </c>
      <c r="AI16" s="120">
        <f t="shared" si="16"/>
        <v>0.5</v>
      </c>
      <c r="AJ16" s="120">
        <f>INPUT_OUTPUTS!$C$16</f>
        <v>140</v>
      </c>
      <c r="AK16" s="120">
        <f>INPUT_OUTPUTS!$C$17</f>
        <v>100</v>
      </c>
      <c r="AL16" s="120">
        <f t="shared" si="14"/>
        <v>55</v>
      </c>
      <c r="AM16" s="120">
        <f t="shared" si="14"/>
        <v>85</v>
      </c>
      <c r="AN16" s="120">
        <f t="shared" si="9"/>
        <v>0</v>
      </c>
      <c r="AO16" s="132">
        <f t="shared" si="17"/>
        <v>0</v>
      </c>
      <c r="AP16" s="132">
        <f t="shared" si="15"/>
        <v>0.5</v>
      </c>
      <c r="AQ16" s="132">
        <f t="shared" si="18"/>
        <v>5</v>
      </c>
      <c r="AR16" s="132" t="str">
        <f>IFERROR((_xlfn.XLOOKUP(AH16,'DO NOT TOUCH'!$C$9:$C$14,'DO NOT TOUCH'!$D$9:$D$14,)),"TBD")</f>
        <v>TBD</v>
      </c>
      <c r="AS16" s="132">
        <f>INPUT_OUTPUTS!$C$19</f>
        <v>0</v>
      </c>
      <c r="AT16" s="90" t="str">
        <f t="shared" si="19"/>
        <v>1, 2</v>
      </c>
    </row>
    <row r="17" spans="2:46" ht="15" customHeight="1">
      <c r="B17" s="91" t="s">
        <v>98</v>
      </c>
      <c r="C17" s="123" t="s">
        <v>54</v>
      </c>
      <c r="D17" s="123">
        <v>1234</v>
      </c>
      <c r="E17" s="123">
        <v>454</v>
      </c>
      <c r="F17" s="123">
        <v>10</v>
      </c>
      <c r="G17" s="120" t="str">
        <f>VLOOKUP($K17,'UMC Table 4-A'!$A$2:$E$132,5,FALSE)</f>
        <v>NR</v>
      </c>
      <c r="H17" s="123"/>
      <c r="I17" s="120">
        <v>0</v>
      </c>
      <c r="J17" s="120">
        <f t="shared" si="0"/>
        <v>454</v>
      </c>
      <c r="K17" s="123" t="s">
        <v>73</v>
      </c>
      <c r="L17" s="133" t="str">
        <f>VLOOKUP($K17,'UMC Table 4-A'!$A$2:$E$132,2,FALSE)</f>
        <v>NR</v>
      </c>
      <c r="M17" s="120">
        <f>VLOOKUP($K17,'UMC Table 4-A'!$A$2:$E$132,3,FALSE)</f>
        <v>2</v>
      </c>
      <c r="N17" s="159">
        <f t="shared" si="1"/>
        <v>160</v>
      </c>
      <c r="O17" s="120">
        <f>VLOOKUP($K17,'UMC Table 4-A'!$A$2:$E$132,4,FALSE)</f>
        <v>4</v>
      </c>
      <c r="P17" s="120">
        <f t="shared" si="2"/>
        <v>310</v>
      </c>
      <c r="Q17" s="120" t="str">
        <f>VLOOKUP($K17,'UMC Table 4-A'!$A$2:$E$132,5,FALSE)</f>
        <v>NR</v>
      </c>
      <c r="R17" s="120" t="str">
        <f t="shared" si="3"/>
        <v>-</v>
      </c>
      <c r="S17" s="125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28">
        <f t="shared" si="4"/>
        <v>455</v>
      </c>
      <c r="U17" s="128">
        <f t="shared" si="10"/>
        <v>455</v>
      </c>
      <c r="V17" s="128">
        <f t="shared" si="11"/>
        <v>0</v>
      </c>
      <c r="W17" s="126">
        <f t="shared" si="5"/>
        <v>0</v>
      </c>
      <c r="X17" s="129">
        <f t="shared" si="6"/>
        <v>1.0022026431718061</v>
      </c>
      <c r="Y17" s="129">
        <f t="shared" si="12"/>
        <v>35.164835164835168</v>
      </c>
      <c r="Z17" s="129">
        <f t="shared" si="13"/>
        <v>6.0132158590308364</v>
      </c>
      <c r="AA17" s="90" t="str">
        <f t="shared" si="7"/>
        <v>Yes</v>
      </c>
      <c r="AD17" s="17" t="s">
        <v>100</v>
      </c>
      <c r="AE17" s="131" t="s">
        <v>75</v>
      </c>
      <c r="AF17" s="131" t="s">
        <v>76</v>
      </c>
      <c r="AG17" s="120">
        <f t="shared" si="8"/>
        <v>0</v>
      </c>
      <c r="AH17" s="120" t="str">
        <f>IFERROR((VLOOKUP(AG17,'DO NOT TOUCH'!$B$9:$C$14,2,TRUE)),"TBD")</f>
        <v>TBD</v>
      </c>
      <c r="AI17" s="120">
        <f t="shared" si="16"/>
        <v>0.5</v>
      </c>
      <c r="AJ17" s="120">
        <f>INPUT_OUTPUTS!$C$16</f>
        <v>140</v>
      </c>
      <c r="AK17" s="120">
        <f>INPUT_OUTPUTS!$C$17</f>
        <v>100</v>
      </c>
      <c r="AL17" s="120">
        <f t="shared" si="14"/>
        <v>55</v>
      </c>
      <c r="AM17" s="120">
        <f t="shared" si="14"/>
        <v>85</v>
      </c>
      <c r="AN17" s="120">
        <f t="shared" si="9"/>
        <v>0</v>
      </c>
      <c r="AO17" s="132">
        <f t="shared" si="17"/>
        <v>0</v>
      </c>
      <c r="AP17" s="132">
        <f t="shared" si="15"/>
        <v>0.5</v>
      </c>
      <c r="AQ17" s="132">
        <f t="shared" si="18"/>
        <v>5</v>
      </c>
      <c r="AR17" s="132" t="str">
        <f>IFERROR((_xlfn.XLOOKUP(AH17,'DO NOT TOUCH'!$C$9:$C$14,'DO NOT TOUCH'!$D$9:$D$14,)),"TBD")</f>
        <v>TBD</v>
      </c>
      <c r="AS17" s="132">
        <f>INPUT_OUTPUTS!$C$19</f>
        <v>0</v>
      </c>
      <c r="AT17" s="90" t="str">
        <f t="shared" si="19"/>
        <v>1, 2</v>
      </c>
    </row>
    <row r="18" spans="2:46" ht="15" customHeight="1">
      <c r="B18" s="107"/>
      <c r="C18" s="134"/>
      <c r="D18" s="134"/>
      <c r="E18" s="135">
        <f>SUBTOTAL(109,TABLE4A439[AREA 
(FT²)])</f>
        <v>4063</v>
      </c>
      <c r="F18" s="135"/>
      <c r="G18" s="135"/>
      <c r="H18" s="135"/>
      <c r="I18" s="135"/>
      <c r="J18" s="135"/>
      <c r="K18" s="135"/>
      <c r="L18" s="135"/>
      <c r="M18" s="135"/>
      <c r="N18" s="136">
        <f>SUBTOTAL(109,TABLE4A439[MIN OUTDOOR ACH 
(CFM)])</f>
        <v>1270</v>
      </c>
      <c r="O18" s="135"/>
      <c r="P18" s="135"/>
      <c r="Q18" s="135"/>
      <c r="R18" s="135"/>
      <c r="S18" s="135">
        <f>SUBTOTAL(109,TABLE4A439[CALCULATED SA 
(CFM)])</f>
        <v>4235</v>
      </c>
      <c r="T18" s="135">
        <f>SUBTOTAL(109,TABLE4A439[DESIGN SA 
(CFM)])</f>
        <v>4235</v>
      </c>
      <c r="U18" s="135">
        <f>SUBTOTAL(109,TABLE4A439[DESIGN RA
(CFM)])</f>
        <v>3685</v>
      </c>
      <c r="V18" s="135">
        <f>SUBTOTAL(109,TABLE4A439[DESIGN EA
(CFM)])</f>
        <v>500</v>
      </c>
      <c r="W18" s="135">
        <f>SUBTOTAL(109,TABLE4A439[Transfer Air CFM])</f>
        <v>50</v>
      </c>
      <c r="X18" s="135"/>
      <c r="Y18" s="137"/>
      <c r="Z18" s="137"/>
      <c r="AA18" s="108"/>
      <c r="AD18" s="17" t="s">
        <v>101</v>
      </c>
      <c r="AE18" s="131" t="s">
        <v>75</v>
      </c>
      <c r="AF18" s="131" t="s">
        <v>76</v>
      </c>
      <c r="AG18" s="120">
        <f t="shared" si="8"/>
        <v>0</v>
      </c>
      <c r="AH18" s="120" t="str">
        <f>IFERROR((VLOOKUP(AG18,'DO NOT TOUCH'!$B$9:$C$14,2,TRUE)),"TBD")</f>
        <v>TBD</v>
      </c>
      <c r="AI18" s="120">
        <f t="shared" si="16"/>
        <v>0.5</v>
      </c>
      <c r="AJ18" s="120">
        <f>INPUT_OUTPUTS!$C$16</f>
        <v>140</v>
      </c>
      <c r="AK18" s="120">
        <f>INPUT_OUTPUTS!$C$17</f>
        <v>100</v>
      </c>
      <c r="AL18" s="120">
        <f t="shared" si="14"/>
        <v>55</v>
      </c>
      <c r="AM18" s="120">
        <f t="shared" si="14"/>
        <v>85</v>
      </c>
      <c r="AN18" s="120">
        <f t="shared" si="9"/>
        <v>0</v>
      </c>
      <c r="AO18" s="132">
        <f t="shared" si="17"/>
        <v>0</v>
      </c>
      <c r="AP18" s="132">
        <f t="shared" si="15"/>
        <v>0.5</v>
      </c>
      <c r="AQ18" s="132">
        <f t="shared" si="18"/>
        <v>5</v>
      </c>
      <c r="AR18" s="132" t="str">
        <f>IFERROR((_xlfn.XLOOKUP(AH18,'DO NOT TOUCH'!$C$9:$C$14,'DO NOT TOUCH'!$D$9:$D$14,)),"TBD")</f>
        <v>TBD</v>
      </c>
      <c r="AS18" s="132">
        <f>INPUT_OUTPUTS!$C$19</f>
        <v>0</v>
      </c>
      <c r="AT18" s="90" t="str">
        <f t="shared" si="19"/>
        <v>1, 2</v>
      </c>
    </row>
    <row r="19" spans="2:46" ht="15" customHeight="1">
      <c r="B19" s="52"/>
      <c r="C19" s="53"/>
      <c r="G19" s="40"/>
      <c r="H19" s="54"/>
      <c r="K19" s="55"/>
      <c r="L19" s="56"/>
      <c r="M19" s="56"/>
      <c r="O19" s="39"/>
      <c r="R19" s="57"/>
      <c r="S19" s="57"/>
      <c r="T19" s="39"/>
      <c r="U19" s="39"/>
      <c r="V19" s="39"/>
      <c r="W19" s="39"/>
      <c r="X19" s="57"/>
      <c r="Y19" s="58"/>
      <c r="AD19" s="17" t="s">
        <v>102</v>
      </c>
      <c r="AE19" s="131" t="s">
        <v>75</v>
      </c>
      <c r="AF19" s="131" t="s">
        <v>76</v>
      </c>
      <c r="AG19" s="120">
        <f t="shared" si="8"/>
        <v>0</v>
      </c>
      <c r="AH19" s="120" t="str">
        <f>IFERROR((VLOOKUP(AG19,'DO NOT TOUCH'!$B$9:$C$14,2,TRUE)),"TBD")</f>
        <v>TBD</v>
      </c>
      <c r="AI19" s="120">
        <f t="shared" si="16"/>
        <v>0.5</v>
      </c>
      <c r="AJ19" s="120">
        <f>INPUT_OUTPUTS!$C$16</f>
        <v>140</v>
      </c>
      <c r="AK19" s="120">
        <f>INPUT_OUTPUTS!$C$17</f>
        <v>100</v>
      </c>
      <c r="AL19" s="120">
        <f t="shared" si="14"/>
        <v>55</v>
      </c>
      <c r="AM19" s="120">
        <f t="shared" si="14"/>
        <v>85</v>
      </c>
      <c r="AN19" s="120">
        <f t="shared" si="9"/>
        <v>0</v>
      </c>
      <c r="AO19" s="132">
        <f t="shared" si="17"/>
        <v>0</v>
      </c>
      <c r="AP19" s="132">
        <f t="shared" si="15"/>
        <v>0.5</v>
      </c>
      <c r="AQ19" s="132">
        <f t="shared" si="18"/>
        <v>5</v>
      </c>
      <c r="AR19" s="132" t="str">
        <f>IFERROR((_xlfn.XLOOKUP(AH19,'DO NOT TOUCH'!$C$9:$C$14,'DO NOT TOUCH'!$D$9:$D$14,)),"TBD")</f>
        <v>TBD</v>
      </c>
      <c r="AS19" s="132">
        <f>INPUT_OUTPUTS!$C$19</f>
        <v>0</v>
      </c>
      <c r="AT19" s="90" t="str">
        <f t="shared" si="19"/>
        <v>1, 2</v>
      </c>
    </row>
    <row r="20" spans="2:46" ht="15" customHeight="1">
      <c r="B20" s="59"/>
      <c r="C20" s="53"/>
      <c r="G20" s="40"/>
      <c r="H20" s="54"/>
      <c r="K20" s="55"/>
      <c r="L20" s="56"/>
      <c r="M20" s="56"/>
      <c r="O20" s="39"/>
      <c r="T20" s="39"/>
      <c r="U20" s="39"/>
      <c r="V20" s="39"/>
      <c r="W20" s="39"/>
      <c r="X20" s="40"/>
      <c r="Y20" s="58"/>
      <c r="AD20" s="17" t="s">
        <v>103</v>
      </c>
      <c r="AE20" s="131" t="s">
        <v>75</v>
      </c>
      <c r="AF20" s="131" t="s">
        <v>76</v>
      </c>
      <c r="AG20" s="120">
        <f t="shared" si="8"/>
        <v>0</v>
      </c>
      <c r="AH20" s="120" t="str">
        <f>IFERROR((VLOOKUP(AG20,'DO NOT TOUCH'!$B$9:$C$14,2,TRUE)),"TBD")</f>
        <v>TBD</v>
      </c>
      <c r="AI20" s="120">
        <f t="shared" si="16"/>
        <v>0.5</v>
      </c>
      <c r="AJ20" s="120">
        <f>INPUT_OUTPUTS!$C$16</f>
        <v>140</v>
      </c>
      <c r="AK20" s="120">
        <f>INPUT_OUTPUTS!$C$17</f>
        <v>100</v>
      </c>
      <c r="AL20" s="120">
        <f t="shared" si="14"/>
        <v>55</v>
      </c>
      <c r="AM20" s="120">
        <f t="shared" si="14"/>
        <v>85</v>
      </c>
      <c r="AN20" s="120">
        <f t="shared" si="9"/>
        <v>0</v>
      </c>
      <c r="AO20" s="132">
        <f t="shared" si="17"/>
        <v>0</v>
      </c>
      <c r="AP20" s="132">
        <f t="shared" si="15"/>
        <v>0.5</v>
      </c>
      <c r="AQ20" s="132">
        <f t="shared" si="18"/>
        <v>5</v>
      </c>
      <c r="AR20" s="132" t="str">
        <f>IFERROR((_xlfn.XLOOKUP(AH20,'DO NOT TOUCH'!$C$9:$C$14,'DO NOT TOUCH'!$D$9:$D$14,)),"TBD")</f>
        <v>TBD</v>
      </c>
      <c r="AS20" s="132">
        <f>INPUT_OUTPUTS!$C$19</f>
        <v>0</v>
      </c>
      <c r="AT20" s="90" t="str">
        <f t="shared" si="19"/>
        <v>1, 2</v>
      </c>
    </row>
    <row r="21" spans="2:46" ht="15" customHeight="1">
      <c r="B21" s="52"/>
      <c r="C21" s="53"/>
      <c r="T21" s="39"/>
      <c r="U21" s="39"/>
      <c r="V21" s="39"/>
      <c r="W21" s="39"/>
      <c r="AD21" s="17" t="s">
        <v>105</v>
      </c>
      <c r="AE21" s="131" t="s">
        <v>75</v>
      </c>
      <c r="AF21" s="131" t="s">
        <v>76</v>
      </c>
      <c r="AG21" s="120">
        <f t="shared" si="8"/>
        <v>0</v>
      </c>
      <c r="AH21" s="120" t="str">
        <f>IFERROR((VLOOKUP(AG21,'DO NOT TOUCH'!$B$9:$C$14,2,TRUE)),"TBD")</f>
        <v>TBD</v>
      </c>
      <c r="AI21" s="120">
        <f t="shared" si="16"/>
        <v>0.5</v>
      </c>
      <c r="AJ21" s="120">
        <f>INPUT_OUTPUTS!$C$16</f>
        <v>140</v>
      </c>
      <c r="AK21" s="120">
        <f>INPUT_OUTPUTS!$C$17</f>
        <v>100</v>
      </c>
      <c r="AL21" s="120">
        <f t="shared" si="14"/>
        <v>55</v>
      </c>
      <c r="AM21" s="120">
        <f t="shared" si="14"/>
        <v>85</v>
      </c>
      <c r="AN21" s="120">
        <f t="shared" si="9"/>
        <v>0</v>
      </c>
      <c r="AO21" s="132">
        <f t="shared" si="17"/>
        <v>0</v>
      </c>
      <c r="AP21" s="132">
        <f t="shared" si="15"/>
        <v>0.5</v>
      </c>
      <c r="AQ21" s="132">
        <f t="shared" si="18"/>
        <v>5</v>
      </c>
      <c r="AR21" s="132" t="str">
        <f>IFERROR((_xlfn.XLOOKUP(AH21,'DO NOT TOUCH'!$C$9:$C$14,'DO NOT TOUCH'!$D$9:$D$14,)),"TBD")</f>
        <v>TBD</v>
      </c>
      <c r="AS21" s="132">
        <f>INPUT_OUTPUTS!$C$19</f>
        <v>0</v>
      </c>
      <c r="AT21" s="90" t="str">
        <f t="shared" si="19"/>
        <v>1, 2</v>
      </c>
    </row>
    <row r="22" spans="2:46" ht="15" customHeight="1">
      <c r="K22" s="39"/>
      <c r="N22" s="39"/>
      <c r="Q22" s="39" t="s">
        <v>104</v>
      </c>
      <c r="T22" s="39"/>
      <c r="U22" s="39"/>
      <c r="V22" s="39"/>
      <c r="W22" s="39"/>
      <c r="AD22" s="17" t="s">
        <v>106</v>
      </c>
      <c r="AE22" s="131" t="s">
        <v>75</v>
      </c>
      <c r="AF22" s="131" t="s">
        <v>76</v>
      </c>
      <c r="AG22" s="120">
        <f t="shared" si="8"/>
        <v>0</v>
      </c>
      <c r="AH22" s="120" t="str">
        <f>IFERROR((VLOOKUP(AG22,'DO NOT TOUCH'!$B$9:$C$14,2,TRUE)),"TBD")</f>
        <v>TBD</v>
      </c>
      <c r="AI22" s="120">
        <f t="shared" si="16"/>
        <v>0.5</v>
      </c>
      <c r="AJ22" s="120">
        <f>INPUT_OUTPUTS!$C$16</f>
        <v>140</v>
      </c>
      <c r="AK22" s="120">
        <f>INPUT_OUTPUTS!$C$17</f>
        <v>100</v>
      </c>
      <c r="AL22" s="120">
        <f t="shared" si="14"/>
        <v>55</v>
      </c>
      <c r="AM22" s="120">
        <f t="shared" si="14"/>
        <v>85</v>
      </c>
      <c r="AN22" s="120">
        <f t="shared" si="9"/>
        <v>0</v>
      </c>
      <c r="AO22" s="132">
        <f t="shared" si="17"/>
        <v>0</v>
      </c>
      <c r="AP22" s="132">
        <f t="shared" si="15"/>
        <v>0.5</v>
      </c>
      <c r="AQ22" s="132">
        <f t="shared" si="18"/>
        <v>5</v>
      </c>
      <c r="AR22" s="132" t="str">
        <f>IFERROR((_xlfn.XLOOKUP(AH22,'DO NOT TOUCH'!$C$9:$C$14,'DO NOT TOUCH'!$D$9:$D$14,)),"TBD")</f>
        <v>TBD</v>
      </c>
      <c r="AS22" s="132">
        <f>INPUT_OUTPUTS!$C$19</f>
        <v>0</v>
      </c>
      <c r="AT22" s="90" t="str">
        <f t="shared" si="19"/>
        <v>1, 2</v>
      </c>
    </row>
    <row r="23" spans="2:46" ht="15" customHeight="1">
      <c r="T23" s="39"/>
      <c r="U23" s="39"/>
      <c r="V23" s="39"/>
      <c r="W23" s="39"/>
      <c r="AD23" s="17" t="s">
        <v>107</v>
      </c>
      <c r="AE23" s="131" t="s">
        <v>75</v>
      </c>
      <c r="AF23" s="131" t="s">
        <v>76</v>
      </c>
      <c r="AG23" s="120">
        <f t="shared" si="8"/>
        <v>0</v>
      </c>
      <c r="AH23" s="120" t="str">
        <f>IFERROR((VLOOKUP(AG23,'DO NOT TOUCH'!$B$9:$C$14,2,TRUE)),"TBD")</f>
        <v>TBD</v>
      </c>
      <c r="AI23" s="120">
        <f t="shared" si="16"/>
        <v>0.5</v>
      </c>
      <c r="AJ23" s="120">
        <f>INPUT_OUTPUTS!$C$16</f>
        <v>140</v>
      </c>
      <c r="AK23" s="120">
        <f>INPUT_OUTPUTS!$C$17</f>
        <v>100</v>
      </c>
      <c r="AL23" s="120">
        <f t="shared" si="14"/>
        <v>55</v>
      </c>
      <c r="AM23" s="120">
        <f t="shared" si="14"/>
        <v>85</v>
      </c>
      <c r="AN23" s="120">
        <f t="shared" si="9"/>
        <v>0</v>
      </c>
      <c r="AO23" s="132">
        <f t="shared" si="17"/>
        <v>0</v>
      </c>
      <c r="AP23" s="132">
        <f t="shared" si="15"/>
        <v>0.5</v>
      </c>
      <c r="AQ23" s="132">
        <f t="shared" si="18"/>
        <v>5</v>
      </c>
      <c r="AR23" s="132" t="str">
        <f>IFERROR((_xlfn.XLOOKUP(AH23,'DO NOT TOUCH'!$C$9:$C$14,'DO NOT TOUCH'!$D$9:$D$14,)),"TBD")</f>
        <v>TBD</v>
      </c>
      <c r="AS23" s="132">
        <f>INPUT_OUTPUTS!$C$19</f>
        <v>0</v>
      </c>
      <c r="AT23" s="90" t="str">
        <f t="shared" si="19"/>
        <v>1, 2</v>
      </c>
    </row>
    <row r="24" spans="2:46" ht="15" customHeight="1">
      <c r="T24" s="39"/>
      <c r="U24" s="39"/>
      <c r="V24" s="39"/>
      <c r="W24" s="39"/>
      <c r="AD24" s="17" t="s">
        <v>108</v>
      </c>
      <c r="AE24" s="131" t="s">
        <v>75</v>
      </c>
      <c r="AF24" s="131" t="s">
        <v>76</v>
      </c>
      <c r="AG24" s="120">
        <f t="shared" si="8"/>
        <v>0</v>
      </c>
      <c r="AH24" s="120" t="str">
        <f>IFERROR((VLOOKUP(AG24,'DO NOT TOUCH'!$B$9:$C$14,2,TRUE)),"TBD")</f>
        <v>TBD</v>
      </c>
      <c r="AI24" s="120">
        <f t="shared" si="16"/>
        <v>0.5</v>
      </c>
      <c r="AJ24" s="120">
        <f>INPUT_OUTPUTS!$C$16</f>
        <v>140</v>
      </c>
      <c r="AK24" s="120">
        <f>INPUT_OUTPUTS!$C$17</f>
        <v>100</v>
      </c>
      <c r="AL24" s="120">
        <f t="shared" ref="AL24:AM39" si="20">AL23</f>
        <v>55</v>
      </c>
      <c r="AM24" s="120">
        <f t="shared" si="20"/>
        <v>85</v>
      </c>
      <c r="AN24" s="120">
        <f t="shared" si="9"/>
        <v>0</v>
      </c>
      <c r="AO24" s="132">
        <f t="shared" si="17"/>
        <v>0</v>
      </c>
      <c r="AP24" s="132">
        <f t="shared" si="15"/>
        <v>0.5</v>
      </c>
      <c r="AQ24" s="132">
        <f t="shared" si="18"/>
        <v>5</v>
      </c>
      <c r="AR24" s="132" t="str">
        <f>IFERROR((_xlfn.XLOOKUP(AH24,'DO NOT TOUCH'!$C$9:$C$14,'DO NOT TOUCH'!$D$9:$D$14,)),"TBD")</f>
        <v>TBD</v>
      </c>
      <c r="AS24" s="132">
        <f>INPUT_OUTPUTS!$C$19</f>
        <v>0</v>
      </c>
      <c r="AT24" s="90" t="str">
        <f t="shared" si="19"/>
        <v>1, 2</v>
      </c>
    </row>
    <row r="25" spans="2:46" ht="15" customHeight="1">
      <c r="T25" s="39"/>
      <c r="U25" s="39"/>
      <c r="V25" s="39"/>
      <c r="W25" s="39"/>
      <c r="AD25" s="17" t="s">
        <v>109</v>
      </c>
      <c r="AE25" s="131" t="s">
        <v>75</v>
      </c>
      <c r="AF25" s="131" t="s">
        <v>76</v>
      </c>
      <c r="AG25" s="120">
        <f t="shared" si="8"/>
        <v>0</v>
      </c>
      <c r="AH25" s="120" t="str">
        <f>IFERROR((VLOOKUP(AG25,'DO NOT TOUCH'!$B$9:$C$14,2,TRUE)),"TBD")</f>
        <v>TBD</v>
      </c>
      <c r="AI25" s="120">
        <f t="shared" si="16"/>
        <v>0.5</v>
      </c>
      <c r="AJ25" s="120">
        <f>INPUT_OUTPUTS!$C$16</f>
        <v>140</v>
      </c>
      <c r="AK25" s="120">
        <f>INPUT_OUTPUTS!$C$17</f>
        <v>100</v>
      </c>
      <c r="AL25" s="120">
        <f t="shared" si="20"/>
        <v>55</v>
      </c>
      <c r="AM25" s="120">
        <f t="shared" si="20"/>
        <v>85</v>
      </c>
      <c r="AN25" s="120">
        <f t="shared" si="9"/>
        <v>0</v>
      </c>
      <c r="AO25" s="132">
        <f t="shared" si="17"/>
        <v>0</v>
      </c>
      <c r="AP25" s="132">
        <f t="shared" si="15"/>
        <v>0.5</v>
      </c>
      <c r="AQ25" s="132">
        <f t="shared" si="18"/>
        <v>5</v>
      </c>
      <c r="AR25" s="132" t="str">
        <f>IFERROR((_xlfn.XLOOKUP(AH25,'DO NOT TOUCH'!$C$9:$C$14,'DO NOT TOUCH'!$D$9:$D$14,)),"TBD")</f>
        <v>TBD</v>
      </c>
      <c r="AS25" s="132">
        <f>INPUT_OUTPUTS!$C$19</f>
        <v>0</v>
      </c>
      <c r="AT25" s="90" t="str">
        <f t="shared" si="19"/>
        <v>1, 2</v>
      </c>
    </row>
    <row r="26" spans="2:46" ht="15" customHeight="1">
      <c r="T26" s="39"/>
      <c r="U26" s="39"/>
      <c r="V26" s="39"/>
      <c r="W26" s="39"/>
      <c r="AD26" s="17" t="s">
        <v>110</v>
      </c>
      <c r="AE26" s="131" t="s">
        <v>75</v>
      </c>
      <c r="AF26" s="131" t="s">
        <v>76</v>
      </c>
      <c r="AG26" s="120">
        <f t="shared" si="8"/>
        <v>0</v>
      </c>
      <c r="AH26" s="120" t="str">
        <f>IFERROR((VLOOKUP(AG26,'DO NOT TOUCH'!$B$9:$C$14,2,TRUE)),"TBD")</f>
        <v>TBD</v>
      </c>
      <c r="AI26" s="120">
        <f t="shared" si="16"/>
        <v>0.5</v>
      </c>
      <c r="AJ26" s="120">
        <f>INPUT_OUTPUTS!$C$16</f>
        <v>140</v>
      </c>
      <c r="AK26" s="120">
        <f>INPUT_OUTPUTS!$C$17</f>
        <v>100</v>
      </c>
      <c r="AL26" s="120">
        <f t="shared" si="20"/>
        <v>55</v>
      </c>
      <c r="AM26" s="120">
        <f t="shared" si="20"/>
        <v>85</v>
      </c>
      <c r="AN26" s="120">
        <f t="shared" si="9"/>
        <v>0</v>
      </c>
      <c r="AO26" s="132">
        <f t="shared" si="17"/>
        <v>0</v>
      </c>
      <c r="AP26" s="132">
        <f t="shared" si="15"/>
        <v>0.5</v>
      </c>
      <c r="AQ26" s="132">
        <f t="shared" si="18"/>
        <v>5</v>
      </c>
      <c r="AR26" s="132" t="str">
        <f>IFERROR((_xlfn.XLOOKUP(AH26,'DO NOT TOUCH'!$C$9:$C$14,'DO NOT TOUCH'!$D$9:$D$14,)),"TBD")</f>
        <v>TBD</v>
      </c>
      <c r="AS26" s="132">
        <f>INPUT_OUTPUTS!$C$19</f>
        <v>0</v>
      </c>
      <c r="AT26" s="90" t="str">
        <f t="shared" si="19"/>
        <v>1, 2</v>
      </c>
    </row>
    <row r="27" spans="2:46" ht="15" customHeight="1">
      <c r="AD27" s="17" t="s">
        <v>111</v>
      </c>
      <c r="AE27" s="131" t="s">
        <v>75</v>
      </c>
      <c r="AF27" s="131" t="s">
        <v>76</v>
      </c>
      <c r="AG27" s="120">
        <f t="shared" si="8"/>
        <v>0</v>
      </c>
      <c r="AH27" s="120" t="str">
        <f>IFERROR((VLOOKUP(AG27,'DO NOT TOUCH'!$B$9:$C$14,2,TRUE)),"TBD")</f>
        <v>TBD</v>
      </c>
      <c r="AI27" s="120">
        <f t="shared" si="16"/>
        <v>0.5</v>
      </c>
      <c r="AJ27" s="120">
        <f>INPUT_OUTPUTS!$C$16</f>
        <v>140</v>
      </c>
      <c r="AK27" s="120">
        <f>INPUT_OUTPUTS!$C$17</f>
        <v>100</v>
      </c>
      <c r="AL27" s="120">
        <f t="shared" si="20"/>
        <v>55</v>
      </c>
      <c r="AM27" s="120">
        <f t="shared" si="20"/>
        <v>85</v>
      </c>
      <c r="AN27" s="120">
        <f t="shared" si="9"/>
        <v>0</v>
      </c>
      <c r="AO27" s="132">
        <f t="shared" si="17"/>
        <v>0</v>
      </c>
      <c r="AP27" s="132">
        <f t="shared" si="15"/>
        <v>0.5</v>
      </c>
      <c r="AQ27" s="132">
        <f t="shared" si="18"/>
        <v>5</v>
      </c>
      <c r="AR27" s="132" t="str">
        <f>IFERROR((_xlfn.XLOOKUP(AH27,'DO NOT TOUCH'!$C$9:$C$14,'DO NOT TOUCH'!$D$9:$D$14,)),"TBD")</f>
        <v>TBD</v>
      </c>
      <c r="AS27" s="132">
        <f>INPUT_OUTPUTS!$C$19</f>
        <v>0</v>
      </c>
      <c r="AT27" s="90" t="str">
        <f t="shared" si="19"/>
        <v>1, 2</v>
      </c>
    </row>
    <row r="28" spans="2:46" ht="15" customHeight="1">
      <c r="AD28" s="17" t="s">
        <v>112</v>
      </c>
      <c r="AE28" s="131" t="s">
        <v>75</v>
      </c>
      <c r="AF28" s="131" t="s">
        <v>76</v>
      </c>
      <c r="AG28" s="120">
        <f t="shared" si="8"/>
        <v>0</v>
      </c>
      <c r="AH28" s="120" t="str">
        <f>IFERROR((VLOOKUP(AG28,'DO NOT TOUCH'!$B$9:$C$14,2,TRUE)),"TBD")</f>
        <v>TBD</v>
      </c>
      <c r="AI28" s="120">
        <f t="shared" si="16"/>
        <v>0.5</v>
      </c>
      <c r="AJ28" s="120">
        <f>INPUT_OUTPUTS!$C$16</f>
        <v>140</v>
      </c>
      <c r="AK28" s="120">
        <f>INPUT_OUTPUTS!$C$17</f>
        <v>100</v>
      </c>
      <c r="AL28" s="120">
        <f t="shared" si="20"/>
        <v>55</v>
      </c>
      <c r="AM28" s="120">
        <f t="shared" si="20"/>
        <v>85</v>
      </c>
      <c r="AN28" s="120">
        <f t="shared" si="9"/>
        <v>0</v>
      </c>
      <c r="AO28" s="132">
        <f t="shared" si="17"/>
        <v>0</v>
      </c>
      <c r="AP28" s="132">
        <f t="shared" si="15"/>
        <v>0.5</v>
      </c>
      <c r="AQ28" s="132">
        <f t="shared" si="18"/>
        <v>5</v>
      </c>
      <c r="AR28" s="132" t="str">
        <f>IFERROR((_xlfn.XLOOKUP(AH28,'DO NOT TOUCH'!$C$9:$C$14,'DO NOT TOUCH'!$D$9:$D$14,)),"TBD")</f>
        <v>TBD</v>
      </c>
      <c r="AS28" s="132">
        <f>INPUT_OUTPUTS!$C$19</f>
        <v>0</v>
      </c>
      <c r="AT28" s="90" t="str">
        <f t="shared" si="19"/>
        <v>1, 2</v>
      </c>
    </row>
    <row r="29" spans="2:46" ht="15" customHeight="1">
      <c r="AD29" s="17" t="s">
        <v>113</v>
      </c>
      <c r="AE29" s="131" t="s">
        <v>75</v>
      </c>
      <c r="AF29" s="131" t="s">
        <v>76</v>
      </c>
      <c r="AG29" s="120">
        <f t="shared" si="8"/>
        <v>0</v>
      </c>
      <c r="AH29" s="120" t="str">
        <f>IFERROR((VLOOKUP(AG29,'DO NOT TOUCH'!$B$9:$C$14,2,TRUE)),"TBD")</f>
        <v>TBD</v>
      </c>
      <c r="AI29" s="120">
        <f t="shared" si="16"/>
        <v>0.5</v>
      </c>
      <c r="AJ29" s="120">
        <f>INPUT_OUTPUTS!$C$16</f>
        <v>140</v>
      </c>
      <c r="AK29" s="120">
        <f>INPUT_OUTPUTS!$C$17</f>
        <v>100</v>
      </c>
      <c r="AL29" s="120">
        <f t="shared" si="20"/>
        <v>55</v>
      </c>
      <c r="AM29" s="120">
        <f t="shared" si="20"/>
        <v>85</v>
      </c>
      <c r="AN29" s="120">
        <f t="shared" si="9"/>
        <v>0</v>
      </c>
      <c r="AO29" s="132">
        <f t="shared" si="17"/>
        <v>0</v>
      </c>
      <c r="AP29" s="132">
        <f t="shared" si="15"/>
        <v>0.5</v>
      </c>
      <c r="AQ29" s="132">
        <f t="shared" si="18"/>
        <v>5</v>
      </c>
      <c r="AR29" s="132" t="str">
        <f>IFERROR((_xlfn.XLOOKUP(AH29,'DO NOT TOUCH'!$C$9:$C$14,'DO NOT TOUCH'!$D$9:$D$14,)),"TBD")</f>
        <v>TBD</v>
      </c>
      <c r="AS29" s="132">
        <f>INPUT_OUTPUTS!$C$19</f>
        <v>0</v>
      </c>
      <c r="AT29" s="90" t="str">
        <f t="shared" si="19"/>
        <v>1, 2</v>
      </c>
    </row>
    <row r="30" spans="2:46" ht="15" customHeight="1">
      <c r="AD30" s="17" t="s">
        <v>114</v>
      </c>
      <c r="AE30" s="131" t="s">
        <v>75</v>
      </c>
      <c r="AF30" s="131" t="s">
        <v>76</v>
      </c>
      <c r="AG30" s="120">
        <f t="shared" si="8"/>
        <v>0</v>
      </c>
      <c r="AH30" s="120" t="str">
        <f>IFERROR((VLOOKUP(AG30,'DO NOT TOUCH'!$B$9:$C$14,2,TRUE)),"TBD")</f>
        <v>TBD</v>
      </c>
      <c r="AI30" s="120">
        <f t="shared" si="16"/>
        <v>0.5</v>
      </c>
      <c r="AJ30" s="120">
        <f>INPUT_OUTPUTS!$C$16</f>
        <v>140</v>
      </c>
      <c r="AK30" s="120">
        <f>INPUT_OUTPUTS!$C$17</f>
        <v>100</v>
      </c>
      <c r="AL30" s="120">
        <f t="shared" si="20"/>
        <v>55</v>
      </c>
      <c r="AM30" s="120">
        <f t="shared" si="20"/>
        <v>85</v>
      </c>
      <c r="AN30" s="120">
        <f t="shared" si="9"/>
        <v>0</v>
      </c>
      <c r="AO30" s="132">
        <f t="shared" si="17"/>
        <v>0</v>
      </c>
      <c r="AP30" s="132">
        <f t="shared" si="15"/>
        <v>0.5</v>
      </c>
      <c r="AQ30" s="132">
        <f t="shared" si="18"/>
        <v>5</v>
      </c>
      <c r="AR30" s="132" t="str">
        <f>IFERROR((_xlfn.XLOOKUP(AH30,'DO NOT TOUCH'!$C$9:$C$14,'DO NOT TOUCH'!$D$9:$D$14,)),"TBD")</f>
        <v>TBD</v>
      </c>
      <c r="AS30" s="132">
        <f>INPUT_OUTPUTS!$C$19</f>
        <v>0</v>
      </c>
      <c r="AT30" s="90" t="str">
        <f t="shared" si="19"/>
        <v>1, 2</v>
      </c>
    </row>
    <row r="31" spans="2:46" ht="15" customHeight="1">
      <c r="AD31" s="17" t="s">
        <v>115</v>
      </c>
      <c r="AE31" s="131" t="s">
        <v>75</v>
      </c>
      <c r="AF31" s="131" t="s">
        <v>76</v>
      </c>
      <c r="AG31" s="120">
        <f t="shared" si="8"/>
        <v>0</v>
      </c>
      <c r="AH31" s="120" t="str">
        <f>IFERROR((VLOOKUP(AG31,'DO NOT TOUCH'!$B$9:$C$14,2,TRUE)),"TBD")</f>
        <v>TBD</v>
      </c>
      <c r="AI31" s="120">
        <f t="shared" si="16"/>
        <v>0.5</v>
      </c>
      <c r="AJ31" s="120">
        <f>INPUT_OUTPUTS!$C$16</f>
        <v>140</v>
      </c>
      <c r="AK31" s="120">
        <f>INPUT_OUTPUTS!$C$17</f>
        <v>100</v>
      </c>
      <c r="AL31" s="120">
        <f t="shared" si="20"/>
        <v>55</v>
      </c>
      <c r="AM31" s="120">
        <f t="shared" si="20"/>
        <v>85</v>
      </c>
      <c r="AN31" s="120">
        <f t="shared" si="9"/>
        <v>0</v>
      </c>
      <c r="AO31" s="132">
        <f t="shared" si="17"/>
        <v>0</v>
      </c>
      <c r="AP31" s="132">
        <f t="shared" si="15"/>
        <v>0.5</v>
      </c>
      <c r="AQ31" s="132">
        <f t="shared" si="18"/>
        <v>5</v>
      </c>
      <c r="AR31" s="132" t="str">
        <f>IFERROR((_xlfn.XLOOKUP(AH31,'DO NOT TOUCH'!$C$9:$C$14,'DO NOT TOUCH'!$D$9:$D$14,)),"TBD")</f>
        <v>TBD</v>
      </c>
      <c r="AS31" s="132">
        <f>INPUT_OUTPUTS!$C$19</f>
        <v>0</v>
      </c>
      <c r="AT31" s="90" t="str">
        <f t="shared" si="19"/>
        <v>1, 2</v>
      </c>
    </row>
    <row r="32" spans="2:46" ht="15" customHeight="1">
      <c r="AD32" s="17" t="s">
        <v>116</v>
      </c>
      <c r="AE32" s="131" t="s">
        <v>75</v>
      </c>
      <c r="AF32" s="131" t="s">
        <v>76</v>
      </c>
      <c r="AG32" s="120">
        <f t="shared" si="8"/>
        <v>0</v>
      </c>
      <c r="AH32" s="120" t="str">
        <f>IFERROR((VLOOKUP(AG32,'DO NOT TOUCH'!$B$9:$C$14,2,TRUE)),"TBD")</f>
        <v>TBD</v>
      </c>
      <c r="AI32" s="120">
        <f t="shared" si="16"/>
        <v>0.5</v>
      </c>
      <c r="AJ32" s="120">
        <f>INPUT_OUTPUTS!$C$16</f>
        <v>140</v>
      </c>
      <c r="AK32" s="120">
        <f>INPUT_OUTPUTS!$C$17</f>
        <v>100</v>
      </c>
      <c r="AL32" s="120">
        <f t="shared" si="20"/>
        <v>55</v>
      </c>
      <c r="AM32" s="120">
        <f t="shared" si="20"/>
        <v>85</v>
      </c>
      <c r="AN32" s="120">
        <f t="shared" si="9"/>
        <v>0</v>
      </c>
      <c r="AO32" s="132">
        <f t="shared" si="17"/>
        <v>0</v>
      </c>
      <c r="AP32" s="132">
        <f t="shared" si="15"/>
        <v>0.5</v>
      </c>
      <c r="AQ32" s="132">
        <f t="shared" si="18"/>
        <v>5</v>
      </c>
      <c r="AR32" s="132" t="str">
        <f>IFERROR((_xlfn.XLOOKUP(AH32,'DO NOT TOUCH'!$C$9:$C$14,'DO NOT TOUCH'!$D$9:$D$14,)),"TBD")</f>
        <v>TBD</v>
      </c>
      <c r="AS32" s="132">
        <f>INPUT_OUTPUTS!$C$19</f>
        <v>0</v>
      </c>
      <c r="AT32" s="90" t="str">
        <f t="shared" si="19"/>
        <v>1, 2</v>
      </c>
    </row>
    <row r="33" spans="30:46" ht="15" customHeight="1">
      <c r="AD33" s="17" t="s">
        <v>117</v>
      </c>
      <c r="AE33" s="131" t="s">
        <v>75</v>
      </c>
      <c r="AF33" s="131" t="s">
        <v>76</v>
      </c>
      <c r="AG33" s="120">
        <f t="shared" si="8"/>
        <v>0</v>
      </c>
      <c r="AH33" s="120" t="str">
        <f>IFERROR((VLOOKUP(AG33,'DO NOT TOUCH'!$B$9:$C$14,2,TRUE)),"TBD")</f>
        <v>TBD</v>
      </c>
      <c r="AI33" s="120">
        <f t="shared" si="16"/>
        <v>0.5</v>
      </c>
      <c r="AJ33" s="120">
        <f>INPUT_OUTPUTS!$C$16</f>
        <v>140</v>
      </c>
      <c r="AK33" s="120">
        <f>INPUT_OUTPUTS!$C$17</f>
        <v>100</v>
      </c>
      <c r="AL33" s="120">
        <f t="shared" si="20"/>
        <v>55</v>
      </c>
      <c r="AM33" s="120">
        <f t="shared" si="20"/>
        <v>85</v>
      </c>
      <c r="AN33" s="120">
        <f t="shared" si="9"/>
        <v>0</v>
      </c>
      <c r="AO33" s="132">
        <f t="shared" si="17"/>
        <v>0</v>
      </c>
      <c r="AP33" s="132">
        <f t="shared" si="15"/>
        <v>0.5</v>
      </c>
      <c r="AQ33" s="132">
        <f t="shared" si="18"/>
        <v>5</v>
      </c>
      <c r="AR33" s="132" t="str">
        <f>IFERROR((_xlfn.XLOOKUP(AH33,'DO NOT TOUCH'!$C$9:$C$14,'DO NOT TOUCH'!$D$9:$D$14,)),"TBD")</f>
        <v>TBD</v>
      </c>
      <c r="AS33" s="132">
        <f>INPUT_OUTPUTS!$C$19</f>
        <v>0</v>
      </c>
      <c r="AT33" s="90" t="str">
        <f t="shared" si="19"/>
        <v>1, 2</v>
      </c>
    </row>
    <row r="34" spans="30:46" ht="15" customHeight="1">
      <c r="AD34" s="17" t="s">
        <v>118</v>
      </c>
      <c r="AE34" s="131" t="s">
        <v>75</v>
      </c>
      <c r="AF34" s="131" t="s">
        <v>76</v>
      </c>
      <c r="AG34" s="120">
        <f t="shared" si="8"/>
        <v>0</v>
      </c>
      <c r="AH34" s="120" t="str">
        <f>IFERROR((VLOOKUP(AG34,'DO NOT TOUCH'!$B$9:$C$14,2,TRUE)),"TBD")</f>
        <v>TBD</v>
      </c>
      <c r="AI34" s="120">
        <f t="shared" si="16"/>
        <v>0.5</v>
      </c>
      <c r="AJ34" s="120">
        <f>INPUT_OUTPUTS!$C$16</f>
        <v>140</v>
      </c>
      <c r="AK34" s="120">
        <f>INPUT_OUTPUTS!$C$17</f>
        <v>100</v>
      </c>
      <c r="AL34" s="120">
        <f t="shared" si="20"/>
        <v>55</v>
      </c>
      <c r="AM34" s="120">
        <f t="shared" si="20"/>
        <v>85</v>
      </c>
      <c r="AN34" s="120">
        <f t="shared" si="9"/>
        <v>0</v>
      </c>
      <c r="AO34" s="132">
        <f t="shared" si="17"/>
        <v>0</v>
      </c>
      <c r="AP34" s="132">
        <f t="shared" si="15"/>
        <v>0.5</v>
      </c>
      <c r="AQ34" s="132">
        <f t="shared" si="18"/>
        <v>5</v>
      </c>
      <c r="AR34" s="132" t="str">
        <f>IFERROR((_xlfn.XLOOKUP(AH34,'DO NOT TOUCH'!$C$9:$C$14,'DO NOT TOUCH'!$D$9:$D$14,)),"TBD")</f>
        <v>TBD</v>
      </c>
      <c r="AS34" s="132">
        <f>INPUT_OUTPUTS!$C$19</f>
        <v>0</v>
      </c>
      <c r="AT34" s="90" t="str">
        <f t="shared" si="19"/>
        <v>1, 2</v>
      </c>
    </row>
    <row r="35" spans="30:46" ht="15" customHeight="1">
      <c r="AD35" s="17" t="s">
        <v>119</v>
      </c>
      <c r="AE35" s="131" t="s">
        <v>75</v>
      </c>
      <c r="AF35" s="131" t="s">
        <v>76</v>
      </c>
      <c r="AG35" s="120">
        <f t="shared" si="8"/>
        <v>0</v>
      </c>
      <c r="AH35" s="120" t="str">
        <f>IFERROR((VLOOKUP(AG35,'DO NOT TOUCH'!$B$9:$C$14,2,TRUE)),"TBD")</f>
        <v>TBD</v>
      </c>
      <c r="AI35" s="120">
        <f t="shared" si="16"/>
        <v>0.5</v>
      </c>
      <c r="AJ35" s="120">
        <f>INPUT_OUTPUTS!$C$16</f>
        <v>140</v>
      </c>
      <c r="AK35" s="120">
        <f>INPUT_OUTPUTS!$C$17</f>
        <v>100</v>
      </c>
      <c r="AL35" s="120">
        <f t="shared" si="20"/>
        <v>55</v>
      </c>
      <c r="AM35" s="120">
        <f t="shared" si="20"/>
        <v>85</v>
      </c>
      <c r="AN35" s="120">
        <f t="shared" si="9"/>
        <v>0</v>
      </c>
      <c r="AO35" s="132">
        <f t="shared" si="17"/>
        <v>0</v>
      </c>
      <c r="AP35" s="132">
        <f t="shared" si="15"/>
        <v>0.5</v>
      </c>
      <c r="AQ35" s="132">
        <f t="shared" si="18"/>
        <v>5</v>
      </c>
      <c r="AR35" s="132" t="str">
        <f>IFERROR((_xlfn.XLOOKUP(AH35,'DO NOT TOUCH'!$C$9:$C$14,'DO NOT TOUCH'!$D$9:$D$14,)),"TBD")</f>
        <v>TBD</v>
      </c>
      <c r="AS35" s="132">
        <f>INPUT_OUTPUTS!$C$19</f>
        <v>0</v>
      </c>
      <c r="AT35" s="90" t="str">
        <f t="shared" si="19"/>
        <v>1, 2</v>
      </c>
    </row>
    <row r="36" spans="30:46" ht="15" customHeight="1">
      <c r="AD36" s="17" t="s">
        <v>120</v>
      </c>
      <c r="AE36" s="131" t="s">
        <v>75</v>
      </c>
      <c r="AF36" s="131" t="s">
        <v>76</v>
      </c>
      <c r="AG36" s="120">
        <f t="shared" si="8"/>
        <v>0</v>
      </c>
      <c r="AH36" s="120" t="str">
        <f>IFERROR((VLOOKUP(AG36,'DO NOT TOUCH'!$B$9:$C$14,2,TRUE)),"TBD")</f>
        <v>TBD</v>
      </c>
      <c r="AI36" s="120">
        <f t="shared" si="16"/>
        <v>0.5</v>
      </c>
      <c r="AJ36" s="120">
        <f>INPUT_OUTPUTS!$C$16</f>
        <v>140</v>
      </c>
      <c r="AK36" s="120">
        <f>INPUT_OUTPUTS!$C$17</f>
        <v>100</v>
      </c>
      <c r="AL36" s="120">
        <f t="shared" si="20"/>
        <v>55</v>
      </c>
      <c r="AM36" s="120">
        <f t="shared" si="20"/>
        <v>85</v>
      </c>
      <c r="AN36" s="120">
        <f t="shared" si="9"/>
        <v>0</v>
      </c>
      <c r="AO36" s="132">
        <f t="shared" si="17"/>
        <v>0</v>
      </c>
      <c r="AP36" s="132">
        <f t="shared" si="15"/>
        <v>0.5</v>
      </c>
      <c r="AQ36" s="132">
        <f t="shared" si="18"/>
        <v>5</v>
      </c>
      <c r="AR36" s="132" t="str">
        <f>IFERROR((_xlfn.XLOOKUP(AH36,'DO NOT TOUCH'!$C$9:$C$14,'DO NOT TOUCH'!$D$9:$D$14,)),"TBD")</f>
        <v>TBD</v>
      </c>
      <c r="AS36" s="132">
        <f>INPUT_OUTPUTS!$C$19</f>
        <v>0</v>
      </c>
      <c r="AT36" s="90" t="str">
        <f t="shared" si="19"/>
        <v>1, 2</v>
      </c>
    </row>
    <row r="37" spans="30:46" ht="15" customHeight="1">
      <c r="AD37" s="17" t="s">
        <v>121</v>
      </c>
      <c r="AE37" s="131" t="s">
        <v>75</v>
      </c>
      <c r="AF37" s="131" t="s">
        <v>76</v>
      </c>
      <c r="AG37" s="120">
        <f t="shared" si="8"/>
        <v>0</v>
      </c>
      <c r="AH37" s="120" t="str">
        <f>IFERROR((VLOOKUP(AG37,'DO NOT TOUCH'!$B$9:$C$14,2,TRUE)),"TBD")</f>
        <v>TBD</v>
      </c>
      <c r="AI37" s="120">
        <f t="shared" si="16"/>
        <v>0.5</v>
      </c>
      <c r="AJ37" s="120">
        <f>INPUT_OUTPUTS!$C$16</f>
        <v>140</v>
      </c>
      <c r="AK37" s="120">
        <f>INPUT_OUTPUTS!$C$17</f>
        <v>100</v>
      </c>
      <c r="AL37" s="120">
        <f t="shared" si="20"/>
        <v>55</v>
      </c>
      <c r="AM37" s="120">
        <f t="shared" si="20"/>
        <v>85</v>
      </c>
      <c r="AN37" s="120">
        <f t="shared" si="9"/>
        <v>0</v>
      </c>
      <c r="AO37" s="132">
        <f t="shared" si="17"/>
        <v>0</v>
      </c>
      <c r="AP37" s="132">
        <f t="shared" si="15"/>
        <v>0.5</v>
      </c>
      <c r="AQ37" s="132">
        <f t="shared" si="18"/>
        <v>5</v>
      </c>
      <c r="AR37" s="132" t="str">
        <f>IFERROR((_xlfn.XLOOKUP(AH37,'DO NOT TOUCH'!$C$9:$C$14,'DO NOT TOUCH'!$D$9:$D$14,)),"TBD")</f>
        <v>TBD</v>
      </c>
      <c r="AS37" s="132">
        <f>INPUT_OUTPUTS!$C$19</f>
        <v>0</v>
      </c>
      <c r="AT37" s="90" t="str">
        <f t="shared" si="19"/>
        <v>1, 2</v>
      </c>
    </row>
    <row r="38" spans="30:46" ht="15" customHeight="1">
      <c r="AD38" s="17" t="s">
        <v>122</v>
      </c>
      <c r="AE38" s="131" t="s">
        <v>75</v>
      </c>
      <c r="AF38" s="131" t="s">
        <v>76</v>
      </c>
      <c r="AG38" s="120">
        <f t="shared" si="8"/>
        <v>0</v>
      </c>
      <c r="AH38" s="120" t="str">
        <f>IFERROR((VLOOKUP(AG38,'DO NOT TOUCH'!$B$9:$C$14,2,TRUE)),"TBD")</f>
        <v>TBD</v>
      </c>
      <c r="AI38" s="120">
        <f t="shared" si="16"/>
        <v>0.5</v>
      </c>
      <c r="AJ38" s="120">
        <f>INPUT_OUTPUTS!$C$16</f>
        <v>140</v>
      </c>
      <c r="AK38" s="120">
        <f>INPUT_OUTPUTS!$C$17</f>
        <v>100</v>
      </c>
      <c r="AL38" s="120">
        <f t="shared" si="20"/>
        <v>55</v>
      </c>
      <c r="AM38" s="120">
        <f t="shared" si="20"/>
        <v>85</v>
      </c>
      <c r="AN38" s="120">
        <f t="shared" si="9"/>
        <v>0</v>
      </c>
      <c r="AO38" s="132">
        <f t="shared" si="17"/>
        <v>0</v>
      </c>
      <c r="AP38" s="132">
        <f t="shared" si="15"/>
        <v>0.5</v>
      </c>
      <c r="AQ38" s="132">
        <f t="shared" si="18"/>
        <v>5</v>
      </c>
      <c r="AR38" s="132" t="str">
        <f>IFERROR((_xlfn.XLOOKUP(AH38,'DO NOT TOUCH'!$C$9:$C$14,'DO NOT TOUCH'!$D$9:$D$14,)),"TBD")</f>
        <v>TBD</v>
      </c>
      <c r="AS38" s="132">
        <f>INPUT_OUTPUTS!$C$19</f>
        <v>0</v>
      </c>
      <c r="AT38" s="90" t="str">
        <f t="shared" si="19"/>
        <v>1, 2</v>
      </c>
    </row>
    <row r="39" spans="30:46" ht="15" customHeight="1">
      <c r="AD39" s="17" t="s">
        <v>123</v>
      </c>
      <c r="AE39" s="131" t="s">
        <v>75</v>
      </c>
      <c r="AF39" s="131" t="s">
        <v>76</v>
      </c>
      <c r="AG39" s="120">
        <f t="shared" si="8"/>
        <v>0</v>
      </c>
      <c r="AH39" s="120" t="str">
        <f>IFERROR((VLOOKUP(AG39,'DO NOT TOUCH'!$B$9:$C$14,2,TRUE)),"TBD")</f>
        <v>TBD</v>
      </c>
      <c r="AI39" s="120">
        <f t="shared" si="16"/>
        <v>0.5</v>
      </c>
      <c r="AJ39" s="120">
        <f>INPUT_OUTPUTS!$C$16</f>
        <v>140</v>
      </c>
      <c r="AK39" s="120">
        <f>INPUT_OUTPUTS!$C$17</f>
        <v>100</v>
      </c>
      <c r="AL39" s="120">
        <f t="shared" si="20"/>
        <v>55</v>
      </c>
      <c r="AM39" s="120">
        <f t="shared" si="20"/>
        <v>85</v>
      </c>
      <c r="AN39" s="120">
        <f t="shared" si="9"/>
        <v>0</v>
      </c>
      <c r="AO39" s="132">
        <f t="shared" si="17"/>
        <v>0</v>
      </c>
      <c r="AP39" s="132">
        <f t="shared" si="15"/>
        <v>0.5</v>
      </c>
      <c r="AQ39" s="132">
        <f t="shared" si="18"/>
        <v>5</v>
      </c>
      <c r="AR39" s="132" t="str">
        <f>IFERROR((_xlfn.XLOOKUP(AH39,'DO NOT TOUCH'!$C$9:$C$14,'DO NOT TOUCH'!$D$9:$D$14,)),"TBD")</f>
        <v>TBD</v>
      </c>
      <c r="AS39" s="132">
        <f>INPUT_OUTPUTS!$C$19</f>
        <v>0</v>
      </c>
      <c r="AT39" s="90" t="str">
        <f t="shared" si="19"/>
        <v>1, 2</v>
      </c>
    </row>
    <row r="40" spans="30:46" ht="15" customHeight="1">
      <c r="AD40" s="17" t="s">
        <v>124</v>
      </c>
      <c r="AE40" s="131" t="s">
        <v>75</v>
      </c>
      <c r="AF40" s="131" t="s">
        <v>76</v>
      </c>
      <c r="AG40" s="120">
        <f t="shared" si="8"/>
        <v>0</v>
      </c>
      <c r="AH40" s="120" t="str">
        <f>IFERROR((VLOOKUP(AG40,'DO NOT TOUCH'!$B$9:$C$14,2,TRUE)),"TBD")</f>
        <v>TBD</v>
      </c>
      <c r="AI40" s="120">
        <f t="shared" si="16"/>
        <v>0.5</v>
      </c>
      <c r="AJ40" s="120">
        <f>INPUT_OUTPUTS!$C$16</f>
        <v>140</v>
      </c>
      <c r="AK40" s="120">
        <f>INPUT_OUTPUTS!$C$17</f>
        <v>100</v>
      </c>
      <c r="AL40" s="120">
        <f t="shared" ref="AL40:AM44" si="21">AL39</f>
        <v>55</v>
      </c>
      <c r="AM40" s="120">
        <f t="shared" si="21"/>
        <v>85</v>
      </c>
      <c r="AN40" s="120">
        <f t="shared" si="9"/>
        <v>0</v>
      </c>
      <c r="AO40" s="132">
        <f t="shared" si="17"/>
        <v>0</v>
      </c>
      <c r="AP40" s="132">
        <f t="shared" si="15"/>
        <v>0.5</v>
      </c>
      <c r="AQ40" s="132">
        <f t="shared" si="18"/>
        <v>5</v>
      </c>
      <c r="AR40" s="132" t="str">
        <f>IFERROR((_xlfn.XLOOKUP(AH40,'DO NOT TOUCH'!$C$9:$C$14,'DO NOT TOUCH'!$D$9:$D$14,)),"TBD")</f>
        <v>TBD</v>
      </c>
      <c r="AS40" s="132">
        <f>INPUT_OUTPUTS!$C$19</f>
        <v>0</v>
      </c>
      <c r="AT40" s="90" t="str">
        <f t="shared" si="19"/>
        <v>1, 2</v>
      </c>
    </row>
    <row r="41" spans="30:46" ht="15" customHeight="1">
      <c r="AD41" s="17" t="s">
        <v>125</v>
      </c>
      <c r="AE41" s="131" t="s">
        <v>75</v>
      </c>
      <c r="AF41" s="131" t="s">
        <v>76</v>
      </c>
      <c r="AG41" s="120">
        <f t="shared" si="8"/>
        <v>0</v>
      </c>
      <c r="AH41" s="120" t="str">
        <f>IFERROR((VLOOKUP(AG41,'DO NOT TOUCH'!$B$9:$C$14,2,TRUE)),"TBD")</f>
        <v>TBD</v>
      </c>
      <c r="AI41" s="120">
        <f t="shared" si="16"/>
        <v>0.5</v>
      </c>
      <c r="AJ41" s="120">
        <f>INPUT_OUTPUTS!$C$16</f>
        <v>140</v>
      </c>
      <c r="AK41" s="120">
        <f>INPUT_OUTPUTS!$C$17</f>
        <v>100</v>
      </c>
      <c r="AL41" s="120">
        <f t="shared" si="21"/>
        <v>55</v>
      </c>
      <c r="AM41" s="120">
        <f t="shared" si="21"/>
        <v>85</v>
      </c>
      <c r="AN41" s="120">
        <f t="shared" si="9"/>
        <v>0</v>
      </c>
      <c r="AO41" s="132">
        <f t="shared" si="17"/>
        <v>0</v>
      </c>
      <c r="AP41" s="132">
        <f t="shared" si="15"/>
        <v>0.5</v>
      </c>
      <c r="AQ41" s="132">
        <f t="shared" si="18"/>
        <v>5</v>
      </c>
      <c r="AR41" s="132" t="str">
        <f>IFERROR((_xlfn.XLOOKUP(AH41,'DO NOT TOUCH'!$C$9:$C$14,'DO NOT TOUCH'!$D$9:$D$14,)),"TBD")</f>
        <v>TBD</v>
      </c>
      <c r="AS41" s="132">
        <f>INPUT_OUTPUTS!$C$19</f>
        <v>0</v>
      </c>
      <c r="AT41" s="90" t="str">
        <f t="shared" si="19"/>
        <v>1, 2</v>
      </c>
    </row>
    <row r="42" spans="30:46" ht="15" customHeight="1">
      <c r="AD42" s="17" t="s">
        <v>126</v>
      </c>
      <c r="AE42" s="131" t="s">
        <v>75</v>
      </c>
      <c r="AF42" s="131" t="s">
        <v>76</v>
      </c>
      <c r="AG42" s="120">
        <f t="shared" si="8"/>
        <v>0</v>
      </c>
      <c r="AH42" s="120" t="str">
        <f>IFERROR((VLOOKUP(AG42,'DO NOT TOUCH'!$B$9:$C$14,2,TRUE)),"TBD")</f>
        <v>TBD</v>
      </c>
      <c r="AI42" s="120">
        <f t="shared" si="16"/>
        <v>0.5</v>
      </c>
      <c r="AJ42" s="120">
        <f>INPUT_OUTPUTS!$C$16</f>
        <v>140</v>
      </c>
      <c r="AK42" s="120">
        <f>INPUT_OUTPUTS!$C$17</f>
        <v>100</v>
      </c>
      <c r="AL42" s="120">
        <f t="shared" si="21"/>
        <v>55</v>
      </c>
      <c r="AM42" s="120">
        <f t="shared" si="21"/>
        <v>85</v>
      </c>
      <c r="AN42" s="120">
        <f t="shared" si="9"/>
        <v>0</v>
      </c>
      <c r="AO42" s="132">
        <f t="shared" si="17"/>
        <v>0</v>
      </c>
      <c r="AP42" s="132">
        <f t="shared" si="15"/>
        <v>0.5</v>
      </c>
      <c r="AQ42" s="132">
        <f t="shared" si="18"/>
        <v>5</v>
      </c>
      <c r="AR42" s="132" t="str">
        <f>IFERROR((_xlfn.XLOOKUP(AH42,'DO NOT TOUCH'!$C$9:$C$14,'DO NOT TOUCH'!$D$9:$D$14,)),"TBD")</f>
        <v>TBD</v>
      </c>
      <c r="AS42" s="132">
        <f>INPUT_OUTPUTS!$C$19</f>
        <v>0</v>
      </c>
      <c r="AT42" s="90" t="str">
        <f t="shared" si="19"/>
        <v>1, 2</v>
      </c>
    </row>
    <row r="43" spans="30:46" ht="15" customHeight="1">
      <c r="AD43" s="17" t="s">
        <v>127</v>
      </c>
      <c r="AE43" s="131" t="s">
        <v>75</v>
      </c>
      <c r="AF43" s="131" t="s">
        <v>76</v>
      </c>
      <c r="AG43" s="120">
        <f t="shared" si="8"/>
        <v>0</v>
      </c>
      <c r="AH43" s="120" t="str">
        <f>IFERROR((VLOOKUP(AG43,'DO NOT TOUCH'!$B$9:$C$14,2,TRUE)),"TBD")</f>
        <v>TBD</v>
      </c>
      <c r="AI43" s="120">
        <f t="shared" si="16"/>
        <v>0.5</v>
      </c>
      <c r="AJ43" s="120">
        <f>INPUT_OUTPUTS!$C$16</f>
        <v>140</v>
      </c>
      <c r="AK43" s="120">
        <f>INPUT_OUTPUTS!$C$17</f>
        <v>100</v>
      </c>
      <c r="AL43" s="120">
        <f t="shared" si="21"/>
        <v>55</v>
      </c>
      <c r="AM43" s="120">
        <f t="shared" si="21"/>
        <v>85</v>
      </c>
      <c r="AN43" s="120">
        <f t="shared" si="9"/>
        <v>0</v>
      </c>
      <c r="AO43" s="132">
        <f t="shared" si="17"/>
        <v>0</v>
      </c>
      <c r="AP43" s="132">
        <f t="shared" si="15"/>
        <v>0.5</v>
      </c>
      <c r="AQ43" s="132">
        <f t="shared" si="18"/>
        <v>5</v>
      </c>
      <c r="AR43" s="132" t="str">
        <f>IFERROR((_xlfn.XLOOKUP(AH43,'DO NOT TOUCH'!$C$9:$C$14,'DO NOT TOUCH'!$D$9:$D$14,)),"TBD")</f>
        <v>TBD</v>
      </c>
      <c r="AS43" s="132">
        <f>INPUT_OUTPUTS!$C$19</f>
        <v>0</v>
      </c>
      <c r="AT43" s="90" t="str">
        <f t="shared" si="19"/>
        <v>1, 2</v>
      </c>
    </row>
    <row r="44" spans="30:46" ht="15" customHeight="1">
      <c r="AD44" s="138" t="s">
        <v>128</v>
      </c>
      <c r="AE44" s="139" t="s">
        <v>75</v>
      </c>
      <c r="AF44" s="139" t="s">
        <v>76</v>
      </c>
      <c r="AG44" s="137">
        <f t="shared" si="8"/>
        <v>0</v>
      </c>
      <c r="AH44" s="137" t="str">
        <f>IFERROR((VLOOKUP(AG44,'DO NOT TOUCH'!$B$9:$C$14,2,TRUE)),"TBD")</f>
        <v>TBD</v>
      </c>
      <c r="AI44" s="137">
        <f t="shared" si="16"/>
        <v>0.5</v>
      </c>
      <c r="AJ44" s="137">
        <f>INPUT_OUTPUTS!$C$16</f>
        <v>140</v>
      </c>
      <c r="AK44" s="137">
        <f>INPUT_OUTPUTS!$C$17</f>
        <v>100</v>
      </c>
      <c r="AL44" s="137">
        <f t="shared" si="21"/>
        <v>55</v>
      </c>
      <c r="AM44" s="137">
        <f t="shared" si="21"/>
        <v>85</v>
      </c>
      <c r="AN44" s="137">
        <f t="shared" si="9"/>
        <v>0</v>
      </c>
      <c r="AO44" s="140">
        <f t="shared" si="17"/>
        <v>0</v>
      </c>
      <c r="AP44" s="140">
        <f t="shared" si="15"/>
        <v>0.5</v>
      </c>
      <c r="AQ44" s="140">
        <f t="shared" si="18"/>
        <v>5</v>
      </c>
      <c r="AR44" s="140" t="str">
        <f>IFERROR((_xlfn.XLOOKUP(AH44,'DO NOT TOUCH'!$C$9:$C$14,'DO NOT TOUCH'!$D$9:$D$14,)),"TBD")</f>
        <v>TBD</v>
      </c>
      <c r="AS44" s="132">
        <f>INPUT_OUTPUTS!$C$19</f>
        <v>0</v>
      </c>
      <c r="AT44" s="121" t="str">
        <f t="shared" si="19"/>
        <v>1, 2</v>
      </c>
    </row>
    <row r="45" spans="30:46" ht="15" customHeight="1">
      <c r="AD45" s="138" t="s">
        <v>129</v>
      </c>
      <c r="AE45" s="139"/>
      <c r="AF45" s="139"/>
      <c r="AG45" s="141"/>
      <c r="AH45" s="141"/>
      <c r="AI45" s="141"/>
      <c r="AJ45" s="141"/>
      <c r="AK45" s="141"/>
      <c r="AL45" s="141"/>
      <c r="AM45" s="141"/>
      <c r="AN45" s="141">
        <f>SUBTOTAL(109,AHU1_CAV_SCHEDULE4411[MIN MBH])</f>
        <v>0</v>
      </c>
      <c r="AO45" s="141"/>
      <c r="AP45" s="142">
        <f>SUBTOTAL(109,AHU1_CAV_SCHEDULE4411[GPM])</f>
        <v>19</v>
      </c>
      <c r="AQ45" s="141"/>
      <c r="AR45" s="141"/>
      <c r="AS45" s="141"/>
      <c r="AT45" s="143"/>
    </row>
    <row r="46" spans="30:46" ht="15" customHeight="1">
      <c r="AD46" s="304" t="s">
        <v>130</v>
      </c>
      <c r="AE46" s="305"/>
      <c r="AF46" s="305"/>
      <c r="AG46" s="305"/>
      <c r="AH46" s="305"/>
      <c r="AI46" s="305"/>
      <c r="AJ46" s="305"/>
      <c r="AK46" s="305"/>
      <c r="AL46" s="305"/>
      <c r="AM46" s="305"/>
      <c r="AN46" s="305"/>
      <c r="AO46" s="305"/>
      <c r="AP46" s="305"/>
      <c r="AQ46" s="305"/>
      <c r="AR46" s="305"/>
      <c r="AS46" s="305"/>
      <c r="AT46" s="306"/>
    </row>
    <row r="47" spans="30:46" ht="15" customHeight="1">
      <c r="AD47" s="307"/>
      <c r="AE47" s="308"/>
      <c r="AF47" s="308"/>
      <c r="AG47" s="308"/>
      <c r="AH47" s="308"/>
      <c r="AI47" s="308"/>
      <c r="AJ47" s="308"/>
      <c r="AK47" s="308"/>
      <c r="AL47" s="308"/>
      <c r="AM47" s="308"/>
      <c r="AN47" s="308"/>
      <c r="AO47" s="308"/>
      <c r="AP47" s="308"/>
      <c r="AQ47" s="308"/>
      <c r="AR47" s="308"/>
      <c r="AS47" s="308"/>
      <c r="AT47" s="309"/>
    </row>
    <row r="48" spans="30:46" ht="15" customHeight="1">
      <c r="AD48" s="307"/>
      <c r="AE48" s="308"/>
      <c r="AF48" s="308"/>
      <c r="AG48" s="308"/>
      <c r="AH48" s="308"/>
      <c r="AI48" s="308"/>
      <c r="AJ48" s="308"/>
      <c r="AK48" s="308"/>
      <c r="AL48" s="308"/>
      <c r="AM48" s="308"/>
      <c r="AN48" s="308"/>
      <c r="AO48" s="308"/>
      <c r="AP48" s="308"/>
      <c r="AQ48" s="308"/>
      <c r="AR48" s="308"/>
      <c r="AS48" s="308"/>
      <c r="AT48" s="309"/>
    </row>
    <row r="49" spans="29:46" ht="15" customHeight="1">
      <c r="AD49" s="310"/>
      <c r="AE49" s="311"/>
      <c r="AF49" s="311"/>
      <c r="AG49" s="311"/>
      <c r="AH49" s="311"/>
      <c r="AI49" s="311"/>
      <c r="AJ49" s="311"/>
      <c r="AK49" s="311"/>
      <c r="AL49" s="311"/>
      <c r="AM49" s="311"/>
      <c r="AN49" s="311"/>
      <c r="AO49" s="311"/>
      <c r="AP49" s="311"/>
      <c r="AQ49" s="311"/>
      <c r="AR49" s="311"/>
      <c r="AS49" s="311"/>
      <c r="AT49" s="312"/>
    </row>
    <row r="50" spans="29:46" ht="15" customHeight="1">
      <c r="AD50" s="42"/>
      <c r="AE50" s="39"/>
      <c r="AF50" s="39"/>
      <c r="AG50" s="42"/>
      <c r="AH50" s="39"/>
      <c r="AI50" s="39"/>
      <c r="AJ50" s="42"/>
      <c r="AK50" s="42"/>
      <c r="AO50" s="42"/>
      <c r="AP50" s="42"/>
      <c r="AQ50" s="40"/>
      <c r="AR50" s="42"/>
      <c r="AS50" s="43"/>
    </row>
    <row r="51" spans="29:46" ht="15" customHeight="1"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</row>
    <row r="52" spans="29:46" ht="15" customHeight="1"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</row>
    <row r="53" spans="29:46" ht="15" customHeight="1"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</row>
    <row r="54" spans="29:46" ht="15" customHeight="1"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</row>
    <row r="55" spans="29:46" ht="15" customHeight="1">
      <c r="AC55" s="44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T55" s="40"/>
    </row>
    <row r="56" spans="29:46" ht="15" customHeight="1">
      <c r="AC56" s="44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T56" s="40"/>
    </row>
    <row r="57" spans="29:46" ht="15" customHeight="1">
      <c r="AC57" s="44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T57" s="40"/>
    </row>
    <row r="58" spans="29:46" ht="15" customHeight="1">
      <c r="AC58" s="44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T58" s="40"/>
    </row>
    <row r="59" spans="29:46" ht="15" customHeight="1">
      <c r="AC59" s="44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T59" s="40"/>
    </row>
    <row r="60" spans="29:46" ht="15" customHeight="1">
      <c r="AC60" s="44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T60" s="40"/>
    </row>
    <row r="61" spans="29:46" ht="15" customHeight="1">
      <c r="AC61" s="44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T61" s="40"/>
    </row>
    <row r="62" spans="29:46" ht="15" customHeight="1">
      <c r="AC62" s="44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T62" s="40"/>
    </row>
    <row r="63" spans="29:46" ht="15" customHeight="1">
      <c r="AC63" s="44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T63" s="40"/>
    </row>
    <row r="64" spans="29:46" ht="15" customHeight="1">
      <c r="AC64" s="44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T64" s="40"/>
    </row>
    <row r="65" spans="27:47" ht="15" customHeight="1">
      <c r="AC65" s="44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T65" s="40"/>
    </row>
    <row r="66" spans="27:47" ht="15" customHeight="1">
      <c r="AC66" s="44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T66" s="40"/>
    </row>
    <row r="67" spans="27:47" ht="15" customHeight="1">
      <c r="AC67" s="44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T67" s="40"/>
    </row>
    <row r="68" spans="27:47" ht="15" customHeight="1">
      <c r="AC68" s="44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T68" s="40"/>
    </row>
    <row r="69" spans="27:47" ht="15" customHeight="1">
      <c r="AC69" s="44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T69" s="40"/>
    </row>
    <row r="70" spans="27:47" ht="15" customHeight="1">
      <c r="AC70" s="44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T70" s="40"/>
    </row>
    <row r="71" spans="27:47" ht="15" customHeight="1">
      <c r="AC71" s="44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T71" s="40"/>
    </row>
    <row r="72" spans="27:47" ht="15" customHeight="1">
      <c r="AC72" s="44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T72" s="40"/>
    </row>
    <row r="73" spans="27:47" ht="15" customHeight="1">
      <c r="AC73" s="44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T73" s="40"/>
    </row>
    <row r="74" spans="27:47" ht="15" customHeight="1">
      <c r="AC74" s="44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T74" s="40"/>
    </row>
    <row r="75" spans="27:47" ht="15" customHeight="1">
      <c r="AC75" s="44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T75" s="40"/>
    </row>
    <row r="76" spans="27:47" ht="15" customHeight="1">
      <c r="AC76" s="44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T76" s="40"/>
    </row>
    <row r="77" spans="27:47" ht="15" customHeight="1">
      <c r="AC77" s="44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T77" s="40"/>
    </row>
    <row r="78" spans="27:47" ht="15" customHeight="1">
      <c r="AC78" s="44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T78" s="40"/>
    </row>
    <row r="79" spans="27:47" ht="15" customHeight="1">
      <c r="AC79" s="44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T79" s="40"/>
    </row>
    <row r="80" spans="27:47">
      <c r="AA80" s="57"/>
      <c r="AC80" s="44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U80" s="40"/>
    </row>
    <row r="81" spans="27:47" ht="15" customHeight="1">
      <c r="AA81" s="57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U81" s="40"/>
    </row>
    <row r="82" spans="27:47" ht="15" customHeight="1">
      <c r="AA82" s="58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U82" s="40"/>
    </row>
    <row r="83" spans="27:47" ht="15" customHeight="1"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U83" s="40"/>
    </row>
    <row r="84" spans="27:47" ht="15" customHeight="1"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U84" s="40"/>
    </row>
    <row r="85" spans="27:47" ht="15" customHeight="1"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U85" s="40"/>
    </row>
    <row r="86" spans="27:47" ht="15" customHeight="1"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U86" s="40"/>
    </row>
    <row r="87" spans="27:47" ht="15" customHeight="1"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U87" s="40"/>
    </row>
    <row r="88" spans="27:47" ht="15" customHeight="1"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</row>
    <row r="89" spans="27:47" ht="15" customHeight="1"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U89" s="40"/>
    </row>
    <row r="90" spans="27:47" ht="15" customHeight="1"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U90" s="40"/>
    </row>
    <row r="91" spans="27:47" ht="15" customHeight="1"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U91" s="40"/>
    </row>
    <row r="92" spans="27:47" ht="15" customHeight="1"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U92" s="40"/>
    </row>
    <row r="93" spans="27:47" ht="15" customHeight="1"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U93" s="40"/>
    </row>
    <row r="94" spans="27:47" ht="15" customHeight="1"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U94" s="40"/>
    </row>
    <row r="95" spans="27:47" ht="15" customHeight="1"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U95" s="40"/>
    </row>
    <row r="96" spans="27:47" ht="15" customHeight="1"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U96" s="40"/>
    </row>
    <row r="97" spans="33:47" ht="15" customHeight="1"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U97" s="40"/>
    </row>
    <row r="98" spans="33:47" ht="15.75" customHeight="1"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U98" s="40"/>
    </row>
    <row r="99" spans="33:47"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U99" s="40"/>
    </row>
    <row r="100" spans="33:47"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U100" s="40"/>
    </row>
    <row r="101" spans="33:47"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U101" s="40"/>
    </row>
    <row r="102" spans="33:47" ht="15" customHeight="1"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U102" s="40"/>
    </row>
    <row r="103" spans="33:47"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</row>
    <row r="104" spans="33:47">
      <c r="AP104" s="60"/>
      <c r="AQ104" s="60"/>
      <c r="AR104" s="60"/>
      <c r="AS104" s="60"/>
    </row>
  </sheetData>
  <dataConsolidate topLabels="1">
    <dataRefs count="1">
      <dataRef ref="C8:D86" sheet="AHU 1" r:id="rId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1" priority="328" operator="greaterThan">
      <formula>$X$4</formula>
    </cfRule>
  </conditionalFormatting>
  <conditionalFormatting sqref="W7:X7">
    <cfRule type="cellIs" dxfId="0" priority="1" operator="greaterThan">
      <formula>$X$4</formula>
    </cfRule>
  </conditionalFormatting>
  <dataValidations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V8:V17" unlockedFormula="1"/>
  </ignoredErrors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E34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8" sqref="H18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13.42578125" bestFit="1" customWidth="1"/>
    <col min="15" max="15" width="13.85546875" bestFit="1" customWidth="1"/>
    <col min="16" max="16" width="10" bestFit="1" customWidth="1"/>
    <col min="17" max="17" width="9.28515625" customWidth="1"/>
    <col min="18" max="18" width="9.7109375" customWidth="1"/>
    <col min="19" max="19" width="10.140625" bestFit="1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2.85546875" bestFit="1" customWidth="1" collapsed="1"/>
    <col min="48" max="48" width="8.28515625" customWidth="1"/>
    <col min="49" max="49" width="9.28515625" customWidth="1"/>
    <col min="50" max="50" width="13.42578125" bestFit="1" customWidth="1"/>
    <col min="51" max="51" width="12.7109375" bestFit="1" customWidth="1"/>
    <col min="52" max="52" width="10.7109375" bestFit="1" customWidth="1"/>
    <col min="54" max="54" width="14.5703125" bestFit="1" customWidth="1"/>
    <col min="56" max="56" width="13.7109375" bestFit="1" customWidth="1"/>
    <col min="57" max="57" width="14.42578125" bestFit="1" customWidth="1"/>
  </cols>
  <sheetData>
    <row r="2" spans="1:57">
      <c r="B2" s="28"/>
      <c r="C2" s="28"/>
    </row>
    <row r="8" spans="1:57" s="22" customFormat="1" ht="12.95" customHeight="1">
      <c r="A8" s="348"/>
      <c r="B8" s="349" t="s">
        <v>282</v>
      </c>
      <c r="C8" s="349"/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349" t="s">
        <v>283</v>
      </c>
      <c r="O8" s="349"/>
      <c r="P8" s="349"/>
      <c r="Q8" s="349"/>
      <c r="R8" s="349"/>
      <c r="S8" s="349"/>
      <c r="T8" s="349"/>
      <c r="U8" s="349"/>
      <c r="V8" s="349"/>
      <c r="W8" s="349"/>
      <c r="X8" s="349"/>
      <c r="Y8" s="349"/>
      <c r="Z8" s="349" t="s">
        <v>284</v>
      </c>
      <c r="AA8" s="349"/>
      <c r="AB8" s="349"/>
      <c r="AC8" s="349"/>
      <c r="AD8" s="349"/>
      <c r="AE8" s="349"/>
      <c r="AF8" s="349"/>
      <c r="AG8" s="349"/>
      <c r="AH8" s="349"/>
      <c r="AI8" s="349"/>
      <c r="AJ8" s="349"/>
      <c r="AK8" s="349"/>
      <c r="AL8" s="349" t="s">
        <v>285</v>
      </c>
      <c r="AM8" s="349"/>
      <c r="AN8" s="349"/>
      <c r="AO8" s="349" t="str">
        <f>IF(INPUT_OUTPUTS!F8&lt;32,"FREEZE PROTECTION COIL","FREEZE PROTECTION COIL(NOT NEEDED)")</f>
        <v>FREEZE PROTECTION COIL(NOT NEEDED)</v>
      </c>
      <c r="AP8" s="349"/>
      <c r="AQ8" s="349"/>
      <c r="AR8" s="349"/>
      <c r="AS8" s="349"/>
      <c r="AT8" s="349"/>
      <c r="AU8" s="349"/>
      <c r="AV8" s="353" t="e" cm="1" vm="1">
        <f t="array" aca="1" ref="AV8" ca="1">IF(Table7[(˚F db)43]&lt;Table7[(˚F db)13],"AHU RE-HEATING COIL","AHU RE-HEATING COIL (NOT NEEDED)")</f>
        <v>#VALUE!</v>
      </c>
      <c r="AW8" s="354"/>
      <c r="AX8" s="354"/>
      <c r="AY8" s="354"/>
      <c r="AZ8" s="355"/>
      <c r="BA8" s="353" t="s">
        <v>286</v>
      </c>
      <c r="BB8" s="354"/>
      <c r="BC8" s="354"/>
      <c r="BD8" s="354"/>
      <c r="BE8" s="355"/>
    </row>
    <row r="9" spans="1:57" s="13" customFormat="1" ht="32.25" customHeight="1">
      <c r="A9" s="348"/>
      <c r="B9" s="350" t="s">
        <v>287</v>
      </c>
      <c r="C9" s="350"/>
      <c r="D9" s="350"/>
      <c r="E9" s="350"/>
      <c r="F9" s="350"/>
      <c r="G9" s="350"/>
      <c r="H9" s="350"/>
      <c r="I9" s="350"/>
      <c r="J9" s="350"/>
      <c r="K9" s="350"/>
      <c r="L9" s="350"/>
      <c r="M9" s="348" t="s">
        <v>288</v>
      </c>
      <c r="N9" s="350" t="s">
        <v>289</v>
      </c>
      <c r="O9" s="350"/>
      <c r="P9" s="350"/>
      <c r="Q9" s="350"/>
      <c r="R9" s="350"/>
      <c r="S9" s="350"/>
      <c r="T9" s="347" t="s">
        <v>290</v>
      </c>
      <c r="U9" s="347"/>
      <c r="V9" s="356" t="s">
        <v>291</v>
      </c>
      <c r="W9" s="348" t="s">
        <v>292</v>
      </c>
      <c r="X9" s="348"/>
      <c r="Y9" s="348"/>
      <c r="Z9" s="350" t="s">
        <v>289</v>
      </c>
      <c r="AA9" s="350"/>
      <c r="AB9" s="350"/>
      <c r="AC9" s="350"/>
      <c r="AD9" s="350"/>
      <c r="AE9" s="350"/>
      <c r="AF9" s="347" t="s">
        <v>293</v>
      </c>
      <c r="AG9" s="347"/>
      <c r="AH9" s="356" t="s">
        <v>291</v>
      </c>
      <c r="AI9" s="348" t="s">
        <v>294</v>
      </c>
      <c r="AJ9" s="348"/>
      <c r="AK9" s="348"/>
      <c r="AL9" s="356" t="s">
        <v>295</v>
      </c>
      <c r="AM9" s="350" t="s">
        <v>296</v>
      </c>
      <c r="AN9" s="350" t="s">
        <v>297</v>
      </c>
      <c r="AO9" s="161"/>
      <c r="AP9" s="350" t="s">
        <v>298</v>
      </c>
      <c r="AQ9" s="350"/>
      <c r="AR9" s="161"/>
      <c r="AS9" s="348" t="s">
        <v>299</v>
      </c>
      <c r="AT9" s="348"/>
      <c r="AU9" s="348"/>
      <c r="AV9" s="160"/>
      <c r="AW9" s="161"/>
      <c r="AX9" s="161"/>
      <c r="AY9" s="161"/>
      <c r="AZ9" s="162"/>
      <c r="BA9" s="160"/>
      <c r="BB9" s="161"/>
      <c r="BC9" s="161"/>
      <c r="BD9" s="161"/>
      <c r="BE9" s="162"/>
    </row>
    <row r="10" spans="1:57" s="13" customFormat="1" ht="25.5" customHeight="1">
      <c r="A10" s="348"/>
      <c r="B10" s="160" t="s">
        <v>300</v>
      </c>
      <c r="C10" s="351" t="s">
        <v>301</v>
      </c>
      <c r="D10" s="351"/>
      <c r="E10" s="352"/>
      <c r="F10" s="357" t="s">
        <v>302</v>
      </c>
      <c r="G10" s="351"/>
      <c r="H10" s="352"/>
      <c r="I10" s="357" t="s">
        <v>303</v>
      </c>
      <c r="J10" s="351"/>
      <c r="K10" s="352"/>
      <c r="L10" s="160" t="s">
        <v>304</v>
      </c>
      <c r="M10" s="348"/>
      <c r="N10" s="348" t="s">
        <v>305</v>
      </c>
      <c r="O10" s="348"/>
      <c r="P10" s="348"/>
      <c r="Q10" s="348" t="s">
        <v>306</v>
      </c>
      <c r="R10" s="348"/>
      <c r="S10" s="348"/>
      <c r="T10" s="160" t="s">
        <v>307</v>
      </c>
      <c r="U10" s="160" t="s">
        <v>308</v>
      </c>
      <c r="V10" s="356"/>
      <c r="W10" s="348"/>
      <c r="X10" s="348"/>
      <c r="Y10" s="348"/>
      <c r="Z10" s="348" t="s">
        <v>305</v>
      </c>
      <c r="AA10" s="348"/>
      <c r="AB10" s="348"/>
      <c r="AC10" s="348" t="s">
        <v>306</v>
      </c>
      <c r="AD10" s="348"/>
      <c r="AE10" s="348"/>
      <c r="AF10" s="160" t="s">
        <v>307</v>
      </c>
      <c r="AG10" s="160" t="s">
        <v>308</v>
      </c>
      <c r="AH10" s="356"/>
      <c r="AI10" s="163" t="s">
        <v>63</v>
      </c>
      <c r="AJ10" s="163" t="s">
        <v>309</v>
      </c>
      <c r="AK10" s="160" t="s">
        <v>310</v>
      </c>
      <c r="AL10" s="356"/>
      <c r="AM10" s="350"/>
      <c r="AN10" s="350"/>
      <c r="AO10" s="160" t="s">
        <v>311</v>
      </c>
      <c r="AP10" s="160" t="s">
        <v>305</v>
      </c>
      <c r="AQ10" s="160" t="s">
        <v>312</v>
      </c>
      <c r="AR10" s="160" t="s">
        <v>307</v>
      </c>
      <c r="AS10" s="163" t="s">
        <v>63</v>
      </c>
      <c r="AT10" s="163" t="s">
        <v>309</v>
      </c>
      <c r="AU10" s="160" t="s">
        <v>310</v>
      </c>
      <c r="AV10" s="160" t="s">
        <v>311</v>
      </c>
      <c r="AW10" s="160" t="s">
        <v>305</v>
      </c>
      <c r="AX10" s="160" t="s">
        <v>312</v>
      </c>
      <c r="AY10" s="160" t="s">
        <v>307</v>
      </c>
      <c r="AZ10" s="160" t="s">
        <v>3</v>
      </c>
      <c r="BA10" s="160" t="s">
        <v>311</v>
      </c>
      <c r="BB10" s="160" t="s">
        <v>305</v>
      </c>
      <c r="BC10" s="160" t="s">
        <v>312</v>
      </c>
      <c r="BD10" s="160" t="s">
        <v>307</v>
      </c>
      <c r="BE10" s="160" t="s">
        <v>3</v>
      </c>
    </row>
    <row r="11" spans="1:57" s="12" customFormat="1" ht="16.5">
      <c r="A11" s="164" t="s">
        <v>313</v>
      </c>
      <c r="B11" s="165" t="s">
        <v>314</v>
      </c>
      <c r="C11" s="165" t="s">
        <v>315</v>
      </c>
      <c r="D11" s="165" t="s">
        <v>316</v>
      </c>
      <c r="E11" s="165" t="s">
        <v>317</v>
      </c>
      <c r="F11" s="165" t="s">
        <v>318</v>
      </c>
      <c r="G11" s="166" t="s">
        <v>319</v>
      </c>
      <c r="H11" s="166" t="s">
        <v>320</v>
      </c>
      <c r="I11" s="165" t="s">
        <v>321</v>
      </c>
      <c r="J11" s="166" t="s">
        <v>322</v>
      </c>
      <c r="K11" s="166" t="s">
        <v>323</v>
      </c>
      <c r="L11" s="166" t="s">
        <v>324</v>
      </c>
      <c r="M11" s="165" t="s">
        <v>325</v>
      </c>
      <c r="N11" s="166" t="s">
        <v>326</v>
      </c>
      <c r="O11" s="166" t="s">
        <v>327</v>
      </c>
      <c r="P11" s="166" t="s">
        <v>328</v>
      </c>
      <c r="Q11" s="166" t="s">
        <v>329</v>
      </c>
      <c r="R11" s="166" t="s">
        <v>330</v>
      </c>
      <c r="S11" s="166" t="s">
        <v>331</v>
      </c>
      <c r="T11" s="165" t="s">
        <v>332</v>
      </c>
      <c r="U11" s="165" t="s">
        <v>333</v>
      </c>
      <c r="V11" s="167" t="s">
        <v>334</v>
      </c>
      <c r="W11" s="167" t="s">
        <v>335</v>
      </c>
      <c r="X11" s="167" t="s">
        <v>336</v>
      </c>
      <c r="Y11" s="167" t="s">
        <v>3</v>
      </c>
      <c r="Z11" s="166" t="s">
        <v>337</v>
      </c>
      <c r="AA11" s="166" t="s">
        <v>338</v>
      </c>
      <c r="AB11" s="166" t="s">
        <v>339</v>
      </c>
      <c r="AC11" s="166" t="s">
        <v>340</v>
      </c>
      <c r="AD11" s="166" t="s">
        <v>341</v>
      </c>
      <c r="AE11" s="166" t="s">
        <v>342</v>
      </c>
      <c r="AF11" s="165" t="s">
        <v>343</v>
      </c>
      <c r="AG11" s="165" t="s">
        <v>344</v>
      </c>
      <c r="AH11" s="165" t="s">
        <v>345</v>
      </c>
      <c r="AI11" s="167" t="s">
        <v>346</v>
      </c>
      <c r="AJ11" s="167" t="s">
        <v>347</v>
      </c>
      <c r="AK11" s="167" t="s">
        <v>348</v>
      </c>
      <c r="AL11" s="165" t="s">
        <v>349</v>
      </c>
      <c r="AM11" s="168" t="s">
        <v>350</v>
      </c>
      <c r="AN11" s="168" t="s">
        <v>351</v>
      </c>
      <c r="AO11" s="165" t="s">
        <v>352</v>
      </c>
      <c r="AP11" s="166" t="s">
        <v>353</v>
      </c>
      <c r="AQ11" s="166" t="s">
        <v>354</v>
      </c>
      <c r="AR11" s="165" t="s">
        <v>355</v>
      </c>
      <c r="AS11" s="167" t="s">
        <v>356</v>
      </c>
      <c r="AT11" s="167" t="s">
        <v>357</v>
      </c>
      <c r="AU11" s="167" t="s">
        <v>358</v>
      </c>
      <c r="AV11" s="167" t="s">
        <v>60</v>
      </c>
      <c r="AW11" s="166" t="s">
        <v>359</v>
      </c>
      <c r="AX11" s="166" t="s">
        <v>360</v>
      </c>
      <c r="AY11" s="165" t="s">
        <v>361</v>
      </c>
      <c r="AZ11" s="166" t="s">
        <v>362</v>
      </c>
      <c r="BA11" s="167" t="s">
        <v>363</v>
      </c>
      <c r="BB11" s="166" t="s">
        <v>364</v>
      </c>
      <c r="BC11" s="166" t="s">
        <v>365</v>
      </c>
      <c r="BD11" s="165" t="s">
        <v>366</v>
      </c>
      <c r="BE11" s="166" t="s">
        <v>367</v>
      </c>
    </row>
    <row r="12" spans="1:57" s="13" customFormat="1" ht="16.5" hidden="1">
      <c r="A12" s="169"/>
      <c r="B12" s="170">
        <f>Generic!$AW$2</f>
        <v>5100</v>
      </c>
      <c r="C12" s="170">
        <f>Generic!$AX$2</f>
        <v>4500</v>
      </c>
      <c r="D12" s="171">
        <v>78</v>
      </c>
      <c r="E12" s="171">
        <v>60</v>
      </c>
      <c r="F12" s="170">
        <f>Generic!$AY$2</f>
        <v>1600</v>
      </c>
      <c r="G12" s="162">
        <f>INPUT_OUTPUTS!$C$8</f>
        <v>90</v>
      </c>
      <c r="H12" s="162">
        <f>INPUT_OUTPUTS!$C$9</f>
        <v>65</v>
      </c>
      <c r="I12" s="170">
        <f>Table7[[#This Row],[(CFM)3]]</f>
        <v>1600</v>
      </c>
      <c r="J12" s="162">
        <f>INPUT_OUTPUTS!$C$10</f>
        <v>80</v>
      </c>
      <c r="K12" s="162">
        <f>INPUT_OUTPUTS!$C$11</f>
        <v>75</v>
      </c>
      <c r="L12" s="162">
        <f>INPUT_OUTPUTS!$F$8</f>
        <v>36</v>
      </c>
      <c r="M12" s="170">
        <f>C12+F12-B12</f>
        <v>1000</v>
      </c>
      <c r="N12" s="162" cm="1">
        <f t="array" aca="1" ref="N12" ca="1">[1]!MixedAirTemp(Table7[[#This Row],[(CFM)3]],Table7[[#This Row],[(˚F db)4]],(Table7[[#This Row],[(CFM)2]]-Table7[[#This Row],[(CFM)10]]),Table7[[#This Row],[(˚F db)]])</f>
        <v>81.764705882352942</v>
      </c>
      <c r="O12" s="162" cm="1">
        <f t="array" aca="1" ref="O12" ca="1">[1]!MixedAirTemp(Table7[[#This Row],[(CFM)3]],Table7[[#This Row],[(˚F wb)5]],(Table7[[#This Row],[(CFM)2]]-Table7[[#This Row],[(CFM)10]]),Table7[[#This Row],[(˚F wb)]])</f>
        <v>61.568627450980394</v>
      </c>
      <c r="P12" s="162" cm="1">
        <f t="array" aca="1" ref="P12" ca="1">GetMoistAirEnthalpy(Table7[[#This Row],[(˚F db)11]],(GetHumRatioFromTWetBulb(Table7[[#This Row],[(˚F db)11]],Table7[[#This Row],[(˚F wb)12]],GetStandardAtmPressure(INPUT_OUTPUTS!$G$6))))</f>
        <v>27.357093281881291</v>
      </c>
      <c r="Q12" s="172">
        <v>55</v>
      </c>
      <c r="R12" s="172">
        <v>50</v>
      </c>
      <c r="S12" s="162" cm="1">
        <f t="array" ref="S12">GetMoistAirEnthalpy(Table7[[#This Row],[(˚F db)13]],(GetHumRatioFromTWetBulb(Table7[[#This Row],[(˚F db)13]],Table7[[#This Row],[(˚F wb)14]],GetStandardAtmPressure(INPUT_OUTPUTS!$G$6))))</f>
        <v>20.244320334314459</v>
      </c>
      <c r="T12" s="170">
        <f ca="1">B12*1.085*(N12-Q12)</f>
        <v>148102.5</v>
      </c>
      <c r="U12" s="170">
        <f ca="1">4.5*B12*(P12-S12)</f>
        <v>163238.1391466588</v>
      </c>
      <c r="V12" s="163">
        <f ca="1">IF(U12&lt;T12,"INVALID POINT",U12/12000)</f>
        <v>13.603178262221567</v>
      </c>
      <c r="W12" s="163">
        <f>INPUT_OUTPUTS!$C$14</f>
        <v>42</v>
      </c>
      <c r="X12" s="163">
        <f>INPUT_OUTPUTS!$C$15</f>
        <v>52</v>
      </c>
      <c r="Y12" s="173">
        <f t="shared" ref="Y12" ca="1" si="0">U12/(500*(X12-W12))</f>
        <v>32.647627829331761</v>
      </c>
      <c r="Z12" s="162">
        <f>D12*((C12-M12)/B12) + J12*(F12/B12)</f>
        <v>78.627450980392155</v>
      </c>
      <c r="AA12" s="162">
        <f>TRUNC(E12*((C12-M12)/B12) + K12*(F12/B12),1)</f>
        <v>64.7</v>
      </c>
      <c r="AB12" s="162" cm="1">
        <f t="array" ref="AB12">GetMoistAirEnthalpy(Table7[[#This Row],[(˚F db)19]],(GetHumRatioFromTWetBulb(Table7[[#This Row],[(˚F db)19]],Table7[[#This Row],[(˚F wb)20]],GetStandardAtmPressure(INPUT_OUTPUTS!$G$6))))</f>
        <v>29.669185851907883</v>
      </c>
      <c r="AC12" s="162">
        <f>Table7[[#This Row],[(˚F db)13]]</f>
        <v>55</v>
      </c>
      <c r="AD12" s="162">
        <f>Table7[[#This Row],[(˚F wb)14]]</f>
        <v>50</v>
      </c>
      <c r="AE12" s="162" cm="1">
        <f t="array" ref="AE12">GetMoistAirEnthalpy(Table7[[#This Row],[(˚F db)22]],(GetHumRatioFromTWetBulb(Table7[[#This Row],[(˚F db)22]],Table7[[#This Row],[(˚F wb)23]],GetStandardAtmPressure(INPUT_OUTPUTS!$G$6))))</f>
        <v>20.244320334314459</v>
      </c>
      <c r="AF12" s="170">
        <f>B12*1.085*(Z12-AC12)</f>
        <v>130742.49999999999</v>
      </c>
      <c r="AG12" s="170">
        <f>4.5*B12*(AB12-AE12)</f>
        <v>216300.66362876911</v>
      </c>
      <c r="AH12" s="162">
        <f>IF(AG12&lt;AF12,"INVALID POINT",AG12/12000)</f>
        <v>18.025055302397426</v>
      </c>
      <c r="AI12" s="163">
        <f>INPUT_OUTPUTS!$C$14</f>
        <v>42</v>
      </c>
      <c r="AJ12" s="163">
        <f>INPUT_OUTPUTS!$C$15</f>
        <v>52</v>
      </c>
      <c r="AK12" s="173">
        <f t="shared" ref="AK12" si="1">AG12/(500*(AJ12-AI12))</f>
        <v>43.26013272575382</v>
      </c>
      <c r="AL12" s="162">
        <f ca="1">MAX(AH12,V12)</f>
        <v>18.025055302397426</v>
      </c>
      <c r="AM12" s="174">
        <f>B12/AH12</f>
        <v>282.93949252525584</v>
      </c>
      <c r="AN12" s="174">
        <f ca="1">MAX(Table7[[#This Row],[GPM33]],Table7[[#This Row],[GPM]])</f>
        <v>43.26013272575382</v>
      </c>
      <c r="AO12" s="170" t="str">
        <f>IF(Table7[[#This Row],[(˚F db)9]]&lt;35,B12,"NOT NEEDED")</f>
        <v>NOT NEEDED</v>
      </c>
      <c r="AP12" s="162" t="str">
        <f>IF(Table7[[#This Row],[(˚F db)9]]&lt;35,Table7[[#This Row],[(˚F db)9]],"NOT NEEDED")</f>
        <v>NOT NEEDED</v>
      </c>
      <c r="AQ12" s="162" t="str">
        <f>IF(Table7[[#This Row],[(˚F db)9]]&lt;35,38,"NOT NEEDED")</f>
        <v>NOT NEEDED</v>
      </c>
      <c r="AR12" s="170">
        <f>IF(Table7[[#This Row],[(˚F db)9]]&lt;35,AO12*1.085*(AQ12-AP12)/1000,0)</f>
        <v>0</v>
      </c>
      <c r="AS12" s="163">
        <f>INPUT_OUTPUTS!$C$16</f>
        <v>140</v>
      </c>
      <c r="AT12" s="163">
        <f>INPUT_OUTPUTS!$C$17</f>
        <v>100</v>
      </c>
      <c r="AU12" s="173">
        <f t="shared" ref="AU12" si="2">(AR12*1000)/(500*(AS12-AT12))</f>
        <v>0</v>
      </c>
      <c r="AV12" s="175">
        <v>2000</v>
      </c>
      <c r="AW12" s="162">
        <f>(Table7[[#This Row],[(˚F db)9]]*Table7[[#This Row],[(CFM)3]] + Table7[[#This Row],[(˚F db)]]*(Table7[[#This Row],[CFM]]-Table7[[#This Row],[(CFM)3]]))/Table7[[#This Row],[CFM]]</f>
        <v>44.4</v>
      </c>
      <c r="AX12" s="162">
        <f>IF(Table7[[#This Row],[(˚F db)43]]&lt;Table7[[#This Row],[(˚F db)13]],Table7[[#This Row],[(˚F db)13]],"NOT NEEDED")</f>
        <v>55</v>
      </c>
      <c r="AY12" s="176">
        <f>IF(Table7[[#This Row],[(˚F db)43]]&lt;Table7[[#This Row],[(˚F db)13]],(Table7[[#This Row],[CFM]]*1.08*(Table7[[#This Row],[(˚F db)45]]-Table7[[#This Row],[(˚F db)43]]))/1000,0)</f>
        <v>22.896000000000004</v>
      </c>
      <c r="AZ12" s="162">
        <f>(Table7[[#This Row],[(mbh)46]]*1000)/(500*(Table7[[#This Row],[(˚F db)39]]-Table7[[#This Row],[(˚F db)40]]))</f>
        <v>1.1448000000000003</v>
      </c>
      <c r="BA12" s="100">
        <f>Table7[[#This Row],[CFM]]</f>
        <v>2000</v>
      </c>
      <c r="BB12" s="100">
        <f>Table7[[#This Row],[(˚F db)45]]</f>
        <v>55</v>
      </c>
      <c r="BC12" s="175">
        <v>85</v>
      </c>
      <c r="BD12" s="176">
        <f>(Table7[[#This Row],[CFM2]]*1.08*(Table7[[#This Row],[(˚F db)454]]-Table7[[#This Row],[(˚F db)433]]))/1000</f>
        <v>64.8</v>
      </c>
      <c r="BE12" s="162">
        <f>(Table7[[#This Row],[(mbh)46]]*1000)/(500*(Table7[[#This Row],[(˚F db)39]]-Table7[[#This Row],[(˚F db)40]]))</f>
        <v>1.1448000000000003</v>
      </c>
    </row>
    <row r="13" spans="1:57" ht="16.5">
      <c r="A13" s="369" t="s">
        <v>789</v>
      </c>
      <c r="B13" s="170">
        <f>'AHU 1'!$AW$2</f>
        <v>5100</v>
      </c>
      <c r="C13" s="170">
        <f>'AHU 1'!$AX$2</f>
        <v>4500</v>
      </c>
      <c r="D13" s="370">
        <v>78</v>
      </c>
      <c r="E13" s="370">
        <v>60</v>
      </c>
      <c r="F13" s="170">
        <f>'AHU 1'!$AY$2</f>
        <v>1600</v>
      </c>
      <c r="G13" s="162">
        <f>INPUT_OUTPUTS!$C$8</f>
        <v>90</v>
      </c>
      <c r="H13" s="162">
        <f>INPUT_OUTPUTS!$C$9</f>
        <v>65</v>
      </c>
      <c r="I13" s="170">
        <f>Table7[[#This Row],[(CFM)3]]</f>
        <v>1600</v>
      </c>
      <c r="J13" s="162">
        <f>INPUT_OUTPUTS!$C$10</f>
        <v>80</v>
      </c>
      <c r="K13" s="162">
        <f>INPUT_OUTPUTS!$C$11</f>
        <v>75</v>
      </c>
      <c r="L13" s="162">
        <f>INPUT_OUTPUTS!$F$8</f>
        <v>36</v>
      </c>
      <c r="M13" s="170">
        <f>C13+F13-B13</f>
        <v>1000</v>
      </c>
      <c r="N13" s="162" cm="1">
        <f t="array" aca="1" ref="N13" ca="1">[1]!MixedAirTemp(Table7[[#This Row],[(CFM)3]],Table7[[#This Row],[(˚F db)4]],(Table7[[#This Row],[(CFM)2]]-Table7[[#This Row],[(CFM)10]]),Table7[[#This Row],[(˚F db)]])</f>
        <v>81.764705882352942</v>
      </c>
      <c r="O13" s="162" cm="1">
        <f t="array" aca="1" ref="O13" ca="1">[1]!MixedAirTemp(Table7[[#This Row],[(CFM)3]],Table7[[#This Row],[(˚F wb)5]],(Table7[[#This Row],[(CFM)2]]-Table7[[#This Row],[(CFM)10]]),Table7[[#This Row],[(˚F wb)]])</f>
        <v>61.568627450980394</v>
      </c>
      <c r="P13" s="162" cm="1">
        <f t="array" aca="1" ref="P13" ca="1">GetMoistAirEnthalpy(Table7[[#This Row],[(˚F db)11]],(GetHumRatioFromTWetBulb(Table7[[#This Row],[(˚F db)11]],Table7[[#This Row],[(˚F wb)12]],GetStandardAtmPressure(INPUT_OUTPUTS!$G$6))))</f>
        <v>27.357093281881291</v>
      </c>
      <c r="Q13" s="371">
        <v>55</v>
      </c>
      <c r="R13" s="371">
        <v>50</v>
      </c>
      <c r="S13" s="162" cm="1">
        <f t="array" ref="S13">GetMoistAirEnthalpy(Table7[[#This Row],[(˚F db)13]],(GetHumRatioFromTWetBulb(Table7[[#This Row],[(˚F db)13]],Table7[[#This Row],[(˚F wb)14]],GetStandardAtmPressure(INPUT_OUTPUTS!$G$6))))</f>
        <v>20.244320334314459</v>
      </c>
      <c r="T13" s="170">
        <f ca="1">B13*1.085*(N13-Q13)</f>
        <v>148102.5</v>
      </c>
      <c r="U13" s="170">
        <f ca="1">4.5*B13*(P13-S13)</f>
        <v>163238.1391466588</v>
      </c>
      <c r="V13" s="163">
        <f ca="1">IF(U13&lt;T13,"INVALID POINT",U13/12000)</f>
        <v>13.603178262221567</v>
      </c>
      <c r="W13" s="163">
        <f>INPUT_OUTPUTS!$C$14</f>
        <v>42</v>
      </c>
      <c r="X13" s="163">
        <f>INPUT_OUTPUTS!$C$15</f>
        <v>52</v>
      </c>
      <c r="Y13" s="173">
        <f ca="1">U13/(500*(X13-W13))</f>
        <v>32.647627829331761</v>
      </c>
      <c r="Z13" s="162">
        <f>D13*((C13-M13)/B13) + J13*(F13/B13)</f>
        <v>78.627450980392155</v>
      </c>
      <c r="AA13" s="162">
        <f>TRUNC(E13*((C13-M13)/B13) + K13*(F13/B13),1)</f>
        <v>64.7</v>
      </c>
      <c r="AB13" s="162" cm="1">
        <f t="array" ref="AB13">GetMoistAirEnthalpy(Table7[[#This Row],[(˚F db)19]],(GetHumRatioFromTWetBulb(Table7[[#This Row],[(˚F db)19]],Table7[[#This Row],[(˚F wb)20]],GetStandardAtmPressure(INPUT_OUTPUTS!$G$6))))</f>
        <v>29.669185851907883</v>
      </c>
      <c r="AC13" s="372">
        <f>Table7[[#This Row],[(˚F db)13]]</f>
        <v>55</v>
      </c>
      <c r="AD13" s="372">
        <f>Table7[[#This Row],[(˚F wb)14]]</f>
        <v>50</v>
      </c>
      <c r="AE13" s="162" cm="1">
        <f t="array" ref="AE13">GetMoistAirEnthalpy(Table7[[#This Row],[(˚F db)22]],(GetHumRatioFromTWetBulb(Table7[[#This Row],[(˚F db)22]],Table7[[#This Row],[(˚F wb)23]],GetStandardAtmPressure(INPUT_OUTPUTS!$G$6))))</f>
        <v>20.244320334314459</v>
      </c>
      <c r="AF13" s="170">
        <f>B13*1.085*(Z13-AC13)</f>
        <v>130742.49999999999</v>
      </c>
      <c r="AG13" s="170">
        <f>4.5*B13*(AB13-AE13)</f>
        <v>216300.66362876911</v>
      </c>
      <c r="AH13" s="162">
        <f>IF(AG13&lt;AF13,"INVALID POINT",AG13/12000)</f>
        <v>18.025055302397426</v>
      </c>
      <c r="AI13" s="163">
        <f>INPUT_OUTPUTS!$C$14</f>
        <v>42</v>
      </c>
      <c r="AJ13" s="163">
        <f>INPUT_OUTPUTS!$C$15</f>
        <v>52</v>
      </c>
      <c r="AK13" s="173">
        <f>AG13/(500*(AJ13-AI13))</f>
        <v>43.26013272575382</v>
      </c>
      <c r="AL13" s="162">
        <f ca="1">MAX(AH13,V13)</f>
        <v>18.025055302397426</v>
      </c>
      <c r="AM13" s="174">
        <f>B13/AH13</f>
        <v>282.93949252525584</v>
      </c>
      <c r="AN13" s="174">
        <f ca="1">MAX(Table7[[#This Row],[GPM33]],Table7[[#This Row],[GPM]])</f>
        <v>43.26013272575382</v>
      </c>
      <c r="AO13" s="170" t="str">
        <f>IF(Table7[[#This Row],[(˚F db)9]]&lt;35,B13,"NOT NEEDED")</f>
        <v>NOT NEEDED</v>
      </c>
      <c r="AP13" s="162" t="str">
        <f>IF(Table7[[#This Row],[(˚F db)9]]&lt;35,Table7[[#This Row],[(˚F db)9]],"NOT NEEDED")</f>
        <v>NOT NEEDED</v>
      </c>
      <c r="AQ13" s="373" t="s">
        <v>790</v>
      </c>
      <c r="AR13" s="170">
        <f>IF(Table7[[#This Row],[(˚F db)9]]&lt;35,AO13*1.085*(AQ13-AP13)/1000,0)</f>
        <v>0</v>
      </c>
      <c r="AS13" s="163">
        <f>INPUT_OUTPUTS!$C$16</f>
        <v>140</v>
      </c>
      <c r="AT13" s="163">
        <f>INPUT_OUTPUTS!$C$17</f>
        <v>100</v>
      </c>
      <c r="AU13" s="173">
        <f>(AR13*1000)/(500*(AS13-AT13))</f>
        <v>0</v>
      </c>
      <c r="AV13" s="175"/>
      <c r="AW13" s="373" t="e">
        <f>(Table7[[#This Row],[(˚F db)9]]*Table7[[#This Row],[(CFM)3]] + Table7[[#This Row],[(˚F db)]]*(Table7[[#This Row],[CFM]]-Table7[[#This Row],[(CFM)3]]))/Table7[[#This Row],[CFM]]</f>
        <v>#DIV/0!</v>
      </c>
      <c r="AX13" s="175">
        <v>55</v>
      </c>
      <c r="AY13" s="176" t="e">
        <f>IF(Table7[[#This Row],[(˚F db)43]]&lt;Table7[[#This Row],[(˚F db)13]],(Table7[[#This Row],[CFM]]*1.08*(Table7[[#This Row],[(˚F db)45]]-Table7[[#This Row],[(˚F db)43]]))/1000,0)</f>
        <v>#DIV/0!</v>
      </c>
      <c r="AZ13" s="162">
        <f>'AHU 1'!$BA$2</f>
        <v>19</v>
      </c>
      <c r="BA13" s="162">
        <f>'AHU 1'!$BB$2</f>
        <v>0</v>
      </c>
      <c r="BB13" s="162">
        <f>Table7[[#This Row],[(˚F db)45]]</f>
        <v>55</v>
      </c>
      <c r="BC13" s="175"/>
      <c r="BD13" s="176">
        <f>(Table7[[#This Row],[CFM2]]*1.08*(Table7[[#This Row],[(˚F db)454]]-Table7[[#This Row],[(˚F db)433]]))/1000</f>
        <v>0</v>
      </c>
      <c r="BE13" s="162" t="e">
        <f>(Table7[[#This Row],[(mbh)46]]*1000)/(500*(Table7[[#This Row],[(˚F db)39]]-Table7[[#This Row],[(˚F db)40]]))</f>
        <v>#DIV/0!</v>
      </c>
    </row>
    <row r="14" spans="1:57" ht="18" thickBot="1">
      <c r="A14" s="23" t="s">
        <v>129</v>
      </c>
      <c r="B14" s="24">
        <f>SUBTOTAL(109,Table7[(CFM)])</f>
        <v>5100</v>
      </c>
      <c r="C14" s="23"/>
      <c r="D14" s="25"/>
      <c r="E14" s="25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6">
        <f ca="1">SUBTOTAL(109,Table7[GPM])</f>
        <v>32.647627829331761</v>
      </c>
      <c r="Z14" s="23"/>
      <c r="AA14" s="23"/>
      <c r="AB14" s="23"/>
      <c r="AC14" s="25"/>
      <c r="AD14" s="25"/>
      <c r="AE14" s="23"/>
      <c r="AF14" s="23"/>
      <c r="AG14" s="23"/>
      <c r="AH14" s="23"/>
      <c r="AI14" s="23"/>
      <c r="AJ14" s="23"/>
      <c r="AK14" s="34">
        <f>SUBTOTAL(109,Table7[GPM33])</f>
        <v>43.26013272575382</v>
      </c>
      <c r="AL14" s="26">
        <f ca="1">SUBTOTAL(109,Table7[(Tons)34])</f>
        <v>18.025055302397426</v>
      </c>
      <c r="AM14" s="23"/>
      <c r="AN14" s="27">
        <f ca="1">SUBTOTAL(109,Table7[GPM MAX])</f>
        <v>43.26013272575382</v>
      </c>
      <c r="AO14" s="23"/>
      <c r="AP14" s="23"/>
      <c r="AQ14" s="23"/>
      <c r="AR14" s="27">
        <f>SUBTOTAL(109,Table7[(MBH)])</f>
        <v>0</v>
      </c>
      <c r="AS14" s="23"/>
      <c r="AT14" s="23"/>
      <c r="AU14" s="26">
        <f>SUBTOTAL(109,Table7[GPM41])</f>
        <v>0</v>
      </c>
      <c r="AV14" s="26"/>
      <c r="AW14" s="23"/>
      <c r="AX14" s="23"/>
      <c r="AY14" s="26" t="e">
        <f>SUBTOTAL(109,Table7[(mbh)46])</f>
        <v>#DIV/0!</v>
      </c>
      <c r="AZ14" s="26">
        <f>SUBTOTAL(109,Table7[(˚F db)46])</f>
        <v>19</v>
      </c>
      <c r="BA14" s="23"/>
      <c r="BB14" s="23"/>
      <c r="BC14" s="23"/>
      <c r="BD14" s="23"/>
      <c r="BE14" s="23"/>
    </row>
    <row r="15" spans="1:57" ht="17.25" thickTop="1">
      <c r="AG15" s="16"/>
    </row>
    <row r="16" spans="1:57" ht="16.5">
      <c r="R16" s="15"/>
      <c r="S16" s="15"/>
      <c r="Y16" s="19"/>
      <c r="AD16" s="15"/>
      <c r="AE16" s="15"/>
      <c r="AH16" s="19"/>
      <c r="AK16" s="19"/>
      <c r="AL16" s="19"/>
      <c r="AU16" s="19"/>
      <c r="AV16" s="19"/>
    </row>
    <row r="17" spans="1:52" ht="16.5">
      <c r="R17" s="15"/>
      <c r="S17" s="15"/>
      <c r="Y17" s="19"/>
      <c r="AD17" s="15"/>
      <c r="AE17" s="15"/>
      <c r="AH17" s="19"/>
      <c r="AK17" s="19"/>
      <c r="AL17" s="19"/>
      <c r="AU17" s="19"/>
      <c r="AV17" s="19"/>
    </row>
    <row r="18" spans="1:52">
      <c r="B18" s="13"/>
    </row>
    <row r="21" spans="1:52">
      <c r="M21" s="19"/>
    </row>
    <row r="24" spans="1:52">
      <c r="E24" s="101"/>
    </row>
    <row r="31" spans="1:5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</row>
    <row r="32" spans="1:52">
      <c r="A32" s="20"/>
      <c r="B32" s="20"/>
    </row>
    <row r="33" spans="1:2">
      <c r="A33" s="20"/>
      <c r="B33" s="19"/>
    </row>
    <row r="34" spans="1:2">
      <c r="A34" s="20"/>
    </row>
  </sheetData>
  <mergeCells count="30">
    <mergeCell ref="AV8:AZ8"/>
    <mergeCell ref="BA8:BE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  <mergeCell ref="Z9:AE9"/>
    <mergeCell ref="Z10:AB10"/>
    <mergeCell ref="W9:Y10"/>
    <mergeCell ref="N10:P10"/>
    <mergeCell ref="Q10:S10"/>
    <mergeCell ref="B9:L9"/>
    <mergeCell ref="M9:M10"/>
    <mergeCell ref="N9:S9"/>
    <mergeCell ref="AF9:AG9"/>
    <mergeCell ref="AS9:AU9"/>
    <mergeCell ref="AO8:AU8"/>
    <mergeCell ref="AP9:AQ9"/>
    <mergeCell ref="T9:U9"/>
  </mergeCells>
  <phoneticPr fontId="14" type="noConversion"/>
  <dataValidations count="1">
    <dataValidation type="decimal" operator="greaterThan" allowBlank="1" showInputMessage="1" showErrorMessage="1" sqref="D12:E13 Q12:R13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J6" sqref="J6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19" t="s">
        <v>131</v>
      </c>
      <c r="B1" s="320"/>
      <c r="C1" s="320"/>
      <c r="D1" s="320"/>
      <c r="E1" s="320"/>
      <c r="F1" s="320"/>
      <c r="G1" s="320"/>
      <c r="H1" s="319" t="s">
        <v>132</v>
      </c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19" t="s">
        <v>368</v>
      </c>
      <c r="X1" s="320"/>
      <c r="Y1" s="320"/>
    </row>
    <row r="2" spans="1:26" s="13" customFormat="1" ht="47.25">
      <c r="A2" s="75" t="s">
        <v>133</v>
      </c>
      <c r="B2" s="76" t="s">
        <v>134</v>
      </c>
      <c r="C2" s="76" t="s">
        <v>135</v>
      </c>
      <c r="D2" s="77" t="s">
        <v>369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370</v>
      </c>
      <c r="O2" s="79" t="s">
        <v>371</v>
      </c>
      <c r="P2" s="79" t="s">
        <v>372</v>
      </c>
      <c r="Q2" s="79" t="s">
        <v>373</v>
      </c>
      <c r="R2" s="79" t="s">
        <v>38</v>
      </c>
      <c r="S2" s="78" t="s">
        <v>41</v>
      </c>
      <c r="T2" s="78" t="s">
        <v>42</v>
      </c>
      <c r="U2" s="77" t="s">
        <v>43</v>
      </c>
      <c r="V2" s="79" t="s">
        <v>374</v>
      </c>
      <c r="W2" s="79" t="s">
        <v>375</v>
      </c>
      <c r="X2" s="77" t="s">
        <v>149</v>
      </c>
      <c r="Y2" s="80" t="s">
        <v>48</v>
      </c>
      <c r="Z2" s="81" t="s">
        <v>150</v>
      </c>
    </row>
    <row r="3" spans="1:26" ht="17.25">
      <c r="A3" s="123"/>
      <c r="B3" s="123"/>
      <c r="C3" s="123"/>
      <c r="D3" s="123">
        <v>1000</v>
      </c>
      <c r="E3" s="123">
        <v>1</v>
      </c>
      <c r="F3" s="144">
        <f>IF((VLOOKUP(Ahu_Ashrae_sheet[[#This Row],[Occupancy Category]],Ashrae90.1Vent[#All],7,FALSE)) = "YES",MROUND(D3/2,5),MROUND(D3,5))</f>
        <v>500</v>
      </c>
      <c r="G3" s="123">
        <v>5500</v>
      </c>
      <c r="H3" s="123" t="s">
        <v>85</v>
      </c>
      <c r="I3" s="123" t="s">
        <v>158</v>
      </c>
      <c r="J3" s="125">
        <f>VLOOKUP(Ahu_Ashrae_sheet[[#This Row],[Occupancy Category]],Ashrae90.1Vent[#All],2,FALSE)</f>
        <v>0</v>
      </c>
      <c r="K3" s="125">
        <f>VLOOKUP(Ahu_Ashrae_sheet[[#This Row],[Occupancy Category]],Ashrae90.1Vent[#All],3,FALSE)</f>
        <v>0</v>
      </c>
      <c r="L3" s="125">
        <f>VLOOKUP(Ahu_Ashrae_sheet[[#This Row],[Occupancy Category]],Ashrae90.1Vent[#All],4,FALSE)</f>
        <v>0</v>
      </c>
      <c r="M3" s="125">
        <f>VLOOKUP(Ahu_Ashrae_sheet[[#This Row],[Occupancy Category]],Ashrae90.1Vent[#All],5,FALSE)</f>
        <v>2</v>
      </c>
      <c r="N3" s="125">
        <f>CEILING((L3/1000)*D3,1)</f>
        <v>0</v>
      </c>
      <c r="O3" s="126">
        <f>(Ahu_Ashrae_sheet[[#This Row],[RP
(CFM/PER PERSON)]]*Ahu_Ashrae_sheet[[#This Row],[Occupants]])+(Ahu_Ashrae_sheet[[#This Row],[RA
(CFM/FT²)]]*Ahu_Ashrae_sheet[[#This Row],[AREA 
(FT²)]])</f>
        <v>0</v>
      </c>
      <c r="P3" s="177">
        <v>0.8</v>
      </c>
      <c r="Q3" s="126">
        <f>O3/P3</f>
        <v>0</v>
      </c>
      <c r="R3" s="126">
        <f>Ahu_Ashrae_sheet[[#This Row],[Voz]]</f>
        <v>0</v>
      </c>
      <c r="S3" s="126">
        <f>IF(Ahu_Ashrae_sheet[[#This Row],[Exhaust Category]]="NOT APPLICABLE","NA",VLOOKUP(Ahu_Ashrae_sheet[[#This Row],[Exhaust Category]],ASHRAE_EA_Table[#All],2,FALSE))</f>
        <v>50</v>
      </c>
      <c r="T3" s="126">
        <f>IF(Ahu_Ashrae_sheet[[#This Row],[Exhaust Category]]="NOT APPLICABLE","NA",VLOOKUP(Ahu_Ashrae_sheet[[#This Row],[Exhaust Category]],ASHRAE_EA_Table[#All],3,FALSE))</f>
        <v>0</v>
      </c>
      <c r="U3" s="125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178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178">
        <f>IF(Ahu_Ashrae_sheet[[#This Row],[MIN ASHRAE EA
(CFM)]]=0,Ahu_Ashrae_sheet[[#This Row],[DESIGN SA(CFM)]],0)</f>
        <v>0</v>
      </c>
      <c r="X3" s="178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126">
        <f>Ahu_Ashrae_sheet[[#This Row],[DESIGN SA(CFM)]]-Ahu_Ashrae_sheet[[#This Row],[DESIGN RA(CFM)]]-Ahu_Ashrae_sheet[[#This Row],[DESIGN EA(CFM)]]</f>
        <v>-100</v>
      </c>
      <c r="Z3" s="82">
        <f>Ahu_Ashrae_sheet[[#This Row],[OUTSIDE AIRFLOW (CFM) (Vot)]]/Ahu_Ashrae_sheet[[#This Row],[DESIGN SA(CFM)]]</f>
        <v>0</v>
      </c>
    </row>
    <row r="4" spans="1:26" ht="17.25">
      <c r="A4" s="123"/>
      <c r="B4" s="123"/>
      <c r="C4" s="123"/>
      <c r="D4" s="123">
        <v>1000</v>
      </c>
      <c r="E4" s="123">
        <v>5</v>
      </c>
      <c r="F4" s="144">
        <f>IF((VLOOKUP(Ahu_Ashrae_sheet[[#This Row],[Occupancy Category]],Ashrae90.1Vent[#All],7,FALSE)) = "YES",MROUND(D4/2,5),MROUND(D4,5))</f>
        <v>1000</v>
      </c>
      <c r="G4" s="123">
        <v>280</v>
      </c>
      <c r="H4" s="123" t="s">
        <v>56</v>
      </c>
      <c r="I4" s="123" t="s">
        <v>376</v>
      </c>
      <c r="J4" s="125">
        <f>VLOOKUP(Ahu_Ashrae_sheet[[#This Row],[Occupancy Category]],Ashrae90.1Vent[#All],2,FALSE)</f>
        <v>5</v>
      </c>
      <c r="K4" s="125">
        <f>VLOOKUP(Ahu_Ashrae_sheet[[#This Row],[Occupancy Category]],Ashrae90.1Vent[#All],3,FALSE)</f>
        <v>0.12</v>
      </c>
      <c r="L4" s="125">
        <f>VLOOKUP(Ahu_Ashrae_sheet[[#This Row],[Occupancy Category]],Ashrae90.1Vent[#All],4,FALSE)</f>
        <v>10</v>
      </c>
      <c r="M4" s="125">
        <f>VLOOKUP(Ahu_Ashrae_sheet[[#This Row],[Occupancy Category]],Ashrae90.1Vent[#All],5,FALSE)</f>
        <v>1</v>
      </c>
      <c r="N4" s="125">
        <f>CEILING((L4/1000)*D4,1)</f>
        <v>10</v>
      </c>
      <c r="O4" s="126">
        <f>(Ahu_Ashrae_sheet[[#This Row],[RP
(CFM/PER PERSON)]]*Ahu_Ashrae_sheet[[#This Row],[Occupants]])+(Ahu_Ashrae_sheet[[#This Row],[RA
(CFM/FT²)]]*Ahu_Ashrae_sheet[[#This Row],[AREA 
(FT²)]])</f>
        <v>170</v>
      </c>
      <c r="P4" s="177">
        <v>0.8</v>
      </c>
      <c r="Q4" s="126">
        <f>O4/P4</f>
        <v>212.5</v>
      </c>
      <c r="R4" s="126">
        <f>Ahu_Ashrae_sheet[[#This Row],[Voz]]</f>
        <v>212.5</v>
      </c>
      <c r="S4" s="126" t="str">
        <f>IF(Ahu_Ashrae_sheet[[#This Row],[Exhaust Category]]="NOT APPLICABLE","NA",VLOOKUP(Ahu_Ashrae_sheet[[#This Row],[Exhaust Category]],ASHRAE_EA_Table[#All],3,FALSE))</f>
        <v>NA</v>
      </c>
      <c r="T4" s="126" t="str">
        <f>IF(Ahu_Ashrae_sheet[[#This Row],[Exhaust Category]]="NOT APPLICABLE","NA",VLOOKUP(Ahu_Ashrae_sheet[[#This Row],[Exhaust Category]],ASHRAE_EA_Table[#All],4,FALSE))</f>
        <v>NA</v>
      </c>
      <c r="U4" s="125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178">
        <f>IF(Ahu_Ashrae_sheet[[#This Row],[MIN ASHRAE EA
(CFM)]]=0,MAX(Ahu_Ashrae_sheet[[#This Row],[LOAD (CFM)]],Ahu_Ashrae_sheet[[#This Row],[OFFICE STANDARD 
(CFM)]]),Ahu_Ashrae_sheet[[#This Row],[DESIGN EA(CFM)]]-100)</f>
        <v>1000</v>
      </c>
      <c r="W4" s="178">
        <f>IF(Ahu_Ashrae_sheet[[#This Row],[MIN ASHRAE EA
(CFM)]]=0,Ahu_Ashrae_sheet[[#This Row],[DESIGN SA(CFM)]],0)</f>
        <v>1000</v>
      </c>
      <c r="X4" s="178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126">
        <f>Ahu_Ashrae_sheet[[#This Row],[DESIGN SA(CFM)]]-Ahu_Ashrae_sheet[[#This Row],[DESIGN RA(CFM)]]-Ahu_Ashrae_sheet[[#This Row],[DESIGN EA(CFM)]]</f>
        <v>0</v>
      </c>
      <c r="Z4" s="82">
        <f>Ahu_Ashrae_sheet[[#This Row],[OUTSIDE AIRFLOW (CFM) (Vot)]]/Ahu_Ashrae_sheet[[#This Row],[DESIGN SA(CFM)]]</f>
        <v>0.21249999999999999</v>
      </c>
    </row>
    <row r="5" spans="1:26" ht="17.25">
      <c r="A5" s="123"/>
      <c r="B5" s="123"/>
      <c r="C5" s="123"/>
      <c r="D5" s="123">
        <v>1000</v>
      </c>
      <c r="E5" s="123">
        <v>5</v>
      </c>
      <c r="F5" s="144">
        <f>IF((VLOOKUP(Ahu_Ashrae_sheet[[#This Row],[Occupancy Category]],Ashrae90.1Vent[#All],7,FALSE)) = "YES",MROUND(D5/2,5),MROUND(D5,5))</f>
        <v>1000</v>
      </c>
      <c r="G5" s="123">
        <v>150</v>
      </c>
      <c r="H5" s="123" t="s">
        <v>56</v>
      </c>
      <c r="I5" s="123" t="s">
        <v>377</v>
      </c>
      <c r="J5" s="125">
        <f>VLOOKUP(Ahu_Ashrae_sheet[[#This Row],[Occupancy Category]],Ashrae90.1Vent[#All],2,FALSE)</f>
        <v>10</v>
      </c>
      <c r="K5" s="125">
        <f>VLOOKUP(Ahu_Ashrae_sheet[[#This Row],[Occupancy Category]],Ashrae90.1Vent[#All],3,FALSE)</f>
        <v>0.18</v>
      </c>
      <c r="L5" s="125">
        <f>VLOOKUP(Ahu_Ashrae_sheet[[#This Row],[Occupancy Category]],Ashrae90.1Vent[#All],4,FALSE)</f>
        <v>20</v>
      </c>
      <c r="M5" s="125">
        <f>VLOOKUP(Ahu_Ashrae_sheet[[#This Row],[Occupancy Category]],Ashrae90.1Vent[#All],5,FALSE)</f>
        <v>3</v>
      </c>
      <c r="N5" s="125">
        <f>CEILING((L5/1000)*D5,1)</f>
        <v>20</v>
      </c>
      <c r="O5" s="126">
        <f>(Ahu_Ashrae_sheet[[#This Row],[RP
(CFM/PER PERSON)]]*Ahu_Ashrae_sheet[[#This Row],[Occupants]])+(Ahu_Ashrae_sheet[[#This Row],[RA
(CFM/FT²)]]*Ahu_Ashrae_sheet[[#This Row],[AREA 
(FT²)]])</f>
        <v>380</v>
      </c>
      <c r="P5" s="177">
        <v>0.8</v>
      </c>
      <c r="Q5" s="126">
        <f>O5/P5</f>
        <v>475</v>
      </c>
      <c r="R5" s="126">
        <f>Ahu_Ashrae_sheet[[#This Row],[Voz]]</f>
        <v>475</v>
      </c>
      <c r="S5" s="126" t="str">
        <f>IF(Ahu_Ashrae_sheet[[#This Row],[Exhaust Category]]="NOT APPLICABLE","NA",VLOOKUP(Ahu_Ashrae_sheet[[#This Row],[Exhaust Category]],ASHRAE_EA_Table[#All],3,FALSE))</f>
        <v>NA</v>
      </c>
      <c r="T5" s="126" t="str">
        <f>IF(Ahu_Ashrae_sheet[[#This Row],[Exhaust Category]]="NOT APPLICABLE","NA",VLOOKUP(Ahu_Ashrae_sheet[[#This Row],[Exhaust Category]],ASHRAE_EA_Table[#All],4,FALSE))</f>
        <v>NA</v>
      </c>
      <c r="U5" s="125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178">
        <f>IF(Ahu_Ashrae_sheet[[#This Row],[MIN ASHRAE EA
(CFM)]]=0,MAX(Ahu_Ashrae_sheet[[#This Row],[LOAD (CFM)]],Ahu_Ashrae_sheet[[#This Row],[OFFICE STANDARD 
(CFM)]]),Ahu_Ashrae_sheet[[#This Row],[DESIGN EA(CFM)]]-100)</f>
        <v>1000</v>
      </c>
      <c r="W5" s="178">
        <f>IF(Ahu_Ashrae_sheet[[#This Row],[MIN ASHRAE EA
(CFM)]]=0,Ahu_Ashrae_sheet[[#This Row],[DESIGN SA(CFM)]],0)</f>
        <v>1000</v>
      </c>
      <c r="X5" s="178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126">
        <f>Ahu_Ashrae_sheet[[#This Row],[DESIGN SA(CFM)]]-Ahu_Ashrae_sheet[[#This Row],[DESIGN RA(CFM)]]-Ahu_Ashrae_sheet[[#This Row],[DESIGN EA(CFM)]]</f>
        <v>0</v>
      </c>
      <c r="Z5" s="82">
        <f>Ahu_Ashrae_sheet[[#This Row],[OUTSIDE AIRFLOW (CFM) (Vot)]]/Ahu_Ashrae_sheet[[#This Row],[DESIGN SA(CFM)]]</f>
        <v>0.47499999999999998</v>
      </c>
    </row>
    <row r="6" spans="1:26" ht="15.75">
      <c r="A6" s="76" t="s">
        <v>165</v>
      </c>
      <c r="B6" s="76"/>
      <c r="C6" s="112">
        <f>SUBTOTAL(103,Ahu_Ashrae_sheet[Room])</f>
        <v>0</v>
      </c>
      <c r="D6" s="113">
        <f>SUBTOTAL(109,Ahu_Ashrae_sheet[AREA 
(FT²)])</f>
        <v>3000</v>
      </c>
      <c r="E6" s="114"/>
      <c r="F6" s="115"/>
      <c r="G6" s="116">
        <f>SUBTOTAL(109,Ahu_Ashrae_sheet[LOAD (CFM)])</f>
        <v>5930</v>
      </c>
      <c r="H6" s="76"/>
      <c r="I6" s="76"/>
      <c r="J6" s="117"/>
      <c r="K6" s="117"/>
      <c r="L6" s="117"/>
      <c r="M6" s="117"/>
      <c r="N6" s="118">
        <f>SUBTOTAL(109,Ahu_Ashrae_sheet[Occupants])</f>
        <v>30</v>
      </c>
      <c r="O6" s="117"/>
      <c r="P6" s="117"/>
      <c r="Q6" s="117"/>
      <c r="R6" s="119">
        <f>SUBTOTAL(109,Ahu_Ashrae_sheet[OUTSIDE AIRFLOW (CFM) (Vot)])</f>
        <v>687.5</v>
      </c>
      <c r="S6" s="117"/>
      <c r="T6" s="117"/>
      <c r="U6" s="117"/>
      <c r="V6" s="119">
        <f>SUBTOTAL(109,Ahu_Ashrae_sheet[DESIGN SA(CFM)])</f>
        <v>7500</v>
      </c>
      <c r="W6" s="119">
        <f>SUBTOTAL(109,Ahu_Ashrae_sheet[DESIGN RA(CFM)])</f>
        <v>2000</v>
      </c>
      <c r="X6" s="119">
        <f>SUBTOTAL(109,Ahu_Ashrae_sheet[DESIGN EA(CFM)])</f>
        <v>5600</v>
      </c>
      <c r="Y6" s="117"/>
      <c r="Z6" s="88"/>
    </row>
    <row r="17" spans="20:20">
      <c r="T17" s="28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I3:I5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A58" zoomScale="85" zoomScaleNormal="85" workbookViewId="0">
      <selection activeCell="A93" sqref="A93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8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3" t="s">
        <v>140</v>
      </c>
      <c r="B1" s="13" t="s">
        <v>378</v>
      </c>
      <c r="C1" s="13" t="s">
        <v>1</v>
      </c>
      <c r="D1" s="13" t="s">
        <v>379</v>
      </c>
      <c r="E1" s="13" t="s">
        <v>380</v>
      </c>
      <c r="F1" s="85" t="s">
        <v>40</v>
      </c>
      <c r="G1" s="85" t="s">
        <v>381</v>
      </c>
      <c r="H1"/>
      <c r="J1" s="13" t="s">
        <v>140</v>
      </c>
      <c r="K1" s="13" t="s">
        <v>382</v>
      </c>
      <c r="L1" s="13" t="s">
        <v>383</v>
      </c>
      <c r="M1" s="13" t="s">
        <v>384</v>
      </c>
      <c r="N1" s="13" t="s">
        <v>385</v>
      </c>
      <c r="O1" s="13"/>
      <c r="P1" s="13"/>
      <c r="Q1" s="13"/>
    </row>
    <row r="2" spans="1:28">
      <c r="A2" s="98" t="s">
        <v>386</v>
      </c>
      <c r="B2" s="84">
        <v>10</v>
      </c>
      <c r="C2" s="84">
        <v>0.12</v>
      </c>
      <c r="D2" s="84">
        <v>20</v>
      </c>
      <c r="E2" s="84">
        <v>2</v>
      </c>
      <c r="F2" s="84" t="s">
        <v>57</v>
      </c>
      <c r="G2" s="84" t="s">
        <v>57</v>
      </c>
      <c r="H2"/>
      <c r="J2" s="99" t="s">
        <v>387</v>
      </c>
      <c r="K2" s="87">
        <v>0</v>
      </c>
      <c r="L2" s="84">
        <v>0.9</v>
      </c>
      <c r="M2" s="84"/>
      <c r="N2" s="84">
        <v>3</v>
      </c>
      <c r="Q2" s="13" t="s">
        <v>388</v>
      </c>
      <c r="U2" s="13" t="s">
        <v>389</v>
      </c>
      <c r="V2">
        <v>199</v>
      </c>
      <c r="W2">
        <v>399</v>
      </c>
      <c r="X2">
        <v>10000</v>
      </c>
      <c r="Y2" s="13" t="s">
        <v>389</v>
      </c>
      <c r="Z2">
        <v>199</v>
      </c>
      <c r="AA2">
        <v>399</v>
      </c>
      <c r="AB2">
        <v>10000</v>
      </c>
    </row>
    <row r="3" spans="1:28">
      <c r="A3" s="98" t="s">
        <v>387</v>
      </c>
      <c r="B3" s="84">
        <v>10</v>
      </c>
      <c r="C3" s="84">
        <v>0.18</v>
      </c>
      <c r="D3" s="84">
        <v>20</v>
      </c>
      <c r="E3" s="84">
        <v>3</v>
      </c>
      <c r="F3" s="84" t="s">
        <v>57</v>
      </c>
      <c r="G3" s="84" t="s">
        <v>57</v>
      </c>
      <c r="H3"/>
      <c r="J3" s="99" t="s">
        <v>390</v>
      </c>
      <c r="K3" s="84">
        <v>0</v>
      </c>
      <c r="L3" s="84">
        <v>3</v>
      </c>
      <c r="M3" s="84"/>
      <c r="N3" s="84">
        <v>3</v>
      </c>
      <c r="Q3">
        <v>1</v>
      </c>
      <c r="U3" s="62">
        <v>7</v>
      </c>
      <c r="V3">
        <v>400</v>
      </c>
      <c r="W3">
        <v>200</v>
      </c>
      <c r="X3">
        <v>150</v>
      </c>
      <c r="Y3" s="62">
        <v>7</v>
      </c>
      <c r="Z3">
        <v>800</v>
      </c>
      <c r="AA3">
        <v>400</v>
      </c>
      <c r="AB3">
        <v>250</v>
      </c>
    </row>
    <row r="4" spans="1:28">
      <c r="A4" s="98" t="s">
        <v>390</v>
      </c>
      <c r="B4" s="84">
        <v>10</v>
      </c>
      <c r="C4" s="84">
        <v>0.18</v>
      </c>
      <c r="D4" s="84">
        <v>20</v>
      </c>
      <c r="E4" s="84">
        <v>3</v>
      </c>
      <c r="F4" s="84" t="s">
        <v>57</v>
      </c>
      <c r="G4" s="84" t="s">
        <v>57</v>
      </c>
      <c r="H4"/>
      <c r="J4" s="99" t="s">
        <v>391</v>
      </c>
      <c r="K4" s="84">
        <v>0</v>
      </c>
      <c r="L4" s="84">
        <v>1.5</v>
      </c>
      <c r="M4" s="84"/>
      <c r="N4" s="84">
        <v>3</v>
      </c>
      <c r="Q4">
        <v>0.8</v>
      </c>
      <c r="U4" s="62">
        <v>8</v>
      </c>
      <c r="V4">
        <v>400</v>
      </c>
      <c r="W4">
        <v>200</v>
      </c>
      <c r="X4">
        <v>150</v>
      </c>
      <c r="Y4" s="62">
        <v>8</v>
      </c>
      <c r="Z4">
        <v>800</v>
      </c>
      <c r="AA4">
        <v>400</v>
      </c>
      <c r="AB4">
        <v>250</v>
      </c>
    </row>
    <row r="5" spans="1:28">
      <c r="A5" s="98" t="s">
        <v>391</v>
      </c>
      <c r="B5" s="84">
        <v>10</v>
      </c>
      <c r="C5" s="84">
        <v>0.18</v>
      </c>
      <c r="D5" s="84">
        <v>20</v>
      </c>
      <c r="E5" s="84">
        <v>3</v>
      </c>
      <c r="F5" s="84" t="s">
        <v>57</v>
      </c>
      <c r="G5" s="84" t="s">
        <v>57</v>
      </c>
      <c r="H5"/>
      <c r="J5" s="99" t="s">
        <v>377</v>
      </c>
      <c r="K5" s="84">
        <v>0</v>
      </c>
      <c r="L5" s="84">
        <v>1.5</v>
      </c>
      <c r="M5" s="84"/>
      <c r="N5" s="84">
        <v>3</v>
      </c>
      <c r="Q5">
        <v>0.7</v>
      </c>
      <c r="U5" s="61" t="s">
        <v>392</v>
      </c>
      <c r="V5">
        <v>600</v>
      </c>
      <c r="W5">
        <v>250</v>
      </c>
      <c r="X5">
        <v>150</v>
      </c>
      <c r="Y5" s="61" t="s">
        <v>392</v>
      </c>
      <c r="Z5">
        <v>1400</v>
      </c>
      <c r="AA5">
        <v>900</v>
      </c>
      <c r="AB5">
        <v>400</v>
      </c>
    </row>
    <row r="6" spans="1:28">
      <c r="A6" s="98" t="s">
        <v>377</v>
      </c>
      <c r="B6" s="84">
        <v>10</v>
      </c>
      <c r="C6" s="84">
        <v>0.18</v>
      </c>
      <c r="D6" s="84">
        <v>20</v>
      </c>
      <c r="E6" s="84">
        <v>3</v>
      </c>
      <c r="F6" s="84" t="s">
        <v>57</v>
      </c>
      <c r="G6" s="84" t="s">
        <v>57</v>
      </c>
      <c r="H6"/>
      <c r="J6" s="99" t="s">
        <v>393</v>
      </c>
      <c r="K6" s="84">
        <v>0</v>
      </c>
      <c r="L6" s="84">
        <v>2.25</v>
      </c>
      <c r="M6" s="84"/>
      <c r="N6" s="84">
        <v>3</v>
      </c>
      <c r="Q6">
        <v>0.5</v>
      </c>
      <c r="U6" s="61" t="s">
        <v>394</v>
      </c>
      <c r="V6">
        <v>600</v>
      </c>
      <c r="W6">
        <v>250</v>
      </c>
      <c r="X6">
        <v>150</v>
      </c>
      <c r="Y6" s="61" t="s">
        <v>394</v>
      </c>
      <c r="Z6">
        <v>1400</v>
      </c>
      <c r="AA6">
        <v>900</v>
      </c>
      <c r="AB6">
        <v>400</v>
      </c>
    </row>
    <row r="7" spans="1:28">
      <c r="A7" s="98" t="s">
        <v>393</v>
      </c>
      <c r="B7" s="84">
        <v>10</v>
      </c>
      <c r="C7" s="84">
        <v>0.18</v>
      </c>
      <c r="D7" s="84">
        <v>20</v>
      </c>
      <c r="E7" s="84">
        <v>3</v>
      </c>
      <c r="F7" s="84" t="s">
        <v>57</v>
      </c>
      <c r="G7" s="84" t="s">
        <v>57</v>
      </c>
      <c r="H7"/>
      <c r="J7" s="99" t="s">
        <v>395</v>
      </c>
      <c r="K7" s="84">
        <v>0</v>
      </c>
      <c r="L7" s="84">
        <v>1.5</v>
      </c>
      <c r="M7" s="84"/>
      <c r="N7" s="84">
        <v>3</v>
      </c>
      <c r="Q7">
        <v>1.05</v>
      </c>
      <c r="U7" s="61" t="s">
        <v>396</v>
      </c>
      <c r="V7">
        <v>600</v>
      </c>
      <c r="W7">
        <v>250</v>
      </c>
      <c r="X7">
        <v>150</v>
      </c>
      <c r="Y7" s="61" t="s">
        <v>396</v>
      </c>
      <c r="Z7">
        <v>1400</v>
      </c>
      <c r="AA7">
        <v>900</v>
      </c>
      <c r="AB7">
        <v>400</v>
      </c>
    </row>
    <row r="8" spans="1:28">
      <c r="A8" s="98" t="s">
        <v>395</v>
      </c>
      <c r="B8" s="84">
        <v>10</v>
      </c>
      <c r="C8" s="84">
        <v>0.18</v>
      </c>
      <c r="D8" s="84">
        <v>20</v>
      </c>
      <c r="E8" s="84">
        <v>3</v>
      </c>
      <c r="F8" s="84" t="s">
        <v>57</v>
      </c>
      <c r="G8" s="84" t="s">
        <v>57</v>
      </c>
      <c r="H8"/>
      <c r="J8" s="99" t="s">
        <v>397</v>
      </c>
      <c r="K8" s="84">
        <v>0</v>
      </c>
      <c r="L8" s="84">
        <v>2.25</v>
      </c>
      <c r="M8" s="84"/>
      <c r="N8" s="84">
        <v>3</v>
      </c>
      <c r="Q8">
        <v>1.2</v>
      </c>
      <c r="U8" s="61" t="s">
        <v>398</v>
      </c>
      <c r="V8">
        <v>800</v>
      </c>
      <c r="W8">
        <v>400</v>
      </c>
      <c r="X8">
        <v>250</v>
      </c>
      <c r="Y8" s="61" t="s">
        <v>398</v>
      </c>
      <c r="Z8">
        <v>2000</v>
      </c>
      <c r="AA8">
        <v>1000</v>
      </c>
      <c r="AB8">
        <v>500</v>
      </c>
    </row>
    <row r="9" spans="1:28">
      <c r="A9" s="98" t="s">
        <v>399</v>
      </c>
      <c r="B9" s="84">
        <v>10</v>
      </c>
      <c r="C9" s="84">
        <v>0.18</v>
      </c>
      <c r="D9" s="84">
        <v>20</v>
      </c>
      <c r="E9" s="84">
        <v>3</v>
      </c>
      <c r="F9" s="84" t="s">
        <v>57</v>
      </c>
      <c r="G9" s="84" t="s">
        <v>57</v>
      </c>
      <c r="H9"/>
      <c r="J9" s="99" t="s">
        <v>160</v>
      </c>
      <c r="K9" s="84">
        <v>0</v>
      </c>
      <c r="L9" s="84">
        <v>2.25</v>
      </c>
      <c r="M9" s="84"/>
      <c r="N9" s="84">
        <v>3</v>
      </c>
      <c r="Q9">
        <v>1.5</v>
      </c>
      <c r="U9" s="61" t="s">
        <v>400</v>
      </c>
      <c r="V9">
        <v>800</v>
      </c>
      <c r="W9">
        <v>400</v>
      </c>
      <c r="X9">
        <v>250</v>
      </c>
      <c r="Y9" s="61" t="s">
        <v>400</v>
      </c>
      <c r="Z9">
        <v>2000</v>
      </c>
      <c r="AA9">
        <v>1000</v>
      </c>
      <c r="AB9">
        <v>500</v>
      </c>
    </row>
    <row r="10" spans="1:28">
      <c r="A10" s="98" t="s">
        <v>160</v>
      </c>
      <c r="B10" s="84">
        <v>10</v>
      </c>
      <c r="C10" s="84">
        <v>0.18</v>
      </c>
      <c r="D10" s="84">
        <v>20</v>
      </c>
      <c r="E10" s="84">
        <v>3</v>
      </c>
      <c r="F10" s="84" t="s">
        <v>57</v>
      </c>
      <c r="G10" s="84" t="s">
        <v>57</v>
      </c>
      <c r="H10"/>
      <c r="J10" s="99" t="s">
        <v>401</v>
      </c>
      <c r="K10" s="84">
        <v>0</v>
      </c>
      <c r="L10" s="84">
        <v>2.25</v>
      </c>
      <c r="M10" s="84"/>
      <c r="N10" s="84">
        <v>3</v>
      </c>
      <c r="Q10">
        <v>1.4</v>
      </c>
      <c r="U10" s="61" t="s">
        <v>402</v>
      </c>
      <c r="V10">
        <v>800</v>
      </c>
      <c r="W10">
        <v>400</v>
      </c>
      <c r="X10">
        <v>250</v>
      </c>
      <c r="Y10" s="61" t="s">
        <v>402</v>
      </c>
      <c r="Z10">
        <v>2000</v>
      </c>
      <c r="AA10">
        <v>1000</v>
      </c>
      <c r="AB10">
        <v>500</v>
      </c>
    </row>
    <row r="11" spans="1:28">
      <c r="A11" s="98" t="s">
        <v>401</v>
      </c>
      <c r="B11" s="84">
        <v>10</v>
      </c>
      <c r="C11" s="84">
        <v>0.18</v>
      </c>
      <c r="D11" s="84">
        <v>20</v>
      </c>
      <c r="E11" s="84">
        <v>3</v>
      </c>
      <c r="F11" s="84" t="s">
        <v>57</v>
      </c>
      <c r="G11" s="84" t="s">
        <v>57</v>
      </c>
      <c r="H11"/>
      <c r="J11" s="99" t="s">
        <v>403</v>
      </c>
      <c r="K11" s="84">
        <v>0</v>
      </c>
      <c r="L11" s="84">
        <v>1.5</v>
      </c>
      <c r="M11" s="84"/>
      <c r="N11" s="84">
        <v>3</v>
      </c>
      <c r="Q11">
        <v>1.4</v>
      </c>
      <c r="U11" s="61" t="s">
        <v>404</v>
      </c>
      <c r="V11">
        <v>800</v>
      </c>
      <c r="W11">
        <v>400</v>
      </c>
      <c r="X11">
        <v>250</v>
      </c>
      <c r="Y11" s="61" t="s">
        <v>404</v>
      </c>
      <c r="Z11">
        <v>2000</v>
      </c>
      <c r="AA11">
        <v>1000</v>
      </c>
      <c r="AB11">
        <v>500</v>
      </c>
    </row>
    <row r="12" spans="1:28">
      <c r="A12" s="98" t="s">
        <v>403</v>
      </c>
      <c r="B12" s="84">
        <v>10</v>
      </c>
      <c r="C12" s="84">
        <v>0.18</v>
      </c>
      <c r="D12" s="84">
        <v>20</v>
      </c>
      <c r="E12" s="84">
        <v>3</v>
      </c>
      <c r="F12" s="84" t="s">
        <v>57</v>
      </c>
      <c r="G12" s="84" t="s">
        <v>57</v>
      </c>
      <c r="H12"/>
      <c r="J12" s="99" t="s">
        <v>405</v>
      </c>
      <c r="K12" s="84">
        <v>0</v>
      </c>
      <c r="L12" s="84">
        <v>0.5</v>
      </c>
      <c r="M12" s="84" t="s">
        <v>406</v>
      </c>
      <c r="N12" s="84">
        <v>1</v>
      </c>
      <c r="Q12">
        <v>1.2</v>
      </c>
      <c r="U12" s="61" t="s">
        <v>407</v>
      </c>
      <c r="V12">
        <v>800</v>
      </c>
      <c r="W12">
        <v>400</v>
      </c>
      <c r="X12">
        <v>250</v>
      </c>
      <c r="Y12" s="61" t="s">
        <v>407</v>
      </c>
      <c r="Z12">
        <v>2000</v>
      </c>
      <c r="AA12">
        <v>1000</v>
      </c>
      <c r="AB12">
        <v>500</v>
      </c>
    </row>
    <row r="13" spans="1:28">
      <c r="A13" s="98" t="s">
        <v>408</v>
      </c>
      <c r="B13" s="84">
        <v>7.5</v>
      </c>
      <c r="C13" s="84">
        <v>0.06</v>
      </c>
      <c r="D13" s="84">
        <v>50</v>
      </c>
      <c r="E13" s="84">
        <v>2</v>
      </c>
      <c r="F13" s="84" t="s">
        <v>57</v>
      </c>
      <c r="G13" s="84" t="s">
        <v>57</v>
      </c>
      <c r="H13"/>
      <c r="J13" s="99" t="s">
        <v>409</v>
      </c>
      <c r="K13" s="84">
        <v>0</v>
      </c>
      <c r="L13" s="84">
        <v>0.7</v>
      </c>
      <c r="M13" s="84"/>
      <c r="N13" s="84">
        <v>2</v>
      </c>
      <c r="Q13">
        <v>1.5</v>
      </c>
      <c r="U13" s="61" t="s">
        <v>410</v>
      </c>
      <c r="V13">
        <v>800</v>
      </c>
      <c r="W13">
        <v>400</v>
      </c>
      <c r="X13">
        <v>250</v>
      </c>
      <c r="Y13" s="61" t="s">
        <v>410</v>
      </c>
      <c r="Z13">
        <v>2000</v>
      </c>
      <c r="AA13">
        <v>1000</v>
      </c>
      <c r="AB13">
        <v>500</v>
      </c>
    </row>
    <row r="14" spans="1:28">
      <c r="A14" s="98" t="s">
        <v>411</v>
      </c>
      <c r="B14" s="84">
        <v>5</v>
      </c>
      <c r="C14" s="84">
        <v>0.12</v>
      </c>
      <c r="D14" s="84">
        <v>25</v>
      </c>
      <c r="E14" s="84">
        <v>2</v>
      </c>
      <c r="F14" s="84" t="s">
        <v>57</v>
      </c>
      <c r="G14" s="84" t="s">
        <v>57</v>
      </c>
      <c r="H14"/>
      <c r="J14" s="99" t="s">
        <v>412</v>
      </c>
      <c r="K14" s="84">
        <v>0</v>
      </c>
      <c r="L14" s="84">
        <v>1.5</v>
      </c>
      <c r="M14" s="84" t="s">
        <v>413</v>
      </c>
      <c r="N14" s="84">
        <v>2</v>
      </c>
      <c r="U14" s="61" t="s">
        <v>414</v>
      </c>
      <c r="V14">
        <v>800</v>
      </c>
      <c r="W14">
        <v>400</v>
      </c>
      <c r="X14">
        <v>250</v>
      </c>
      <c r="Y14" s="61" t="s">
        <v>414</v>
      </c>
      <c r="Z14">
        <v>2000</v>
      </c>
      <c r="AA14">
        <v>1000</v>
      </c>
      <c r="AB14">
        <v>500</v>
      </c>
    </row>
    <row r="15" spans="1:28">
      <c r="A15" s="98" t="s">
        <v>415</v>
      </c>
      <c r="B15" s="84">
        <v>5</v>
      </c>
      <c r="C15" s="84">
        <v>0.06</v>
      </c>
      <c r="D15" s="84">
        <v>30</v>
      </c>
      <c r="E15" s="84">
        <v>1</v>
      </c>
      <c r="F15" s="84" t="s">
        <v>57</v>
      </c>
      <c r="G15" s="84" t="s">
        <v>57</v>
      </c>
      <c r="H15"/>
      <c r="J15" s="99" t="s">
        <v>416</v>
      </c>
      <c r="K15" s="84">
        <v>0</v>
      </c>
      <c r="L15" s="84">
        <v>0.5</v>
      </c>
      <c r="M15" s="84"/>
      <c r="N15" s="84">
        <v>2</v>
      </c>
      <c r="U15" s="61" t="s">
        <v>417</v>
      </c>
      <c r="V15">
        <v>1100</v>
      </c>
      <c r="W15">
        <v>600</v>
      </c>
      <c r="X15">
        <v>300</v>
      </c>
      <c r="Y15" s="61" t="s">
        <v>417</v>
      </c>
      <c r="Z15">
        <v>2300</v>
      </c>
      <c r="AA15">
        <v>1100</v>
      </c>
      <c r="AB15">
        <v>600</v>
      </c>
    </row>
    <row r="16" spans="1:28">
      <c r="A16" s="98" t="s">
        <v>418</v>
      </c>
      <c r="B16" s="84">
        <v>5</v>
      </c>
      <c r="C16" s="84">
        <v>0.06</v>
      </c>
      <c r="D16" s="84">
        <v>15</v>
      </c>
      <c r="E16" s="84">
        <v>1</v>
      </c>
      <c r="F16" s="84" t="s">
        <v>57</v>
      </c>
      <c r="G16" s="84" t="s">
        <v>57</v>
      </c>
      <c r="H16"/>
      <c r="J16" s="99" t="s">
        <v>419</v>
      </c>
      <c r="K16" s="84">
        <v>0</v>
      </c>
      <c r="L16" s="84">
        <v>0.6</v>
      </c>
      <c r="M16" s="84"/>
      <c r="N16" s="84">
        <v>2</v>
      </c>
      <c r="U16" s="61" t="s">
        <v>420</v>
      </c>
      <c r="V16">
        <v>1100</v>
      </c>
      <c r="W16">
        <v>600</v>
      </c>
      <c r="X16">
        <v>300</v>
      </c>
      <c r="Y16" s="61" t="s">
        <v>420</v>
      </c>
      <c r="Z16">
        <v>2300</v>
      </c>
      <c r="AA16">
        <v>1100</v>
      </c>
      <c r="AB16">
        <v>600</v>
      </c>
    </row>
    <row r="17" spans="1:28">
      <c r="A17" s="98" t="s">
        <v>421</v>
      </c>
      <c r="B17" s="84">
        <v>10</v>
      </c>
      <c r="C17" s="84">
        <v>0.18</v>
      </c>
      <c r="D17" s="84">
        <v>20</v>
      </c>
      <c r="E17" s="84">
        <v>2</v>
      </c>
      <c r="F17" s="84" t="s">
        <v>57</v>
      </c>
      <c r="G17" s="84" t="s">
        <v>57</v>
      </c>
      <c r="H17"/>
      <c r="J17" s="99" t="s">
        <v>422</v>
      </c>
      <c r="K17" s="84">
        <v>0</v>
      </c>
      <c r="L17" s="84">
        <v>1</v>
      </c>
      <c r="M17" s="84"/>
      <c r="N17" s="84">
        <v>2</v>
      </c>
      <c r="U17" s="61" t="s">
        <v>423</v>
      </c>
      <c r="V17">
        <v>1100</v>
      </c>
      <c r="W17">
        <v>600</v>
      </c>
      <c r="X17">
        <v>300</v>
      </c>
      <c r="Y17" s="61" t="s">
        <v>423</v>
      </c>
      <c r="Z17">
        <v>2300</v>
      </c>
      <c r="AA17">
        <v>1100</v>
      </c>
      <c r="AB17">
        <v>600</v>
      </c>
    </row>
    <row r="18" spans="1:28">
      <c r="A18" s="98" t="s">
        <v>424</v>
      </c>
      <c r="B18" s="84">
        <v>10</v>
      </c>
      <c r="C18" s="84">
        <v>0.12</v>
      </c>
      <c r="D18" s="84">
        <v>25</v>
      </c>
      <c r="E18" s="84">
        <v>1</v>
      </c>
      <c r="F18" s="84" t="s">
        <v>57</v>
      </c>
      <c r="G18" s="84" t="s">
        <v>57</v>
      </c>
      <c r="H18"/>
      <c r="J18" s="99" t="s">
        <v>425</v>
      </c>
      <c r="K18" s="84">
        <v>0</v>
      </c>
      <c r="L18" s="84">
        <v>0.5</v>
      </c>
      <c r="M18" s="84"/>
      <c r="N18" s="84">
        <v>2</v>
      </c>
      <c r="U18" s="61" t="s">
        <v>217</v>
      </c>
      <c r="V18">
        <v>1500</v>
      </c>
      <c r="W18">
        <v>700</v>
      </c>
      <c r="X18">
        <v>400</v>
      </c>
      <c r="Y18" s="61" t="s">
        <v>217</v>
      </c>
      <c r="Z18">
        <v>5200</v>
      </c>
      <c r="AA18">
        <v>2350</v>
      </c>
      <c r="AB18">
        <v>1250</v>
      </c>
    </row>
    <row r="19" spans="1:28">
      <c r="A19" s="98" t="s">
        <v>426</v>
      </c>
      <c r="B19" s="84">
        <v>10</v>
      </c>
      <c r="C19" s="84">
        <v>0.12</v>
      </c>
      <c r="D19" s="84">
        <v>35</v>
      </c>
      <c r="E19" s="84">
        <v>1</v>
      </c>
      <c r="F19" s="84" t="s">
        <v>57</v>
      </c>
      <c r="G19" s="84" t="s">
        <v>57</v>
      </c>
      <c r="H19"/>
      <c r="J19" s="99" t="s">
        <v>427</v>
      </c>
      <c r="K19" s="84">
        <v>0</v>
      </c>
      <c r="L19" s="84">
        <v>1</v>
      </c>
      <c r="M19" s="84"/>
      <c r="N19" s="84">
        <v>2</v>
      </c>
      <c r="U19" s="61" t="s">
        <v>428</v>
      </c>
      <c r="V19">
        <v>1500</v>
      </c>
      <c r="W19">
        <v>700</v>
      </c>
      <c r="X19">
        <v>400</v>
      </c>
      <c r="Y19" s="61" t="s">
        <v>428</v>
      </c>
      <c r="Z19">
        <v>5200</v>
      </c>
      <c r="AA19">
        <v>2350</v>
      </c>
      <c r="AB19">
        <v>1250</v>
      </c>
    </row>
    <row r="20" spans="1:28">
      <c r="A20" s="98" t="s">
        <v>429</v>
      </c>
      <c r="B20" s="84">
        <v>10</v>
      </c>
      <c r="C20" s="84">
        <v>0.12</v>
      </c>
      <c r="D20" s="84">
        <v>25</v>
      </c>
      <c r="E20" s="84">
        <v>1</v>
      </c>
      <c r="F20" s="84" t="s">
        <v>57</v>
      </c>
      <c r="G20" s="84" t="s">
        <v>57</v>
      </c>
      <c r="H20"/>
      <c r="J20" s="99" t="s">
        <v>430</v>
      </c>
      <c r="K20" s="84">
        <v>0</v>
      </c>
      <c r="L20" s="84">
        <v>1</v>
      </c>
      <c r="M20" s="84"/>
      <c r="N20" s="84">
        <v>2</v>
      </c>
      <c r="U20" s="61" t="s">
        <v>431</v>
      </c>
      <c r="V20">
        <v>2400</v>
      </c>
      <c r="W20">
        <v>1100</v>
      </c>
      <c r="X20">
        <v>600</v>
      </c>
      <c r="Y20" s="61" t="s">
        <v>431</v>
      </c>
      <c r="Z20">
        <v>5800</v>
      </c>
      <c r="AA20">
        <v>2600</v>
      </c>
      <c r="AB20">
        <v>1400</v>
      </c>
    </row>
    <row r="21" spans="1:28">
      <c r="A21" s="98" t="s">
        <v>432</v>
      </c>
      <c r="B21" s="84">
        <v>10</v>
      </c>
      <c r="C21" s="84">
        <v>0.18</v>
      </c>
      <c r="D21" s="84">
        <v>25</v>
      </c>
      <c r="E21" s="84">
        <v>2</v>
      </c>
      <c r="F21" s="84" t="s">
        <v>57</v>
      </c>
      <c r="G21" s="84" t="s">
        <v>57</v>
      </c>
      <c r="H21"/>
      <c r="J21" s="99" t="s">
        <v>433</v>
      </c>
      <c r="K21" s="84">
        <v>0</v>
      </c>
      <c r="L21" s="84">
        <v>1</v>
      </c>
      <c r="M21" s="84"/>
      <c r="N21" s="84">
        <v>3</v>
      </c>
      <c r="U21" s="61" t="s">
        <v>434</v>
      </c>
      <c r="V21">
        <v>7000</v>
      </c>
      <c r="W21">
        <v>3000</v>
      </c>
      <c r="X21">
        <v>1700</v>
      </c>
      <c r="Y21" s="61" t="s">
        <v>434</v>
      </c>
      <c r="Z21">
        <v>12000</v>
      </c>
      <c r="AA21">
        <v>6000</v>
      </c>
      <c r="AB21">
        <v>3000</v>
      </c>
    </row>
    <row r="22" spans="1:28">
      <c r="A22" s="98" t="s">
        <v>435</v>
      </c>
      <c r="B22" s="84">
        <v>10</v>
      </c>
      <c r="C22" s="84">
        <v>0.18</v>
      </c>
      <c r="D22" s="84">
        <v>25</v>
      </c>
      <c r="E22" s="84">
        <v>3</v>
      </c>
      <c r="F22" s="84" t="s">
        <v>57</v>
      </c>
      <c r="G22" s="84" t="s">
        <v>57</v>
      </c>
      <c r="H22"/>
      <c r="J22" s="99" t="s">
        <v>436</v>
      </c>
      <c r="K22" s="84">
        <v>0</v>
      </c>
      <c r="L22" s="84">
        <v>0.3</v>
      </c>
      <c r="M22" s="84"/>
      <c r="N22" s="84">
        <v>2</v>
      </c>
    </row>
    <row r="23" spans="1:28">
      <c r="A23" s="98" t="s">
        <v>437</v>
      </c>
      <c r="B23" s="84">
        <v>7.5</v>
      </c>
      <c r="C23" s="84">
        <v>0.06</v>
      </c>
      <c r="D23" s="84">
        <v>65</v>
      </c>
      <c r="E23" s="84">
        <v>1</v>
      </c>
      <c r="F23" s="86" t="s">
        <v>204</v>
      </c>
      <c r="G23" s="84" t="s">
        <v>57</v>
      </c>
      <c r="H23"/>
      <c r="J23" s="99" t="s">
        <v>438</v>
      </c>
      <c r="K23" s="84">
        <v>0</v>
      </c>
      <c r="L23" s="84">
        <v>0.7</v>
      </c>
      <c r="M23" s="84"/>
      <c r="N23" s="84">
        <v>2</v>
      </c>
    </row>
    <row r="24" spans="1:28">
      <c r="A24" s="98" t="s">
        <v>439</v>
      </c>
      <c r="B24" s="84">
        <v>7.5</v>
      </c>
      <c r="C24" s="84">
        <v>0.06</v>
      </c>
      <c r="D24" s="84">
        <v>150</v>
      </c>
      <c r="E24" s="84">
        <v>1</v>
      </c>
      <c r="F24" s="86" t="s">
        <v>204</v>
      </c>
      <c r="G24" s="84" t="s">
        <v>57</v>
      </c>
      <c r="H24"/>
      <c r="J24" s="99" t="s">
        <v>440</v>
      </c>
      <c r="K24" s="84">
        <v>0</v>
      </c>
      <c r="L24" s="84">
        <v>0.5</v>
      </c>
      <c r="M24" s="84"/>
      <c r="N24" s="84">
        <v>2</v>
      </c>
    </row>
    <row r="25" spans="1:28">
      <c r="A25" s="98" t="s">
        <v>164</v>
      </c>
      <c r="B25" s="84">
        <v>5</v>
      </c>
      <c r="C25" s="84">
        <v>0.12</v>
      </c>
      <c r="D25" s="84">
        <v>10</v>
      </c>
      <c r="E25" s="84">
        <v>0</v>
      </c>
      <c r="F25" s="84" t="s">
        <v>57</v>
      </c>
      <c r="G25" s="84" t="s">
        <v>57</v>
      </c>
      <c r="H25"/>
      <c r="J25" s="99" t="s">
        <v>441</v>
      </c>
      <c r="K25" s="84">
        <v>0</v>
      </c>
      <c r="L25" s="84">
        <v>0.25</v>
      </c>
      <c r="M25" s="84"/>
      <c r="N25" s="84">
        <v>2</v>
      </c>
    </row>
    <row r="26" spans="1:28">
      <c r="A26" s="98" t="s">
        <v>442</v>
      </c>
      <c r="B26" s="84">
        <v>10</v>
      </c>
      <c r="C26" s="84">
        <v>0.12</v>
      </c>
      <c r="D26" s="84">
        <v>25</v>
      </c>
      <c r="E26" s="84">
        <v>1</v>
      </c>
      <c r="F26" s="84" t="s">
        <v>57</v>
      </c>
      <c r="G26" s="84" t="s">
        <v>57</v>
      </c>
      <c r="H26"/>
      <c r="J26" s="99" t="s">
        <v>443</v>
      </c>
      <c r="K26" s="84">
        <v>50</v>
      </c>
      <c r="L26" s="84"/>
      <c r="M26" s="84" t="s">
        <v>444</v>
      </c>
      <c r="N26" s="84">
        <v>2</v>
      </c>
    </row>
    <row r="27" spans="1:28">
      <c r="A27" s="98" t="s">
        <v>445</v>
      </c>
      <c r="B27" s="84">
        <v>7.5</v>
      </c>
      <c r="C27" s="84">
        <v>0.06</v>
      </c>
      <c r="D27" s="84">
        <v>100</v>
      </c>
      <c r="E27" s="84">
        <v>1</v>
      </c>
      <c r="F27" s="86" t="s">
        <v>204</v>
      </c>
      <c r="G27" s="84" t="s">
        <v>57</v>
      </c>
      <c r="H27"/>
      <c r="J27" s="99" t="s">
        <v>446</v>
      </c>
      <c r="K27" s="84">
        <v>0</v>
      </c>
      <c r="L27" s="84">
        <v>0</v>
      </c>
      <c r="M27" s="84" t="s">
        <v>244</v>
      </c>
      <c r="N27" s="84">
        <v>4</v>
      </c>
    </row>
    <row r="28" spans="1:28">
      <c r="A28" s="98" t="s">
        <v>447</v>
      </c>
      <c r="B28" s="84">
        <v>10</v>
      </c>
      <c r="C28" s="84">
        <v>0.06</v>
      </c>
      <c r="D28" s="84">
        <v>35</v>
      </c>
      <c r="E28" s="84">
        <v>1</v>
      </c>
      <c r="F28" s="86" t="s">
        <v>204</v>
      </c>
      <c r="G28" s="84" t="s">
        <v>57</v>
      </c>
      <c r="H28"/>
      <c r="J28" s="99" t="s">
        <v>448</v>
      </c>
      <c r="K28" s="84">
        <v>0</v>
      </c>
      <c r="L28" s="84">
        <v>0.75</v>
      </c>
      <c r="M28" s="84" t="s">
        <v>449</v>
      </c>
      <c r="N28" s="84">
        <v>2</v>
      </c>
    </row>
    <row r="29" spans="1:28">
      <c r="A29" s="98" t="s">
        <v>450</v>
      </c>
      <c r="B29" s="84">
        <v>10</v>
      </c>
      <c r="C29" s="84">
        <v>0.18</v>
      </c>
      <c r="D29" s="84">
        <v>25</v>
      </c>
      <c r="E29" s="84">
        <v>2</v>
      </c>
      <c r="F29" s="84" t="s">
        <v>57</v>
      </c>
      <c r="G29" s="84" t="s">
        <v>57</v>
      </c>
      <c r="H29"/>
      <c r="J29" s="99" t="s">
        <v>451</v>
      </c>
      <c r="K29" s="84">
        <v>0</v>
      </c>
      <c r="L29" s="84">
        <v>0.9</v>
      </c>
      <c r="M29" s="84"/>
      <c r="N29" s="84">
        <v>2</v>
      </c>
    </row>
    <row r="30" spans="1:28">
      <c r="A30" s="98" t="s">
        <v>452</v>
      </c>
      <c r="B30" s="84">
        <v>10</v>
      </c>
      <c r="C30" s="84">
        <v>0.18</v>
      </c>
      <c r="D30" s="84">
        <v>25</v>
      </c>
      <c r="E30" s="84">
        <v>2</v>
      </c>
      <c r="F30" s="84" t="s">
        <v>57</v>
      </c>
      <c r="G30" s="84" t="s">
        <v>57</v>
      </c>
      <c r="H30"/>
      <c r="J30" s="99" t="s">
        <v>453</v>
      </c>
      <c r="K30" s="84">
        <v>0</v>
      </c>
      <c r="L30" s="84">
        <v>0</v>
      </c>
      <c r="M30" s="84" t="s">
        <v>244</v>
      </c>
      <c r="N30" s="84">
        <v>3</v>
      </c>
    </row>
    <row r="31" spans="1:28">
      <c r="A31" s="98" t="s">
        <v>454</v>
      </c>
      <c r="B31" s="84">
        <v>10</v>
      </c>
      <c r="C31" s="84">
        <v>0.18</v>
      </c>
      <c r="D31" s="84">
        <v>20</v>
      </c>
      <c r="E31" s="84">
        <v>2</v>
      </c>
      <c r="F31" s="84" t="s">
        <v>57</v>
      </c>
      <c r="G31" s="84" t="s">
        <v>57</v>
      </c>
      <c r="H31"/>
      <c r="J31" s="99" t="s">
        <v>455</v>
      </c>
      <c r="K31" s="84">
        <v>100</v>
      </c>
      <c r="L31" s="84">
        <v>0</v>
      </c>
      <c r="M31" s="84" t="s">
        <v>444</v>
      </c>
      <c r="N31" s="84">
        <v>2</v>
      </c>
    </row>
    <row r="32" spans="1:28">
      <c r="A32" s="98" t="s">
        <v>456</v>
      </c>
      <c r="B32" s="84">
        <v>7.5</v>
      </c>
      <c r="C32" s="84">
        <v>0.18</v>
      </c>
      <c r="D32" s="84">
        <v>100</v>
      </c>
      <c r="E32" s="84">
        <v>2</v>
      </c>
      <c r="F32" s="84" t="s">
        <v>57</v>
      </c>
      <c r="G32" s="84" t="s">
        <v>57</v>
      </c>
      <c r="H32"/>
      <c r="J32" s="99" t="s">
        <v>457</v>
      </c>
      <c r="K32" s="84">
        <v>0</v>
      </c>
      <c r="L32" s="84">
        <v>1</v>
      </c>
      <c r="M32" s="84" t="s">
        <v>244</v>
      </c>
      <c r="N32" s="84">
        <v>3</v>
      </c>
    </row>
    <row r="33" spans="1:14">
      <c r="A33" s="98" t="s">
        <v>458</v>
      </c>
      <c r="B33" s="84">
        <v>7.5</v>
      </c>
      <c r="C33" s="84">
        <v>0.18</v>
      </c>
      <c r="D33" s="84">
        <v>100</v>
      </c>
      <c r="E33" s="84">
        <v>2</v>
      </c>
      <c r="F33" s="84" t="s">
        <v>57</v>
      </c>
      <c r="G33" s="84" t="s">
        <v>57</v>
      </c>
      <c r="H33"/>
      <c r="J33" s="99" t="s">
        <v>459</v>
      </c>
      <c r="K33" s="84">
        <v>0</v>
      </c>
      <c r="L33" s="84">
        <v>1.5</v>
      </c>
      <c r="M33" s="84" t="s">
        <v>244</v>
      </c>
      <c r="N33" s="84">
        <v>4</v>
      </c>
    </row>
    <row r="34" spans="1:14">
      <c r="A34" s="98" t="s">
        <v>460</v>
      </c>
      <c r="B34" s="84">
        <v>7.5</v>
      </c>
      <c r="C34" s="84">
        <v>0.12</v>
      </c>
      <c r="D34" s="84">
        <v>20</v>
      </c>
      <c r="E34" s="84">
        <v>2</v>
      </c>
      <c r="F34" s="84" t="s">
        <v>57</v>
      </c>
      <c r="G34" s="84" t="s">
        <v>57</v>
      </c>
      <c r="H34"/>
      <c r="J34" s="99" t="s">
        <v>85</v>
      </c>
      <c r="K34" s="84">
        <v>50</v>
      </c>
      <c r="L34" s="84">
        <v>0</v>
      </c>
      <c r="M34" s="84" t="s">
        <v>461</v>
      </c>
      <c r="N34" s="84">
        <v>2</v>
      </c>
    </row>
    <row r="35" spans="1:14">
      <c r="A35" s="98" t="s">
        <v>462</v>
      </c>
      <c r="B35" s="84">
        <v>7.5</v>
      </c>
      <c r="C35" s="84">
        <v>0.18</v>
      </c>
      <c r="D35" s="84">
        <v>70</v>
      </c>
      <c r="E35" s="84">
        <v>2</v>
      </c>
      <c r="F35" s="84" t="s">
        <v>57</v>
      </c>
      <c r="G35" s="84" t="s">
        <v>57</v>
      </c>
      <c r="H35"/>
      <c r="J35" s="99" t="s">
        <v>463</v>
      </c>
      <c r="K35" s="84">
        <v>70</v>
      </c>
      <c r="L35" s="84">
        <v>0</v>
      </c>
      <c r="M35" s="84" t="s">
        <v>464</v>
      </c>
      <c r="N35" s="84">
        <v>2</v>
      </c>
    </row>
    <row r="36" spans="1:14">
      <c r="A36" s="98" t="s">
        <v>465</v>
      </c>
      <c r="B36" s="84">
        <v>5</v>
      </c>
      <c r="C36" s="84">
        <v>0.06</v>
      </c>
      <c r="D36" s="84">
        <v>25</v>
      </c>
      <c r="E36" s="84">
        <v>1</v>
      </c>
      <c r="F36" s="86" t="s">
        <v>204</v>
      </c>
      <c r="G36" s="84" t="s">
        <v>57</v>
      </c>
      <c r="H36"/>
      <c r="J36" s="99" t="s">
        <v>56</v>
      </c>
      <c r="K36" s="84">
        <v>0</v>
      </c>
      <c r="L36" s="84">
        <v>0</v>
      </c>
      <c r="M36" s="84">
        <v>0</v>
      </c>
      <c r="N36" s="84">
        <v>0</v>
      </c>
    </row>
    <row r="37" spans="1:14">
      <c r="A37" s="98" t="s">
        <v>466</v>
      </c>
      <c r="B37" s="84">
        <v>5</v>
      </c>
      <c r="C37" s="84">
        <v>0.06</v>
      </c>
      <c r="D37" s="84">
        <v>20</v>
      </c>
      <c r="E37" s="84">
        <v>1</v>
      </c>
      <c r="F37" s="86" t="s">
        <v>204</v>
      </c>
      <c r="G37" s="84" t="s">
        <v>57</v>
      </c>
      <c r="H37"/>
      <c r="J37" s="99" t="s">
        <v>467</v>
      </c>
      <c r="K37" s="84">
        <v>0</v>
      </c>
      <c r="L37" s="84">
        <v>0.5</v>
      </c>
      <c r="M37" s="84"/>
      <c r="N37" s="84">
        <v>2</v>
      </c>
    </row>
    <row r="38" spans="1:14">
      <c r="A38" s="98" t="s">
        <v>96</v>
      </c>
      <c r="B38" s="84">
        <v>5</v>
      </c>
      <c r="C38" s="84">
        <v>0.06</v>
      </c>
      <c r="D38" s="84">
        <v>50</v>
      </c>
      <c r="E38" s="84">
        <v>1</v>
      </c>
      <c r="F38" s="86" t="s">
        <v>204</v>
      </c>
      <c r="G38" s="84" t="s">
        <v>57</v>
      </c>
      <c r="H38"/>
    </row>
    <row r="39" spans="1:14">
      <c r="A39" s="98" t="s">
        <v>468</v>
      </c>
      <c r="B39" s="84">
        <v>0</v>
      </c>
      <c r="C39" s="84">
        <v>0.06</v>
      </c>
      <c r="D39" s="84">
        <v>0</v>
      </c>
      <c r="E39" s="84">
        <v>1</v>
      </c>
      <c r="F39" s="86" t="s">
        <v>204</v>
      </c>
      <c r="G39" s="84" t="s">
        <v>204</v>
      </c>
      <c r="H39"/>
    </row>
    <row r="40" spans="1:14">
      <c r="A40" s="98" t="s">
        <v>469</v>
      </c>
      <c r="B40" s="84">
        <v>5</v>
      </c>
      <c r="C40" s="84">
        <v>0.12</v>
      </c>
      <c r="D40" s="84">
        <v>2</v>
      </c>
      <c r="E40" s="84">
        <v>2</v>
      </c>
      <c r="F40" s="86" t="s">
        <v>204</v>
      </c>
      <c r="G40" s="84" t="s">
        <v>57</v>
      </c>
      <c r="H40"/>
    </row>
    <row r="41" spans="1:14">
      <c r="A41" s="98" t="s">
        <v>158</v>
      </c>
      <c r="B41" s="84">
        <v>0</v>
      </c>
      <c r="C41" s="84">
        <v>0</v>
      </c>
      <c r="D41" s="84">
        <v>0</v>
      </c>
      <c r="E41" s="84">
        <v>2</v>
      </c>
      <c r="F41" s="84" t="s">
        <v>57</v>
      </c>
      <c r="G41" s="84" t="s">
        <v>204</v>
      </c>
      <c r="H41"/>
    </row>
    <row r="42" spans="1:14">
      <c r="A42" s="98" t="s">
        <v>470</v>
      </c>
      <c r="B42" s="84">
        <v>5</v>
      </c>
      <c r="C42" s="84">
        <v>0.06</v>
      </c>
      <c r="D42" s="84">
        <v>20</v>
      </c>
      <c r="E42" s="84">
        <v>1</v>
      </c>
      <c r="F42" s="86" t="s">
        <v>204</v>
      </c>
      <c r="G42" s="84" t="s">
        <v>57</v>
      </c>
      <c r="H42"/>
    </row>
    <row r="43" spans="1:14">
      <c r="A43" s="98" t="s">
        <v>471</v>
      </c>
      <c r="B43" s="84">
        <v>5</v>
      </c>
      <c r="C43" s="84">
        <v>0.06</v>
      </c>
      <c r="D43" s="84">
        <v>10</v>
      </c>
      <c r="E43" s="84">
        <v>1</v>
      </c>
      <c r="F43" s="84" t="s">
        <v>57</v>
      </c>
      <c r="G43" s="84" t="s">
        <v>57</v>
      </c>
      <c r="H43"/>
    </row>
    <row r="44" spans="1:14">
      <c r="A44" s="98" t="s">
        <v>472</v>
      </c>
      <c r="B44" s="84">
        <v>5</v>
      </c>
      <c r="C44" s="84">
        <v>0.12</v>
      </c>
      <c r="D44" s="84">
        <v>10</v>
      </c>
      <c r="E44" s="84">
        <v>1</v>
      </c>
      <c r="F44" s="84" t="s">
        <v>57</v>
      </c>
      <c r="G44" s="84" t="s">
        <v>57</v>
      </c>
      <c r="H44"/>
    </row>
    <row r="45" spans="1:14">
      <c r="A45" s="98" t="s">
        <v>473</v>
      </c>
      <c r="B45" s="84">
        <v>5</v>
      </c>
      <c r="C45" s="84">
        <v>0.12</v>
      </c>
      <c r="D45" s="84">
        <v>10</v>
      </c>
      <c r="E45" s="84">
        <v>2</v>
      </c>
      <c r="F45" s="84" t="s">
        <v>57</v>
      </c>
      <c r="G45" s="84" t="s">
        <v>57</v>
      </c>
      <c r="H45"/>
    </row>
    <row r="46" spans="1:14">
      <c r="A46" s="98" t="s">
        <v>474</v>
      </c>
      <c r="B46" s="84">
        <v>7.5</v>
      </c>
      <c r="C46" s="84">
        <v>0.06</v>
      </c>
      <c r="D46" s="84">
        <v>30</v>
      </c>
      <c r="E46" s="84">
        <v>1</v>
      </c>
      <c r="F46" s="86" t="s">
        <v>204</v>
      </c>
      <c r="G46" s="84" t="s">
        <v>57</v>
      </c>
      <c r="H46"/>
    </row>
    <row r="47" spans="1:14">
      <c r="A47" s="98" t="s">
        <v>475</v>
      </c>
      <c r="B47" s="84">
        <v>5</v>
      </c>
      <c r="C47" s="84">
        <v>0.06</v>
      </c>
      <c r="D47" s="84">
        <v>120</v>
      </c>
      <c r="E47" s="84">
        <v>1</v>
      </c>
      <c r="F47" s="86" t="s">
        <v>204</v>
      </c>
      <c r="G47" s="84" t="s">
        <v>57</v>
      </c>
      <c r="H47"/>
    </row>
    <row r="48" spans="1:14">
      <c r="A48" s="98" t="s">
        <v>476</v>
      </c>
      <c r="B48" s="84">
        <v>5</v>
      </c>
      <c r="C48" s="84">
        <v>0.06</v>
      </c>
      <c r="D48" s="84">
        <v>5</v>
      </c>
      <c r="E48" s="84">
        <v>2</v>
      </c>
      <c r="F48" s="86" t="s">
        <v>204</v>
      </c>
      <c r="G48" s="84" t="s">
        <v>57</v>
      </c>
      <c r="H48"/>
    </row>
    <row r="49" spans="1:8">
      <c r="A49" s="98" t="s">
        <v>477</v>
      </c>
      <c r="B49" s="84">
        <v>7.5</v>
      </c>
      <c r="C49" s="84">
        <v>0.06</v>
      </c>
      <c r="D49" s="84">
        <v>15</v>
      </c>
      <c r="E49" s="84">
        <v>1</v>
      </c>
      <c r="F49" s="86" t="s">
        <v>204</v>
      </c>
      <c r="G49" s="84" t="s">
        <v>57</v>
      </c>
      <c r="H49"/>
    </row>
    <row r="50" spans="1:8">
      <c r="A50" s="98" t="s">
        <v>478</v>
      </c>
      <c r="B50" s="84">
        <v>5</v>
      </c>
      <c r="C50" s="84">
        <v>0.06</v>
      </c>
      <c r="D50" s="84">
        <v>4</v>
      </c>
      <c r="E50" s="84">
        <v>1</v>
      </c>
      <c r="F50" s="86" t="s">
        <v>204</v>
      </c>
      <c r="G50" s="84" t="s">
        <v>57</v>
      </c>
      <c r="H50"/>
    </row>
    <row r="51" spans="1:8">
      <c r="A51" s="98" t="s">
        <v>479</v>
      </c>
      <c r="B51" s="84">
        <v>10</v>
      </c>
      <c r="C51" s="84">
        <v>0</v>
      </c>
      <c r="D51" s="84">
        <v>0</v>
      </c>
      <c r="E51" s="84">
        <v>2</v>
      </c>
      <c r="F51" s="84" t="s">
        <v>57</v>
      </c>
      <c r="G51" s="84" t="s">
        <v>57</v>
      </c>
      <c r="H51"/>
    </row>
    <row r="52" spans="1:8">
      <c r="A52" s="98" t="s">
        <v>480</v>
      </c>
      <c r="B52" s="84">
        <v>10</v>
      </c>
      <c r="C52" s="84">
        <v>0.18</v>
      </c>
      <c r="D52" s="84">
        <v>7</v>
      </c>
      <c r="E52" s="84">
        <v>2</v>
      </c>
      <c r="F52" s="84" t="s">
        <v>57</v>
      </c>
      <c r="G52" s="84" t="s">
        <v>57</v>
      </c>
      <c r="H52"/>
    </row>
    <row r="53" spans="1:8">
      <c r="A53" s="98" t="s">
        <v>481</v>
      </c>
      <c r="B53" s="84">
        <v>10</v>
      </c>
      <c r="C53" s="84">
        <v>0.18</v>
      </c>
      <c r="D53" s="84">
        <v>7</v>
      </c>
      <c r="E53" s="84">
        <v>3</v>
      </c>
      <c r="F53" s="84" t="s">
        <v>57</v>
      </c>
      <c r="G53" s="84" t="s">
        <v>57</v>
      </c>
      <c r="H53"/>
    </row>
    <row r="54" spans="1:8">
      <c r="A54" s="98" t="s">
        <v>482</v>
      </c>
      <c r="B54" s="84">
        <v>5</v>
      </c>
      <c r="C54" s="84">
        <v>0.18</v>
      </c>
      <c r="D54" s="84">
        <v>10</v>
      </c>
      <c r="E54" s="84">
        <v>2</v>
      </c>
      <c r="F54" s="84" t="s">
        <v>57</v>
      </c>
      <c r="G54" s="84" t="s">
        <v>57</v>
      </c>
      <c r="H54"/>
    </row>
    <row r="55" spans="1:8">
      <c r="A55" s="98" t="s">
        <v>376</v>
      </c>
      <c r="B55" s="84">
        <v>5</v>
      </c>
      <c r="C55" s="84">
        <v>0.12</v>
      </c>
      <c r="D55" s="84">
        <v>10</v>
      </c>
      <c r="E55" s="84">
        <v>1</v>
      </c>
      <c r="F55" s="84" t="s">
        <v>57</v>
      </c>
      <c r="G55" s="84" t="s">
        <v>57</v>
      </c>
      <c r="H55"/>
    </row>
    <row r="56" spans="1:8">
      <c r="A56" s="98" t="s">
        <v>483</v>
      </c>
      <c r="B56" s="84">
        <v>10</v>
      </c>
      <c r="C56" s="84">
        <v>0.12</v>
      </c>
      <c r="D56" s="84">
        <v>2</v>
      </c>
      <c r="E56" s="84">
        <v>2</v>
      </c>
      <c r="F56" s="84" t="s">
        <v>57</v>
      </c>
      <c r="G56" s="84" t="s">
        <v>57</v>
      </c>
      <c r="H56"/>
    </row>
    <row r="57" spans="1:8">
      <c r="A57" s="98" t="s">
        <v>484</v>
      </c>
      <c r="B57" s="84">
        <v>7.5</v>
      </c>
      <c r="C57" s="84">
        <v>0.12</v>
      </c>
      <c r="D57" s="84">
        <v>7</v>
      </c>
      <c r="E57" s="84">
        <v>2</v>
      </c>
      <c r="F57" s="84" t="s">
        <v>57</v>
      </c>
      <c r="G57" s="84" t="s">
        <v>57</v>
      </c>
      <c r="H57"/>
    </row>
    <row r="58" spans="1:8">
      <c r="A58" s="98" t="s">
        <v>485</v>
      </c>
      <c r="B58" s="84">
        <v>0</v>
      </c>
      <c r="C58" s="84">
        <v>0</v>
      </c>
      <c r="D58" s="84">
        <v>0</v>
      </c>
      <c r="E58" s="84">
        <v>1</v>
      </c>
      <c r="F58" s="84" t="s">
        <v>57</v>
      </c>
      <c r="G58" s="84" t="s">
        <v>57</v>
      </c>
      <c r="H58"/>
    </row>
    <row r="59" spans="1:8">
      <c r="A59" s="98" t="s">
        <v>486</v>
      </c>
      <c r="B59" s="84">
        <v>7.5</v>
      </c>
      <c r="C59" s="84">
        <v>0.06</v>
      </c>
      <c r="D59" s="84">
        <v>100</v>
      </c>
      <c r="E59" s="84">
        <v>1</v>
      </c>
      <c r="F59" s="86" t="s">
        <v>204</v>
      </c>
      <c r="G59" s="84" t="s">
        <v>57</v>
      </c>
      <c r="H59"/>
    </row>
    <row r="60" spans="1:8">
      <c r="A60" s="98" t="s">
        <v>487</v>
      </c>
      <c r="B60" s="84">
        <v>10</v>
      </c>
      <c r="C60" s="84">
        <v>0.06</v>
      </c>
      <c r="D60" s="84">
        <v>0</v>
      </c>
      <c r="E60" s="84">
        <v>2</v>
      </c>
      <c r="F60" s="84" t="s">
        <v>57</v>
      </c>
      <c r="G60" s="84" t="s">
        <v>204</v>
      </c>
      <c r="H60"/>
    </row>
    <row r="61" spans="1:8">
      <c r="A61" s="98" t="s">
        <v>488</v>
      </c>
      <c r="B61" s="84">
        <v>5</v>
      </c>
      <c r="C61" s="84">
        <v>0.12</v>
      </c>
      <c r="D61" s="84">
        <v>50</v>
      </c>
      <c r="E61" s="84">
        <v>1</v>
      </c>
      <c r="F61" s="84" t="s">
        <v>57</v>
      </c>
      <c r="G61" s="84" t="s">
        <v>57</v>
      </c>
      <c r="H61"/>
    </row>
    <row r="62" spans="1:8">
      <c r="A62" s="98" t="s">
        <v>489</v>
      </c>
      <c r="B62" s="84">
        <v>5</v>
      </c>
      <c r="C62" s="84">
        <v>0.06</v>
      </c>
      <c r="D62" s="84">
        <v>10</v>
      </c>
      <c r="E62" s="84">
        <v>1</v>
      </c>
      <c r="F62" s="86" t="s">
        <v>204</v>
      </c>
      <c r="G62" s="84" t="s">
        <v>57</v>
      </c>
      <c r="H62"/>
    </row>
    <row r="63" spans="1:8">
      <c r="A63" s="98" t="s">
        <v>490</v>
      </c>
      <c r="B63" s="84">
        <v>5</v>
      </c>
      <c r="C63" s="84">
        <v>0.06</v>
      </c>
      <c r="D63" s="84">
        <v>2</v>
      </c>
      <c r="E63" s="84">
        <v>1</v>
      </c>
      <c r="F63" s="84" t="s">
        <v>57</v>
      </c>
      <c r="G63" s="84" t="s">
        <v>204</v>
      </c>
      <c r="H63"/>
    </row>
    <row r="64" spans="1:8">
      <c r="A64" s="98" t="s">
        <v>491</v>
      </c>
      <c r="B64" s="84">
        <v>5</v>
      </c>
      <c r="C64" s="84">
        <v>0.06</v>
      </c>
      <c r="D64" s="84">
        <v>5</v>
      </c>
      <c r="E64" s="84">
        <v>1</v>
      </c>
      <c r="F64" s="86" t="s">
        <v>204</v>
      </c>
      <c r="G64" s="84" t="s">
        <v>57</v>
      </c>
      <c r="H64"/>
    </row>
    <row r="65" spans="1:8">
      <c r="A65" s="98" t="s">
        <v>492</v>
      </c>
      <c r="B65" s="84">
        <v>5</v>
      </c>
      <c r="C65" s="84">
        <v>0.06</v>
      </c>
      <c r="D65" s="84">
        <v>30</v>
      </c>
      <c r="E65" s="84">
        <v>1</v>
      </c>
      <c r="F65" s="86" t="s">
        <v>204</v>
      </c>
      <c r="G65" s="84" t="s">
        <v>57</v>
      </c>
      <c r="H65"/>
    </row>
    <row r="66" spans="1:8">
      <c r="A66" s="98" t="s">
        <v>493</v>
      </c>
      <c r="B66" s="84">
        <v>5</v>
      </c>
      <c r="C66" s="84">
        <v>0.06</v>
      </c>
      <c r="D66" s="84">
        <v>60</v>
      </c>
      <c r="E66" s="84">
        <v>1</v>
      </c>
      <c r="F66" s="86" t="s">
        <v>204</v>
      </c>
      <c r="G66" s="84" t="s">
        <v>57</v>
      </c>
      <c r="H66"/>
    </row>
    <row r="67" spans="1:8">
      <c r="A67" s="98" t="s">
        <v>494</v>
      </c>
      <c r="B67" s="84">
        <v>5</v>
      </c>
      <c r="C67" s="84">
        <v>0.06</v>
      </c>
      <c r="D67" s="84">
        <v>150</v>
      </c>
      <c r="E67" s="84">
        <v>1</v>
      </c>
      <c r="F67" s="86" t="s">
        <v>204</v>
      </c>
      <c r="G67" s="84" t="s">
        <v>57</v>
      </c>
      <c r="H67"/>
    </row>
    <row r="68" spans="1:8">
      <c r="A68" s="98" t="s">
        <v>495</v>
      </c>
      <c r="B68" s="84">
        <v>5</v>
      </c>
      <c r="C68" s="84">
        <v>0.06</v>
      </c>
      <c r="D68" s="84">
        <v>70</v>
      </c>
      <c r="E68" s="84">
        <v>1</v>
      </c>
      <c r="F68" s="86" t="s">
        <v>204</v>
      </c>
      <c r="G68" s="84" t="s">
        <v>57</v>
      </c>
      <c r="H68"/>
    </row>
    <row r="69" spans="1:8">
      <c r="A69" s="98" t="s">
        <v>496</v>
      </c>
      <c r="B69" s="84">
        <v>5</v>
      </c>
      <c r="C69" s="84">
        <v>0.06</v>
      </c>
      <c r="D69" s="84">
        <v>50</v>
      </c>
      <c r="E69" s="84">
        <v>1</v>
      </c>
      <c r="F69" s="86" t="s">
        <v>204</v>
      </c>
      <c r="G69" s="84" t="s">
        <v>57</v>
      </c>
      <c r="H69"/>
    </row>
    <row r="70" spans="1:8">
      <c r="A70" s="98" t="s">
        <v>497</v>
      </c>
      <c r="B70" s="84">
        <v>5</v>
      </c>
      <c r="C70" s="84">
        <v>0.12</v>
      </c>
      <c r="D70" s="84">
        <v>10</v>
      </c>
      <c r="E70" s="84">
        <v>1</v>
      </c>
      <c r="F70" s="84" t="s">
        <v>57</v>
      </c>
      <c r="G70" s="84" t="s">
        <v>57</v>
      </c>
      <c r="H70"/>
    </row>
    <row r="71" spans="1:8">
      <c r="A71" s="98" t="s">
        <v>498</v>
      </c>
      <c r="B71" s="84">
        <v>5</v>
      </c>
      <c r="C71" s="84">
        <v>0.06</v>
      </c>
      <c r="D71" s="84">
        <v>150</v>
      </c>
      <c r="E71" s="84">
        <v>1</v>
      </c>
      <c r="F71" s="86" t="s">
        <v>204</v>
      </c>
      <c r="G71" s="84" t="s">
        <v>57</v>
      </c>
      <c r="H71"/>
    </row>
    <row r="72" spans="1:8">
      <c r="A72" s="98" t="s">
        <v>499</v>
      </c>
      <c r="B72" s="84">
        <v>7.5</v>
      </c>
      <c r="C72" s="84">
        <v>0.12</v>
      </c>
      <c r="D72" s="84">
        <v>40</v>
      </c>
      <c r="E72" s="84">
        <v>1</v>
      </c>
      <c r="F72" s="84" t="s">
        <v>57</v>
      </c>
      <c r="G72" s="84" t="s">
        <v>57</v>
      </c>
      <c r="H72"/>
    </row>
    <row r="73" spans="1:8">
      <c r="A73" s="98" t="s">
        <v>500</v>
      </c>
      <c r="B73" s="84">
        <v>7.5</v>
      </c>
      <c r="C73" s="84">
        <v>0.06</v>
      </c>
      <c r="D73" s="84">
        <v>40</v>
      </c>
      <c r="E73" s="84">
        <v>1</v>
      </c>
      <c r="F73" s="86" t="s">
        <v>204</v>
      </c>
      <c r="G73" s="84" t="s">
        <v>57</v>
      </c>
      <c r="H73"/>
    </row>
    <row r="74" spans="1:8">
      <c r="A74" s="98" t="s">
        <v>501</v>
      </c>
      <c r="B74" s="84">
        <v>5</v>
      </c>
      <c r="C74" s="84">
        <v>0.06</v>
      </c>
      <c r="D74" s="84">
        <v>120</v>
      </c>
      <c r="E74" s="84">
        <v>1</v>
      </c>
      <c r="F74" s="86" t="s">
        <v>204</v>
      </c>
      <c r="G74" s="84" t="s">
        <v>57</v>
      </c>
      <c r="H74"/>
    </row>
    <row r="75" spans="1:8">
      <c r="A75" s="98" t="s">
        <v>502</v>
      </c>
      <c r="B75" s="84">
        <v>0</v>
      </c>
      <c r="C75" s="84">
        <v>0.06</v>
      </c>
      <c r="D75" s="84">
        <v>0</v>
      </c>
      <c r="E75" s="84">
        <v>1</v>
      </c>
      <c r="F75" s="86" t="s">
        <v>204</v>
      </c>
      <c r="G75" s="84" t="s">
        <v>204</v>
      </c>
      <c r="H75"/>
    </row>
    <row r="76" spans="1:8">
      <c r="A76" s="98" t="s">
        <v>503</v>
      </c>
      <c r="B76" s="84">
        <v>7.5</v>
      </c>
      <c r="C76" s="84">
        <v>0.06</v>
      </c>
      <c r="D76" s="84">
        <v>25</v>
      </c>
      <c r="E76" s="84">
        <v>2</v>
      </c>
      <c r="F76" s="86" t="s">
        <v>204</v>
      </c>
      <c r="G76" s="84" t="s">
        <v>57</v>
      </c>
      <c r="H76"/>
    </row>
    <row r="77" spans="1:8">
      <c r="A77" s="98" t="s">
        <v>504</v>
      </c>
      <c r="B77" s="84">
        <v>20</v>
      </c>
      <c r="C77" s="84">
        <v>0.12</v>
      </c>
      <c r="D77" s="84">
        <v>25</v>
      </c>
      <c r="E77" s="84">
        <v>2</v>
      </c>
      <c r="F77" s="84" t="s">
        <v>57</v>
      </c>
      <c r="G77" s="84" t="s">
        <v>57</v>
      </c>
      <c r="H77"/>
    </row>
    <row r="78" spans="1:8">
      <c r="A78" s="98" t="s">
        <v>505</v>
      </c>
      <c r="B78" s="84">
        <v>7.5</v>
      </c>
      <c r="C78" s="84">
        <v>0.12</v>
      </c>
      <c r="D78" s="84">
        <v>20</v>
      </c>
      <c r="E78" s="84">
        <v>2</v>
      </c>
      <c r="F78" s="84" t="s">
        <v>57</v>
      </c>
      <c r="G78" s="84" t="s">
        <v>57</v>
      </c>
      <c r="H78"/>
    </row>
    <row r="79" spans="1:8">
      <c r="A79" s="98" t="s">
        <v>506</v>
      </c>
      <c r="B79" s="84">
        <v>7.5</v>
      </c>
      <c r="C79" s="84">
        <v>0.06</v>
      </c>
      <c r="D79" s="84">
        <v>40</v>
      </c>
      <c r="E79" s="84">
        <v>1</v>
      </c>
      <c r="F79" s="86" t="s">
        <v>204</v>
      </c>
      <c r="G79" s="84" t="s">
        <v>57</v>
      </c>
      <c r="H79"/>
    </row>
    <row r="80" spans="1:8">
      <c r="A80" s="98" t="s">
        <v>507</v>
      </c>
      <c r="B80" s="84">
        <v>7.5</v>
      </c>
      <c r="C80" s="84">
        <v>0.18</v>
      </c>
      <c r="D80" s="84">
        <v>10</v>
      </c>
      <c r="E80" s="84">
        <v>2</v>
      </c>
      <c r="F80" s="84" t="s">
        <v>57</v>
      </c>
      <c r="G80" s="84" t="s">
        <v>57</v>
      </c>
      <c r="H80"/>
    </row>
    <row r="81" spans="1:8">
      <c r="A81" s="98" t="s">
        <v>508</v>
      </c>
      <c r="B81" s="84">
        <v>7.5</v>
      </c>
      <c r="C81" s="84">
        <v>0.12</v>
      </c>
      <c r="D81" s="84">
        <v>15</v>
      </c>
      <c r="E81" s="84">
        <v>2</v>
      </c>
      <c r="F81" s="84" t="s">
        <v>57</v>
      </c>
      <c r="G81" s="84" t="s">
        <v>57</v>
      </c>
      <c r="H81"/>
    </row>
    <row r="82" spans="1:8">
      <c r="A82" s="98" t="s">
        <v>509</v>
      </c>
      <c r="B82" s="84">
        <v>7.5</v>
      </c>
      <c r="C82" s="84">
        <v>0.06</v>
      </c>
      <c r="D82" s="84">
        <v>8</v>
      </c>
      <c r="E82" s="84">
        <v>1</v>
      </c>
      <c r="F82" s="86" t="s">
        <v>204</v>
      </c>
      <c r="G82" s="84" t="s">
        <v>57</v>
      </c>
      <c r="H82"/>
    </row>
    <row r="83" spans="1:8">
      <c r="A83" s="98" t="s">
        <v>510</v>
      </c>
      <c r="B83" s="84">
        <v>10</v>
      </c>
      <c r="C83" s="84">
        <v>0.12</v>
      </c>
      <c r="D83" s="84">
        <v>40</v>
      </c>
      <c r="E83" s="84">
        <v>1</v>
      </c>
      <c r="F83" s="84" t="s">
        <v>57</v>
      </c>
      <c r="G83" s="84" t="s">
        <v>57</v>
      </c>
      <c r="H83"/>
    </row>
    <row r="84" spans="1:8">
      <c r="A84" s="98" t="s">
        <v>511</v>
      </c>
      <c r="B84" s="84">
        <v>20</v>
      </c>
      <c r="C84" s="84">
        <v>0.06</v>
      </c>
      <c r="D84" s="84">
        <v>100</v>
      </c>
      <c r="E84" s="84">
        <v>2</v>
      </c>
      <c r="F84" s="86" t="s">
        <v>204</v>
      </c>
      <c r="G84" s="84" t="s">
        <v>57</v>
      </c>
      <c r="H84"/>
    </row>
    <row r="85" spans="1:8">
      <c r="A85" s="98" t="s">
        <v>512</v>
      </c>
      <c r="B85" s="84">
        <v>7.5</v>
      </c>
      <c r="C85" s="84">
        <v>0.18</v>
      </c>
      <c r="D85" s="84">
        <v>120</v>
      </c>
      <c r="E85" s="84">
        <v>1</v>
      </c>
      <c r="F85" s="84" t="s">
        <v>57</v>
      </c>
      <c r="G85" s="84" t="s">
        <v>57</v>
      </c>
      <c r="H85"/>
    </row>
    <row r="86" spans="1:8">
      <c r="A86" s="98" t="s">
        <v>513</v>
      </c>
      <c r="B86" s="84">
        <v>7.5</v>
      </c>
      <c r="C86" s="84">
        <v>0.18</v>
      </c>
      <c r="D86" s="84">
        <v>20</v>
      </c>
      <c r="E86" s="84">
        <v>1</v>
      </c>
      <c r="F86" s="84" t="s">
        <v>57</v>
      </c>
      <c r="G86" s="84" t="s">
        <v>57</v>
      </c>
      <c r="H86"/>
    </row>
    <row r="87" spans="1:8">
      <c r="A87" s="98" t="s">
        <v>514</v>
      </c>
      <c r="B87" s="84">
        <v>20</v>
      </c>
      <c r="C87" s="84">
        <v>0.18</v>
      </c>
      <c r="D87" s="84">
        <v>7</v>
      </c>
      <c r="E87" s="84">
        <v>2</v>
      </c>
      <c r="F87" s="84" t="s">
        <v>57</v>
      </c>
      <c r="G87" s="84" t="s">
        <v>57</v>
      </c>
      <c r="H87"/>
    </row>
    <row r="88" spans="1:8">
      <c r="A88" s="98" t="s">
        <v>515</v>
      </c>
      <c r="B88" s="84">
        <v>20</v>
      </c>
      <c r="C88" s="84">
        <v>0.06</v>
      </c>
      <c r="D88" s="84">
        <v>40</v>
      </c>
      <c r="E88" s="84">
        <v>2</v>
      </c>
      <c r="F88" s="84" t="s">
        <v>57</v>
      </c>
      <c r="G88" s="84" t="s">
        <v>57</v>
      </c>
      <c r="H88"/>
    </row>
    <row r="89" spans="1:8">
      <c r="A89" s="98" t="s">
        <v>516</v>
      </c>
      <c r="B89" s="84">
        <v>20</v>
      </c>
      <c r="C89" s="84">
        <v>0.06</v>
      </c>
      <c r="D89" s="84">
        <v>10</v>
      </c>
      <c r="E89" s="84">
        <v>2</v>
      </c>
      <c r="F89" s="84" t="s">
        <v>57</v>
      </c>
      <c r="G89" s="84" t="s">
        <v>57</v>
      </c>
      <c r="H89"/>
    </row>
    <row r="90" spans="1:8">
      <c r="A90" s="98" t="s">
        <v>517</v>
      </c>
      <c r="B90" s="84">
        <v>7.5</v>
      </c>
      <c r="C90" s="84">
        <v>0.06</v>
      </c>
      <c r="D90" s="84">
        <v>150</v>
      </c>
      <c r="E90" s="84">
        <v>1</v>
      </c>
      <c r="F90" s="86" t="s">
        <v>204</v>
      </c>
      <c r="G90" s="84" t="s">
        <v>57</v>
      </c>
      <c r="H90"/>
    </row>
    <row r="91" spans="1:8">
      <c r="A91" s="98" t="s">
        <v>518</v>
      </c>
      <c r="B91" s="84">
        <v>10</v>
      </c>
      <c r="C91" s="84">
        <v>0.06</v>
      </c>
      <c r="D91" s="84">
        <v>70</v>
      </c>
      <c r="E91" s="84">
        <v>1</v>
      </c>
      <c r="F91" s="86" t="s">
        <v>204</v>
      </c>
      <c r="G91" s="84" t="s">
        <v>57</v>
      </c>
      <c r="H91"/>
    </row>
    <row r="92" spans="1:8">
      <c r="A92" s="84" t="s">
        <v>56</v>
      </c>
      <c r="B92" s="84" t="s">
        <v>519</v>
      </c>
      <c r="C92" s="84" t="s">
        <v>519</v>
      </c>
      <c r="D92" s="84" t="s">
        <v>519</v>
      </c>
      <c r="E92" s="84" t="s">
        <v>519</v>
      </c>
      <c r="F92" s="84" t="s">
        <v>519</v>
      </c>
      <c r="G92" s="84" t="s">
        <v>519</v>
      </c>
      <c r="H92"/>
    </row>
    <row r="93" spans="1:8">
      <c r="A93" s="98" t="s">
        <v>520</v>
      </c>
      <c r="B93" s="84">
        <v>0</v>
      </c>
      <c r="C93" s="84">
        <v>0.48</v>
      </c>
      <c r="D93" s="84">
        <v>0</v>
      </c>
      <c r="E93" s="84">
        <v>2</v>
      </c>
      <c r="F93" s="84" t="s">
        <v>57</v>
      </c>
      <c r="G93" s="84" t="s">
        <v>57</v>
      </c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65" t="s">
        <v>521</v>
      </c>
      <c r="B1" s="179" t="s">
        <v>522</v>
      </c>
      <c r="C1" s="180" t="s">
        <v>523</v>
      </c>
      <c r="D1" s="179" t="s">
        <v>524</v>
      </c>
      <c r="E1" s="179" t="s">
        <v>525</v>
      </c>
      <c r="F1" s="179" t="s">
        <v>526</v>
      </c>
      <c r="G1" s="66" t="s">
        <v>527</v>
      </c>
      <c r="H1" s="181" t="s">
        <v>528</v>
      </c>
      <c r="I1" s="67" t="s">
        <v>529</v>
      </c>
      <c r="J1" s="180" t="s">
        <v>530</v>
      </c>
      <c r="K1" s="14"/>
    </row>
    <row r="2" spans="1:13">
      <c r="A2" s="68" t="s">
        <v>531</v>
      </c>
      <c r="B2" s="69" t="s">
        <v>532</v>
      </c>
      <c r="C2" s="70" t="s">
        <v>533</v>
      </c>
      <c r="D2" s="71">
        <v>10</v>
      </c>
      <c r="E2" s="69" t="s">
        <v>534</v>
      </c>
      <c r="F2" s="69" t="s">
        <v>535</v>
      </c>
      <c r="G2" s="72" t="s">
        <v>533</v>
      </c>
      <c r="H2" s="182" t="s">
        <v>533</v>
      </c>
      <c r="I2" s="182" t="s">
        <v>533</v>
      </c>
      <c r="J2" s="73" t="s">
        <v>536</v>
      </c>
      <c r="K2" s="14"/>
      <c r="M2" s="14"/>
    </row>
    <row r="3" spans="1:13">
      <c r="A3" s="183" t="s">
        <v>537</v>
      </c>
      <c r="B3" s="184" t="s">
        <v>538</v>
      </c>
      <c r="C3" s="185">
        <v>2</v>
      </c>
      <c r="D3" s="186">
        <v>12</v>
      </c>
      <c r="E3" s="184" t="s">
        <v>534</v>
      </c>
      <c r="F3" s="184" t="s">
        <v>535</v>
      </c>
      <c r="G3" s="187" t="s">
        <v>539</v>
      </c>
      <c r="H3" s="182">
        <v>70</v>
      </c>
      <c r="I3" s="188">
        <v>75</v>
      </c>
      <c r="J3" s="182" t="s">
        <v>536</v>
      </c>
      <c r="K3" s="14"/>
      <c r="M3" s="14"/>
    </row>
    <row r="4" spans="1:13">
      <c r="A4" s="183" t="s">
        <v>540</v>
      </c>
      <c r="B4" s="184" t="s">
        <v>538</v>
      </c>
      <c r="C4" s="185">
        <v>2</v>
      </c>
      <c r="D4" s="186">
        <v>12</v>
      </c>
      <c r="E4" s="184" t="s">
        <v>534</v>
      </c>
      <c r="F4" s="184" t="s">
        <v>535</v>
      </c>
      <c r="G4" s="187" t="s">
        <v>533</v>
      </c>
      <c r="H4" s="182" t="s">
        <v>533</v>
      </c>
      <c r="I4" s="182" t="s">
        <v>533</v>
      </c>
      <c r="J4" s="182"/>
      <c r="K4" s="14"/>
      <c r="M4" s="14"/>
    </row>
    <row r="5" spans="1:13">
      <c r="A5" s="183" t="s">
        <v>541</v>
      </c>
      <c r="B5" s="184" t="s">
        <v>542</v>
      </c>
      <c r="C5" s="185">
        <v>3</v>
      </c>
      <c r="D5" s="186">
        <v>15</v>
      </c>
      <c r="E5" s="184" t="s">
        <v>533</v>
      </c>
      <c r="F5" s="184" t="s">
        <v>533</v>
      </c>
      <c r="G5" s="187" t="s">
        <v>539</v>
      </c>
      <c r="H5" s="182">
        <v>70</v>
      </c>
      <c r="I5" s="188">
        <v>75</v>
      </c>
      <c r="J5" s="74"/>
      <c r="K5" s="14"/>
      <c r="M5" s="14"/>
    </row>
    <row r="6" spans="1:13">
      <c r="A6" s="183" t="s">
        <v>79</v>
      </c>
      <c r="B6" s="184" t="s">
        <v>538</v>
      </c>
      <c r="C6" s="185" t="s">
        <v>533</v>
      </c>
      <c r="D6" s="186">
        <v>10</v>
      </c>
      <c r="E6" s="184" t="s">
        <v>534</v>
      </c>
      <c r="F6" s="184" t="s">
        <v>535</v>
      </c>
      <c r="G6" s="187" t="s">
        <v>533</v>
      </c>
      <c r="H6" s="182">
        <v>70</v>
      </c>
      <c r="I6" s="188">
        <v>75</v>
      </c>
      <c r="J6" s="74"/>
      <c r="K6" s="14"/>
      <c r="M6" s="14"/>
    </row>
    <row r="7" spans="1:13">
      <c r="A7" s="183" t="s">
        <v>543</v>
      </c>
      <c r="B7" s="184" t="s">
        <v>538</v>
      </c>
      <c r="C7" s="185" t="s">
        <v>533</v>
      </c>
      <c r="D7" s="186">
        <v>10</v>
      </c>
      <c r="E7" s="184" t="s">
        <v>534</v>
      </c>
      <c r="F7" s="184" t="s">
        <v>535</v>
      </c>
      <c r="G7" s="187" t="s">
        <v>533</v>
      </c>
      <c r="H7" s="182">
        <v>72</v>
      </c>
      <c r="I7" s="188">
        <v>78</v>
      </c>
      <c r="J7" s="189"/>
      <c r="K7" s="14"/>
      <c r="M7" s="14"/>
    </row>
    <row r="8" spans="1:13">
      <c r="A8" s="183" t="s">
        <v>544</v>
      </c>
      <c r="B8" s="184" t="s">
        <v>538</v>
      </c>
      <c r="C8" s="185" t="s">
        <v>533</v>
      </c>
      <c r="D8" s="186">
        <v>10</v>
      </c>
      <c r="E8" s="184" t="s">
        <v>534</v>
      </c>
      <c r="F8" s="184" t="s">
        <v>535</v>
      </c>
      <c r="G8" s="187" t="s">
        <v>533</v>
      </c>
      <c r="H8" s="182" t="s">
        <v>533</v>
      </c>
      <c r="I8" s="182" t="s">
        <v>533</v>
      </c>
      <c r="J8" s="74"/>
      <c r="K8" s="14"/>
      <c r="M8" s="14"/>
    </row>
    <row r="9" spans="1:13">
      <c r="A9" s="183" t="s">
        <v>82</v>
      </c>
      <c r="B9" s="184" t="s">
        <v>533</v>
      </c>
      <c r="C9" s="185">
        <v>2</v>
      </c>
      <c r="D9" s="186">
        <v>6</v>
      </c>
      <c r="E9" s="184" t="s">
        <v>533</v>
      </c>
      <c r="F9" s="184" t="s">
        <v>533</v>
      </c>
      <c r="G9" s="187" t="s">
        <v>533</v>
      </c>
      <c r="H9" s="182" t="s">
        <v>533</v>
      </c>
      <c r="I9" s="182" t="s">
        <v>533</v>
      </c>
      <c r="J9" s="183"/>
      <c r="K9" s="14"/>
      <c r="M9" s="14"/>
    </row>
    <row r="10" spans="1:13">
      <c r="A10" s="183" t="s">
        <v>545</v>
      </c>
      <c r="B10" s="184" t="s">
        <v>533</v>
      </c>
      <c r="C10" s="185">
        <v>2</v>
      </c>
      <c r="D10" s="186">
        <v>6</v>
      </c>
      <c r="E10" s="184" t="s">
        <v>533</v>
      </c>
      <c r="F10" s="184" t="s">
        <v>533</v>
      </c>
      <c r="G10" s="187" t="s">
        <v>533</v>
      </c>
      <c r="H10" s="182" t="s">
        <v>533</v>
      </c>
      <c r="I10" s="182" t="s">
        <v>533</v>
      </c>
      <c r="J10" s="183"/>
      <c r="M10" s="14"/>
    </row>
    <row r="11" spans="1:13">
      <c r="A11" s="183" t="s">
        <v>546</v>
      </c>
      <c r="B11" s="184" t="s">
        <v>538</v>
      </c>
      <c r="C11" s="185">
        <v>2</v>
      </c>
      <c r="D11" s="186">
        <v>12</v>
      </c>
      <c r="E11" s="184" t="s">
        <v>534</v>
      </c>
      <c r="F11" s="184" t="s">
        <v>535</v>
      </c>
      <c r="G11" s="187" t="s">
        <v>533</v>
      </c>
      <c r="H11" s="182">
        <v>68</v>
      </c>
      <c r="I11" s="188">
        <v>73</v>
      </c>
      <c r="J11" s="182" t="s">
        <v>547</v>
      </c>
      <c r="M11" s="14"/>
    </row>
    <row r="12" spans="1:13">
      <c r="A12" s="183" t="s">
        <v>548</v>
      </c>
      <c r="B12" s="184" t="s">
        <v>542</v>
      </c>
      <c r="C12" s="185">
        <v>3</v>
      </c>
      <c r="D12" s="186">
        <v>15</v>
      </c>
      <c r="E12" s="184" t="s">
        <v>533</v>
      </c>
      <c r="F12" s="184" t="s">
        <v>535</v>
      </c>
      <c r="G12" s="187" t="s">
        <v>539</v>
      </c>
      <c r="H12" s="182">
        <v>70</v>
      </c>
      <c r="I12" s="188">
        <v>75</v>
      </c>
      <c r="J12" s="183"/>
      <c r="M12" s="14"/>
    </row>
    <row r="13" spans="1:13">
      <c r="A13" s="183" t="s">
        <v>549</v>
      </c>
      <c r="B13" s="184" t="s">
        <v>542</v>
      </c>
      <c r="C13" s="185" t="s">
        <v>533</v>
      </c>
      <c r="D13" s="186">
        <v>2</v>
      </c>
      <c r="E13" s="184" t="s">
        <v>533</v>
      </c>
      <c r="F13" s="184" t="s">
        <v>533</v>
      </c>
      <c r="G13" s="187" t="s">
        <v>533</v>
      </c>
      <c r="H13" s="182">
        <v>72</v>
      </c>
      <c r="I13" s="188">
        <v>78</v>
      </c>
      <c r="J13" s="183"/>
      <c r="M13" s="14"/>
    </row>
    <row r="14" spans="1:13">
      <c r="A14" s="183" t="s">
        <v>550</v>
      </c>
      <c r="B14" s="184" t="s">
        <v>542</v>
      </c>
      <c r="C14" s="185">
        <v>2</v>
      </c>
      <c r="D14" s="186">
        <v>4</v>
      </c>
      <c r="E14" s="184" t="s">
        <v>533</v>
      </c>
      <c r="F14" s="184" t="s">
        <v>535</v>
      </c>
      <c r="G14" s="187" t="s">
        <v>539</v>
      </c>
      <c r="H14" s="182">
        <v>72</v>
      </c>
      <c r="I14" s="188">
        <v>78</v>
      </c>
      <c r="J14" s="183"/>
      <c r="M14" s="14"/>
    </row>
    <row r="15" spans="1:13">
      <c r="A15" s="183" t="s">
        <v>551</v>
      </c>
      <c r="B15" s="184" t="s">
        <v>542</v>
      </c>
      <c r="C15" s="185">
        <v>2</v>
      </c>
      <c r="D15" s="186">
        <v>4</v>
      </c>
      <c r="E15" s="184" t="s">
        <v>533</v>
      </c>
      <c r="F15" s="184" t="s">
        <v>533</v>
      </c>
      <c r="G15" s="187" t="s">
        <v>533</v>
      </c>
      <c r="H15" s="182" t="s">
        <v>533</v>
      </c>
      <c r="I15" s="182" t="s">
        <v>533</v>
      </c>
      <c r="J15" s="183"/>
      <c r="M15" s="14"/>
    </row>
    <row r="16" spans="1:13">
      <c r="A16" s="183" t="s">
        <v>552</v>
      </c>
      <c r="B16" s="184" t="s">
        <v>533</v>
      </c>
      <c r="C16" s="185">
        <v>2</v>
      </c>
      <c r="D16" s="186">
        <v>6</v>
      </c>
      <c r="E16" s="184" t="s">
        <v>533</v>
      </c>
      <c r="F16" s="184" t="s">
        <v>535</v>
      </c>
      <c r="G16" s="187" t="s">
        <v>553</v>
      </c>
      <c r="H16" s="182">
        <v>70</v>
      </c>
      <c r="I16" s="188">
        <v>75</v>
      </c>
      <c r="J16" s="183"/>
      <c r="M16" s="14"/>
    </row>
    <row r="17" spans="1:13">
      <c r="A17" s="183" t="s">
        <v>554</v>
      </c>
      <c r="B17" s="184" t="s">
        <v>533</v>
      </c>
      <c r="C17" s="185">
        <v>2</v>
      </c>
      <c r="D17" s="186">
        <v>6</v>
      </c>
      <c r="E17" s="184" t="s">
        <v>533</v>
      </c>
      <c r="F17" s="184" t="s">
        <v>533</v>
      </c>
      <c r="G17" s="187" t="s">
        <v>539</v>
      </c>
      <c r="H17" s="182" t="s">
        <v>533</v>
      </c>
      <c r="I17" s="182" t="s">
        <v>533</v>
      </c>
      <c r="J17" s="182"/>
      <c r="M17" s="14"/>
    </row>
    <row r="18" spans="1:13">
      <c r="A18" s="183" t="s">
        <v>555</v>
      </c>
      <c r="B18" s="184" t="s">
        <v>538</v>
      </c>
      <c r="C18" s="185">
        <v>2</v>
      </c>
      <c r="D18" s="186">
        <v>10</v>
      </c>
      <c r="E18" s="184" t="s">
        <v>534</v>
      </c>
      <c r="F18" s="184" t="s">
        <v>535</v>
      </c>
      <c r="G18" s="187" t="s">
        <v>533</v>
      </c>
      <c r="H18" s="182" t="s">
        <v>533</v>
      </c>
      <c r="I18" s="182" t="s">
        <v>533</v>
      </c>
      <c r="J18" s="182" t="s">
        <v>556</v>
      </c>
      <c r="M18" s="14"/>
    </row>
    <row r="19" spans="1:13">
      <c r="A19" s="183" t="s">
        <v>557</v>
      </c>
      <c r="B19" s="184" t="s">
        <v>542</v>
      </c>
      <c r="C19" s="185">
        <v>4</v>
      </c>
      <c r="D19" s="186">
        <v>20</v>
      </c>
      <c r="E19" s="184" t="s">
        <v>533</v>
      </c>
      <c r="F19" s="184" t="s">
        <v>535</v>
      </c>
      <c r="G19" s="187" t="s">
        <v>558</v>
      </c>
      <c r="H19" s="182">
        <v>68</v>
      </c>
      <c r="I19" s="188">
        <v>75</v>
      </c>
      <c r="J19" s="182" t="s">
        <v>559</v>
      </c>
      <c r="M19" s="14"/>
    </row>
    <row r="20" spans="1:13">
      <c r="A20" s="183" t="s">
        <v>560</v>
      </c>
      <c r="B20" s="184" t="s">
        <v>533</v>
      </c>
      <c r="C20" s="185">
        <v>2</v>
      </c>
      <c r="D20" s="186">
        <v>6</v>
      </c>
      <c r="E20" s="184" t="s">
        <v>533</v>
      </c>
      <c r="F20" s="184" t="s">
        <v>533</v>
      </c>
      <c r="G20" s="187" t="s">
        <v>533</v>
      </c>
      <c r="H20" s="182">
        <v>72</v>
      </c>
      <c r="I20" s="188">
        <v>78</v>
      </c>
      <c r="J20" s="182"/>
      <c r="M20" s="14"/>
    </row>
    <row r="21" spans="1:13">
      <c r="A21" s="183" t="s">
        <v>561</v>
      </c>
      <c r="B21" s="184" t="s">
        <v>538</v>
      </c>
      <c r="C21" s="185" t="s">
        <v>533</v>
      </c>
      <c r="D21" s="186">
        <v>10</v>
      </c>
      <c r="E21" s="184" t="s">
        <v>534</v>
      </c>
      <c r="F21" s="184" t="s">
        <v>535</v>
      </c>
      <c r="G21" s="187" t="s">
        <v>533</v>
      </c>
      <c r="H21" s="182" t="s">
        <v>533</v>
      </c>
      <c r="I21" s="182" t="s">
        <v>533</v>
      </c>
      <c r="J21" s="182"/>
      <c r="M21" s="14"/>
    </row>
    <row r="22" spans="1:13">
      <c r="A22" s="183" t="s">
        <v>562</v>
      </c>
      <c r="B22" s="184" t="s">
        <v>533</v>
      </c>
      <c r="C22" s="185" t="s">
        <v>533</v>
      </c>
      <c r="D22" s="186">
        <v>2</v>
      </c>
      <c r="E22" s="184" t="s">
        <v>533</v>
      </c>
      <c r="F22" s="184" t="s">
        <v>535</v>
      </c>
      <c r="G22" s="187" t="s">
        <v>533</v>
      </c>
      <c r="H22" s="182">
        <v>72</v>
      </c>
      <c r="I22" s="188">
        <v>78</v>
      </c>
      <c r="J22" s="182"/>
      <c r="M22" s="14"/>
    </row>
    <row r="23" spans="1:13">
      <c r="A23" s="183" t="s">
        <v>563</v>
      </c>
      <c r="B23" s="184" t="s">
        <v>564</v>
      </c>
      <c r="C23" s="185">
        <v>3</v>
      </c>
      <c r="D23" s="186">
        <v>15</v>
      </c>
      <c r="E23" s="184" t="s">
        <v>533</v>
      </c>
      <c r="F23" s="184" t="s">
        <v>533</v>
      </c>
      <c r="G23" s="187" t="s">
        <v>533</v>
      </c>
      <c r="H23" s="182" t="s">
        <v>533</v>
      </c>
      <c r="I23" s="182" t="s">
        <v>533</v>
      </c>
      <c r="J23" s="182"/>
      <c r="M23" s="14"/>
    </row>
    <row r="24" spans="1:13">
      <c r="A24" s="183" t="s">
        <v>565</v>
      </c>
      <c r="B24" s="184" t="s">
        <v>533</v>
      </c>
      <c r="C24" s="185">
        <v>2</v>
      </c>
      <c r="D24" s="186">
        <v>6</v>
      </c>
      <c r="E24" s="184" t="s">
        <v>533</v>
      </c>
      <c r="F24" s="184" t="s">
        <v>533</v>
      </c>
      <c r="G24" s="187" t="s">
        <v>539</v>
      </c>
      <c r="H24" s="182">
        <v>70</v>
      </c>
      <c r="I24" s="188">
        <v>75</v>
      </c>
      <c r="J24" s="182" t="s">
        <v>564</v>
      </c>
      <c r="M24" s="14"/>
    </row>
    <row r="25" spans="1:13">
      <c r="A25" s="183" t="s">
        <v>566</v>
      </c>
      <c r="B25" s="184" t="s">
        <v>538</v>
      </c>
      <c r="C25" s="185">
        <v>2</v>
      </c>
      <c r="D25" s="186">
        <v>10</v>
      </c>
      <c r="E25" s="184" t="s">
        <v>534</v>
      </c>
      <c r="F25" s="184" t="s">
        <v>535</v>
      </c>
      <c r="G25" s="187" t="s">
        <v>533</v>
      </c>
      <c r="H25" s="182" t="s">
        <v>533</v>
      </c>
      <c r="I25" s="182" t="s">
        <v>533</v>
      </c>
      <c r="J25" s="182"/>
      <c r="M25" s="14"/>
    </row>
    <row r="26" spans="1:13">
      <c r="A26" s="183" t="s">
        <v>567</v>
      </c>
      <c r="B26" s="184" t="s">
        <v>538</v>
      </c>
      <c r="C26" s="185">
        <v>2</v>
      </c>
      <c r="D26" s="186">
        <v>12</v>
      </c>
      <c r="E26" s="184" t="s">
        <v>534</v>
      </c>
      <c r="F26" s="184" t="s">
        <v>535</v>
      </c>
      <c r="G26" s="187" t="s">
        <v>533</v>
      </c>
      <c r="H26" s="182" t="s">
        <v>533</v>
      </c>
      <c r="I26" s="182" t="s">
        <v>533</v>
      </c>
      <c r="J26" s="182"/>
      <c r="M26" s="14"/>
    </row>
    <row r="27" spans="1:13">
      <c r="A27" s="183" t="s">
        <v>568</v>
      </c>
      <c r="B27" s="184" t="s">
        <v>538</v>
      </c>
      <c r="C27" s="185">
        <v>2</v>
      </c>
      <c r="D27" s="186">
        <v>12</v>
      </c>
      <c r="E27" s="184" t="s">
        <v>534</v>
      </c>
      <c r="F27" s="184" t="s">
        <v>533</v>
      </c>
      <c r="G27" s="187" t="s">
        <v>569</v>
      </c>
      <c r="H27" s="182">
        <v>70</v>
      </c>
      <c r="I27" s="188">
        <v>75</v>
      </c>
      <c r="J27" s="182" t="s">
        <v>570</v>
      </c>
      <c r="M27" s="14"/>
    </row>
    <row r="28" spans="1:13">
      <c r="A28" s="183" t="s">
        <v>571</v>
      </c>
      <c r="B28" s="184" t="s">
        <v>533</v>
      </c>
      <c r="C28" s="185">
        <v>2</v>
      </c>
      <c r="D28" s="186">
        <v>6</v>
      </c>
      <c r="E28" s="184" t="s">
        <v>533</v>
      </c>
      <c r="F28" s="184" t="s">
        <v>533</v>
      </c>
      <c r="G28" s="187" t="s">
        <v>539</v>
      </c>
      <c r="H28" s="182">
        <v>70</v>
      </c>
      <c r="I28" s="188">
        <v>75</v>
      </c>
      <c r="J28" s="182"/>
      <c r="M28" s="14"/>
    </row>
    <row r="29" spans="1:13">
      <c r="A29" s="183" t="s">
        <v>89</v>
      </c>
      <c r="B29" s="184" t="s">
        <v>533</v>
      </c>
      <c r="C29" s="185">
        <v>2</v>
      </c>
      <c r="D29" s="186">
        <v>6</v>
      </c>
      <c r="E29" s="184" t="s">
        <v>533</v>
      </c>
      <c r="F29" s="184" t="s">
        <v>533</v>
      </c>
      <c r="G29" s="187" t="s">
        <v>533</v>
      </c>
      <c r="H29" s="182" t="s">
        <v>533</v>
      </c>
      <c r="I29" s="182" t="s">
        <v>533</v>
      </c>
      <c r="J29" s="182"/>
      <c r="M29" s="14"/>
    </row>
    <row r="30" spans="1:13">
      <c r="A30" s="183" t="s">
        <v>572</v>
      </c>
      <c r="B30" s="184" t="s">
        <v>538</v>
      </c>
      <c r="C30" s="185">
        <v>2</v>
      </c>
      <c r="D30" s="186">
        <v>6</v>
      </c>
      <c r="E30" s="184" t="s">
        <v>534</v>
      </c>
      <c r="F30" s="184" t="s">
        <v>535</v>
      </c>
      <c r="G30" s="187" t="s">
        <v>533</v>
      </c>
      <c r="H30" s="182" t="s">
        <v>533</v>
      </c>
      <c r="I30" s="182" t="s">
        <v>533</v>
      </c>
      <c r="J30" s="182"/>
      <c r="M30" s="14"/>
    </row>
    <row r="31" spans="1:13">
      <c r="A31" s="183" t="s">
        <v>573</v>
      </c>
      <c r="B31" s="184" t="s">
        <v>533</v>
      </c>
      <c r="C31" s="185">
        <v>2</v>
      </c>
      <c r="D31" s="186">
        <v>10</v>
      </c>
      <c r="E31" s="184" t="s">
        <v>533</v>
      </c>
      <c r="F31" s="184" t="s">
        <v>535</v>
      </c>
      <c r="G31" s="187" t="s">
        <v>533</v>
      </c>
      <c r="H31" s="182">
        <v>72</v>
      </c>
      <c r="I31" s="188">
        <v>78</v>
      </c>
      <c r="J31" s="182" t="s">
        <v>574</v>
      </c>
      <c r="M31" s="14"/>
    </row>
    <row r="32" spans="1:13">
      <c r="A32" s="183" t="s">
        <v>575</v>
      </c>
      <c r="B32" s="184" t="s">
        <v>533</v>
      </c>
      <c r="C32" s="185">
        <v>2</v>
      </c>
      <c r="D32" s="186">
        <v>6</v>
      </c>
      <c r="E32" s="184" t="s">
        <v>533</v>
      </c>
      <c r="F32" s="184" t="s">
        <v>535</v>
      </c>
      <c r="G32" s="187" t="s">
        <v>558</v>
      </c>
      <c r="H32" s="182">
        <v>68</v>
      </c>
      <c r="I32" s="188">
        <v>73</v>
      </c>
      <c r="J32" s="182" t="s">
        <v>576</v>
      </c>
      <c r="M32" s="14"/>
    </row>
    <row r="33" spans="1:13">
      <c r="A33" s="183" t="s">
        <v>577</v>
      </c>
      <c r="B33" s="184" t="s">
        <v>538</v>
      </c>
      <c r="C33" s="185">
        <v>2</v>
      </c>
      <c r="D33" s="186">
        <v>10</v>
      </c>
      <c r="E33" s="184" t="s">
        <v>534</v>
      </c>
      <c r="F33" s="184" t="s">
        <v>535</v>
      </c>
      <c r="G33" s="187" t="s">
        <v>533</v>
      </c>
      <c r="H33" s="182" t="s">
        <v>533</v>
      </c>
      <c r="I33" s="182" t="s">
        <v>533</v>
      </c>
      <c r="J33" s="182"/>
      <c r="M33" s="14"/>
    </row>
    <row r="34" spans="1:13">
      <c r="A34" s="183" t="s">
        <v>578</v>
      </c>
      <c r="B34" s="184" t="s">
        <v>538</v>
      </c>
      <c r="C34" s="185">
        <v>2</v>
      </c>
      <c r="D34" s="186">
        <v>6</v>
      </c>
      <c r="E34" s="184" t="s">
        <v>533</v>
      </c>
      <c r="F34" s="184" t="s">
        <v>533</v>
      </c>
      <c r="G34" s="187" t="s">
        <v>533</v>
      </c>
      <c r="H34" s="182">
        <v>72</v>
      </c>
      <c r="I34" s="188">
        <v>80</v>
      </c>
      <c r="J34" s="182"/>
      <c r="M34" s="14"/>
    </row>
    <row r="35" spans="1:13">
      <c r="A35" s="183" t="s">
        <v>579</v>
      </c>
      <c r="B35" s="184" t="s">
        <v>542</v>
      </c>
      <c r="C35" s="185">
        <v>2</v>
      </c>
      <c r="D35" s="186">
        <v>6</v>
      </c>
      <c r="E35" s="184" t="s">
        <v>533</v>
      </c>
      <c r="F35" s="184" t="s">
        <v>533</v>
      </c>
      <c r="G35" s="187" t="s">
        <v>533</v>
      </c>
      <c r="H35" s="182" t="s">
        <v>533</v>
      </c>
      <c r="I35" s="182" t="s">
        <v>533</v>
      </c>
      <c r="J35" s="182"/>
      <c r="M35" s="14"/>
    </row>
    <row r="36" spans="1:13">
      <c r="A36" s="183" t="s">
        <v>580</v>
      </c>
      <c r="B36" s="184" t="s">
        <v>533</v>
      </c>
      <c r="C36" s="185">
        <v>2</v>
      </c>
      <c r="D36" s="186">
        <v>6</v>
      </c>
      <c r="E36" s="184" t="s">
        <v>533</v>
      </c>
      <c r="F36" s="184" t="s">
        <v>533</v>
      </c>
      <c r="G36" s="187" t="s">
        <v>539</v>
      </c>
      <c r="H36" s="182">
        <v>70</v>
      </c>
      <c r="I36" s="188">
        <v>75</v>
      </c>
      <c r="J36" s="182" t="s">
        <v>581</v>
      </c>
      <c r="M36" s="14"/>
    </row>
    <row r="37" spans="1:13">
      <c r="A37" s="183" t="s">
        <v>582</v>
      </c>
      <c r="B37" s="184" t="s">
        <v>542</v>
      </c>
      <c r="C37" s="185">
        <v>5</v>
      </c>
      <c r="D37" s="186">
        <v>15</v>
      </c>
      <c r="E37" s="184" t="s">
        <v>533</v>
      </c>
      <c r="F37" s="184" t="s">
        <v>533</v>
      </c>
      <c r="G37" s="187" t="s">
        <v>533</v>
      </c>
      <c r="H37" s="182" t="s">
        <v>533</v>
      </c>
      <c r="I37" s="182" t="s">
        <v>533</v>
      </c>
      <c r="J37" s="182"/>
      <c r="M37" s="14"/>
    </row>
    <row r="38" spans="1:13">
      <c r="A38" s="183" t="s">
        <v>583</v>
      </c>
      <c r="B38" s="184" t="s">
        <v>542</v>
      </c>
      <c r="C38" s="185">
        <v>2</v>
      </c>
      <c r="D38" s="186">
        <v>6</v>
      </c>
      <c r="E38" s="184" t="s">
        <v>533</v>
      </c>
      <c r="F38" s="184" t="s">
        <v>533</v>
      </c>
      <c r="G38" s="187" t="s">
        <v>533</v>
      </c>
      <c r="H38" s="182" t="s">
        <v>533</v>
      </c>
      <c r="I38" s="182" t="s">
        <v>533</v>
      </c>
      <c r="J38" s="182"/>
      <c r="M38" s="14"/>
    </row>
    <row r="39" spans="1:13">
      <c r="A39" s="183" t="s">
        <v>584</v>
      </c>
      <c r="B39" s="184" t="s">
        <v>538</v>
      </c>
      <c r="C39" s="185" t="s">
        <v>533</v>
      </c>
      <c r="D39" s="186">
        <v>10</v>
      </c>
      <c r="E39" s="184" t="s">
        <v>534</v>
      </c>
      <c r="F39" s="184" t="s">
        <v>535</v>
      </c>
      <c r="G39" s="187" t="s">
        <v>533</v>
      </c>
      <c r="H39" s="182" t="s">
        <v>533</v>
      </c>
      <c r="I39" s="182" t="s">
        <v>533</v>
      </c>
      <c r="J39" s="182"/>
      <c r="M39" s="14"/>
    </row>
    <row r="40" spans="1:13">
      <c r="A40" s="183" t="s">
        <v>585</v>
      </c>
      <c r="B40" s="184" t="s">
        <v>533</v>
      </c>
      <c r="C40" s="185">
        <v>2</v>
      </c>
      <c r="D40" s="186">
        <v>6</v>
      </c>
      <c r="E40" s="184" t="s">
        <v>533</v>
      </c>
      <c r="F40" s="184" t="s">
        <v>533</v>
      </c>
      <c r="G40" s="187" t="s">
        <v>539</v>
      </c>
      <c r="H40" s="182">
        <v>70</v>
      </c>
      <c r="I40" s="188">
        <v>75</v>
      </c>
      <c r="J40" s="182" t="s">
        <v>581</v>
      </c>
      <c r="M40" s="14"/>
    </row>
    <row r="41" spans="1:13">
      <c r="A41" s="183" t="s">
        <v>586</v>
      </c>
      <c r="B41" s="184" t="s">
        <v>533</v>
      </c>
      <c r="C41" s="185">
        <v>2</v>
      </c>
      <c r="D41" s="186">
        <v>6</v>
      </c>
      <c r="E41" s="184" t="s">
        <v>533</v>
      </c>
      <c r="F41" s="184" t="s">
        <v>533</v>
      </c>
      <c r="G41" s="187" t="s">
        <v>539</v>
      </c>
      <c r="H41" s="182">
        <v>70</v>
      </c>
      <c r="I41" s="188">
        <v>75</v>
      </c>
      <c r="J41" s="182" t="s">
        <v>581</v>
      </c>
      <c r="M41" s="14"/>
    </row>
    <row r="42" spans="1:13">
      <c r="A42" s="183" t="s">
        <v>587</v>
      </c>
      <c r="B42" s="184" t="s">
        <v>538</v>
      </c>
      <c r="C42" s="185">
        <v>2</v>
      </c>
      <c r="D42" s="186">
        <v>6</v>
      </c>
      <c r="E42" s="184" t="s">
        <v>534</v>
      </c>
      <c r="F42" s="184" t="s">
        <v>533</v>
      </c>
      <c r="G42" s="187" t="s">
        <v>533</v>
      </c>
      <c r="H42" s="182">
        <v>70</v>
      </c>
      <c r="I42" s="188">
        <v>75</v>
      </c>
      <c r="J42" s="182" t="s">
        <v>588</v>
      </c>
      <c r="M42" s="14"/>
    </row>
    <row r="43" spans="1:13">
      <c r="A43" s="183" t="s">
        <v>589</v>
      </c>
      <c r="B43" s="184" t="s">
        <v>538</v>
      </c>
      <c r="C43" s="185">
        <v>2</v>
      </c>
      <c r="D43" s="186">
        <v>6</v>
      </c>
      <c r="E43" s="184" t="s">
        <v>534</v>
      </c>
      <c r="F43" s="184" t="s">
        <v>533</v>
      </c>
      <c r="G43" s="187" t="s">
        <v>533</v>
      </c>
      <c r="H43" s="182">
        <v>70</v>
      </c>
      <c r="I43" s="188">
        <v>75</v>
      </c>
      <c r="J43" s="182" t="s">
        <v>588</v>
      </c>
      <c r="M43" s="14"/>
    </row>
    <row r="44" spans="1:13">
      <c r="A44" s="183" t="s">
        <v>590</v>
      </c>
      <c r="B44" s="184" t="s">
        <v>538</v>
      </c>
      <c r="C44" s="185">
        <v>2</v>
      </c>
      <c r="D44" s="186">
        <v>6</v>
      </c>
      <c r="E44" s="184" t="s">
        <v>534</v>
      </c>
      <c r="F44" s="184" t="s">
        <v>533</v>
      </c>
      <c r="G44" s="187" t="s">
        <v>533</v>
      </c>
      <c r="H44" s="182">
        <v>70</v>
      </c>
      <c r="I44" s="188">
        <v>75</v>
      </c>
      <c r="J44" s="182" t="s">
        <v>588</v>
      </c>
      <c r="M44" s="14"/>
    </row>
    <row r="45" spans="1:13">
      <c r="A45" s="183" t="s">
        <v>591</v>
      </c>
      <c r="B45" s="184" t="s">
        <v>538</v>
      </c>
      <c r="C45" s="185">
        <v>2</v>
      </c>
      <c r="D45" s="186">
        <v>6</v>
      </c>
      <c r="E45" s="184" t="s">
        <v>533</v>
      </c>
      <c r="F45" s="184" t="s">
        <v>533</v>
      </c>
      <c r="G45" s="187" t="s">
        <v>533</v>
      </c>
      <c r="H45" s="182">
        <v>70</v>
      </c>
      <c r="I45" s="188">
        <v>75</v>
      </c>
      <c r="J45" s="182" t="s">
        <v>588</v>
      </c>
      <c r="M45" s="14"/>
    </row>
    <row r="46" spans="1:13">
      <c r="A46" s="183" t="s">
        <v>592</v>
      </c>
      <c r="B46" s="184" t="s">
        <v>538</v>
      </c>
      <c r="C46" s="185">
        <v>2</v>
      </c>
      <c r="D46" s="186">
        <v>10</v>
      </c>
      <c r="E46" s="184" t="s">
        <v>534</v>
      </c>
      <c r="F46" s="184" t="s">
        <v>533</v>
      </c>
      <c r="G46" s="187" t="s">
        <v>533</v>
      </c>
      <c r="H46" s="182" t="s">
        <v>533</v>
      </c>
      <c r="I46" s="182" t="s">
        <v>533</v>
      </c>
      <c r="J46" s="182" t="s">
        <v>588</v>
      </c>
      <c r="M46" s="14"/>
    </row>
    <row r="47" spans="1:13">
      <c r="A47" s="183" t="s">
        <v>593</v>
      </c>
      <c r="B47" s="184" t="s">
        <v>538</v>
      </c>
      <c r="C47" s="185">
        <v>2</v>
      </c>
      <c r="D47" s="186">
        <v>6</v>
      </c>
      <c r="E47" s="184" t="s">
        <v>534</v>
      </c>
      <c r="F47" s="184" t="s">
        <v>533</v>
      </c>
      <c r="G47" s="187" t="s">
        <v>533</v>
      </c>
      <c r="H47" s="182">
        <v>70</v>
      </c>
      <c r="I47" s="188">
        <v>75</v>
      </c>
      <c r="J47" s="182" t="s">
        <v>588</v>
      </c>
      <c r="M47" s="14"/>
    </row>
    <row r="48" spans="1:13">
      <c r="A48" s="190" t="s">
        <v>594</v>
      </c>
      <c r="B48" s="191" t="s">
        <v>538</v>
      </c>
      <c r="C48" s="185">
        <v>2</v>
      </c>
      <c r="D48" s="186">
        <v>6</v>
      </c>
      <c r="E48" s="191" t="s">
        <v>534</v>
      </c>
      <c r="F48" s="191" t="s">
        <v>533</v>
      </c>
      <c r="G48" s="187" t="s">
        <v>533</v>
      </c>
      <c r="H48" s="192">
        <v>70</v>
      </c>
      <c r="I48" s="188">
        <v>75</v>
      </c>
      <c r="J48" s="192"/>
      <c r="M48" s="14"/>
    </row>
    <row r="49" spans="1:13">
      <c r="A49" s="193" t="s">
        <v>595</v>
      </c>
      <c r="B49" s="194" t="s">
        <v>542</v>
      </c>
      <c r="C49" s="185">
        <v>2</v>
      </c>
      <c r="D49" s="186">
        <v>4</v>
      </c>
      <c r="E49" s="194" t="s">
        <v>533</v>
      </c>
      <c r="F49" s="194" t="s">
        <v>533</v>
      </c>
      <c r="G49" s="187" t="s">
        <v>533</v>
      </c>
      <c r="H49" s="195">
        <v>70</v>
      </c>
      <c r="I49" s="188">
        <v>75</v>
      </c>
      <c r="J49" s="195" t="s">
        <v>588</v>
      </c>
      <c r="M49" s="14"/>
    </row>
    <row r="50" spans="1:13">
      <c r="A50" s="196" t="s">
        <v>596</v>
      </c>
      <c r="B50" s="197" t="s">
        <v>538</v>
      </c>
      <c r="C50" s="185">
        <v>2</v>
      </c>
      <c r="D50" s="186">
        <v>6</v>
      </c>
      <c r="E50" s="197" t="s">
        <v>534</v>
      </c>
      <c r="F50" s="197" t="s">
        <v>533</v>
      </c>
      <c r="G50" s="187" t="s">
        <v>533</v>
      </c>
      <c r="H50" s="198">
        <v>70</v>
      </c>
      <c r="I50" s="188">
        <v>75</v>
      </c>
      <c r="J50" s="198" t="s">
        <v>588</v>
      </c>
      <c r="M50" s="14"/>
    </row>
    <row r="51" spans="1:13">
      <c r="A51" s="199" t="s">
        <v>597</v>
      </c>
      <c r="B51" s="200" t="s">
        <v>538</v>
      </c>
      <c r="C51" s="185">
        <v>2</v>
      </c>
      <c r="D51" s="186">
        <v>6</v>
      </c>
      <c r="E51" s="200" t="s">
        <v>534</v>
      </c>
      <c r="F51" s="200" t="s">
        <v>533</v>
      </c>
      <c r="G51" s="187" t="s">
        <v>533</v>
      </c>
      <c r="H51" s="201">
        <v>70</v>
      </c>
      <c r="I51" s="188">
        <v>75</v>
      </c>
      <c r="J51" s="201" t="s">
        <v>588</v>
      </c>
      <c r="M51" s="14"/>
    </row>
    <row r="52" spans="1:13">
      <c r="A52" s="202" t="s">
        <v>598</v>
      </c>
      <c r="B52" s="203" t="s">
        <v>538</v>
      </c>
      <c r="C52" s="185">
        <v>2</v>
      </c>
      <c r="D52" s="186">
        <v>6</v>
      </c>
      <c r="E52" s="203" t="s">
        <v>534</v>
      </c>
      <c r="F52" s="203" t="s">
        <v>533</v>
      </c>
      <c r="G52" s="187" t="s">
        <v>533</v>
      </c>
      <c r="H52" s="204">
        <v>70</v>
      </c>
      <c r="I52" s="188">
        <v>75</v>
      </c>
      <c r="J52" s="204" t="s">
        <v>588</v>
      </c>
      <c r="M52" s="14"/>
    </row>
    <row r="53" spans="1:13">
      <c r="A53" s="205" t="s">
        <v>599</v>
      </c>
      <c r="B53" s="206" t="s">
        <v>538</v>
      </c>
      <c r="C53" s="185">
        <v>2</v>
      </c>
      <c r="D53" s="186">
        <v>6</v>
      </c>
      <c r="E53" s="206" t="s">
        <v>534</v>
      </c>
      <c r="F53" s="206" t="s">
        <v>533</v>
      </c>
      <c r="G53" s="187" t="s">
        <v>533</v>
      </c>
      <c r="H53" s="207">
        <v>70</v>
      </c>
      <c r="I53" s="188">
        <v>75</v>
      </c>
      <c r="J53" s="207" t="s">
        <v>588</v>
      </c>
      <c r="M53" s="14"/>
    </row>
    <row r="54" spans="1:13">
      <c r="A54" s="208" t="s">
        <v>600</v>
      </c>
      <c r="B54" s="209" t="s">
        <v>538</v>
      </c>
      <c r="C54" s="185">
        <v>2</v>
      </c>
      <c r="D54" s="186">
        <v>10</v>
      </c>
      <c r="E54" s="209" t="s">
        <v>534</v>
      </c>
      <c r="F54" s="209" t="s">
        <v>533</v>
      </c>
      <c r="G54" s="187" t="s">
        <v>533</v>
      </c>
      <c r="H54" s="210">
        <v>70</v>
      </c>
      <c r="I54" s="188">
        <v>75</v>
      </c>
      <c r="J54" s="210"/>
      <c r="M54" s="14"/>
    </row>
    <row r="55" spans="1:13">
      <c r="A55" s="211" t="s">
        <v>601</v>
      </c>
      <c r="B55" s="212" t="s">
        <v>533</v>
      </c>
      <c r="C55" s="185">
        <v>2</v>
      </c>
      <c r="D55" s="186">
        <v>6</v>
      </c>
      <c r="E55" s="212" t="s">
        <v>533</v>
      </c>
      <c r="F55" s="212" t="s">
        <v>533</v>
      </c>
      <c r="G55" s="187" t="s">
        <v>533</v>
      </c>
      <c r="H55" s="213" t="s">
        <v>533</v>
      </c>
      <c r="I55" s="213" t="s">
        <v>533</v>
      </c>
      <c r="J55" s="213"/>
      <c r="M55" s="14"/>
    </row>
    <row r="56" spans="1:13">
      <c r="A56" s="214" t="s">
        <v>602</v>
      </c>
      <c r="B56" s="212" t="s">
        <v>542</v>
      </c>
      <c r="C56" s="185">
        <v>3</v>
      </c>
      <c r="D56" s="186">
        <v>15</v>
      </c>
      <c r="E56" s="212" t="s">
        <v>533</v>
      </c>
      <c r="F56" s="212" t="s">
        <v>535</v>
      </c>
      <c r="G56" s="187" t="s">
        <v>558</v>
      </c>
      <c r="H56" s="213">
        <v>70</v>
      </c>
      <c r="I56" s="188">
        <v>75</v>
      </c>
      <c r="J56" s="213"/>
      <c r="M56" s="14"/>
    </row>
    <row r="57" spans="1:13">
      <c r="A57" s="214" t="s">
        <v>55</v>
      </c>
      <c r="B57" s="212" t="s">
        <v>538</v>
      </c>
      <c r="C57" s="185">
        <v>2</v>
      </c>
      <c r="D57" s="186">
        <v>10</v>
      </c>
      <c r="E57" s="212" t="s">
        <v>534</v>
      </c>
      <c r="F57" s="212" t="s">
        <v>535</v>
      </c>
      <c r="G57" s="187" t="s">
        <v>533</v>
      </c>
      <c r="H57" s="213" t="s">
        <v>533</v>
      </c>
      <c r="I57" s="213" t="s">
        <v>533</v>
      </c>
      <c r="J57" s="213"/>
      <c r="M57" s="14"/>
    </row>
    <row r="58" spans="1:13">
      <c r="A58" s="214" t="s">
        <v>603</v>
      </c>
      <c r="B58" s="212" t="s">
        <v>538</v>
      </c>
      <c r="C58" s="185" t="s">
        <v>533</v>
      </c>
      <c r="D58" s="186">
        <v>10</v>
      </c>
      <c r="E58" s="212" t="s">
        <v>534</v>
      </c>
      <c r="F58" s="212" t="s">
        <v>535</v>
      </c>
      <c r="G58" s="187" t="s">
        <v>533</v>
      </c>
      <c r="H58" s="213" t="s">
        <v>533</v>
      </c>
      <c r="I58" s="213" t="s">
        <v>533</v>
      </c>
      <c r="J58" s="213"/>
      <c r="M58" s="14"/>
    </row>
    <row r="59" spans="1:13">
      <c r="A59" s="214" t="s">
        <v>604</v>
      </c>
      <c r="B59" s="212" t="s">
        <v>538</v>
      </c>
      <c r="C59" s="185" t="s">
        <v>533</v>
      </c>
      <c r="D59" s="186">
        <v>8</v>
      </c>
      <c r="E59" s="212" t="s">
        <v>534</v>
      </c>
      <c r="F59" s="212" t="s">
        <v>533</v>
      </c>
      <c r="G59" s="187" t="s">
        <v>533</v>
      </c>
      <c r="H59" s="213" t="s">
        <v>533</v>
      </c>
      <c r="I59" s="213" t="s">
        <v>533</v>
      </c>
      <c r="J59" s="213" t="s">
        <v>605</v>
      </c>
      <c r="M59" s="14"/>
    </row>
    <row r="60" spans="1:13">
      <c r="A60" s="214" t="s">
        <v>606</v>
      </c>
      <c r="B60" s="212" t="s">
        <v>533</v>
      </c>
      <c r="C60" s="185">
        <v>2</v>
      </c>
      <c r="D60" s="186">
        <v>4</v>
      </c>
      <c r="E60" s="212" t="s">
        <v>533</v>
      </c>
      <c r="F60" s="212" t="s">
        <v>533</v>
      </c>
      <c r="G60" s="187" t="s">
        <v>539</v>
      </c>
      <c r="H60" s="213">
        <v>70</v>
      </c>
      <c r="I60" s="188">
        <v>75</v>
      </c>
      <c r="J60" s="213"/>
      <c r="M60" s="14"/>
    </row>
    <row r="61" spans="1:13">
      <c r="A61" s="214" t="s">
        <v>607</v>
      </c>
      <c r="B61" s="212" t="s">
        <v>538</v>
      </c>
      <c r="C61" s="185">
        <v>2</v>
      </c>
      <c r="D61" s="186">
        <v>12</v>
      </c>
      <c r="E61" s="212" t="s">
        <v>534</v>
      </c>
      <c r="F61" s="212" t="s">
        <v>535</v>
      </c>
      <c r="G61" s="187" t="s">
        <v>533</v>
      </c>
      <c r="H61" s="213">
        <v>68</v>
      </c>
      <c r="I61" s="188">
        <v>75</v>
      </c>
      <c r="J61" s="213" t="s">
        <v>547</v>
      </c>
      <c r="M61" s="14"/>
    </row>
    <row r="62" spans="1:13">
      <c r="A62" s="214" t="s">
        <v>608</v>
      </c>
      <c r="B62" s="212" t="s">
        <v>533</v>
      </c>
      <c r="C62" s="185">
        <v>2</v>
      </c>
      <c r="D62" s="186">
        <v>6</v>
      </c>
      <c r="E62" s="212" t="s">
        <v>533</v>
      </c>
      <c r="F62" s="212" t="s">
        <v>533</v>
      </c>
      <c r="G62" s="187" t="s">
        <v>533</v>
      </c>
      <c r="H62" s="213" t="s">
        <v>533</v>
      </c>
      <c r="I62" s="213" t="s">
        <v>533</v>
      </c>
      <c r="J62" s="213"/>
      <c r="M62" s="14"/>
    </row>
    <row r="63" spans="1:13">
      <c r="A63" s="214" t="s">
        <v>609</v>
      </c>
      <c r="B63" s="212" t="s">
        <v>538</v>
      </c>
      <c r="C63" s="185">
        <v>2</v>
      </c>
      <c r="D63" s="186">
        <v>12</v>
      </c>
      <c r="E63" s="212" t="s">
        <v>534</v>
      </c>
      <c r="F63" s="212" t="s">
        <v>535</v>
      </c>
      <c r="G63" s="187" t="s">
        <v>539</v>
      </c>
      <c r="H63" s="213">
        <v>72</v>
      </c>
      <c r="I63" s="188">
        <v>78</v>
      </c>
      <c r="J63" s="213"/>
      <c r="M63" s="14"/>
    </row>
    <row r="64" spans="1:13">
      <c r="A64" s="214" t="s">
        <v>610</v>
      </c>
      <c r="B64" s="212" t="s">
        <v>542</v>
      </c>
      <c r="C64" s="185">
        <v>2</v>
      </c>
      <c r="D64" s="186">
        <v>6</v>
      </c>
      <c r="E64" s="212" t="s">
        <v>533</v>
      </c>
      <c r="F64" s="212" t="s">
        <v>535</v>
      </c>
      <c r="G64" s="187" t="s">
        <v>553</v>
      </c>
      <c r="H64" s="213">
        <v>72</v>
      </c>
      <c r="I64" s="188">
        <v>78</v>
      </c>
      <c r="J64" s="213"/>
      <c r="M64" s="14"/>
    </row>
    <row r="65" spans="1:13">
      <c r="A65" s="214" t="s">
        <v>611</v>
      </c>
      <c r="B65" s="212" t="s">
        <v>564</v>
      </c>
      <c r="C65" s="185">
        <v>2</v>
      </c>
      <c r="D65" s="186">
        <v>10</v>
      </c>
      <c r="E65" s="212" t="s">
        <v>533</v>
      </c>
      <c r="F65" s="212" t="s">
        <v>535</v>
      </c>
      <c r="G65" s="187" t="s">
        <v>533</v>
      </c>
      <c r="H65" s="213" t="s">
        <v>533</v>
      </c>
      <c r="I65" s="213" t="s">
        <v>533</v>
      </c>
      <c r="J65" s="213"/>
      <c r="M65" s="14"/>
    </row>
    <row r="66" spans="1:13">
      <c r="A66" s="214" t="s">
        <v>612</v>
      </c>
      <c r="B66" s="212" t="s">
        <v>533</v>
      </c>
      <c r="C66" s="185">
        <v>2</v>
      </c>
      <c r="D66" s="186">
        <v>6</v>
      </c>
      <c r="E66" s="212" t="s">
        <v>533</v>
      </c>
      <c r="F66" s="212" t="s">
        <v>535</v>
      </c>
      <c r="G66" s="187" t="s">
        <v>553</v>
      </c>
      <c r="H66" s="213">
        <v>72</v>
      </c>
      <c r="I66" s="188">
        <v>78</v>
      </c>
      <c r="J66" s="213"/>
      <c r="M66" s="14"/>
    </row>
    <row r="67" spans="1:13">
      <c r="A67" s="214" t="s">
        <v>613</v>
      </c>
      <c r="B67" s="212" t="s">
        <v>538</v>
      </c>
      <c r="C67" s="185" t="s">
        <v>533</v>
      </c>
      <c r="D67" s="186">
        <v>10</v>
      </c>
      <c r="E67" s="212" t="s">
        <v>534</v>
      </c>
      <c r="F67" s="212" t="s">
        <v>535</v>
      </c>
      <c r="G67" s="187" t="s">
        <v>533</v>
      </c>
      <c r="H67" s="213">
        <v>70</v>
      </c>
      <c r="I67" s="188">
        <v>75</v>
      </c>
      <c r="J67" s="213" t="s">
        <v>614</v>
      </c>
      <c r="M67" s="14"/>
    </row>
    <row r="68" spans="1:13">
      <c r="A68" s="214" t="s">
        <v>615</v>
      </c>
      <c r="B68" s="212" t="s">
        <v>533</v>
      </c>
      <c r="C68" s="185" t="s">
        <v>533</v>
      </c>
      <c r="D68" s="186">
        <v>2</v>
      </c>
      <c r="E68" s="212" t="s">
        <v>533</v>
      </c>
      <c r="F68" s="212" t="s">
        <v>533</v>
      </c>
      <c r="G68" s="187" t="s">
        <v>533</v>
      </c>
      <c r="H68" s="213" t="s">
        <v>533</v>
      </c>
      <c r="I68" s="213" t="s">
        <v>533</v>
      </c>
      <c r="J68" s="213"/>
      <c r="M68" s="14"/>
    </row>
    <row r="69" spans="1:13">
      <c r="A69" s="214" t="s">
        <v>616</v>
      </c>
      <c r="B69" s="212" t="s">
        <v>538</v>
      </c>
      <c r="C69" s="185">
        <v>2</v>
      </c>
      <c r="D69" s="186">
        <v>6</v>
      </c>
      <c r="E69" s="212" t="s">
        <v>534</v>
      </c>
      <c r="F69" s="212" t="s">
        <v>535</v>
      </c>
      <c r="G69" s="187" t="s">
        <v>533</v>
      </c>
      <c r="H69" s="213" t="s">
        <v>533</v>
      </c>
      <c r="I69" s="213" t="s">
        <v>533</v>
      </c>
      <c r="J69" s="213"/>
      <c r="M69" s="14"/>
    </row>
    <row r="70" spans="1:13">
      <c r="A70" s="214" t="s">
        <v>617</v>
      </c>
      <c r="B70" s="212" t="s">
        <v>538</v>
      </c>
      <c r="C70" s="185" t="s">
        <v>533</v>
      </c>
      <c r="D70" s="186">
        <v>6</v>
      </c>
      <c r="E70" s="212" t="s">
        <v>534</v>
      </c>
      <c r="F70" s="212" t="s">
        <v>535</v>
      </c>
      <c r="G70" s="187" t="s">
        <v>533</v>
      </c>
      <c r="H70" s="213">
        <v>70</v>
      </c>
      <c r="I70" s="188">
        <v>75</v>
      </c>
      <c r="J70" s="213"/>
      <c r="M70" s="14"/>
    </row>
    <row r="71" spans="1:13">
      <c r="A71" s="214" t="s">
        <v>618</v>
      </c>
      <c r="B71" s="212" t="s">
        <v>538</v>
      </c>
      <c r="C71" s="185">
        <v>2</v>
      </c>
      <c r="D71" s="186">
        <v>6</v>
      </c>
      <c r="E71" s="212" t="s">
        <v>534</v>
      </c>
      <c r="F71" s="212" t="s">
        <v>533</v>
      </c>
      <c r="G71" s="187" t="s">
        <v>533</v>
      </c>
      <c r="H71" s="213">
        <v>70</v>
      </c>
      <c r="I71" s="188">
        <v>75</v>
      </c>
      <c r="J71" s="213"/>
      <c r="M71" s="14"/>
    </row>
    <row r="72" spans="1:13">
      <c r="A72" s="214" t="s">
        <v>619</v>
      </c>
      <c r="B72" s="185" t="s">
        <v>533</v>
      </c>
      <c r="C72" s="185" t="s">
        <v>533</v>
      </c>
      <c r="D72" s="186">
        <v>2</v>
      </c>
      <c r="E72" s="212" t="s">
        <v>533</v>
      </c>
      <c r="F72" s="212" t="s">
        <v>533</v>
      </c>
      <c r="G72" s="212" t="s">
        <v>533</v>
      </c>
      <c r="H72" s="212" t="s">
        <v>533</v>
      </c>
      <c r="I72" s="212" t="s">
        <v>533</v>
      </c>
      <c r="J72" s="213" t="s">
        <v>620</v>
      </c>
      <c r="M72" s="14"/>
    </row>
    <row r="73" spans="1:13">
      <c r="A73" s="214" t="s">
        <v>621</v>
      </c>
      <c r="B73" s="212" t="s">
        <v>533</v>
      </c>
      <c r="C73" s="185">
        <v>2</v>
      </c>
      <c r="D73" s="186">
        <v>6</v>
      </c>
      <c r="E73" s="212" t="s">
        <v>533</v>
      </c>
      <c r="F73" s="212" t="s">
        <v>533</v>
      </c>
      <c r="G73" s="187" t="s">
        <v>533</v>
      </c>
      <c r="H73" s="213">
        <v>70</v>
      </c>
      <c r="I73" s="188">
        <v>75</v>
      </c>
      <c r="J73" s="213"/>
      <c r="M73" s="14"/>
    </row>
    <row r="74" spans="1:13">
      <c r="A74" s="214" t="s">
        <v>622</v>
      </c>
      <c r="B74" s="212" t="s">
        <v>533</v>
      </c>
      <c r="C74" s="185">
        <v>2</v>
      </c>
      <c r="D74" s="186">
        <v>6</v>
      </c>
      <c r="E74" s="212" t="s">
        <v>533</v>
      </c>
      <c r="F74" s="212" t="s">
        <v>533</v>
      </c>
      <c r="G74" s="187" t="s">
        <v>533</v>
      </c>
      <c r="H74" s="213">
        <v>70</v>
      </c>
      <c r="I74" s="188">
        <v>75</v>
      </c>
      <c r="J74" s="213"/>
      <c r="M74" s="14"/>
    </row>
    <row r="75" spans="1:13">
      <c r="A75" s="214" t="s">
        <v>623</v>
      </c>
      <c r="B75" s="212" t="s">
        <v>542</v>
      </c>
      <c r="C75" s="185">
        <v>4</v>
      </c>
      <c r="D75" s="186">
        <v>20</v>
      </c>
      <c r="E75" s="212" t="s">
        <v>533</v>
      </c>
      <c r="F75" s="212" t="s">
        <v>535</v>
      </c>
      <c r="G75" s="187" t="s">
        <v>558</v>
      </c>
      <c r="H75" s="213">
        <v>68</v>
      </c>
      <c r="I75" s="188">
        <v>75</v>
      </c>
      <c r="J75" s="213"/>
      <c r="M75" s="14"/>
    </row>
    <row r="76" spans="1:13">
      <c r="A76" s="214" t="s">
        <v>624</v>
      </c>
      <c r="B76" s="212" t="s">
        <v>542</v>
      </c>
      <c r="C76" s="185">
        <v>4</v>
      </c>
      <c r="D76" s="186">
        <v>20</v>
      </c>
      <c r="E76" s="212" t="s">
        <v>533</v>
      </c>
      <c r="F76" s="212" t="s">
        <v>535</v>
      </c>
      <c r="G76" s="187" t="s">
        <v>558</v>
      </c>
      <c r="H76" s="213">
        <v>68</v>
      </c>
      <c r="I76" s="188">
        <v>75</v>
      </c>
      <c r="J76" s="213" t="s">
        <v>559</v>
      </c>
      <c r="M76" s="14"/>
    </row>
    <row r="77" spans="1:13">
      <c r="A77" s="214" t="s">
        <v>280</v>
      </c>
      <c r="B77" s="212" t="s">
        <v>533</v>
      </c>
      <c r="C77" s="185" t="s">
        <v>533</v>
      </c>
      <c r="D77" s="186">
        <v>2</v>
      </c>
      <c r="E77" s="212" t="s">
        <v>533</v>
      </c>
      <c r="F77" s="212" t="s">
        <v>533</v>
      </c>
      <c r="G77" s="187" t="s">
        <v>533</v>
      </c>
      <c r="H77" s="213" t="s">
        <v>533</v>
      </c>
      <c r="I77" s="213" t="s">
        <v>533</v>
      </c>
      <c r="J77" s="213"/>
      <c r="M77" s="14"/>
    </row>
    <row r="78" spans="1:13">
      <c r="A78" s="214" t="s">
        <v>625</v>
      </c>
      <c r="B78" s="212" t="s">
        <v>533</v>
      </c>
      <c r="C78" s="185">
        <v>2</v>
      </c>
      <c r="D78" s="186">
        <v>6</v>
      </c>
      <c r="E78" s="212" t="s">
        <v>533</v>
      </c>
      <c r="F78" s="212" t="s">
        <v>535</v>
      </c>
      <c r="G78" s="187" t="s">
        <v>533</v>
      </c>
      <c r="H78" s="213" t="s">
        <v>533</v>
      </c>
      <c r="I78" s="213" t="s">
        <v>533</v>
      </c>
      <c r="J78" s="213"/>
      <c r="M78" s="14"/>
    </row>
    <row r="79" spans="1:13">
      <c r="A79" s="214" t="s">
        <v>626</v>
      </c>
      <c r="B79" s="212" t="s">
        <v>533</v>
      </c>
      <c r="C79" s="185">
        <v>2</v>
      </c>
      <c r="D79" s="186">
        <v>4</v>
      </c>
      <c r="E79" s="212" t="s">
        <v>533</v>
      </c>
      <c r="F79" s="212" t="s">
        <v>533</v>
      </c>
      <c r="G79" s="187" t="s">
        <v>539</v>
      </c>
      <c r="H79" s="213">
        <v>70</v>
      </c>
      <c r="I79" s="188">
        <v>75</v>
      </c>
      <c r="J79" s="213" t="s">
        <v>627</v>
      </c>
      <c r="M79" s="14"/>
    </row>
    <row r="80" spans="1:13">
      <c r="A80" s="215" t="s">
        <v>628</v>
      </c>
      <c r="B80" s="216" t="s">
        <v>533</v>
      </c>
      <c r="C80" s="185">
        <v>2</v>
      </c>
      <c r="D80" s="186">
        <v>6</v>
      </c>
      <c r="E80" s="216" t="s">
        <v>533</v>
      </c>
      <c r="F80" s="216" t="s">
        <v>533</v>
      </c>
      <c r="G80" s="187" t="s">
        <v>533</v>
      </c>
      <c r="H80" s="217" t="s">
        <v>533</v>
      </c>
      <c r="I80" s="217" t="s">
        <v>533</v>
      </c>
      <c r="J80" s="217"/>
      <c r="M80" s="14"/>
    </row>
    <row r="81" spans="1:13">
      <c r="A81" s="218" t="s">
        <v>629</v>
      </c>
      <c r="B81" s="219" t="s">
        <v>542</v>
      </c>
      <c r="C81" s="185">
        <v>2</v>
      </c>
      <c r="D81" s="186">
        <v>4</v>
      </c>
      <c r="E81" s="219" t="s">
        <v>533</v>
      </c>
      <c r="F81" s="219" t="s">
        <v>533</v>
      </c>
      <c r="G81" s="187" t="s">
        <v>533</v>
      </c>
      <c r="H81" s="220" t="s">
        <v>533</v>
      </c>
      <c r="I81" s="220" t="s">
        <v>533</v>
      </c>
      <c r="J81" s="220" t="s">
        <v>406</v>
      </c>
      <c r="M81" s="14"/>
    </row>
    <row r="82" spans="1:13">
      <c r="A82" s="221" t="s">
        <v>630</v>
      </c>
      <c r="B82" s="222" t="s">
        <v>533</v>
      </c>
      <c r="C82" s="185">
        <v>2</v>
      </c>
      <c r="D82" s="186">
        <v>4</v>
      </c>
      <c r="E82" s="222" t="s">
        <v>533</v>
      </c>
      <c r="F82" s="222" t="s">
        <v>533</v>
      </c>
      <c r="G82" s="187" t="s">
        <v>533</v>
      </c>
      <c r="H82" s="223" t="s">
        <v>533</v>
      </c>
      <c r="I82" s="223" t="s">
        <v>533</v>
      </c>
      <c r="J82" s="223"/>
      <c r="M82" s="14"/>
    </row>
    <row r="83" spans="1:13">
      <c r="A83" s="224" t="s">
        <v>631</v>
      </c>
      <c r="B83" s="225" t="s">
        <v>542</v>
      </c>
      <c r="C83" s="185" t="s">
        <v>533</v>
      </c>
      <c r="D83" s="186" t="s">
        <v>533</v>
      </c>
      <c r="E83" s="225" t="s">
        <v>533</v>
      </c>
      <c r="F83" s="225" t="s">
        <v>533</v>
      </c>
      <c r="G83" s="187" t="s">
        <v>632</v>
      </c>
      <c r="H83" s="226">
        <v>68</v>
      </c>
      <c r="I83" s="226">
        <v>68</v>
      </c>
      <c r="J83" s="226" t="s">
        <v>406</v>
      </c>
      <c r="M83" s="14"/>
    </row>
    <row r="84" spans="1:13">
      <c r="A84" s="227" t="s">
        <v>633</v>
      </c>
      <c r="B84" s="228" t="s">
        <v>538</v>
      </c>
      <c r="C84" s="185" t="s">
        <v>533</v>
      </c>
      <c r="D84" s="186">
        <v>30</v>
      </c>
      <c r="E84" s="228" t="s">
        <v>534</v>
      </c>
      <c r="F84" s="228" t="s">
        <v>535</v>
      </c>
      <c r="G84" s="187" t="s">
        <v>632</v>
      </c>
      <c r="H84" s="229">
        <v>68</v>
      </c>
      <c r="I84" s="229">
        <v>68</v>
      </c>
      <c r="J84" s="229" t="s">
        <v>406</v>
      </c>
      <c r="M84" s="14"/>
    </row>
    <row r="85" spans="1:13">
      <c r="A85" s="230" t="s">
        <v>634</v>
      </c>
      <c r="B85" s="231" t="s">
        <v>538</v>
      </c>
      <c r="C85" s="185" t="s">
        <v>533</v>
      </c>
      <c r="D85" s="186">
        <v>12</v>
      </c>
      <c r="E85" s="231" t="s">
        <v>534</v>
      </c>
      <c r="F85" s="231" t="s">
        <v>533</v>
      </c>
      <c r="G85" s="187" t="s">
        <v>533</v>
      </c>
      <c r="H85" s="232" t="s">
        <v>533</v>
      </c>
      <c r="I85" s="232" t="s">
        <v>533</v>
      </c>
      <c r="J85" s="232" t="s">
        <v>635</v>
      </c>
      <c r="M85" s="14"/>
    </row>
    <row r="86" spans="1:13">
      <c r="A86" s="233" t="s">
        <v>636</v>
      </c>
      <c r="B86" s="234" t="s">
        <v>538</v>
      </c>
      <c r="C86" s="185" t="s">
        <v>533</v>
      </c>
      <c r="D86" s="186">
        <v>12</v>
      </c>
      <c r="E86" s="234" t="s">
        <v>534</v>
      </c>
      <c r="F86" s="234" t="s">
        <v>533</v>
      </c>
      <c r="G86" s="187" t="s">
        <v>533</v>
      </c>
      <c r="H86" s="235" t="s">
        <v>533</v>
      </c>
      <c r="I86" s="235" t="s">
        <v>533</v>
      </c>
      <c r="J86" s="235" t="s">
        <v>406</v>
      </c>
      <c r="M86" s="14"/>
    </row>
    <row r="87" spans="1:13">
      <c r="A87" s="236" t="s">
        <v>637</v>
      </c>
      <c r="B87" s="237" t="s">
        <v>542</v>
      </c>
      <c r="C87" s="185" t="s">
        <v>533</v>
      </c>
      <c r="D87" s="186">
        <v>30</v>
      </c>
      <c r="E87" s="237" t="s">
        <v>533</v>
      </c>
      <c r="F87" s="237" t="s">
        <v>533</v>
      </c>
      <c r="G87" s="187" t="s">
        <v>632</v>
      </c>
      <c r="H87" s="238">
        <v>68</v>
      </c>
      <c r="I87" s="238">
        <v>68</v>
      </c>
      <c r="J87" s="238" t="s">
        <v>406</v>
      </c>
      <c r="M87" s="14"/>
    </row>
    <row r="88" spans="1:13">
      <c r="A88" s="239" t="s">
        <v>638</v>
      </c>
      <c r="B88" s="240" t="s">
        <v>542</v>
      </c>
      <c r="C88" s="185" t="s">
        <v>533</v>
      </c>
      <c r="D88" s="186">
        <v>30</v>
      </c>
      <c r="E88" s="240" t="s">
        <v>533</v>
      </c>
      <c r="F88" s="240" t="s">
        <v>535</v>
      </c>
      <c r="G88" s="187" t="s">
        <v>632</v>
      </c>
      <c r="H88" s="241">
        <v>68</v>
      </c>
      <c r="I88" s="241">
        <v>68</v>
      </c>
      <c r="J88" s="241" t="s">
        <v>406</v>
      </c>
      <c r="M88" s="14"/>
    </row>
    <row r="89" spans="1:13">
      <c r="A89" s="242" t="s">
        <v>639</v>
      </c>
      <c r="B89" s="243" t="s">
        <v>533</v>
      </c>
      <c r="C89" s="185" t="s">
        <v>533</v>
      </c>
      <c r="D89" s="186" t="s">
        <v>533</v>
      </c>
      <c r="E89" s="243" t="s">
        <v>533</v>
      </c>
      <c r="F89" s="243" t="s">
        <v>533</v>
      </c>
      <c r="G89" s="187" t="s">
        <v>533</v>
      </c>
      <c r="H89" s="244" t="s">
        <v>533</v>
      </c>
      <c r="I89" s="244" t="s">
        <v>533</v>
      </c>
      <c r="J89" s="244"/>
      <c r="M89" s="14"/>
    </row>
    <row r="90" spans="1:13">
      <c r="A90" s="245" t="s">
        <v>640</v>
      </c>
      <c r="B90" s="246" t="s">
        <v>538</v>
      </c>
      <c r="C90" s="185">
        <v>2</v>
      </c>
      <c r="D90" s="186">
        <v>6</v>
      </c>
      <c r="E90" s="246" t="s">
        <v>533</v>
      </c>
      <c r="F90" s="246" t="s">
        <v>533</v>
      </c>
      <c r="G90" s="187" t="s">
        <v>533</v>
      </c>
      <c r="H90" s="247">
        <v>70</v>
      </c>
      <c r="I90" s="188">
        <v>75</v>
      </c>
      <c r="J90" s="247"/>
      <c r="M90" s="14"/>
    </row>
    <row r="91" spans="1:13">
      <c r="A91" s="248" t="s">
        <v>641</v>
      </c>
      <c r="B91" s="249" t="s">
        <v>538</v>
      </c>
      <c r="C91" s="185">
        <v>2</v>
      </c>
      <c r="D91" s="186">
        <v>6</v>
      </c>
      <c r="E91" s="249" t="s">
        <v>533</v>
      </c>
      <c r="F91" s="249" t="s">
        <v>533</v>
      </c>
      <c r="G91" s="187" t="s">
        <v>569</v>
      </c>
      <c r="H91" s="250">
        <v>72</v>
      </c>
      <c r="I91" s="188">
        <v>80</v>
      </c>
      <c r="J91" s="250"/>
      <c r="M91" s="14"/>
    </row>
    <row r="92" spans="1:13">
      <c r="A92" s="251" t="s">
        <v>642</v>
      </c>
      <c r="B92" s="252" t="s">
        <v>533</v>
      </c>
      <c r="C92" s="185">
        <v>2</v>
      </c>
      <c r="D92" s="186">
        <v>6</v>
      </c>
      <c r="E92" s="252" t="s">
        <v>534</v>
      </c>
      <c r="F92" s="252" t="s">
        <v>535</v>
      </c>
      <c r="G92" s="187" t="s">
        <v>558</v>
      </c>
      <c r="H92" s="253">
        <v>70</v>
      </c>
      <c r="I92" s="188">
        <v>75</v>
      </c>
      <c r="J92" s="253"/>
      <c r="M92" s="14"/>
    </row>
    <row r="93" spans="1:13">
      <c r="A93" s="254" t="s">
        <v>643</v>
      </c>
      <c r="B93" s="255" t="s">
        <v>538</v>
      </c>
      <c r="C93" s="185">
        <v>2</v>
      </c>
      <c r="D93" s="186">
        <v>12</v>
      </c>
      <c r="E93" s="255" t="s">
        <v>534</v>
      </c>
      <c r="F93" s="255" t="s">
        <v>533</v>
      </c>
      <c r="G93" s="187" t="s">
        <v>533</v>
      </c>
      <c r="H93" s="256" t="s">
        <v>533</v>
      </c>
      <c r="I93" s="256" t="s">
        <v>533</v>
      </c>
      <c r="J93" s="256" t="s">
        <v>570</v>
      </c>
      <c r="M93" s="14"/>
    </row>
    <row r="94" spans="1:13">
      <c r="A94" s="257" t="s">
        <v>644</v>
      </c>
      <c r="B94" s="258" t="s">
        <v>542</v>
      </c>
      <c r="C94" s="185">
        <v>3</v>
      </c>
      <c r="D94" s="186">
        <v>15</v>
      </c>
      <c r="E94" s="258" t="s">
        <v>533</v>
      </c>
      <c r="F94" s="258" t="s">
        <v>535</v>
      </c>
      <c r="G94" s="187" t="s">
        <v>558</v>
      </c>
      <c r="H94" s="259">
        <v>70</v>
      </c>
      <c r="I94" s="188">
        <v>75</v>
      </c>
      <c r="J94" s="259" t="s">
        <v>645</v>
      </c>
      <c r="M94" s="14"/>
    </row>
    <row r="95" spans="1:13">
      <c r="A95" s="260" t="s">
        <v>646</v>
      </c>
      <c r="B95" s="261" t="s">
        <v>647</v>
      </c>
      <c r="C95" s="185" t="s">
        <v>533</v>
      </c>
      <c r="D95" s="186">
        <v>10</v>
      </c>
      <c r="E95" s="261" t="s">
        <v>533</v>
      </c>
      <c r="F95" s="261" t="s">
        <v>535</v>
      </c>
      <c r="G95" s="187" t="s">
        <v>533</v>
      </c>
      <c r="H95" s="262" t="s">
        <v>533</v>
      </c>
      <c r="I95" s="262" t="s">
        <v>533</v>
      </c>
      <c r="J95" s="262" t="s">
        <v>648</v>
      </c>
      <c r="M95" s="14"/>
    </row>
    <row r="96" spans="1:13">
      <c r="A96" s="263" t="s">
        <v>649</v>
      </c>
      <c r="B96" s="264" t="s">
        <v>542</v>
      </c>
      <c r="C96" s="185">
        <v>2</v>
      </c>
      <c r="D96" s="186">
        <v>12</v>
      </c>
      <c r="E96" s="264" t="s">
        <v>533</v>
      </c>
      <c r="F96" s="264" t="s">
        <v>535</v>
      </c>
      <c r="G96" s="187" t="s">
        <v>539</v>
      </c>
      <c r="H96" s="265">
        <v>70</v>
      </c>
      <c r="I96" s="188">
        <v>75</v>
      </c>
      <c r="J96" s="265" t="s">
        <v>648</v>
      </c>
      <c r="M96" s="14"/>
    </row>
    <row r="97" spans="1:13">
      <c r="A97" s="266" t="s">
        <v>650</v>
      </c>
      <c r="B97" s="267" t="s">
        <v>538</v>
      </c>
      <c r="C97" s="185">
        <v>2</v>
      </c>
      <c r="D97" s="186">
        <v>12</v>
      </c>
      <c r="E97" s="267" t="s">
        <v>534</v>
      </c>
      <c r="F97" s="267" t="s">
        <v>533</v>
      </c>
      <c r="G97" s="187" t="s">
        <v>539</v>
      </c>
      <c r="H97" s="268">
        <v>70</v>
      </c>
      <c r="I97" s="188">
        <v>75</v>
      </c>
      <c r="J97" s="268" t="s">
        <v>651</v>
      </c>
      <c r="M97" s="14"/>
    </row>
    <row r="98" spans="1:13">
      <c r="A98" s="269" t="s">
        <v>652</v>
      </c>
      <c r="B98" s="270" t="s">
        <v>533</v>
      </c>
      <c r="C98" s="185">
        <v>2</v>
      </c>
      <c r="D98" s="186">
        <v>6</v>
      </c>
      <c r="E98" s="270" t="s">
        <v>533</v>
      </c>
      <c r="F98" s="270" t="s">
        <v>535</v>
      </c>
      <c r="G98" s="187" t="s">
        <v>558</v>
      </c>
      <c r="H98" s="271">
        <v>70</v>
      </c>
      <c r="I98" s="188">
        <v>75</v>
      </c>
      <c r="J98" s="271"/>
      <c r="M98" s="14"/>
    </row>
    <row r="99" spans="1:13">
      <c r="A99" s="272" t="s">
        <v>653</v>
      </c>
      <c r="B99" s="273" t="s">
        <v>533</v>
      </c>
      <c r="C99" s="185">
        <v>2</v>
      </c>
      <c r="D99" s="186">
        <v>6</v>
      </c>
      <c r="E99" s="273" t="s">
        <v>533</v>
      </c>
      <c r="F99" s="273" t="s">
        <v>533</v>
      </c>
      <c r="G99" s="187" t="s">
        <v>533</v>
      </c>
      <c r="H99" s="274" t="s">
        <v>533</v>
      </c>
      <c r="I99" s="274" t="s">
        <v>533</v>
      </c>
      <c r="J99" s="274"/>
      <c r="M99" s="14"/>
    </row>
    <row r="100" spans="1:13">
      <c r="A100" s="275" t="s">
        <v>654</v>
      </c>
      <c r="B100" s="276" t="s">
        <v>533</v>
      </c>
      <c r="C100" s="185">
        <v>4</v>
      </c>
      <c r="D100" s="186">
        <v>4</v>
      </c>
      <c r="E100" s="276" t="s">
        <v>533</v>
      </c>
      <c r="F100" s="276" t="s">
        <v>533</v>
      </c>
      <c r="G100" s="187" t="s">
        <v>533</v>
      </c>
      <c r="H100" s="277">
        <v>70</v>
      </c>
      <c r="I100" s="188">
        <v>75</v>
      </c>
      <c r="J100" s="277"/>
      <c r="M100" s="14"/>
    </row>
    <row r="101" spans="1:13">
      <c r="A101" s="278" t="s">
        <v>655</v>
      </c>
      <c r="B101" s="279" t="s">
        <v>533</v>
      </c>
      <c r="C101" s="185">
        <v>2</v>
      </c>
      <c r="D101" s="186">
        <v>2</v>
      </c>
      <c r="E101" s="279" t="s">
        <v>533</v>
      </c>
      <c r="F101" s="279" t="s">
        <v>533</v>
      </c>
      <c r="G101" s="187" t="s">
        <v>533</v>
      </c>
      <c r="H101" s="280">
        <v>70</v>
      </c>
      <c r="I101" s="188">
        <v>75</v>
      </c>
      <c r="J101" s="280"/>
      <c r="M101" s="14"/>
    </row>
    <row r="102" spans="1:13">
      <c r="A102" s="281" t="s">
        <v>656</v>
      </c>
      <c r="B102" s="282" t="s">
        <v>533</v>
      </c>
      <c r="C102" s="185" t="s">
        <v>533</v>
      </c>
      <c r="D102" s="186">
        <v>4</v>
      </c>
      <c r="E102" s="282" t="s">
        <v>533</v>
      </c>
      <c r="F102" s="282" t="s">
        <v>533</v>
      </c>
      <c r="G102" s="187" t="s">
        <v>533</v>
      </c>
      <c r="H102" s="283" t="s">
        <v>533</v>
      </c>
      <c r="I102" s="283" t="s">
        <v>533</v>
      </c>
      <c r="J102" s="283"/>
      <c r="M102" s="14"/>
    </row>
    <row r="103" spans="1:13">
      <c r="A103" s="284" t="s">
        <v>657</v>
      </c>
      <c r="B103" s="285" t="s">
        <v>533</v>
      </c>
      <c r="C103" s="185">
        <v>2</v>
      </c>
      <c r="D103" s="186">
        <v>6</v>
      </c>
      <c r="E103" s="285" t="s">
        <v>533</v>
      </c>
      <c r="F103" s="285" t="s">
        <v>533</v>
      </c>
      <c r="G103" s="187" t="s">
        <v>533</v>
      </c>
      <c r="H103" s="286" t="s">
        <v>533</v>
      </c>
      <c r="I103" s="286" t="s">
        <v>533</v>
      </c>
      <c r="J103" s="286"/>
      <c r="M103" s="14"/>
    </row>
    <row r="104" spans="1:13">
      <c r="A104" s="287" t="s">
        <v>658</v>
      </c>
      <c r="B104" s="288" t="s">
        <v>533</v>
      </c>
      <c r="C104" s="289">
        <v>2</v>
      </c>
      <c r="D104" s="290">
        <v>4</v>
      </c>
      <c r="E104" s="288" t="s">
        <v>533</v>
      </c>
      <c r="F104" s="288" t="s">
        <v>533</v>
      </c>
      <c r="G104" s="291" t="s">
        <v>533</v>
      </c>
      <c r="H104" s="286" t="s">
        <v>533</v>
      </c>
      <c r="I104" s="286" t="s">
        <v>533</v>
      </c>
      <c r="J104" s="188"/>
      <c r="M104" s="14"/>
    </row>
    <row r="105" spans="1:13">
      <c r="A105" s="287" t="s">
        <v>659</v>
      </c>
      <c r="B105" s="288" t="s">
        <v>538</v>
      </c>
      <c r="C105" s="289" t="s">
        <v>533</v>
      </c>
      <c r="D105" s="290">
        <v>10</v>
      </c>
      <c r="E105" s="288" t="s">
        <v>534</v>
      </c>
      <c r="F105" s="288" t="s">
        <v>535</v>
      </c>
      <c r="G105" s="291" t="s">
        <v>533</v>
      </c>
      <c r="H105" s="286" t="s">
        <v>533</v>
      </c>
      <c r="I105" s="286" t="s">
        <v>533</v>
      </c>
      <c r="J105" s="292"/>
      <c r="M105" s="14"/>
    </row>
    <row r="106" spans="1:13">
      <c r="A106" s="293" t="s">
        <v>660</v>
      </c>
      <c r="B106" s="294" t="s">
        <v>538</v>
      </c>
      <c r="C106" s="289" t="s">
        <v>533</v>
      </c>
      <c r="D106" s="290">
        <v>10</v>
      </c>
      <c r="E106" s="294" t="s">
        <v>534</v>
      </c>
      <c r="F106" s="294" t="s">
        <v>535</v>
      </c>
      <c r="G106" s="291" t="s">
        <v>533</v>
      </c>
      <c r="H106" s="286" t="s">
        <v>533</v>
      </c>
      <c r="I106" s="286" t="s">
        <v>533</v>
      </c>
      <c r="J106" s="292"/>
      <c r="M106" s="14"/>
    </row>
    <row r="107" spans="1:13">
      <c r="A107" s="293" t="s">
        <v>661</v>
      </c>
      <c r="B107" s="294" t="s">
        <v>538</v>
      </c>
      <c r="C107" s="289">
        <v>2</v>
      </c>
      <c r="D107" s="290">
        <v>6</v>
      </c>
      <c r="E107" s="294" t="s">
        <v>534</v>
      </c>
      <c r="F107" s="294" t="s">
        <v>535</v>
      </c>
      <c r="G107" s="291" t="s">
        <v>533</v>
      </c>
      <c r="H107" s="286">
        <v>72</v>
      </c>
      <c r="I107" s="295">
        <v>78</v>
      </c>
      <c r="J107" s="295"/>
      <c r="M107" s="14"/>
    </row>
    <row r="108" spans="1:13">
      <c r="A108" s="296" t="s">
        <v>662</v>
      </c>
      <c r="B108" s="297" t="s">
        <v>538</v>
      </c>
      <c r="C108" s="289">
        <v>2</v>
      </c>
      <c r="D108" s="290">
        <v>10</v>
      </c>
      <c r="E108" s="297" t="s">
        <v>534</v>
      </c>
      <c r="F108" s="297" t="s">
        <v>535</v>
      </c>
      <c r="G108" s="291" t="s">
        <v>533</v>
      </c>
      <c r="H108" s="286" t="s">
        <v>533</v>
      </c>
      <c r="I108" s="286" t="s">
        <v>533</v>
      </c>
      <c r="J108" s="295"/>
      <c r="M108" s="14"/>
    </row>
    <row r="109" spans="1:13">
      <c r="A109" s="296" t="s">
        <v>663</v>
      </c>
      <c r="B109" s="297" t="s">
        <v>533</v>
      </c>
      <c r="C109" s="289">
        <v>2</v>
      </c>
      <c r="D109" s="290">
        <v>6</v>
      </c>
      <c r="E109" s="297" t="s">
        <v>534</v>
      </c>
      <c r="F109" s="297" t="s">
        <v>533</v>
      </c>
      <c r="G109" s="291" t="s">
        <v>533</v>
      </c>
      <c r="H109" s="286" t="s">
        <v>533</v>
      </c>
      <c r="I109" s="286" t="s">
        <v>533</v>
      </c>
      <c r="J109" s="298"/>
      <c r="M109" s="14"/>
    </row>
    <row r="110" spans="1:13">
      <c r="A110" s="299" t="s">
        <v>664</v>
      </c>
      <c r="B110" s="300" t="s">
        <v>533</v>
      </c>
      <c r="C110" s="289">
        <v>2</v>
      </c>
      <c r="D110" s="290">
        <v>6</v>
      </c>
      <c r="E110" s="300" t="s">
        <v>533</v>
      </c>
      <c r="F110" s="300" t="s">
        <v>533</v>
      </c>
      <c r="G110" s="291" t="s">
        <v>533</v>
      </c>
      <c r="H110" s="286" t="s">
        <v>533</v>
      </c>
      <c r="I110" s="286" t="s">
        <v>533</v>
      </c>
      <c r="J110" s="298"/>
      <c r="M110" s="14"/>
    </row>
    <row r="111" spans="1:13">
      <c r="A111" s="299" t="s">
        <v>665</v>
      </c>
      <c r="B111" s="300" t="s">
        <v>542</v>
      </c>
      <c r="C111" s="289">
        <v>2</v>
      </c>
      <c r="D111" s="290">
        <v>4</v>
      </c>
      <c r="E111" s="300" t="s">
        <v>533</v>
      </c>
      <c r="F111" s="300" t="s">
        <v>533</v>
      </c>
      <c r="G111" s="291" t="s">
        <v>539</v>
      </c>
      <c r="H111" s="286">
        <v>72</v>
      </c>
      <c r="I111" s="301">
        <v>78</v>
      </c>
      <c r="J111" s="301"/>
      <c r="M111" s="14"/>
    </row>
    <row r="112" spans="1:13">
      <c r="A112" s="302" t="s">
        <v>666</v>
      </c>
      <c r="B112" s="300" t="s">
        <v>538</v>
      </c>
      <c r="C112" s="289" t="s">
        <v>533</v>
      </c>
      <c r="D112" s="290">
        <v>10</v>
      </c>
      <c r="E112" s="300" t="s">
        <v>534</v>
      </c>
      <c r="F112" s="300" t="s">
        <v>535</v>
      </c>
      <c r="G112" s="291" t="s">
        <v>533</v>
      </c>
      <c r="H112" s="286" t="s">
        <v>533</v>
      </c>
      <c r="I112" s="286" t="s">
        <v>533</v>
      </c>
      <c r="J112" s="301"/>
      <c r="M112" s="14"/>
    </row>
    <row r="113" spans="1:13">
      <c r="A113" s="302" t="s">
        <v>667</v>
      </c>
      <c r="B113" s="300" t="s">
        <v>533</v>
      </c>
      <c r="C113" s="289">
        <v>2</v>
      </c>
      <c r="D113" s="290">
        <v>6</v>
      </c>
      <c r="E113" s="300" t="s">
        <v>533</v>
      </c>
      <c r="F113" s="300" t="s">
        <v>535</v>
      </c>
      <c r="G113" s="291" t="s">
        <v>533</v>
      </c>
      <c r="H113" s="286" t="s">
        <v>533</v>
      </c>
      <c r="I113" s="286" t="s">
        <v>533</v>
      </c>
      <c r="J113" s="301"/>
      <c r="M113" s="14"/>
    </row>
    <row r="114" spans="1:13">
      <c r="A114" s="302" t="s">
        <v>668</v>
      </c>
      <c r="B114" s="300" t="s">
        <v>538</v>
      </c>
      <c r="C114" s="289" t="s">
        <v>533</v>
      </c>
      <c r="D114" s="290">
        <v>10</v>
      </c>
      <c r="E114" s="300" t="s">
        <v>534</v>
      </c>
      <c r="F114" s="300" t="s">
        <v>535</v>
      </c>
      <c r="G114" s="291" t="s">
        <v>533</v>
      </c>
      <c r="H114" s="286" t="s">
        <v>533</v>
      </c>
      <c r="I114" s="286" t="s">
        <v>533</v>
      </c>
      <c r="J114" s="301"/>
      <c r="M114" s="14"/>
    </row>
    <row r="115" spans="1:13">
      <c r="A115" s="302" t="s">
        <v>669</v>
      </c>
      <c r="B115" s="300" t="s">
        <v>542</v>
      </c>
      <c r="C115" s="289">
        <v>3</v>
      </c>
      <c r="D115" s="290">
        <v>15</v>
      </c>
      <c r="E115" s="300" t="s">
        <v>533</v>
      </c>
      <c r="F115" s="300" t="s">
        <v>535</v>
      </c>
      <c r="G115" s="291" t="s">
        <v>558</v>
      </c>
      <c r="H115" s="286">
        <v>70</v>
      </c>
      <c r="I115" s="301">
        <v>75</v>
      </c>
      <c r="J115" s="301" t="s">
        <v>449</v>
      </c>
      <c r="M115" s="14"/>
    </row>
    <row r="116" spans="1:13">
      <c r="A116" s="302" t="s">
        <v>670</v>
      </c>
      <c r="B116" s="300" t="s">
        <v>533</v>
      </c>
      <c r="C116" s="289">
        <v>2</v>
      </c>
      <c r="D116" s="290">
        <v>6</v>
      </c>
      <c r="E116" s="300" t="s">
        <v>533</v>
      </c>
      <c r="F116" s="300" t="s">
        <v>533</v>
      </c>
      <c r="G116" s="291" t="s">
        <v>558</v>
      </c>
      <c r="H116" s="286">
        <v>70</v>
      </c>
      <c r="I116" s="301">
        <v>75</v>
      </c>
      <c r="J116" s="301" t="s">
        <v>564</v>
      </c>
      <c r="M116" s="14"/>
    </row>
    <row r="117" spans="1:13">
      <c r="A117" s="302" t="s">
        <v>671</v>
      </c>
      <c r="B117" s="300" t="s">
        <v>533</v>
      </c>
      <c r="C117" s="289">
        <v>2</v>
      </c>
      <c r="D117" s="290">
        <v>6</v>
      </c>
      <c r="E117" s="300" t="s">
        <v>533</v>
      </c>
      <c r="F117" s="300" t="s">
        <v>533</v>
      </c>
      <c r="G117" s="291" t="s">
        <v>539</v>
      </c>
      <c r="H117" s="286">
        <v>70</v>
      </c>
      <c r="I117" s="301">
        <v>75</v>
      </c>
      <c r="J117" s="301" t="s">
        <v>576</v>
      </c>
      <c r="M117" s="14"/>
    </row>
    <row r="118" spans="1:13">
      <c r="A118" s="302" t="s">
        <v>672</v>
      </c>
      <c r="B118" s="300" t="s">
        <v>538</v>
      </c>
      <c r="C118" s="289">
        <v>2</v>
      </c>
      <c r="D118" s="290">
        <v>12</v>
      </c>
      <c r="E118" s="300" t="s">
        <v>534</v>
      </c>
      <c r="F118" s="300" t="s">
        <v>533</v>
      </c>
      <c r="G118" s="291" t="s">
        <v>539</v>
      </c>
      <c r="H118" s="286">
        <v>70</v>
      </c>
      <c r="I118" s="301">
        <v>75</v>
      </c>
      <c r="J118" s="301" t="s">
        <v>570</v>
      </c>
      <c r="M118" s="14"/>
    </row>
    <row r="119" spans="1:13">
      <c r="A119" s="302" t="s">
        <v>673</v>
      </c>
      <c r="B119" s="300" t="s">
        <v>533</v>
      </c>
      <c r="C119" s="289">
        <v>2</v>
      </c>
      <c r="D119" s="290">
        <v>6</v>
      </c>
      <c r="E119" s="300" t="s">
        <v>533</v>
      </c>
      <c r="F119" s="300" t="s">
        <v>533</v>
      </c>
      <c r="G119" s="291" t="s">
        <v>533</v>
      </c>
      <c r="H119" s="286" t="s">
        <v>533</v>
      </c>
      <c r="I119" s="286" t="s">
        <v>533</v>
      </c>
      <c r="J119" s="301"/>
      <c r="M119" s="14"/>
    </row>
    <row r="120" spans="1:13">
      <c r="A120" s="302" t="s">
        <v>674</v>
      </c>
      <c r="B120" s="300" t="s">
        <v>533</v>
      </c>
      <c r="C120" s="289">
        <v>2</v>
      </c>
      <c r="D120" s="290">
        <v>2</v>
      </c>
      <c r="E120" s="300" t="s">
        <v>533</v>
      </c>
      <c r="F120" s="300" t="s">
        <v>533</v>
      </c>
      <c r="G120" s="291" t="s">
        <v>533</v>
      </c>
      <c r="H120" s="286" t="s">
        <v>533</v>
      </c>
      <c r="I120" s="286" t="s">
        <v>533</v>
      </c>
      <c r="J120" s="301"/>
      <c r="M120" s="14"/>
    </row>
    <row r="121" spans="1:13">
      <c r="A121" s="302" t="s">
        <v>675</v>
      </c>
      <c r="B121" s="300" t="s">
        <v>538</v>
      </c>
      <c r="C121" s="289">
        <v>2</v>
      </c>
      <c r="D121" s="290">
        <v>12</v>
      </c>
      <c r="E121" s="300" t="s">
        <v>534</v>
      </c>
      <c r="F121" s="300" t="s">
        <v>535</v>
      </c>
      <c r="G121" s="291" t="s">
        <v>533</v>
      </c>
      <c r="H121" s="286" t="s">
        <v>533</v>
      </c>
      <c r="I121" s="286" t="s">
        <v>533</v>
      </c>
      <c r="J121" s="301"/>
      <c r="M121" s="14"/>
    </row>
    <row r="122" spans="1:13">
      <c r="A122" s="302" t="s">
        <v>676</v>
      </c>
      <c r="B122" s="300" t="s">
        <v>538</v>
      </c>
      <c r="C122" s="289">
        <v>2</v>
      </c>
      <c r="D122" s="290">
        <v>10</v>
      </c>
      <c r="E122" s="300" t="s">
        <v>534</v>
      </c>
      <c r="F122" s="300" t="s">
        <v>533</v>
      </c>
      <c r="G122" s="291" t="s">
        <v>533</v>
      </c>
      <c r="H122" s="286" t="s">
        <v>533</v>
      </c>
      <c r="I122" s="286" t="s">
        <v>533</v>
      </c>
      <c r="J122" s="301" t="s">
        <v>570</v>
      </c>
      <c r="M122" s="14"/>
    </row>
    <row r="123" spans="1:13">
      <c r="A123" s="302" t="s">
        <v>677</v>
      </c>
      <c r="B123" s="300" t="s">
        <v>538</v>
      </c>
      <c r="C123" s="289" t="s">
        <v>533</v>
      </c>
      <c r="D123" s="290">
        <v>10</v>
      </c>
      <c r="E123" s="300" t="s">
        <v>534</v>
      </c>
      <c r="F123" s="300" t="s">
        <v>535</v>
      </c>
      <c r="G123" s="291" t="s">
        <v>533</v>
      </c>
      <c r="H123" s="286" t="s">
        <v>533</v>
      </c>
      <c r="I123" s="286" t="s">
        <v>533</v>
      </c>
      <c r="J123" s="301"/>
      <c r="M123" s="14"/>
    </row>
    <row r="124" spans="1:13">
      <c r="A124" s="302" t="s">
        <v>678</v>
      </c>
      <c r="B124" s="300" t="s">
        <v>533</v>
      </c>
      <c r="C124" s="289">
        <v>2</v>
      </c>
      <c r="D124" s="290">
        <v>6</v>
      </c>
      <c r="E124" s="300" t="s">
        <v>533</v>
      </c>
      <c r="F124" s="300" t="s">
        <v>535</v>
      </c>
      <c r="G124" s="291" t="s">
        <v>679</v>
      </c>
      <c r="H124" s="286">
        <v>70</v>
      </c>
      <c r="I124" s="301">
        <v>75</v>
      </c>
      <c r="J124" s="301"/>
      <c r="M124" s="14"/>
    </row>
    <row r="125" spans="1:13">
      <c r="A125" s="303" t="s">
        <v>680</v>
      </c>
      <c r="B125" s="300" t="s">
        <v>533</v>
      </c>
      <c r="C125" s="289">
        <v>2</v>
      </c>
      <c r="D125" s="290">
        <v>6</v>
      </c>
      <c r="E125" s="300" t="s">
        <v>533</v>
      </c>
      <c r="F125" s="300" t="s">
        <v>533</v>
      </c>
      <c r="G125" s="291" t="s">
        <v>539</v>
      </c>
      <c r="H125" s="286">
        <v>72</v>
      </c>
      <c r="I125" s="301">
        <v>78</v>
      </c>
      <c r="J125" s="301"/>
      <c r="M125" s="14"/>
    </row>
    <row r="126" spans="1:13">
      <c r="A126" s="302" t="s">
        <v>95</v>
      </c>
      <c r="B126" s="300" t="s">
        <v>519</v>
      </c>
      <c r="C126" s="289" t="s">
        <v>519</v>
      </c>
      <c r="D126" s="290" t="s">
        <v>519</v>
      </c>
      <c r="E126" s="300" t="s">
        <v>519</v>
      </c>
      <c r="F126" s="300" t="s">
        <v>519</v>
      </c>
      <c r="G126" s="291" t="s">
        <v>519</v>
      </c>
      <c r="H126" s="301" t="s">
        <v>519</v>
      </c>
      <c r="I126" s="301" t="s">
        <v>519</v>
      </c>
      <c r="J126" s="301"/>
      <c r="M126" s="14"/>
    </row>
    <row r="127" spans="1:13">
      <c r="A127" s="303" t="s">
        <v>681</v>
      </c>
      <c r="B127" s="300" t="s">
        <v>542</v>
      </c>
      <c r="C127" s="289">
        <v>3</v>
      </c>
      <c r="D127" s="290">
        <v>15</v>
      </c>
      <c r="E127" s="300" t="s">
        <v>533</v>
      </c>
      <c r="F127" s="300" t="s">
        <v>535</v>
      </c>
      <c r="G127" s="291" t="s">
        <v>539</v>
      </c>
      <c r="H127" s="301">
        <v>70</v>
      </c>
      <c r="I127" s="301">
        <v>75</v>
      </c>
      <c r="J127" s="301"/>
      <c r="M127" s="14"/>
    </row>
    <row r="128" spans="1:13">
      <c r="M128" s="14"/>
    </row>
    <row r="129" spans="13:13">
      <c r="M129" s="14"/>
    </row>
    <row r="130" spans="13:13">
      <c r="M130" s="14"/>
    </row>
    <row r="131" spans="13:13">
      <c r="M131" s="14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zoomScale="115" zoomScaleNormal="115" workbookViewId="0">
      <selection activeCell="H8" sqref="H8"/>
    </sheetView>
  </sheetViews>
  <sheetFormatPr defaultColWidth="8.85546875" defaultRowHeight="12.75"/>
  <cols>
    <col min="2" max="2" width="18.42578125" bestFit="1" customWidth="1"/>
    <col min="7" max="7" width="41.42578125" bestFit="1" customWidth="1"/>
    <col min="8" max="8" width="63.42578125" style="105" customWidth="1"/>
    <col min="9" max="9" width="69.7109375" customWidth="1"/>
  </cols>
  <sheetData>
    <row r="5" spans="2:9">
      <c r="B5" s="13" t="s">
        <v>682</v>
      </c>
      <c r="G5" s="322" t="s">
        <v>683</v>
      </c>
      <c r="H5" s="322"/>
      <c r="I5" s="322"/>
    </row>
    <row r="6" spans="2:9">
      <c r="G6" s="13" t="s">
        <v>684</v>
      </c>
      <c r="H6" s="104" t="s">
        <v>685</v>
      </c>
      <c r="I6" s="13" t="s">
        <v>59</v>
      </c>
    </row>
    <row r="7" spans="2:9" ht="14.25">
      <c r="B7" s="358" t="s">
        <v>686</v>
      </c>
      <c r="C7" s="359"/>
      <c r="D7" s="360"/>
      <c r="G7" s="13" t="s">
        <v>687</v>
      </c>
      <c r="H7" s="104" t="s">
        <v>688</v>
      </c>
      <c r="I7" s="13" t="s">
        <v>689</v>
      </c>
    </row>
    <row r="8" spans="2:9" ht="14.25">
      <c r="B8" s="5" t="s">
        <v>60</v>
      </c>
      <c r="C8" s="6" t="s">
        <v>690</v>
      </c>
      <c r="D8" s="6" t="s">
        <v>691</v>
      </c>
      <c r="G8" s="13" t="s">
        <v>692</v>
      </c>
      <c r="H8" s="104" t="s">
        <v>693</v>
      </c>
      <c r="I8" s="13" t="s">
        <v>694</v>
      </c>
    </row>
    <row r="9" spans="2:9" ht="25.5">
      <c r="B9" s="4">
        <v>1</v>
      </c>
      <c r="C9" s="7">
        <v>6</v>
      </c>
      <c r="D9" s="7">
        <v>30</v>
      </c>
      <c r="G9" t="s">
        <v>695</v>
      </c>
      <c r="I9" s="105" t="s">
        <v>696</v>
      </c>
    </row>
    <row r="10" spans="2:9" ht="25.5">
      <c r="B10" s="4">
        <v>400</v>
      </c>
      <c r="C10" s="7">
        <v>8</v>
      </c>
      <c r="D10" s="7">
        <v>30</v>
      </c>
      <c r="G10" t="s">
        <v>697</v>
      </c>
      <c r="I10" s="105" t="s">
        <v>698</v>
      </c>
    </row>
    <row r="11" spans="2:9" ht="25.5">
      <c r="B11" s="4">
        <v>700</v>
      </c>
      <c r="C11" s="7">
        <v>10</v>
      </c>
      <c r="D11" s="7">
        <v>35</v>
      </c>
      <c r="G11" t="s">
        <v>699</v>
      </c>
      <c r="I11" s="105" t="s">
        <v>700</v>
      </c>
    </row>
    <row r="12" spans="2:9" ht="25.5">
      <c r="B12" s="4">
        <v>1000</v>
      </c>
      <c r="C12" s="7">
        <v>12</v>
      </c>
      <c r="D12" s="7">
        <v>45</v>
      </c>
      <c r="G12" t="s">
        <v>701</v>
      </c>
      <c r="I12" s="105" t="s">
        <v>702</v>
      </c>
    </row>
    <row r="13" spans="2:9" ht="25.5">
      <c r="B13" s="4">
        <v>1500</v>
      </c>
      <c r="C13" s="7">
        <v>14</v>
      </c>
      <c r="D13" s="7">
        <v>55</v>
      </c>
      <c r="G13" t="s">
        <v>703</v>
      </c>
      <c r="I13" s="105" t="s">
        <v>704</v>
      </c>
    </row>
    <row r="14" spans="2:9" ht="26.25" thickBot="1">
      <c r="B14" s="8">
        <v>2100</v>
      </c>
      <c r="C14" s="9">
        <v>16</v>
      </c>
      <c r="D14" s="9">
        <v>60</v>
      </c>
      <c r="G14" t="s">
        <v>705</v>
      </c>
      <c r="I14" s="105" t="s">
        <v>706</v>
      </c>
    </row>
    <row r="15" spans="2:9">
      <c r="G15" t="s">
        <v>707</v>
      </c>
      <c r="I15" s="105" t="s">
        <v>708</v>
      </c>
    </row>
    <row r="16" spans="2:9" ht="25.5">
      <c r="B16" s="361" t="s">
        <v>709</v>
      </c>
      <c r="C16" s="361"/>
      <c r="D16" s="361"/>
      <c r="E16" s="361"/>
      <c r="F16" s="361"/>
      <c r="G16" t="s">
        <v>710</v>
      </c>
      <c r="I16" s="105" t="s">
        <v>711</v>
      </c>
    </row>
    <row r="17" spans="2:9">
      <c r="B17" s="102" t="s">
        <v>712</v>
      </c>
      <c r="C17" s="103" cm="1">
        <f t="array" ref="C17">GetStandardAtmPressure(INPUT_OUTPUTS!$G$6)</f>
        <v>14.696</v>
      </c>
      <c r="D17" s="102" t="s">
        <v>713</v>
      </c>
      <c r="E17" s="102"/>
      <c r="F17" s="102"/>
      <c r="G17" t="s">
        <v>714</v>
      </c>
      <c r="I17" s="105" t="s">
        <v>715</v>
      </c>
    </row>
    <row r="18" spans="2:9" ht="25.5">
      <c r="B18" s="102" t="s">
        <v>716</v>
      </c>
      <c r="C18" s="103" cm="1">
        <f t="array" ref="C18">GetDryAirDensity(75,$C$17)</f>
        <v>7.4189320746836998E-2</v>
      </c>
      <c r="D18" s="102" t="s">
        <v>717</v>
      </c>
      <c r="E18" s="102"/>
      <c r="F18" s="102"/>
      <c r="G18" t="s">
        <v>718</v>
      </c>
      <c r="I18" s="105" t="s">
        <v>719</v>
      </c>
    </row>
    <row r="19" spans="2:9" ht="25.5">
      <c r="B19" s="102" t="s">
        <v>720</v>
      </c>
      <c r="C19" s="103">
        <f>C18*60*0.24</f>
        <v>1.0683262187544529</v>
      </c>
      <c r="D19" s="102"/>
      <c r="E19" s="102"/>
      <c r="F19" s="102"/>
      <c r="G19" t="s">
        <v>721</v>
      </c>
      <c r="I19" s="105" t="s">
        <v>722</v>
      </c>
    </row>
    <row r="20" spans="2:9">
      <c r="B20" s="102" t="s">
        <v>723</v>
      </c>
      <c r="C20" s="103">
        <f>$C$18*60</f>
        <v>4.4513592448102202</v>
      </c>
      <c r="D20" s="102"/>
      <c r="E20" s="102"/>
      <c r="F20" s="102"/>
      <c r="G20" t="s">
        <v>724</v>
      </c>
      <c r="I20" s="105" t="s">
        <v>725</v>
      </c>
    </row>
    <row r="21" spans="2:9" ht="25.5">
      <c r="G21" t="s">
        <v>726</v>
      </c>
      <c r="I21" s="105" t="s">
        <v>727</v>
      </c>
    </row>
    <row r="22" spans="2:9" ht="25.5">
      <c r="G22" t="s">
        <v>728</v>
      </c>
      <c r="I22" s="105" t="s">
        <v>729</v>
      </c>
    </row>
    <row r="23" spans="2:9">
      <c r="G23" t="s">
        <v>730</v>
      </c>
      <c r="I23" s="105" t="s">
        <v>731</v>
      </c>
    </row>
    <row r="24" spans="2:9">
      <c r="G24" t="s">
        <v>732</v>
      </c>
      <c r="I24" s="105" t="s">
        <v>733</v>
      </c>
    </row>
    <row r="25" spans="2:9">
      <c r="G25" t="s">
        <v>734</v>
      </c>
      <c r="I25" s="105" t="s">
        <v>735</v>
      </c>
    </row>
    <row r="26" spans="2:9" ht="25.5">
      <c r="G26" t="s">
        <v>736</v>
      </c>
      <c r="I26" s="105" t="s">
        <v>737</v>
      </c>
    </row>
    <row r="27" spans="2:9">
      <c r="G27" t="s">
        <v>738</v>
      </c>
      <c r="I27" s="105" t="s">
        <v>739</v>
      </c>
    </row>
    <row r="28" spans="2:9">
      <c r="D28" s="13"/>
      <c r="G28" t="s">
        <v>740</v>
      </c>
      <c r="I28" s="105" t="s">
        <v>741</v>
      </c>
    </row>
    <row r="29" spans="2:9">
      <c r="G29" t="s">
        <v>742</v>
      </c>
      <c r="I29" s="105" t="s">
        <v>743</v>
      </c>
    </row>
    <row r="30" spans="2:9">
      <c r="G30" t="s">
        <v>744</v>
      </c>
      <c r="I30" s="105" t="s">
        <v>745</v>
      </c>
    </row>
    <row r="31" spans="2:9">
      <c r="G31" t="s">
        <v>746</v>
      </c>
      <c r="I31" s="105" t="s">
        <v>747</v>
      </c>
    </row>
    <row r="32" spans="2:9">
      <c r="G32" t="s">
        <v>748</v>
      </c>
      <c r="I32" s="105" t="s">
        <v>749</v>
      </c>
    </row>
    <row r="33" spans="7:9">
      <c r="G33" t="s">
        <v>750</v>
      </c>
      <c r="I33" s="105" t="s">
        <v>751</v>
      </c>
    </row>
    <row r="34" spans="7:9">
      <c r="G34" t="s">
        <v>752</v>
      </c>
      <c r="I34" s="105" t="s">
        <v>753</v>
      </c>
    </row>
    <row r="35" spans="7:9">
      <c r="G35" t="s">
        <v>754</v>
      </c>
      <c r="I35" s="105" t="s">
        <v>755</v>
      </c>
    </row>
    <row r="36" spans="7:9">
      <c r="G36" t="s">
        <v>756</v>
      </c>
      <c r="I36" s="105" t="s">
        <v>757</v>
      </c>
    </row>
    <row r="37" spans="7:9">
      <c r="G37" t="s">
        <v>758</v>
      </c>
      <c r="I37" s="105" t="s">
        <v>759</v>
      </c>
    </row>
    <row r="38" spans="7:9">
      <c r="G38" t="s">
        <v>760</v>
      </c>
      <c r="I38" s="105" t="s">
        <v>761</v>
      </c>
    </row>
    <row r="39" spans="7:9" ht="25.5">
      <c r="G39" t="s">
        <v>762</v>
      </c>
      <c r="I39" s="105" t="s">
        <v>763</v>
      </c>
    </row>
    <row r="40" spans="7:9" ht="38.25">
      <c r="G40" t="s">
        <v>764</v>
      </c>
      <c r="I40" s="105" t="s">
        <v>765</v>
      </c>
    </row>
    <row r="41" spans="7:9">
      <c r="G41" t="s">
        <v>766</v>
      </c>
      <c r="I41" s="105" t="s">
        <v>767</v>
      </c>
    </row>
    <row r="42" spans="7:9" ht="25.5">
      <c r="G42" t="s">
        <v>768</v>
      </c>
      <c r="I42" s="105" t="s">
        <v>769</v>
      </c>
    </row>
    <row r="43" spans="7:9" ht="25.5">
      <c r="G43" t="s">
        <v>770</v>
      </c>
      <c r="I43" s="105" t="s">
        <v>771</v>
      </c>
    </row>
    <row r="44" spans="7:9">
      <c r="G44" t="s">
        <v>772</v>
      </c>
      <c r="I44" s="105" t="s">
        <v>773</v>
      </c>
    </row>
    <row r="45" spans="7:9">
      <c r="G45" t="s">
        <v>774</v>
      </c>
      <c r="I45" s="105" t="s">
        <v>775</v>
      </c>
    </row>
    <row r="46" spans="7:9">
      <c r="G46" t="s">
        <v>776</v>
      </c>
      <c r="I46" s="105" t="s">
        <v>777</v>
      </c>
    </row>
    <row r="47" spans="7:9" ht="25.5">
      <c r="G47" t="s">
        <v>778</v>
      </c>
      <c r="I47" s="105" t="s">
        <v>779</v>
      </c>
    </row>
    <row r="48" spans="7:9">
      <c r="G48" t="s">
        <v>780</v>
      </c>
      <c r="I48" s="105" t="s">
        <v>781</v>
      </c>
    </row>
    <row r="49" spans="7:9" ht="38.25">
      <c r="G49" t="s">
        <v>782</v>
      </c>
      <c r="I49" s="105" t="s">
        <v>783</v>
      </c>
    </row>
    <row r="50" spans="7:9" ht="51">
      <c r="G50" t="s">
        <v>784</v>
      </c>
      <c r="I50" s="105" t="s">
        <v>785</v>
      </c>
    </row>
    <row r="51" spans="7:9" ht="38.25">
      <c r="G51" t="s">
        <v>786</v>
      </c>
      <c r="I51" s="105" t="s">
        <v>787</v>
      </c>
    </row>
  </sheetData>
  <mergeCells count="3">
    <mergeCell ref="B7:D7"/>
    <mergeCell ref="B16:F16"/>
    <mergeCell ref="G5:I5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14</vt:i4>
      </vt:variant>
    </vt:vector>
  </HeadingPairs>
  <TitlesOfParts>
    <vt:vector size="24" baseType="lpstr">
      <vt:lpstr>INPUT_OUTPUTS</vt:lpstr>
      <vt:lpstr>AHU 1</vt:lpstr>
      <vt:lpstr>AhsraeTable4a</vt:lpstr>
      <vt:lpstr>62.1_MULTI_ZONE</vt:lpstr>
      <vt:lpstr>Generic</vt:lpstr>
      <vt:lpstr>AHU_Psych</vt:lpstr>
      <vt:lpstr>62.1_SINGLE_ZONE</vt:lpstr>
      <vt:lpstr>ASHRAE Table</vt:lpstr>
      <vt:lpstr>UMC Table 4-A</vt:lpstr>
      <vt:lpstr>DO NOT TOUCH</vt:lpstr>
      <vt:lpstr>AhsraeTable4a!AHU_1AC_AV</vt:lpstr>
      <vt:lpstr>'AHU 1'!AHU_1AC_AV</vt:lpstr>
      <vt:lpstr>Generic!AHU_1AC_AV</vt:lpstr>
      <vt:lpstr>'62.1_MULTI_ZONE'!AHUs</vt:lpstr>
      <vt:lpstr>AhsraeTable4a!Print_Area</vt:lpstr>
      <vt:lpstr>'AHU 1'!Print_Area</vt:lpstr>
      <vt:lpstr>AHU_Psych!Print_Area</vt:lpstr>
      <vt:lpstr>Generic!Print_Area</vt:lpstr>
      <vt:lpstr>'UMC Table 4-A'!Print_Area</vt:lpstr>
      <vt:lpstr>AhsraeTable4a!Print_Titles</vt:lpstr>
      <vt:lpstr>'AHU 1'!Print_Titles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dcterms:created xsi:type="dcterms:W3CDTF">2001-05-17T15:02:58Z</dcterms:created>
  <dcterms:modified xsi:type="dcterms:W3CDTF">2023-11-03T17:50:34Z</dcterms:modified>
  <cp:category/>
  <cp:contentStatus/>
</cp:coreProperties>
</file>