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Documents\PsychroCalc\"/>
    </mc:Choice>
  </mc:AlternateContent>
  <xr:revisionPtr revIDLastSave="0" documentId="13_ncr:1_{289436E3-A5B1-49D7-9C24-5E7E176F96B1}" xr6:coauthVersionLast="47" xr6:coauthVersionMax="47" xr10:uidLastSave="{00000000-0000-0000-0000-000000000000}"/>
  <bookViews>
    <workbookView xWindow="28680" yWindow="-120" windowWidth="29040" windowHeight="16440" activeTab="1" xr2:uid="{00000000-000D-0000-FFFF-FFFF00000000}"/>
  </bookViews>
  <sheets>
    <sheet name="INPUT_OUTPUTS" sheetId="64" r:id="rId1"/>
    <sheet name="Generic" sheetId="110" r:id="rId2"/>
    <sheet name="AHU_Psych" sheetId="45" r:id="rId3"/>
    <sheet name="62.1_SINGLE_ZONE" sheetId="104" r:id="rId4"/>
    <sheet name="62.1_MULTI_ZONE" sheetId="107" r:id="rId5"/>
    <sheet name="ASHRAE Table" sheetId="105" r:id="rId6"/>
    <sheet name="UMC Table 4-A" sheetId="37" r:id="rId7"/>
    <sheet name="DO NOT TOUCH" sheetId="63" r:id="rId8"/>
  </sheets>
  <functionGroups builtInGroupCount="19"/>
  <definedNames>
    <definedName name="_CAV1">#REF!</definedName>
    <definedName name="_CAV1." localSheetId="1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Generic!$AD$7:$AP$43</definedName>
    <definedName name="AHU_1AC_AV">#REF!</definedName>
    <definedName name="AHUs" localSheetId="4">Table7[TAG]</definedName>
    <definedName name="CAV_1A_SCHEDULE" localSheetId="1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2">AHU_Psych!$A$8:$AZ$13</definedName>
    <definedName name="_xlnm.Print_Area" localSheetId="1">Generic!$D$4:$V$17</definedName>
    <definedName name="_xlnm.Print_Area" localSheetId="6">'UMC Table 4-A'!$A$1:$E$132</definedName>
    <definedName name="_xlnm.Print_Titles" localSheetId="1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8" i="45" l="1"/>
  <c r="BA12" i="45"/>
  <c r="F4" i="107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AB12" i="45" a="1"/>
  <c r="S12" i="45" a="1"/>
  <c r="P12" i="45" a="1"/>
  <c r="AB12" i="45" l="1"/>
  <c r="S12" i="45"/>
  <c r="P12" i="45"/>
  <c r="U5" i="104"/>
  <c r="AC5" i="107"/>
  <c r="U4" i="104"/>
  <c r="AC4" i="107"/>
  <c r="U3" i="104"/>
  <c r="J4" i="104" l="1"/>
  <c r="K4" i="104"/>
  <c r="L4" i="104"/>
  <c r="M4" i="104"/>
  <c r="J5" i="104"/>
  <c r="K5" i="104"/>
  <c r="L5" i="104"/>
  <c r="M5" i="104"/>
  <c r="M3" i="104"/>
  <c r="L3" i="104"/>
  <c r="K3" i="104"/>
  <c r="J3" i="104"/>
  <c r="S9" i="110"/>
  <c r="S10" i="110"/>
  <c r="S11" i="110"/>
  <c r="S12" i="110"/>
  <c r="S13" i="110"/>
  <c r="S14" i="110"/>
  <c r="S15" i="110"/>
  <c r="S16" i="110"/>
  <c r="S17" i="110"/>
  <c r="J8" i="110" l="1"/>
  <c r="J9" i="110"/>
  <c r="J10" i="110"/>
  <c r="J11" i="110"/>
  <c r="J12" i="110"/>
  <c r="J13" i="110"/>
  <c r="J14" i="110"/>
  <c r="J15" i="110"/>
  <c r="J16" i="110"/>
  <c r="J17" i="110"/>
  <c r="J7" i="110"/>
  <c r="Q7" i="110"/>
  <c r="AS44" i="110" l="1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P14" i="110"/>
  <c r="G14" i="110"/>
  <c r="R14" i="110" s="1"/>
  <c r="O14" i="110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S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V7" i="110"/>
  <c r="M7" i="110"/>
  <c r="N7" i="110" s="1"/>
  <c r="S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U16" i="110" l="1"/>
  <c r="R9" i="110"/>
  <c r="AN7" i="110"/>
  <c r="AO7" i="110" s="1"/>
  <c r="AP7" i="110" s="1"/>
  <c r="T11" i="110"/>
  <c r="Z17" i="110"/>
  <c r="T8" i="110"/>
  <c r="Z10" i="110"/>
  <c r="AN8" i="110"/>
  <c r="AO8" i="110" s="1"/>
  <c r="AP8" i="110" s="1"/>
  <c r="T14" i="110"/>
  <c r="Y14" i="110" s="1"/>
  <c r="AL9" i="110"/>
  <c r="N18" i="110"/>
  <c r="AY2" i="110" s="1"/>
  <c r="Z16" i="110"/>
  <c r="X16" i="110"/>
  <c r="T16" i="110"/>
  <c r="Z13" i="110"/>
  <c r="X13" i="110"/>
  <c r="U13" i="110"/>
  <c r="T13" i="110"/>
  <c r="U17" i="110"/>
  <c r="V9" i="110"/>
  <c r="V18" i="110" s="1"/>
  <c r="AM11" i="110"/>
  <c r="U12" i="110"/>
  <c r="U7" i="110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AW5" i="107" l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T17" i="110"/>
  <c r="Y17" i="110" s="1"/>
  <c r="X11" i="110"/>
  <c r="U11" i="110"/>
  <c r="Z11" i="110"/>
  <c r="X8" i="110"/>
  <c r="T10" i="110"/>
  <c r="U10" i="110"/>
  <c r="W10" i="110" s="1"/>
  <c r="AA10" i="110" s="1"/>
  <c r="X10" i="110"/>
  <c r="Z8" i="110"/>
  <c r="X17" i="110"/>
  <c r="U8" i="110"/>
  <c r="W8" i="110" s="1"/>
  <c r="AA8" i="110" s="1"/>
  <c r="AA13" i="110"/>
  <c r="X14" i="110"/>
  <c r="Z14" i="110"/>
  <c r="U14" i="110"/>
  <c r="W14" i="110" s="1"/>
  <c r="AA14" i="110" s="1"/>
  <c r="AL10" i="110"/>
  <c r="AN9" i="110"/>
  <c r="AO9" i="110" s="1"/>
  <c r="AP9" i="110" s="1"/>
  <c r="F12" i="45"/>
  <c r="S18" i="110"/>
  <c r="AM12" i="110"/>
  <c r="T7" i="110"/>
  <c r="Z7" i="110"/>
  <c r="X7" i="110"/>
  <c r="Z15" i="110"/>
  <c r="X15" i="110"/>
  <c r="T15" i="110"/>
  <c r="Y11" i="110"/>
  <c r="W11" i="110"/>
  <c r="AA11" i="110" s="1"/>
  <c r="Y10" i="110"/>
  <c r="Z12" i="110"/>
  <c r="X12" i="110"/>
  <c r="T12" i="110"/>
  <c r="Y16" i="110"/>
  <c r="U15" i="110"/>
  <c r="Y13" i="110"/>
  <c r="Y8" i="110"/>
  <c r="U18" i="110"/>
  <c r="AX2" i="110" s="1"/>
  <c r="Z6" i="107"/>
  <c r="AG3" i="107"/>
  <c r="AW6" i="107"/>
  <c r="AX6" i="107" s="1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N6" i="107" l="1"/>
  <c r="O6" i="107"/>
  <c r="P5" i="107" s="1"/>
  <c r="Q5" i="107" s="1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X4" i="110"/>
  <c r="C12" i="45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R5" i="107"/>
  <c r="S5" i="107" s="1"/>
  <c r="P3" i="107"/>
  <c r="P4" i="107"/>
  <c r="Q4" i="107" s="1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AP3" i="107" l="1"/>
  <c r="AQ3" i="107" s="1"/>
  <c r="AD3" i="107"/>
  <c r="X6" i="104"/>
  <c r="V3" i="104"/>
  <c r="AL12" i="110"/>
  <c r="AN11" i="110"/>
  <c r="AO11" i="110" s="1"/>
  <c r="AP11" i="110" s="1"/>
  <c r="W9" i="110"/>
  <c r="AA9" i="110" s="1"/>
  <c r="Y9" i="110"/>
  <c r="AM14" i="110"/>
  <c r="T18" i="110"/>
  <c r="AW2" i="110" s="1"/>
  <c r="W18" i="110"/>
  <c r="AA7" i="110"/>
  <c r="AF3" i="107"/>
  <c r="AH3" i="107" s="1"/>
  <c r="AO3" i="107"/>
  <c r="AI5" i="107"/>
  <c r="Q3" i="107"/>
  <c r="Q6" i="107" s="1"/>
  <c r="R3" i="107"/>
  <c r="R4" i="107"/>
  <c r="S4" i="107" s="1"/>
  <c r="AE6" i="107"/>
  <c r="AW8" i="107"/>
  <c r="AX8" i="107" s="1"/>
  <c r="Z5" i="104"/>
  <c r="W5" i="104"/>
  <c r="V6" i="104"/>
  <c r="R6" i="104"/>
  <c r="W3" i="104" l="1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W6" i="104" l="1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AL15" i="110" l="1"/>
  <c r="AN14" i="110"/>
  <c r="AO14" i="110" s="1"/>
  <c r="AP14" i="110" s="1"/>
  <c r="AM17" i="110"/>
  <c r="AW11" i="107"/>
  <c r="AX11" i="107" s="1"/>
  <c r="AY10" i="107"/>
  <c r="AZ10" i="107" s="1"/>
  <c r="AC12" i="45"/>
  <c r="AD12" i="45"/>
  <c r="K12" i="45"/>
  <c r="J12" i="45"/>
  <c r="H12" i="45"/>
  <c r="G12" i="45"/>
  <c r="L12" i="45"/>
  <c r="AT12" i="45"/>
  <c r="AS12" i="45"/>
  <c r="AJ12" i="45"/>
  <c r="X12" i="45"/>
  <c r="AI12" i="45"/>
  <c r="W12" i="45"/>
  <c r="AE12" i="45" a="1"/>
  <c r="AE12" i="45" l="1"/>
  <c r="AQ12" i="45"/>
  <c r="AO12" i="45"/>
  <c r="AP12" i="45"/>
  <c r="AL16" i="110"/>
  <c r="AN15" i="110"/>
  <c r="AO15" i="110" s="1"/>
  <c r="AP15" i="110" s="1"/>
  <c r="AM18" i="110"/>
  <c r="AY11" i="107"/>
  <c r="AZ11" i="107" s="1"/>
  <c r="AW12" i="107"/>
  <c r="AX12" i="107" s="1"/>
  <c r="AR12" i="45" l="1"/>
  <c r="AL17" i="110"/>
  <c r="AN16" i="110"/>
  <c r="AO16" i="110" s="1"/>
  <c r="AP16" i="110" s="1"/>
  <c r="AM19" i="110"/>
  <c r="AW13" i="107"/>
  <c r="AX13" i="107" s="1"/>
  <c r="AY12" i="107"/>
  <c r="AZ12" i="107" s="1"/>
  <c r="AL18" i="110" l="1"/>
  <c r="AN17" i="110"/>
  <c r="AO17" i="110" s="1"/>
  <c r="AP17" i="110" s="1"/>
  <c r="AM20" i="110"/>
  <c r="AW14" i="107"/>
  <c r="AX14" i="107" s="1"/>
  <c r="AY13" i="107"/>
  <c r="AZ13" i="107" s="1"/>
  <c r="AL19" i="110" l="1"/>
  <c r="AN18" i="110"/>
  <c r="AO18" i="110" s="1"/>
  <c r="AP18" i="110" s="1"/>
  <c r="AM21" i="110"/>
  <c r="AW15" i="107"/>
  <c r="AX15" i="107" s="1"/>
  <c r="AY14" i="107"/>
  <c r="AZ14" i="107" s="1"/>
  <c r="AL20" i="110" l="1"/>
  <c r="AN19" i="110"/>
  <c r="AO19" i="110" s="1"/>
  <c r="AP19" i="110" s="1"/>
  <c r="AM22" i="110"/>
  <c r="AY15" i="107"/>
  <c r="AZ15" i="107" s="1"/>
  <c r="AW16" i="107"/>
  <c r="AX16" i="107" s="1"/>
  <c r="AL21" i="110" l="1"/>
  <c r="AN20" i="110"/>
  <c r="AO20" i="110" s="1"/>
  <c r="AP20" i="110" s="1"/>
  <c r="AM23" i="110"/>
  <c r="AW17" i="107"/>
  <c r="AX17" i="107" s="1"/>
  <c r="AY16" i="107"/>
  <c r="AZ16" i="107" s="1"/>
  <c r="AL22" i="110" l="1"/>
  <c r="AN21" i="110"/>
  <c r="AO21" i="110" s="1"/>
  <c r="AP21" i="110" s="1"/>
  <c r="AM24" i="110"/>
  <c r="AW18" i="107"/>
  <c r="AX18" i="107" s="1"/>
  <c r="AY17" i="107"/>
  <c r="AZ17" i="107" s="1"/>
  <c r="AL23" i="110" l="1"/>
  <c r="AN22" i="110"/>
  <c r="AO22" i="110" s="1"/>
  <c r="AP22" i="110" s="1"/>
  <c r="AM25" i="110"/>
  <c r="AW19" i="107"/>
  <c r="AX19" i="107" s="1"/>
  <c r="AY18" i="107"/>
  <c r="AZ18" i="107" s="1"/>
  <c r="I12" i="45"/>
  <c r="AL24" i="110" l="1"/>
  <c r="AN23" i="110"/>
  <c r="AO23" i="110" s="1"/>
  <c r="AP23" i="110" s="1"/>
  <c r="AM26" i="110"/>
  <c r="AY19" i="107"/>
  <c r="AZ19" i="107" s="1"/>
  <c r="AW20" i="107"/>
  <c r="AX20" i="107" s="1"/>
  <c r="AL25" i="110" l="1"/>
  <c r="AN24" i="110"/>
  <c r="AO24" i="110" s="1"/>
  <c r="AP24" i="110" s="1"/>
  <c r="AM27" i="110"/>
  <c r="AW21" i="107"/>
  <c r="AX21" i="107" s="1"/>
  <c r="AY20" i="107"/>
  <c r="AZ20" i="107" s="1"/>
  <c r="AL26" i="110" l="1"/>
  <c r="AN25" i="110"/>
  <c r="AO25" i="110" s="1"/>
  <c r="AP25" i="110" s="1"/>
  <c r="AM28" i="110"/>
  <c r="AW22" i="107"/>
  <c r="AX22" i="107" s="1"/>
  <c r="AY21" i="107"/>
  <c r="AZ21" i="107" s="1"/>
  <c r="AL27" i="110" l="1"/>
  <c r="AN26" i="110"/>
  <c r="AO26" i="110" s="1"/>
  <c r="AP26" i="110" s="1"/>
  <c r="AM29" i="110"/>
  <c r="AW23" i="107"/>
  <c r="AX23" i="107" s="1"/>
  <c r="AY22" i="107"/>
  <c r="AZ22" i="107" s="1"/>
  <c r="AL28" i="110" l="1"/>
  <c r="AN27" i="110"/>
  <c r="AO27" i="110" s="1"/>
  <c r="AP27" i="110" s="1"/>
  <c r="AM30" i="110"/>
  <c r="AY23" i="107"/>
  <c r="AZ23" i="107" s="1"/>
  <c r="AW24" i="107"/>
  <c r="AX24" i="107" s="1"/>
  <c r="AL29" i="110" l="1"/>
  <c r="AN28" i="110"/>
  <c r="AO28" i="110" s="1"/>
  <c r="AP28" i="110" s="1"/>
  <c r="AM31" i="110"/>
  <c r="AW25" i="107"/>
  <c r="AX25" i="107" s="1"/>
  <c r="AY24" i="107"/>
  <c r="AZ24" i="107" s="1"/>
  <c r="AL30" i="110" l="1"/>
  <c r="AN29" i="110"/>
  <c r="AO29" i="110" s="1"/>
  <c r="AP29" i="110" s="1"/>
  <c r="AM32" i="110"/>
  <c r="AW26" i="107"/>
  <c r="AX26" i="107" s="1"/>
  <c r="AY25" i="107"/>
  <c r="AZ25" i="107" s="1"/>
  <c r="AL31" i="110" l="1"/>
  <c r="AN30" i="110"/>
  <c r="AO30" i="110" s="1"/>
  <c r="AP30" i="110" s="1"/>
  <c r="AM33" i="110"/>
  <c r="AW27" i="107"/>
  <c r="AX27" i="107" s="1"/>
  <c r="AY26" i="107"/>
  <c r="AZ26" i="107" s="1"/>
  <c r="AL32" i="110" l="1"/>
  <c r="AN31" i="110"/>
  <c r="AO31" i="110" s="1"/>
  <c r="AP31" i="110" s="1"/>
  <c r="AM34" i="110"/>
  <c r="AW28" i="107"/>
  <c r="AX28" i="107" s="1"/>
  <c r="AY27" i="107"/>
  <c r="AZ27" i="107" s="1"/>
  <c r="AL33" i="110" l="1"/>
  <c r="AN32" i="110"/>
  <c r="AO32" i="110" s="1"/>
  <c r="AP32" i="110" s="1"/>
  <c r="AM35" i="110"/>
  <c r="AW29" i="107"/>
  <c r="AX29" i="107" s="1"/>
  <c r="AY28" i="107"/>
  <c r="AZ28" i="107" s="1"/>
  <c r="AL34" i="110" l="1"/>
  <c r="AN33" i="110"/>
  <c r="AO33" i="110" s="1"/>
  <c r="AP33" i="110" s="1"/>
  <c r="AM36" i="110"/>
  <c r="AW30" i="107"/>
  <c r="AX30" i="107" s="1"/>
  <c r="AY29" i="107"/>
  <c r="AZ29" i="107" s="1"/>
  <c r="AL35" i="110" l="1"/>
  <c r="AN34" i="110"/>
  <c r="AO34" i="110" s="1"/>
  <c r="AP34" i="110" s="1"/>
  <c r="AM37" i="110"/>
  <c r="AW31" i="107"/>
  <c r="AX31" i="107" s="1"/>
  <c r="AY30" i="107"/>
  <c r="AZ30" i="107" s="1"/>
  <c r="AL36" i="110" l="1"/>
  <c r="AN35" i="110"/>
  <c r="AO35" i="110" s="1"/>
  <c r="AP35" i="110" s="1"/>
  <c r="AM38" i="110"/>
  <c r="AW32" i="107"/>
  <c r="AX32" i="107" s="1"/>
  <c r="AY31" i="107"/>
  <c r="AZ31" i="107" s="1"/>
  <c r="AL37" i="110" l="1"/>
  <c r="AN36" i="110"/>
  <c r="AO36" i="110" s="1"/>
  <c r="AP36" i="110" s="1"/>
  <c r="AM39" i="110"/>
  <c r="AW33" i="107"/>
  <c r="AX33" i="107" s="1"/>
  <c r="AY32" i="107"/>
  <c r="AZ32" i="107" s="1"/>
  <c r="AL38" i="110" l="1"/>
  <c r="AN37" i="110"/>
  <c r="AO37" i="110" s="1"/>
  <c r="AP37" i="110" s="1"/>
  <c r="AM40" i="110"/>
  <c r="AW34" i="107"/>
  <c r="AX34" i="107" s="1"/>
  <c r="AY33" i="107"/>
  <c r="AZ33" i="107" s="1"/>
  <c r="AL39" i="110" l="1"/>
  <c r="AN38" i="110"/>
  <c r="AO38" i="110" s="1"/>
  <c r="AP38" i="110" s="1"/>
  <c r="AM41" i="110"/>
  <c r="AW35" i="107"/>
  <c r="AX35" i="107" s="1"/>
  <c r="AY34" i="107"/>
  <c r="AZ34" i="107" s="1"/>
  <c r="AL40" i="110" l="1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M12" i="45" l="1"/>
  <c r="B13" i="45"/>
  <c r="O12" i="45" l="1"/>
  <c r="U12" i="45" s="1"/>
  <c r="N12" i="45"/>
  <c r="T12" i="45" s="1"/>
  <c r="AA12" i="45"/>
  <c r="AG12" i="45" s="1"/>
  <c r="Z12" i="45"/>
  <c r="AF12" i="45" s="1"/>
  <c r="AU12" i="45" l="1"/>
  <c r="AU13" i="45" s="1"/>
  <c r="AR13" i="45"/>
  <c r="AH12" i="45"/>
  <c r="AK12" i="45"/>
  <c r="V12" i="45"/>
  <c r="Y12" i="45"/>
  <c r="Y13" i="45" s="1"/>
  <c r="AN12" i="45" l="1"/>
  <c r="AN13" i="45" s="1"/>
  <c r="K8" i="64" s="1"/>
  <c r="K9" i="64" s="1" a="1"/>
  <c r="K9" i="64" s="1"/>
  <c r="AK13" i="45"/>
  <c r="AL12" i="45"/>
  <c r="AL13" i="45" s="1"/>
  <c r="K7" i="64" s="1"/>
  <c r="AM12" i="45"/>
  <c r="AW12" i="45" l="1"/>
  <c r="AV8" i="45" s="1" a="1"/>
  <c r="AV8" i="45" s="1"/>
  <c r="AX12" i="45" l="1"/>
  <c r="AY12" i="45" l="1"/>
  <c r="BE12" i="45" s="1"/>
  <c r="BB12" i="45"/>
  <c r="BD12" i="45" s="1"/>
  <c r="AY13" i="45"/>
  <c r="K10" i="64" s="1"/>
  <c r="AZ12" i="45"/>
  <c r="AZ13" i="45" s="1"/>
  <c r="K11" i="6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<sst xmlns="http://schemas.openxmlformats.org/spreadsheetml/2006/main" count="1848" uniqueCount="681">
  <si>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</si>
  <si>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</si>
  <si>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</si>
  <si>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</si>
  <si>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</si>
  <si>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</si>
  <si>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</si>
  <si>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Transfer Air CFM</t>
  </si>
  <si>
    <t>Balance?</t>
  </si>
  <si>
    <t>Across Unit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</si>
  <si>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</si>
  <si>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</si>
  <si>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</si>
  <si>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</si>
  <si>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</si>
  <si>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</si>
  <si>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</si>
  <si>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</si>
  <si>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</si>
  <si>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</si>
  <si>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</si>
  <si>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</si>
  <si>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</si>
  <si>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</si>
  <si>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</si>
  <si>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</si>
  <si>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</si>
  <si>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</si>
  <si>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</si>
  <si>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</si>
  <si>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</si>
  <si>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</si>
  <si>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</si>
  <si>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</si>
  <si>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</si>
  <si>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</si>
  <si>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</si>
  <si>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</si>
  <si>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</si>
  <si>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</si>
  <si>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</si>
  <si>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</si>
  <si>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</si>
  <si>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</si>
  <si>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</si>
  <si>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</si>
  <si>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</si>
  <si>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</si>
  <si>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</si>
  <si>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</si>
  <si>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</si>
  <si>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V-Lookup</t>
  </si>
  <si>
    <t>Size</t>
  </si>
  <si>
    <t>DESIGN CHECK</t>
  </si>
  <si>
    <t>AIR CALCULATION</t>
  </si>
  <si>
    <t>ROOM INFO</t>
  </si>
  <si>
    <t>CODE REQUIREMENTS</t>
  </si>
  <si>
    <t>REMARKS</t>
  </si>
  <si>
    <t>HUMIDIFICATION</t>
  </si>
  <si>
    <t>MIN MBH</t>
  </si>
  <si>
    <t>DESIGN 
LAT</t>
  </si>
  <si>
    <t>DESIGN 
LWT</t>
  </si>
  <si>
    <t>PATIENT ROOM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</si>
  <si>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</si>
  <si>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</si>
  <si>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</si>
  <si>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</si>
  <si>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</si>
  <si>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</si>
  <si>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</si>
  <si>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</si>
  <si>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</si>
  <si>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</si>
  <si>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</si>
  <si>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</si>
  <si>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</si>
  <si>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</si>
  <si>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</si>
  <si>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</si>
  <si>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</si>
  <si>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</si>
  <si>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</si>
  <si>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</si>
  <si>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</si>
  <si>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</si>
  <si>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</si>
  <si>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</si>
  <si>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</si>
  <si>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</si>
  <si>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</si>
  <si>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</si>
  <si>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</si>
  <si>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</si>
  <si>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</si>
  <si>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</si>
  <si>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</si>
  <si>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</si>
  <si>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</si>
  <si>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</si>
  <si>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</si>
  <si>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</si>
  <si>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</si>
  <si>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</si>
  <si>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</si>
  <si>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</si>
  <si>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</si>
  <si>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</si>
  <si>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</si>
  <si>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</si>
  <si>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</si>
  <si>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</si>
  <si>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</si>
  <si>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</si>
  <si>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</si>
  <si>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</si>
  <si>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</si>
  <si>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</si>
  <si>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</si>
  <si>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</si>
  <si>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</si>
  <si>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</si>
  <si>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</si>
  <si>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</si>
  <si>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</si>
  <si>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</si>
  <si>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</si>
  <si>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</si>
  <si>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</si>
  <si>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</si>
  <si>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</si>
  <si>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</si>
  <si>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</si>
  <si>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</si>
  <si>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</si>
  <si>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</si>
  <si>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</si>
  <si>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</si>
  <si>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</si>
  <si>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</si>
  <si>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</si>
  <si>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</si>
  <si>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</si>
  <si>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</si>
  <si>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</si>
  <si>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</si>
  <si>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</si>
  <si>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</si>
  <si>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</si>
  <si>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</si>
  <si>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</si>
  <si>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</si>
  <si>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</si>
  <si>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</si>
  <si>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</si>
  <si>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</si>
  <si>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</si>
  <si>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</si>
  <si>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</si>
  <si>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</si>
  <si>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</si>
  <si>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</si>
  <si>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</si>
  <si>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</si>
  <si>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</si>
  <si>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</si>
  <si>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</si>
  <si>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</si>
  <si>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</si>
  <si>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</si>
  <si>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</si>
  <si>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</si>
  <si>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</si>
  <si>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</si>
  <si>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</si>
  <si>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</si>
  <si>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</si>
  <si>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</si>
  <si>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</si>
  <si>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</si>
  <si>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</si>
  <si>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</si>
  <si>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</si>
  <si>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</si>
  <si>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</si>
  <si>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</si>
  <si>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</si>
  <si>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</si>
  <si>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</si>
  <si>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</si>
  <si>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</si>
  <si>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</si>
  <si>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</si>
  <si>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</si>
  <si>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</si>
  <si>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</si>
  <si>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</si>
  <si>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</si>
  <si>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</si>
  <si>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</si>
  <si>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</si>
  <si>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</si>
  <si>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</si>
  <si>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</si>
  <si>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</si>
  <si>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</si>
  <si>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</si>
  <si>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</si>
  <si>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</si>
  <si>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</si>
  <si>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</si>
  <si>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</si>
  <si>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</si>
  <si>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</si>
  <si>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</si>
  <si>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</si>
  <si>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</si>
  <si>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</si>
  <si>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</si>
  <si>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</si>
  <si>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</si>
  <si>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</si>
  <si>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</si>
  <si>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</si>
  <si>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</si>
  <si>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</si>
  <si>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</si>
  <si>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</si>
  <si>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</si>
  <si>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</si>
  <si>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</si>
  <si>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</si>
  <si>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</si>
  <si>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</si>
  <si>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</si>
  <si>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</si>
  <si>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</si>
  <si>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</si>
  <si>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</si>
  <si>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</si>
  <si>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</si>
  <si>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</si>
  <si>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</si>
  <si>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</si>
  <si>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</si>
  <si>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</si>
  <si>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</si>
  <si>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</si>
  <si>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</si>
  <si>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</si>
  <si>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</si>
  <si>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</si>
  <si>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</si>
  <si>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</si>
  <si>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</si>
  <si>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</si>
  <si>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</si>
  <si>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</si>
  <si>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</si>
  <si>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</si>
  <si>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</si>
  <si>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</si>
  <si>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</si>
  <si>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</si>
  <si>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</si>
  <si>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</si>
  <si>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</si>
  <si>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</si>
  <si>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</si>
  <si>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</si>
  <si>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</si>
  <si>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</si>
  <si>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</si>
  <si>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</si>
  <si>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</si>
  <si>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</si>
  <si>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</si>
  <si>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</si>
  <si>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</si>
  <si>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</si>
  <si>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</si>
  <si>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</si>
  <si>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</si>
  <si>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</si>
  <si>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</si>
  <si>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</si>
  <si>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</si>
  <si>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</si>
  <si>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</si>
  <si>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</si>
  <si>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</si>
  <si>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</si>
  <si>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</si>
  <si>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</si>
  <si>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</si>
  <si>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</si>
  <si>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</si>
  <si>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</si>
  <si>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</si>
  <si>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</si>
  <si>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</si>
  <si>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</si>
  <si>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</si>
  <si>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</si>
  <si>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</si>
  <si>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</si>
  <si>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</si>
  <si>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</si>
  <si>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</si>
  <si>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</si>
  <si>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</si>
  <si>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</si>
  <si>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</si>
  <si>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</si>
  <si>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</si>
  <si>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</si>
  <si>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</si>
  <si>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</si>
  <si>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</si>
  <si>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</si>
  <si>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</si>
  <si>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</si>
  <si>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</si>
  <si>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</si>
  <si>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</si>
  <si>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</si>
  <si>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</si>
  <si>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</si>
  <si>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</si>
  <si>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</si>
  <si>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</si>
  <si>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</si>
  <si>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</si>
  <si>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</si>
  <si>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</si>
  <si>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</si>
  <si>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</si>
  <si>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</si>
  <si>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</si>
  <si>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</si>
  <si>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</si>
  <si>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</si>
  <si>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</si>
  <si>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</si>
  <si>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</si>
  <si>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</si>
  <si>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</si>
  <si>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</si>
  <si>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</si>
  <si>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</si>
  <si>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</si>
  <si>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</si>
  <si>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</si>
  <si>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</si>
  <si>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</si>
  <si>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</si>
  <si>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</si>
  <si>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</si>
  <si>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</si>
  <si>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</si>
  <si>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</si>
  <si>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</si>
  <si>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</si>
  <si>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</si>
  <si>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</si>
  <si>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</si>
  <si>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</si>
  <si>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</si>
  <si>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</si>
  <si>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</si>
  <si>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</si>
  <si>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</si>
  <si>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</si>
  <si>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</si>
  <si>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</si>
  <si>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</si>
  <si>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</si>
  <si>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</si>
  <si>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</si>
  <si>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</si>
  <si>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</si>
  <si>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</si>
  <si>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</si>
  <si>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</si>
  <si>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</si>
  <si>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</si>
  <si>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</si>
  <si>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</si>
  <si>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</si>
  <si>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</si>
  <si>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</si>
  <si>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</si>
  <si>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</si>
  <si>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</si>
  <si>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</si>
  <si>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</si>
  <si>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</si>
  <si>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</si>
  <si>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</si>
  <si>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</si>
  <si>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</si>
  <si>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</si>
  <si>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</si>
  <si>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</si>
  <si>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</si>
  <si>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</si>
  <si>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</si>
  <si>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</si>
  <si>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</si>
  <si>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</si>
  <si>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</si>
  <si>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</si>
  <si>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</si>
  <si>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</si>
  <si>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</si>
  <si>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</si>
  <si>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</si>
  <si>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</si>
  <si>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</si>
  <si>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</si>
  <si>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</si>
  <si>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</si>
  <si>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</si>
  <si>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</si>
  <si>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</si>
  <si>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</si>
  <si>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</si>
  <si>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</si>
  <si>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</si>
  <si>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</si>
  <si>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</si>
  <si>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</si>
  <si>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</si>
  <si>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</si>
  <si>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</si>
  <si>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</si>
  <si>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</si>
  <si>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</si>
  <si>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</si>
  <si>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</si>
  <si>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</si>
  <si>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</si>
  <si>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</si>
  <si>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</si>
  <si>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</si>
  <si>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</si>
  <si>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</si>
  <si>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</si>
  <si>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</si>
  <si>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</si>
  <si>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OFFICE SPACE</t>
  </si>
  <si>
    <t>RETAIL</t>
  </si>
  <si>
    <t>BEAUTY AND NAIL SALONS</t>
  </si>
  <si>
    <t>PET SHOPS (ANIMAL AREAS)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</si>
  <si>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</si>
  <si>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</si>
  <si>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</si>
  <si>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</si>
  <si>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</si>
  <si>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</si>
  <si>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</si>
  <si>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</si>
  <si>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</si>
  <si>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</si>
  <si>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</si>
  <si>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</si>
  <si>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</si>
  <si>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</si>
  <si>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</si>
  <si>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</si>
  <si>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</si>
  <si>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</si>
  <si>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</si>
  <si>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</si>
  <si>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</si>
  <si>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</si>
  <si>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</si>
  <si>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</si>
  <si>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</si>
  <si>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</si>
  <si>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</si>
  <si>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</si>
  <si>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</si>
  <si>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</si>
  <si>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</si>
  <si>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</si>
  <si>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</si>
  <si>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</si>
  <si>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</si>
  <si>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</si>
  <si>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</si>
  <si>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</si>
  <si>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</si>
  <si>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</si>
  <si>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</si>
  <si>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</si>
  <si>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</si>
  <si>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</si>
  <si>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</si>
  <si>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</si>
  <si>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</si>
  <si>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</si>
  <si>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</si>
  <si>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</si>
  <si>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</si>
  <si>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</si>
  <si>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</si>
  <si>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</si>
  <si>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</si>
  <si>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</si>
  <si>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</si>
  <si>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</si>
  <si>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</si>
  <si>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</si>
  <si>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</si>
  <si>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</si>
  <si>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</si>
  <si>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</si>
  <si>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</si>
  <si>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</si>
  <si>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</si>
  <si>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</si>
  <si>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</si>
  <si>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</si>
  <si>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</si>
  <si>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</si>
  <si>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</si>
  <si>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</si>
  <si>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</si>
  <si>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</si>
  <si>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</si>
  <si>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</si>
  <si>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</si>
  <si>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</si>
  <si>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</si>
  <si>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</si>
  <si>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</si>
  <si>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</si>
  <si>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</si>
  <si>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</si>
  <si>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</si>
  <si>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</si>
  <si>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</si>
  <si>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</si>
  <si>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</si>
  <si>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</si>
  <si>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</si>
  <si>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</si>
  <si>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</si>
  <si>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</si>
  <si>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</si>
  <si>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</si>
  <si>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</si>
  <si>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</si>
  <si>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</si>
  <si>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</si>
  <si>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</si>
  <si>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</si>
  <si>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</si>
  <si>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</si>
  <si>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</si>
  <si>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</si>
  <si>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FUNCTION OR SPACE</t>
  </si>
  <si>
    <t>PRESSURE RELATIONSHIP TO ADJACENT AREAS</t>
  </si>
  <si>
    <t>MIN OUTDOOR ACH
(AC/HR)</t>
  </si>
  <si>
    <t>MIN TOTAL ACH (AC/HR)</t>
  </si>
  <si>
    <t>MIN TOTAL ACH 
(CFM)</t>
  </si>
  <si>
    <t>MIN OUTDOOR ACH 
(CFM)</t>
  </si>
  <si>
    <t>100% EA
 (YES/NR)</t>
  </si>
  <si>
    <t>MIN EA 
(CFM)</t>
  </si>
  <si>
    <t>`</t>
  </si>
  <si>
    <t>DESIGN SA 
(CFM)</t>
  </si>
  <si>
    <t>DESIGN RA
(CFM)</t>
  </si>
  <si>
    <t>DESIGN EA
(CFM)</t>
  </si>
  <si>
    <t>Desired Air Balance Difference</t>
  </si>
  <si>
    <t>CALCULATED SA 
(CFM)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</si>
  <si>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</si>
  <si>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</si>
  <si>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LOAD 
(CFM)</t>
  </si>
  <si>
    <t>ANIMAL FACILITIES - ANIMAL EXAM ROOM (VETERINARY OFFICE)</t>
  </si>
  <si>
    <t>ANIMAL FACILITIES - ANIMAL IMAGING (MRI/CT/PET)</t>
  </si>
  <si>
    <t>ANIMAL FACILITIES - ANIMAL OPERATING ROOMS</t>
  </si>
  <si>
    <t>ANIMAL FACILITIES - ANIMAL POSTOPERATIVE RECOVERY ROOM</t>
  </si>
  <si>
    <t>ANIMAL FACILITIES - ANIMAL PREPARATION ROOMS</t>
  </si>
  <si>
    <t>ANIMAL FACILITIES - ANIMAL PROCEDURE ROOM</t>
  </si>
  <si>
    <t>ANIMAL FACILITIES - ANIMAL SURGERY SCRUB</t>
  </si>
  <si>
    <t>ANIMAL FACILITIES - LARGE ANIMAL HOLDING ROOM</t>
  </si>
  <si>
    <t>ANIMAL FACILITIES - NECROPSY</t>
  </si>
  <si>
    <t>ANIMAL FACILITIES - SMALL-ANIMAL-CAGE ROOM (STATIC CAGES)</t>
  </si>
  <si>
    <t>ANIMAL FACILITIES - SMALL-ANIMAL-CAGE ROOM (VENTILATED CAGES)</t>
  </si>
  <si>
    <t>CORRECTIONAL FACILITIES - BOOKING/WAITING</t>
  </si>
  <si>
    <t>CORRECTIONAL FACILITIES - CELL</t>
  </si>
  <si>
    <t>CORRECTIONAL FACILITIES - DAYROOM</t>
  </si>
  <si>
    <t>CORRECTIONAL FACILITIES - GUARD STATIONS</t>
  </si>
  <si>
    <t>EDUCATIONAL FACILITIES - ART CLASSROOM</t>
  </si>
  <si>
    <t>EDUCATIONAL FACILITIES - CLASSROOMS (AGES 5 TO 8)</t>
  </si>
  <si>
    <t>EDUCATIONAL FACILITIES - CLASSROOMS (AGES 9 PLUS)</t>
  </si>
  <si>
    <t>EDUCATIONAL FACILITIES - COMPUTER LAB</t>
  </si>
  <si>
    <t>EDUCATIONAL FACILITIES - DAYCARE SICKROOM</t>
  </si>
  <si>
    <t>EDUCATIONAL FACILITIES - DAYCARE (THROUGH AGE 4)</t>
  </si>
  <si>
    <t>EDUCATIONAL FACILITIES - LECTURE CLASSROOM</t>
  </si>
  <si>
    <t>EDUCATIONAL FACILITIES - LECTURE HALL (FIXED SEATS)</t>
  </si>
  <si>
    <t>EDUCATIONAL FACILITIES - LIBRARIES</t>
  </si>
  <si>
    <t>EDUCATIONAL FACILITIES - MEDIA CENTER</t>
  </si>
  <si>
    <t>EDUCATIONAL FACILITIES - MULTIUSE ASSEMBLY</t>
  </si>
  <si>
    <t>EDUCATIONAL FACILITIES - MUSIC/THEATER/DANCE</t>
  </si>
  <si>
    <t>EDUCATIONAL FACILITIES - SCIENCE LABORATORIES</t>
  </si>
  <si>
    <t>EDUCATIONAL FACILITIES - UNIVERSITY/COLLEGE LABORATORIES</t>
  </si>
  <si>
    <t>EDUCATIONAL FACILITIES - WOOD/METAL SHOP</t>
  </si>
  <si>
    <t>FOOD AND BEVERAGE SERVICE - BARS, COCKTAIL LOUNGES</t>
  </si>
  <si>
    <t>FOOD AND BEVERAGE SERVICE - CAFETERIA/FAST-FOOD DINING</t>
  </si>
  <si>
    <t>FOOD AND BEVERAGE SERVICE - KITCHEN (COOKING)</t>
  </si>
  <si>
    <t>FOOD AND BEVERAGE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</si>
  <si>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</si>
  <si>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</si>
  <si>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</si>
  <si>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</si>
  <si>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</si>
  <si>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</si>
  <si>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</si>
  <si>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ROOMS, CENTRAL</t>
  </si>
  <si>
    <t>HOTELS, MOTELS, RESORTS, DORMITORIES - LAUNDRY ROOMS WITHIN DWELLING UNITS</t>
  </si>
  <si>
    <t>HOTELS, MOTELS, RESORTS, DORMITORIES - LOBBIES/PREFUNCTION</t>
  </si>
  <si>
    <t>HOTELS, MOTELS, RESORTS, DORMITORIES - MULTIPURPOSE ASSEMBLY</t>
  </si>
  <si>
    <t>MISCELLANEOUS SPACES - BANKS OR BANKS LOBBIES</t>
  </si>
  <si>
    <t>MISCELLANEOUS SPACES - BANK VAULTS/SAFE DEPOSIT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</si>
  <si>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</si>
  <si>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</si>
  <si>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</si>
  <si>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</si>
  <si>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</si>
  <si>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PHOTO STUDIOS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</si>
  <si>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</si>
  <si>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</si>
  <si>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</si>
  <si>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</si>
  <si>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</si>
  <si>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</si>
  <si>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</si>
  <si>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</si>
  <si>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</si>
  <si>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</si>
  <si>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</si>
  <si>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</si>
  <si>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</si>
  <si>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</si>
  <si>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</si>
  <si>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</si>
  <si>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</si>
  <si>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</si>
  <si>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</si>
  <si>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</si>
  <si>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SALES (EXCEPT AS BELOW)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</si>
  <si>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</si>
  <si>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</si>
  <si>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</si>
  <si>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</si>
  <si>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</si>
  <si>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</si>
  <si>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</si>
  <si>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</si>
  <si>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</si>
  <si>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</si>
  <si>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</si>
  <si>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</si>
  <si>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</si>
  <si>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</si>
  <si>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</si>
  <si>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SPORTS AND ENTERTAINMENT - SWIMMING (POOL AND DECK)</t>
  </si>
  <si>
    <t>ANIMAL FACILITIES - LARGE-ANIMAL HOLDING ROOM</t>
  </si>
  <si>
    <t>LOCKER ROOMS FOR ATHLETIC, INDUSTRIAL, AND HEALTH CARE FACILITIES - ALL OTHER LOCKER ROOMS</t>
  </si>
  <si>
    <t>LOCKER ROOMS FOR ATHLETIC, INDUSTRIAL, AND HEALTH CARE FACILITIES - SHOWER ROOMS</t>
  </si>
  <si>
    <t>0.5?</t>
  </si>
  <si>
    <t>GENERAL - TOILETS</t>
  </si>
  <si>
    <t>HEATING CFM</t>
  </si>
  <si>
    <t>CFM2</t>
  </si>
  <si>
    <t>(˚F db)433</t>
  </si>
  <si>
    <t>(˚F db)454</t>
  </si>
  <si>
    <t>(mbh)465</t>
  </si>
  <si>
    <t>(˚F db)466</t>
  </si>
  <si>
    <t>ZONE RE-HEATING COIL</t>
  </si>
  <si>
    <t>Elevation of project (ft)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</si>
</sst>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49">
    <font>
      <sz val="10"/>
      <name val="Arial"/>
    </font>
    <font>
      <sz val="11"/>
      <color theme="1"/>
      <name val="Century Gothic"/>
      <family val="2"/>
      <scheme val="minor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sz val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0" fillId="4" borderId="0"/>
    <xf numFmtId="0" fontId="13" fillId="7" borderId="0" applyNumberFormat="0" applyBorder="0" applyAlignment="0" applyProtection="0"/>
    <xf numFmtId="9" fontId="18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2" fillId="0" borderId="0"/>
  </cellStyleXfs>
  <cellXfs count="363">
    <xf numFmtId="0" fontId="0" fillId="0" borderId="0" xfId="0"/>
    <xf numFmtId="0" fontId="3" fillId="0" borderId="0" xfId="0" applyFont="1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/>
    </xf>
    <xf numFmtId="0" fontId="8" fillId="6" borderId="16" xfId="0" applyFont="1" applyFill="1" applyBorder="1" applyAlignment="1">
      <alignment horizontal="center" vertical="center"/>
    </xf>
    <xf numFmtId="0" fontId="8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 wrapText="1"/>
    </xf>
    <xf numFmtId="3" fontId="12" fillId="2" borderId="2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2" fillId="0" borderId="0" xfId="0" applyFont="1"/>
    <xf numFmtId="0" fontId="1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/>
    </xf>
    <xf numFmtId="0" fontId="3" fillId="0" borderId="0" xfId="0" applyFont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3" fontId="7" fillId="0" borderId="1" xfId="0" applyNumberFormat="1" applyFont="1" applyBorder="1" applyAlignment="1">
      <alignment horizontal="center" vertical="center"/>
    </xf>
    <xf numFmtId="167" fontId="7" fillId="0" borderId="1" xfId="0" applyNumberFormat="1" applyFont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165" fontId="16" fillId="0" borderId="1" xfId="0" applyNumberFormat="1" applyFont="1" applyBorder="1" applyAlignment="1" applyProtection="1">
      <alignment horizontal="center" vertical="center"/>
      <protection locked="0"/>
    </xf>
    <xf numFmtId="0" fontId="15" fillId="0" borderId="4" xfId="0" applyFont="1" applyBorder="1" applyAlignment="1" applyProtection="1">
      <alignment horizontal="center" vertical="center" wrapText="1"/>
      <protection locked="0"/>
    </xf>
    <xf numFmtId="0" fontId="16" fillId="0" borderId="9" xfId="0" applyFont="1" applyBorder="1" applyAlignment="1" applyProtection="1">
      <alignment horizontal="center" vertical="center"/>
      <protection locked="0"/>
    </xf>
    <xf numFmtId="0" fontId="15" fillId="0" borderId="23" xfId="0" applyFont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 wrapText="1"/>
      <protection locked="0"/>
    </xf>
    <xf numFmtId="0" fontId="16" fillId="0" borderId="13" xfId="0" applyFont="1" applyBorder="1" applyAlignment="1" applyProtection="1">
      <alignment horizontal="center" vertical="center"/>
      <protection locked="0"/>
    </xf>
    <xf numFmtId="165" fontId="16" fillId="0" borderId="13" xfId="0" applyNumberFormat="1" applyFont="1" applyBorder="1" applyAlignment="1" applyProtection="1">
      <alignment horizontal="center" vertical="center"/>
      <protection locked="0"/>
    </xf>
    <xf numFmtId="0" fontId="16" fillId="0" borderId="12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2" fillId="0" borderId="1" xfId="0" applyNumberFormat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0" fontId="15" fillId="0" borderId="26" xfId="0" applyFont="1" applyBorder="1" applyAlignment="1" applyProtection="1">
      <alignment horizontal="center" vertical="center" wrapText="1"/>
      <protection locked="0"/>
    </xf>
    <xf numFmtId="0" fontId="15" fillId="0" borderId="25" xfId="0" applyFont="1" applyBorder="1" applyAlignment="1" applyProtection="1">
      <alignment horizontal="center" vertical="center" wrapText="1"/>
      <protection locked="0"/>
    </xf>
    <xf numFmtId="0" fontId="16" fillId="0" borderId="25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165" fontId="16" fillId="0" borderId="25" xfId="0" applyNumberFormat="1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>
      <alignment horizontal="center" vertical="center"/>
    </xf>
    <xf numFmtId="0" fontId="9" fillId="0" borderId="0" xfId="0" applyFont="1"/>
    <xf numFmtId="0" fontId="24" fillId="0" borderId="0" xfId="0" applyFont="1"/>
    <xf numFmtId="49" fontId="11" fillId="0" borderId="1" xfId="0" applyNumberFormat="1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22" fillId="0" borderId="1" xfId="0" applyNumberFormat="1" applyFont="1" applyBorder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0" fontId="19" fillId="0" borderId="24" xfId="0" applyFont="1" applyBorder="1" applyAlignment="1">
      <alignment horizontal="center" vertical="center"/>
    </xf>
    <xf numFmtId="3" fontId="19" fillId="0" borderId="24" xfId="0" applyNumberFormat="1" applyFont="1" applyBorder="1" applyAlignment="1">
      <alignment horizontal="center" vertical="center"/>
    </xf>
    <xf numFmtId="0" fontId="19" fillId="0" borderId="24" xfId="0" applyFont="1" applyBorder="1" applyAlignment="1" applyProtection="1">
      <alignment horizontal="center" vertical="center"/>
      <protection locked="0"/>
    </xf>
    <xf numFmtId="165" fontId="19" fillId="0" borderId="24" xfId="0" applyNumberFormat="1" applyFont="1" applyBorder="1" applyAlignment="1">
      <alignment horizontal="center" vertical="center"/>
    </xf>
    <xf numFmtId="1" fontId="19" fillId="0" borderId="24" xfId="0" applyNumberFormat="1" applyFont="1" applyBorder="1" applyAlignment="1">
      <alignment horizontal="center" vertical="center"/>
    </xf>
    <xf numFmtId="1" fontId="0" fillId="0" borderId="0" xfId="0" applyNumberFormat="1"/>
    <xf numFmtId="0" fontId="9" fillId="0" borderId="1" xfId="0" applyFont="1" applyBorder="1" applyAlignment="1">
      <alignment horizontal="left"/>
    </xf>
    <xf numFmtId="0" fontId="9" fillId="0" borderId="9" xfId="0" applyFont="1" applyBorder="1"/>
    <xf numFmtId="165" fontId="9" fillId="0" borderId="9" xfId="0" applyNumberFormat="1" applyFont="1" applyBorder="1"/>
    <xf numFmtId="0" fontId="9" fillId="0" borderId="4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right"/>
    </xf>
    <xf numFmtId="165" fontId="31" fillId="0" borderId="24" xfId="0" applyNumberFormat="1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35" fillId="0" borderId="22" xfId="0" applyFont="1" applyBorder="1" applyAlignment="1">
      <alignment horizontal="center" vertical="center" wrapText="1"/>
    </xf>
    <xf numFmtId="0" fontId="34" fillId="0" borderId="4" xfId="0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 vertical="center"/>
    </xf>
    <xf numFmtId="1" fontId="15" fillId="0" borderId="1" xfId="0" applyNumberFormat="1" applyFont="1" applyBorder="1" applyAlignment="1">
      <alignment horizontal="center" vertical="center" wrapText="1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right"/>
    </xf>
    <xf numFmtId="165" fontId="37" fillId="7" borderId="0" xfId="2" applyNumberFormat="1" applyFont="1" applyAlignment="1">
      <alignment horizontal="center" vertical="center"/>
    </xf>
    <xf numFmtId="0" fontId="37" fillId="7" borderId="0" xfId="2" applyFont="1" applyAlignment="1">
      <alignment horizontal="center" vertical="center"/>
    </xf>
    <xf numFmtId="0" fontId="15" fillId="0" borderId="0" xfId="0" applyFont="1"/>
    <xf numFmtId="0" fontId="15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5" fillId="3" borderId="0" xfId="0" applyFont="1" applyFill="1"/>
    <xf numFmtId="0" fontId="38" fillId="0" borderId="0" xfId="0" applyFont="1"/>
    <xf numFmtId="0" fontId="38" fillId="0" borderId="0" xfId="0" applyFont="1" applyAlignment="1">
      <alignment horizontal="center" vertical="center"/>
    </xf>
    <xf numFmtId="164" fontId="16" fillId="0" borderId="0" xfId="0" applyNumberFormat="1" applyFont="1" applyAlignment="1" applyProtection="1">
      <alignment horizontal="center" shrinkToFit="1"/>
      <protection locked="0"/>
    </xf>
    <xf numFmtId="164" fontId="39" fillId="0" borderId="0" xfId="0" applyNumberFormat="1" applyFont="1" applyAlignment="1">
      <alignment horizontal="center" shrinkToFit="1"/>
    </xf>
    <xf numFmtId="164" fontId="39" fillId="0" borderId="0" xfId="0" applyNumberFormat="1" applyFont="1" applyAlignment="1">
      <alignment horizontal="right" shrinkToFit="1"/>
    </xf>
    <xf numFmtId="3" fontId="16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38" fillId="0" borderId="0" xfId="0" applyFont="1" applyAlignment="1">
      <alignment vertical="center"/>
    </xf>
    <xf numFmtId="2" fontId="16" fillId="0" borderId="0" xfId="0" applyNumberFormat="1" applyFont="1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1" fillId="9" borderId="1" xfId="0" applyNumberFormat="1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 applyProtection="1">
      <alignment horizontal="center" vertical="center"/>
      <protection locked="0"/>
    </xf>
    <xf numFmtId="9" fontId="41" fillId="9" borderId="1" xfId="3" applyFont="1" applyFill="1" applyBorder="1" applyAlignment="1" applyProtection="1">
      <alignment horizontal="center" vertical="center"/>
      <protection locked="0"/>
    </xf>
    <xf numFmtId="0" fontId="41" fillId="9" borderId="1" xfId="0" applyFont="1" applyFill="1" applyBorder="1" applyAlignment="1">
      <alignment horizontal="center" vertical="center"/>
    </xf>
    <xf numFmtId="0" fontId="41" fillId="9" borderId="9" xfId="0" applyFont="1" applyFill="1" applyBorder="1" applyAlignment="1">
      <alignment horizontal="center" vertical="center"/>
    </xf>
    <xf numFmtId="0" fontId="42" fillId="9" borderId="1" xfId="0" applyFont="1" applyFill="1" applyBorder="1" applyAlignment="1">
      <alignment horizontal="center" vertical="center"/>
    </xf>
    <xf numFmtId="1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164" fontId="42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42" fillId="9" borderId="1" xfId="0" applyFont="1" applyFill="1" applyBorder="1" applyAlignment="1">
      <alignment horizontal="center"/>
    </xf>
    <xf numFmtId="165" fontId="43" fillId="9" borderId="1" xfId="0" applyNumberFormat="1" applyFont="1" applyFill="1" applyBorder="1" applyAlignment="1" applyProtection="1">
      <alignment horizontal="center" vertical="center"/>
      <protection locked="0"/>
    </xf>
    <xf numFmtId="0" fontId="40" fillId="9" borderId="1" xfId="0" applyFont="1" applyFill="1" applyBorder="1" applyAlignment="1">
      <alignment horizontal="center" vertical="center"/>
    </xf>
    <xf numFmtId="165" fontId="40" fillId="9" borderId="1" xfId="0" applyNumberFormat="1" applyFont="1" applyFill="1" applyBorder="1" applyAlignment="1">
      <alignment horizontal="center" vertical="center"/>
    </xf>
    <xf numFmtId="0" fontId="4" fillId="0" borderId="28" xfId="5" applyFont="1" applyBorder="1" applyAlignment="1">
      <alignment vertical="center"/>
    </xf>
    <xf numFmtId="0" fontId="4" fillId="0" borderId="15" xfId="5" applyFont="1" applyBorder="1" applyAlignment="1">
      <alignment vertical="center"/>
    </xf>
    <xf numFmtId="0" fontId="4" fillId="0" borderId="10" xfId="5" applyFont="1" applyBorder="1" applyAlignment="1">
      <alignment vertical="center"/>
    </xf>
    <xf numFmtId="0" fontId="4" fillId="0" borderId="17" xfId="5" applyFont="1" applyBorder="1" applyAlignment="1">
      <alignment vertical="center"/>
    </xf>
    <xf numFmtId="0" fontId="4" fillId="0" borderId="29" xfId="5" applyFont="1" applyBorder="1" applyAlignment="1">
      <alignment vertical="center"/>
    </xf>
    <xf numFmtId="0" fontId="4" fillId="0" borderId="0" xfId="5" applyFont="1" applyAlignment="1">
      <alignment vertical="center"/>
    </xf>
    <xf numFmtId="0" fontId="3" fillId="0" borderId="28" xfId="5" applyFont="1" applyBorder="1" applyAlignment="1">
      <alignment vertical="center"/>
    </xf>
    <xf numFmtId="0" fontId="3" fillId="0" borderId="30" xfId="5" applyFont="1" applyBorder="1" applyAlignment="1">
      <alignment horizontal="center"/>
    </xf>
    <xf numFmtId="0" fontId="3" fillId="0" borderId="31" xfId="5" applyFont="1" applyBorder="1" applyAlignment="1">
      <alignment horizontal="center"/>
    </xf>
    <xf numFmtId="0" fontId="3" fillId="0" borderId="32" xfId="5" applyFont="1" applyBorder="1" applyAlignment="1">
      <alignment horizontal="center"/>
    </xf>
    <xf numFmtId="0" fontId="3" fillId="0" borderId="33" xfId="5" applyFont="1" applyBorder="1" applyAlignment="1">
      <alignment horizontal="center"/>
    </xf>
    <xf numFmtId="0" fontId="3" fillId="0" borderId="34" xfId="5" applyFont="1" applyBorder="1" applyAlignment="1">
      <alignment horizontal="center" vertical="center"/>
    </xf>
    <xf numFmtId="0" fontId="3" fillId="0" borderId="28" xfId="5" applyFont="1" applyBorder="1" applyAlignment="1">
      <alignment horizontal="center" vertical="center"/>
    </xf>
    <xf numFmtId="0" fontId="3" fillId="0" borderId="34" xfId="5" applyFont="1" applyBorder="1" applyAlignment="1">
      <alignment vertical="center"/>
    </xf>
    <xf numFmtId="0" fontId="3" fillId="0" borderId="35" xfId="5" applyFont="1" applyBorder="1" applyAlignment="1">
      <alignment horizontal="center" vertical="center"/>
    </xf>
    <xf numFmtId="0" fontId="3" fillId="0" borderId="36" xfId="5" applyFont="1" applyBorder="1" applyAlignment="1">
      <alignment horizontal="center" vertical="center"/>
    </xf>
    <xf numFmtId="0" fontId="3" fillId="0" borderId="37" xfId="5" applyFont="1" applyBorder="1" applyAlignment="1">
      <alignment horizontal="center" vertical="center"/>
    </xf>
    <xf numFmtId="0" fontId="3" fillId="0" borderId="38" xfId="5" applyFont="1" applyBorder="1" applyAlignment="1">
      <alignment horizontal="center" vertical="center"/>
    </xf>
    <xf numFmtId="0" fontId="3" fillId="0" borderId="39" xfId="5" applyFont="1" applyBorder="1" applyAlignment="1">
      <alignment horizontal="center" vertical="center"/>
    </xf>
    <xf numFmtId="0" fontId="5" fillId="0" borderId="28" xfId="5" applyFont="1" applyBorder="1" applyAlignment="1">
      <alignment horizontal="center" vertical="center"/>
    </xf>
    <xf numFmtId="0" fontId="5" fillId="0" borderId="34" xfId="5" applyFont="1" applyBorder="1" applyAlignment="1">
      <alignment horizontal="center" vertical="center"/>
    </xf>
    <xf numFmtId="0" fontId="3" fillId="0" borderId="40" xfId="5" applyFont="1" applyBorder="1" applyAlignment="1">
      <alignment horizontal="left" vertical="center"/>
    </xf>
    <xf numFmtId="0" fontId="3" fillId="0" borderId="41" xfId="5" applyFont="1" applyBorder="1" applyAlignment="1">
      <alignment horizontal="center" vertical="center"/>
    </xf>
    <xf numFmtId="0" fontId="3" fillId="0" borderId="42" xfId="5" applyFont="1" applyBorder="1" applyAlignment="1">
      <alignment horizontal="center" vertical="center"/>
    </xf>
    <xf numFmtId="0" fontId="3" fillId="0" borderId="43" xfId="5" applyFont="1" applyBorder="1" applyAlignment="1">
      <alignment horizontal="left" vertical="center"/>
    </xf>
    <xf numFmtId="0" fontId="3" fillId="0" borderId="44" xfId="5" applyFont="1" applyBorder="1" applyAlignment="1">
      <alignment horizontal="center" vertical="center"/>
    </xf>
    <xf numFmtId="0" fontId="3" fillId="0" borderId="45" xfId="5" applyFont="1" applyBorder="1" applyAlignment="1">
      <alignment horizontal="center" vertical="center"/>
    </xf>
    <xf numFmtId="0" fontId="3" fillId="0" borderId="46" xfId="5" applyFont="1" applyBorder="1" applyAlignment="1">
      <alignment horizontal="left" vertical="center"/>
    </xf>
    <xf numFmtId="0" fontId="3" fillId="0" borderId="47" xfId="5" applyFont="1" applyBorder="1" applyAlignment="1">
      <alignment horizontal="center" vertical="center"/>
    </xf>
    <xf numFmtId="0" fontId="3" fillId="0" borderId="48" xfId="5" applyFont="1" applyBorder="1" applyAlignment="1">
      <alignment horizontal="center" vertical="center"/>
    </xf>
    <xf numFmtId="0" fontId="3" fillId="0" borderId="49" xfId="5" applyFont="1" applyBorder="1" applyAlignment="1">
      <alignment horizontal="left" vertical="center"/>
    </xf>
    <xf numFmtId="0" fontId="3" fillId="0" borderId="50" xfId="5" applyFont="1" applyBorder="1" applyAlignment="1">
      <alignment horizontal="center" vertical="center"/>
    </xf>
    <xf numFmtId="0" fontId="3" fillId="0" borderId="51" xfId="5" applyFont="1" applyBorder="1" applyAlignment="1">
      <alignment horizontal="center" vertical="center"/>
    </xf>
    <xf numFmtId="0" fontId="3" fillId="0" borderId="52" xfId="5" applyFont="1" applyBorder="1" applyAlignment="1">
      <alignment horizontal="left" vertical="center"/>
    </xf>
    <xf numFmtId="0" fontId="3" fillId="0" borderId="53" xfId="5" applyFont="1" applyBorder="1" applyAlignment="1">
      <alignment horizontal="center" vertical="center"/>
    </xf>
    <xf numFmtId="0" fontId="3" fillId="0" borderId="54" xfId="5" applyFont="1" applyBorder="1" applyAlignment="1">
      <alignment horizontal="center" vertical="center"/>
    </xf>
    <xf numFmtId="0" fontId="3" fillId="0" borderId="55" xfId="5" applyFont="1" applyBorder="1" applyAlignment="1">
      <alignment horizontal="left" vertical="center"/>
    </xf>
    <xf numFmtId="0" fontId="3" fillId="0" borderId="56" xfId="5" applyFont="1" applyBorder="1" applyAlignment="1">
      <alignment horizontal="center" vertical="center"/>
    </xf>
    <xf numFmtId="0" fontId="3" fillId="0" borderId="57" xfId="5" applyFont="1" applyBorder="1" applyAlignment="1">
      <alignment horizontal="center" vertical="center"/>
    </xf>
    <xf numFmtId="0" fontId="3" fillId="0" borderId="58" xfId="5" applyFont="1" applyBorder="1" applyAlignment="1">
      <alignment horizontal="left" vertical="center"/>
    </xf>
    <xf numFmtId="0" fontId="3" fillId="0" borderId="59" xfId="5" applyFont="1" applyBorder="1" applyAlignment="1">
      <alignment horizontal="center" vertical="center"/>
    </xf>
    <xf numFmtId="0" fontId="3" fillId="0" borderId="60" xfId="5" applyFont="1" applyBorder="1" applyAlignment="1">
      <alignment horizontal="center" vertical="center"/>
    </xf>
    <xf numFmtId="0" fontId="3" fillId="0" borderId="61" xfId="5" applyFont="1" applyBorder="1" applyAlignment="1">
      <alignment horizontal="left" vertical="center"/>
    </xf>
    <xf numFmtId="0" fontId="3" fillId="0" borderId="62" xfId="5" applyFont="1" applyBorder="1" applyAlignment="1">
      <alignment horizontal="center" vertical="center"/>
    </xf>
    <xf numFmtId="0" fontId="3" fillId="0" borderId="63" xfId="5" applyFont="1" applyBorder="1" applyAlignment="1">
      <alignment horizontal="center" vertical="center"/>
    </xf>
    <xf numFmtId="0" fontId="3" fillId="0" borderId="63" xfId="5" applyFont="1" applyBorder="1" applyAlignment="1">
      <alignment vertical="center"/>
    </xf>
    <xf numFmtId="0" fontId="3" fillId="0" borderId="64" xfId="5" applyFont="1" applyBorder="1" applyAlignment="1">
      <alignment horizontal="left" vertical="center"/>
    </xf>
    <xf numFmtId="0" fontId="3" fillId="0" borderId="65" xfId="5" applyFont="1" applyBorder="1" applyAlignment="1">
      <alignment horizontal="center" vertical="center"/>
    </xf>
    <xf numFmtId="0" fontId="3" fillId="0" borderId="66" xfId="5" applyFont="1" applyBorder="1" applyAlignment="1">
      <alignment horizontal="center" vertical="center"/>
    </xf>
    <xf numFmtId="0" fontId="3" fillId="0" borderId="67" xfId="5" applyFont="1" applyBorder="1" applyAlignment="1">
      <alignment horizontal="left" vertical="center"/>
    </xf>
    <xf numFmtId="0" fontId="3" fillId="0" borderId="68" xfId="5" applyFont="1" applyBorder="1" applyAlignment="1">
      <alignment horizontal="center" vertical="center"/>
    </xf>
    <xf numFmtId="0" fontId="3" fillId="0" borderId="69" xfId="5" applyFont="1" applyBorder="1" applyAlignment="1">
      <alignment horizontal="center" vertical="center"/>
    </xf>
    <xf numFmtId="0" fontId="3" fillId="0" borderId="70" xfId="5" applyFont="1" applyBorder="1" applyAlignment="1">
      <alignment horizontal="left" vertical="center"/>
    </xf>
    <xf numFmtId="0" fontId="3" fillId="0" borderId="71" xfId="5" applyFont="1" applyBorder="1" applyAlignment="1">
      <alignment horizontal="center" vertical="center"/>
    </xf>
    <xf numFmtId="0" fontId="3" fillId="0" borderId="72" xfId="5" applyFont="1" applyBorder="1" applyAlignment="1">
      <alignment horizontal="center" vertical="center"/>
    </xf>
    <xf numFmtId="0" fontId="3" fillId="0" borderId="73" xfId="5" applyFont="1" applyBorder="1" applyAlignment="1">
      <alignment horizontal="left" vertical="center"/>
    </xf>
    <xf numFmtId="0" fontId="3" fillId="0" borderId="74" xfId="5" applyFont="1" applyBorder="1" applyAlignment="1">
      <alignment horizontal="center" vertical="center"/>
    </xf>
    <xf numFmtId="0" fontId="3" fillId="0" borderId="75" xfId="5" applyFont="1" applyBorder="1" applyAlignment="1">
      <alignment horizontal="center" vertical="center"/>
    </xf>
    <xf numFmtId="0" fontId="3" fillId="0" borderId="76" xfId="5" applyFont="1" applyBorder="1" applyAlignment="1">
      <alignment horizontal="left" vertical="center"/>
    </xf>
    <xf numFmtId="0" fontId="3" fillId="0" borderId="77" xfId="5" applyFont="1" applyBorder="1" applyAlignment="1">
      <alignment horizontal="center" vertical="center"/>
    </xf>
    <xf numFmtId="0" fontId="3" fillId="0" borderId="78" xfId="5" applyFont="1" applyBorder="1" applyAlignment="1">
      <alignment horizontal="center" vertical="center"/>
    </xf>
    <xf numFmtId="0" fontId="3" fillId="0" borderId="79" xfId="5" applyFont="1" applyBorder="1" applyAlignment="1">
      <alignment horizontal="left" vertical="center"/>
    </xf>
    <xf numFmtId="0" fontId="3" fillId="0" borderId="80" xfId="5" applyFont="1" applyBorder="1" applyAlignment="1">
      <alignment horizontal="center" vertical="center"/>
    </xf>
    <xf numFmtId="0" fontId="3" fillId="0" borderId="81" xfId="5" applyFont="1" applyBorder="1" applyAlignment="1">
      <alignment horizontal="center" vertical="center"/>
    </xf>
    <xf numFmtId="0" fontId="3" fillId="0" borderId="82" xfId="5" applyFont="1" applyBorder="1" applyAlignment="1">
      <alignment horizontal="left" vertical="center"/>
    </xf>
    <xf numFmtId="0" fontId="3" fillId="0" borderId="83" xfId="5" applyFont="1" applyBorder="1" applyAlignment="1">
      <alignment horizontal="center" vertical="center"/>
    </xf>
    <xf numFmtId="0" fontId="3" fillId="0" borderId="84" xfId="5" applyFont="1" applyBorder="1" applyAlignment="1">
      <alignment horizontal="center" vertical="center"/>
    </xf>
    <xf numFmtId="0" fontId="3" fillId="0" borderId="85" xfId="5" applyFont="1" applyBorder="1" applyAlignment="1">
      <alignment horizontal="left" vertical="center"/>
    </xf>
    <xf numFmtId="0" fontId="3" fillId="0" borderId="86" xfId="5" applyFont="1" applyBorder="1" applyAlignment="1">
      <alignment horizontal="center" vertical="center"/>
    </xf>
    <xf numFmtId="0" fontId="3" fillId="0" borderId="87" xfId="5" applyFont="1" applyBorder="1" applyAlignment="1">
      <alignment horizontal="center" vertical="center"/>
    </xf>
    <xf numFmtId="0" fontId="3" fillId="0" borderId="88" xfId="5" applyFont="1" applyBorder="1" applyAlignment="1">
      <alignment horizontal="left" vertical="center"/>
    </xf>
    <xf numFmtId="0" fontId="3" fillId="0" borderId="89" xfId="5" applyFont="1" applyBorder="1" applyAlignment="1">
      <alignment horizontal="center" vertical="center"/>
    </xf>
    <xf numFmtId="0" fontId="3" fillId="0" borderId="90" xfId="5" applyFont="1" applyBorder="1" applyAlignment="1">
      <alignment horizontal="center" vertical="center"/>
    </xf>
    <xf numFmtId="0" fontId="3" fillId="0" borderId="91" xfId="5" applyFont="1" applyBorder="1" applyAlignment="1">
      <alignment horizontal="left" vertical="center"/>
    </xf>
    <xf numFmtId="0" fontId="3" fillId="0" borderId="92" xfId="5" applyFont="1" applyBorder="1" applyAlignment="1">
      <alignment horizontal="center" vertical="center"/>
    </xf>
    <xf numFmtId="0" fontId="3" fillId="0" borderId="93" xfId="5" applyFont="1" applyBorder="1" applyAlignment="1">
      <alignment horizontal="center" vertical="center"/>
    </xf>
    <xf numFmtId="0" fontId="3" fillId="0" borderId="94" xfId="5" applyFont="1" applyBorder="1" applyAlignment="1">
      <alignment horizontal="left" vertical="center"/>
    </xf>
    <xf numFmtId="0" fontId="3" fillId="0" borderId="95" xfId="5" applyFont="1" applyBorder="1" applyAlignment="1">
      <alignment horizontal="center" vertical="center"/>
    </xf>
    <xf numFmtId="0" fontId="3" fillId="0" borderId="96" xfId="5" applyFont="1" applyBorder="1" applyAlignment="1">
      <alignment horizontal="center" vertical="center"/>
    </xf>
    <xf numFmtId="0" fontId="3" fillId="0" borderId="97" xfId="5" applyFont="1" applyBorder="1" applyAlignment="1">
      <alignment horizontal="left" vertical="center"/>
    </xf>
    <xf numFmtId="0" fontId="3" fillId="0" borderId="98" xfId="5" applyFont="1" applyBorder="1" applyAlignment="1">
      <alignment horizontal="center" vertical="center"/>
    </xf>
    <xf numFmtId="0" fontId="3" fillId="0" borderId="99" xfId="5" applyFont="1" applyBorder="1" applyAlignment="1">
      <alignment horizontal="center" vertical="center"/>
    </xf>
    <xf numFmtId="0" fontId="3" fillId="0" borderId="100" xfId="5" applyFont="1" applyBorder="1" applyAlignment="1">
      <alignment horizontal="left" vertical="center"/>
    </xf>
    <xf numFmtId="0" fontId="3" fillId="0" borderId="101" xfId="5" applyFont="1" applyBorder="1" applyAlignment="1">
      <alignment horizontal="center" vertical="center"/>
    </xf>
    <xf numFmtId="0" fontId="3" fillId="0" borderId="102" xfId="5" applyFont="1" applyBorder="1" applyAlignment="1">
      <alignment horizontal="center" vertical="center"/>
    </xf>
    <xf numFmtId="0" fontId="3" fillId="0" borderId="103" xfId="5" applyFont="1" applyBorder="1" applyAlignment="1">
      <alignment horizontal="left" vertical="center"/>
    </xf>
    <xf numFmtId="0" fontId="3" fillId="0" borderId="104" xfId="5" applyFont="1" applyBorder="1" applyAlignment="1">
      <alignment horizontal="center" vertical="center"/>
    </xf>
    <xf numFmtId="0" fontId="3" fillId="0" borderId="105" xfId="5" applyFont="1" applyBorder="1" applyAlignment="1">
      <alignment horizontal="center" vertical="center"/>
    </xf>
    <xf numFmtId="0" fontId="3" fillId="0" borderId="106" xfId="5" applyFont="1" applyBorder="1" applyAlignment="1">
      <alignment horizontal="left" vertical="center"/>
    </xf>
    <xf numFmtId="0" fontId="3" fillId="0" borderId="107" xfId="5" applyFont="1" applyBorder="1" applyAlignment="1">
      <alignment horizontal="center" vertical="center"/>
    </xf>
    <xf numFmtId="0" fontId="3" fillId="0" borderId="108" xfId="5" applyFont="1" applyBorder="1" applyAlignment="1">
      <alignment horizontal="center" vertical="center"/>
    </xf>
    <xf numFmtId="0" fontId="3" fillId="0" borderId="109" xfId="5" applyFont="1" applyBorder="1" applyAlignment="1">
      <alignment horizontal="left" vertical="center"/>
    </xf>
    <xf numFmtId="0" fontId="3" fillId="0" borderId="110" xfId="5" applyFont="1" applyBorder="1" applyAlignment="1">
      <alignment horizontal="center" vertical="center"/>
    </xf>
    <xf numFmtId="0" fontId="3" fillId="0" borderId="111" xfId="5" applyFont="1" applyBorder="1" applyAlignment="1">
      <alignment horizontal="center" vertical="center"/>
    </xf>
    <xf numFmtId="0" fontId="3" fillId="0" borderId="112" xfId="5" applyFont="1" applyBorder="1" applyAlignment="1">
      <alignment horizontal="left" vertical="center"/>
    </xf>
    <xf numFmtId="0" fontId="3" fillId="0" borderId="113" xfId="5" applyFont="1" applyBorder="1" applyAlignment="1">
      <alignment horizontal="center" vertical="center"/>
    </xf>
    <xf numFmtId="0" fontId="3" fillId="0" borderId="114" xfId="5" applyFont="1" applyBorder="1" applyAlignment="1">
      <alignment horizontal="center" vertical="center"/>
    </xf>
    <xf numFmtId="0" fontId="3" fillId="0" borderId="115" xfId="5" applyFont="1" applyBorder="1" applyAlignment="1">
      <alignment horizontal="left" vertical="center"/>
    </xf>
    <xf numFmtId="0" fontId="3" fillId="0" borderId="116" xfId="5" applyFont="1" applyBorder="1" applyAlignment="1">
      <alignment horizontal="center" vertical="center"/>
    </xf>
    <xf numFmtId="0" fontId="3" fillId="0" borderId="117" xfId="5" applyFont="1" applyBorder="1" applyAlignment="1">
      <alignment horizontal="center" vertical="center"/>
    </xf>
    <xf numFmtId="0" fontId="3" fillId="0" borderId="118" xfId="5" applyFont="1" applyBorder="1" applyAlignment="1">
      <alignment horizontal="left" vertical="center"/>
    </xf>
    <xf numFmtId="0" fontId="3" fillId="0" borderId="119" xfId="5" applyFont="1" applyBorder="1" applyAlignment="1">
      <alignment horizontal="center" vertical="center"/>
    </xf>
    <xf numFmtId="0" fontId="3" fillId="0" borderId="120" xfId="5" applyFont="1" applyBorder="1" applyAlignment="1">
      <alignment horizontal="center" vertical="center"/>
    </xf>
    <xf numFmtId="0" fontId="3" fillId="0" borderId="121" xfId="5" applyFont="1" applyBorder="1" applyAlignment="1">
      <alignment horizontal="left" vertical="center"/>
    </xf>
    <xf numFmtId="0" fontId="3" fillId="0" borderId="122" xfId="5" applyFont="1" applyBorder="1" applyAlignment="1">
      <alignment horizontal="center" vertical="center"/>
    </xf>
    <xf numFmtId="0" fontId="3" fillId="0" borderId="123" xfId="5" applyFont="1" applyBorder="1" applyAlignment="1">
      <alignment horizontal="center" vertical="center"/>
    </xf>
    <xf numFmtId="0" fontId="3" fillId="0" borderId="124" xfId="5" applyFont="1" applyBorder="1" applyAlignment="1">
      <alignment horizontal="left" vertical="center"/>
    </xf>
    <xf numFmtId="0" fontId="3" fillId="0" borderId="125" xfId="5" applyFont="1" applyBorder="1" applyAlignment="1">
      <alignment horizontal="center" vertical="center"/>
    </xf>
    <xf numFmtId="0" fontId="3" fillId="0" borderId="126" xfId="5" applyFont="1" applyBorder="1" applyAlignment="1">
      <alignment horizontal="center" vertical="center"/>
    </xf>
    <xf numFmtId="0" fontId="3" fillId="0" borderId="127" xfId="5" applyFont="1" applyBorder="1" applyAlignment="1">
      <alignment horizontal="left" vertical="center"/>
    </xf>
    <xf numFmtId="0" fontId="3" fillId="0" borderId="128" xfId="5" applyFont="1" applyBorder="1" applyAlignment="1">
      <alignment horizontal="center" vertical="center"/>
    </xf>
    <xf numFmtId="0" fontId="3" fillId="0" borderId="129" xfId="5" applyFont="1" applyBorder="1" applyAlignment="1">
      <alignment horizontal="center" vertical="center"/>
    </xf>
    <xf numFmtId="0" fontId="3" fillId="0" borderId="130" xfId="5" applyFont="1" applyBorder="1" applyAlignment="1">
      <alignment horizontal="left" vertical="center"/>
    </xf>
    <xf numFmtId="0" fontId="3" fillId="0" borderId="131" xfId="5" applyFont="1" applyBorder="1" applyAlignment="1">
      <alignment horizontal="center" vertical="center"/>
    </xf>
    <xf numFmtId="0" fontId="3" fillId="0" borderId="132" xfId="5" applyFont="1" applyBorder="1" applyAlignment="1">
      <alignment horizontal="center" vertical="center"/>
    </xf>
    <xf numFmtId="0" fontId="3" fillId="0" borderId="133" xfId="5" applyFont="1" applyBorder="1" applyAlignment="1">
      <alignment horizontal="left" vertical="center"/>
    </xf>
    <xf numFmtId="0" fontId="3" fillId="0" borderId="134" xfId="5" applyFont="1" applyBorder="1" applyAlignment="1">
      <alignment horizontal="center" vertical="center"/>
    </xf>
    <xf numFmtId="0" fontId="3" fillId="0" borderId="135" xfId="5" applyFont="1" applyBorder="1" applyAlignment="1">
      <alignment horizontal="center" vertical="center"/>
    </xf>
    <xf numFmtId="0" fontId="3" fillId="0" borderId="136" xfId="5" applyFont="1" applyBorder="1" applyAlignment="1">
      <alignment vertical="center"/>
    </xf>
    <xf numFmtId="0" fontId="3" fillId="0" borderId="137" xfId="5" applyFont="1" applyBorder="1" applyAlignment="1">
      <alignment horizontal="center" vertical="center"/>
    </xf>
    <xf numFmtId="0" fontId="3" fillId="0" borderId="138" xfId="5" applyFont="1" applyBorder="1" applyAlignment="1">
      <alignment horizontal="center" vertical="center"/>
    </xf>
    <xf numFmtId="0" fontId="3" fillId="0" borderId="139" xfId="5" applyFont="1" applyBorder="1" applyAlignment="1">
      <alignment horizontal="center" vertical="center"/>
    </xf>
    <xf numFmtId="0" fontId="3" fillId="0" borderId="140" xfId="5" applyFont="1" applyBorder="1" applyAlignment="1">
      <alignment horizontal="center" vertical="center"/>
    </xf>
    <xf numFmtId="0" fontId="3" fillId="0" borderId="141" xfId="5" applyFont="1" applyBorder="1" applyAlignment="1">
      <alignment horizontal="center" vertical="center"/>
    </xf>
    <xf numFmtId="0" fontId="3" fillId="0" borderId="142" xfId="5" applyFont="1" applyBorder="1" applyAlignment="1">
      <alignment vertical="center"/>
    </xf>
    <xf numFmtId="0" fontId="3" fillId="0" borderId="143" xfId="5" applyFont="1" applyBorder="1" applyAlignment="1">
      <alignment horizontal="center" vertical="center"/>
    </xf>
    <xf numFmtId="0" fontId="3" fillId="0" borderId="144" xfId="5" applyFont="1" applyBorder="1" applyAlignment="1">
      <alignment horizontal="center" vertical="center"/>
    </xf>
    <xf numFmtId="0" fontId="3" fillId="0" borderId="145" xfId="5" applyFont="1" applyBorder="1" applyAlignment="1">
      <alignment vertical="center"/>
    </xf>
    <xf numFmtId="0" fontId="3" fillId="0" borderId="146" xfId="5" applyFont="1" applyBorder="1" applyAlignment="1">
      <alignment horizontal="center" vertical="center"/>
    </xf>
    <xf numFmtId="0" fontId="3" fillId="0" borderId="147" xfId="5" applyFont="1" applyBorder="1" applyAlignment="1">
      <alignment horizontal="center" vertical="center"/>
    </xf>
    <xf numFmtId="0" fontId="3" fillId="0" borderId="148" xfId="5" applyFont="1" applyBorder="1" applyAlignment="1">
      <alignment vertical="center"/>
    </xf>
    <xf numFmtId="0" fontId="3" fillId="0" borderId="149" xfId="5" applyFont="1" applyBorder="1" applyAlignment="1">
      <alignment horizontal="center" vertical="center"/>
    </xf>
    <xf numFmtId="0" fontId="3" fillId="0" borderId="150" xfId="5" applyFont="1" applyBorder="1" applyAlignment="1">
      <alignment horizontal="center" vertical="center"/>
    </xf>
    <xf numFmtId="0" fontId="3" fillId="0" borderId="150" xfId="5" applyFont="1" applyBorder="1" applyAlignment="1">
      <alignment vertical="center"/>
    </xf>
    <xf numFmtId="0" fontId="3" fillId="0" borderId="150" xfId="5" applyFont="1" applyBorder="1" applyAlignment="1">
      <alignment horizontal="left" vertical="center"/>
    </xf>
    <xf numFmtId="0" fontId="3" fillId="0" borderId="151" xfId="5" applyFont="1" applyBorder="1" applyAlignment="1">
      <alignment horizontal="center" vertical="center"/>
    </xf>
    <xf numFmtId="0" fontId="3" fillId="0" borderId="152" xfId="5" applyFont="1" applyBorder="1" applyAlignment="1">
      <alignment horizontal="center" vertical="center"/>
    </xf>
    <xf numFmtId="0" fontId="3" fillId="0" borderId="153" xfId="5" applyFont="1" applyBorder="1" applyAlignment="1">
      <alignment horizontal="center" vertical="center"/>
    </xf>
    <xf numFmtId="0" fontId="3" fillId="0" borderId="154" xfId="5" applyFont="1" applyBorder="1" applyAlignment="1">
      <alignment horizontal="center" vertical="center"/>
    </xf>
    <xf numFmtId="0" fontId="3" fillId="0" borderId="155" xfId="5" applyFont="1" applyBorder="1" applyAlignment="1">
      <alignment horizontal="center" vertical="center"/>
    </xf>
    <xf numFmtId="0" fontId="3" fillId="0" borderId="155" xfId="5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/>
    </xf>
    <xf numFmtId="0" fontId="46" fillId="0" borderId="157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1" fontId="46" fillId="0" borderId="157" xfId="0" applyNumberFormat="1" applyFont="1" applyBorder="1" applyAlignment="1">
      <alignment horizontal="center" vertical="center" wrapText="1"/>
    </xf>
    <xf numFmtId="0" fontId="46" fillId="0" borderId="17" xfId="0" applyFont="1" applyBorder="1" applyAlignment="1">
      <alignment horizontal="center" vertical="center" wrapText="1"/>
    </xf>
    <xf numFmtId="0" fontId="46" fillId="0" borderId="19" xfId="0" applyFont="1" applyBorder="1" applyAlignment="1">
      <alignment horizontal="center" vertical="center"/>
    </xf>
    <xf numFmtId="9" fontId="45" fillId="0" borderId="156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5" applyAlignment="1">
      <alignment horizontal="center"/>
    </xf>
    <xf numFmtId="0" fontId="2" fillId="0" borderId="0" xfId="0" applyFont="1" applyAlignment="1">
      <alignment horizontal="center"/>
    </xf>
    <xf numFmtId="43" fontId="2" fillId="0" borderId="0" xfId="5" applyNumberFormat="1" applyAlignment="1">
      <alignment horizontal="center"/>
    </xf>
    <xf numFmtId="2" fontId="2" fillId="0" borderId="0" xfId="5" applyNumberFormat="1" applyAlignment="1">
      <alignment horizontal="center"/>
    </xf>
    <xf numFmtId="9" fontId="19" fillId="0" borderId="0" xfId="0" applyNumberFormat="1" applyFont="1" applyAlignment="1">
      <alignment horizontal="center" vertical="center"/>
    </xf>
    <xf numFmtId="1" fontId="42" fillId="9" borderId="1" xfId="0" applyNumberFormat="1" applyFont="1" applyFill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 wrapText="1"/>
    </xf>
    <xf numFmtId="1" fontId="46" fillId="0" borderId="0" xfId="0" applyNumberFormat="1" applyFont="1" applyAlignment="1">
      <alignment horizontal="center" vertical="center" wrapText="1"/>
    </xf>
    <xf numFmtId="0" fontId="15" fillId="0" borderId="1" xfId="0" applyFont="1" applyBorder="1" applyAlignment="1" applyProtection="1">
      <alignment horizontal="center" vertical="center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1" fontId="15" fillId="0" borderId="1" xfId="0" applyNumberFormat="1" applyFont="1" applyBorder="1" applyAlignment="1" applyProtection="1">
      <alignment horizontal="center" vertical="center"/>
      <protection locked="0"/>
    </xf>
    <xf numFmtId="0" fontId="16" fillId="0" borderId="9" xfId="0" applyFont="1" applyBorder="1" applyAlignment="1">
      <alignment horizontal="center" vertical="center"/>
    </xf>
    <xf numFmtId="0" fontId="42" fillId="9" borderId="4" xfId="0" applyFont="1" applyFill="1" applyBorder="1" applyAlignment="1">
      <alignment horizontal="center" vertical="center"/>
    </xf>
    <xf numFmtId="166" fontId="16" fillId="0" borderId="9" xfId="0" applyNumberFormat="1" applyFont="1" applyBorder="1" applyAlignment="1">
      <alignment horizontal="center" vertical="center"/>
    </xf>
    <xf numFmtId="0" fontId="16" fillId="0" borderId="159" xfId="0" applyFont="1" applyBorder="1"/>
    <xf numFmtId="0" fontId="15" fillId="3" borderId="22" xfId="0" applyFont="1" applyFill="1" applyBorder="1" applyAlignment="1" applyProtection="1">
      <alignment horizontal="center" vertical="center"/>
      <protection locked="0"/>
    </xf>
    <xf numFmtId="0" fontId="15" fillId="3" borderId="3" xfId="0" applyFont="1" applyFill="1" applyBorder="1" applyAlignment="1" applyProtection="1">
      <alignment horizontal="left" vertical="center"/>
      <protection locked="0"/>
    </xf>
    <xf numFmtId="0" fontId="15" fillId="3" borderId="3" xfId="0" applyFont="1" applyFill="1" applyBorder="1" applyAlignment="1" applyProtection="1">
      <alignment horizontal="center" vertical="center" wrapText="1"/>
      <protection locked="0"/>
    </xf>
    <xf numFmtId="9" fontId="15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5" fillId="3" borderId="19" xfId="0" applyFont="1" applyFill="1" applyBorder="1" applyAlignment="1" applyProtection="1">
      <alignment horizontal="center" vertical="center" wrapText="1"/>
      <protection locked="0"/>
    </xf>
    <xf numFmtId="0" fontId="20" fillId="0" borderId="162" xfId="0" applyFont="1" applyBorder="1" applyAlignment="1">
      <alignment horizontal="center" vertical="center" wrapText="1"/>
    </xf>
    <xf numFmtId="0" fontId="20" fillId="0" borderId="159" xfId="0" applyFont="1" applyBorder="1" applyAlignment="1">
      <alignment horizontal="center" vertical="center"/>
    </xf>
    <xf numFmtId="164" fontId="16" fillId="0" borderId="159" xfId="0" applyNumberFormat="1" applyFont="1" applyBorder="1" applyAlignment="1">
      <alignment horizontal="center" shrinkToFit="1"/>
    </xf>
    <xf numFmtId="0" fontId="16" fillId="0" borderId="159" xfId="0" applyFont="1" applyBorder="1" applyAlignment="1">
      <alignment horizontal="center" vertical="center"/>
    </xf>
    <xf numFmtId="164" fontId="16" fillId="0" borderId="161" xfId="0" applyNumberFormat="1" applyFont="1" applyBorder="1" applyAlignment="1">
      <alignment horizontal="center" shrinkToFit="1"/>
    </xf>
    <xf numFmtId="164" fontId="16" fillId="0" borderId="159" xfId="0" applyNumberFormat="1" applyFont="1" applyBorder="1" applyAlignment="1">
      <alignment horizontal="center" vertical="center" shrinkToFit="1"/>
    </xf>
    <xf numFmtId="165" fontId="16" fillId="0" borderId="1" xfId="0" applyNumberFormat="1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165" fontId="16" fillId="0" borderId="13" xfId="0" applyNumberFormat="1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2" fillId="0" borderId="0" xfId="5" applyAlignment="1">
      <alignment horizontal="left"/>
    </xf>
    <xf numFmtId="0" fontId="2" fillId="0" borderId="0" xfId="5"/>
    <xf numFmtId="0" fontId="46" fillId="0" borderId="15" xfId="0" applyFont="1" applyBorder="1" applyAlignment="1">
      <alignment horizontal="center" vertical="center"/>
    </xf>
    <xf numFmtId="170" fontId="46" fillId="0" borderId="15" xfId="0" applyNumberFormat="1" applyFont="1" applyBorder="1" applyAlignment="1">
      <alignment horizontal="center" vertical="center"/>
    </xf>
    <xf numFmtId="169" fontId="46" fillId="0" borderId="15" xfId="0" applyNumberFormat="1" applyFont="1" applyBorder="1" applyAlignment="1">
      <alignment horizontal="center" vertical="center"/>
    </xf>
    <xf numFmtId="0" fontId="42" fillId="0" borderId="15" xfId="0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/>
    </xf>
    <xf numFmtId="168" fontId="46" fillId="0" borderId="15" xfId="0" applyNumberFormat="1" applyFont="1" applyBorder="1" applyAlignment="1">
      <alignment horizontal="center" vertical="center"/>
    </xf>
    <xf numFmtId="0" fontId="47" fillId="0" borderId="15" xfId="0" applyFont="1" applyBorder="1" applyAlignment="1">
      <alignment horizontal="center" vertical="center" wrapText="1"/>
    </xf>
    <xf numFmtId="171" fontId="47" fillId="0" borderId="15" xfId="0" applyNumberFormat="1" applyFont="1" applyBorder="1" applyAlignment="1">
      <alignment horizontal="center" vertical="center" wrapText="1"/>
    </xf>
    <xf numFmtId="168" fontId="47" fillId="0" borderId="15" xfId="0" applyNumberFormat="1" applyFont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65" fontId="7" fillId="0" borderId="157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65" fontId="41" fillId="9" borderId="13" xfId="0" applyNumberFormat="1" applyFont="1" applyFill="1" applyBorder="1" applyAlignment="1" applyProtection="1">
      <alignment horizontal="center" vertical="center"/>
      <protection locked="0"/>
    </xf>
    <xf numFmtId="165" fontId="30" fillId="0" borderId="3" xfId="0" applyNumberFormat="1" applyFont="1" applyBorder="1" applyAlignment="1" applyProtection="1">
      <alignment horizontal="center" vertical="center"/>
      <protection locked="0"/>
    </xf>
    <xf numFmtId="0" fontId="36" fillId="0" borderId="9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3" fillId="0" borderId="0" xfId="4" applyFont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1" fillId="9" borderId="0" xfId="0" applyFont="1" applyFill="1" applyAlignment="1" applyProtection="1">
      <alignment horizontal="left"/>
      <protection locked="0"/>
    </xf>
    <xf numFmtId="0" fontId="30" fillId="0" borderId="0" xfId="0" applyFont="1" applyAlignment="1" applyProtection="1">
      <alignment horizontal="left"/>
      <protection locked="0"/>
    </xf>
    <xf numFmtId="14" fontId="41" fillId="9" borderId="0" xfId="0" applyNumberFormat="1" applyFont="1" applyFill="1" applyAlignment="1" applyProtection="1">
      <alignment horizontal="left"/>
      <protection locked="0"/>
    </xf>
    <xf numFmtId="0" fontId="29" fillId="0" borderId="9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16" fillId="0" borderId="161" xfId="0" applyFont="1" applyBorder="1" applyAlignment="1">
      <alignment horizontal="center" vertical="center"/>
    </xf>
    <xf numFmtId="0" fontId="16" fillId="0" borderId="160" xfId="0" applyFont="1" applyBorder="1" applyAlignment="1">
      <alignment horizontal="center" vertical="center"/>
    </xf>
    <xf numFmtId="0" fontId="16" fillId="0" borderId="16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5" fillId="0" borderId="12" xfId="0" applyFont="1" applyBorder="1" applyAlignment="1" applyProtection="1">
      <alignment horizontal="left" vertical="top" wrapText="1"/>
      <protection locked="0"/>
    </xf>
    <xf numFmtId="0" fontId="15" fillId="0" borderId="20" xfId="0" applyFont="1" applyBorder="1" applyAlignment="1" applyProtection="1">
      <alignment horizontal="left" vertical="top" wrapText="1"/>
      <protection locked="0"/>
    </xf>
    <xf numFmtId="0" fontId="15" fillId="0" borderId="21" xfId="0" applyFont="1" applyBorder="1" applyAlignment="1" applyProtection="1">
      <alignment horizontal="left" vertical="top" wrapText="1"/>
      <protection locked="0"/>
    </xf>
    <xf numFmtId="0" fontId="15" fillId="0" borderId="10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15" fillId="0" borderId="17" xfId="0" applyFont="1" applyBorder="1" applyAlignment="1" applyProtection="1">
      <alignment horizontal="left" vertical="top" wrapText="1"/>
      <protection locked="0"/>
    </xf>
    <xf numFmtId="0" fontId="15" fillId="0" borderId="19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 applyProtection="1">
      <alignment horizontal="left" vertical="top" wrapText="1"/>
      <protection locked="0"/>
    </xf>
    <xf numFmtId="0" fontId="15" fillId="0" borderId="22" xfId="0" applyFont="1" applyBorder="1" applyAlignment="1" applyProtection="1">
      <alignment horizontal="left" vertical="top" wrapText="1"/>
      <protection locked="0"/>
    </xf>
    <xf numFmtId="0" fontId="16" fillId="0" borderId="161" xfId="0" applyFont="1" applyBorder="1" applyAlignment="1">
      <alignment horizontal="center"/>
    </xf>
    <xf numFmtId="0" fontId="16" fillId="0" borderId="160" xfId="0" applyFont="1" applyBorder="1" applyAlignment="1">
      <alignment horizontal="center"/>
    </xf>
    <xf numFmtId="0" fontId="16" fillId="0" borderId="162" xfId="0" applyFont="1" applyBorder="1" applyAlignment="1">
      <alignment horizontal="center"/>
    </xf>
    <xf numFmtId="0" fontId="15" fillId="0" borderId="1" xfId="0" applyFont="1" applyBorder="1" applyAlignment="1">
      <alignment horizontal="left" vertical="center"/>
    </xf>
    <xf numFmtId="0" fontId="23" fillId="0" borderId="9" xfId="0" applyFont="1" applyBorder="1" applyAlignment="1">
      <alignment horizontal="center" vertical="center"/>
    </xf>
    <xf numFmtId="0" fontId="23" fillId="0" borderId="7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0" borderId="158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" fillId="5" borderId="9" xfId="0" applyFont="1" applyFill="1" applyBorder="1" applyAlignment="1">
      <alignment horizontal="center"/>
    </xf>
    <xf numFmtId="0" fontId="8" fillId="5" borderId="7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4" fontId="0" fillId="0" borderId="0" xfId="0" applyNumberFormat="1"/>
    <xf numFmtId="0" fontId="48" fillId="0" borderId="9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5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50" dataDxfId="448" headerRowBorderDxfId="449" tableBorderDxfId="447" totalsRowBorderDxfId="446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45"/>
    <tableColumn id="18" xr3:uid="{366DBBF2-20A8-4D60-93FE-3D5A81578DB0}" name="DISCHARGE CONFIG" dataDxfId="444"/>
    <tableColumn id="19" xr3:uid="{0CEE3843-A0BB-4053-8B60-160B8D23C3A1}" name="RETURN CONFIG" dataDxfId="443"/>
    <tableColumn id="2" xr3:uid="{A907651C-1565-4CA5-8395-FBF4A48F82DF}" name="SUPPLY FAN VFD" dataDxfId="442"/>
    <tableColumn id="3" xr3:uid="{A1BA734B-6B37-4C81-BB00-B96C74EABC9E}" name="RETURN FAN" dataDxfId="441"/>
    <tableColumn id="4" xr3:uid="{1A2A118E-5D50-4E1F-8178-C4EFA7C8AFB2}" name="RETURN FAN VFD" dataDxfId="440"/>
    <tableColumn id="5" xr3:uid="{9789DB90-BB58-4C9A-84AA-733010BD2ABF}" name="ECONOMIZER" dataDxfId="439"/>
    <tableColumn id="6" xr3:uid="{7F342EF1-E9D4-4167-9F2C-FB7ECDD16AC5}" name="HEAT RECOVERY" dataDxfId="438"/>
    <tableColumn id="7" xr3:uid="{26A7AB30-2773-4D3A-B047-D020B43C98AD}" name="PREHEAT COIL" dataDxfId="437"/>
    <tableColumn id="8" xr3:uid="{698E1BCF-A037-4D50-BC22-BF171E579A40}" name="REHEAT COIL" dataDxfId="436"/>
    <tableColumn id="9" xr3:uid="{E1206B26-EAF7-482D-90C7-BD9B25AC7DF4}" name="SUPPLY SMOKE" dataDxfId="435"/>
    <tableColumn id="10" xr3:uid="{3C1D9E90-D1DB-4131-ACF1-AE091BA0F570}" name="RETURN SMOKE" dataDxfId="434"/>
    <tableColumn id="11" xr3:uid="{42FFA5A3-94D2-4855-A74E-B15F86BB7CA6}" name="SINGLE POWER" dataDxfId="433"/>
    <tableColumn id="12" xr3:uid="{A9CF85BF-E075-40CD-A3D8-8F54B4742E17}" name="UV LIGHTS" dataDxfId="432"/>
    <tableColumn id="13" xr3:uid="{E6598DEC-673D-4041-8DFD-65E1B4E86C00}" name="PRE FILTER " dataDxfId="431"/>
    <tableColumn id="14" xr3:uid="{A42CA4AB-ECDB-4F8E-9F88-493EE19C6264}" name="INTERMIDIATE FILTER" dataDxfId="430"/>
    <tableColumn id="15" xr3:uid="{7E317255-F402-493B-BA5E-6339E59F2B79}" name="ATFP DAMPERS" dataDxfId="429"/>
    <tableColumn id="16" xr3:uid="{F81087CC-928B-4AE1-A5CB-B814D3F9D515}" name="HUMIDIFIER" dataDxfId="428"/>
    <tableColumn id="17" xr3:uid="{6D8362BD-1A4B-4899-83CC-017029BF5237}" name="HEPA FILTER" dataDxfId="42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26" dataDxfId="425">
  <autoFilter ref="B29:E30" xr:uid="{4581B1AD-A786-2246-8D37-2A5F7703F76B}"/>
  <tableColumns count="4">
    <tableColumn id="1" xr3:uid="{F6DE3AB9-A636-4F44-A1A2-B490A8559CB9}" name="Number of Chillers" dataDxfId="424"/>
    <tableColumn id="2" xr3:uid="{4435B585-7E01-124C-A117-60351029480F}" name="Diversity %" dataDxfId="423" dataCellStyle="Percent"/>
    <tableColumn id="3" xr3:uid="{5593EF6B-BC7D-2545-87E3-670353EFCEA9}" name="number of CHW Pumps" dataDxfId="422"/>
    <tableColumn id="4" xr3:uid="{62962FB5-BAF9-064A-8972-6E8082614CD8}" name="Column1" dataDxfId="42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420" dataDxfId="418" totalsRowDxfId="416" headerRowBorderDxfId="419" tableBorderDxfId="417" totalsRowBorderDxfId="415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414" totalsRowDxfId="413"/>
    <tableColumn id="3" xr3:uid="{C2F54D71-F1C6-49DB-922E-7D2631440381}" name="ROOM" dataDxfId="412" totalsRowDxfId="411"/>
    <tableColumn id="4" xr3:uid="{189BFD32-5838-4B8D-83F1-8FF63371B25D}" name="ROOM _x000a_NUMBER" dataDxfId="410" totalsRowDxfId="409"/>
    <tableColumn id="5" xr3:uid="{7FC753AE-3B21-46CB-956D-DCD0916DD59D}" name="AREA _x000a_(FT²)" totalsRowFunction="sum" dataDxfId="408" totalsRowDxfId="407"/>
    <tableColumn id="6" xr3:uid="{212AC2DD-3F08-44C5-838C-413FFEC1F4C6}" name="HG_x000a_(FT)" dataDxfId="406" totalsRowDxfId="405"/>
    <tableColumn id="8" xr3:uid="{B747ED35-F271-4E44-B347-594DCF339F19}" name="100%_x000a_EA" dataDxfId="404" totalsRowDxfId="403">
      <calculatedColumnFormula>VLOOKUP($K7,'UMC Table 4-A'!$A$2:$E$132,5,FALSE)</calculatedColumnFormula>
    </tableColumn>
    <tableColumn id="1" xr3:uid="{4FD13E19-A2C6-4F05-8163-E6C650FDA1DE}" name="Desired Air Balance Difference" dataDxfId="402" totalsRowDxfId="401"/>
    <tableColumn id="10" xr3:uid="{614FC840-D402-45A6-89B3-CE1DEF3FB988}" name="LOAD _x000a_(CFM)" dataDxfId="400" totalsRowDxfId="399"/>
    <tableColumn id="12" xr3:uid="{3BD29DF7-A320-479F-AB6B-6729E84FCEAB}" name="1 or 0.5 CFM/SF" dataDxfId="398" totalsRowDxfId="397">
      <calculatedColumnFormula>IF(OR((K7="PATIENT CORRIDOR"),(K7="TOILET")),(E7*0.5),E7)</calculatedColumnFormula>
    </tableColumn>
    <tableColumn id="13" xr3:uid="{9407B204-8E03-4498-BEE0-3E05952C0289}" name="FUNCTION OR SPACE" dataDxfId="396" totalsRowDxfId="395"/>
    <tableColumn id="14" xr3:uid="{FA54CB06-931D-43A8-B96F-0CBA46308F44}" name="PRESSURE RELATIONSHIP TO ADJACENT AREAS" dataDxfId="394" totalsRowDxfId="393">
      <calculatedColumnFormula>VLOOKUP($K7,'UMC Table 4-A'!$A$2:$E$132,2,FALSE)</calculatedColumnFormula>
    </tableColumn>
    <tableColumn id="15" xr3:uid="{15A74791-FF44-4F36-9B6F-046690A0794D}" name="MIN OUTDOOR ACH_x000a_(AC/HR)" dataDxfId="392" totalsRowDxfId="391">
      <calculatedColumnFormula>VLOOKUP($K7,'UMC Table 4-A'!$A$2:$E$132,3,FALSE)</calculatedColumnFormula>
    </tableColumn>
    <tableColumn id="16" xr3:uid="{87103CC9-4D45-4E78-BF34-B058CC675F73}" name="MIN OUTDOOR ACH _x000a_(CFM)" totalsRowFunction="sum" dataDxfId="390" totalsRowDxfId="389">
      <calculatedColumnFormula>IF(M7&lt;&gt;"NR",ROUNDUP((E7*F7*M7)/60,-1),0)</calculatedColumnFormula>
    </tableColumn>
    <tableColumn id="7" xr3:uid="{1422055C-7D3C-4AC4-BA02-F92D824538A1}" name="MIN TOTAL ACH (AC/HR)" dataDxfId="388" totalsRowDxfId="387">
      <calculatedColumnFormula>VLOOKUP($K7,'UMC Table 4-A'!$A$2:$E$132,4,FALSE)</calculatedColumnFormula>
    </tableColumn>
    <tableColumn id="11" xr3:uid="{503D0C83-9936-4893-B3CE-323297186610}" name="MIN TOTAL ACH _x000a_(CFM)" dataDxfId="386" totalsRowDxfId="385">
      <calculatedColumnFormula>IF(O7&lt;&gt;"NR",ROUNDUP((E7*F7*O7)/60,-1),0)</calculatedColumnFormula>
    </tableColumn>
    <tableColumn id="17" xr3:uid="{3F5F975F-3AF5-49AF-804D-E68DEB3CA6DE}" name="100% EA_x000a_ (YES/NR)" dataDxfId="384" totalsRowDxfId="383">
      <calculatedColumnFormula>VLOOKUP($K7,'UMC Table 4-A'!$A$2:$E$132,5,FALSE)</calculatedColumnFormula>
    </tableColumn>
    <tableColumn id="9" xr3:uid="{28CE80D3-3D31-43C8-8472-BB2E79C01D35}" name="MIN EA _x000a_(CFM)" dataDxfId="382" totalsRowDxfId="381">
      <calculatedColumnFormula>IF(G7="Yes",P7,"-")</calculatedColumnFormula>
    </tableColumn>
    <tableColumn id="18" xr3:uid="{EC1A34C4-186B-4F5D-BBBF-F944DABAE0DE}" name="CALCULATED SA _x000a_(CFM)" totalsRowFunction="sum" dataDxfId="380" totalsRowDxfId="379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78" totalsRowDxfId="377">
      <calculatedColumnFormula>S7</calculatedColumnFormula>
    </tableColumn>
    <tableColumn id="20" xr3:uid="{3EA21BB5-0F64-4AE1-85D8-9CF36F64F169}" name="DESIGN RA_x000a_(CFM)" totalsRowFunction="sum" dataDxfId="376" totalsRowDxfId="375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74" totalsRowDxfId="373">
      <calculatedColumnFormula>IF(Q7="Yes",R7,0)</calculatedColumnFormula>
    </tableColumn>
    <tableColumn id="22" xr3:uid="{670B1646-1347-4231-BEAC-EACE1B9AB3F0}" name="Transfer Air CFM" totalsRowFunction="sum" dataDxfId="372" totalsRowDxfId="371">
      <calculatedColumnFormula>T7-U7-V7</calculatedColumnFormula>
    </tableColumn>
    <tableColumn id="24" xr3:uid="{48A894A3-2372-4DA8-BDE4-ECEEDE3D0EF6}" name="CFM/SF" dataDxfId="370" totalsRowDxfId="369">
      <calculatedColumnFormula>IFERROR(S7/E7,"-")</calculatedColumnFormula>
    </tableColumn>
    <tableColumn id="25" xr3:uid="{9BC6F763-35E7-482F-8273-B0601EC26A45}" name="OSA PERCENT" dataDxfId="368" totalsRowDxfId="367"/>
    <tableColumn id="26" xr3:uid="{E4CF811E-B4F1-4772-93DA-71987AA79E17}" name="ACH/hr" dataDxfId="366" totalsRowDxfId="365"/>
    <tableColumn id="23" xr3:uid="{2AF622FD-992A-4DDD-B9A9-B3EFD3519585}" name="Balance?" dataDxfId="364" totalsRowDxfId="363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362" dataDxfId="360" totalsRowDxfId="358" headerRowBorderDxfId="361" tableBorderDxfId="359" totalsRowBorderDxfId="357">
  <autoFilter ref="AD6:AT44" xr:uid="{2A2B6BA6-0EAB-2349-A085-FD569408EC9D}"/>
  <tableColumns count="17">
    <tableColumn id="1" xr3:uid="{57BE8BDC-A4D3-4989-BC7B-7D4035BFFB37}" name="ZONE" totalsRowLabel="Total" dataDxfId="356" totalsRowDxfId="355"/>
    <tableColumn id="2" xr3:uid="{BC752A02-1DF4-4483-B512-23CC7F568DD8}" name="BASIS OF DESIGN _x000a_MANUFACTURER" dataDxfId="354" totalsRowDxfId="353"/>
    <tableColumn id="3" xr3:uid="{242E7275-C722-4C29-9346-0DF293287756}" name="DESCRIPTION" dataDxfId="352" totalsRowDxfId="351"/>
    <tableColumn id="4" xr3:uid="{22EB9722-D35D-46A4-B4D9-BDCCDDE1D567}" name="CFM" dataDxfId="350" totalsRowDxfId="349">
      <calculatedColumnFormula>SUMIF($B$7:$B$17,AD7,$T$7:$T$17)</calculatedColumnFormula>
    </tableColumn>
    <tableColumn id="5" xr3:uid="{51309487-29A6-4A90-9ACE-1C65D844B978}" name="CAV INLET SIZE" dataDxfId="348" totalsRowDxfId="347">
      <calculatedColumnFormula>IFERROR((VLOOKUP(AG7,'DO NOT TOUCH'!$B$9:$C$14,2,TRUE)),"TBD")</calculatedColumnFormula>
    </tableColumn>
    <tableColumn id="6" xr3:uid="{215C2515-E562-4D91-AA5F-B9EF101C10B1}" name="MAX TOTAL CAV PD _x000a_(IN W.G.)" dataDxfId="346" totalsRowDxfId="345">
      <calculatedColumnFormula>AI6</calculatedColumnFormula>
    </tableColumn>
    <tableColumn id="7" xr3:uid="{44ABD785-5FF4-4BDF-8DA8-ABCB4A3BD858}" name="EWT" dataDxfId="344" totalsRowDxfId="343">
      <calculatedColumnFormula>INPUT_OUTPUTS!$C$16</calculatedColumnFormula>
    </tableColumn>
    <tableColumn id="8" xr3:uid="{D7A38AF8-CCEA-4611-B868-D92E45DFB31D}" name="DESIGN _x000a_LWT" dataDxfId="342" totalsRowDxfId="341">
      <calculatedColumnFormula>INPUT_OUTPUTS!$C$17</calculatedColumnFormula>
    </tableColumn>
    <tableColumn id="9" xr3:uid="{74E9A83C-F72E-4681-B2A6-32313CCD9052}" name="EAT" dataDxfId="340" totalsRowDxfId="339">
      <calculatedColumnFormula>AL6</calculatedColumnFormula>
    </tableColumn>
    <tableColumn id="10" xr3:uid="{8B982646-83B7-4FAB-B9B2-3DE24C1C5929}" name="DESIGN _x000a_LAT" dataDxfId="338" totalsRowDxfId="337">
      <calculatedColumnFormula>AM6</calculatedColumnFormula>
    </tableColumn>
    <tableColumn id="11" xr3:uid="{272BE2CC-D55E-4E27-A9CD-23F7D3C69C7E}" name="MIN MBH" totalsRowFunction="sum" dataDxfId="336" totalsRowDxfId="335">
      <calculatedColumnFormula>MROUND((1.08*(AM7-AL7)*AG7)/1000,0.1)</calculatedColumnFormula>
    </tableColumn>
    <tableColumn id="12" xr3:uid="{7397E695-5680-41E5-BD4B-54E06DBC3660}" name="AGPM" dataDxfId="334" totalsRowDxfId="333">
      <calculatedColumnFormula>(AN7*1000)/(500*(AJ7-AK7))</calculatedColumnFormula>
    </tableColumn>
    <tableColumn id="13" xr3:uid="{414C9995-C808-4163-A7C0-6FBE3CE786D5}" name="GPM" totalsRowFunction="sum" dataDxfId="332" totalsRowDxfId="331">
      <calculatedColumnFormula>IF(AO7&lt;0.5,0.5,AO7)</calculatedColumnFormula>
    </tableColumn>
    <tableColumn id="14" xr3:uid="{FA76CB50-9C92-48CB-9847-CD2C20E3C0EA}" name="MAX WATER _x000a_PD (FT)" dataDxfId="330" totalsRowDxfId="329">
      <calculatedColumnFormula>AQ6</calculatedColumnFormula>
    </tableColumn>
    <tableColumn id="15" xr3:uid="{754EB634-20EB-4627-9050-4DA3F237AC8C}" name="OPER _x000a_WEIGHT_x000a_(LBS)" dataDxfId="328" totalsRowDxfId="327">
      <calculatedColumnFormula>IFERROR((_xlfn.XLOOKUP(AH7,'DO NOT TOUCH'!$C$9:$C$14,'DO NOT TOUCH'!$D$9:$D$14,)),"TBD")</calculatedColumnFormula>
    </tableColumn>
    <tableColumn id="16" xr3:uid="{97D93DD7-F48C-4EE7-8FD7-BFAA5497DDA8}" name="MTG _x000a_DETAIL" dataDxfId="326" totalsRowDxfId="325">
      <calculatedColumnFormula>INPUT_OUTPUTS!$C$19</calculatedColumnFormula>
    </tableColumn>
    <tableColumn id="17" xr3:uid="{E363493A-6B19-483A-BFC0-A10768DD7DBD}" name="REMARKS" dataDxfId="324" totalsRowDxfId="323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E13" totalsRowCount="1" headerRowDxfId="322" dataDxfId="320" headerRowBorderDxfId="321" tableBorderDxfId="319">
  <autoFilter ref="A11:BE12" xr:uid="{E6D9D33A-2DE5-364A-B78C-5DD7A614D29B}"/>
  <tableColumns count="57">
    <tableColumn id="1" xr3:uid="{75084425-A44B-8E45-87AE-08AECD33E09D}" name="TAG" totalsRowLabel="Total" dataDxfId="115" totalsRowDxfId="58"/>
    <tableColumn id="2" xr3:uid="{C741F4EF-D022-3147-B8E2-8A68ED8EF0CC}" name="(CFM)" totalsRowFunction="sum" dataDxfId="114" totalsRowDxfId="57">
      <calculatedColumnFormula>Generic!$AW$2</calculatedColumnFormula>
    </tableColumn>
    <tableColumn id="4" xr3:uid="{8F33E354-148B-E049-A9AB-2FEBF1D2ABCF}" name="(CFM)2" dataDxfId="113" totalsRowDxfId="56">
      <calculatedColumnFormula>Generic!$AX$2</calculatedColumnFormula>
    </tableColumn>
    <tableColumn id="6" xr3:uid="{44289BD7-7B7A-5040-A9C3-A81E708605BA}" name="(˚F db)" dataDxfId="112" totalsRowDxfId="55"/>
    <tableColumn id="7" xr3:uid="{A118C93B-9473-8340-A213-7536CC01FA69}" name="(˚F wb)" dataDxfId="111" totalsRowDxfId="54"/>
    <tableColumn id="8" xr3:uid="{BA4E1C0D-A98F-C94F-B5DE-2C36AC9D0BA3}" name="(CFM)3" dataDxfId="110" totalsRowDxfId="53">
      <calculatedColumnFormula>Generic!$AY$2</calculatedColumnFormula>
    </tableColumn>
    <tableColumn id="9" xr3:uid="{8E2A683D-7B4C-954E-A75A-56B4A8A15F0B}" name="(˚F db)4" dataDxfId="109" totalsRowDxfId="52">
      <calculatedColumnFormula>INPUT_OUTPUTS!$C$8</calculatedColumnFormula>
    </tableColumn>
    <tableColumn id="10" xr3:uid="{D83D5AD6-51F5-5E4B-BE3C-C238ECC50CFF}" name="(˚F wb)5" dataDxfId="108" totalsRowDxfId="51">
      <calculatedColumnFormula>INPUT_OUTPUTS!$C$9</calculatedColumnFormula>
    </tableColumn>
    <tableColumn id="11" xr3:uid="{58DDBF84-EFFA-734F-B069-FD929AE8505B}" name="(CFM)6" dataDxfId="107" totalsRowDxfId="50">
      <calculatedColumnFormula>Table7[[#This Row],[(CFM)3]]</calculatedColumnFormula>
    </tableColumn>
    <tableColumn id="12" xr3:uid="{7D7925B1-33E7-A84F-AAEC-67A01BBE986C}" name="(˚F db)7" dataDxfId="106" totalsRowDxfId="49">
      <calculatedColumnFormula>INPUT_OUTPUTS!$C$10</calculatedColumnFormula>
    </tableColumn>
    <tableColumn id="13" xr3:uid="{9E21E0BF-E9C5-C54C-9B8C-005C0935E109}" name="(˚F wb)8" dataDxfId="105" totalsRowDxfId="48">
      <calculatedColumnFormula>INPUT_OUTPUTS!$C$11</calculatedColumnFormula>
    </tableColumn>
    <tableColumn id="14" xr3:uid="{AC23D981-3B01-5147-97B6-3252A7FC953B}" name="(˚F db)9" dataDxfId="104" totalsRowDxfId="47">
      <calculatedColumnFormula>INPUT_OUTPUTS!$F$8</calculatedColumnFormula>
    </tableColumn>
    <tableColumn id="15" xr3:uid="{DB54E7DD-3A47-6447-A89B-94C85E52BE7D}" name="(CFM)10" dataDxfId="103" totalsRowDxfId="46">
      <calculatedColumnFormula>C12+F12-B12</calculatedColumnFormula>
    </tableColumn>
    <tableColumn id="16" xr3:uid="{4FEC2D7C-9758-744F-A9BF-FBA46547E062}" name="(˚F db)11" dataDxfId="102" totalsRowDxfId="45">
      <calculatedColumnFormula>D12*((C12-M12)/B12) + G12*(F12/B12)</calculatedColumnFormula>
    </tableColumn>
    <tableColumn id="17" xr3:uid="{B005BDD5-39CF-2B47-842F-C982BA9FC7E1}" name="(˚F wb)12" dataDxfId="61" totalsRowDxfId="44">
      <calculatedColumnFormula>TRUNC(E12*((C12-M12)/B12) + H12*(F12/B12),1)</calculatedColumnFormula>
    </tableColumn>
    <tableColumn id="18" xr3:uid="{5AC4E564-0F72-0E49-B041-B5DE3FD4DD18}" name="(h)" dataDxfId="59" totalsRowDxfId="43">
      <calculatedColumnFormula array="1">GetMoistAirEnthalpy(Table7[[#This Row],[(˚F db)11]],(GetHumRatioFromTWetBulb(Table7[[#This Row],[(˚F db)11]],Table7[[#This Row],[(˚F wb)12]],GetStandardAtmPressure(INPUT_OUTPUTS!G6))))</calculatedColumnFormula>
    </tableColumn>
    <tableColumn id="19" xr3:uid="{1CF6B834-F9E4-7943-9908-D52F6A59E930}" name="(˚F db)13" dataDxfId="60" totalsRowDxfId="42"/>
    <tableColumn id="20" xr3:uid="{069031AB-30B0-304F-BA24-44B4C6E6101C}" name="(˚F wb)14" dataDxfId="64" totalsRowDxfId="41"/>
    <tableColumn id="21" xr3:uid="{1EA24A2B-BE77-6945-9098-6C4501A9902F}" name="(h)15" dataDxfId="62" totalsRowDxfId="40">
      <calculatedColumnFormula array="1">GetMoistAirEnthalpy(Table7[[#This Row],[(˚F db)13]],(GetHumRatioFromTWetBulb(Table7[[#This Row],[(˚F db)13]],Table7[[#This Row],[(˚F wb)14]],GetStandardAtmPressure(INPUT_OUTPUTS!G6))))</calculatedColumnFormula>
    </tableColumn>
    <tableColumn id="22" xr3:uid="{05796239-DA0D-E349-ADE3-8A1B87E96861}" name="(Btu/hr)" dataDxfId="63" totalsRowDxfId="39">
      <calculatedColumnFormula>B12*1.085*(N12-Q12)</calculatedColumnFormula>
    </tableColumn>
    <tableColumn id="23" xr3:uid="{02C21CA2-732A-8C4C-93ED-640017544BD3}" name="(Btu/hr)16" dataDxfId="101" totalsRowDxfId="38">
      <calculatedColumnFormula>4.5*B12*(P12-S12)</calculatedColumnFormula>
    </tableColumn>
    <tableColumn id="24" xr3:uid="{80183150-6317-2C46-B9FB-5600693E1D79}" name="(Tons)" dataDxfId="100" totalsRowDxfId="37">
      <calculatedColumnFormula>IF(U12&lt;T12,"INVALID POINT",U12/12000)</calculatedColumnFormula>
    </tableColumn>
    <tableColumn id="25" xr3:uid="{8AF1DEDF-1446-A54C-A718-1F4A80DCED1F}" name="(˚F db)17" dataDxfId="99" totalsRowDxfId="36">
      <calculatedColumnFormula>INPUT_OUTPUTS!$C$14</calculatedColumnFormula>
    </tableColumn>
    <tableColumn id="26" xr3:uid="{30713AF6-10A7-A640-9A81-7C9C656F28C6}" name="(˚F db)18" dataDxfId="98" totalsRowDxfId="35">
      <calculatedColumnFormula>INPUT_OUTPUTS!$C$15</calculatedColumnFormula>
    </tableColumn>
    <tableColumn id="27" xr3:uid="{07E9B9A3-68BD-0040-B64A-445B4F7DB78B}" name="GPM" totalsRowFunction="sum" dataDxfId="97" totalsRowDxfId="34">
      <calculatedColumnFormula>U12/(500*(X12-W12))</calculatedColumnFormula>
    </tableColumn>
    <tableColumn id="28" xr3:uid="{63A1C04A-F0C1-344B-9C91-CDCBB09CC808}" name="(˚F db)19" dataDxfId="96" totalsRowDxfId="33">
      <calculatedColumnFormula>D12*((C12-M12)/B12) + J12*(F12/B12)</calculatedColumnFormula>
    </tableColumn>
    <tableColumn id="29" xr3:uid="{6B8C516D-DE70-BF40-8E5C-0B23062187E5}" name="(˚F wb)20" dataDxfId="67" totalsRowDxfId="32">
      <calculatedColumnFormula>TRUNC(E12*((C12-M12)/B12) + K12*(F12/B12),1)</calculatedColumnFormula>
    </tableColumn>
    <tableColumn id="30" xr3:uid="{045EE11E-9647-ED4C-9652-8752BBE74982}" name="(h)21" dataDxfId="65" totalsRowDxfId="31">
      <calculatedColumnFormula array="1">GetMoistAirEnthalpy(Table7[[#This Row],[(˚F db)19]],(GetHumRatioFromTWetBulb(Table7[[#This Row],[(˚F db)19]],Table7[[#This Row],[(˚F wb)20]],GetStandardAtmPressure(INPUT_OUTPUTS!G6))))</calculatedColumnFormula>
    </tableColumn>
    <tableColumn id="31" xr3:uid="{1C877888-78C7-FA4C-A946-1B9EDB031094}" name="(˚F db)22" dataDxfId="66" totalsRowDxfId="30">
      <calculatedColumnFormula>Table7[[#This Row],[(˚F db)13]]</calculatedColumnFormula>
    </tableColumn>
    <tableColumn id="32" xr3:uid="{5E7C32E8-28E9-554C-93A3-4ED479273F5C}" name="(˚F wb)23" dataDxfId="95" totalsRowDxfId="29">
      <calculatedColumnFormula>Table7[[#This Row],[(˚F wb)14]]</calculatedColumnFormula>
    </tableColumn>
    <tableColumn id="33" xr3:uid="{7EB81F19-A30A-5844-B465-95995C2169F1}" name="(h)24" dataDxfId="94" totalsRowDxfId="28">
      <calculatedColumnFormula array="1">GetMoistAirEnthalpy(Table7[[#This Row],[(˚F db)22]],(GetHumRatioFromTWetBulb(Table7[[#This Row],[(˚F db)22]],Table7[[#This Row],[(˚F wb)23]],GetStandardAtmPressure(INPUT_OUTPUTS!G6))))</calculatedColumnFormula>
    </tableColumn>
    <tableColumn id="37" xr3:uid="{B86C10F8-CA05-8945-8F0F-F9E339D5FA04}" name="(Btu/hr)28" dataDxfId="93" totalsRowDxfId="27">
      <calculatedColumnFormula>B12*1.085*(Z12-AC12)</calculatedColumnFormula>
    </tableColumn>
    <tableColumn id="38" xr3:uid="{3C9101C2-66E5-5844-8571-55FD8B0FA8E4}" name="(Btu/hr)29" dataDxfId="92" totalsRowDxfId="26">
      <calculatedColumnFormula>4.5*B12*(AB12-AE12)</calculatedColumnFormula>
    </tableColumn>
    <tableColumn id="39" xr3:uid="{611DF507-C49C-8E40-9B22-204394B4D484}" name="(Tons)30" dataDxfId="91" totalsRowDxfId="25">
      <calculatedColumnFormula>IF(AG12&lt;AF12,"INVALID POINT",AG12/12000)</calculatedColumnFormula>
    </tableColumn>
    <tableColumn id="40" xr3:uid="{8D69DAB9-C665-1C40-8BEE-2F67013BDA9E}" name="(˚F db)31" dataDxfId="90" totalsRowDxfId="24">
      <calculatedColumnFormula>INPUT_OUTPUTS!$C$14</calculatedColumnFormula>
    </tableColumn>
    <tableColumn id="41" xr3:uid="{2C7A8B9E-09E2-C245-8AD4-9B511603B988}" name="(˚F db)32" dataDxfId="89" totalsRowDxfId="23">
      <calculatedColumnFormula>INPUT_OUTPUTS!$C$15</calculatedColumnFormula>
    </tableColumn>
    <tableColumn id="42" xr3:uid="{97B72D8E-BA89-4E4A-B5D1-F02C61433D68}" name="GPM33" totalsRowFunction="sum" dataDxfId="88" totalsRowDxfId="22">
      <calculatedColumnFormula>AG12/(500*(AJ12-AI12))</calculatedColumnFormula>
    </tableColumn>
    <tableColumn id="43" xr3:uid="{EE7A438B-ECC2-DF4B-9129-EA55728EFC2E}" name="(Tons)34" totalsRowFunction="sum" dataDxfId="87" totalsRowDxfId="21">
      <calculatedColumnFormula>MAX(AH12,V12)</calculatedColumnFormula>
    </tableColumn>
    <tableColumn id="44" xr3:uid="{B68CC7E9-570D-A84E-8670-D3C2DEA54479}" name="(CFM)35" dataDxfId="86" totalsRowDxfId="20">
      <calculatedColumnFormula>B12/AH12</calculatedColumnFormula>
    </tableColumn>
    <tableColumn id="59" xr3:uid="{2F2BA6E3-EE55-BA45-94DB-4A9361068B22}" name="GPM MAX" totalsRowFunction="sum" dataDxfId="85" totalsRowDxfId="19">
      <calculatedColumnFormula>MAX(Table7[[#This Row],[GPM33]],Table7[[#This Row],[GPM]])</calculatedColumnFormula>
    </tableColumn>
    <tableColumn id="45" xr3:uid="{033D6B36-8B19-EB4B-A1E7-E7585C21489B}" name="(CFM)36" dataDxfId="84" totalsRowDxfId="18">
      <calculatedColumnFormula>IF(Table7[[#This Row],[(˚F db)9]]&lt;35,B12,"NOT NEEDED")</calculatedColumnFormula>
    </tableColumn>
    <tableColumn id="46" xr3:uid="{940C5796-789D-5B4A-9FCD-445173CBE38B}" name="(˚F db)37" dataDxfId="83" totalsRowDxfId="17">
      <calculatedColumnFormula>IF(Table7[[#This Row],[(˚F db)9]]&lt;35,Table7[[#This Row],[(˚F db)9]],"NOT NEEDED")</calculatedColumnFormula>
    </tableColumn>
    <tableColumn id="47" xr3:uid="{33252E21-E95C-E84B-AA5C-160823174238}" name="(˚F db)38" dataDxfId="82" totalsRowDxfId="16">
      <calculatedColumnFormula>IF(Table7[[#This Row],[(˚F db)9]]&lt;35,38,"NOT NEEDED")</calculatedColumnFormula>
    </tableColumn>
    <tableColumn id="48" xr3:uid="{F5FF0CC7-9CD6-DC4B-9AC8-6CF9532FE75F}" name="(MBH)" totalsRowFunction="sum" dataDxfId="81" totalsRowDxfId="15">
      <calculatedColumnFormula>IF(Table7[[#This Row],[(˚F db)9]]&lt;35,AO12*1.085*(AQ12-AP12)/1000,0)</calculatedColumnFormula>
    </tableColumn>
    <tableColumn id="49" xr3:uid="{41191CD7-30B2-EE4D-850D-B2169746F6D6}" name="(˚F db)39" dataDxfId="80" totalsRowDxfId="14">
      <calculatedColumnFormula>INPUT_OUTPUTS!$C$16</calculatedColumnFormula>
    </tableColumn>
    <tableColumn id="50" xr3:uid="{4D3CE10E-9198-0E44-849F-6C7B4A36B8CE}" name="(˚F db)40" dataDxfId="79" totalsRowDxfId="13">
      <calculatedColumnFormula>INPUT_OUTPUTS!$C$17</calculatedColumnFormula>
    </tableColumn>
    <tableColumn id="51" xr3:uid="{01E8F924-565C-4D42-9E39-E87365245FFA}" name="GPM41" totalsRowFunction="sum" dataDxfId="78" totalsRowDxfId="12">
      <calculatedColumnFormula>(AR12*1000)/(500*(AS12-AT12))</calculatedColumnFormula>
    </tableColumn>
    <tableColumn id="34" xr3:uid="{7FA025E3-2A8E-4918-AE49-513BEFF26646}" name="CFM" dataDxfId="77" totalsRowDxfId="11"/>
    <tableColumn id="54" xr3:uid="{D0D7EAE6-3EA2-E244-8B8D-01899554629D}" name="(˚F db)43" dataDxfId="76" totalsRowDxfId="10">
      <calculatedColumnFormula>(Table7[[#This Row],[(˚F db)9]]*Table7[[#This Row],[(CFM)3]] + Table7[[#This Row],[(˚F db)]]*(Table7[[#This Row],[CFM]]-Table7[[#This Row],[(CFM)3]]))/Table7[[#This Row],[CFM]]</calculatedColumnFormula>
    </tableColumn>
    <tableColumn id="56" xr3:uid="{0D1DB506-119B-7043-BE7D-652B0413152C}" name="(˚F db)45" dataDxfId="75" totalsRowDxfId="9">
      <calculatedColumnFormula>IF(Table7[[#This Row],[(˚F db)43]]&lt;Table7[[#This Row],[(˚F db)13]],Table7[[#This Row],[(˚F db)13]],"NOT NEEDED")</calculatedColumnFormula>
    </tableColumn>
    <tableColumn id="57" xr3:uid="{C012C8FF-93AB-B94F-BC98-7474F441DD8E}" name="(mbh)46" totalsRowFunction="sum" dataDxfId="74" totalsRowDxfId="8">
      <calculatedColumnFormula>IF(Table7[[#This Row],[(˚F db)43]]&lt;Table7[[#This Row],[(˚F db)13]],(Table7[[#This Row],[CFM]]*1.08*(Table7[[#This Row],[(˚F db)45]]-Table7[[#This Row],[(˚F db)43]]))/1000,0)</calculatedColumnFormula>
    </tableColumn>
    <tableColumn id="60" xr3:uid="{3575FFB4-394C-DC4E-9487-884A377EB86A}" name="(˚F db)46" totalsRowFunction="sum" dataDxfId="73" totalsRowDxfId="7">
      <calculatedColumnFormula>(Table7[[#This Row],[(mbh)46]]*1000)/(500*(Table7[[#This Row],[(˚F db)39]]-Table7[[#This Row],[(˚F db)40]]))</calculatedColumnFormula>
    </tableColumn>
    <tableColumn id="3" xr3:uid="{08404160-A568-4BE0-A13C-756AE8DD2B84}" name="CFM2" dataDxfId="72" totalsRowDxfId="6">
      <calculatedColumnFormula>Table7[[#This Row],[CFM]]</calculatedColumnFormula>
    </tableColumn>
    <tableColumn id="5" xr3:uid="{7FA18FE7-40E2-40BA-B789-D5464F9073D9}" name="(˚F db)433" dataDxfId="71" totalsRowDxfId="5">
      <calculatedColumnFormula>Table7[[#This Row],[(˚F db)45]]</calculatedColumnFormula>
    </tableColumn>
    <tableColumn id="35" xr3:uid="{90110432-2271-4C72-8955-86F29A4EBEEF}" name="(˚F db)454" dataDxfId="70" totalsRowDxfId="4"/>
    <tableColumn id="36" xr3:uid="{57E2F4EA-42FB-47EC-B0FD-52A1FDCCA354}" name="(mbh)465" dataDxfId="69" totalsRowDxfId="3">
      <calculatedColumnFormula>(Table7[[#This Row],[CFM2]]*1.08*(Table7[[#This Row],[(˚F db)454]]-Table7[[#This Row],[(˚F db)433]]))/1000</calculatedColumnFormula>
    </tableColumn>
    <tableColumn id="52" xr3:uid="{3FF67394-5B69-4718-9C85-8D4ECBEC8096}" name="(˚F db)466" dataDxfId="68" totalsRowDxfId="2">
      <calculatedColumnFormula>(Table7[[#This Row],[(mbh)46]]*1000)/(500*(Table7[[#This Row],[(˚F db)39]]-Table7[[#This Row],[(˚F db)40]]))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318" dataDxfId="317" totalsRowDxfId="315" tableBorderDxfId="316">
  <autoFilter ref="A2:Z5" xr:uid="{59B85608-0CD2-47F2-870C-191ADDE0C2B8}"/>
  <tableColumns count="26">
    <tableColumn id="1" xr3:uid="{AACF3619-1A60-4FCF-BCFF-F336ADCF73B8}" name="Zone" totalsRowLabel="TOTAL" dataDxfId="314" totalsRowDxfId="313"/>
    <tableColumn id="3" xr3:uid="{80B2F9E7-1259-4673-96AB-0F4F83EB3D46}" name="Room Number" dataDxfId="312" totalsRowDxfId="311"/>
    <tableColumn id="4" xr3:uid="{0BD09193-37D6-4F7C-BCAE-45CFF2C8A151}" name="Room" totalsRowFunction="count" dataDxfId="310" totalsRowDxfId="309"/>
    <tableColumn id="6" xr3:uid="{E95CEC16-C2FC-4214-A0EB-7A08FDEAF0F9}" name="AREA _x000a_(FT²)" totalsRowFunction="sum" dataDxfId="308" totalsRowDxfId="307"/>
    <tableColumn id="18" xr3:uid="{6DA2FAE7-17CA-4FE0-8359-8C4FF34595A6}" name="Exhaust Units" dataDxfId="306" totalsRowDxfId="305"/>
    <tableColumn id="7" xr3:uid="{583FAE05-9F7D-48E5-BEF5-13CEE070C1D5}" name="OFFICE STANDARD _x000a_(CFM)" dataDxfId="304" totalsRowDxfId="303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302" totalsRowDxfId="301"/>
    <tableColumn id="17" xr3:uid="{9950D068-2B64-41F9-A84D-F7BB46AA37B4}" name="Exhaust Category" dataDxfId="300" totalsRowDxfId="299"/>
    <tableColumn id="5" xr3:uid="{593AD6F9-FDB5-4388-9BB0-C939DB13E66D}" name="Occupancy Category" dataDxfId="298" totalsRowDxfId="297"/>
    <tableColumn id="10" xr3:uid="{7266144B-9C83-4090-884A-1BB5A987F5A7}" name="RP_x000a_(CFM/PER PERSON)" dataDxfId="296" totalsRowDxfId="295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294" totalsRowDxfId="293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292" totalsRowDxfId="291">
      <calculatedColumnFormula>VLOOKUP(Ahu_Ashrae_sheet[[#This Row],[Occupancy Category]],Ashrae90.1Vent[#All],4,FALSE)</calculatedColumnFormula>
    </tableColumn>
    <tableColumn id="12" xr3:uid="{B627EA84-4F12-4D9C-9B2E-8C8B23AA47EF}" name="Air Class" dataDxfId="290" totalsRowDxfId="289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288" totalsRowDxfId="287">
      <calculatedColumnFormula>CEILING((L3/1000)*D3,1)</calculatedColumnFormula>
    </tableColumn>
    <tableColumn id="14" xr3:uid="{F57C4FE9-D689-4840-BE7F-8AAC8AF32E90}" name="Vbz" dataDxfId="286" totalsRowDxfId="285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284" totalsRowDxfId="283"/>
    <tableColumn id="16" xr3:uid="{E815DDA4-80F1-4B30-89A0-831145D8A65F}" name="Voz" dataDxfId="282" totalsRowDxfId="281">
      <calculatedColumnFormula>O3/P3</calculatedColumnFormula>
    </tableColumn>
    <tableColumn id="21" xr3:uid="{3796FC97-1024-4F8D-AF4A-C1BCEDC0304A}" name="OUTSIDE AIRFLOW (CFM) (Vot)" totalsRowFunction="sum" dataDxfId="280" totalsRowDxfId="279">
      <calculatedColumnFormula>Ahu_Ashrae_sheet[[#This Row],[Voz]]</calculatedColumnFormula>
    </tableColumn>
    <tableColumn id="27" xr3:uid="{D6F07612-EAC0-4AD6-8EB3-909D232BF60F}" name="EA RATE_x000a_(CFM/UNIT)" dataDxfId="278" totalsRowDxfId="277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276" totalsRowDxfId="275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274" totalsRowDxfId="273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272" totalsRowDxfId="271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270" totalsRowDxfId="269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268" totalsRowDxfId="267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266" totalsRowDxfId="265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264" totalsRowDxfId="263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262" dataDxfId="261" totalsRowDxfId="259" tableBorderDxfId="260">
  <autoFilter ref="A2:AI5" xr:uid="{59B85608-0CD2-47F2-870C-191ADDE0C2B8}"/>
  <tableColumns count="35">
    <tableColumn id="1" xr3:uid="{13F107CA-E395-403B-99B4-65D454865F61}" name="Zone" totalsRowLabel="TOTAL" dataDxfId="258" totalsRowDxfId="257"/>
    <tableColumn id="3" xr3:uid="{F80D1C16-C418-4B4D-A569-08FF0C9FD9A1}" name="Room Number" dataDxfId="256" totalsRowDxfId="255"/>
    <tableColumn id="4" xr3:uid="{216886B4-41A5-46E5-957A-D9BC5211544A}" name="Room" totalsRowFunction="count" dataDxfId="254" totalsRowDxfId="253"/>
    <tableColumn id="6" xr3:uid="{FAEF0092-9267-4494-BA56-051894961217}" name="AREA (FT²)" totalsRowFunction="sum" dataDxfId="252" totalsRowDxfId="251"/>
    <tableColumn id="18" xr3:uid="{85D8CA67-8705-42BF-AC57-76DEABA6CFF8}" name="Exhaust Units" dataDxfId="250" totalsRowDxfId="249"/>
    <tableColumn id="7" xr3:uid="{22DEA9EB-6829-4F94-A62D-70E9DB4118C6}" name="OFFICE STANDARD _x000a_(CFM)" dataDxfId="248" totalsRowDxfId="247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246" totalsRowDxfId="245"/>
    <tableColumn id="17" xr3:uid="{AB90DFB5-D9F7-4991-B79C-73953940B8A9}" name="Exhaust Category" dataDxfId="244" totalsRowDxfId="243"/>
    <tableColumn id="5" xr3:uid="{D0FC3464-26A6-4825-B194-880E47740C1D}" name="Occupancy Category" dataDxfId="242" totalsRowDxfId="241"/>
    <tableColumn id="10" xr3:uid="{776D97F5-1DFD-4EF3-AB3B-86F72E19D6E4}" name="RP_x000a_(CFM/PER PERSON)" dataDxfId="240" totalsRowDxfId="239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238" totalsRowDxfId="237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236" totalsRowDxfId="235">
      <calculatedColumnFormula>VLOOKUP(Ahu_Ashrae_sheet15[[#This Row],[Occupancy Category]],Ashrae90.1Vent[#All],4,FALSE)</calculatedColumnFormula>
    </tableColumn>
    <tableColumn id="12" xr3:uid="{A2512039-1BFD-4637-9149-E45B36F1BCBD}" name="Air Class" dataDxfId="234" totalsRowDxfId="233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232" totalsRowDxfId="231">
      <calculatedColumnFormula>Ahu_Ashrae_sheet15[[#This Row],[Occupants (Pz)]]</calculatedColumnFormula>
    </tableColumn>
    <tableColumn id="13" xr3:uid="{47B0F9A6-920C-43DF-A14A-8F0C04A59C11}" name="Occupants (Pz)" totalsRowFunction="sum" dataDxfId="230" totalsRowDxfId="229">
      <calculatedColumnFormula>CEILING((L3/1000)*D3,1)</calculatedColumnFormula>
    </tableColumn>
    <tableColumn id="20" xr3:uid="{D88BB767-D9CE-4502-9AE5-38238841E676}" name="DIVERSITY (D)" dataDxfId="228" totalsRowDxfId="227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226" totalsRowDxfId="225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224" totalsRowDxfId="223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222" totalsRowDxfId="221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220" totalsRowDxfId="219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218" totalsRowDxfId="217"/>
    <tableColumn id="24" xr3:uid="{44A19890-0B61-48FE-AEE6-B4AF44D95889}" name="Zone OA (Voz)" dataDxfId="216" totalsRowDxfId="215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214" totalsRowDxfId="213"/>
    <tableColumn id="33" xr3:uid="{84D3A249-3F9E-4505-B5AC-4AF46EFA1A96}" name="CO2 SENSOR" dataDxfId="212" totalsRowDxfId="211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210" totalsRowDxfId="209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208" totalsRowDxfId="207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206" totalsRowDxfId="205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204" totalsRowDxfId="203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202" totalsRowDxfId="201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200" totalsRowDxfId="199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198" totalsRowDxfId="197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196" totalsRowDxfId="195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194" totalsRowDxfId="193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192" totalsRowDxfId="191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190" totalsRowDxfId="189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188" dataDxfId="186" totalsRowDxfId="184" headerRowBorderDxfId="187" tableBorderDxfId="185" totalsRowBorderDxfId="183">
  <autoFilter ref="AL2:BD40" xr:uid="{13D566E9-CE9D-4920-9557-440C01DE1A40}"/>
  <tableColumns count="19">
    <tableColumn id="1" xr3:uid="{F4100601-C8F7-4EDA-B9ED-EC5144A4622B}" name="ZONE" totalsRowLabel="Total" dataDxfId="182" totalsRowDxfId="181"/>
    <tableColumn id="2" xr3:uid="{DE711A04-3BAB-4400-94F9-9EA1A3D93724}" name="BASIS OF DESIGN _x000a_MANUFACTURER" dataDxfId="180" totalsRowDxfId="179"/>
    <tableColumn id="3" xr3:uid="{5EFC2877-1E13-4BC7-9997-881F4F723359}" name="DESCRIPTION" dataDxfId="178" totalsRowDxfId="177"/>
    <tableColumn id="18" xr3:uid="{4BD82A36-B59C-4680-BDCB-C1D5CE6D8206}" name="MIN VAV_x000a_(CFM)" dataDxfId="176" totalsRowDxfId="175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174" totalsRowDxfId="173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172" totalsRowDxfId="171">
      <calculatedColumnFormula>IFERROR((VLOOKUP(AHU1_CAV_SCHEDULE4451416[[#This Row],[MAX VAV
(CFM)]],'DO NOT TOUCH'!$B$9:$C$14,2,TRUE)),"TBD")</calculatedColumnFormula>
    </tableColumn>
    <tableColumn id="6" xr3:uid="{7BD7D03A-0062-4AE1-A137-B7A43FB31DE2}" name="MAX TOTAL VAV PD _x000a_(IN W.G.)" dataDxfId="170" totalsRowDxfId="169">
      <calculatedColumnFormula>AR2</calculatedColumnFormula>
    </tableColumn>
    <tableColumn id="19" xr3:uid="{5F3FB950-6412-4753-A80D-B928E2E9B62C}" name="HEATING AIRFLOW _x000a_(CFM)" dataDxfId="168" totalsRowDxfId="167">
      <calculatedColumnFormula>AHU1_CAV_SCHEDULE4451416[[#This Row],[MIN VAV
(CFM)]]</calculatedColumnFormula>
    </tableColumn>
    <tableColumn id="7" xr3:uid="{252B9BF8-54B1-493D-9221-BD358C10E426}" name="EWT" dataDxfId="166" totalsRowDxfId="165">
      <calculatedColumnFormula>INPUT_OUTPUTS!$C$16</calculatedColumnFormula>
    </tableColumn>
    <tableColumn id="8" xr3:uid="{E16AE38C-7652-4771-A602-4043B581B8CE}" name="DESIGN _x000a_LWT" dataDxfId="164" totalsRowDxfId="163">
      <calculatedColumnFormula>INPUT_OUTPUTS!$C$17</calculatedColumnFormula>
    </tableColumn>
    <tableColumn id="9" xr3:uid="{494A5CA5-FC2F-4016-9EDA-AAD0074B0288}" name="EAT" dataDxfId="162" totalsRowDxfId="161">
      <calculatedColumnFormula>AV2</calculatedColumnFormula>
    </tableColumn>
    <tableColumn id="10" xr3:uid="{7B534454-B13B-4823-B389-688DB1FFC0C2}" name="DESIGN _x000a_LAT" dataDxfId="160" totalsRowDxfId="159">
      <calculatedColumnFormula>AW2</calculatedColumnFormula>
    </tableColumn>
    <tableColumn id="11" xr3:uid="{58C190FA-9339-4475-8FE4-B94254008B39}" name="MIN MBH" totalsRowFunction="sum" dataDxfId="158" totalsRowDxfId="157">
      <calculatedColumnFormula>MROUND((1.08*(AW3-AV3)*AHU1_CAV_SCHEDULE4451416[[#This Row],[HEATING AIRFLOW 
(CFM)]])/1000,0.1)</calculatedColumnFormula>
    </tableColumn>
    <tableColumn id="12" xr3:uid="{E8FC4A04-BE1B-467E-A94D-1BC0BAFF2FAC}" name="AGPM" dataDxfId="156" totalsRowDxfId="155">
      <calculatedColumnFormula>(AX3*1000)/(500*(AT3-AU3))</calculatedColumnFormula>
    </tableColumn>
    <tableColumn id="13" xr3:uid="{AAA466EF-B5D0-49B1-A9E7-E101103D64B4}" name="GPM" totalsRowFunction="sum" dataDxfId="154" totalsRowDxfId="153">
      <calculatedColumnFormula>IF(AY3&lt;0.5,0.5,AY3)</calculatedColumnFormula>
    </tableColumn>
    <tableColumn id="14" xr3:uid="{8B37A8C5-27D0-4D67-9351-B38D9137444F}" name="MAX WATER _x000a_PD (FT)" dataDxfId="152" totalsRowDxfId="151">
      <calculatedColumnFormula>BA2</calculatedColumnFormula>
    </tableColumn>
    <tableColumn id="15" xr3:uid="{CE1AD8A3-6CC9-4182-A598-A96DC629A332}" name="OPER _x000a_WEIGHT_x000a_(LBS)" dataDxfId="150" totalsRowDxfId="149">
      <calculatedColumnFormula>IFERROR((_xlfn.XLOOKUP(AQ3,'DO NOT TOUCH'!$C$9:$C$14,'DO NOT TOUCH'!$D$9:$D$14,)),"TBD")</calculatedColumnFormula>
    </tableColumn>
    <tableColumn id="16" xr3:uid="{46061A8B-CF07-404A-89CF-B3DC053B9D47}" name="MTG _x000a_DETAIL" dataDxfId="148" totalsRowDxfId="147">
      <calculatedColumnFormula>INPUT_OUTPUTS!$C$19</calculatedColumnFormula>
    </tableColumn>
    <tableColumn id="17" xr3:uid="{AFA49697-1C1E-4B56-9982-63047E73069E}" name="REMARKS" dataDxfId="146" totalsRowDxfId="145">
      <calculatedColumnFormula>BD2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2" totalsRowShown="0" headerRowDxfId="144" dataDxfId="143" dataCellStyle="Normal 2">
  <autoFilter ref="A1:G92" xr:uid="{F45BA8B8-8715-43AE-BC90-D77409CD4392}"/>
  <sortState xmlns:xlrd2="http://schemas.microsoft.com/office/spreadsheetml/2017/richdata2" ref="A2:G92">
    <sortCondition ref="A1:A92"/>
  </sortState>
  <tableColumns count="7">
    <tableColumn id="8" xr3:uid="{657FFBBA-8CBB-41EF-A25F-A9CD4768F24B}" name="Occupancy Category" dataDxfId="142" dataCellStyle="Normal 2"/>
    <tableColumn id="3" xr3:uid="{9733D35C-867E-4C4B-8F2B-E086ECB58CD3}" name="RP" dataDxfId="141" dataCellStyle="Normal 2"/>
    <tableColumn id="4" xr3:uid="{8749CE45-D3E3-463B-A943-59B6B0450B44}" name="RA" dataDxfId="140" dataCellStyle="Normal 2"/>
    <tableColumn id="5" xr3:uid="{CD462116-5E1B-4F25-96C0-8DB927D62FAD}" name="OCCUPANT DENSITY" dataDxfId="139" dataCellStyle="Normal 2"/>
    <tableColumn id="6" xr3:uid="{17ED933E-614D-45F6-B2C6-C5FD970DCCC2}" name="AIR CLASS" dataDxfId="138" dataCellStyle="Normal 2"/>
    <tableColumn id="7" xr3:uid="{8990C0AF-57F2-4ABC-A0E1-FC88BC4B024A}" name="OS" dataDxfId="137" dataCellStyle="Normal 2"/>
    <tableColumn id="10" xr3:uid="{2064FBAE-870A-46AE-9F8C-5F5DF7BCEC22}" name="0.5?" dataDxfId="136" dataCellStyle="Normal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135" dataDxfId="134" dataCellStyle="Normal 2">
  <autoFilter ref="J1:N37" xr:uid="{FC3692C1-EB92-41FB-9444-5DAEF8591757}"/>
  <tableColumns count="5">
    <tableColumn id="7" xr3:uid="{CA4FE357-07FF-4EBE-B427-878AF4AE4EB8}" name="Occupancy Category" dataDxfId="133" dataCellStyle="Normal 2"/>
    <tableColumn id="3" xr3:uid="{FF109B0F-3E01-4002-A883-C4CDF4B3E8CA}" name="EXHAUST RATE PER UNIT" dataDxfId="132" dataCellStyle="Normal 2"/>
    <tableColumn id="4" xr3:uid="{9EBCCC92-92E9-4FE1-B17B-CA56536298A4}" name="EXHAUST RATE PER AREA" dataDxfId="131" dataCellStyle="Normal 2"/>
    <tableColumn id="5" xr3:uid="{0075CAEE-1CDF-4D4F-8B21-A29737198283}" name="NOTES" dataDxfId="130" dataCellStyle="Normal 2"/>
    <tableColumn id="6" xr3:uid="{73E3E663-31ED-4991-8F25-4C660DE5C8CC}" name="AIR CLASS " dataDxfId="129" dataCellStyle="Normal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128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27" tableBorderDxfId="126">
  <autoFilter ref="A1:J127" xr:uid="{4540C5B7-7ED8-1346-9688-BBD6F913E0FF}"/>
  <tableColumns count="10">
    <tableColumn id="1" xr3:uid="{7BF2CBE1-A9FA-634B-9D43-EBA146167592}" name="Area Designation" dataDxfId="125"/>
    <tableColumn id="2" xr3:uid="{1460B4E9-9118-944C-9857-493DDFFE200A}" name="Air Balance Rerationship to Adjacent Areas" dataDxfId="124"/>
    <tableColumn id="3" xr3:uid="{25BE9BDC-FBB0-7A47-894B-42F72D14066C}" name="Minimum Air Changes of Outdoor Air per Hour" dataDxfId="123"/>
    <tableColumn id="4" xr3:uid="{82F49D63-6B08-DA45-8A60-1FF0FD6AC5B9}" name="Minimum Total Air Changes per Hour" dataDxfId="122"/>
    <tableColumn id="5" xr3:uid="{4FDAD794-62F4-8F49-87E5-EA2422234CCC}" name="All Air Exhausted Directly To Outdoors_x000a_(j)" dataDxfId="121"/>
    <tableColumn id="6" xr3:uid="{B9C49FC8-C251-2342-AE20-E81B274FAA4A}" name="Air Recirculated by Means of Room Units (a)" dataDxfId="120"/>
    <tableColumn id="7" xr3:uid="{E57842AF-587D-1D42-B911-B576DF543C66}" name="Design Relative Humidity (k)%" dataDxfId="119"/>
    <tableColumn id="8" xr3:uid="{BE19DA4C-3671-2040-8AE0-8608C571F1B5}" name="MIN Design Temperature(l)" dataDxfId="118"/>
    <tableColumn id="10" xr3:uid="{40B13846-A1DF-B641-AA80-2CDFCA140F33}" name="MAX Design Temperature" dataDxfId="117"/>
    <tableColumn id="9" xr3:uid="{D8B11080-DB40-234A-BEF6-09CC488530B9}" name="Notes" dataDxfId="116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2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34" activePane="bottomRight" state="frozen"/>
      <selection pane="topRight" activeCell="Z1" sqref="Z1"/>
      <selection pane="bottomLeft" activeCell="A34" sqref="A34"/>
      <selection pane="bottomRight" activeCell="H19" sqref="H19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66" t="s">
        <v>206</v>
      </c>
      <c r="C2" s="317" t="s">
        <v>208</v>
      </c>
      <c r="D2" s="318"/>
      <c r="E2" s="66" t="s">
        <v>205</v>
      </c>
      <c r="F2" s="319"/>
      <c r="G2" s="318"/>
    </row>
    <row r="3" spans="2:25">
      <c r="B3" s="16"/>
      <c r="C3" s="65"/>
      <c r="D3" s="65"/>
      <c r="V3" s="16" t="s">
        <v>77</v>
      </c>
      <c r="W3" s="16" t="s">
        <v>229</v>
      </c>
      <c r="X3" s="16" t="s">
        <v>232</v>
      </c>
      <c r="Y3" s="16" t="s">
        <v>239</v>
      </c>
    </row>
    <row r="4" spans="2:25">
      <c r="B4" s="320" t="s">
        <v>184</v>
      </c>
      <c r="C4" s="321"/>
      <c r="D4" s="321"/>
      <c r="E4" s="321"/>
      <c r="F4" s="321"/>
      <c r="G4" s="322"/>
      <c r="J4" s="323" t="s">
        <v>186</v>
      </c>
      <c r="K4" s="323"/>
      <c r="L4" s="323"/>
      <c r="V4" s="16" t="s">
        <v>214</v>
      </c>
      <c r="W4" s="16" t="s">
        <v>230</v>
      </c>
      <c r="X4" s="16" t="s">
        <v>233</v>
      </c>
      <c r="Y4" s="16" t="s">
        <v>240</v>
      </c>
    </row>
    <row r="5" spans="2:25">
      <c r="B5" s="324" t="s">
        <v>207</v>
      </c>
      <c r="C5" s="324"/>
      <c r="D5" s="324"/>
      <c r="E5" s="324"/>
      <c r="F5" s="324"/>
      <c r="G5" s="324"/>
      <c r="S5" s="16"/>
      <c r="W5" s="16" t="s">
        <v>231</v>
      </c>
      <c r="X5" s="16" t="s">
        <v>234</v>
      </c>
    </row>
    <row r="6" spans="2:25">
      <c r="B6" s="47" t="s">
        <v>536</v>
      </c>
      <c r="C6" s="100" t="s">
        <v>550</v>
      </c>
      <c r="D6" s="3"/>
      <c r="E6" s="361" t="s">
        <v>680</v>
      </c>
      <c r="F6" s="362"/>
      <c r="G6" s="100">
        <v>2200</v>
      </c>
      <c r="J6" s="314" t="s">
        <v>204</v>
      </c>
      <c r="K6" s="315"/>
      <c r="L6" s="316"/>
      <c r="S6" s="16"/>
      <c r="X6" s="16" t="s">
        <v>235</v>
      </c>
    </row>
    <row r="7" spans="2:25">
      <c r="B7" s="323" t="s">
        <v>45</v>
      </c>
      <c r="C7" s="323"/>
      <c r="D7" s="323"/>
      <c r="E7" s="323" t="s">
        <v>46</v>
      </c>
      <c r="F7" s="323"/>
      <c r="G7" s="323"/>
      <c r="J7" s="62" t="s">
        <v>187</v>
      </c>
      <c r="K7" s="63">
        <f>Table7[[#Totals],[(Tons)34]]</f>
        <v>19.013124113225341</v>
      </c>
      <c r="L7" s="64" t="s">
        <v>188</v>
      </c>
      <c r="X7" s="16" t="s">
        <v>236</v>
      </c>
    </row>
    <row r="8" spans="2:25">
      <c r="B8" s="307" t="s">
        <v>47</v>
      </c>
      <c r="C8" s="100">
        <v>90</v>
      </c>
      <c r="D8" s="47" t="s">
        <v>5</v>
      </c>
      <c r="E8" s="307" t="s">
        <v>37</v>
      </c>
      <c r="F8" s="308">
        <v>36</v>
      </c>
      <c r="G8" s="307" t="s">
        <v>48</v>
      </c>
      <c r="J8" s="62" t="s">
        <v>247</v>
      </c>
      <c r="K8" s="63">
        <f>Table7[[#Totals],[GPM MAX]]</f>
        <v>45.63149787174082</v>
      </c>
      <c r="L8" s="64" t="s">
        <v>192</v>
      </c>
      <c r="X8" s="16" t="s">
        <v>237</v>
      </c>
    </row>
    <row r="9" spans="2:25">
      <c r="B9" s="307"/>
      <c r="C9" s="100">
        <v>65</v>
      </c>
      <c r="D9" s="47" t="s">
        <v>21</v>
      </c>
      <c r="E9" s="307"/>
      <c r="F9" s="309"/>
      <c r="G9" s="307"/>
      <c r="J9" s="62" t="s">
        <v>191</v>
      </c>
      <c r="K9" s="63" cm="1">
        <f t="array" ref="K9">K8/Table1[number of CHW Pumps]</f>
        <v>22.81574893587041</v>
      </c>
      <c r="L9" s="64" t="s">
        <v>192</v>
      </c>
      <c r="X9" s="16" t="s">
        <v>238</v>
      </c>
    </row>
    <row r="10" spans="2:25">
      <c r="B10" s="307" t="s">
        <v>195</v>
      </c>
      <c r="C10" s="101">
        <v>80</v>
      </c>
      <c r="D10" s="47" t="s">
        <v>48</v>
      </c>
      <c r="E10" s="307" t="s">
        <v>58</v>
      </c>
      <c r="F10" s="100"/>
      <c r="G10" s="47" t="s">
        <v>48</v>
      </c>
      <c r="J10" s="62" t="s">
        <v>189</v>
      </c>
      <c r="K10" s="63">
        <f>Table7[[#Totals],[(mbh)46]]</f>
        <v>22.896000000000004</v>
      </c>
      <c r="L10" s="64" t="s">
        <v>190</v>
      </c>
    </row>
    <row r="11" spans="2:25">
      <c r="B11" s="307"/>
      <c r="C11" s="101">
        <v>75</v>
      </c>
      <c r="D11" s="47" t="s">
        <v>21</v>
      </c>
      <c r="E11" s="307"/>
      <c r="F11" s="100"/>
      <c r="G11" s="47" t="s">
        <v>49</v>
      </c>
      <c r="J11" s="62" t="s">
        <v>193</v>
      </c>
      <c r="K11" s="63">
        <f>Table7[[#Totals],[(˚F db)46]]</f>
        <v>1.1448000000000003</v>
      </c>
      <c r="L11" s="64" t="s">
        <v>192</v>
      </c>
    </row>
    <row r="12" spans="2:25">
      <c r="B12" s="2"/>
      <c r="D12" s="3"/>
      <c r="E12" s="3"/>
      <c r="J12" s="48"/>
      <c r="K12" s="48"/>
      <c r="L12" s="48"/>
    </row>
    <row r="13" spans="2:25">
      <c r="B13" s="323" t="s">
        <v>185</v>
      </c>
      <c r="C13" s="323"/>
      <c r="D13" s="323"/>
    </row>
    <row r="14" spans="2:25">
      <c r="B14" s="61" t="s">
        <v>122</v>
      </c>
      <c r="C14" s="101">
        <v>42</v>
      </c>
      <c r="D14" s="47" t="s">
        <v>123</v>
      </c>
    </row>
    <row r="15" spans="2:25">
      <c r="B15" s="61" t="s">
        <v>124</v>
      </c>
      <c r="C15" s="101">
        <v>52</v>
      </c>
      <c r="D15" s="47" t="s">
        <v>123</v>
      </c>
    </row>
    <row r="16" spans="2:25">
      <c r="B16" s="61" t="s">
        <v>125</v>
      </c>
      <c r="C16" s="101">
        <v>140</v>
      </c>
      <c r="D16" s="47" t="s">
        <v>123</v>
      </c>
    </row>
    <row r="17" spans="2:20">
      <c r="B17" s="61" t="s">
        <v>126</v>
      </c>
      <c r="C17" s="101">
        <v>100</v>
      </c>
      <c r="D17" s="47" t="s">
        <v>123</v>
      </c>
    </row>
    <row r="18" spans="2:20">
      <c r="B18" s="61" t="s">
        <v>127</v>
      </c>
      <c r="C18" s="102">
        <v>1.2</v>
      </c>
      <c r="D18" s="47" t="s">
        <v>128</v>
      </c>
    </row>
    <row r="19" spans="2:20">
      <c r="B19" s="61" t="s">
        <v>132</v>
      </c>
      <c r="C19" s="102"/>
      <c r="D19" s="47" t="s">
        <v>121</v>
      </c>
      <c r="H19" s="48"/>
      <c r="I19" s="48"/>
      <c r="J19" s="48"/>
      <c r="K19" s="48"/>
      <c r="L19" s="48"/>
    </row>
    <row r="20" spans="2:20">
      <c r="H20" s="48"/>
      <c r="I20" s="48"/>
      <c r="J20" s="313" t="s">
        <v>209</v>
      </c>
      <c r="K20" s="313"/>
      <c r="L20" s="48"/>
    </row>
    <row r="21" spans="2:20">
      <c r="H21" s="48"/>
      <c r="I21" s="48"/>
      <c r="J21" s="48"/>
      <c r="K21" s="48"/>
      <c r="L21" s="48"/>
    </row>
    <row r="23" spans="2:20">
      <c r="B23" s="310" t="s">
        <v>241</v>
      </c>
      <c r="C23" s="311"/>
      <c r="D23" s="311"/>
      <c r="E23" s="311"/>
      <c r="F23" s="311"/>
      <c r="G23" s="311"/>
      <c r="H23" s="311"/>
      <c r="I23" s="311"/>
      <c r="J23" s="311"/>
      <c r="K23" s="311"/>
      <c r="L23" s="311"/>
      <c r="M23" s="311"/>
      <c r="N23" s="311"/>
      <c r="O23" s="311"/>
      <c r="P23" s="311"/>
      <c r="Q23" s="311"/>
      <c r="R23" s="311"/>
      <c r="S23" s="311"/>
      <c r="T23" s="312"/>
    </row>
    <row r="24" spans="2:20"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2:20" ht="22.5">
      <c r="B25" s="70" t="s">
        <v>211</v>
      </c>
      <c r="C25" s="68" t="s">
        <v>228</v>
      </c>
      <c r="D25" s="68" t="s">
        <v>227</v>
      </c>
      <c r="E25" s="68" t="s">
        <v>210</v>
      </c>
      <c r="F25" s="68" t="s">
        <v>212</v>
      </c>
      <c r="G25" s="68" t="s">
        <v>213</v>
      </c>
      <c r="H25" s="68" t="s">
        <v>215</v>
      </c>
      <c r="I25" s="68" t="s">
        <v>216</v>
      </c>
      <c r="J25" s="68" t="s">
        <v>217</v>
      </c>
      <c r="K25" s="68" t="s">
        <v>218</v>
      </c>
      <c r="L25" s="68" t="s">
        <v>219</v>
      </c>
      <c r="M25" s="68" t="s">
        <v>220</v>
      </c>
      <c r="N25" s="68" t="s">
        <v>221</v>
      </c>
      <c r="O25" s="68" t="s">
        <v>222</v>
      </c>
      <c r="P25" s="68" t="s">
        <v>223</v>
      </c>
      <c r="Q25" s="68" t="s">
        <v>249</v>
      </c>
      <c r="R25" s="68" t="s">
        <v>224</v>
      </c>
      <c r="S25" s="68" t="s">
        <v>225</v>
      </c>
      <c r="T25" s="69" t="s">
        <v>226</v>
      </c>
    </row>
    <row r="26" spans="2:20" hidden="1">
      <c r="B26" s="71"/>
      <c r="C26" s="101" t="s">
        <v>230</v>
      </c>
      <c r="D26" s="103" t="s">
        <v>229</v>
      </c>
      <c r="E26" s="103" t="s">
        <v>77</v>
      </c>
      <c r="F26" s="103" t="s">
        <v>77</v>
      </c>
      <c r="G26" s="103" t="s">
        <v>77</v>
      </c>
      <c r="H26" s="103" t="s">
        <v>77</v>
      </c>
      <c r="I26" s="103" t="s">
        <v>77</v>
      </c>
      <c r="J26" s="103" t="s">
        <v>77</v>
      </c>
      <c r="K26" s="103" t="s">
        <v>77</v>
      </c>
      <c r="L26" s="103" t="s">
        <v>214</v>
      </c>
      <c r="M26" s="103" t="s">
        <v>214</v>
      </c>
      <c r="N26" s="103" t="s">
        <v>77</v>
      </c>
      <c r="O26" s="103" t="s">
        <v>214</v>
      </c>
      <c r="P26" s="103" t="s">
        <v>232</v>
      </c>
      <c r="Q26" s="103" t="s">
        <v>238</v>
      </c>
      <c r="R26" s="103" t="s">
        <v>77</v>
      </c>
      <c r="S26" s="103" t="s">
        <v>214</v>
      </c>
      <c r="T26" s="104" t="s">
        <v>214</v>
      </c>
    </row>
    <row r="27" spans="2:20">
      <c r="K27" s="48"/>
      <c r="L27" s="48"/>
      <c r="M27" s="48"/>
      <c r="N27" s="48"/>
    </row>
    <row r="29" spans="2:20">
      <c r="B29" s="97" t="s">
        <v>243</v>
      </c>
      <c r="C29" s="97" t="s">
        <v>246</v>
      </c>
      <c r="D29" s="97" t="s">
        <v>244</v>
      </c>
      <c r="E29" s="98" t="s">
        <v>245</v>
      </c>
    </row>
    <row r="30" spans="2:20">
      <c r="B30" s="98">
        <v>2</v>
      </c>
      <c r="C30" s="99">
        <v>0.7</v>
      </c>
      <c r="D30" s="98">
        <v>2</v>
      </c>
      <c r="E30" s="98"/>
    </row>
  </sheetData>
  <mergeCells count="18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6:F6"/>
    <mergeCell ref="E10:E11"/>
    <mergeCell ref="F8:F9"/>
    <mergeCell ref="B23:T23"/>
    <mergeCell ref="J20:K20"/>
    <mergeCell ref="J6:L6"/>
  </mergeCells>
  <phoneticPr fontId="9" type="noConversion"/>
  <dataValidations disablePrompts="1"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tabSelected="1" zoomScale="85" zoomScaleNormal="85" zoomScaleSheetLayoutView="50" zoomScalePageLayoutView="80" workbookViewId="0">
      <pane ySplit="6" topLeftCell="A7" activePane="bottomLeft" state="frozen"/>
      <selection pane="bottomLeft" activeCell="J20" sqref="I20:J22"/>
    </sheetView>
  </sheetViews>
  <sheetFormatPr defaultColWidth="8.85546875" defaultRowHeight="15"/>
  <cols>
    <col min="1" max="1" width="2.85546875" style="74" customWidth="1"/>
    <col min="2" max="2" width="12.7109375" style="74" customWidth="1"/>
    <col min="3" max="3" width="9.85546875" style="75" bestFit="1" customWidth="1"/>
    <col min="4" max="4" width="14" style="76" bestFit="1" customWidth="1"/>
    <col min="5" max="5" width="16" style="75" bestFit="1" customWidth="1"/>
    <col min="6" max="6" width="9.85546875" style="75" bestFit="1" customWidth="1"/>
    <col min="7" max="7" width="12.7109375" style="74" hidden="1" customWidth="1"/>
    <col min="8" max="8" width="20.7109375" style="77" bestFit="1" customWidth="1"/>
    <col min="9" max="9" width="15.85546875" style="74" bestFit="1" customWidth="1"/>
    <col min="10" max="10" width="34.85546875" style="74" bestFit="1" customWidth="1"/>
    <col min="11" max="11" width="34.85546875" style="77" bestFit="1" customWidth="1"/>
    <col min="12" max="12" width="29.140625" style="74" bestFit="1" customWidth="1"/>
    <col min="13" max="13" width="30.7109375" style="74" customWidth="1"/>
    <col min="14" max="15" width="25.85546875" style="77" bestFit="1" customWidth="1"/>
    <col min="16" max="16" width="25.85546875" style="74" bestFit="1" customWidth="1"/>
    <col min="17" max="17" width="17.7109375" style="74" bestFit="1" customWidth="1"/>
    <col min="18" max="18" width="18" style="74" customWidth="1"/>
    <col min="19" max="19" width="22.85546875" style="77" customWidth="1"/>
    <col min="20" max="20" width="16.42578125" style="77" customWidth="1"/>
    <col min="21" max="21" width="19.140625" style="75" bestFit="1" customWidth="1"/>
    <col min="22" max="22" width="16.7109375" style="77" bestFit="1" customWidth="1"/>
    <col min="23" max="23" width="18" style="78" customWidth="1"/>
    <col min="24" max="24" width="19.140625" style="74" bestFit="1" customWidth="1"/>
    <col min="25" max="25" width="15.85546875" style="75" bestFit="1" customWidth="1"/>
    <col min="26" max="26" width="15.85546875" style="75" customWidth="1"/>
    <col min="27" max="27" width="9.42578125" style="75" customWidth="1"/>
    <col min="28" max="28" width="22.42578125" style="75" bestFit="1" customWidth="1"/>
    <col min="29" max="29" width="13.28515625" style="75" bestFit="1" customWidth="1"/>
    <col min="30" max="30" width="18.42578125" style="79" bestFit="1" customWidth="1"/>
    <col min="31" max="31" width="22" style="79" bestFit="1" customWidth="1"/>
    <col min="32" max="32" width="7.28515625" style="79" customWidth="1"/>
    <col min="33" max="33" width="11.85546875" style="80" bestFit="1" customWidth="1"/>
    <col min="34" max="34" width="13.140625" style="80" bestFit="1" customWidth="1"/>
    <col min="35" max="35" width="20" style="80" bestFit="1" customWidth="1"/>
    <col min="36" max="36" width="8.42578125" style="74" hidden="1" customWidth="1"/>
    <col min="37" max="37" width="15.42578125" style="74" bestFit="1" customWidth="1"/>
    <col min="38" max="38" width="10.85546875" style="74" bestFit="1" customWidth="1"/>
    <col min="39" max="39" width="15.42578125" style="74" bestFit="1" customWidth="1"/>
    <col min="40" max="40" width="5.85546875" style="74" hidden="1" customWidth="1"/>
    <col min="41" max="41" width="13.5703125" style="74" bestFit="1" customWidth="1"/>
    <col min="42" max="42" width="12.140625" style="74" bestFit="1" customWidth="1"/>
    <col min="43" max="43" width="15" style="74" bestFit="1" customWidth="1"/>
    <col min="44" max="44" width="15.7109375" style="74" bestFit="1" customWidth="1"/>
    <col min="45" max="45" width="14.5703125" style="74" bestFit="1" customWidth="1"/>
    <col min="46" max="46" width="18.28515625" style="74" bestFit="1" customWidth="1"/>
    <col min="47" max="47" width="8.85546875" style="74"/>
    <col min="48" max="48" width="0" style="74" hidden="1" customWidth="1"/>
    <col min="49" max="51" width="9.28515625" style="74" hidden="1" customWidth="1"/>
    <col min="52" max="54" width="0" style="74" hidden="1" customWidth="1"/>
    <col min="55" max="16384" width="8.85546875" style="74"/>
  </cols>
  <sheetData>
    <row r="1" spans="1:54">
      <c r="AW1" s="74" t="s">
        <v>200</v>
      </c>
      <c r="AX1" s="74" t="s">
        <v>201</v>
      </c>
      <c r="AY1" s="74" t="s">
        <v>202</v>
      </c>
      <c r="BA1" s="74" t="s">
        <v>29</v>
      </c>
      <c r="BB1" s="74" t="s">
        <v>203</v>
      </c>
    </row>
    <row r="2" spans="1:54" ht="18" thickBot="1">
      <c r="AW2" s="14">
        <f>ROUNDUP(T18*INPUT_OUTPUTS!$C$18,-2)</f>
        <v>5100</v>
      </c>
      <c r="AX2" s="14">
        <f>ROUNDUP(U18*INPUT_OUTPUTS!$C$18,-2)</f>
        <v>4500</v>
      </c>
      <c r="AY2" s="13">
        <f>ROUNDUP((N18*INPUT_OUTPUTS!C18)+Y4,-2)</f>
        <v>1600</v>
      </c>
      <c r="BA2" s="81">
        <f>AHU1_CAV_SCHEDULE4411[[#Totals],[GPM]]</f>
        <v>19</v>
      </c>
      <c r="BB2" s="82">
        <f>AHU1_CAV_SCHEDULE4411[[#Totals],[MIN MBH]]</f>
        <v>0</v>
      </c>
    </row>
    <row r="3" spans="1:54" ht="15.75" customHeight="1">
      <c r="C3" s="74"/>
      <c r="H3" s="74"/>
      <c r="K3" s="74"/>
      <c r="N3" s="74"/>
      <c r="O3" s="74"/>
      <c r="S3" s="74"/>
      <c r="T3" s="74"/>
      <c r="U3" s="74"/>
      <c r="V3" s="74"/>
      <c r="W3" s="83"/>
      <c r="Y3" s="74"/>
      <c r="Z3" s="74"/>
      <c r="AA3" s="74"/>
    </row>
    <row r="4" spans="1:54" ht="15.75">
      <c r="B4" s="77"/>
      <c r="C4" s="77"/>
      <c r="D4" s="77"/>
      <c r="E4" s="77"/>
      <c r="F4" s="77"/>
      <c r="G4" s="77"/>
      <c r="I4" s="77"/>
      <c r="J4" s="77"/>
      <c r="L4" s="77"/>
      <c r="M4" s="77"/>
      <c r="P4" s="77"/>
      <c r="Q4" s="77"/>
      <c r="R4" s="77"/>
      <c r="U4" s="77"/>
      <c r="W4" s="19" t="s">
        <v>242</v>
      </c>
      <c r="X4" s="108">
        <f>(AY2/AX2)*100</f>
        <v>35.555555555555557</v>
      </c>
      <c r="Y4" s="328">
        <v>0</v>
      </c>
      <c r="Z4" s="328"/>
      <c r="AA4" s="74"/>
    </row>
    <row r="5" spans="1:54">
      <c r="B5" s="325" t="s">
        <v>55</v>
      </c>
      <c r="C5" s="326"/>
      <c r="D5" s="326"/>
      <c r="E5" s="326"/>
      <c r="F5" s="326"/>
      <c r="G5" s="326"/>
      <c r="H5" s="327"/>
      <c r="I5" s="325" t="s">
        <v>56</v>
      </c>
      <c r="J5" s="326"/>
      <c r="K5" s="326"/>
      <c r="L5" s="326"/>
      <c r="M5" s="326"/>
      <c r="N5" s="326"/>
      <c r="O5" s="326"/>
      <c r="P5" s="326"/>
      <c r="Q5" s="326"/>
      <c r="R5" s="327"/>
      <c r="S5" s="325" t="s">
        <v>54</v>
      </c>
      <c r="T5" s="326"/>
      <c r="U5" s="326"/>
      <c r="V5" s="327"/>
      <c r="W5" s="278"/>
      <c r="X5" s="338" t="s">
        <v>53</v>
      </c>
      <c r="Y5" s="339"/>
      <c r="Z5" s="340"/>
      <c r="AD5" s="341" t="s">
        <v>72</v>
      </c>
      <c r="AE5" s="341"/>
      <c r="AF5" s="341"/>
      <c r="AG5" s="341"/>
      <c r="AH5" s="341"/>
      <c r="AI5" s="341"/>
      <c r="AJ5" s="341"/>
      <c r="AK5" s="341"/>
      <c r="AL5" s="341"/>
      <c r="AM5" s="341"/>
      <c r="AN5" s="341"/>
      <c r="AO5" s="341"/>
      <c r="AP5" s="341"/>
      <c r="AQ5" s="341"/>
      <c r="AR5" s="341"/>
      <c r="AS5" s="341"/>
      <c r="AT5" s="341"/>
    </row>
    <row r="6" spans="1:54" s="87" customFormat="1" ht="53.1" customHeight="1">
      <c r="A6" s="84"/>
      <c r="B6" s="279" t="s">
        <v>78</v>
      </c>
      <c r="C6" s="280" t="s">
        <v>6</v>
      </c>
      <c r="D6" s="281" t="s">
        <v>575</v>
      </c>
      <c r="E6" s="281" t="s">
        <v>576</v>
      </c>
      <c r="F6" s="281" t="s">
        <v>0</v>
      </c>
      <c r="G6" s="282" t="s">
        <v>27</v>
      </c>
      <c r="H6" s="282" t="s">
        <v>573</v>
      </c>
      <c r="I6" s="281" t="s">
        <v>577</v>
      </c>
      <c r="J6" s="281" t="s">
        <v>412</v>
      </c>
      <c r="K6" s="281" t="s">
        <v>561</v>
      </c>
      <c r="L6" s="281" t="s">
        <v>562</v>
      </c>
      <c r="M6" s="281" t="s">
        <v>563</v>
      </c>
      <c r="N6" s="281" t="s">
        <v>566</v>
      </c>
      <c r="O6" s="281" t="s">
        <v>564</v>
      </c>
      <c r="P6" s="281" t="s">
        <v>565</v>
      </c>
      <c r="Q6" s="281" t="s">
        <v>567</v>
      </c>
      <c r="R6" s="281" t="s">
        <v>568</v>
      </c>
      <c r="S6" s="281" t="s">
        <v>574</v>
      </c>
      <c r="T6" s="281" t="s">
        <v>570</v>
      </c>
      <c r="U6" s="281" t="s">
        <v>571</v>
      </c>
      <c r="V6" s="281" t="s">
        <v>572</v>
      </c>
      <c r="W6" s="281" t="s">
        <v>7</v>
      </c>
      <c r="X6" s="281" t="s">
        <v>23</v>
      </c>
      <c r="Y6" s="281" t="s">
        <v>50</v>
      </c>
      <c r="Z6" s="281" t="s">
        <v>24</v>
      </c>
      <c r="AA6" s="283" t="s">
        <v>8</v>
      </c>
      <c r="AB6" s="85"/>
      <c r="AC6" s="85"/>
      <c r="AD6" s="86" t="s">
        <v>78</v>
      </c>
      <c r="AE6" s="86" t="s">
        <v>67</v>
      </c>
      <c r="AF6" s="86" t="s">
        <v>68</v>
      </c>
      <c r="AG6" s="86" t="s">
        <v>32</v>
      </c>
      <c r="AH6" s="86" t="s">
        <v>74</v>
      </c>
      <c r="AI6" s="86" t="s">
        <v>66</v>
      </c>
      <c r="AJ6" s="86" t="s">
        <v>30</v>
      </c>
      <c r="AK6" s="86" t="s">
        <v>61</v>
      </c>
      <c r="AL6" s="86" t="s">
        <v>31</v>
      </c>
      <c r="AM6" s="86" t="s">
        <v>60</v>
      </c>
      <c r="AN6" s="86" t="s">
        <v>59</v>
      </c>
      <c r="AO6" s="86" t="s">
        <v>133</v>
      </c>
      <c r="AP6" s="86" t="s">
        <v>29</v>
      </c>
      <c r="AQ6" s="86" t="s">
        <v>63</v>
      </c>
      <c r="AR6" s="86" t="s">
        <v>64</v>
      </c>
      <c r="AS6" s="86" t="s">
        <v>65</v>
      </c>
      <c r="AT6" s="86" t="s">
        <v>57</v>
      </c>
    </row>
    <row r="7" spans="1:54" ht="15" customHeight="1">
      <c r="B7" s="276" t="s">
        <v>129</v>
      </c>
      <c r="C7" s="105" t="s">
        <v>129</v>
      </c>
      <c r="D7" s="105">
        <v>1234</v>
      </c>
      <c r="E7" s="105">
        <v>100</v>
      </c>
      <c r="F7" s="105">
        <v>10</v>
      </c>
      <c r="G7" s="17" t="str">
        <f>VLOOKUP($K7,'UMC Table 4-A'!$A$2:$E$132,5,FALSE)</f>
        <v>NR</v>
      </c>
      <c r="H7" s="105"/>
      <c r="I7" s="17">
        <v>0</v>
      </c>
      <c r="J7" s="17">
        <f t="shared" ref="J7:J17" si="0">IF(OR((K7="PATIENT CORRIDOR"),(K7="TOILET")),(E7*0.5),E7)</f>
        <v>50</v>
      </c>
      <c r="K7" s="105" t="s">
        <v>351</v>
      </c>
      <c r="L7" s="17" t="str">
        <f>VLOOKUP($K7,'UMC Table 4-A'!$A$2:$E$132,2,FALSE)</f>
        <v>NR</v>
      </c>
      <c r="M7" s="17" t="str">
        <f>VLOOKUP($K7,'UMC Table 4-A'!$A$2:$E$132,3,FALSE)</f>
        <v>NR</v>
      </c>
      <c r="N7" s="17">
        <f t="shared" ref="N7:N17" si="1">IF(M7&lt;&gt;"NR",ROUNDUP((E7*F7*M7)/60,-1),0)</f>
        <v>0</v>
      </c>
      <c r="O7" s="17">
        <f>VLOOKUP($K7,'UMC Table 4-A'!$A$2:$E$132,4,FALSE)</f>
        <v>2</v>
      </c>
      <c r="P7" s="17">
        <f t="shared" ref="P7:P17" si="2">IF(O7&lt;&gt;"NR",ROUNDUP((E7*F7*O7)/60,-1),0)</f>
        <v>40</v>
      </c>
      <c r="Q7" s="17" t="str">
        <f>VLOOKUP($K7,'UMC Table 4-A'!$A$2:$E$132,5,FALSE)</f>
        <v>NR</v>
      </c>
      <c r="R7" s="17" t="str">
        <f t="shared" ref="R7:R17" si="3">IF(G7="Yes",P7,"-")</f>
        <v>-</v>
      </c>
      <c r="S7" s="17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06">
        <f t="shared" ref="T7:T17" si="4">S7</f>
        <v>50</v>
      </c>
      <c r="U7" s="107">
        <f t="shared" ref="U7:U17" si="5">IF(Q7="Yes",0,IF(L7="Positive",IF(0.1*S7&gt;50,S7-0.1*S7,S7-50),IF(L7="Negative",IF(0.1*S7&gt;50,S7+0.1*S7,S7+50),S7)))</f>
        <v>50</v>
      </c>
      <c r="V7" s="106">
        <f t="shared" ref="V7:V17" si="6">IF(Q7="Yes",R7,0)</f>
        <v>0</v>
      </c>
      <c r="W7" s="72">
        <f t="shared" ref="W7:W17" si="7">T7-U7-V7</f>
        <v>0</v>
      </c>
      <c r="X7" s="72">
        <f t="shared" ref="X7:X17" si="8">IFERROR(S7/E7,"-")</f>
        <v>0.5</v>
      </c>
      <c r="Y7" s="72">
        <f>(N7/T7)*100</f>
        <v>0</v>
      </c>
      <c r="Z7" s="72">
        <f>S7/E7/F7*60</f>
        <v>3</v>
      </c>
      <c r="AA7" s="277" t="str">
        <f t="shared" ref="AA7:AA17" si="9">IF(S7-U7-V7+W7=0,"Yes","No")</f>
        <v>Yes</v>
      </c>
      <c r="AD7" s="28" t="s">
        <v>83</v>
      </c>
      <c r="AE7" s="28" t="s">
        <v>70</v>
      </c>
      <c r="AF7" s="28" t="s">
        <v>75</v>
      </c>
      <c r="AG7" s="17">
        <f t="shared" ref="AG7:AG44" si="10">SUMIF($B$7:$B$17,AD7,$T$7:$T$17)</f>
        <v>0</v>
      </c>
      <c r="AH7" s="17" t="str">
        <f>IFERROR((VLOOKUP(AG7,'DO NOT TOUCH'!$B$9:$C$14,2,TRUE)),"TBD")</f>
        <v>TBD</v>
      </c>
      <c r="AI7" s="17">
        <v>0.5</v>
      </c>
      <c r="AJ7" s="17">
        <f>INPUT_OUTPUTS!$C$16</f>
        <v>140</v>
      </c>
      <c r="AK7" s="17">
        <f>INPUT_OUTPUTS!$C$17</f>
        <v>100</v>
      </c>
      <c r="AL7" s="17">
        <v>55</v>
      </c>
      <c r="AM7" s="17">
        <v>85</v>
      </c>
      <c r="AN7" s="17">
        <f t="shared" ref="AN7:AN44" si="11">MROUND((1.08*(AM7-AL7)*AG7)/1000,0.1)</f>
        <v>0</v>
      </c>
      <c r="AO7" s="290">
        <f>(AN7*1000)/(500*(AJ7-AK7))</f>
        <v>0</v>
      </c>
      <c r="AP7" s="290">
        <f>IF(AO7&lt;0.5,0.5,AO7)</f>
        <v>0.5</v>
      </c>
      <c r="AQ7" s="290">
        <v>5</v>
      </c>
      <c r="AR7" s="290" t="str">
        <f>IFERROR((_xlfn.XLOOKUP(AH7,'DO NOT TOUCH'!$C$9:$C$14,'DO NOT TOUCH'!$D$9:$D$14,)),"TBD")</f>
        <v>TBD</v>
      </c>
      <c r="AS7" s="290">
        <f>INPUT_OUTPUTS!$C$19</f>
        <v>0</v>
      </c>
      <c r="AT7" s="17" t="s">
        <v>71</v>
      </c>
    </row>
    <row r="8" spans="1:54" ht="15" customHeight="1">
      <c r="B8" s="276" t="s">
        <v>129</v>
      </c>
      <c r="C8" s="105" t="s">
        <v>129</v>
      </c>
      <c r="D8" s="105">
        <v>1234</v>
      </c>
      <c r="E8" s="105">
        <v>200</v>
      </c>
      <c r="F8" s="105">
        <v>9.5</v>
      </c>
      <c r="G8" s="17" t="str">
        <f>VLOOKUP($K8,'UMC Table 4-A'!$A$2:$E$132,5,FALSE)</f>
        <v>NR</v>
      </c>
      <c r="H8" s="105"/>
      <c r="I8" s="17">
        <v>0</v>
      </c>
      <c r="J8" s="17">
        <f t="shared" si="0"/>
        <v>200</v>
      </c>
      <c r="K8" s="105" t="s">
        <v>62</v>
      </c>
      <c r="L8" s="17" t="str">
        <f>VLOOKUP($K8,'UMC Table 4-A'!$A$2:$E$132,2,FALSE)</f>
        <v>NR</v>
      </c>
      <c r="M8" s="17">
        <f>VLOOKUP($K8,'UMC Table 4-A'!$A$2:$E$132,3,FALSE)</f>
        <v>2</v>
      </c>
      <c r="N8" s="17">
        <f t="shared" si="1"/>
        <v>70</v>
      </c>
      <c r="O8" s="17">
        <f>VLOOKUP($K8,'UMC Table 4-A'!$A$2:$E$132,4,FALSE)</f>
        <v>4</v>
      </c>
      <c r="P8" s="17">
        <f t="shared" si="2"/>
        <v>130</v>
      </c>
      <c r="Q8" s="17" t="str">
        <f>VLOOKUP($K8,'UMC Table 4-A'!$A$2:$E$132,5,FALSE)</f>
        <v>NR</v>
      </c>
      <c r="R8" s="17" t="str">
        <f t="shared" si="3"/>
        <v>-</v>
      </c>
      <c r="S8" s="18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06">
        <f t="shared" si="4"/>
        <v>200</v>
      </c>
      <c r="U8" s="106">
        <f t="shared" si="5"/>
        <v>200</v>
      </c>
      <c r="V8" s="106">
        <f t="shared" si="6"/>
        <v>0</v>
      </c>
      <c r="W8" s="73">
        <f t="shared" si="7"/>
        <v>0</v>
      </c>
      <c r="X8" s="72">
        <f t="shared" si="8"/>
        <v>1</v>
      </c>
      <c r="Y8" s="72">
        <f t="shared" ref="Y8:Y17" si="12">IFERROR(((N8/T8)*100),"-")</f>
        <v>35</v>
      </c>
      <c r="Z8" s="72">
        <f t="shared" ref="Z8:Z17" si="13">IFERROR((S8/E8/F8*60),"-")</f>
        <v>6.3157894736842106</v>
      </c>
      <c r="AA8" s="277" t="str">
        <f t="shared" si="9"/>
        <v>Yes</v>
      </c>
      <c r="AD8" s="28" t="s">
        <v>84</v>
      </c>
      <c r="AE8" s="28" t="s">
        <v>70</v>
      </c>
      <c r="AF8" s="28" t="s">
        <v>75</v>
      </c>
      <c r="AG8" s="17">
        <f t="shared" si="10"/>
        <v>0</v>
      </c>
      <c r="AH8" s="17" t="str">
        <f>IFERROR((VLOOKUP(AG8,'DO NOT TOUCH'!$B$9:$C$14,2,TRUE)),"TBD")</f>
        <v>TBD</v>
      </c>
      <c r="AI8" s="17">
        <f>AI7</f>
        <v>0.5</v>
      </c>
      <c r="AJ8" s="17">
        <f>INPUT_OUTPUTS!$C$16</f>
        <v>140</v>
      </c>
      <c r="AK8" s="17">
        <f>INPUT_OUTPUTS!$C$17</f>
        <v>100</v>
      </c>
      <c r="AL8" s="17">
        <f t="shared" ref="AL8:AM23" si="14">AL7</f>
        <v>55</v>
      </c>
      <c r="AM8" s="17">
        <f t="shared" si="14"/>
        <v>85</v>
      </c>
      <c r="AN8" s="17">
        <f t="shared" si="11"/>
        <v>0</v>
      </c>
      <c r="AO8" s="290">
        <f>(AN8*1000)/(500*(AJ8-AK8))</f>
        <v>0</v>
      </c>
      <c r="AP8" s="290">
        <f t="shared" ref="AP8:AP44" si="15">IF(AO8&lt;0.5,0.5,AO8)</f>
        <v>0.5</v>
      </c>
      <c r="AQ8" s="290">
        <f>AQ7</f>
        <v>5</v>
      </c>
      <c r="AR8" s="290" t="str">
        <f>IFERROR((_xlfn.XLOOKUP(AH8,'DO NOT TOUCH'!$C$9:$C$14,'DO NOT TOUCH'!$D$9:$D$14,)),"TBD")</f>
        <v>TBD</v>
      </c>
      <c r="AS8" s="290">
        <f>INPUT_OUTPUTS!$C$19</f>
        <v>0</v>
      </c>
      <c r="AT8" s="17" t="str">
        <f>AT7</f>
        <v>1, 2</v>
      </c>
    </row>
    <row r="9" spans="1:54" ht="15" customHeight="1">
      <c r="B9" s="276" t="s">
        <v>134</v>
      </c>
      <c r="C9" s="105" t="s">
        <v>129</v>
      </c>
      <c r="D9" s="105">
        <v>1234</v>
      </c>
      <c r="E9" s="105">
        <v>300</v>
      </c>
      <c r="F9" s="105">
        <v>10</v>
      </c>
      <c r="G9" s="17" t="str">
        <f>VLOOKUP($K9,'UMC Table 4-A'!$A$2:$E$132,5,FALSE)</f>
        <v>Yes</v>
      </c>
      <c r="H9" s="105"/>
      <c r="I9" s="17">
        <v>0</v>
      </c>
      <c r="J9" s="17">
        <f t="shared" si="0"/>
        <v>300</v>
      </c>
      <c r="K9" s="105" t="s">
        <v>267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21">
        <f t="shared" si="1"/>
        <v>0</v>
      </c>
      <c r="O9" s="17">
        <f>VLOOKUP($K9,'UMC Table 4-A'!$A$2:$E$132,4,FALSE)</f>
        <v>10</v>
      </c>
      <c r="P9" s="17">
        <f t="shared" si="2"/>
        <v>500</v>
      </c>
      <c r="Q9" s="17" t="str">
        <f>VLOOKUP($K9,'UMC Table 4-A'!$A$2:$E$132,5,FALSE)</f>
        <v>Yes</v>
      </c>
      <c r="R9" s="17">
        <f t="shared" si="3"/>
        <v>500</v>
      </c>
      <c r="S9" s="18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06">
        <f t="shared" si="4"/>
        <v>500</v>
      </c>
      <c r="U9" s="106">
        <f t="shared" si="5"/>
        <v>0</v>
      </c>
      <c r="V9" s="106">
        <f t="shared" si="6"/>
        <v>500</v>
      </c>
      <c r="W9" s="73">
        <f t="shared" si="7"/>
        <v>0</v>
      </c>
      <c r="X9" s="72">
        <f t="shared" si="8"/>
        <v>1.6666666666666667</v>
      </c>
      <c r="Y9" s="72">
        <f t="shared" si="12"/>
        <v>0</v>
      </c>
      <c r="Z9" s="72">
        <f t="shared" si="13"/>
        <v>10.000000000000002</v>
      </c>
      <c r="AA9" s="275" t="str">
        <f t="shared" si="9"/>
        <v>Yes</v>
      </c>
      <c r="AD9" s="28" t="s">
        <v>85</v>
      </c>
      <c r="AE9" s="28" t="s">
        <v>70</v>
      </c>
      <c r="AF9" s="28" t="s">
        <v>75</v>
      </c>
      <c r="AG9" s="17">
        <f t="shared" si="10"/>
        <v>0</v>
      </c>
      <c r="AH9" s="17" t="str">
        <f>IFERROR((VLOOKUP(AG9,'DO NOT TOUCH'!$B$9:$C$14,2,TRUE)),"TBD")</f>
        <v>TBD</v>
      </c>
      <c r="AI9" s="17">
        <f t="shared" ref="AI9:AI44" si="16">AI8</f>
        <v>0.5</v>
      </c>
      <c r="AJ9" s="17">
        <f>INPUT_OUTPUTS!$C$16</f>
        <v>140</v>
      </c>
      <c r="AK9" s="17">
        <f>INPUT_OUTPUTS!$C$17</f>
        <v>100</v>
      </c>
      <c r="AL9" s="17">
        <f t="shared" si="14"/>
        <v>55</v>
      </c>
      <c r="AM9" s="17">
        <f t="shared" si="14"/>
        <v>85</v>
      </c>
      <c r="AN9" s="17">
        <f t="shared" si="11"/>
        <v>0</v>
      </c>
      <c r="AO9" s="290">
        <f t="shared" ref="AO9:AO44" si="17">(AN9*1000)/(500*(AJ9-AK9))</f>
        <v>0</v>
      </c>
      <c r="AP9" s="290">
        <f t="shared" si="15"/>
        <v>0.5</v>
      </c>
      <c r="AQ9" s="290">
        <f t="shared" ref="AQ9:AQ44" si="18">AQ8</f>
        <v>5</v>
      </c>
      <c r="AR9" s="290" t="str">
        <f>IFERROR((_xlfn.XLOOKUP(AH9,'DO NOT TOUCH'!$C$9:$C$14,'DO NOT TOUCH'!$D$9:$D$14,)),"TBD")</f>
        <v>TBD</v>
      </c>
      <c r="AS9" s="290">
        <f>INPUT_OUTPUTS!$C$19</f>
        <v>0</v>
      </c>
      <c r="AT9" s="17" t="str">
        <f t="shared" ref="AT9:AT44" si="19">AT8</f>
        <v>1, 2</v>
      </c>
    </row>
    <row r="10" spans="1:54" ht="15" customHeight="1">
      <c r="B10" s="276" t="s">
        <v>135</v>
      </c>
      <c r="C10" s="105" t="s">
        <v>129</v>
      </c>
      <c r="D10" s="105">
        <v>1234</v>
      </c>
      <c r="E10" s="105">
        <v>20</v>
      </c>
      <c r="F10" s="105">
        <v>10</v>
      </c>
      <c r="G10" s="17" t="str">
        <f>VLOOKUP($K10,'UMC Table 4-A'!$A$2:$E$132,5,FALSE)</f>
        <v>NR</v>
      </c>
      <c r="H10" s="105"/>
      <c r="I10" s="17">
        <v>0</v>
      </c>
      <c r="J10" s="17">
        <f t="shared" si="0"/>
        <v>20</v>
      </c>
      <c r="K10" s="105" t="s">
        <v>270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21">
        <f t="shared" si="1"/>
        <v>10</v>
      </c>
      <c r="O10" s="17">
        <f>VLOOKUP($K10,'UMC Table 4-A'!$A$2:$E$132,4,FALSE)</f>
        <v>6</v>
      </c>
      <c r="P10" s="17">
        <f t="shared" si="2"/>
        <v>20</v>
      </c>
      <c r="Q10" s="17" t="str">
        <f>VLOOKUP($K10,'UMC Table 4-A'!$A$2:$E$132,5,FALSE)</f>
        <v>NR</v>
      </c>
      <c r="R10" s="17" t="str">
        <f t="shared" si="3"/>
        <v>-</v>
      </c>
      <c r="S10" s="18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06">
        <f t="shared" si="4"/>
        <v>20</v>
      </c>
      <c r="U10" s="106">
        <f t="shared" si="5"/>
        <v>20</v>
      </c>
      <c r="V10" s="106">
        <f t="shared" si="6"/>
        <v>0</v>
      </c>
      <c r="W10" s="73">
        <f t="shared" si="7"/>
        <v>0</v>
      </c>
      <c r="X10" s="72">
        <f t="shared" si="8"/>
        <v>1</v>
      </c>
      <c r="Y10" s="72">
        <f t="shared" si="12"/>
        <v>50</v>
      </c>
      <c r="Z10" s="72">
        <f t="shared" si="13"/>
        <v>6</v>
      </c>
      <c r="AA10" s="275" t="str">
        <f t="shared" si="9"/>
        <v>Yes</v>
      </c>
      <c r="AD10" s="28" t="s">
        <v>86</v>
      </c>
      <c r="AE10" s="28" t="s">
        <v>70</v>
      </c>
      <c r="AF10" s="28" t="s">
        <v>75</v>
      </c>
      <c r="AG10" s="17">
        <f t="shared" si="10"/>
        <v>0</v>
      </c>
      <c r="AH10" s="17" t="str">
        <f>IFERROR((VLOOKUP(AG10,'DO NOT TOUCH'!$B$9:$C$14,2,TRUE)),"TBD")</f>
        <v>TBD</v>
      </c>
      <c r="AI10" s="17">
        <f t="shared" si="16"/>
        <v>0.5</v>
      </c>
      <c r="AJ10" s="17">
        <f>INPUT_OUTPUTS!$C$16</f>
        <v>140</v>
      </c>
      <c r="AK10" s="17">
        <f>INPUT_OUTPUTS!$C$17</f>
        <v>100</v>
      </c>
      <c r="AL10" s="17">
        <f t="shared" si="14"/>
        <v>55</v>
      </c>
      <c r="AM10" s="17">
        <f t="shared" si="14"/>
        <v>85</v>
      </c>
      <c r="AN10" s="17">
        <f t="shared" si="11"/>
        <v>0</v>
      </c>
      <c r="AO10" s="290">
        <f t="shared" si="17"/>
        <v>0</v>
      </c>
      <c r="AP10" s="290">
        <f t="shared" si="15"/>
        <v>0.5</v>
      </c>
      <c r="AQ10" s="290">
        <f t="shared" si="18"/>
        <v>5</v>
      </c>
      <c r="AR10" s="290" t="str">
        <f>IFERROR((_xlfn.XLOOKUP(AH10,'DO NOT TOUCH'!$C$9:$C$14,'DO NOT TOUCH'!$D$9:$D$14,)),"TBD")</f>
        <v>TBD</v>
      </c>
      <c r="AS10" s="290">
        <f>INPUT_OUTPUTS!$C$19</f>
        <v>0</v>
      </c>
      <c r="AT10" s="17" t="str">
        <f t="shared" si="19"/>
        <v>1, 2</v>
      </c>
    </row>
    <row r="11" spans="1:54" ht="15" customHeight="1">
      <c r="B11" s="276" t="s">
        <v>136</v>
      </c>
      <c r="C11" s="105" t="s">
        <v>129</v>
      </c>
      <c r="D11" s="105">
        <v>1234</v>
      </c>
      <c r="E11" s="105">
        <v>36</v>
      </c>
      <c r="F11" s="105">
        <v>10</v>
      </c>
      <c r="G11" s="17" t="str">
        <f>VLOOKUP($K11,'UMC Table 4-A'!$A$2:$E$132,5,FALSE)</f>
        <v>NR</v>
      </c>
      <c r="H11" s="105"/>
      <c r="I11" s="17">
        <v>0</v>
      </c>
      <c r="J11" s="17">
        <f t="shared" si="0"/>
        <v>36</v>
      </c>
      <c r="K11" s="105" t="s">
        <v>62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21">
        <f t="shared" si="1"/>
        <v>20</v>
      </c>
      <c r="O11" s="17">
        <f>VLOOKUP($K11,'UMC Table 4-A'!$A$2:$E$132,4,FALSE)</f>
        <v>4</v>
      </c>
      <c r="P11" s="17">
        <f t="shared" si="2"/>
        <v>30</v>
      </c>
      <c r="Q11" s="17" t="str">
        <f>VLOOKUP($K11,'UMC Table 4-A'!$A$2:$E$132,5,FALSE)</f>
        <v>NR</v>
      </c>
      <c r="R11" s="17" t="str">
        <f t="shared" si="3"/>
        <v>-</v>
      </c>
      <c r="S11" s="18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06">
        <f t="shared" si="4"/>
        <v>40</v>
      </c>
      <c r="U11" s="106">
        <f t="shared" si="5"/>
        <v>40</v>
      </c>
      <c r="V11" s="106">
        <f t="shared" si="6"/>
        <v>0</v>
      </c>
      <c r="W11" s="73">
        <f t="shared" si="7"/>
        <v>0</v>
      </c>
      <c r="X11" s="72">
        <f t="shared" si="8"/>
        <v>1.1111111111111112</v>
      </c>
      <c r="Y11" s="72">
        <f t="shared" si="12"/>
        <v>50</v>
      </c>
      <c r="Z11" s="72">
        <f t="shared" si="13"/>
        <v>6.666666666666667</v>
      </c>
      <c r="AA11" s="275" t="str">
        <f t="shared" si="9"/>
        <v>Yes</v>
      </c>
      <c r="AD11" s="28" t="s">
        <v>87</v>
      </c>
      <c r="AE11" s="28" t="s">
        <v>70</v>
      </c>
      <c r="AF11" s="28" t="s">
        <v>75</v>
      </c>
      <c r="AG11" s="17">
        <f t="shared" si="10"/>
        <v>0</v>
      </c>
      <c r="AH11" s="17" t="str">
        <f>IFERROR((VLOOKUP(AG11,'DO NOT TOUCH'!$B$9:$C$14,2,TRUE)),"TBD")</f>
        <v>TBD</v>
      </c>
      <c r="AI11" s="17">
        <f t="shared" si="16"/>
        <v>0.5</v>
      </c>
      <c r="AJ11" s="17">
        <f>INPUT_OUTPUTS!$C$16</f>
        <v>140</v>
      </c>
      <c r="AK11" s="17">
        <f>INPUT_OUTPUTS!$C$17</f>
        <v>100</v>
      </c>
      <c r="AL11" s="17">
        <f t="shared" si="14"/>
        <v>55</v>
      </c>
      <c r="AM11" s="17">
        <f t="shared" si="14"/>
        <v>85</v>
      </c>
      <c r="AN11" s="17">
        <f t="shared" si="11"/>
        <v>0</v>
      </c>
      <c r="AO11" s="290">
        <f t="shared" si="17"/>
        <v>0</v>
      </c>
      <c r="AP11" s="290">
        <f t="shared" si="15"/>
        <v>0.5</v>
      </c>
      <c r="AQ11" s="290">
        <f t="shared" si="18"/>
        <v>5</v>
      </c>
      <c r="AR11" s="290" t="str">
        <f>IFERROR((_xlfn.XLOOKUP(AH11,'DO NOT TOUCH'!$C$9:$C$14,'DO NOT TOUCH'!$D$9:$D$14,)),"TBD")</f>
        <v>TBD</v>
      </c>
      <c r="AS11" s="290">
        <f>INPUT_OUTPUTS!$C$19</f>
        <v>0</v>
      </c>
      <c r="AT11" s="17" t="str">
        <f t="shared" si="19"/>
        <v>1, 2</v>
      </c>
    </row>
    <row r="12" spans="1:54" ht="15" customHeight="1">
      <c r="B12" s="276" t="s">
        <v>136</v>
      </c>
      <c r="C12" s="105" t="s">
        <v>129</v>
      </c>
      <c r="D12" s="105">
        <v>1234</v>
      </c>
      <c r="E12" s="105">
        <v>212</v>
      </c>
      <c r="F12" s="105">
        <v>10</v>
      </c>
      <c r="G12" s="17" t="str">
        <f>VLOOKUP($K12,'UMC Table 4-A'!$A$2:$E$132,5,FALSE)</f>
        <v>NR</v>
      </c>
      <c r="H12" s="105"/>
      <c r="I12" s="17">
        <v>0</v>
      </c>
      <c r="J12" s="17">
        <f t="shared" si="0"/>
        <v>212</v>
      </c>
      <c r="K12" s="105" t="s">
        <v>62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21">
        <f t="shared" si="1"/>
        <v>80</v>
      </c>
      <c r="O12" s="17">
        <f>VLOOKUP($K12,'UMC Table 4-A'!$A$2:$E$132,4,FALSE)</f>
        <v>4</v>
      </c>
      <c r="P12" s="17">
        <f t="shared" si="2"/>
        <v>150</v>
      </c>
      <c r="Q12" s="17" t="str">
        <f>VLOOKUP($K12,'UMC Table 4-A'!$A$2:$E$132,5,FALSE)</f>
        <v>NR</v>
      </c>
      <c r="R12" s="17" t="str">
        <f t="shared" si="3"/>
        <v>-</v>
      </c>
      <c r="S12" s="18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06">
        <f t="shared" si="4"/>
        <v>215</v>
      </c>
      <c r="U12" s="106">
        <f t="shared" si="5"/>
        <v>215</v>
      </c>
      <c r="V12" s="106">
        <f t="shared" si="6"/>
        <v>0</v>
      </c>
      <c r="W12" s="73">
        <f t="shared" si="7"/>
        <v>0</v>
      </c>
      <c r="X12" s="72">
        <f t="shared" si="8"/>
        <v>1.0141509433962264</v>
      </c>
      <c r="Y12" s="72">
        <f t="shared" si="12"/>
        <v>37.209302325581397</v>
      </c>
      <c r="Z12" s="72">
        <f t="shared" si="13"/>
        <v>6.0849056603773581</v>
      </c>
      <c r="AA12" s="275" t="str">
        <f t="shared" si="9"/>
        <v>Yes</v>
      </c>
      <c r="AD12" s="28" t="s">
        <v>88</v>
      </c>
      <c r="AE12" s="28" t="s">
        <v>70</v>
      </c>
      <c r="AF12" s="28" t="s">
        <v>75</v>
      </c>
      <c r="AG12" s="17">
        <f t="shared" si="10"/>
        <v>0</v>
      </c>
      <c r="AH12" s="17" t="str">
        <f>IFERROR((VLOOKUP(AG12,'DO NOT TOUCH'!$B$9:$C$14,2,TRUE)),"TBD")</f>
        <v>TBD</v>
      </c>
      <c r="AI12" s="17">
        <f t="shared" si="16"/>
        <v>0.5</v>
      </c>
      <c r="AJ12" s="17">
        <f>INPUT_OUTPUTS!$C$16</f>
        <v>140</v>
      </c>
      <c r="AK12" s="17">
        <f>INPUT_OUTPUTS!$C$17</f>
        <v>100</v>
      </c>
      <c r="AL12" s="17">
        <f t="shared" si="14"/>
        <v>55</v>
      </c>
      <c r="AM12" s="17">
        <f t="shared" si="14"/>
        <v>85</v>
      </c>
      <c r="AN12" s="17">
        <f t="shared" si="11"/>
        <v>0</v>
      </c>
      <c r="AO12" s="290">
        <f t="shared" si="17"/>
        <v>0</v>
      </c>
      <c r="AP12" s="290">
        <f t="shared" si="15"/>
        <v>0.5</v>
      </c>
      <c r="AQ12" s="290">
        <f t="shared" si="18"/>
        <v>5</v>
      </c>
      <c r="AR12" s="290" t="str">
        <f>IFERROR((_xlfn.XLOOKUP(AH12,'DO NOT TOUCH'!$C$9:$C$14,'DO NOT TOUCH'!$D$9:$D$14,)),"TBD")</f>
        <v>TBD</v>
      </c>
      <c r="AS12" s="290">
        <f>INPUT_OUTPUTS!$C$19</f>
        <v>0</v>
      </c>
      <c r="AT12" s="17" t="str">
        <f t="shared" si="19"/>
        <v>1, 2</v>
      </c>
    </row>
    <row r="13" spans="1:54" ht="15" customHeight="1">
      <c r="B13" s="276" t="s">
        <v>137</v>
      </c>
      <c r="C13" s="105" t="s">
        <v>129</v>
      </c>
      <c r="D13" s="105">
        <v>1234</v>
      </c>
      <c r="E13" s="105">
        <v>27</v>
      </c>
      <c r="F13" s="105">
        <v>10</v>
      </c>
      <c r="G13" s="17" t="str">
        <f>VLOOKUP($K13,'UMC Table 4-A'!$A$2:$E$132,5,FALSE)</f>
        <v>NR</v>
      </c>
      <c r="H13" s="105"/>
      <c r="I13" s="17">
        <v>0</v>
      </c>
      <c r="J13" s="17">
        <f t="shared" si="0"/>
        <v>27</v>
      </c>
      <c r="K13" s="105" t="s">
        <v>76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21">
        <f t="shared" si="1"/>
        <v>10</v>
      </c>
      <c r="O13" s="17">
        <f>VLOOKUP($K13,'UMC Table 4-A'!$A$2:$E$132,4,FALSE)</f>
        <v>6</v>
      </c>
      <c r="P13" s="17">
        <f t="shared" si="2"/>
        <v>30</v>
      </c>
      <c r="Q13" s="17" t="str">
        <f>VLOOKUP($K13,'UMC Table 4-A'!$A$2:$E$132,5,FALSE)</f>
        <v>NR</v>
      </c>
      <c r="R13" s="17" t="str">
        <f t="shared" si="3"/>
        <v>-</v>
      </c>
      <c r="S13" s="18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06">
        <f t="shared" si="4"/>
        <v>30</v>
      </c>
      <c r="U13" s="106">
        <f t="shared" si="5"/>
        <v>30</v>
      </c>
      <c r="V13" s="106">
        <f t="shared" si="6"/>
        <v>0</v>
      </c>
      <c r="W13" s="73">
        <f t="shared" si="7"/>
        <v>0</v>
      </c>
      <c r="X13" s="72">
        <f t="shared" si="8"/>
        <v>1.1111111111111112</v>
      </c>
      <c r="Y13" s="72">
        <f t="shared" si="12"/>
        <v>33.333333333333329</v>
      </c>
      <c r="Z13" s="72">
        <f t="shared" si="13"/>
        <v>6.666666666666667</v>
      </c>
      <c r="AA13" s="275" t="str">
        <f t="shared" si="9"/>
        <v>Yes</v>
      </c>
      <c r="AD13" s="31" t="s">
        <v>89</v>
      </c>
      <c r="AE13" s="28" t="s">
        <v>70</v>
      </c>
      <c r="AF13" s="28" t="s">
        <v>75</v>
      </c>
      <c r="AG13" s="17">
        <f t="shared" si="10"/>
        <v>0</v>
      </c>
      <c r="AH13" s="17" t="str">
        <f>IFERROR((VLOOKUP(AG13,'DO NOT TOUCH'!$B$9:$C$14,2,TRUE)),"TBD")</f>
        <v>TBD</v>
      </c>
      <c r="AI13" s="17">
        <f t="shared" si="16"/>
        <v>0.5</v>
      </c>
      <c r="AJ13" s="17">
        <f>INPUT_OUTPUTS!$C$16</f>
        <v>140</v>
      </c>
      <c r="AK13" s="17">
        <f>INPUT_OUTPUTS!$C$17</f>
        <v>100</v>
      </c>
      <c r="AL13" s="17">
        <f t="shared" si="14"/>
        <v>55</v>
      </c>
      <c r="AM13" s="17">
        <f t="shared" si="14"/>
        <v>85</v>
      </c>
      <c r="AN13" s="17">
        <f t="shared" si="11"/>
        <v>0</v>
      </c>
      <c r="AO13" s="290">
        <f t="shared" si="17"/>
        <v>0</v>
      </c>
      <c r="AP13" s="290">
        <f t="shared" si="15"/>
        <v>0.5</v>
      </c>
      <c r="AQ13" s="290">
        <f t="shared" si="18"/>
        <v>5</v>
      </c>
      <c r="AR13" s="290" t="str">
        <f>IFERROR((_xlfn.XLOOKUP(AH13,'DO NOT TOUCH'!$C$9:$C$14,'DO NOT TOUCH'!$D$9:$D$14,)),"TBD")</f>
        <v>TBD</v>
      </c>
      <c r="AS13" s="290">
        <f>INPUT_OUTPUTS!$C$19</f>
        <v>0</v>
      </c>
      <c r="AT13" s="275" t="str">
        <f t="shared" si="19"/>
        <v>1, 2</v>
      </c>
    </row>
    <row r="14" spans="1:54" ht="15" customHeight="1">
      <c r="B14" s="276" t="s">
        <v>138</v>
      </c>
      <c r="C14" s="105" t="s">
        <v>129</v>
      </c>
      <c r="D14" s="105">
        <v>1234</v>
      </c>
      <c r="E14" s="105">
        <v>111</v>
      </c>
      <c r="F14" s="105">
        <v>10</v>
      </c>
      <c r="G14" s="17" t="str">
        <f>VLOOKUP($K14,'UMC Table 4-A'!$A$2:$E$132,5,FALSE)</f>
        <v>NR</v>
      </c>
      <c r="H14" s="105"/>
      <c r="I14" s="17">
        <v>0</v>
      </c>
      <c r="J14" s="17">
        <f t="shared" si="0"/>
        <v>111</v>
      </c>
      <c r="K14" s="105" t="s">
        <v>62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21">
        <f t="shared" si="1"/>
        <v>40</v>
      </c>
      <c r="O14" s="17">
        <f>VLOOKUP($K14,'UMC Table 4-A'!$A$2:$E$132,4,FALSE)</f>
        <v>4</v>
      </c>
      <c r="P14" s="17">
        <f t="shared" si="2"/>
        <v>80</v>
      </c>
      <c r="Q14" s="17" t="str">
        <f>VLOOKUP($K14,'UMC Table 4-A'!$A$2:$E$132,5,FALSE)</f>
        <v>NR</v>
      </c>
      <c r="R14" s="17" t="str">
        <f t="shared" si="3"/>
        <v>-</v>
      </c>
      <c r="S14" s="18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06">
        <f t="shared" si="4"/>
        <v>115</v>
      </c>
      <c r="U14" s="106">
        <f t="shared" si="5"/>
        <v>115</v>
      </c>
      <c r="V14" s="106">
        <f t="shared" si="6"/>
        <v>0</v>
      </c>
      <c r="W14" s="73">
        <f t="shared" si="7"/>
        <v>0</v>
      </c>
      <c r="X14" s="72">
        <f t="shared" si="8"/>
        <v>1.0360360360360361</v>
      </c>
      <c r="Y14" s="72">
        <f t="shared" si="12"/>
        <v>34.782608695652172</v>
      </c>
      <c r="Z14" s="72">
        <f t="shared" si="13"/>
        <v>6.2162162162162167</v>
      </c>
      <c r="AA14" s="275" t="str">
        <f t="shared" si="9"/>
        <v>Yes</v>
      </c>
      <c r="AD14" s="31" t="s">
        <v>90</v>
      </c>
      <c r="AE14" s="28" t="s">
        <v>70</v>
      </c>
      <c r="AF14" s="28" t="s">
        <v>75</v>
      </c>
      <c r="AG14" s="17">
        <f t="shared" si="10"/>
        <v>0</v>
      </c>
      <c r="AH14" s="17" t="str">
        <f>IFERROR((VLOOKUP(AG14,'DO NOT TOUCH'!$B$9:$C$14,2,TRUE)),"TBD")</f>
        <v>TBD</v>
      </c>
      <c r="AI14" s="17">
        <f t="shared" si="16"/>
        <v>0.5</v>
      </c>
      <c r="AJ14" s="17">
        <f>INPUT_OUTPUTS!$C$16</f>
        <v>140</v>
      </c>
      <c r="AK14" s="17">
        <f>INPUT_OUTPUTS!$C$17</f>
        <v>100</v>
      </c>
      <c r="AL14" s="17">
        <f t="shared" si="14"/>
        <v>55</v>
      </c>
      <c r="AM14" s="17">
        <f t="shared" si="14"/>
        <v>85</v>
      </c>
      <c r="AN14" s="17">
        <f t="shared" si="11"/>
        <v>0</v>
      </c>
      <c r="AO14" s="290">
        <f t="shared" si="17"/>
        <v>0</v>
      </c>
      <c r="AP14" s="290">
        <f t="shared" si="15"/>
        <v>0.5</v>
      </c>
      <c r="AQ14" s="290">
        <f t="shared" si="18"/>
        <v>5</v>
      </c>
      <c r="AR14" s="290" t="str">
        <f>IFERROR((_xlfn.XLOOKUP(AH14,'DO NOT TOUCH'!$C$9:$C$14,'DO NOT TOUCH'!$D$9:$D$14,)),"TBD")</f>
        <v>TBD</v>
      </c>
      <c r="AS14" s="290">
        <f>INPUT_OUTPUTS!$C$19</f>
        <v>0</v>
      </c>
      <c r="AT14" s="275" t="str">
        <f t="shared" si="19"/>
        <v>1, 2</v>
      </c>
    </row>
    <row r="15" spans="1:54" ht="15" customHeight="1">
      <c r="B15" s="276" t="s">
        <v>138</v>
      </c>
      <c r="C15" s="105" t="s">
        <v>129</v>
      </c>
      <c r="D15" s="105">
        <v>1234</v>
      </c>
      <c r="E15" s="105">
        <v>256</v>
      </c>
      <c r="F15" s="105">
        <v>10</v>
      </c>
      <c r="G15" s="17" t="str">
        <f>VLOOKUP($K15,'UMC Table 4-A'!$A$2:$E$132,5,FALSE)</f>
        <v>NR</v>
      </c>
      <c r="H15" s="105"/>
      <c r="I15" s="17">
        <v>0</v>
      </c>
      <c r="J15" s="17">
        <f t="shared" si="0"/>
        <v>256</v>
      </c>
      <c r="K15" s="105" t="s">
        <v>62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21">
        <f t="shared" si="1"/>
        <v>90</v>
      </c>
      <c r="O15" s="17">
        <f>VLOOKUP($K15,'UMC Table 4-A'!$A$2:$E$132,4,FALSE)</f>
        <v>4</v>
      </c>
      <c r="P15" s="17">
        <f t="shared" si="2"/>
        <v>180</v>
      </c>
      <c r="Q15" s="17" t="str">
        <f>VLOOKUP($K15,'UMC Table 4-A'!$A$2:$E$132,5,FALSE)</f>
        <v>NR</v>
      </c>
      <c r="R15" s="17" t="str">
        <f t="shared" si="3"/>
        <v>-</v>
      </c>
      <c r="S15" s="18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06">
        <f t="shared" si="4"/>
        <v>260</v>
      </c>
      <c r="U15" s="106">
        <f t="shared" si="5"/>
        <v>260</v>
      </c>
      <c r="V15" s="106">
        <f t="shared" si="6"/>
        <v>0</v>
      </c>
      <c r="W15" s="73">
        <f t="shared" si="7"/>
        <v>0</v>
      </c>
      <c r="X15" s="72">
        <f t="shared" si="8"/>
        <v>1.015625</v>
      </c>
      <c r="Y15" s="72">
        <f t="shared" si="12"/>
        <v>34.615384615384613</v>
      </c>
      <c r="Z15" s="72">
        <f t="shared" si="13"/>
        <v>6.09375</v>
      </c>
      <c r="AA15" s="275" t="str">
        <f t="shared" si="9"/>
        <v>Yes</v>
      </c>
      <c r="AD15" s="31" t="s">
        <v>91</v>
      </c>
      <c r="AE15" s="28" t="s">
        <v>70</v>
      </c>
      <c r="AF15" s="28" t="s">
        <v>75</v>
      </c>
      <c r="AG15" s="17">
        <f t="shared" si="10"/>
        <v>0</v>
      </c>
      <c r="AH15" s="17" t="str">
        <f>IFERROR((VLOOKUP(AG15,'DO NOT TOUCH'!$B$9:$C$14,2,TRUE)),"TBD")</f>
        <v>TBD</v>
      </c>
      <c r="AI15" s="17">
        <f t="shared" si="16"/>
        <v>0.5</v>
      </c>
      <c r="AJ15" s="17">
        <f>INPUT_OUTPUTS!$C$16</f>
        <v>140</v>
      </c>
      <c r="AK15" s="17">
        <f>INPUT_OUTPUTS!$C$17</f>
        <v>100</v>
      </c>
      <c r="AL15" s="17">
        <f t="shared" si="14"/>
        <v>55</v>
      </c>
      <c r="AM15" s="17">
        <f t="shared" si="14"/>
        <v>85</v>
      </c>
      <c r="AN15" s="17">
        <f t="shared" si="11"/>
        <v>0</v>
      </c>
      <c r="AO15" s="290">
        <f t="shared" si="17"/>
        <v>0</v>
      </c>
      <c r="AP15" s="290">
        <f t="shared" si="15"/>
        <v>0.5</v>
      </c>
      <c r="AQ15" s="290">
        <f t="shared" si="18"/>
        <v>5</v>
      </c>
      <c r="AR15" s="290" t="str">
        <f>IFERROR((_xlfn.XLOOKUP(AH15,'DO NOT TOUCH'!$C$9:$C$14,'DO NOT TOUCH'!$D$9:$D$14,)),"TBD")</f>
        <v>TBD</v>
      </c>
      <c r="AS15" s="290">
        <f>INPUT_OUTPUTS!$C$19</f>
        <v>0</v>
      </c>
      <c r="AT15" s="275" t="str">
        <f t="shared" si="19"/>
        <v>1, 2</v>
      </c>
    </row>
    <row r="16" spans="1:54" ht="15" customHeight="1">
      <c r="B16" s="276" t="s">
        <v>139</v>
      </c>
      <c r="C16" s="105" t="s">
        <v>129</v>
      </c>
      <c r="D16" s="105">
        <v>1234</v>
      </c>
      <c r="E16" s="105">
        <v>2347</v>
      </c>
      <c r="F16" s="105">
        <v>10</v>
      </c>
      <c r="G16" s="17" t="str">
        <f>VLOOKUP($K16,'UMC Table 4-A'!$A$2:$E$132,5,FALSE)</f>
        <v>NR</v>
      </c>
      <c r="H16" s="105"/>
      <c r="I16" s="17">
        <v>0</v>
      </c>
      <c r="J16" s="17">
        <f t="shared" si="0"/>
        <v>2347</v>
      </c>
      <c r="K16" s="105" t="s">
        <v>62</v>
      </c>
      <c r="L16" s="19" t="str">
        <f>VLOOKUP($K16,'UMC Table 4-A'!$A$2:$E$132,2,FALSE)</f>
        <v>NR</v>
      </c>
      <c r="M16" s="17">
        <f>VLOOKUP($K16,'UMC Table 4-A'!$A$2:$E$132,3,FALSE)</f>
        <v>2</v>
      </c>
      <c r="N16" s="21">
        <f t="shared" si="1"/>
        <v>790</v>
      </c>
      <c r="O16" s="17">
        <f>VLOOKUP($K16,'UMC Table 4-A'!$A$2:$E$132,4,FALSE)</f>
        <v>4</v>
      </c>
      <c r="P16" s="17">
        <f t="shared" si="2"/>
        <v>1570</v>
      </c>
      <c r="Q16" s="17" t="str">
        <f>VLOOKUP($K16,'UMC Table 4-A'!$A$2:$E$132,5,FALSE)</f>
        <v>NR</v>
      </c>
      <c r="R16" s="17" t="str">
        <f t="shared" si="3"/>
        <v>-</v>
      </c>
      <c r="S16" s="18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06">
        <f t="shared" si="4"/>
        <v>2350</v>
      </c>
      <c r="U16" s="106">
        <f t="shared" si="5"/>
        <v>2350</v>
      </c>
      <c r="V16" s="106">
        <f t="shared" si="6"/>
        <v>0</v>
      </c>
      <c r="W16" s="73">
        <f t="shared" si="7"/>
        <v>0</v>
      </c>
      <c r="X16" s="72">
        <f t="shared" si="8"/>
        <v>1.0012782275244994</v>
      </c>
      <c r="Y16" s="72">
        <f t="shared" si="12"/>
        <v>33.617021276595743</v>
      </c>
      <c r="Z16" s="72">
        <f t="shared" si="13"/>
        <v>6.0076693651469961</v>
      </c>
      <c r="AA16" s="275" t="str">
        <f t="shared" si="9"/>
        <v>Yes</v>
      </c>
      <c r="AD16" s="31" t="s">
        <v>92</v>
      </c>
      <c r="AE16" s="28" t="s">
        <v>70</v>
      </c>
      <c r="AF16" s="28" t="s">
        <v>75</v>
      </c>
      <c r="AG16" s="17">
        <f t="shared" si="10"/>
        <v>0</v>
      </c>
      <c r="AH16" s="17" t="str">
        <f>IFERROR((VLOOKUP(AG16,'DO NOT TOUCH'!$B$9:$C$14,2,TRUE)),"TBD")</f>
        <v>TBD</v>
      </c>
      <c r="AI16" s="17">
        <f t="shared" si="16"/>
        <v>0.5</v>
      </c>
      <c r="AJ16" s="17">
        <f>INPUT_OUTPUTS!$C$16</f>
        <v>140</v>
      </c>
      <c r="AK16" s="17">
        <f>INPUT_OUTPUTS!$C$17</f>
        <v>100</v>
      </c>
      <c r="AL16" s="17">
        <f t="shared" si="14"/>
        <v>55</v>
      </c>
      <c r="AM16" s="17">
        <f t="shared" si="14"/>
        <v>85</v>
      </c>
      <c r="AN16" s="17">
        <f t="shared" si="11"/>
        <v>0</v>
      </c>
      <c r="AO16" s="290">
        <f t="shared" si="17"/>
        <v>0</v>
      </c>
      <c r="AP16" s="290">
        <f t="shared" si="15"/>
        <v>0.5</v>
      </c>
      <c r="AQ16" s="290">
        <f t="shared" si="18"/>
        <v>5</v>
      </c>
      <c r="AR16" s="290" t="str">
        <f>IFERROR((_xlfn.XLOOKUP(AH16,'DO NOT TOUCH'!$C$9:$C$14,'DO NOT TOUCH'!$D$9:$D$14,)),"TBD")</f>
        <v>TBD</v>
      </c>
      <c r="AS16" s="290">
        <f>INPUT_OUTPUTS!$C$19</f>
        <v>0</v>
      </c>
      <c r="AT16" s="275" t="str">
        <f t="shared" si="19"/>
        <v>1, 2</v>
      </c>
    </row>
    <row r="17" spans="2:46" ht="15" customHeight="1">
      <c r="B17" s="276" t="s">
        <v>140</v>
      </c>
      <c r="C17" s="105" t="s">
        <v>129</v>
      </c>
      <c r="D17" s="105">
        <v>1234</v>
      </c>
      <c r="E17" s="105">
        <v>454</v>
      </c>
      <c r="F17" s="105">
        <v>10</v>
      </c>
      <c r="G17" s="17" t="str">
        <f>VLOOKUP($K17,'UMC Table 4-A'!$A$2:$E$132,5,FALSE)</f>
        <v>NR</v>
      </c>
      <c r="H17" s="105"/>
      <c r="I17" s="17">
        <v>0</v>
      </c>
      <c r="J17" s="17">
        <f t="shared" si="0"/>
        <v>454</v>
      </c>
      <c r="K17" s="105" t="s">
        <v>62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21">
        <f t="shared" si="1"/>
        <v>160</v>
      </c>
      <c r="O17" s="17">
        <f>VLOOKUP($K17,'UMC Table 4-A'!$A$2:$E$132,4,FALSE)</f>
        <v>4</v>
      </c>
      <c r="P17" s="17">
        <f t="shared" si="2"/>
        <v>310</v>
      </c>
      <c r="Q17" s="17" t="str">
        <f>VLOOKUP($K17,'UMC Table 4-A'!$A$2:$E$132,5,FALSE)</f>
        <v>NR</v>
      </c>
      <c r="R17" s="17" t="str">
        <f t="shared" si="3"/>
        <v>-</v>
      </c>
      <c r="S17" s="18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06">
        <f t="shared" si="4"/>
        <v>455</v>
      </c>
      <c r="U17" s="106">
        <f t="shared" si="5"/>
        <v>455</v>
      </c>
      <c r="V17" s="106">
        <f t="shared" si="6"/>
        <v>0</v>
      </c>
      <c r="W17" s="73">
        <f t="shared" si="7"/>
        <v>0</v>
      </c>
      <c r="X17" s="72">
        <f t="shared" si="8"/>
        <v>1.0022026431718061</v>
      </c>
      <c r="Y17" s="72">
        <f t="shared" si="12"/>
        <v>35.164835164835168</v>
      </c>
      <c r="Z17" s="72">
        <f t="shared" si="13"/>
        <v>6.0132158590308364</v>
      </c>
      <c r="AA17" s="275" t="str">
        <f t="shared" si="9"/>
        <v>Yes</v>
      </c>
      <c r="AD17" s="31" t="s">
        <v>93</v>
      </c>
      <c r="AE17" s="28" t="s">
        <v>70</v>
      </c>
      <c r="AF17" s="28" t="s">
        <v>75</v>
      </c>
      <c r="AG17" s="17">
        <f t="shared" si="10"/>
        <v>0</v>
      </c>
      <c r="AH17" s="17" t="str">
        <f>IFERROR((VLOOKUP(AG17,'DO NOT TOUCH'!$B$9:$C$14,2,TRUE)),"TBD")</f>
        <v>TBD</v>
      </c>
      <c r="AI17" s="17">
        <f t="shared" si="16"/>
        <v>0.5</v>
      </c>
      <c r="AJ17" s="17">
        <f>INPUT_OUTPUTS!$C$16</f>
        <v>140</v>
      </c>
      <c r="AK17" s="17">
        <f>INPUT_OUTPUTS!$C$17</f>
        <v>100</v>
      </c>
      <c r="AL17" s="17">
        <f t="shared" si="14"/>
        <v>55</v>
      </c>
      <c r="AM17" s="17">
        <f t="shared" si="14"/>
        <v>85</v>
      </c>
      <c r="AN17" s="17">
        <f t="shared" si="11"/>
        <v>0</v>
      </c>
      <c r="AO17" s="290">
        <f t="shared" si="17"/>
        <v>0</v>
      </c>
      <c r="AP17" s="290">
        <f t="shared" si="15"/>
        <v>0.5</v>
      </c>
      <c r="AQ17" s="290">
        <f t="shared" si="18"/>
        <v>5</v>
      </c>
      <c r="AR17" s="290" t="str">
        <f>IFERROR((_xlfn.XLOOKUP(AH17,'DO NOT TOUCH'!$C$9:$C$14,'DO NOT TOUCH'!$D$9:$D$14,)),"TBD")</f>
        <v>TBD</v>
      </c>
      <c r="AS17" s="290">
        <f>INPUT_OUTPUTS!$C$19</f>
        <v>0</v>
      </c>
      <c r="AT17" s="275" t="str">
        <f t="shared" si="19"/>
        <v>1, 2</v>
      </c>
    </row>
    <row r="18" spans="2:46" ht="15" customHeight="1">
      <c r="B18" s="284"/>
      <c r="C18" s="285"/>
      <c r="D18" s="285"/>
      <c r="E18" s="286">
        <f>SUBTOTAL(109,TABLE4A439[AREA 
(FT²)])</f>
        <v>4063</v>
      </c>
      <c r="F18" s="286"/>
      <c r="G18" s="286"/>
      <c r="H18" s="286"/>
      <c r="I18" s="286"/>
      <c r="J18" s="286"/>
      <c r="K18" s="286"/>
      <c r="L18" s="286"/>
      <c r="M18" s="286"/>
      <c r="N18" s="289">
        <f>SUBTOTAL(109,TABLE4A439[MIN OUTDOOR ACH 
(CFM)])</f>
        <v>1270</v>
      </c>
      <c r="O18" s="286"/>
      <c r="P18" s="286"/>
      <c r="Q18" s="286"/>
      <c r="R18" s="286"/>
      <c r="S18" s="286">
        <f>SUBTOTAL(109,TABLE4A439[CALCULATED SA 
(CFM)])</f>
        <v>4235</v>
      </c>
      <c r="T18" s="286">
        <f>SUBTOTAL(109,TABLE4A439[DESIGN SA 
(CFM)])</f>
        <v>4235</v>
      </c>
      <c r="U18" s="286">
        <f>SUBTOTAL(109,TABLE4A439[DESIGN RA
(CFM)])</f>
        <v>3735</v>
      </c>
      <c r="V18" s="286">
        <f>SUBTOTAL(109,TABLE4A439[DESIGN EA
(CFM)])</f>
        <v>500</v>
      </c>
      <c r="W18" s="286">
        <f>SUBTOTAL(109,TABLE4A439[Transfer Air CFM])</f>
        <v>0</v>
      </c>
      <c r="X18" s="286"/>
      <c r="Y18" s="287"/>
      <c r="Z18" s="287"/>
      <c r="AA18" s="288"/>
      <c r="AD18" s="31" t="s">
        <v>94</v>
      </c>
      <c r="AE18" s="28" t="s">
        <v>70</v>
      </c>
      <c r="AF18" s="28" t="s">
        <v>75</v>
      </c>
      <c r="AG18" s="17">
        <f t="shared" si="10"/>
        <v>0</v>
      </c>
      <c r="AH18" s="17" t="str">
        <f>IFERROR((VLOOKUP(AG18,'DO NOT TOUCH'!$B$9:$C$14,2,TRUE)),"TBD")</f>
        <v>TBD</v>
      </c>
      <c r="AI18" s="17">
        <f t="shared" si="16"/>
        <v>0.5</v>
      </c>
      <c r="AJ18" s="17">
        <f>INPUT_OUTPUTS!$C$16</f>
        <v>140</v>
      </c>
      <c r="AK18" s="17">
        <f>INPUT_OUTPUTS!$C$17</f>
        <v>100</v>
      </c>
      <c r="AL18" s="17">
        <f t="shared" si="14"/>
        <v>55</v>
      </c>
      <c r="AM18" s="17">
        <f t="shared" si="14"/>
        <v>85</v>
      </c>
      <c r="AN18" s="17">
        <f t="shared" si="11"/>
        <v>0</v>
      </c>
      <c r="AO18" s="290">
        <f t="shared" si="17"/>
        <v>0</v>
      </c>
      <c r="AP18" s="290">
        <f t="shared" si="15"/>
        <v>0.5</v>
      </c>
      <c r="AQ18" s="290">
        <f t="shared" si="18"/>
        <v>5</v>
      </c>
      <c r="AR18" s="290" t="str">
        <f>IFERROR((_xlfn.XLOOKUP(AH18,'DO NOT TOUCH'!$C$9:$C$14,'DO NOT TOUCH'!$D$9:$D$14,)),"TBD")</f>
        <v>TBD</v>
      </c>
      <c r="AS18" s="290">
        <f>INPUT_OUTPUTS!$C$19</f>
        <v>0</v>
      </c>
      <c r="AT18" s="275" t="str">
        <f t="shared" si="19"/>
        <v>1, 2</v>
      </c>
    </row>
    <row r="19" spans="2:46" ht="15" customHeight="1">
      <c r="B19" s="88"/>
      <c r="C19" s="89"/>
      <c r="G19" s="75"/>
      <c r="H19" s="90"/>
      <c r="K19" s="91"/>
      <c r="L19" s="92"/>
      <c r="M19" s="92"/>
      <c r="O19" s="74"/>
      <c r="R19" s="93"/>
      <c r="S19" s="93"/>
      <c r="T19" s="74"/>
      <c r="U19" s="74"/>
      <c r="V19" s="74"/>
      <c r="W19" s="74"/>
      <c r="X19" s="93"/>
      <c r="Y19" s="94"/>
      <c r="AD19" s="31" t="s">
        <v>95</v>
      </c>
      <c r="AE19" s="28" t="s">
        <v>70</v>
      </c>
      <c r="AF19" s="28" t="s">
        <v>75</v>
      </c>
      <c r="AG19" s="17">
        <f t="shared" si="10"/>
        <v>0</v>
      </c>
      <c r="AH19" s="17" t="str">
        <f>IFERROR((VLOOKUP(AG19,'DO NOT TOUCH'!$B$9:$C$14,2,TRUE)),"TBD")</f>
        <v>TBD</v>
      </c>
      <c r="AI19" s="17">
        <f t="shared" si="16"/>
        <v>0.5</v>
      </c>
      <c r="AJ19" s="17">
        <f>INPUT_OUTPUTS!$C$16</f>
        <v>140</v>
      </c>
      <c r="AK19" s="17">
        <f>INPUT_OUTPUTS!$C$17</f>
        <v>100</v>
      </c>
      <c r="AL19" s="17">
        <f t="shared" si="14"/>
        <v>55</v>
      </c>
      <c r="AM19" s="17">
        <f t="shared" si="14"/>
        <v>85</v>
      </c>
      <c r="AN19" s="17">
        <f t="shared" si="11"/>
        <v>0</v>
      </c>
      <c r="AO19" s="290">
        <f t="shared" si="17"/>
        <v>0</v>
      </c>
      <c r="AP19" s="290">
        <f t="shared" si="15"/>
        <v>0.5</v>
      </c>
      <c r="AQ19" s="290">
        <f t="shared" si="18"/>
        <v>5</v>
      </c>
      <c r="AR19" s="290" t="str">
        <f>IFERROR((_xlfn.XLOOKUP(AH19,'DO NOT TOUCH'!$C$9:$C$14,'DO NOT TOUCH'!$D$9:$D$14,)),"TBD")</f>
        <v>TBD</v>
      </c>
      <c r="AS19" s="290">
        <f>INPUT_OUTPUTS!$C$19</f>
        <v>0</v>
      </c>
      <c r="AT19" s="275" t="str">
        <f t="shared" si="19"/>
        <v>1, 2</v>
      </c>
    </row>
    <row r="20" spans="2:46" ht="15" customHeight="1">
      <c r="B20" s="95"/>
      <c r="C20" s="89"/>
      <c r="G20" s="75"/>
      <c r="H20" s="90"/>
      <c r="K20" s="91"/>
      <c r="L20" s="92"/>
      <c r="M20" s="92"/>
      <c r="O20" s="74"/>
      <c r="T20" s="74"/>
      <c r="U20" s="74"/>
      <c r="V20" s="74"/>
      <c r="W20" s="74"/>
      <c r="X20" s="75"/>
      <c r="Y20" s="94"/>
      <c r="AD20" s="31" t="s">
        <v>96</v>
      </c>
      <c r="AE20" s="28" t="s">
        <v>70</v>
      </c>
      <c r="AF20" s="28" t="s">
        <v>75</v>
      </c>
      <c r="AG20" s="17">
        <f t="shared" si="10"/>
        <v>0</v>
      </c>
      <c r="AH20" s="17" t="str">
        <f>IFERROR((VLOOKUP(AG20,'DO NOT TOUCH'!$B$9:$C$14,2,TRUE)),"TBD")</f>
        <v>TBD</v>
      </c>
      <c r="AI20" s="17">
        <f t="shared" si="16"/>
        <v>0.5</v>
      </c>
      <c r="AJ20" s="17">
        <f>INPUT_OUTPUTS!$C$16</f>
        <v>140</v>
      </c>
      <c r="AK20" s="17">
        <f>INPUT_OUTPUTS!$C$17</f>
        <v>100</v>
      </c>
      <c r="AL20" s="17">
        <f t="shared" si="14"/>
        <v>55</v>
      </c>
      <c r="AM20" s="17">
        <f t="shared" si="14"/>
        <v>85</v>
      </c>
      <c r="AN20" s="17">
        <f t="shared" si="11"/>
        <v>0</v>
      </c>
      <c r="AO20" s="290">
        <f t="shared" si="17"/>
        <v>0</v>
      </c>
      <c r="AP20" s="290">
        <f t="shared" si="15"/>
        <v>0.5</v>
      </c>
      <c r="AQ20" s="290">
        <f t="shared" si="18"/>
        <v>5</v>
      </c>
      <c r="AR20" s="290" t="str">
        <f>IFERROR((_xlfn.XLOOKUP(AH20,'DO NOT TOUCH'!$C$9:$C$14,'DO NOT TOUCH'!$D$9:$D$14,)),"TBD")</f>
        <v>TBD</v>
      </c>
      <c r="AS20" s="290">
        <f>INPUT_OUTPUTS!$C$19</f>
        <v>0</v>
      </c>
      <c r="AT20" s="275" t="str">
        <f t="shared" si="19"/>
        <v>1, 2</v>
      </c>
    </row>
    <row r="21" spans="2:46" ht="15" customHeight="1">
      <c r="B21" s="88"/>
      <c r="C21" s="89"/>
      <c r="T21" s="74"/>
      <c r="U21" s="74"/>
      <c r="V21" s="74"/>
      <c r="W21" s="74"/>
      <c r="AD21" s="31" t="s">
        <v>97</v>
      </c>
      <c r="AE21" s="28" t="s">
        <v>70</v>
      </c>
      <c r="AF21" s="28" t="s">
        <v>75</v>
      </c>
      <c r="AG21" s="17">
        <f t="shared" si="10"/>
        <v>0</v>
      </c>
      <c r="AH21" s="17" t="str">
        <f>IFERROR((VLOOKUP(AG21,'DO NOT TOUCH'!$B$9:$C$14,2,TRUE)),"TBD")</f>
        <v>TBD</v>
      </c>
      <c r="AI21" s="17">
        <f t="shared" si="16"/>
        <v>0.5</v>
      </c>
      <c r="AJ21" s="17">
        <f>INPUT_OUTPUTS!$C$16</f>
        <v>140</v>
      </c>
      <c r="AK21" s="17">
        <f>INPUT_OUTPUTS!$C$17</f>
        <v>100</v>
      </c>
      <c r="AL21" s="17">
        <f t="shared" si="14"/>
        <v>55</v>
      </c>
      <c r="AM21" s="17">
        <f t="shared" si="14"/>
        <v>85</v>
      </c>
      <c r="AN21" s="17">
        <f t="shared" si="11"/>
        <v>0</v>
      </c>
      <c r="AO21" s="290">
        <f t="shared" si="17"/>
        <v>0</v>
      </c>
      <c r="AP21" s="290">
        <f t="shared" si="15"/>
        <v>0.5</v>
      </c>
      <c r="AQ21" s="290">
        <f t="shared" si="18"/>
        <v>5</v>
      </c>
      <c r="AR21" s="290" t="str">
        <f>IFERROR((_xlfn.XLOOKUP(AH21,'DO NOT TOUCH'!$C$9:$C$14,'DO NOT TOUCH'!$D$9:$D$14,)),"TBD")</f>
        <v>TBD</v>
      </c>
      <c r="AS21" s="290">
        <f>INPUT_OUTPUTS!$C$19</f>
        <v>0</v>
      </c>
      <c r="AT21" s="275" t="str">
        <f t="shared" si="19"/>
        <v>1, 2</v>
      </c>
    </row>
    <row r="22" spans="2:46" ht="15" customHeight="1">
      <c r="K22" s="74"/>
      <c r="N22" s="74"/>
      <c r="Q22" s="74" t="s">
        <v>569</v>
      </c>
      <c r="T22" s="74"/>
      <c r="U22" s="74"/>
      <c r="V22" s="74"/>
      <c r="W22" s="74"/>
      <c r="AD22" s="31" t="s">
        <v>98</v>
      </c>
      <c r="AE22" s="28" t="s">
        <v>70</v>
      </c>
      <c r="AF22" s="28" t="s">
        <v>75</v>
      </c>
      <c r="AG22" s="17">
        <f t="shared" si="10"/>
        <v>0</v>
      </c>
      <c r="AH22" s="17" t="str">
        <f>IFERROR((VLOOKUP(AG22,'DO NOT TOUCH'!$B$9:$C$14,2,TRUE)),"TBD")</f>
        <v>TBD</v>
      </c>
      <c r="AI22" s="17">
        <f t="shared" si="16"/>
        <v>0.5</v>
      </c>
      <c r="AJ22" s="17">
        <f>INPUT_OUTPUTS!$C$16</f>
        <v>140</v>
      </c>
      <c r="AK22" s="17">
        <f>INPUT_OUTPUTS!$C$17</f>
        <v>100</v>
      </c>
      <c r="AL22" s="17">
        <f t="shared" si="14"/>
        <v>55</v>
      </c>
      <c r="AM22" s="17">
        <f t="shared" si="14"/>
        <v>85</v>
      </c>
      <c r="AN22" s="17">
        <f t="shared" si="11"/>
        <v>0</v>
      </c>
      <c r="AO22" s="290">
        <f t="shared" si="17"/>
        <v>0</v>
      </c>
      <c r="AP22" s="290">
        <f t="shared" si="15"/>
        <v>0.5</v>
      </c>
      <c r="AQ22" s="290">
        <f t="shared" si="18"/>
        <v>5</v>
      </c>
      <c r="AR22" s="290" t="str">
        <f>IFERROR((_xlfn.XLOOKUP(AH22,'DO NOT TOUCH'!$C$9:$C$14,'DO NOT TOUCH'!$D$9:$D$14,)),"TBD")</f>
        <v>TBD</v>
      </c>
      <c r="AS22" s="290">
        <f>INPUT_OUTPUTS!$C$19</f>
        <v>0</v>
      </c>
      <c r="AT22" s="275" t="str">
        <f t="shared" si="19"/>
        <v>1, 2</v>
      </c>
    </row>
    <row r="23" spans="2:46" ht="15" customHeight="1">
      <c r="T23" s="74"/>
      <c r="U23" s="74"/>
      <c r="V23" s="74"/>
      <c r="W23" s="74"/>
      <c r="AD23" s="31" t="s">
        <v>99</v>
      </c>
      <c r="AE23" s="28" t="s">
        <v>70</v>
      </c>
      <c r="AF23" s="28" t="s">
        <v>75</v>
      </c>
      <c r="AG23" s="17">
        <f t="shared" si="10"/>
        <v>0</v>
      </c>
      <c r="AH23" s="17" t="str">
        <f>IFERROR((VLOOKUP(AG23,'DO NOT TOUCH'!$B$9:$C$14,2,TRUE)),"TBD")</f>
        <v>TBD</v>
      </c>
      <c r="AI23" s="17">
        <f t="shared" si="16"/>
        <v>0.5</v>
      </c>
      <c r="AJ23" s="17">
        <f>INPUT_OUTPUTS!$C$16</f>
        <v>140</v>
      </c>
      <c r="AK23" s="17">
        <f>INPUT_OUTPUTS!$C$17</f>
        <v>100</v>
      </c>
      <c r="AL23" s="17">
        <f t="shared" si="14"/>
        <v>55</v>
      </c>
      <c r="AM23" s="17">
        <f t="shared" si="14"/>
        <v>85</v>
      </c>
      <c r="AN23" s="17">
        <f t="shared" si="11"/>
        <v>0</v>
      </c>
      <c r="AO23" s="290">
        <f t="shared" si="17"/>
        <v>0</v>
      </c>
      <c r="AP23" s="290">
        <f t="shared" si="15"/>
        <v>0.5</v>
      </c>
      <c r="AQ23" s="290">
        <f t="shared" si="18"/>
        <v>5</v>
      </c>
      <c r="AR23" s="290" t="str">
        <f>IFERROR((_xlfn.XLOOKUP(AH23,'DO NOT TOUCH'!$C$9:$C$14,'DO NOT TOUCH'!$D$9:$D$14,)),"TBD")</f>
        <v>TBD</v>
      </c>
      <c r="AS23" s="290">
        <f>INPUT_OUTPUTS!$C$19</f>
        <v>0</v>
      </c>
      <c r="AT23" s="275" t="str">
        <f t="shared" si="19"/>
        <v>1, 2</v>
      </c>
    </row>
    <row r="24" spans="2:46" ht="15" customHeight="1">
      <c r="T24" s="74"/>
      <c r="U24" s="74"/>
      <c r="V24" s="74"/>
      <c r="W24" s="74"/>
      <c r="AD24" s="31" t="s">
        <v>100</v>
      </c>
      <c r="AE24" s="28" t="s">
        <v>70</v>
      </c>
      <c r="AF24" s="28" t="s">
        <v>75</v>
      </c>
      <c r="AG24" s="17">
        <f t="shared" si="10"/>
        <v>0</v>
      </c>
      <c r="AH24" s="17" t="str">
        <f>IFERROR((VLOOKUP(AG24,'DO NOT TOUCH'!$B$9:$C$14,2,TRUE)),"TBD")</f>
        <v>TBD</v>
      </c>
      <c r="AI24" s="17">
        <f t="shared" si="16"/>
        <v>0.5</v>
      </c>
      <c r="AJ24" s="17">
        <f>INPUT_OUTPUTS!$C$16</f>
        <v>140</v>
      </c>
      <c r="AK24" s="17">
        <f>INPUT_OUTPUTS!$C$17</f>
        <v>100</v>
      </c>
      <c r="AL24" s="17">
        <f t="shared" ref="AL24:AM39" si="20">AL23</f>
        <v>55</v>
      </c>
      <c r="AM24" s="17">
        <f t="shared" si="20"/>
        <v>85</v>
      </c>
      <c r="AN24" s="17">
        <f t="shared" si="11"/>
        <v>0</v>
      </c>
      <c r="AO24" s="290">
        <f t="shared" si="17"/>
        <v>0</v>
      </c>
      <c r="AP24" s="290">
        <f t="shared" si="15"/>
        <v>0.5</v>
      </c>
      <c r="AQ24" s="290">
        <f t="shared" si="18"/>
        <v>5</v>
      </c>
      <c r="AR24" s="290" t="str">
        <f>IFERROR((_xlfn.XLOOKUP(AH24,'DO NOT TOUCH'!$C$9:$C$14,'DO NOT TOUCH'!$D$9:$D$14,)),"TBD")</f>
        <v>TBD</v>
      </c>
      <c r="AS24" s="290">
        <f>INPUT_OUTPUTS!$C$19</f>
        <v>0</v>
      </c>
      <c r="AT24" s="275" t="str">
        <f t="shared" si="19"/>
        <v>1, 2</v>
      </c>
    </row>
    <row r="25" spans="2:46" ht="15" customHeight="1">
      <c r="T25" s="74"/>
      <c r="U25" s="74"/>
      <c r="V25" s="74"/>
      <c r="W25" s="74"/>
      <c r="AD25" s="31" t="s">
        <v>101</v>
      </c>
      <c r="AE25" s="28" t="s">
        <v>70</v>
      </c>
      <c r="AF25" s="28" t="s">
        <v>75</v>
      </c>
      <c r="AG25" s="17">
        <f t="shared" si="10"/>
        <v>0</v>
      </c>
      <c r="AH25" s="17" t="str">
        <f>IFERROR((VLOOKUP(AG25,'DO NOT TOUCH'!$B$9:$C$14,2,TRUE)),"TBD")</f>
        <v>TBD</v>
      </c>
      <c r="AI25" s="17">
        <f t="shared" si="16"/>
        <v>0.5</v>
      </c>
      <c r="AJ25" s="17">
        <f>INPUT_OUTPUTS!$C$16</f>
        <v>140</v>
      </c>
      <c r="AK25" s="17">
        <f>INPUT_OUTPUTS!$C$17</f>
        <v>100</v>
      </c>
      <c r="AL25" s="17">
        <f t="shared" si="20"/>
        <v>55</v>
      </c>
      <c r="AM25" s="17">
        <f t="shared" si="20"/>
        <v>85</v>
      </c>
      <c r="AN25" s="17">
        <f t="shared" si="11"/>
        <v>0</v>
      </c>
      <c r="AO25" s="290">
        <f t="shared" si="17"/>
        <v>0</v>
      </c>
      <c r="AP25" s="290">
        <f t="shared" si="15"/>
        <v>0.5</v>
      </c>
      <c r="AQ25" s="290">
        <f t="shared" si="18"/>
        <v>5</v>
      </c>
      <c r="AR25" s="290" t="str">
        <f>IFERROR((_xlfn.XLOOKUP(AH25,'DO NOT TOUCH'!$C$9:$C$14,'DO NOT TOUCH'!$D$9:$D$14,)),"TBD")</f>
        <v>TBD</v>
      </c>
      <c r="AS25" s="290">
        <f>INPUT_OUTPUTS!$C$19</f>
        <v>0</v>
      </c>
      <c r="AT25" s="275" t="str">
        <f t="shared" si="19"/>
        <v>1, 2</v>
      </c>
    </row>
    <row r="26" spans="2:46" ht="15" customHeight="1">
      <c r="T26" s="74"/>
      <c r="U26" s="74"/>
      <c r="V26" s="74"/>
      <c r="W26" s="74"/>
      <c r="AD26" s="31" t="s">
        <v>102</v>
      </c>
      <c r="AE26" s="28" t="s">
        <v>70</v>
      </c>
      <c r="AF26" s="28" t="s">
        <v>75</v>
      </c>
      <c r="AG26" s="17">
        <f t="shared" si="10"/>
        <v>0</v>
      </c>
      <c r="AH26" s="17" t="str">
        <f>IFERROR((VLOOKUP(AG26,'DO NOT TOUCH'!$B$9:$C$14,2,TRUE)),"TBD")</f>
        <v>TBD</v>
      </c>
      <c r="AI26" s="17">
        <f t="shared" si="16"/>
        <v>0.5</v>
      </c>
      <c r="AJ26" s="17">
        <f>INPUT_OUTPUTS!$C$16</f>
        <v>140</v>
      </c>
      <c r="AK26" s="17">
        <f>INPUT_OUTPUTS!$C$17</f>
        <v>100</v>
      </c>
      <c r="AL26" s="17">
        <f t="shared" si="20"/>
        <v>55</v>
      </c>
      <c r="AM26" s="17">
        <f t="shared" si="20"/>
        <v>85</v>
      </c>
      <c r="AN26" s="17">
        <f t="shared" si="11"/>
        <v>0</v>
      </c>
      <c r="AO26" s="290">
        <f t="shared" si="17"/>
        <v>0</v>
      </c>
      <c r="AP26" s="290">
        <f t="shared" si="15"/>
        <v>0.5</v>
      </c>
      <c r="AQ26" s="290">
        <f t="shared" si="18"/>
        <v>5</v>
      </c>
      <c r="AR26" s="290" t="str">
        <f>IFERROR((_xlfn.XLOOKUP(AH26,'DO NOT TOUCH'!$C$9:$C$14,'DO NOT TOUCH'!$D$9:$D$14,)),"TBD")</f>
        <v>TBD</v>
      </c>
      <c r="AS26" s="290">
        <f>INPUT_OUTPUTS!$C$19</f>
        <v>0</v>
      </c>
      <c r="AT26" s="275" t="str">
        <f t="shared" si="19"/>
        <v>1, 2</v>
      </c>
    </row>
    <row r="27" spans="2:46" ht="15" customHeight="1">
      <c r="AD27" s="31" t="s">
        <v>103</v>
      </c>
      <c r="AE27" s="28" t="s">
        <v>70</v>
      </c>
      <c r="AF27" s="28" t="s">
        <v>75</v>
      </c>
      <c r="AG27" s="17">
        <f t="shared" si="10"/>
        <v>0</v>
      </c>
      <c r="AH27" s="17" t="str">
        <f>IFERROR((VLOOKUP(AG27,'DO NOT TOUCH'!$B$9:$C$14,2,TRUE)),"TBD")</f>
        <v>TBD</v>
      </c>
      <c r="AI27" s="17">
        <f t="shared" si="16"/>
        <v>0.5</v>
      </c>
      <c r="AJ27" s="17">
        <f>INPUT_OUTPUTS!$C$16</f>
        <v>140</v>
      </c>
      <c r="AK27" s="17">
        <f>INPUT_OUTPUTS!$C$17</f>
        <v>100</v>
      </c>
      <c r="AL27" s="17">
        <f t="shared" si="20"/>
        <v>55</v>
      </c>
      <c r="AM27" s="17">
        <f t="shared" si="20"/>
        <v>85</v>
      </c>
      <c r="AN27" s="17">
        <f t="shared" si="11"/>
        <v>0</v>
      </c>
      <c r="AO27" s="290">
        <f t="shared" si="17"/>
        <v>0</v>
      </c>
      <c r="AP27" s="290">
        <f t="shared" si="15"/>
        <v>0.5</v>
      </c>
      <c r="AQ27" s="290">
        <f t="shared" si="18"/>
        <v>5</v>
      </c>
      <c r="AR27" s="290" t="str">
        <f>IFERROR((_xlfn.XLOOKUP(AH27,'DO NOT TOUCH'!$C$9:$C$14,'DO NOT TOUCH'!$D$9:$D$14,)),"TBD")</f>
        <v>TBD</v>
      </c>
      <c r="AS27" s="290">
        <f>INPUT_OUTPUTS!$C$19</f>
        <v>0</v>
      </c>
      <c r="AT27" s="275" t="str">
        <f t="shared" si="19"/>
        <v>1, 2</v>
      </c>
    </row>
    <row r="28" spans="2:46" ht="15" customHeight="1">
      <c r="AD28" s="31" t="s">
        <v>104</v>
      </c>
      <c r="AE28" s="28" t="s">
        <v>70</v>
      </c>
      <c r="AF28" s="28" t="s">
        <v>75</v>
      </c>
      <c r="AG28" s="17">
        <f t="shared" si="10"/>
        <v>0</v>
      </c>
      <c r="AH28" s="17" t="str">
        <f>IFERROR((VLOOKUP(AG28,'DO NOT TOUCH'!$B$9:$C$14,2,TRUE)),"TBD")</f>
        <v>TBD</v>
      </c>
      <c r="AI28" s="17">
        <f t="shared" si="16"/>
        <v>0.5</v>
      </c>
      <c r="AJ28" s="17">
        <f>INPUT_OUTPUTS!$C$16</f>
        <v>140</v>
      </c>
      <c r="AK28" s="17">
        <f>INPUT_OUTPUTS!$C$17</f>
        <v>100</v>
      </c>
      <c r="AL28" s="17">
        <f t="shared" si="20"/>
        <v>55</v>
      </c>
      <c r="AM28" s="17">
        <f t="shared" si="20"/>
        <v>85</v>
      </c>
      <c r="AN28" s="17">
        <f t="shared" si="11"/>
        <v>0</v>
      </c>
      <c r="AO28" s="290">
        <f t="shared" si="17"/>
        <v>0</v>
      </c>
      <c r="AP28" s="290">
        <f t="shared" si="15"/>
        <v>0.5</v>
      </c>
      <c r="AQ28" s="290">
        <f t="shared" si="18"/>
        <v>5</v>
      </c>
      <c r="AR28" s="290" t="str">
        <f>IFERROR((_xlfn.XLOOKUP(AH28,'DO NOT TOUCH'!$C$9:$C$14,'DO NOT TOUCH'!$D$9:$D$14,)),"TBD")</f>
        <v>TBD</v>
      </c>
      <c r="AS28" s="290">
        <f>INPUT_OUTPUTS!$C$19</f>
        <v>0</v>
      </c>
      <c r="AT28" s="275" t="str">
        <f t="shared" si="19"/>
        <v>1, 2</v>
      </c>
    </row>
    <row r="29" spans="2:46" ht="15" customHeight="1">
      <c r="AD29" s="31" t="s">
        <v>105</v>
      </c>
      <c r="AE29" s="28" t="s">
        <v>70</v>
      </c>
      <c r="AF29" s="28" t="s">
        <v>75</v>
      </c>
      <c r="AG29" s="17">
        <f t="shared" si="10"/>
        <v>0</v>
      </c>
      <c r="AH29" s="17" t="str">
        <f>IFERROR((VLOOKUP(AG29,'DO NOT TOUCH'!$B$9:$C$14,2,TRUE)),"TBD")</f>
        <v>TBD</v>
      </c>
      <c r="AI29" s="17">
        <f t="shared" si="16"/>
        <v>0.5</v>
      </c>
      <c r="AJ29" s="17">
        <f>INPUT_OUTPUTS!$C$16</f>
        <v>140</v>
      </c>
      <c r="AK29" s="17">
        <f>INPUT_OUTPUTS!$C$17</f>
        <v>100</v>
      </c>
      <c r="AL29" s="17">
        <f t="shared" si="20"/>
        <v>55</v>
      </c>
      <c r="AM29" s="17">
        <f t="shared" si="20"/>
        <v>85</v>
      </c>
      <c r="AN29" s="17">
        <f t="shared" si="11"/>
        <v>0</v>
      </c>
      <c r="AO29" s="290">
        <f t="shared" si="17"/>
        <v>0</v>
      </c>
      <c r="AP29" s="290">
        <f t="shared" si="15"/>
        <v>0.5</v>
      </c>
      <c r="AQ29" s="290">
        <f t="shared" si="18"/>
        <v>5</v>
      </c>
      <c r="AR29" s="290" t="str">
        <f>IFERROR((_xlfn.XLOOKUP(AH29,'DO NOT TOUCH'!$C$9:$C$14,'DO NOT TOUCH'!$D$9:$D$14,)),"TBD")</f>
        <v>TBD</v>
      </c>
      <c r="AS29" s="290">
        <f>INPUT_OUTPUTS!$C$19</f>
        <v>0</v>
      </c>
      <c r="AT29" s="275" t="str">
        <f t="shared" si="19"/>
        <v>1, 2</v>
      </c>
    </row>
    <row r="30" spans="2:46" ht="15" customHeight="1">
      <c r="AD30" s="31" t="s">
        <v>106</v>
      </c>
      <c r="AE30" s="28" t="s">
        <v>70</v>
      </c>
      <c r="AF30" s="28" t="s">
        <v>75</v>
      </c>
      <c r="AG30" s="17">
        <f t="shared" si="10"/>
        <v>0</v>
      </c>
      <c r="AH30" s="17" t="str">
        <f>IFERROR((VLOOKUP(AG30,'DO NOT TOUCH'!$B$9:$C$14,2,TRUE)),"TBD")</f>
        <v>TBD</v>
      </c>
      <c r="AI30" s="17">
        <f t="shared" si="16"/>
        <v>0.5</v>
      </c>
      <c r="AJ30" s="17">
        <f>INPUT_OUTPUTS!$C$16</f>
        <v>140</v>
      </c>
      <c r="AK30" s="17">
        <f>INPUT_OUTPUTS!$C$17</f>
        <v>100</v>
      </c>
      <c r="AL30" s="17">
        <f t="shared" si="20"/>
        <v>55</v>
      </c>
      <c r="AM30" s="17">
        <f t="shared" si="20"/>
        <v>85</v>
      </c>
      <c r="AN30" s="17">
        <f t="shared" si="11"/>
        <v>0</v>
      </c>
      <c r="AO30" s="290">
        <f t="shared" si="17"/>
        <v>0</v>
      </c>
      <c r="AP30" s="290">
        <f t="shared" si="15"/>
        <v>0.5</v>
      </c>
      <c r="AQ30" s="290">
        <f t="shared" si="18"/>
        <v>5</v>
      </c>
      <c r="AR30" s="290" t="str">
        <f>IFERROR((_xlfn.XLOOKUP(AH30,'DO NOT TOUCH'!$C$9:$C$14,'DO NOT TOUCH'!$D$9:$D$14,)),"TBD")</f>
        <v>TBD</v>
      </c>
      <c r="AS30" s="290">
        <f>INPUT_OUTPUTS!$C$19</f>
        <v>0</v>
      </c>
      <c r="AT30" s="275" t="str">
        <f t="shared" si="19"/>
        <v>1, 2</v>
      </c>
    </row>
    <row r="31" spans="2:46" ht="15" customHeight="1">
      <c r="AD31" s="31" t="s">
        <v>107</v>
      </c>
      <c r="AE31" s="28" t="s">
        <v>70</v>
      </c>
      <c r="AF31" s="28" t="s">
        <v>75</v>
      </c>
      <c r="AG31" s="17">
        <f t="shared" si="10"/>
        <v>0</v>
      </c>
      <c r="AH31" s="17" t="str">
        <f>IFERROR((VLOOKUP(AG31,'DO NOT TOUCH'!$B$9:$C$14,2,TRUE)),"TBD")</f>
        <v>TBD</v>
      </c>
      <c r="AI31" s="17">
        <f t="shared" si="16"/>
        <v>0.5</v>
      </c>
      <c r="AJ31" s="17">
        <f>INPUT_OUTPUTS!$C$16</f>
        <v>140</v>
      </c>
      <c r="AK31" s="17">
        <f>INPUT_OUTPUTS!$C$17</f>
        <v>100</v>
      </c>
      <c r="AL31" s="17">
        <f t="shared" si="20"/>
        <v>55</v>
      </c>
      <c r="AM31" s="17">
        <f t="shared" si="20"/>
        <v>85</v>
      </c>
      <c r="AN31" s="17">
        <f t="shared" si="11"/>
        <v>0</v>
      </c>
      <c r="AO31" s="290">
        <f t="shared" si="17"/>
        <v>0</v>
      </c>
      <c r="AP31" s="290">
        <f t="shared" si="15"/>
        <v>0.5</v>
      </c>
      <c r="AQ31" s="290">
        <f t="shared" si="18"/>
        <v>5</v>
      </c>
      <c r="AR31" s="290" t="str">
        <f>IFERROR((_xlfn.XLOOKUP(AH31,'DO NOT TOUCH'!$C$9:$C$14,'DO NOT TOUCH'!$D$9:$D$14,)),"TBD")</f>
        <v>TBD</v>
      </c>
      <c r="AS31" s="290">
        <f>INPUT_OUTPUTS!$C$19</f>
        <v>0</v>
      </c>
      <c r="AT31" s="275" t="str">
        <f t="shared" si="19"/>
        <v>1, 2</v>
      </c>
    </row>
    <row r="32" spans="2:46" ht="15" customHeight="1">
      <c r="AD32" s="31" t="s">
        <v>108</v>
      </c>
      <c r="AE32" s="28" t="s">
        <v>70</v>
      </c>
      <c r="AF32" s="28" t="s">
        <v>75</v>
      </c>
      <c r="AG32" s="17">
        <f t="shared" si="10"/>
        <v>0</v>
      </c>
      <c r="AH32" s="17" t="str">
        <f>IFERROR((VLOOKUP(AG32,'DO NOT TOUCH'!$B$9:$C$14,2,TRUE)),"TBD")</f>
        <v>TBD</v>
      </c>
      <c r="AI32" s="17">
        <f t="shared" si="16"/>
        <v>0.5</v>
      </c>
      <c r="AJ32" s="17">
        <f>INPUT_OUTPUTS!$C$16</f>
        <v>140</v>
      </c>
      <c r="AK32" s="17">
        <f>INPUT_OUTPUTS!$C$17</f>
        <v>100</v>
      </c>
      <c r="AL32" s="17">
        <f t="shared" si="20"/>
        <v>55</v>
      </c>
      <c r="AM32" s="17">
        <f t="shared" si="20"/>
        <v>85</v>
      </c>
      <c r="AN32" s="17">
        <f t="shared" si="11"/>
        <v>0</v>
      </c>
      <c r="AO32" s="290">
        <f t="shared" si="17"/>
        <v>0</v>
      </c>
      <c r="AP32" s="290">
        <f t="shared" si="15"/>
        <v>0.5</v>
      </c>
      <c r="AQ32" s="290">
        <f t="shared" si="18"/>
        <v>5</v>
      </c>
      <c r="AR32" s="290" t="str">
        <f>IFERROR((_xlfn.XLOOKUP(AH32,'DO NOT TOUCH'!$C$9:$C$14,'DO NOT TOUCH'!$D$9:$D$14,)),"TBD")</f>
        <v>TBD</v>
      </c>
      <c r="AS32" s="290">
        <f>INPUT_OUTPUTS!$C$19</f>
        <v>0</v>
      </c>
      <c r="AT32" s="275" t="str">
        <f t="shared" si="19"/>
        <v>1, 2</v>
      </c>
    </row>
    <row r="33" spans="30:46" ht="15" customHeight="1">
      <c r="AD33" s="31" t="s">
        <v>109</v>
      </c>
      <c r="AE33" s="28" t="s">
        <v>70</v>
      </c>
      <c r="AF33" s="28" t="s">
        <v>75</v>
      </c>
      <c r="AG33" s="17">
        <f t="shared" si="10"/>
        <v>0</v>
      </c>
      <c r="AH33" s="17" t="str">
        <f>IFERROR((VLOOKUP(AG33,'DO NOT TOUCH'!$B$9:$C$14,2,TRUE)),"TBD")</f>
        <v>TBD</v>
      </c>
      <c r="AI33" s="17">
        <f t="shared" si="16"/>
        <v>0.5</v>
      </c>
      <c r="AJ33" s="17">
        <f>INPUT_OUTPUTS!$C$16</f>
        <v>140</v>
      </c>
      <c r="AK33" s="17">
        <f>INPUT_OUTPUTS!$C$17</f>
        <v>100</v>
      </c>
      <c r="AL33" s="17">
        <f t="shared" si="20"/>
        <v>55</v>
      </c>
      <c r="AM33" s="17">
        <f t="shared" si="20"/>
        <v>85</v>
      </c>
      <c r="AN33" s="17">
        <f t="shared" si="11"/>
        <v>0</v>
      </c>
      <c r="AO33" s="290">
        <f t="shared" si="17"/>
        <v>0</v>
      </c>
      <c r="AP33" s="290">
        <f t="shared" si="15"/>
        <v>0.5</v>
      </c>
      <c r="AQ33" s="290">
        <f t="shared" si="18"/>
        <v>5</v>
      </c>
      <c r="AR33" s="290" t="str">
        <f>IFERROR((_xlfn.XLOOKUP(AH33,'DO NOT TOUCH'!$C$9:$C$14,'DO NOT TOUCH'!$D$9:$D$14,)),"TBD")</f>
        <v>TBD</v>
      </c>
      <c r="AS33" s="290">
        <f>INPUT_OUTPUTS!$C$19</f>
        <v>0</v>
      </c>
      <c r="AT33" s="275" t="str">
        <f t="shared" si="19"/>
        <v>1, 2</v>
      </c>
    </row>
    <row r="34" spans="30:46" ht="15" customHeight="1">
      <c r="AD34" s="31" t="s">
        <v>110</v>
      </c>
      <c r="AE34" s="28" t="s">
        <v>70</v>
      </c>
      <c r="AF34" s="28" t="s">
        <v>75</v>
      </c>
      <c r="AG34" s="17">
        <f t="shared" si="10"/>
        <v>0</v>
      </c>
      <c r="AH34" s="17" t="str">
        <f>IFERROR((VLOOKUP(AG34,'DO NOT TOUCH'!$B$9:$C$14,2,TRUE)),"TBD")</f>
        <v>TBD</v>
      </c>
      <c r="AI34" s="17">
        <f t="shared" si="16"/>
        <v>0.5</v>
      </c>
      <c r="AJ34" s="17">
        <f>INPUT_OUTPUTS!$C$16</f>
        <v>140</v>
      </c>
      <c r="AK34" s="17">
        <f>INPUT_OUTPUTS!$C$17</f>
        <v>100</v>
      </c>
      <c r="AL34" s="17">
        <f t="shared" si="20"/>
        <v>55</v>
      </c>
      <c r="AM34" s="17">
        <f t="shared" si="20"/>
        <v>85</v>
      </c>
      <c r="AN34" s="17">
        <f t="shared" si="11"/>
        <v>0</v>
      </c>
      <c r="AO34" s="290">
        <f t="shared" si="17"/>
        <v>0</v>
      </c>
      <c r="AP34" s="290">
        <f t="shared" si="15"/>
        <v>0.5</v>
      </c>
      <c r="AQ34" s="290">
        <f t="shared" si="18"/>
        <v>5</v>
      </c>
      <c r="AR34" s="290" t="str">
        <f>IFERROR((_xlfn.XLOOKUP(AH34,'DO NOT TOUCH'!$C$9:$C$14,'DO NOT TOUCH'!$D$9:$D$14,)),"TBD")</f>
        <v>TBD</v>
      </c>
      <c r="AS34" s="290">
        <f>INPUT_OUTPUTS!$C$19</f>
        <v>0</v>
      </c>
      <c r="AT34" s="275" t="str">
        <f t="shared" si="19"/>
        <v>1, 2</v>
      </c>
    </row>
    <row r="35" spans="30:46" ht="15" customHeight="1">
      <c r="AD35" s="31" t="s">
        <v>111</v>
      </c>
      <c r="AE35" s="28" t="s">
        <v>70</v>
      </c>
      <c r="AF35" s="28" t="s">
        <v>75</v>
      </c>
      <c r="AG35" s="17">
        <f t="shared" si="10"/>
        <v>0</v>
      </c>
      <c r="AH35" s="17" t="str">
        <f>IFERROR((VLOOKUP(AG35,'DO NOT TOUCH'!$B$9:$C$14,2,TRUE)),"TBD")</f>
        <v>TBD</v>
      </c>
      <c r="AI35" s="17">
        <f t="shared" si="16"/>
        <v>0.5</v>
      </c>
      <c r="AJ35" s="17">
        <f>INPUT_OUTPUTS!$C$16</f>
        <v>140</v>
      </c>
      <c r="AK35" s="17">
        <f>INPUT_OUTPUTS!$C$17</f>
        <v>100</v>
      </c>
      <c r="AL35" s="17">
        <f t="shared" si="20"/>
        <v>55</v>
      </c>
      <c r="AM35" s="17">
        <f t="shared" si="20"/>
        <v>85</v>
      </c>
      <c r="AN35" s="17">
        <f t="shared" si="11"/>
        <v>0</v>
      </c>
      <c r="AO35" s="290">
        <f t="shared" si="17"/>
        <v>0</v>
      </c>
      <c r="AP35" s="290">
        <f t="shared" si="15"/>
        <v>0.5</v>
      </c>
      <c r="AQ35" s="290">
        <f t="shared" si="18"/>
        <v>5</v>
      </c>
      <c r="AR35" s="290" t="str">
        <f>IFERROR((_xlfn.XLOOKUP(AH35,'DO NOT TOUCH'!$C$9:$C$14,'DO NOT TOUCH'!$D$9:$D$14,)),"TBD")</f>
        <v>TBD</v>
      </c>
      <c r="AS35" s="290">
        <f>INPUT_OUTPUTS!$C$19</f>
        <v>0</v>
      </c>
      <c r="AT35" s="275" t="str">
        <f t="shared" si="19"/>
        <v>1, 2</v>
      </c>
    </row>
    <row r="36" spans="30:46" ht="15" customHeight="1">
      <c r="AD36" s="31" t="s">
        <v>112</v>
      </c>
      <c r="AE36" s="28" t="s">
        <v>70</v>
      </c>
      <c r="AF36" s="28" t="s">
        <v>75</v>
      </c>
      <c r="AG36" s="17">
        <f t="shared" si="10"/>
        <v>0</v>
      </c>
      <c r="AH36" s="17" t="str">
        <f>IFERROR((VLOOKUP(AG36,'DO NOT TOUCH'!$B$9:$C$14,2,TRUE)),"TBD")</f>
        <v>TBD</v>
      </c>
      <c r="AI36" s="17">
        <f t="shared" si="16"/>
        <v>0.5</v>
      </c>
      <c r="AJ36" s="17">
        <f>INPUT_OUTPUTS!$C$16</f>
        <v>140</v>
      </c>
      <c r="AK36" s="17">
        <f>INPUT_OUTPUTS!$C$17</f>
        <v>100</v>
      </c>
      <c r="AL36" s="17">
        <f t="shared" si="20"/>
        <v>55</v>
      </c>
      <c r="AM36" s="17">
        <f t="shared" si="20"/>
        <v>85</v>
      </c>
      <c r="AN36" s="17">
        <f t="shared" si="11"/>
        <v>0</v>
      </c>
      <c r="AO36" s="290">
        <f t="shared" si="17"/>
        <v>0</v>
      </c>
      <c r="AP36" s="290">
        <f t="shared" si="15"/>
        <v>0.5</v>
      </c>
      <c r="AQ36" s="290">
        <f t="shared" si="18"/>
        <v>5</v>
      </c>
      <c r="AR36" s="290" t="str">
        <f>IFERROR((_xlfn.XLOOKUP(AH36,'DO NOT TOUCH'!$C$9:$C$14,'DO NOT TOUCH'!$D$9:$D$14,)),"TBD")</f>
        <v>TBD</v>
      </c>
      <c r="AS36" s="290">
        <f>INPUT_OUTPUTS!$C$19</f>
        <v>0</v>
      </c>
      <c r="AT36" s="275" t="str">
        <f t="shared" si="19"/>
        <v>1, 2</v>
      </c>
    </row>
    <row r="37" spans="30:46" ht="15" customHeight="1">
      <c r="AD37" s="31" t="s">
        <v>113</v>
      </c>
      <c r="AE37" s="28" t="s">
        <v>70</v>
      </c>
      <c r="AF37" s="28" t="s">
        <v>75</v>
      </c>
      <c r="AG37" s="17">
        <f t="shared" si="10"/>
        <v>0</v>
      </c>
      <c r="AH37" s="17" t="str">
        <f>IFERROR((VLOOKUP(AG37,'DO NOT TOUCH'!$B$9:$C$14,2,TRUE)),"TBD")</f>
        <v>TBD</v>
      </c>
      <c r="AI37" s="17">
        <f t="shared" si="16"/>
        <v>0.5</v>
      </c>
      <c r="AJ37" s="17">
        <f>INPUT_OUTPUTS!$C$16</f>
        <v>140</v>
      </c>
      <c r="AK37" s="17">
        <f>INPUT_OUTPUTS!$C$17</f>
        <v>100</v>
      </c>
      <c r="AL37" s="17">
        <f t="shared" si="20"/>
        <v>55</v>
      </c>
      <c r="AM37" s="17">
        <f t="shared" si="20"/>
        <v>85</v>
      </c>
      <c r="AN37" s="17">
        <f t="shared" si="11"/>
        <v>0</v>
      </c>
      <c r="AO37" s="290">
        <f t="shared" si="17"/>
        <v>0</v>
      </c>
      <c r="AP37" s="290">
        <f t="shared" si="15"/>
        <v>0.5</v>
      </c>
      <c r="AQ37" s="290">
        <f t="shared" si="18"/>
        <v>5</v>
      </c>
      <c r="AR37" s="290" t="str">
        <f>IFERROR((_xlfn.XLOOKUP(AH37,'DO NOT TOUCH'!$C$9:$C$14,'DO NOT TOUCH'!$D$9:$D$14,)),"TBD")</f>
        <v>TBD</v>
      </c>
      <c r="AS37" s="290">
        <f>INPUT_OUTPUTS!$C$19</f>
        <v>0</v>
      </c>
      <c r="AT37" s="275" t="str">
        <f t="shared" si="19"/>
        <v>1, 2</v>
      </c>
    </row>
    <row r="38" spans="30:46" ht="15" customHeight="1">
      <c r="AD38" s="31" t="s">
        <v>114</v>
      </c>
      <c r="AE38" s="28" t="s">
        <v>70</v>
      </c>
      <c r="AF38" s="28" t="s">
        <v>75</v>
      </c>
      <c r="AG38" s="17">
        <f t="shared" si="10"/>
        <v>0</v>
      </c>
      <c r="AH38" s="17" t="str">
        <f>IFERROR((VLOOKUP(AG38,'DO NOT TOUCH'!$B$9:$C$14,2,TRUE)),"TBD")</f>
        <v>TBD</v>
      </c>
      <c r="AI38" s="17">
        <f t="shared" si="16"/>
        <v>0.5</v>
      </c>
      <c r="AJ38" s="17">
        <f>INPUT_OUTPUTS!$C$16</f>
        <v>140</v>
      </c>
      <c r="AK38" s="17">
        <f>INPUT_OUTPUTS!$C$17</f>
        <v>100</v>
      </c>
      <c r="AL38" s="17">
        <f t="shared" si="20"/>
        <v>55</v>
      </c>
      <c r="AM38" s="17">
        <f t="shared" si="20"/>
        <v>85</v>
      </c>
      <c r="AN38" s="17">
        <f t="shared" si="11"/>
        <v>0</v>
      </c>
      <c r="AO38" s="290">
        <f t="shared" si="17"/>
        <v>0</v>
      </c>
      <c r="AP38" s="290">
        <f t="shared" si="15"/>
        <v>0.5</v>
      </c>
      <c r="AQ38" s="290">
        <f t="shared" si="18"/>
        <v>5</v>
      </c>
      <c r="AR38" s="290" t="str">
        <f>IFERROR((_xlfn.XLOOKUP(AH38,'DO NOT TOUCH'!$C$9:$C$14,'DO NOT TOUCH'!$D$9:$D$14,)),"TBD")</f>
        <v>TBD</v>
      </c>
      <c r="AS38" s="290">
        <f>INPUT_OUTPUTS!$C$19</f>
        <v>0</v>
      </c>
      <c r="AT38" s="275" t="str">
        <f t="shared" si="19"/>
        <v>1, 2</v>
      </c>
    </row>
    <row r="39" spans="30:46" ht="15" customHeight="1">
      <c r="AD39" s="31" t="s">
        <v>115</v>
      </c>
      <c r="AE39" s="28" t="s">
        <v>70</v>
      </c>
      <c r="AF39" s="28" t="s">
        <v>75</v>
      </c>
      <c r="AG39" s="17">
        <f t="shared" si="10"/>
        <v>0</v>
      </c>
      <c r="AH39" s="17" t="str">
        <f>IFERROR((VLOOKUP(AG39,'DO NOT TOUCH'!$B$9:$C$14,2,TRUE)),"TBD")</f>
        <v>TBD</v>
      </c>
      <c r="AI39" s="17">
        <f t="shared" si="16"/>
        <v>0.5</v>
      </c>
      <c r="AJ39" s="17">
        <f>INPUT_OUTPUTS!$C$16</f>
        <v>140</v>
      </c>
      <c r="AK39" s="17">
        <f>INPUT_OUTPUTS!$C$17</f>
        <v>100</v>
      </c>
      <c r="AL39" s="17">
        <f t="shared" si="20"/>
        <v>55</v>
      </c>
      <c r="AM39" s="17">
        <f t="shared" si="20"/>
        <v>85</v>
      </c>
      <c r="AN39" s="17">
        <f t="shared" si="11"/>
        <v>0</v>
      </c>
      <c r="AO39" s="290">
        <f t="shared" si="17"/>
        <v>0</v>
      </c>
      <c r="AP39" s="290">
        <f t="shared" si="15"/>
        <v>0.5</v>
      </c>
      <c r="AQ39" s="290">
        <f t="shared" si="18"/>
        <v>5</v>
      </c>
      <c r="AR39" s="290" t="str">
        <f>IFERROR((_xlfn.XLOOKUP(AH39,'DO NOT TOUCH'!$C$9:$C$14,'DO NOT TOUCH'!$D$9:$D$14,)),"TBD")</f>
        <v>TBD</v>
      </c>
      <c r="AS39" s="290">
        <f>INPUT_OUTPUTS!$C$19</f>
        <v>0</v>
      </c>
      <c r="AT39" s="275" t="str">
        <f t="shared" si="19"/>
        <v>1, 2</v>
      </c>
    </row>
    <row r="40" spans="30:46" ht="15" customHeight="1">
      <c r="AD40" s="31" t="s">
        <v>116</v>
      </c>
      <c r="AE40" s="28" t="s">
        <v>70</v>
      </c>
      <c r="AF40" s="28" t="s">
        <v>75</v>
      </c>
      <c r="AG40" s="17">
        <f t="shared" si="10"/>
        <v>0</v>
      </c>
      <c r="AH40" s="17" t="str">
        <f>IFERROR((VLOOKUP(AG40,'DO NOT TOUCH'!$B$9:$C$14,2,TRUE)),"TBD")</f>
        <v>TBD</v>
      </c>
      <c r="AI40" s="17">
        <f t="shared" si="16"/>
        <v>0.5</v>
      </c>
      <c r="AJ40" s="17">
        <f>INPUT_OUTPUTS!$C$16</f>
        <v>140</v>
      </c>
      <c r="AK40" s="17">
        <f>INPUT_OUTPUTS!$C$17</f>
        <v>100</v>
      </c>
      <c r="AL40" s="17">
        <f t="shared" ref="AL40:AM44" si="21">AL39</f>
        <v>55</v>
      </c>
      <c r="AM40" s="17">
        <f t="shared" si="21"/>
        <v>85</v>
      </c>
      <c r="AN40" s="17">
        <f t="shared" si="11"/>
        <v>0</v>
      </c>
      <c r="AO40" s="290">
        <f t="shared" si="17"/>
        <v>0</v>
      </c>
      <c r="AP40" s="290">
        <f t="shared" si="15"/>
        <v>0.5</v>
      </c>
      <c r="AQ40" s="290">
        <f t="shared" si="18"/>
        <v>5</v>
      </c>
      <c r="AR40" s="290" t="str">
        <f>IFERROR((_xlfn.XLOOKUP(AH40,'DO NOT TOUCH'!$C$9:$C$14,'DO NOT TOUCH'!$D$9:$D$14,)),"TBD")</f>
        <v>TBD</v>
      </c>
      <c r="AS40" s="290">
        <f>INPUT_OUTPUTS!$C$19</f>
        <v>0</v>
      </c>
      <c r="AT40" s="275" t="str">
        <f t="shared" si="19"/>
        <v>1, 2</v>
      </c>
    </row>
    <row r="41" spans="30:46" ht="15" customHeight="1">
      <c r="AD41" s="31" t="s">
        <v>117</v>
      </c>
      <c r="AE41" s="28" t="s">
        <v>70</v>
      </c>
      <c r="AF41" s="28" t="s">
        <v>75</v>
      </c>
      <c r="AG41" s="17">
        <f t="shared" si="10"/>
        <v>0</v>
      </c>
      <c r="AH41" s="17" t="str">
        <f>IFERROR((VLOOKUP(AG41,'DO NOT TOUCH'!$B$9:$C$14,2,TRUE)),"TBD")</f>
        <v>TBD</v>
      </c>
      <c r="AI41" s="17">
        <f t="shared" si="16"/>
        <v>0.5</v>
      </c>
      <c r="AJ41" s="17">
        <f>INPUT_OUTPUTS!$C$16</f>
        <v>140</v>
      </c>
      <c r="AK41" s="17">
        <f>INPUT_OUTPUTS!$C$17</f>
        <v>100</v>
      </c>
      <c r="AL41" s="17">
        <f t="shared" si="21"/>
        <v>55</v>
      </c>
      <c r="AM41" s="17">
        <f t="shared" si="21"/>
        <v>85</v>
      </c>
      <c r="AN41" s="17">
        <f t="shared" si="11"/>
        <v>0</v>
      </c>
      <c r="AO41" s="290">
        <f t="shared" si="17"/>
        <v>0</v>
      </c>
      <c r="AP41" s="290">
        <f t="shared" si="15"/>
        <v>0.5</v>
      </c>
      <c r="AQ41" s="290">
        <f t="shared" si="18"/>
        <v>5</v>
      </c>
      <c r="AR41" s="290" t="str">
        <f>IFERROR((_xlfn.XLOOKUP(AH41,'DO NOT TOUCH'!$C$9:$C$14,'DO NOT TOUCH'!$D$9:$D$14,)),"TBD")</f>
        <v>TBD</v>
      </c>
      <c r="AS41" s="290">
        <f>INPUT_OUTPUTS!$C$19</f>
        <v>0</v>
      </c>
      <c r="AT41" s="275" t="str">
        <f t="shared" si="19"/>
        <v>1, 2</v>
      </c>
    </row>
    <row r="42" spans="30:46" ht="15" customHeight="1">
      <c r="AD42" s="31" t="s">
        <v>118</v>
      </c>
      <c r="AE42" s="28" t="s">
        <v>70</v>
      </c>
      <c r="AF42" s="28" t="s">
        <v>75</v>
      </c>
      <c r="AG42" s="17">
        <f t="shared" si="10"/>
        <v>0</v>
      </c>
      <c r="AH42" s="17" t="str">
        <f>IFERROR((VLOOKUP(AG42,'DO NOT TOUCH'!$B$9:$C$14,2,TRUE)),"TBD")</f>
        <v>TBD</v>
      </c>
      <c r="AI42" s="17">
        <f t="shared" si="16"/>
        <v>0.5</v>
      </c>
      <c r="AJ42" s="17">
        <f>INPUT_OUTPUTS!$C$16</f>
        <v>140</v>
      </c>
      <c r="AK42" s="17">
        <f>INPUT_OUTPUTS!$C$17</f>
        <v>100</v>
      </c>
      <c r="AL42" s="17">
        <f t="shared" si="21"/>
        <v>55</v>
      </c>
      <c r="AM42" s="17">
        <f t="shared" si="21"/>
        <v>85</v>
      </c>
      <c r="AN42" s="17">
        <f t="shared" si="11"/>
        <v>0</v>
      </c>
      <c r="AO42" s="290">
        <f t="shared" si="17"/>
        <v>0</v>
      </c>
      <c r="AP42" s="290">
        <f t="shared" si="15"/>
        <v>0.5</v>
      </c>
      <c r="AQ42" s="290">
        <f t="shared" si="18"/>
        <v>5</v>
      </c>
      <c r="AR42" s="290" t="str">
        <f>IFERROR((_xlfn.XLOOKUP(AH42,'DO NOT TOUCH'!$C$9:$C$14,'DO NOT TOUCH'!$D$9:$D$14,)),"TBD")</f>
        <v>TBD</v>
      </c>
      <c r="AS42" s="290">
        <f>INPUT_OUTPUTS!$C$19</f>
        <v>0</v>
      </c>
      <c r="AT42" s="275" t="str">
        <f t="shared" si="19"/>
        <v>1, 2</v>
      </c>
    </row>
    <row r="43" spans="30:46" ht="15" customHeight="1">
      <c r="AD43" s="31" t="s">
        <v>119</v>
      </c>
      <c r="AE43" s="28" t="s">
        <v>70</v>
      </c>
      <c r="AF43" s="28" t="s">
        <v>75</v>
      </c>
      <c r="AG43" s="17">
        <f t="shared" si="10"/>
        <v>0</v>
      </c>
      <c r="AH43" s="17" t="str">
        <f>IFERROR((VLOOKUP(AG43,'DO NOT TOUCH'!$B$9:$C$14,2,TRUE)),"TBD")</f>
        <v>TBD</v>
      </c>
      <c r="AI43" s="17">
        <f t="shared" si="16"/>
        <v>0.5</v>
      </c>
      <c r="AJ43" s="17">
        <f>INPUT_OUTPUTS!$C$16</f>
        <v>140</v>
      </c>
      <c r="AK43" s="17">
        <f>INPUT_OUTPUTS!$C$17</f>
        <v>100</v>
      </c>
      <c r="AL43" s="17">
        <f t="shared" si="21"/>
        <v>55</v>
      </c>
      <c r="AM43" s="17">
        <f t="shared" si="21"/>
        <v>85</v>
      </c>
      <c r="AN43" s="17">
        <f t="shared" si="11"/>
        <v>0</v>
      </c>
      <c r="AO43" s="290">
        <f t="shared" si="17"/>
        <v>0</v>
      </c>
      <c r="AP43" s="290">
        <f t="shared" si="15"/>
        <v>0.5</v>
      </c>
      <c r="AQ43" s="290">
        <f t="shared" si="18"/>
        <v>5</v>
      </c>
      <c r="AR43" s="290" t="str">
        <f>IFERROR((_xlfn.XLOOKUP(AH43,'DO NOT TOUCH'!$C$9:$C$14,'DO NOT TOUCH'!$D$9:$D$14,)),"TBD")</f>
        <v>TBD</v>
      </c>
      <c r="AS43" s="290">
        <f>INPUT_OUTPUTS!$C$19</f>
        <v>0</v>
      </c>
      <c r="AT43" s="275" t="str">
        <f t="shared" si="19"/>
        <v>1, 2</v>
      </c>
    </row>
    <row r="44" spans="30:46" ht="15" customHeight="1">
      <c r="AD44" s="33" t="s">
        <v>120</v>
      </c>
      <c r="AE44" s="34" t="s">
        <v>70</v>
      </c>
      <c r="AF44" s="34" t="s">
        <v>75</v>
      </c>
      <c r="AG44" s="291">
        <f t="shared" si="10"/>
        <v>0</v>
      </c>
      <c r="AH44" s="291" t="str">
        <f>IFERROR((VLOOKUP(AG44,'DO NOT TOUCH'!$B$9:$C$14,2,TRUE)),"TBD")</f>
        <v>TBD</v>
      </c>
      <c r="AI44" s="291">
        <f t="shared" si="16"/>
        <v>0.5</v>
      </c>
      <c r="AJ44" s="291">
        <f>INPUT_OUTPUTS!$C$16</f>
        <v>140</v>
      </c>
      <c r="AK44" s="291">
        <f>INPUT_OUTPUTS!$C$17</f>
        <v>100</v>
      </c>
      <c r="AL44" s="291">
        <f t="shared" si="21"/>
        <v>55</v>
      </c>
      <c r="AM44" s="291">
        <f t="shared" si="21"/>
        <v>85</v>
      </c>
      <c r="AN44" s="291">
        <f t="shared" si="11"/>
        <v>0</v>
      </c>
      <c r="AO44" s="292">
        <f t="shared" si="17"/>
        <v>0</v>
      </c>
      <c r="AP44" s="292">
        <f t="shared" si="15"/>
        <v>0.5</v>
      </c>
      <c r="AQ44" s="292">
        <f t="shared" si="18"/>
        <v>5</v>
      </c>
      <c r="AR44" s="292" t="str">
        <f>IFERROR((_xlfn.XLOOKUP(AH44,'DO NOT TOUCH'!$C$9:$C$14,'DO NOT TOUCH'!$D$9:$D$14,)),"TBD")</f>
        <v>TBD</v>
      </c>
      <c r="AS44" s="290">
        <f>INPUT_OUTPUTS!$C$19</f>
        <v>0</v>
      </c>
      <c r="AT44" s="293" t="str">
        <f t="shared" si="19"/>
        <v>1, 2</v>
      </c>
    </row>
    <row r="45" spans="30:46" ht="15" customHeight="1">
      <c r="AD45" s="42" t="s">
        <v>131</v>
      </c>
      <c r="AE45" s="43"/>
      <c r="AF45" s="43"/>
      <c r="AG45" s="44"/>
      <c r="AH45" s="44"/>
      <c r="AI45" s="44"/>
      <c r="AJ45" s="44"/>
      <c r="AK45" s="44"/>
      <c r="AL45" s="44"/>
      <c r="AM45" s="44"/>
      <c r="AN45" s="44">
        <f>SUBTOTAL(109,AHU1_CAV_SCHEDULE4411[MIN MBH])</f>
        <v>0</v>
      </c>
      <c r="AO45" s="44"/>
      <c r="AP45" s="46">
        <f>SUBTOTAL(109,AHU1_CAV_SCHEDULE4411[GPM])</f>
        <v>19</v>
      </c>
      <c r="AQ45" s="44"/>
      <c r="AR45" s="44"/>
      <c r="AS45" s="44"/>
      <c r="AT45" s="45"/>
    </row>
    <row r="46" spans="30:46" ht="15" customHeight="1">
      <c r="AD46" s="329" t="s">
        <v>73</v>
      </c>
      <c r="AE46" s="330"/>
      <c r="AF46" s="330"/>
      <c r="AG46" s="330"/>
      <c r="AH46" s="330"/>
      <c r="AI46" s="330"/>
      <c r="AJ46" s="330"/>
      <c r="AK46" s="330"/>
      <c r="AL46" s="330"/>
      <c r="AM46" s="330"/>
      <c r="AN46" s="330"/>
      <c r="AO46" s="330"/>
      <c r="AP46" s="330"/>
      <c r="AQ46" s="330"/>
      <c r="AR46" s="330"/>
      <c r="AS46" s="330"/>
      <c r="AT46" s="331"/>
    </row>
    <row r="47" spans="30:46" ht="15" customHeight="1">
      <c r="AD47" s="332"/>
      <c r="AE47" s="333"/>
      <c r="AF47" s="333"/>
      <c r="AG47" s="333"/>
      <c r="AH47" s="333"/>
      <c r="AI47" s="333"/>
      <c r="AJ47" s="333"/>
      <c r="AK47" s="333"/>
      <c r="AL47" s="333"/>
      <c r="AM47" s="333"/>
      <c r="AN47" s="333"/>
      <c r="AO47" s="333"/>
      <c r="AP47" s="333"/>
      <c r="AQ47" s="333"/>
      <c r="AR47" s="333"/>
      <c r="AS47" s="333"/>
      <c r="AT47" s="334"/>
    </row>
    <row r="48" spans="30:46" ht="15" customHeight="1">
      <c r="AD48" s="332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4"/>
    </row>
    <row r="49" spans="29:46" ht="15" customHeight="1">
      <c r="AD49" s="335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337"/>
    </row>
    <row r="50" spans="29:46" ht="15" customHeight="1">
      <c r="AD50" s="77"/>
      <c r="AE50" s="74"/>
      <c r="AF50" s="74"/>
      <c r="AG50" s="77"/>
      <c r="AH50" s="74"/>
      <c r="AI50" s="74"/>
      <c r="AJ50" s="77"/>
      <c r="AK50" s="77"/>
      <c r="AO50" s="77"/>
      <c r="AP50" s="77"/>
      <c r="AQ50" s="75"/>
      <c r="AR50" s="77"/>
      <c r="AS50" s="78"/>
    </row>
    <row r="51" spans="29:46" ht="15" customHeight="1"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</row>
    <row r="52" spans="29:46" ht="15" customHeight="1">
      <c r="AD52" s="75"/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AS52" s="75"/>
      <c r="AT52" s="75"/>
    </row>
    <row r="53" spans="29:46" ht="15" customHeight="1">
      <c r="AD53" s="75"/>
      <c r="AE53" s="75"/>
      <c r="AF53" s="75"/>
      <c r="AG53" s="75"/>
      <c r="AH53" s="75"/>
      <c r="AI53" s="75"/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</row>
    <row r="54" spans="29:46" ht="15" customHeight="1"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</row>
    <row r="55" spans="29:46" ht="15" customHeight="1">
      <c r="AC55" s="79"/>
      <c r="AF55" s="75"/>
      <c r="AG55" s="75"/>
      <c r="AH55" s="75"/>
      <c r="AI55" s="75"/>
      <c r="AJ55" s="75"/>
      <c r="AK55" s="75"/>
      <c r="AL55" s="75"/>
      <c r="AM55" s="75"/>
      <c r="AN55" s="75"/>
      <c r="AO55" s="75"/>
      <c r="AP55" s="75"/>
      <c r="AQ55" s="75"/>
      <c r="AR55" s="75"/>
      <c r="AT55" s="75"/>
    </row>
    <row r="56" spans="29:46" ht="15" customHeight="1">
      <c r="AC56" s="79"/>
      <c r="AF56" s="75"/>
      <c r="AG56" s="75"/>
      <c r="AH56" s="75"/>
      <c r="AI56" s="75"/>
      <c r="AJ56" s="75"/>
      <c r="AK56" s="75"/>
      <c r="AL56" s="75"/>
      <c r="AM56" s="75"/>
      <c r="AN56" s="75"/>
      <c r="AO56" s="75"/>
      <c r="AP56" s="75"/>
      <c r="AQ56" s="75"/>
      <c r="AR56" s="75"/>
      <c r="AT56" s="75"/>
    </row>
    <row r="57" spans="29:46" ht="15" customHeight="1">
      <c r="AC57" s="79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T57" s="75"/>
    </row>
    <row r="58" spans="29:46" ht="15" customHeight="1">
      <c r="AC58" s="79"/>
      <c r="AF58" s="75"/>
      <c r="AG58" s="75"/>
      <c r="AH58" s="75"/>
      <c r="AI58" s="75"/>
      <c r="AJ58" s="75"/>
      <c r="AK58" s="75"/>
      <c r="AL58" s="75"/>
      <c r="AM58" s="75"/>
      <c r="AN58" s="75"/>
      <c r="AO58" s="75"/>
      <c r="AP58" s="75"/>
      <c r="AQ58" s="75"/>
      <c r="AR58" s="75"/>
      <c r="AT58" s="75"/>
    </row>
    <row r="59" spans="29:46" ht="15" customHeight="1">
      <c r="AC59" s="79"/>
      <c r="AF59" s="75"/>
      <c r="AG59" s="75"/>
      <c r="AH59" s="75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T59" s="75"/>
    </row>
    <row r="60" spans="29:46" ht="15" customHeight="1">
      <c r="AC60" s="79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T60" s="75"/>
    </row>
    <row r="61" spans="29:46" ht="15" customHeight="1">
      <c r="AC61" s="79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T61" s="75"/>
    </row>
    <row r="62" spans="29:46" ht="15" customHeight="1">
      <c r="AC62" s="79"/>
      <c r="AF62" s="75"/>
      <c r="AG62" s="75"/>
      <c r="AH62" s="75"/>
      <c r="AI62" s="75"/>
      <c r="AJ62" s="75"/>
      <c r="AK62" s="75"/>
      <c r="AL62" s="75"/>
      <c r="AM62" s="75"/>
      <c r="AN62" s="75"/>
      <c r="AO62" s="75"/>
      <c r="AP62" s="75"/>
      <c r="AQ62" s="75"/>
      <c r="AR62" s="75"/>
      <c r="AT62" s="75"/>
    </row>
    <row r="63" spans="29:46" ht="15" customHeight="1">
      <c r="AC63" s="79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T63" s="75"/>
    </row>
    <row r="64" spans="29:46" ht="15" customHeight="1">
      <c r="AC64" s="79"/>
      <c r="AF64" s="75"/>
      <c r="AG64" s="75"/>
      <c r="AH64" s="75"/>
      <c r="AI64" s="75"/>
      <c r="AJ64" s="75"/>
      <c r="AK64" s="75"/>
      <c r="AL64" s="75"/>
      <c r="AM64" s="75"/>
      <c r="AN64" s="75"/>
      <c r="AO64" s="75"/>
      <c r="AP64" s="75"/>
      <c r="AQ64" s="75"/>
      <c r="AR64" s="75"/>
      <c r="AT64" s="75"/>
    </row>
    <row r="65" spans="27:47" ht="15" customHeight="1">
      <c r="AC65" s="79"/>
      <c r="AF65" s="75"/>
      <c r="AG65" s="75"/>
      <c r="AH65" s="75"/>
      <c r="AI65" s="75"/>
      <c r="AJ65" s="75"/>
      <c r="AK65" s="75"/>
      <c r="AL65" s="75"/>
      <c r="AM65" s="75"/>
      <c r="AN65" s="75"/>
      <c r="AO65" s="75"/>
      <c r="AP65" s="75"/>
      <c r="AQ65" s="75"/>
      <c r="AR65" s="75"/>
      <c r="AT65" s="75"/>
    </row>
    <row r="66" spans="27:47" ht="15" customHeight="1">
      <c r="AC66" s="79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T66" s="75"/>
    </row>
    <row r="67" spans="27:47" ht="15" customHeight="1">
      <c r="AC67" s="79"/>
      <c r="AF67" s="75"/>
      <c r="AG67" s="75"/>
      <c r="AH67" s="75"/>
      <c r="AI67" s="75"/>
      <c r="AJ67" s="75"/>
      <c r="AK67" s="75"/>
      <c r="AL67" s="75"/>
      <c r="AM67" s="75"/>
      <c r="AN67" s="75"/>
      <c r="AO67" s="75"/>
      <c r="AP67" s="75"/>
      <c r="AQ67" s="75"/>
      <c r="AR67" s="75"/>
      <c r="AT67" s="75"/>
    </row>
    <row r="68" spans="27:47" ht="15" customHeight="1">
      <c r="AC68" s="79"/>
      <c r="AF68" s="75"/>
      <c r="AG68" s="75"/>
      <c r="AH68" s="75"/>
      <c r="AI68" s="75"/>
      <c r="AJ68" s="75"/>
      <c r="AK68" s="75"/>
      <c r="AL68" s="75"/>
      <c r="AM68" s="75"/>
      <c r="AN68" s="75"/>
      <c r="AO68" s="75"/>
      <c r="AP68" s="75"/>
      <c r="AQ68" s="75"/>
      <c r="AR68" s="75"/>
      <c r="AT68" s="75"/>
    </row>
    <row r="69" spans="27:47" ht="15" customHeight="1">
      <c r="AC69" s="79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T69" s="75"/>
    </row>
    <row r="70" spans="27:47" ht="15" customHeight="1">
      <c r="AC70" s="79"/>
      <c r="AF70" s="75"/>
      <c r="AG70" s="75"/>
      <c r="AH70" s="75"/>
      <c r="AI70" s="75"/>
      <c r="AJ70" s="75"/>
      <c r="AK70" s="75"/>
      <c r="AL70" s="75"/>
      <c r="AM70" s="75"/>
      <c r="AN70" s="75"/>
      <c r="AO70" s="75"/>
      <c r="AP70" s="75"/>
      <c r="AQ70" s="75"/>
      <c r="AR70" s="75"/>
      <c r="AT70" s="75"/>
    </row>
    <row r="71" spans="27:47" ht="15" customHeight="1">
      <c r="AC71" s="79"/>
      <c r="AF71" s="75"/>
      <c r="AG71" s="75"/>
      <c r="AH71" s="75"/>
      <c r="AI71" s="75"/>
      <c r="AJ71" s="75"/>
      <c r="AK71" s="75"/>
      <c r="AL71" s="75"/>
      <c r="AM71" s="75"/>
      <c r="AN71" s="75"/>
      <c r="AO71" s="75"/>
      <c r="AP71" s="75"/>
      <c r="AQ71" s="75"/>
      <c r="AR71" s="75"/>
      <c r="AT71" s="75"/>
    </row>
    <row r="72" spans="27:47" ht="15" customHeight="1">
      <c r="AC72" s="79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T72" s="75"/>
    </row>
    <row r="73" spans="27:47" ht="15" customHeight="1">
      <c r="AC73" s="79"/>
      <c r="AF73" s="75"/>
      <c r="AG73" s="75"/>
      <c r="AH73" s="75"/>
      <c r="AI73" s="75"/>
      <c r="AJ73" s="75"/>
      <c r="AK73" s="75"/>
      <c r="AL73" s="75"/>
      <c r="AM73" s="75"/>
      <c r="AN73" s="75"/>
      <c r="AO73" s="75"/>
      <c r="AP73" s="75"/>
      <c r="AQ73" s="75"/>
      <c r="AR73" s="75"/>
      <c r="AT73" s="75"/>
    </row>
    <row r="74" spans="27:47" ht="15" customHeight="1">
      <c r="AC74" s="79"/>
      <c r="AF74" s="75"/>
      <c r="AG74" s="75"/>
      <c r="AH74" s="75"/>
      <c r="AI74" s="75"/>
      <c r="AJ74" s="75"/>
      <c r="AK74" s="75"/>
      <c r="AL74" s="75"/>
      <c r="AM74" s="75"/>
      <c r="AN74" s="75"/>
      <c r="AO74" s="75"/>
      <c r="AP74" s="75"/>
      <c r="AQ74" s="75"/>
      <c r="AR74" s="75"/>
      <c r="AT74" s="75"/>
    </row>
    <row r="75" spans="27:47" ht="15" customHeight="1">
      <c r="AC75" s="79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T75" s="75"/>
    </row>
    <row r="76" spans="27:47" ht="15" customHeight="1">
      <c r="AC76" s="79"/>
      <c r="AF76" s="75"/>
      <c r="AG76" s="75"/>
      <c r="AH76" s="75"/>
      <c r="AI76" s="75"/>
      <c r="AJ76" s="75"/>
      <c r="AK76" s="75"/>
      <c r="AL76" s="75"/>
      <c r="AM76" s="75"/>
      <c r="AN76" s="75"/>
      <c r="AO76" s="75"/>
      <c r="AP76" s="75"/>
      <c r="AQ76" s="75"/>
      <c r="AR76" s="75"/>
      <c r="AT76" s="75"/>
    </row>
    <row r="77" spans="27:47" ht="15" customHeight="1">
      <c r="AC77" s="79"/>
      <c r="AF77" s="75"/>
      <c r="AG77" s="75"/>
      <c r="AH77" s="75"/>
      <c r="AI77" s="75"/>
      <c r="AJ77" s="75"/>
      <c r="AK77" s="75"/>
      <c r="AL77" s="75"/>
      <c r="AM77" s="75"/>
      <c r="AN77" s="75"/>
      <c r="AO77" s="75"/>
      <c r="AP77" s="75"/>
      <c r="AQ77" s="75"/>
      <c r="AR77" s="75"/>
      <c r="AT77" s="75"/>
    </row>
    <row r="78" spans="27:47" ht="15" customHeight="1">
      <c r="AC78" s="79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T78" s="75"/>
    </row>
    <row r="79" spans="27:47" ht="15" customHeight="1">
      <c r="AC79" s="79"/>
      <c r="AF79" s="75"/>
      <c r="AG79" s="75"/>
      <c r="AH79" s="75"/>
      <c r="AI79" s="75"/>
      <c r="AJ79" s="75"/>
      <c r="AK79" s="75"/>
      <c r="AL79" s="75"/>
      <c r="AM79" s="75"/>
      <c r="AN79" s="75"/>
      <c r="AO79" s="75"/>
      <c r="AP79" s="75"/>
      <c r="AQ79" s="75"/>
      <c r="AR79" s="75"/>
      <c r="AT79" s="75"/>
    </row>
    <row r="80" spans="27:47">
      <c r="AA80" s="93"/>
      <c r="AC80" s="79"/>
      <c r="AF80" s="75"/>
      <c r="AG80" s="75"/>
      <c r="AH80" s="75"/>
      <c r="AI80" s="75"/>
      <c r="AJ80" s="75"/>
      <c r="AK80" s="75"/>
      <c r="AL80" s="75"/>
      <c r="AM80" s="75"/>
      <c r="AN80" s="75"/>
      <c r="AO80" s="75"/>
      <c r="AP80" s="75"/>
      <c r="AQ80" s="75"/>
      <c r="AR80" s="75"/>
      <c r="AU80" s="75"/>
    </row>
    <row r="81" spans="27:47" ht="15" customHeight="1">
      <c r="AA81" s="93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U81" s="75"/>
    </row>
    <row r="82" spans="27:47" ht="15" customHeight="1">
      <c r="AA82" s="94"/>
      <c r="AG82" s="75"/>
      <c r="AH82" s="75"/>
      <c r="AI82" s="75"/>
      <c r="AJ82" s="75"/>
      <c r="AK82" s="75"/>
      <c r="AL82" s="75"/>
      <c r="AM82" s="75"/>
      <c r="AN82" s="75"/>
      <c r="AO82" s="75"/>
      <c r="AP82" s="75"/>
      <c r="AQ82" s="75"/>
      <c r="AR82" s="75"/>
      <c r="AS82" s="75"/>
      <c r="AU82" s="75"/>
    </row>
    <row r="83" spans="27:47" ht="15" customHeight="1">
      <c r="AG83" s="75"/>
      <c r="AH83" s="75"/>
      <c r="AI83" s="75"/>
      <c r="AJ83" s="75"/>
      <c r="AK83" s="75"/>
      <c r="AL83" s="75"/>
      <c r="AM83" s="75"/>
      <c r="AN83" s="75"/>
      <c r="AO83" s="75"/>
      <c r="AP83" s="75"/>
      <c r="AQ83" s="75"/>
      <c r="AR83" s="75"/>
      <c r="AS83" s="75"/>
      <c r="AU83" s="75"/>
    </row>
    <row r="84" spans="27:47" ht="15" customHeight="1"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U84" s="75"/>
    </row>
    <row r="85" spans="27:47" ht="15" customHeight="1">
      <c r="AG85" s="75"/>
      <c r="AH85" s="75"/>
      <c r="AI85" s="75"/>
      <c r="AJ85" s="75"/>
      <c r="AK85" s="75"/>
      <c r="AL85" s="75"/>
      <c r="AM85" s="75"/>
      <c r="AN85" s="75"/>
      <c r="AO85" s="75"/>
      <c r="AP85" s="75"/>
      <c r="AQ85" s="75"/>
      <c r="AR85" s="75"/>
      <c r="AS85" s="75"/>
      <c r="AU85" s="75"/>
    </row>
    <row r="86" spans="27:47" ht="15" customHeight="1">
      <c r="AG86" s="75"/>
      <c r="AH86" s="75"/>
      <c r="AI86" s="75"/>
      <c r="AJ86" s="75"/>
      <c r="AK86" s="75"/>
      <c r="AL86" s="75"/>
      <c r="AM86" s="75"/>
      <c r="AN86" s="75"/>
      <c r="AO86" s="75"/>
      <c r="AP86" s="75"/>
      <c r="AQ86" s="75"/>
      <c r="AR86" s="75"/>
      <c r="AS86" s="75"/>
      <c r="AU86" s="75"/>
    </row>
    <row r="87" spans="27:47" ht="15" customHeight="1"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U87" s="75"/>
    </row>
    <row r="88" spans="27:47" ht="15" customHeight="1">
      <c r="AG88" s="75"/>
      <c r="AH88" s="75"/>
      <c r="AI88" s="75"/>
      <c r="AJ88" s="75"/>
      <c r="AK88" s="75"/>
      <c r="AL88" s="75"/>
      <c r="AM88" s="75"/>
      <c r="AN88" s="75"/>
      <c r="AO88" s="75"/>
      <c r="AP88" s="75"/>
      <c r="AQ88" s="75"/>
      <c r="AR88" s="75"/>
      <c r="AS88" s="75"/>
      <c r="AU88" s="75"/>
    </row>
    <row r="89" spans="27:47" ht="15" customHeight="1">
      <c r="AG89" s="75"/>
      <c r="AH89" s="75"/>
      <c r="AI89" s="75"/>
      <c r="AJ89" s="75"/>
      <c r="AK89" s="75"/>
      <c r="AL89" s="75"/>
      <c r="AM89" s="75"/>
      <c r="AN89" s="75"/>
      <c r="AO89" s="75"/>
      <c r="AP89" s="75"/>
      <c r="AQ89" s="75"/>
      <c r="AR89" s="75"/>
      <c r="AS89" s="75"/>
      <c r="AU89" s="75"/>
    </row>
    <row r="90" spans="27:47" ht="15" customHeight="1"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U90" s="75"/>
    </row>
    <row r="91" spans="27:47" ht="15" customHeight="1">
      <c r="AG91" s="75"/>
      <c r="AH91" s="75"/>
      <c r="AI91" s="75"/>
      <c r="AJ91" s="75"/>
      <c r="AK91" s="75"/>
      <c r="AL91" s="75"/>
      <c r="AM91" s="75"/>
      <c r="AN91" s="75"/>
      <c r="AO91" s="75"/>
      <c r="AP91" s="75"/>
      <c r="AQ91" s="75"/>
      <c r="AR91" s="75"/>
      <c r="AS91" s="75"/>
      <c r="AU91" s="75"/>
    </row>
    <row r="92" spans="27:47" ht="15" customHeight="1">
      <c r="AG92" s="75"/>
      <c r="AH92" s="75"/>
      <c r="AI92" s="75"/>
      <c r="AJ92" s="75"/>
      <c r="AK92" s="75"/>
      <c r="AL92" s="75"/>
      <c r="AM92" s="75"/>
      <c r="AN92" s="75"/>
      <c r="AO92" s="75"/>
      <c r="AP92" s="75"/>
      <c r="AQ92" s="75"/>
      <c r="AR92" s="75"/>
      <c r="AS92" s="75"/>
      <c r="AU92" s="75"/>
    </row>
    <row r="93" spans="27:47" ht="15" customHeight="1"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U93" s="75"/>
    </row>
    <row r="94" spans="27:47" ht="15" customHeight="1">
      <c r="AG94" s="75"/>
      <c r="AH94" s="75"/>
      <c r="AI94" s="75"/>
      <c r="AJ94" s="75"/>
      <c r="AK94" s="75"/>
      <c r="AL94" s="75"/>
      <c r="AM94" s="75"/>
      <c r="AN94" s="75"/>
      <c r="AO94" s="75"/>
      <c r="AP94" s="75"/>
      <c r="AQ94" s="75"/>
      <c r="AR94" s="75"/>
      <c r="AS94" s="75"/>
      <c r="AU94" s="75"/>
    </row>
    <row r="95" spans="27:47" ht="15" customHeight="1">
      <c r="AG95" s="75"/>
      <c r="AH95" s="75"/>
      <c r="AI95" s="75"/>
      <c r="AJ95" s="75"/>
      <c r="AK95" s="75"/>
      <c r="AL95" s="75"/>
      <c r="AM95" s="75"/>
      <c r="AN95" s="75"/>
      <c r="AO95" s="75"/>
      <c r="AP95" s="75"/>
      <c r="AQ95" s="75"/>
      <c r="AR95" s="75"/>
      <c r="AS95" s="75"/>
      <c r="AU95" s="75"/>
    </row>
    <row r="96" spans="27:47" ht="15" customHeight="1"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U96" s="75"/>
    </row>
    <row r="97" spans="33:47" ht="15" customHeight="1">
      <c r="AG97" s="75"/>
      <c r="AH97" s="75"/>
      <c r="AI97" s="75"/>
      <c r="AJ97" s="75"/>
      <c r="AK97" s="75"/>
      <c r="AL97" s="75"/>
      <c r="AM97" s="75"/>
      <c r="AN97" s="75"/>
      <c r="AO97" s="75"/>
      <c r="AP97" s="75"/>
      <c r="AQ97" s="75"/>
      <c r="AR97" s="75"/>
      <c r="AS97" s="75"/>
      <c r="AU97" s="75"/>
    </row>
    <row r="98" spans="33:47" ht="15.75" customHeight="1">
      <c r="AG98" s="75"/>
      <c r="AH98" s="75"/>
      <c r="AI98" s="75"/>
      <c r="AJ98" s="75"/>
      <c r="AK98" s="75"/>
      <c r="AL98" s="75"/>
      <c r="AM98" s="75"/>
      <c r="AN98" s="75"/>
      <c r="AO98" s="75"/>
      <c r="AP98" s="75"/>
      <c r="AQ98" s="75"/>
      <c r="AR98" s="75"/>
      <c r="AS98" s="75"/>
      <c r="AU98" s="75"/>
    </row>
    <row r="99" spans="33:47"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/>
      <c r="AS99" s="75"/>
      <c r="AU99" s="75"/>
    </row>
    <row r="100" spans="33:47">
      <c r="AG100" s="75"/>
      <c r="AH100" s="75"/>
      <c r="AI100" s="75"/>
      <c r="AJ100" s="75"/>
      <c r="AK100" s="75"/>
      <c r="AL100" s="75"/>
      <c r="AM100" s="75"/>
      <c r="AN100" s="75"/>
      <c r="AO100" s="75"/>
      <c r="AP100" s="75"/>
      <c r="AQ100" s="75"/>
      <c r="AR100" s="75"/>
      <c r="AS100" s="75"/>
      <c r="AU100" s="75"/>
    </row>
    <row r="101" spans="33:47">
      <c r="AG101" s="75"/>
      <c r="AH101" s="75"/>
      <c r="AI101" s="75"/>
      <c r="AJ101" s="75"/>
      <c r="AK101" s="75"/>
      <c r="AL101" s="75"/>
      <c r="AM101" s="75"/>
      <c r="AN101" s="75"/>
      <c r="AO101" s="75"/>
      <c r="AP101" s="75"/>
      <c r="AQ101" s="75"/>
      <c r="AR101" s="75"/>
      <c r="AS101" s="75"/>
      <c r="AU101" s="75"/>
    </row>
    <row r="102" spans="33:47" ht="15" customHeight="1">
      <c r="AG102" s="75"/>
      <c r="AH102" s="75"/>
      <c r="AI102" s="75"/>
      <c r="AJ102" s="75"/>
      <c r="AK102" s="75"/>
      <c r="AL102" s="75"/>
      <c r="AM102" s="75"/>
      <c r="AN102" s="75"/>
      <c r="AO102" s="75"/>
      <c r="AP102" s="75"/>
      <c r="AQ102" s="75"/>
      <c r="AR102" s="75"/>
      <c r="AS102" s="75"/>
      <c r="AU102" s="75"/>
    </row>
    <row r="103" spans="33:47">
      <c r="AG103" s="75"/>
      <c r="AH103" s="75"/>
      <c r="AI103" s="75"/>
      <c r="AJ103" s="75"/>
      <c r="AK103" s="75"/>
      <c r="AL103" s="75"/>
      <c r="AM103" s="75"/>
      <c r="AN103" s="75"/>
      <c r="AO103" s="75"/>
      <c r="AP103" s="75"/>
      <c r="AQ103" s="75"/>
      <c r="AR103" s="75"/>
      <c r="AS103" s="75"/>
    </row>
    <row r="104" spans="33:47">
      <c r="AP104" s="96"/>
      <c r="AQ104" s="96"/>
      <c r="AR104" s="96"/>
      <c r="AS104" s="96"/>
    </row>
  </sheetData>
  <dataConsolidate topLabels="1">
    <dataRefs count="1">
      <dataRef ref="C8:D86" sheet="AHU 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1" priority="328" operator="greaterThan">
      <formula>$X$4</formula>
    </cfRule>
  </conditionalFormatting>
  <conditionalFormatting sqref="W7:X7">
    <cfRule type="cellIs" dxfId="0" priority="1" operator="greaterThan">
      <formula>$X$4</formula>
    </cfRule>
  </conditionalFormatting>
  <dataValidations disablePrompts="1"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U7:U17 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U7:U17 V7:V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E33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21" sqref="D21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3" width="14.5703125" bestFit="1" customWidth="1"/>
    <col min="44" max="44" width="17" customWidth="1"/>
    <col min="45" max="46" width="14.7109375" bestFit="1" customWidth="1"/>
    <col min="47" max="47" width="12.85546875" bestFit="1" customWidth="1" collapsed="1"/>
    <col min="48" max="48" width="8.28515625" customWidth="1"/>
    <col min="49" max="49" width="9.28515625" customWidth="1"/>
    <col min="50" max="50" width="13.42578125" bestFit="1" customWidth="1"/>
    <col min="51" max="51" width="12.7109375" bestFit="1" customWidth="1"/>
    <col min="52" max="52" width="10.7109375" bestFit="1" customWidth="1"/>
    <col min="54" max="54" width="14.5703125" bestFit="1" customWidth="1"/>
    <col min="56" max="56" width="13.7109375" bestFit="1" customWidth="1"/>
    <col min="57" max="57" width="14.42578125" bestFit="1" customWidth="1"/>
  </cols>
  <sheetData>
    <row r="2" spans="1:57">
      <c r="B2" s="60"/>
      <c r="C2" s="60"/>
    </row>
    <row r="8" spans="1:57" s="49" customFormat="1" ht="12.95" customHeight="1">
      <c r="A8" s="345"/>
      <c r="B8" s="347" t="s">
        <v>33</v>
      </c>
      <c r="C8" s="347"/>
      <c r="D8" s="347"/>
      <c r="E8" s="347"/>
      <c r="F8" s="347"/>
      <c r="G8" s="347"/>
      <c r="H8" s="347"/>
      <c r="I8" s="347"/>
      <c r="J8" s="347"/>
      <c r="K8" s="347"/>
      <c r="L8" s="347"/>
      <c r="M8" s="347"/>
      <c r="N8" s="347" t="s">
        <v>34</v>
      </c>
      <c r="O8" s="347"/>
      <c r="P8" s="347"/>
      <c r="Q8" s="347"/>
      <c r="R8" s="347"/>
      <c r="S8" s="347"/>
      <c r="T8" s="347"/>
      <c r="U8" s="347"/>
      <c r="V8" s="347"/>
      <c r="W8" s="347"/>
      <c r="X8" s="347"/>
      <c r="Y8" s="347"/>
      <c r="Z8" s="347" t="s">
        <v>35</v>
      </c>
      <c r="AA8" s="347"/>
      <c r="AB8" s="347"/>
      <c r="AC8" s="347"/>
      <c r="AD8" s="347"/>
      <c r="AE8" s="347"/>
      <c r="AF8" s="347"/>
      <c r="AG8" s="347"/>
      <c r="AH8" s="347"/>
      <c r="AI8" s="347"/>
      <c r="AJ8" s="347"/>
      <c r="AK8" s="347"/>
      <c r="AL8" s="347" t="s">
        <v>36</v>
      </c>
      <c r="AM8" s="347"/>
      <c r="AN8" s="347"/>
      <c r="AO8" s="347" t="str">
        <f>IF(INPUT_OUTPUTS!F8&lt;32,"FREEZE PROTECTION COIL","FREEZE PROTECTION COIL(NOT NEEDED)")</f>
        <v>FREEZE PROTECTION COIL(NOT NEEDED)</v>
      </c>
      <c r="AP8" s="347"/>
      <c r="AQ8" s="347"/>
      <c r="AR8" s="347"/>
      <c r="AS8" s="347"/>
      <c r="AT8" s="347"/>
      <c r="AU8" s="347"/>
      <c r="AV8" s="342" t="str" cm="1">
        <f t="array" ref="AV8">IF(Table7[(˚F db)43]&lt;Table7[(˚F db)13],"AHU RE-HEATING COIL","AHU RE-HEATING COIL (NOT NEEDED)")</f>
        <v>AHU RE-HEATING COIL</v>
      </c>
      <c r="AW8" s="343"/>
      <c r="AX8" s="343"/>
      <c r="AY8" s="343"/>
      <c r="AZ8" s="344"/>
      <c r="BA8" s="342" t="s">
        <v>679</v>
      </c>
      <c r="BB8" s="343"/>
      <c r="BC8" s="343"/>
      <c r="BD8" s="343"/>
      <c r="BE8" s="344"/>
    </row>
    <row r="9" spans="1:57" s="16" customFormat="1" ht="32.25" customHeight="1">
      <c r="A9" s="345"/>
      <c r="B9" s="346" t="s">
        <v>9</v>
      </c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5" t="s">
        <v>38</v>
      </c>
      <c r="N9" s="346" t="s">
        <v>39</v>
      </c>
      <c r="O9" s="346"/>
      <c r="P9" s="346"/>
      <c r="Q9" s="346"/>
      <c r="R9" s="346"/>
      <c r="S9" s="346"/>
      <c r="T9" s="352" t="s">
        <v>40</v>
      </c>
      <c r="U9" s="352"/>
      <c r="V9" s="348" t="s">
        <v>198</v>
      </c>
      <c r="W9" s="345" t="s">
        <v>197</v>
      </c>
      <c r="X9" s="345"/>
      <c r="Y9" s="345"/>
      <c r="Z9" s="346" t="s">
        <v>39</v>
      </c>
      <c r="AA9" s="346"/>
      <c r="AB9" s="346"/>
      <c r="AC9" s="346"/>
      <c r="AD9" s="346"/>
      <c r="AE9" s="346"/>
      <c r="AF9" s="352" t="s">
        <v>41</v>
      </c>
      <c r="AG9" s="352"/>
      <c r="AH9" s="348" t="s">
        <v>198</v>
      </c>
      <c r="AI9" s="345" t="s">
        <v>79</v>
      </c>
      <c r="AJ9" s="345"/>
      <c r="AK9" s="345"/>
      <c r="AL9" s="348" t="s">
        <v>199</v>
      </c>
      <c r="AM9" s="346" t="s">
        <v>22</v>
      </c>
      <c r="AN9" s="346" t="s">
        <v>183</v>
      </c>
      <c r="AO9" s="22"/>
      <c r="AP9" s="346" t="s">
        <v>25</v>
      </c>
      <c r="AQ9" s="346"/>
      <c r="AR9" s="22"/>
      <c r="AS9" s="345" t="s">
        <v>82</v>
      </c>
      <c r="AT9" s="345"/>
      <c r="AU9" s="345"/>
      <c r="AV9" s="23"/>
      <c r="AW9" s="22"/>
      <c r="AX9" s="22"/>
      <c r="AY9" s="22"/>
      <c r="AZ9" s="5"/>
      <c r="BA9" s="23"/>
      <c r="BB9" s="22"/>
      <c r="BC9" s="22"/>
      <c r="BD9" s="22"/>
      <c r="BE9" s="5"/>
    </row>
    <row r="10" spans="1:57" s="16" customFormat="1" ht="25.5" customHeight="1">
      <c r="A10" s="345"/>
      <c r="B10" s="23" t="s">
        <v>10</v>
      </c>
      <c r="C10" s="350" t="s">
        <v>524</v>
      </c>
      <c r="D10" s="350"/>
      <c r="E10" s="351"/>
      <c r="F10" s="349" t="s">
        <v>196</v>
      </c>
      <c r="G10" s="350"/>
      <c r="H10" s="351"/>
      <c r="I10" s="349" t="s">
        <v>42</v>
      </c>
      <c r="J10" s="350"/>
      <c r="K10" s="351"/>
      <c r="L10" s="23" t="s">
        <v>43</v>
      </c>
      <c r="M10" s="345"/>
      <c r="N10" s="345" t="s">
        <v>11</v>
      </c>
      <c r="O10" s="345"/>
      <c r="P10" s="345"/>
      <c r="Q10" s="345" t="s">
        <v>413</v>
      </c>
      <c r="R10" s="345"/>
      <c r="S10" s="345"/>
      <c r="T10" s="23" t="s">
        <v>13</v>
      </c>
      <c r="U10" s="23" t="s">
        <v>14</v>
      </c>
      <c r="V10" s="348"/>
      <c r="W10" s="345"/>
      <c r="X10" s="345"/>
      <c r="Y10" s="345"/>
      <c r="Z10" s="345" t="s">
        <v>11</v>
      </c>
      <c r="AA10" s="345"/>
      <c r="AB10" s="345"/>
      <c r="AC10" s="345" t="s">
        <v>413</v>
      </c>
      <c r="AD10" s="345"/>
      <c r="AE10" s="345"/>
      <c r="AF10" s="23" t="s">
        <v>13</v>
      </c>
      <c r="AG10" s="23" t="s">
        <v>14</v>
      </c>
      <c r="AH10" s="348"/>
      <c r="AI10" s="7" t="s">
        <v>30</v>
      </c>
      <c r="AJ10" s="7" t="s">
        <v>80</v>
      </c>
      <c r="AK10" s="23" t="s">
        <v>81</v>
      </c>
      <c r="AL10" s="348"/>
      <c r="AM10" s="346"/>
      <c r="AN10" s="346"/>
      <c r="AO10" s="23" t="s">
        <v>673</v>
      </c>
      <c r="AP10" s="23" t="s">
        <v>11</v>
      </c>
      <c r="AQ10" s="23" t="s">
        <v>12</v>
      </c>
      <c r="AR10" s="23" t="s">
        <v>13</v>
      </c>
      <c r="AS10" s="7" t="s">
        <v>30</v>
      </c>
      <c r="AT10" s="7" t="s">
        <v>80</v>
      </c>
      <c r="AU10" s="23" t="s">
        <v>81</v>
      </c>
      <c r="AV10" s="23" t="s">
        <v>673</v>
      </c>
      <c r="AW10" s="23" t="s">
        <v>11</v>
      </c>
      <c r="AX10" s="23" t="s">
        <v>12</v>
      </c>
      <c r="AY10" s="23" t="s">
        <v>13</v>
      </c>
      <c r="AZ10" s="23" t="s">
        <v>29</v>
      </c>
      <c r="BA10" s="23" t="s">
        <v>673</v>
      </c>
      <c r="BB10" s="23" t="s">
        <v>11</v>
      </c>
      <c r="BC10" s="23" t="s">
        <v>12</v>
      </c>
      <c r="BD10" s="23" t="s">
        <v>13</v>
      </c>
      <c r="BE10" s="23" t="s">
        <v>29</v>
      </c>
    </row>
    <row r="11" spans="1:57" s="15" customFormat="1" ht="16.5">
      <c r="A11" s="50" t="s">
        <v>141</v>
      </c>
      <c r="B11" s="51" t="s">
        <v>15</v>
      </c>
      <c r="C11" s="51" t="s">
        <v>142</v>
      </c>
      <c r="D11" s="51" t="s">
        <v>16</v>
      </c>
      <c r="E11" s="51" t="s">
        <v>17</v>
      </c>
      <c r="F11" s="51" t="s">
        <v>143</v>
      </c>
      <c r="G11" s="52" t="s">
        <v>144</v>
      </c>
      <c r="H11" s="52" t="s">
        <v>145</v>
      </c>
      <c r="I11" s="51" t="s">
        <v>146</v>
      </c>
      <c r="J11" s="52" t="s">
        <v>147</v>
      </c>
      <c r="K11" s="52" t="s">
        <v>148</v>
      </c>
      <c r="L11" s="52" t="s">
        <v>149</v>
      </c>
      <c r="M11" s="51" t="s">
        <v>150</v>
      </c>
      <c r="N11" s="52" t="s">
        <v>151</v>
      </c>
      <c r="O11" s="52" t="s">
        <v>152</v>
      </c>
      <c r="P11" s="52" t="s">
        <v>18</v>
      </c>
      <c r="Q11" s="52" t="s">
        <v>153</v>
      </c>
      <c r="R11" s="52" t="s">
        <v>154</v>
      </c>
      <c r="S11" s="52" t="s">
        <v>155</v>
      </c>
      <c r="T11" s="51" t="s">
        <v>19</v>
      </c>
      <c r="U11" s="51" t="s">
        <v>156</v>
      </c>
      <c r="V11" s="53" t="s">
        <v>20</v>
      </c>
      <c r="W11" s="53" t="s">
        <v>157</v>
      </c>
      <c r="X11" s="53" t="s">
        <v>158</v>
      </c>
      <c r="Y11" s="53" t="s">
        <v>29</v>
      </c>
      <c r="Z11" s="52" t="s">
        <v>159</v>
      </c>
      <c r="AA11" s="52" t="s">
        <v>160</v>
      </c>
      <c r="AB11" s="52" t="s">
        <v>161</v>
      </c>
      <c r="AC11" s="52" t="s">
        <v>162</v>
      </c>
      <c r="AD11" s="52" t="s">
        <v>163</v>
      </c>
      <c r="AE11" s="52" t="s">
        <v>164</v>
      </c>
      <c r="AF11" s="51" t="s">
        <v>165</v>
      </c>
      <c r="AG11" s="51" t="s">
        <v>166</v>
      </c>
      <c r="AH11" s="51" t="s">
        <v>167</v>
      </c>
      <c r="AI11" s="53" t="s">
        <v>168</v>
      </c>
      <c r="AJ11" s="53" t="s">
        <v>169</v>
      </c>
      <c r="AK11" s="53" t="s">
        <v>170</v>
      </c>
      <c r="AL11" s="51" t="s">
        <v>171</v>
      </c>
      <c r="AM11" s="54" t="s">
        <v>172</v>
      </c>
      <c r="AN11" s="54" t="s">
        <v>182</v>
      </c>
      <c r="AO11" s="51" t="s">
        <v>173</v>
      </c>
      <c r="AP11" s="52" t="s">
        <v>174</v>
      </c>
      <c r="AQ11" s="52" t="s">
        <v>175</v>
      </c>
      <c r="AR11" s="51" t="s">
        <v>44</v>
      </c>
      <c r="AS11" s="53" t="s">
        <v>176</v>
      </c>
      <c r="AT11" s="53" t="s">
        <v>177</v>
      </c>
      <c r="AU11" s="53" t="s">
        <v>178</v>
      </c>
      <c r="AV11" s="305" t="s">
        <v>32</v>
      </c>
      <c r="AW11" s="52" t="s">
        <v>179</v>
      </c>
      <c r="AX11" s="52" t="s">
        <v>180</v>
      </c>
      <c r="AY11" s="51" t="s">
        <v>181</v>
      </c>
      <c r="AZ11" s="52" t="s">
        <v>194</v>
      </c>
      <c r="BA11" s="305" t="s">
        <v>674</v>
      </c>
      <c r="BB11" s="52" t="s">
        <v>675</v>
      </c>
      <c r="BC11" s="52" t="s">
        <v>676</v>
      </c>
      <c r="BD11" s="51" t="s">
        <v>677</v>
      </c>
      <c r="BE11" s="52" t="s">
        <v>678</v>
      </c>
    </row>
    <row r="12" spans="1:57" s="16" customFormat="1" ht="16.5">
      <c r="A12" s="6"/>
      <c r="B12" s="24">
        <f>Generic!$AW$2</f>
        <v>5100</v>
      </c>
      <c r="C12" s="24">
        <f>Generic!$AX$2</f>
        <v>4500</v>
      </c>
      <c r="D12" s="109">
        <v>78</v>
      </c>
      <c r="E12" s="109">
        <v>60</v>
      </c>
      <c r="F12" s="24">
        <f>Generic!$AY$2</f>
        <v>1600</v>
      </c>
      <c r="G12" s="5">
        <f>INPUT_OUTPUTS!$C$8</f>
        <v>90</v>
      </c>
      <c r="H12" s="5">
        <f>INPUT_OUTPUTS!$C$9</f>
        <v>65</v>
      </c>
      <c r="I12" s="24">
        <f>Table7[[#This Row],[(CFM)3]]</f>
        <v>1600</v>
      </c>
      <c r="J12" s="5">
        <f>INPUT_OUTPUTS!$C$10</f>
        <v>80</v>
      </c>
      <c r="K12" s="5">
        <f>INPUT_OUTPUTS!$C$11</f>
        <v>75</v>
      </c>
      <c r="L12" s="5">
        <f>INPUT_OUTPUTS!$F$8</f>
        <v>36</v>
      </c>
      <c r="M12" s="24">
        <f>C12+F12-B12</f>
        <v>1000</v>
      </c>
      <c r="N12" s="5">
        <f>D12*((C12-M12)/B12) + G12*(F12/B12)</f>
        <v>81.764705882352942</v>
      </c>
      <c r="O12" s="5">
        <f>TRUNC(E12*((C12-M12)/B12) + H12*(F12/B12),1)</f>
        <v>61.5</v>
      </c>
      <c r="P12" s="5" cm="1">
        <f t="array" ref="P12">GetMoistAirEnthalpy(Table7[[#This Row],[(˚F db)11]],(GetHumRatioFromTWetBulb(Table7[[#This Row],[(˚F db)11]],Table7[[#This Row],[(˚F wb)12]],GetStandardAtmPressure(INPUT_OUTPUTS!G6))))</f>
        <v>28.388036820551832</v>
      </c>
      <c r="Q12" s="110">
        <v>55</v>
      </c>
      <c r="R12" s="110">
        <v>50</v>
      </c>
      <c r="S12" s="5" cm="1">
        <f t="array" ref="S12">GetMoistAirEnthalpy(Table7[[#This Row],[(˚F db)13]],(GetHumRatioFromTWetBulb(Table7[[#This Row],[(˚F db)13]],Table7[[#This Row],[(˚F wb)14]],GetStandardAtmPressure(INPUT_OUTPUTS!G6))))</f>
        <v>20.94278437446755</v>
      </c>
      <c r="T12" s="24">
        <f>B12*1.085*(N12-Q12)</f>
        <v>148102.5</v>
      </c>
      <c r="U12" s="24">
        <f>4.5*B12*(P12-S12)</f>
        <v>170868.54363763428</v>
      </c>
      <c r="V12" s="7">
        <f>IF(U12&lt;T12,"INVALID POINT",U12/12000)</f>
        <v>14.239045303136191</v>
      </c>
      <c r="W12" s="7">
        <f>INPUT_OUTPUTS!$C$14</f>
        <v>42</v>
      </c>
      <c r="X12" s="7">
        <f>INPUT_OUTPUTS!$C$15</f>
        <v>52</v>
      </c>
      <c r="Y12" s="40">
        <f t="shared" ref="Y12" si="0">U12/(500*(X12-W12))</f>
        <v>34.173708727526858</v>
      </c>
      <c r="Z12" s="5">
        <f>D12*((C12-M12)/B12) + J12*(F12/B12)</f>
        <v>78.627450980392155</v>
      </c>
      <c r="AA12" s="5">
        <f>TRUNC(E12*((C12-M12)/B12) + K12*(F12/B12),1)</f>
        <v>64.7</v>
      </c>
      <c r="AB12" s="5" cm="1">
        <f t="array" ref="AB12">GetMoistAirEnthalpy(Table7[[#This Row],[(˚F db)19]],(GetHumRatioFromTWetBulb(Table7[[#This Row],[(˚F db)19]],Table7[[#This Row],[(˚F wb)20]],GetStandardAtmPressure(INPUT_OUTPUTS!G6))))</f>
        <v>30.884287178768382</v>
      </c>
      <c r="AC12" s="5">
        <f>Table7[[#This Row],[(˚F db)13]]</f>
        <v>55</v>
      </c>
      <c r="AD12" s="5">
        <f>Table7[[#This Row],[(˚F wb)14]]</f>
        <v>50</v>
      </c>
      <c r="AE12" s="5" cm="1">
        <f t="array" ref="AE12">GetMoistAirEnthalpy(Table7[[#This Row],[(˚F db)22]],(GetHumRatioFromTWetBulb(Table7[[#This Row],[(˚F db)22]],Table7[[#This Row],[(˚F wb)23]],GetStandardAtmPressure(INPUT_OUTPUTS!G6))))</f>
        <v>20.94278437446755</v>
      </c>
      <c r="AF12" s="24">
        <f>B12*1.085*(Z12-AC12)</f>
        <v>130742.49999999999</v>
      </c>
      <c r="AG12" s="24">
        <f>4.5*B12*(AB12-AE12)</f>
        <v>228157.4893587041</v>
      </c>
      <c r="AH12" s="5">
        <f>IF(AG12&lt;AF12,"INVALID POINT",AG12/12000)</f>
        <v>19.013124113225341</v>
      </c>
      <c r="AI12" s="7">
        <f>INPUT_OUTPUTS!$C$14</f>
        <v>42</v>
      </c>
      <c r="AJ12" s="7">
        <f>INPUT_OUTPUTS!$C$15</f>
        <v>52</v>
      </c>
      <c r="AK12" s="40">
        <f t="shared" ref="AK12" si="1">AG12/(500*(AJ12-AI12))</f>
        <v>45.63149787174082</v>
      </c>
      <c r="AL12" s="5">
        <f>MAX(AH12,V12)</f>
        <v>19.013124113225341</v>
      </c>
      <c r="AM12" s="41">
        <f>B12/AH12</f>
        <v>268.23577070390502</v>
      </c>
      <c r="AN12" s="41">
        <f>MAX(Table7[[#This Row],[GPM33]],Table7[[#This Row],[GPM]])</f>
        <v>45.63149787174082</v>
      </c>
      <c r="AO12" s="24" t="str">
        <f>IF(Table7[[#This Row],[(˚F db)9]]&lt;35,B12,"NOT NEEDED")</f>
        <v>NOT NEEDED</v>
      </c>
      <c r="AP12" s="5" t="str">
        <f>IF(Table7[[#This Row],[(˚F db)9]]&lt;35,Table7[[#This Row],[(˚F db)9]],"NOT NEEDED")</f>
        <v>NOT NEEDED</v>
      </c>
      <c r="AQ12" s="5" t="str">
        <f>IF(Table7[[#This Row],[(˚F db)9]]&lt;35,38,"NOT NEEDED")</f>
        <v>NOT NEEDED</v>
      </c>
      <c r="AR12" s="24">
        <f>IF(Table7[[#This Row],[(˚F db)9]]&lt;35,AO12*1.085*(AQ12-AP12)/1000,0)</f>
        <v>0</v>
      </c>
      <c r="AS12" s="7">
        <f>INPUT_OUTPUTS!$C$16</f>
        <v>140</v>
      </c>
      <c r="AT12" s="7">
        <f>INPUT_OUTPUTS!$C$17</f>
        <v>100</v>
      </c>
      <c r="AU12" s="40">
        <f t="shared" ref="AU12" si="2">(AR12*1000)/(500*(AS12-AT12))</f>
        <v>0</v>
      </c>
      <c r="AV12" s="111">
        <v>2000</v>
      </c>
      <c r="AW12" s="5">
        <f>(Table7[[#This Row],[(˚F db)9]]*Table7[[#This Row],[(CFM)3]] + Table7[[#This Row],[(˚F db)]]*(Table7[[#This Row],[CFM]]-Table7[[#This Row],[(CFM)3]]))/Table7[[#This Row],[CFM]]</f>
        <v>44.4</v>
      </c>
      <c r="AX12" s="5">
        <f>IF(Table7[[#This Row],[(˚F db)43]]&lt;Table7[[#This Row],[(˚F db)13]],Table7[[#This Row],[(˚F db)13]],"NOT NEEDED")</f>
        <v>55</v>
      </c>
      <c r="AY12" s="25">
        <f>IF(Table7[[#This Row],[(˚F db)43]]&lt;Table7[[#This Row],[(˚F db)13]],(Table7[[#This Row],[CFM]]*1.08*(Table7[[#This Row],[(˚F db)45]]-Table7[[#This Row],[(˚F db)43]]))/1000,0)</f>
        <v>22.896000000000004</v>
      </c>
      <c r="AZ12" s="5">
        <f>(Table7[[#This Row],[(mbh)46]]*1000)/(500*(Table7[[#This Row],[(˚F db)39]]-Table7[[#This Row],[(˚F db)40]]))</f>
        <v>1.1448000000000003</v>
      </c>
      <c r="BA12" s="306">
        <f>Table7[[#This Row],[CFM]]</f>
        <v>2000</v>
      </c>
      <c r="BB12" s="306">
        <f>Table7[[#This Row],[(˚F db)45]]</f>
        <v>55</v>
      </c>
      <c r="BC12" s="111">
        <v>85</v>
      </c>
      <c r="BD12" s="25">
        <f>(Table7[[#This Row],[CFM2]]*1.08*(Table7[[#This Row],[(˚F db)454]]-Table7[[#This Row],[(˚F db)433]]))/1000</f>
        <v>64.8</v>
      </c>
      <c r="BE12" s="5">
        <f>(Table7[[#This Row],[(mbh)46]]*1000)/(500*(Table7[[#This Row],[(˚F db)39]]-Table7[[#This Row],[(˚F db)40]]))</f>
        <v>1.1448000000000003</v>
      </c>
    </row>
    <row r="13" spans="1:57" ht="18" thickBot="1">
      <c r="A13" s="55" t="s">
        <v>131</v>
      </c>
      <c r="B13" s="56">
        <f>SUBTOTAL(109,Table7[(CFM)])</f>
        <v>5100</v>
      </c>
      <c r="C13" s="55"/>
      <c r="D13" s="57"/>
      <c r="E13" s="57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8">
        <f>SUBTOTAL(109,Table7[GPM])</f>
        <v>34.173708727526858</v>
      </c>
      <c r="Z13" s="55"/>
      <c r="AA13" s="55"/>
      <c r="AB13" s="55"/>
      <c r="AC13" s="57"/>
      <c r="AD13" s="57"/>
      <c r="AE13" s="55"/>
      <c r="AF13" s="55"/>
      <c r="AG13" s="55"/>
      <c r="AH13" s="55"/>
      <c r="AI13" s="55"/>
      <c r="AJ13" s="55"/>
      <c r="AK13" s="67">
        <f>SUBTOTAL(109,Table7[GPM33])</f>
        <v>45.63149787174082</v>
      </c>
      <c r="AL13" s="58">
        <f>SUBTOTAL(109,Table7[(Tons)34])</f>
        <v>19.013124113225341</v>
      </c>
      <c r="AM13" s="55"/>
      <c r="AN13" s="59">
        <f>SUBTOTAL(109,Table7[GPM MAX])</f>
        <v>45.63149787174082</v>
      </c>
      <c r="AO13" s="55"/>
      <c r="AP13" s="55"/>
      <c r="AQ13" s="55"/>
      <c r="AR13" s="59">
        <f>SUBTOTAL(109,Table7[(MBH)])</f>
        <v>0</v>
      </c>
      <c r="AS13" s="55"/>
      <c r="AT13" s="55"/>
      <c r="AU13" s="58">
        <f>SUBTOTAL(109,Table7[GPM41])</f>
        <v>0</v>
      </c>
      <c r="AV13" s="58"/>
      <c r="AW13" s="55"/>
      <c r="AX13" s="55"/>
      <c r="AY13" s="58">
        <f>SUBTOTAL(109,Table7[(mbh)46])</f>
        <v>22.896000000000004</v>
      </c>
      <c r="AZ13" s="58">
        <f>SUBTOTAL(109,Table7[(˚F db)46])</f>
        <v>1.1448000000000003</v>
      </c>
      <c r="BA13" s="55"/>
      <c r="BB13" s="55"/>
      <c r="BC13" s="55"/>
      <c r="BD13" s="55"/>
      <c r="BE13" s="55"/>
    </row>
    <row r="14" spans="1:57" ht="17.25" thickTop="1">
      <c r="AG14" s="27"/>
    </row>
    <row r="15" spans="1:57" ht="16.5">
      <c r="R15" s="26"/>
      <c r="S15" s="26"/>
      <c r="Y15" s="38"/>
      <c r="AD15" s="26"/>
      <c r="AE15" s="26"/>
      <c r="AH15" s="38"/>
      <c r="AK15" s="38"/>
      <c r="AL15" s="38"/>
      <c r="AU15" s="38"/>
      <c r="AV15" s="38"/>
    </row>
    <row r="16" spans="1:57" ht="16.5">
      <c r="R16" s="26"/>
      <c r="S16" s="26"/>
      <c r="Y16" s="38"/>
      <c r="AD16" s="26"/>
      <c r="AE16" s="26"/>
      <c r="AH16" s="38"/>
      <c r="AK16" s="38"/>
      <c r="AL16" s="38"/>
      <c r="AU16" s="38"/>
      <c r="AV16" s="38"/>
    </row>
    <row r="17" spans="1:52">
      <c r="B17" s="16"/>
    </row>
    <row r="20" spans="1:52">
      <c r="M20" s="38"/>
    </row>
    <row r="23" spans="1:52">
      <c r="E23" s="360"/>
    </row>
    <row r="30" spans="1:5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</row>
    <row r="31" spans="1:52">
      <c r="A31" s="39"/>
      <c r="B31" s="39"/>
    </row>
    <row r="32" spans="1:52">
      <c r="A32" s="39"/>
      <c r="B32" s="38"/>
    </row>
    <row r="33" spans="1:1">
      <c r="A33" s="39"/>
    </row>
  </sheetData>
  <mergeCells count="30">
    <mergeCell ref="AF9:AG9"/>
    <mergeCell ref="AS9:AU9"/>
    <mergeCell ref="AO8:AU8"/>
    <mergeCell ref="AP9:AQ9"/>
    <mergeCell ref="T9:U9"/>
    <mergeCell ref="C10:E10"/>
    <mergeCell ref="Z9:AE9"/>
    <mergeCell ref="Z10:AB10"/>
    <mergeCell ref="W9:Y10"/>
    <mergeCell ref="N10:P10"/>
    <mergeCell ref="Q10:S10"/>
    <mergeCell ref="B9:L9"/>
    <mergeCell ref="M9:M10"/>
    <mergeCell ref="N9:S9"/>
    <mergeCell ref="AV8:AZ8"/>
    <mergeCell ref="BA8:BE8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</mergeCells>
  <phoneticPr fontId="14" type="noConversion"/>
  <dataValidations count="1">
    <dataValidation type="decimal" operator="greaterThan" allowBlank="1" showInputMessage="1" showErrorMessage="1" sqref="D12:E12 Q12:R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I9" sqref="I9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53" t="s">
        <v>444</v>
      </c>
      <c r="B1" s="354"/>
      <c r="C1" s="354"/>
      <c r="D1" s="354"/>
      <c r="E1" s="354"/>
      <c r="F1" s="354"/>
      <c r="G1" s="354"/>
      <c r="H1" s="353" t="s">
        <v>443</v>
      </c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3" t="s">
        <v>442</v>
      </c>
      <c r="X1" s="354"/>
      <c r="Y1" s="354"/>
    </row>
    <row r="2" spans="1:26" s="16" customFormat="1" ht="47.25">
      <c r="A2" s="255" t="s">
        <v>479</v>
      </c>
      <c r="B2" s="256" t="s">
        <v>423</v>
      </c>
      <c r="C2" s="256" t="s">
        <v>424</v>
      </c>
      <c r="D2" s="257" t="s">
        <v>432</v>
      </c>
      <c r="E2" s="257" t="s">
        <v>437</v>
      </c>
      <c r="F2" s="257" t="s">
        <v>431</v>
      </c>
      <c r="G2" s="258" t="s">
        <v>248</v>
      </c>
      <c r="H2" s="258" t="s">
        <v>436</v>
      </c>
      <c r="I2" s="257" t="s">
        <v>438</v>
      </c>
      <c r="J2" s="257" t="s">
        <v>433</v>
      </c>
      <c r="K2" s="257" t="s">
        <v>434</v>
      </c>
      <c r="L2" s="257" t="s">
        <v>440</v>
      </c>
      <c r="M2" s="257" t="s">
        <v>439</v>
      </c>
      <c r="N2" s="258" t="s">
        <v>425</v>
      </c>
      <c r="O2" s="259" t="s">
        <v>428</v>
      </c>
      <c r="P2" s="259" t="s">
        <v>429</v>
      </c>
      <c r="Q2" s="259" t="s">
        <v>430</v>
      </c>
      <c r="R2" s="259" t="s">
        <v>441</v>
      </c>
      <c r="S2" s="258" t="s">
        <v>447</v>
      </c>
      <c r="T2" s="258" t="s">
        <v>446</v>
      </c>
      <c r="U2" s="257" t="s">
        <v>445</v>
      </c>
      <c r="V2" s="259" t="s">
        <v>523</v>
      </c>
      <c r="W2" s="259" t="s">
        <v>525</v>
      </c>
      <c r="X2" s="257" t="s">
        <v>526</v>
      </c>
      <c r="Y2" s="260" t="s">
        <v>7</v>
      </c>
      <c r="Z2" s="261" t="s">
        <v>426</v>
      </c>
    </row>
    <row r="3" spans="1:26" ht="17.25">
      <c r="A3" s="105"/>
      <c r="B3" s="105"/>
      <c r="C3" s="105"/>
      <c r="D3" s="105">
        <v>1000</v>
      </c>
      <c r="E3" s="105">
        <v>1</v>
      </c>
      <c r="F3" s="253">
        <f>IF((VLOOKUP(Ahu_Ashrae_sheet[[#This Row],[Occupancy Category]],Ashrae90.1Vent[#All],7,FALSE)) = "YES",MROUND(D3/2,5),MROUND(D3,5))</f>
        <v>500</v>
      </c>
      <c r="G3" s="105">
        <v>5500</v>
      </c>
      <c r="H3" s="105" t="s">
        <v>473</v>
      </c>
      <c r="I3" s="105" t="s">
        <v>672</v>
      </c>
      <c r="J3" s="18">
        <f>VLOOKUP(Ahu_Ashrae_sheet[[#This Row],[Occupancy Category]],Ashrae90.1Vent[#All],2,FALSE)</f>
        <v>0</v>
      </c>
      <c r="K3" s="18">
        <f>VLOOKUP(Ahu_Ashrae_sheet[[#This Row],[Occupancy Category]],Ashrae90.1Vent[#All],3,FALSE)</f>
        <v>0</v>
      </c>
      <c r="L3" s="18">
        <f>VLOOKUP(Ahu_Ashrae_sheet[[#This Row],[Occupancy Category]],Ashrae90.1Vent[#All],4,FALSE)</f>
        <v>0</v>
      </c>
      <c r="M3" s="18">
        <f>VLOOKUP(Ahu_Ashrae_sheet[[#This Row],[Occupancy Category]],Ashrae90.1Vent[#All],5,FALSE)</f>
        <v>2</v>
      </c>
      <c r="N3" s="18">
        <f>CEILING((L3/1000)*D3,1)</f>
        <v>0</v>
      </c>
      <c r="O3" s="73">
        <f>(Ahu_Ashrae_sheet[[#This Row],[RP
(CFM/PER PERSON)]]*Ahu_Ashrae_sheet[[#This Row],[Occupants]])+(Ahu_Ashrae_sheet[[#This Row],[RA
(CFM/FT²)]]*Ahu_Ashrae_sheet[[#This Row],[AREA 
(FT²)]])</f>
        <v>0</v>
      </c>
      <c r="P3" s="254">
        <v>0.8</v>
      </c>
      <c r="Q3" s="73">
        <f>O3/P3</f>
        <v>0</v>
      </c>
      <c r="R3" s="73">
        <f>Ahu_Ashrae_sheet[[#This Row],[Voz]]</f>
        <v>0</v>
      </c>
      <c r="S3" s="73">
        <f>IF(Ahu_Ashrae_sheet[[#This Row],[Exhaust Category]]="NOT APPLICABLE","NA",VLOOKUP(Ahu_Ashrae_sheet[[#This Row],[Exhaust Category]],ASHRAE_EA_Table[#All],2,FALSE))</f>
        <v>50</v>
      </c>
      <c r="T3" s="73">
        <f>IF(Ahu_Ashrae_sheet[[#This Row],[Exhaust Category]]="NOT APPLICABLE","NA",VLOOKUP(Ahu_Ashrae_sheet[[#This Row],[Exhaust Category]],ASHRAE_EA_Table[#All],3,FALSE))</f>
        <v>0</v>
      </c>
      <c r="U3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269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269">
        <f>IF(Ahu_Ashrae_sheet[[#This Row],[MIN ASHRAE EA
(CFM)]]=0,Ahu_Ashrae_sheet[[#This Row],[DESIGN SA(CFM)]],0)</f>
        <v>0</v>
      </c>
      <c r="X3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73">
        <f>Ahu_Ashrae_sheet[[#This Row],[DESIGN SA(CFM)]]-Ahu_Ashrae_sheet[[#This Row],[DESIGN RA(CFM)]]-Ahu_Ashrae_sheet[[#This Row],[DESIGN EA(CFM)]]</f>
        <v>-100</v>
      </c>
      <c r="Z3" s="262">
        <f>Ahu_Ashrae_sheet[[#This Row],[OUTSIDE AIRFLOW (CFM) (Vot)]]/Ahu_Ashrae_sheet[[#This Row],[DESIGN SA(CFM)]]</f>
        <v>0</v>
      </c>
    </row>
    <row r="4" spans="1:26" ht="17.25">
      <c r="A4" s="105"/>
      <c r="B4" s="105"/>
      <c r="C4" s="105"/>
      <c r="D4" s="105"/>
      <c r="E4" s="105">
        <v>5</v>
      </c>
      <c r="F4" s="253">
        <f>IF((VLOOKUP(Ahu_Ashrae_sheet[[#This Row],[Occupancy Category]],Ashrae90.1Vent[#All],7,FALSE)) = "YES",MROUND(D4/2,5),MROUND(D4,5))</f>
        <v>0</v>
      </c>
      <c r="G4" s="105">
        <v>280</v>
      </c>
      <c r="H4" s="105" t="s">
        <v>478</v>
      </c>
      <c r="I4" s="105" t="s">
        <v>630</v>
      </c>
      <c r="J4" s="18">
        <f>VLOOKUP(Ahu_Ashrae_sheet[[#This Row],[Occupancy Category]],Ashrae90.1Vent[#All],2,FALSE)</f>
        <v>5</v>
      </c>
      <c r="K4" s="18">
        <f>VLOOKUP(Ahu_Ashrae_sheet[[#This Row],[Occupancy Category]],Ashrae90.1Vent[#All],3,FALSE)</f>
        <v>0.12</v>
      </c>
      <c r="L4" s="18">
        <f>VLOOKUP(Ahu_Ashrae_sheet[[#This Row],[Occupancy Category]],Ashrae90.1Vent[#All],4,FALSE)</f>
        <v>10</v>
      </c>
      <c r="M4" s="18">
        <f>VLOOKUP(Ahu_Ashrae_sheet[[#This Row],[Occupancy Category]],Ashrae90.1Vent[#All],5,FALSE)</f>
        <v>1</v>
      </c>
      <c r="N4" s="18">
        <f>CEILING((L4/1000)*D4,1)</f>
        <v>0</v>
      </c>
      <c r="O4" s="73">
        <f>(Ahu_Ashrae_sheet[[#This Row],[RP
(CFM/PER PERSON)]]*Ahu_Ashrae_sheet[[#This Row],[Occupants]])+(Ahu_Ashrae_sheet[[#This Row],[RA
(CFM/FT²)]]*Ahu_Ashrae_sheet[[#This Row],[AREA 
(FT²)]])</f>
        <v>0</v>
      </c>
      <c r="P4" s="254">
        <v>0.8</v>
      </c>
      <c r="Q4" s="73">
        <f>O4/P4</f>
        <v>0</v>
      </c>
      <c r="R4" s="73">
        <f>Ahu_Ashrae_sheet[[#This Row],[Voz]]</f>
        <v>0</v>
      </c>
      <c r="S4" s="73" t="str">
        <f>IF(Ahu_Ashrae_sheet[[#This Row],[Exhaust Category]]="NOT APPLICABLE","NA",VLOOKUP(Ahu_Ashrae_sheet[[#This Row],[Exhaust Category]],ASHRAE_EA_Table[#All],3,FALSE))</f>
        <v>NA</v>
      </c>
      <c r="T4" s="73" t="str">
        <f>IF(Ahu_Ashrae_sheet[[#This Row],[Exhaust Category]]="NOT APPLICABLE","NA",VLOOKUP(Ahu_Ashrae_sheet[[#This Row],[Exhaust Category]],ASHRAE_EA_Table[#All],4,FALSE))</f>
        <v>NA</v>
      </c>
      <c r="U4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269">
        <f>IF(Ahu_Ashrae_sheet[[#This Row],[MIN ASHRAE EA
(CFM)]]=0,MAX(Ahu_Ashrae_sheet[[#This Row],[LOAD (CFM)]],Ahu_Ashrae_sheet[[#This Row],[OFFICE STANDARD 
(CFM)]]),Ahu_Ashrae_sheet[[#This Row],[DESIGN EA(CFM)]]-100)</f>
        <v>280</v>
      </c>
      <c r="W4" s="269">
        <f>IF(Ahu_Ashrae_sheet[[#This Row],[MIN ASHRAE EA
(CFM)]]=0,Ahu_Ashrae_sheet[[#This Row],[DESIGN SA(CFM)]],0)</f>
        <v>280</v>
      </c>
      <c r="X4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73">
        <f>Ahu_Ashrae_sheet[[#This Row],[DESIGN SA(CFM)]]-Ahu_Ashrae_sheet[[#This Row],[DESIGN RA(CFM)]]-Ahu_Ashrae_sheet[[#This Row],[DESIGN EA(CFM)]]</f>
        <v>0</v>
      </c>
      <c r="Z4" s="262">
        <f>Ahu_Ashrae_sheet[[#This Row],[OUTSIDE AIRFLOW (CFM) (Vot)]]/Ahu_Ashrae_sheet[[#This Row],[DESIGN SA(CFM)]]</f>
        <v>0</v>
      </c>
    </row>
    <row r="5" spans="1:26" ht="17.25">
      <c r="A5" s="105"/>
      <c r="B5" s="105"/>
      <c r="C5" s="105"/>
      <c r="D5" s="105"/>
      <c r="E5" s="105">
        <v>5</v>
      </c>
      <c r="F5" s="253">
        <f>IF((VLOOKUP(Ahu_Ashrae_sheet[[#This Row],[Occupancy Category]],Ashrae90.1Vent[#All],7,FALSE)) = "YES",MROUND(D5/2,5),MROUND(D5,5))</f>
        <v>0</v>
      </c>
      <c r="G5" s="105">
        <v>150</v>
      </c>
      <c r="H5" s="105" t="s">
        <v>478</v>
      </c>
      <c r="I5" s="105" t="s">
        <v>582</v>
      </c>
      <c r="J5" s="18">
        <f>VLOOKUP(Ahu_Ashrae_sheet[[#This Row],[Occupancy Category]],Ashrae90.1Vent[#All],2,FALSE)</f>
        <v>10</v>
      </c>
      <c r="K5" s="18">
        <f>VLOOKUP(Ahu_Ashrae_sheet[[#This Row],[Occupancy Category]],Ashrae90.1Vent[#All],3,FALSE)</f>
        <v>0.18</v>
      </c>
      <c r="L5" s="18">
        <f>VLOOKUP(Ahu_Ashrae_sheet[[#This Row],[Occupancy Category]],Ashrae90.1Vent[#All],4,FALSE)</f>
        <v>20</v>
      </c>
      <c r="M5" s="18">
        <f>VLOOKUP(Ahu_Ashrae_sheet[[#This Row],[Occupancy Category]],Ashrae90.1Vent[#All],5,FALSE)</f>
        <v>3</v>
      </c>
      <c r="N5" s="18">
        <f>CEILING((L5/1000)*D5,1)</f>
        <v>0</v>
      </c>
      <c r="O5" s="73">
        <f>(Ahu_Ashrae_sheet[[#This Row],[RP
(CFM/PER PERSON)]]*Ahu_Ashrae_sheet[[#This Row],[Occupants]])+(Ahu_Ashrae_sheet[[#This Row],[RA
(CFM/FT²)]]*Ahu_Ashrae_sheet[[#This Row],[AREA 
(FT²)]])</f>
        <v>0</v>
      </c>
      <c r="P5" s="254">
        <v>0.8</v>
      </c>
      <c r="Q5" s="73">
        <f>O5/P5</f>
        <v>0</v>
      </c>
      <c r="R5" s="73">
        <f>Ahu_Ashrae_sheet[[#This Row],[Voz]]</f>
        <v>0</v>
      </c>
      <c r="S5" s="73" t="str">
        <f>IF(Ahu_Ashrae_sheet[[#This Row],[Exhaust Category]]="NOT APPLICABLE","NA",VLOOKUP(Ahu_Ashrae_sheet[[#This Row],[Exhaust Category]],ASHRAE_EA_Table[#All],3,FALSE))</f>
        <v>NA</v>
      </c>
      <c r="T5" s="73" t="str">
        <f>IF(Ahu_Ashrae_sheet[[#This Row],[Exhaust Category]]="NOT APPLICABLE","NA",VLOOKUP(Ahu_Ashrae_sheet[[#This Row],[Exhaust Category]],ASHRAE_EA_Table[#All],4,FALSE))</f>
        <v>NA</v>
      </c>
      <c r="U5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269">
        <f>IF(Ahu_Ashrae_sheet[[#This Row],[MIN ASHRAE EA
(CFM)]]=0,MAX(Ahu_Ashrae_sheet[[#This Row],[LOAD (CFM)]],Ahu_Ashrae_sheet[[#This Row],[OFFICE STANDARD 
(CFM)]]),Ahu_Ashrae_sheet[[#This Row],[DESIGN EA(CFM)]]-100)</f>
        <v>150</v>
      </c>
      <c r="W5" s="269">
        <f>IF(Ahu_Ashrae_sheet[[#This Row],[MIN ASHRAE EA
(CFM)]]=0,Ahu_Ashrae_sheet[[#This Row],[DESIGN SA(CFM)]],0)</f>
        <v>150</v>
      </c>
      <c r="X5" s="269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73">
        <f>Ahu_Ashrae_sheet[[#This Row],[DESIGN SA(CFM)]]-Ahu_Ashrae_sheet[[#This Row],[DESIGN RA(CFM)]]-Ahu_Ashrae_sheet[[#This Row],[DESIGN EA(CFM)]]</f>
        <v>0</v>
      </c>
      <c r="Z5" s="262">
        <f>Ahu_Ashrae_sheet[[#This Row],[OUTSIDE AIRFLOW (CFM) (Vot)]]/Ahu_Ashrae_sheet[[#This Row],[DESIGN SA(CFM)]]</f>
        <v>0</v>
      </c>
    </row>
    <row r="6" spans="1:26" ht="15.75">
      <c r="A6" s="296" t="s">
        <v>448</v>
      </c>
      <c r="B6" s="296"/>
      <c r="C6" s="297">
        <f>SUBTOTAL(103,Ahu_Ashrae_sheet[Room])</f>
        <v>0</v>
      </c>
      <c r="D6" s="298">
        <f>SUBTOTAL(109,Ahu_Ashrae_sheet[AREA 
(FT²)])</f>
        <v>1000</v>
      </c>
      <c r="E6" s="299"/>
      <c r="F6" s="300"/>
      <c r="G6" s="301">
        <f>SUBTOTAL(109,Ahu_Ashrae_sheet[LOAD (CFM)])</f>
        <v>5930</v>
      </c>
      <c r="H6" s="296"/>
      <c r="I6" s="296"/>
      <c r="J6" s="302"/>
      <c r="K6" s="302"/>
      <c r="L6" s="302"/>
      <c r="M6" s="302"/>
      <c r="N6" s="303">
        <f>SUBTOTAL(109,Ahu_Ashrae_sheet[Occupants])</f>
        <v>0</v>
      </c>
      <c r="O6" s="302"/>
      <c r="P6" s="302"/>
      <c r="Q6" s="302"/>
      <c r="R6" s="304">
        <f>SUBTOTAL(109,Ahu_Ashrae_sheet[OUTSIDE AIRFLOW (CFM) (Vot)])</f>
        <v>0</v>
      </c>
      <c r="S6" s="302"/>
      <c r="T6" s="302"/>
      <c r="U6" s="302"/>
      <c r="V6" s="304">
        <f>SUBTOTAL(109,Ahu_Ashrae_sheet[DESIGN SA(CFM)])</f>
        <v>5930</v>
      </c>
      <c r="W6" s="304">
        <f>SUBTOTAL(109,Ahu_Ashrae_sheet[DESIGN RA(CFM)])</f>
        <v>430</v>
      </c>
      <c r="X6" s="304">
        <f>SUBTOTAL(109,Ahu_Ashrae_sheet[DESIGN EA(CFM)])</f>
        <v>5600</v>
      </c>
      <c r="Y6" s="302"/>
      <c r="Z6" s="268"/>
    </row>
    <row r="17" spans="20:20">
      <c r="T17" s="60"/>
    </row>
  </sheetData>
  <mergeCells count="3">
    <mergeCell ref="W1:Y1"/>
    <mergeCell ref="H1:V1"/>
    <mergeCell ref="A1:G1"/>
  </mergeCells>
  <phoneticPr fontId="9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86BBE610-6A86-453B-AA60-63DE32ACEFAB}">
          <x14:formula1>
            <xm:f>'ASHRAE Table'!$A$2:$A$92</xm:f>
          </x14:formula1>
          <xm:sqref>I3:I5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12" sqref="D12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53" t="s">
        <v>444</v>
      </c>
      <c r="B1" s="354"/>
      <c r="C1" s="354"/>
      <c r="D1" s="354"/>
      <c r="E1" s="354"/>
      <c r="F1" s="354"/>
      <c r="G1" s="354"/>
      <c r="H1" s="355" t="s">
        <v>443</v>
      </c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</row>
    <row r="2" spans="1:56" s="16" customFormat="1" ht="63">
      <c r="A2" s="255" t="s">
        <v>479</v>
      </c>
      <c r="B2" s="256" t="s">
        <v>423</v>
      </c>
      <c r="C2" s="256" t="s">
        <v>424</v>
      </c>
      <c r="D2" s="257" t="s">
        <v>556</v>
      </c>
      <c r="E2" s="257" t="s">
        <v>437</v>
      </c>
      <c r="F2" s="257" t="s">
        <v>431</v>
      </c>
      <c r="G2" s="258" t="s">
        <v>248</v>
      </c>
      <c r="H2" s="258" t="s">
        <v>436</v>
      </c>
      <c r="I2" s="257" t="s">
        <v>438</v>
      </c>
      <c r="J2" s="257" t="s">
        <v>433</v>
      </c>
      <c r="K2" s="257" t="s">
        <v>434</v>
      </c>
      <c r="L2" s="257" t="s">
        <v>440</v>
      </c>
      <c r="M2" s="257" t="s">
        <v>439</v>
      </c>
      <c r="N2" s="258" t="s">
        <v>527</v>
      </c>
      <c r="O2" s="258" t="s">
        <v>528</v>
      </c>
      <c r="P2" s="258" t="s">
        <v>529</v>
      </c>
      <c r="Q2" s="259" t="s">
        <v>531</v>
      </c>
      <c r="R2" s="259" t="s">
        <v>532</v>
      </c>
      <c r="S2" s="259" t="s">
        <v>441</v>
      </c>
      <c r="T2" s="271" t="s">
        <v>535</v>
      </c>
      <c r="U2" s="271" t="s">
        <v>534</v>
      </c>
      <c r="V2" s="271" t="s">
        <v>533</v>
      </c>
      <c r="W2" s="271" t="s">
        <v>555</v>
      </c>
      <c r="X2" s="271" t="s">
        <v>560</v>
      </c>
      <c r="Y2" s="271" t="s">
        <v>418</v>
      </c>
      <c r="Z2" s="271" t="s">
        <v>557</v>
      </c>
      <c r="AA2" s="258" t="s">
        <v>447</v>
      </c>
      <c r="AB2" s="258" t="s">
        <v>446</v>
      </c>
      <c r="AC2" s="257" t="s">
        <v>445</v>
      </c>
      <c r="AD2" s="259" t="s">
        <v>558</v>
      </c>
      <c r="AE2" s="259" t="s">
        <v>559</v>
      </c>
      <c r="AF2" s="259" t="s">
        <v>530</v>
      </c>
      <c r="AG2" s="257" t="s">
        <v>526</v>
      </c>
      <c r="AH2" s="260" t="s">
        <v>7</v>
      </c>
      <c r="AI2" s="261" t="s">
        <v>426</v>
      </c>
      <c r="AL2" s="86" t="s">
        <v>78</v>
      </c>
      <c r="AM2" s="86" t="s">
        <v>67</v>
      </c>
      <c r="AN2" s="86" t="s">
        <v>68</v>
      </c>
      <c r="AO2" s="86" t="s">
        <v>518</v>
      </c>
      <c r="AP2" s="86" t="s">
        <v>519</v>
      </c>
      <c r="AQ2" s="86" t="s">
        <v>520</v>
      </c>
      <c r="AR2" s="86" t="s">
        <v>521</v>
      </c>
      <c r="AS2" s="86" t="s">
        <v>522</v>
      </c>
      <c r="AT2" s="86" t="s">
        <v>30</v>
      </c>
      <c r="AU2" s="86" t="s">
        <v>61</v>
      </c>
      <c r="AV2" s="86" t="s">
        <v>31</v>
      </c>
      <c r="AW2" s="86" t="s">
        <v>60</v>
      </c>
      <c r="AX2" s="86" t="s">
        <v>59</v>
      </c>
      <c r="AY2" s="86" t="s">
        <v>133</v>
      </c>
      <c r="AZ2" s="86" t="s">
        <v>29</v>
      </c>
      <c r="BA2" s="86" t="s">
        <v>63</v>
      </c>
      <c r="BB2" s="86" t="s">
        <v>64</v>
      </c>
      <c r="BC2" s="86" t="s">
        <v>65</v>
      </c>
      <c r="BD2" s="86" t="s">
        <v>57</v>
      </c>
    </row>
    <row r="3" spans="1:56" ht="17.25">
      <c r="A3" s="105" t="s">
        <v>480</v>
      </c>
      <c r="B3" s="105">
        <v>102</v>
      </c>
      <c r="C3" s="105" t="s">
        <v>427</v>
      </c>
      <c r="D3" s="105">
        <v>900</v>
      </c>
      <c r="E3" s="105">
        <v>4</v>
      </c>
      <c r="F3" s="253">
        <f>IF((VLOOKUP(Ahu_Ashrae_sheet15[[#This Row],[Occupancy Category]],Ashrae90.1Vent[#All],7,FALSE)) = "YES",MROUND(D3/2,5),MROUND(D3,5))</f>
        <v>450</v>
      </c>
      <c r="G3" s="105">
        <v>650</v>
      </c>
      <c r="H3" s="105" t="s">
        <v>473</v>
      </c>
      <c r="I3" s="105" t="s">
        <v>672</v>
      </c>
      <c r="J3" s="18">
        <f>VLOOKUP(Ahu_Ashrae_sheet15[[#This Row],[Occupancy Category]],Ashrae90.1Vent[#All],2,FALSE)</f>
        <v>0</v>
      </c>
      <c r="K3" s="18">
        <f>VLOOKUP(Ahu_Ashrae_sheet15[[#This Row],[Occupancy Category]],Ashrae90.1Vent[#All],3,FALSE)</f>
        <v>0</v>
      </c>
      <c r="L3" s="18">
        <f>VLOOKUP(Ahu_Ashrae_sheet15[[#This Row],[Occupancy Category]],Ashrae90.1Vent[#All],4,FALSE)</f>
        <v>0</v>
      </c>
      <c r="M3" s="18">
        <f>VLOOKUP(Ahu_Ashrae_sheet15[[#This Row],[Occupancy Category]],Ashrae90.1Vent[#All],5,FALSE)</f>
        <v>2</v>
      </c>
      <c r="N3" s="105">
        <f>Ahu_Ashrae_sheet15[[#This Row],[Occupants (Pz)]]</f>
        <v>0</v>
      </c>
      <c r="O3" s="18">
        <f>CEILING((L3/1000)*D3,1)</f>
        <v>0</v>
      </c>
      <c r="P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270">
        <f>IF(Ahu_Ashrae_sheet15[[#This Row],[DIVERSITY (D)]]&lt;0.6,(0.88*Ahu_Ashrae_sheet15[[#This Row],[DIVERSITY (D)]]+0.22),0.75)</f>
        <v>0.75</v>
      </c>
      <c r="S3" s="73">
        <f>Ahu_Ashrae_sheet15[[#This Row],[Uncorrected OA (Vou)]]/Ahu_Ashrae_sheet15[[#This Row],[System Efficiency (Ev)]]</f>
        <v>0</v>
      </c>
      <c r="T3" s="73">
        <f>(Ahu_Ashrae_sheet15[[#This Row],[RP
(CFM/PER PERSON)]]*Ahu_Ashrae_sheet15[[#This Row],[Occupants (Pz)]])+(Ahu_Ashrae_sheet15[[#This Row],[RA
(CFM/FT²)]]*Ahu_Ashrae_sheet15[[#This Row],[AREA (FT²)]])</f>
        <v>0</v>
      </c>
      <c r="U3" s="105">
        <v>0.8</v>
      </c>
      <c r="V3" s="73">
        <f>Ahu_Ashrae_sheet15[[#This Row],[Breathing Zone OA (Vbz)]]/Ahu_Ashrae_sheet15[[#This Row],[Zone Efficiency (Ez)]]</f>
        <v>0</v>
      </c>
      <c r="W3" s="105" t="s">
        <v>214</v>
      </c>
      <c r="X3" s="73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73" t="str">
        <f>VLOOKUP(Ahu_Ashrae_sheet15[[#This Row],[Occupancy Category]],Ashrae90.1Vent[#All],6,FALSE)</f>
        <v>NO</v>
      </c>
      <c r="Z3" s="73">
        <f>IF(Ahu_Ashrae_sheet15[[#This Row],[OS]]="YES",0,Ahu_Ashrae_sheet15[[#This Row],[RA
(CFM/FT²)]]*Ahu_Ashrae_sheet15[[#This Row],[AREA (FT²)]])</f>
        <v>0</v>
      </c>
      <c r="AA3" s="73">
        <f>IF(Ahu_Ashrae_sheet15[[#This Row],[Exhaust Category]]="NOT APPLICABLE","NA",VLOOKUP(Ahu_Ashrae_sheet15[[#This Row],[Exhaust Category]],ASHRAE_EA_Table[#All],2,FALSE))</f>
        <v>50</v>
      </c>
      <c r="AB3" s="73">
        <f>IF(Ahu_Ashrae_sheet15[[#This Row],[Exhaust Category]]="NOT APPLICABLE","NA",VLOOKUP(Ahu_Ashrae_sheet15[[#This Row],[Exhaust Category]],ASHRAE_EA_Table[#All],3,FALSE))</f>
        <v>0</v>
      </c>
      <c r="AC3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05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05">
        <f>IF(Ahu_Ashrae_sheet15[[#This Row],[MIN ASHRAE EA
(CFM)]]=0,Ahu_Ashrae_sheet15[[#This Row],[DESIGN VAV MAX SA(CFM)]],0)</f>
        <v>0</v>
      </c>
      <c r="AG3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73">
        <f>Ahu_Ashrae_sheet15[[#This Row],[DESIGN VAV MAX SA(CFM)]]-Ahu_Ashrae_sheet15[[#This Row],[DESIGN RA (CFM)]]-Ahu_Ashrae_sheet15[[#This Row],[DESIGN EA(CFM)]]</f>
        <v>-100</v>
      </c>
      <c r="AI3" s="262">
        <f>Ahu_Ashrae_sheet15[[#This Row],[OUTSIDE AIRFLOW (CFM) (Vot)]]/Ahu_Ashrae_sheet15[[#This Row],[DESIGN VAV MAX SA(CFM)]]</f>
        <v>0</v>
      </c>
      <c r="AL3" s="272" t="s">
        <v>480</v>
      </c>
      <c r="AM3" s="272" t="s">
        <v>70</v>
      </c>
      <c r="AN3" s="272" t="s">
        <v>75</v>
      </c>
      <c r="AO3" s="274">
        <f>SUMIF(Ahu_Ashrae_sheet15[Zone],AHU1_CAV_SCHEDULE4451416[[#This Row],[ZONE]],Ahu_Ashrae_sheet15[DESIGN VAV MIN SA(CFM)])</f>
        <v>410</v>
      </c>
      <c r="AP3" s="272">
        <f>SUMIF(Ahu_Ashrae_sheet15[Zone],AHU1_CAV_SCHEDULE4451416[[#This Row],[ZONE]],Ahu_Ashrae_sheet15[DESIGN VAV MAX SA(CFM)])</f>
        <v>950</v>
      </c>
      <c r="AQ3" s="29">
        <f>IFERROR((VLOOKUP(AHU1_CAV_SCHEDULE4451416[[#This Row],[MAX VAV
(CFM)]],'DO NOT TOUCH'!$B$9:$C$14,2,TRUE)),"TBD")</f>
        <v>10</v>
      </c>
      <c r="AR3" s="29">
        <v>0.5</v>
      </c>
      <c r="AS3" s="29">
        <f>AHU1_CAV_SCHEDULE4451416[[#This Row],[MIN VAV
(CFM)]]</f>
        <v>410</v>
      </c>
      <c r="AT3" s="29">
        <f>INPUT_OUTPUTS!$C$16</f>
        <v>140</v>
      </c>
      <c r="AU3" s="29">
        <f>INPUT_OUTPUTS!$C$17</f>
        <v>100</v>
      </c>
      <c r="AV3" s="29">
        <v>55</v>
      </c>
      <c r="AW3" s="29">
        <v>80</v>
      </c>
      <c r="AX3" s="29">
        <f>MROUND((1.08*(AW3-AV3)*AHU1_CAV_SCHEDULE4451416[[#This Row],[HEATING AIRFLOW 
(CFM)]])/1000,0.1)</f>
        <v>11.100000000000001</v>
      </c>
      <c r="AY3" s="30">
        <f>(AX3*1000)/(500*(AT3-AU3))</f>
        <v>0.55500000000000005</v>
      </c>
      <c r="AZ3" s="30">
        <f>IF(AY3&lt;0.5,0.5,AY3)</f>
        <v>0.55500000000000005</v>
      </c>
      <c r="BA3" s="30">
        <v>5</v>
      </c>
      <c r="BB3" s="30">
        <f>IFERROR((_xlfn.XLOOKUP(AQ3,'DO NOT TOUCH'!$C$9:$C$14,'DO NOT TOUCH'!$D$9:$D$14,)),"TBD")</f>
        <v>35</v>
      </c>
      <c r="BC3" s="30">
        <f>INPUT_OUTPUTS!$C$19</f>
        <v>0</v>
      </c>
      <c r="BD3" s="29" t="s">
        <v>71</v>
      </c>
    </row>
    <row r="4" spans="1:56" ht="17.25">
      <c r="A4" s="105" t="s">
        <v>480</v>
      </c>
      <c r="B4" s="105">
        <v>103</v>
      </c>
      <c r="C4" s="105" t="s">
        <v>450</v>
      </c>
      <c r="D4" s="105">
        <v>300</v>
      </c>
      <c r="E4" s="105">
        <v>0</v>
      </c>
      <c r="F4" s="253">
        <f>IF((VLOOKUP(Ahu_Ashrae_sheet15[[#This Row],[Occupancy Category]],Ashrae90.1Vent[#All],7,FALSE)) = "YES",MROUND(D4/2,5),MROUND(D4,5))</f>
        <v>300</v>
      </c>
      <c r="G4" s="105">
        <v>280</v>
      </c>
      <c r="H4" s="105" t="s">
        <v>478</v>
      </c>
      <c r="I4" s="105" t="s">
        <v>586</v>
      </c>
      <c r="J4" s="18">
        <f>VLOOKUP(Ahu_Ashrae_sheet15[[#This Row],[Occupancy Category]],Ashrae90.1Vent[#All],2,FALSE)</f>
        <v>10</v>
      </c>
      <c r="K4" s="18">
        <f>VLOOKUP(Ahu_Ashrae_sheet15[[#This Row],[Occupancy Category]],Ashrae90.1Vent[#All],3,FALSE)</f>
        <v>0.18</v>
      </c>
      <c r="L4" s="18">
        <f>VLOOKUP(Ahu_Ashrae_sheet15[[#This Row],[Occupancy Category]],Ashrae90.1Vent[#All],4,FALSE)</f>
        <v>20</v>
      </c>
      <c r="M4" s="18">
        <f>VLOOKUP(Ahu_Ashrae_sheet15[[#This Row],[Occupancy Category]],Ashrae90.1Vent[#All],5,FALSE)</f>
        <v>3</v>
      </c>
      <c r="N4" s="105">
        <f>Ahu_Ashrae_sheet15[[#This Row],[Occupants (Pz)]]</f>
        <v>6</v>
      </c>
      <c r="O4" s="18">
        <f>CEILING((L4/1000)*D4,1)</f>
        <v>6</v>
      </c>
      <c r="P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270">
        <f>IF(Ahu_Ashrae_sheet15[[#This Row],[DIVERSITY (D)]]&lt;0.6,(0.88*Ahu_Ashrae_sheet15[[#This Row],[DIVERSITY (D)]]+0.22),0.75)</f>
        <v>0.75</v>
      </c>
      <c r="S4" s="73">
        <f>Ahu_Ashrae_sheet15[[#This Row],[Uncorrected OA (Vou)]]/Ahu_Ashrae_sheet15[[#This Row],[System Efficiency (Ev)]]</f>
        <v>152</v>
      </c>
      <c r="T4" s="73">
        <f>(Ahu_Ashrae_sheet15[[#This Row],[RP
(CFM/PER PERSON)]]*Ahu_Ashrae_sheet15[[#This Row],[Occupants (Pz)]])+(Ahu_Ashrae_sheet15[[#This Row],[RA
(CFM/FT²)]]*Ahu_Ashrae_sheet15[[#This Row],[AREA (FT²)]])</f>
        <v>114</v>
      </c>
      <c r="U4" s="105">
        <v>0.8</v>
      </c>
      <c r="V4" s="73">
        <f>Ahu_Ashrae_sheet15[[#This Row],[Breathing Zone OA (Vbz)]]/Ahu_Ashrae_sheet15[[#This Row],[Zone Efficiency (Ez)]]</f>
        <v>142.5</v>
      </c>
      <c r="W4" s="105" t="s">
        <v>214</v>
      </c>
      <c r="X4" s="73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73" t="str">
        <f>VLOOKUP(Ahu_Ashrae_sheet15[[#This Row],[Occupancy Category]],Ashrae90.1Vent[#All],6,FALSE)</f>
        <v>NO</v>
      </c>
      <c r="Z4" s="73">
        <f>IF(Ahu_Ashrae_sheet15[[#This Row],[OS]]="YES",0,Ahu_Ashrae_sheet15[[#This Row],[RA
(CFM/FT²)]]*Ahu_Ashrae_sheet15[[#This Row],[AREA (FT²)]])</f>
        <v>54</v>
      </c>
      <c r="AA4" s="73" t="str">
        <f>IF(Ahu_Ashrae_sheet15[[#This Row],[Exhaust Category]]="NOT APPLICABLE","NA",VLOOKUP(Ahu_Ashrae_sheet15[[#This Row],[Exhaust Category]],ASHRAE_EA_Table[#All],2,FALSE))</f>
        <v>NA</v>
      </c>
      <c r="AB4" s="73" t="str">
        <f>IF(Ahu_Ashrae_sheet15[[#This Row],[Exhaust Category]]="NOT APPLICABLE","NA",VLOOKUP(Ahu_Ashrae_sheet15[[#This Row],[Exhaust Category]],ASHRAE_EA_Table[#All],3,FALSE))</f>
        <v>NA</v>
      </c>
      <c r="AC4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05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05">
        <f>IF(Ahu_Ashrae_sheet15[[#This Row],[MIN ASHRAE EA
(CFM)]]=0,Ahu_Ashrae_sheet15[[#This Row],[DESIGN VAV MAX SA(CFM)]],0)</f>
        <v>300</v>
      </c>
      <c r="AG4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73">
        <f>Ahu_Ashrae_sheet15[[#This Row],[DESIGN VAV MAX SA(CFM)]]-Ahu_Ashrae_sheet15[[#This Row],[DESIGN RA (CFM)]]-Ahu_Ashrae_sheet15[[#This Row],[DESIGN EA(CFM)]]</f>
        <v>0</v>
      </c>
      <c r="AI4" s="262">
        <f>Ahu_Ashrae_sheet15[[#This Row],[OUTSIDE AIRFLOW (CFM) (Vot)]]/Ahu_Ashrae_sheet15[[#This Row],[DESIGN VAV MAX SA(CFM)]]</f>
        <v>0.50666666666666671</v>
      </c>
      <c r="AL4" s="272" t="s">
        <v>481</v>
      </c>
      <c r="AM4" s="272" t="s">
        <v>70</v>
      </c>
      <c r="AN4" s="272" t="s">
        <v>75</v>
      </c>
      <c r="AO4" s="274">
        <f>SUMIF(Ahu_Ashrae_sheet15[Zone],AHU1_CAV_SCHEDULE4451416[[#This Row],[ZONE]],Ahu_Ashrae_sheet15[DESIGN VAV MIN SA(CFM)])</f>
        <v>0</v>
      </c>
      <c r="AP4" s="272">
        <f>SUMIF(Ahu_Ashrae_sheet15[Zone],AHU1_CAV_SCHEDULE4451416[[#This Row],[ZONE]],Ahu_Ashrae_sheet15[DESIGN VAV MAX SA(CFM)])</f>
        <v>0</v>
      </c>
      <c r="AQ4" s="29" t="str">
        <f>IFERROR((VLOOKUP(AHU1_CAV_SCHEDULE4451416[[#This Row],[MAX VAV
(CFM)]],'DO NOT TOUCH'!$B$9:$C$14,2,TRUE)),"TBD")</f>
        <v>TBD</v>
      </c>
      <c r="AR4" s="29">
        <f>AR3</f>
        <v>0.5</v>
      </c>
      <c r="AS4" s="29">
        <f>AHU1_CAV_SCHEDULE4451416[[#This Row],[MIN VAV
(CFM)]]</f>
        <v>0</v>
      </c>
      <c r="AT4" s="29">
        <f>INPUT_OUTPUTS!$C$16</f>
        <v>140</v>
      </c>
      <c r="AU4" s="29">
        <f>INPUT_OUTPUTS!$C$17</f>
        <v>100</v>
      </c>
      <c r="AV4" s="29">
        <f t="shared" ref="AV4:AW19" si="0">AV3</f>
        <v>55</v>
      </c>
      <c r="AW4" s="29">
        <f t="shared" si="0"/>
        <v>80</v>
      </c>
      <c r="AX4" s="29">
        <f>MROUND((1.08*(AW4-AV4)*AHU1_CAV_SCHEDULE4451416[[#This Row],[HEATING AIRFLOW 
(CFM)]])/1000,0.1)</f>
        <v>0</v>
      </c>
      <c r="AY4" s="30">
        <f>(AX4*1000)/(500*(AT4-AU4))</f>
        <v>0</v>
      </c>
      <c r="AZ4" s="30">
        <f t="shared" ref="AZ4:AZ40" si="1">IF(AY4&lt;0.5,0.5,AY4)</f>
        <v>0.5</v>
      </c>
      <c r="BA4" s="30">
        <f>BA3</f>
        <v>5</v>
      </c>
      <c r="BB4" s="30" t="str">
        <f>IFERROR((_xlfn.XLOOKUP(AQ4,'DO NOT TOUCH'!$C$9:$C$14,'DO NOT TOUCH'!$D$9:$D$14,)),"TBD")</f>
        <v>TBD</v>
      </c>
      <c r="BC4" s="30">
        <f>INPUT_OUTPUTS!$C$19</f>
        <v>0</v>
      </c>
      <c r="BD4" s="29" t="str">
        <f>BD3</f>
        <v>1, 2</v>
      </c>
    </row>
    <row r="5" spans="1:56" ht="17.25">
      <c r="A5" s="105" t="s">
        <v>482</v>
      </c>
      <c r="B5" s="105">
        <v>104</v>
      </c>
      <c r="C5" s="105" t="s">
        <v>449</v>
      </c>
      <c r="D5" s="105">
        <v>1200</v>
      </c>
      <c r="E5" s="105">
        <v>0</v>
      </c>
      <c r="F5" s="253">
        <f>IF((VLOOKUP(Ahu_Ashrae_sheet15[[#This Row],[Occupancy Category]],Ashrae90.1Vent[#All],7,FALSE)) = "YES",MROUND(D5/2,5),MROUND(D5,5))</f>
        <v>1200</v>
      </c>
      <c r="G5" s="105">
        <v>150</v>
      </c>
      <c r="H5" s="105" t="s">
        <v>478</v>
      </c>
      <c r="I5" s="105" t="s">
        <v>601</v>
      </c>
      <c r="J5" s="18">
        <f>VLOOKUP(Ahu_Ashrae_sheet15[[#This Row],[Occupancy Category]],Ashrae90.1Vent[#All],2,FALSE)</f>
        <v>5</v>
      </c>
      <c r="K5" s="18">
        <f>VLOOKUP(Ahu_Ashrae_sheet15[[#This Row],[Occupancy Category]],Ashrae90.1Vent[#All],3,FALSE)</f>
        <v>0.12</v>
      </c>
      <c r="L5" s="18">
        <f>VLOOKUP(Ahu_Ashrae_sheet15[[#This Row],[Occupancy Category]],Ashrae90.1Vent[#All],4,FALSE)</f>
        <v>10</v>
      </c>
      <c r="M5" s="18">
        <f>VLOOKUP(Ahu_Ashrae_sheet15[[#This Row],[Occupancy Category]],Ashrae90.1Vent[#All],5,FALSE)</f>
        <v>0</v>
      </c>
      <c r="N5" s="105">
        <f>Ahu_Ashrae_sheet15[[#This Row],[Occupants (Pz)]]</f>
        <v>12</v>
      </c>
      <c r="O5" s="18">
        <f>CEILING((L5/1000)*D5,1)</f>
        <v>12</v>
      </c>
      <c r="P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73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270">
        <f>IF(Ahu_Ashrae_sheet15[[#This Row],[DIVERSITY (D)]]&lt;0.6,(0.88*Ahu_Ashrae_sheet15[[#This Row],[DIVERSITY (D)]]+0.22),0.75)</f>
        <v>0.75</v>
      </c>
      <c r="S5" s="73">
        <f>Ahu_Ashrae_sheet15[[#This Row],[Uncorrected OA (Vou)]]/Ahu_Ashrae_sheet15[[#This Row],[System Efficiency (Ev)]]</f>
        <v>272</v>
      </c>
      <c r="T5" s="73">
        <f>(Ahu_Ashrae_sheet15[[#This Row],[RP
(CFM/PER PERSON)]]*Ahu_Ashrae_sheet15[[#This Row],[Occupants (Pz)]])+(Ahu_Ashrae_sheet15[[#This Row],[RA
(CFM/FT²)]]*Ahu_Ashrae_sheet15[[#This Row],[AREA (FT²)]])</f>
        <v>204</v>
      </c>
      <c r="U5" s="105">
        <v>0.8</v>
      </c>
      <c r="V5" s="73">
        <f>Ahu_Ashrae_sheet15[[#This Row],[Breathing Zone OA (Vbz)]]/Ahu_Ashrae_sheet15[[#This Row],[Zone Efficiency (Ez)]]</f>
        <v>255</v>
      </c>
      <c r="W5" s="105" t="s">
        <v>214</v>
      </c>
      <c r="X5" s="73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73" t="str">
        <f>VLOOKUP(Ahu_Ashrae_sheet15[[#This Row],[Occupancy Category]],Ashrae90.1Vent[#All],6,FALSE)</f>
        <v>NO</v>
      </c>
      <c r="Z5" s="73">
        <f>IF(Ahu_Ashrae_sheet15[[#This Row],[OS]]="YES",0,Ahu_Ashrae_sheet15[[#This Row],[RA
(CFM/FT²)]]*Ahu_Ashrae_sheet15[[#This Row],[AREA (FT²)]])</f>
        <v>144</v>
      </c>
      <c r="AA5" s="73" t="str">
        <f>IF(Ahu_Ashrae_sheet15[[#This Row],[Exhaust Category]]="NOT APPLICABLE","NA",VLOOKUP(Ahu_Ashrae_sheet15[[#This Row],[Exhaust Category]],ASHRAE_EA_Table[#All],2,FALSE))</f>
        <v>NA</v>
      </c>
      <c r="AB5" s="73" t="str">
        <f>IF(Ahu_Ashrae_sheet15[[#This Row],[Exhaust Category]]="NOT APPLICABLE","NA",VLOOKUP(Ahu_Ashrae_sheet15[[#This Row],[Exhaust Category]],ASHRAE_EA_Table[#All],3,FALSE))</f>
        <v>NA</v>
      </c>
      <c r="AC5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73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05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05">
        <f>IF(Ahu_Ashrae_sheet15[[#This Row],[MIN ASHRAE EA
(CFM)]]=0,Ahu_Ashrae_sheet15[[#This Row],[DESIGN VAV MAX SA(CFM)]],0)</f>
        <v>1200</v>
      </c>
      <c r="AG5" s="105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73">
        <f>Ahu_Ashrae_sheet15[[#This Row],[DESIGN VAV MAX SA(CFM)]]-Ahu_Ashrae_sheet15[[#This Row],[DESIGN RA (CFM)]]-Ahu_Ashrae_sheet15[[#This Row],[DESIGN EA(CFM)]]</f>
        <v>0</v>
      </c>
      <c r="AI5" s="262">
        <f>Ahu_Ashrae_sheet15[[#This Row],[OUTSIDE AIRFLOW (CFM) (Vot)]]/Ahu_Ashrae_sheet15[[#This Row],[DESIGN VAV MAX SA(CFM)]]</f>
        <v>0.22666666666666666</v>
      </c>
      <c r="AL5" s="272" t="s">
        <v>482</v>
      </c>
      <c r="AM5" s="272" t="s">
        <v>70</v>
      </c>
      <c r="AN5" s="272" t="s">
        <v>75</v>
      </c>
      <c r="AO5" s="274">
        <f>SUMIF(Ahu_Ashrae_sheet15[Zone],AHU1_CAV_SCHEDULE4451416[[#This Row],[ZONE]],Ahu_Ashrae_sheet15[DESIGN VAV MIN SA(CFM)])</f>
        <v>385</v>
      </c>
      <c r="AP5" s="272">
        <f>SUMIF(Ahu_Ashrae_sheet15[Zone],AHU1_CAV_SCHEDULE4451416[[#This Row],[ZONE]],Ahu_Ashrae_sheet15[DESIGN VAV MAX SA(CFM)])</f>
        <v>1200</v>
      </c>
      <c r="AQ5" s="29">
        <f>IFERROR((VLOOKUP(AHU1_CAV_SCHEDULE4451416[[#This Row],[MAX VAV
(CFM)]],'DO NOT TOUCH'!$B$9:$C$14,2,TRUE)),"TBD")</f>
        <v>12</v>
      </c>
      <c r="AR5" s="29">
        <f t="shared" ref="AR5:AR40" si="2">AR4</f>
        <v>0.5</v>
      </c>
      <c r="AS5" s="29">
        <f>AHU1_CAV_SCHEDULE4451416[[#This Row],[MIN VAV
(CFM)]]</f>
        <v>385</v>
      </c>
      <c r="AT5" s="29">
        <f>INPUT_OUTPUTS!$C$16</f>
        <v>140</v>
      </c>
      <c r="AU5" s="29">
        <f>INPUT_OUTPUTS!$C$17</f>
        <v>100</v>
      </c>
      <c r="AV5" s="29">
        <f t="shared" si="0"/>
        <v>55</v>
      </c>
      <c r="AW5" s="29">
        <f t="shared" si="0"/>
        <v>80</v>
      </c>
      <c r="AX5" s="29">
        <f>MROUND((1.08*(AW5-AV5)*AHU1_CAV_SCHEDULE4451416[[#This Row],[HEATING AIRFLOW 
(CFM)]])/1000,0.1)</f>
        <v>10.4</v>
      </c>
      <c r="AY5" s="30">
        <f t="shared" ref="AY5:AY40" si="3">(AX5*1000)/(500*(AT5-AU5))</f>
        <v>0.52</v>
      </c>
      <c r="AZ5" s="30">
        <f t="shared" si="1"/>
        <v>0.52</v>
      </c>
      <c r="BA5" s="30">
        <f t="shared" ref="BA5:BA40" si="4">BA4</f>
        <v>5</v>
      </c>
      <c r="BB5" s="30">
        <f>IFERROR((_xlfn.XLOOKUP(AQ5,'DO NOT TOUCH'!$C$9:$C$14,'DO NOT TOUCH'!$D$9:$D$14,)),"TBD")</f>
        <v>45</v>
      </c>
      <c r="BC5" s="30">
        <f>INPUT_OUTPUTS!$C$19</f>
        <v>0</v>
      </c>
      <c r="BD5" s="29" t="str">
        <f t="shared" ref="BD5:BD40" si="5">BD4</f>
        <v>1, 2</v>
      </c>
    </row>
    <row r="6" spans="1:56" ht="15.75">
      <c r="A6" s="296" t="s">
        <v>448</v>
      </c>
      <c r="B6" s="296"/>
      <c r="C6" s="297">
        <f>SUBTOTAL(103,Ahu_Ashrae_sheet15[Room])</f>
        <v>3</v>
      </c>
      <c r="D6" s="298">
        <f>SUBTOTAL(109,Ahu_Ashrae_sheet15[AREA (FT²)])</f>
        <v>2400</v>
      </c>
      <c r="E6" s="299"/>
      <c r="F6" s="300"/>
      <c r="G6" s="301">
        <f>SUBTOTAL(109,Ahu_Ashrae_sheet15[LOAD (CFM)])</f>
        <v>1080</v>
      </c>
      <c r="H6" s="296"/>
      <c r="I6" s="296"/>
      <c r="J6" s="302"/>
      <c r="K6" s="302"/>
      <c r="L6" s="302"/>
      <c r="M6" s="302"/>
      <c r="N6" s="303">
        <f>SUBTOTAL(109,Ahu_Ashrae_sheet15[Actual Number of  Occupants (Ps)])</f>
        <v>18</v>
      </c>
      <c r="O6" s="303">
        <f>SUBTOTAL(109,Ahu_Ashrae_sheet15[Occupants (Pz)])</f>
        <v>18</v>
      </c>
      <c r="P6" s="303"/>
      <c r="Q6" s="304">
        <f>SUBTOTAL(109,Ahu_Ashrae_sheet15[Uncorrected OA (Vou)])</f>
        <v>318</v>
      </c>
      <c r="R6" s="302"/>
      <c r="S6" s="304">
        <f>SUBTOTAL(109,Ahu_Ashrae_sheet15[OUTSIDE AIRFLOW (CFM) (Vot)])</f>
        <v>424</v>
      </c>
      <c r="T6" s="304"/>
      <c r="U6" s="304"/>
      <c r="V6" s="304"/>
      <c r="W6" s="304"/>
      <c r="X6" s="304"/>
      <c r="Y6" s="304"/>
      <c r="Z6" s="304">
        <f>SUBTOTAL(109,Ahu_Ashrae_sheet15[MIN OA ALLOWABLE (WITH DCV)])</f>
        <v>198</v>
      </c>
      <c r="AA6" s="302"/>
      <c r="AB6" s="302"/>
      <c r="AC6" s="302"/>
      <c r="AD6" s="302"/>
      <c r="AE6" s="304">
        <f>SUBTOTAL(109,Ahu_Ashrae_sheet15[DESIGN VAV MAX SA(CFM)])</f>
        <v>2150</v>
      </c>
      <c r="AF6" s="304">
        <f>SUBTOTAL(109,Ahu_Ashrae_sheet15[DESIGN RA (CFM)])</f>
        <v>1500</v>
      </c>
      <c r="AG6" s="304">
        <f>SUBTOTAL(109,Ahu_Ashrae_sheet15[DESIGN EA(CFM)])</f>
        <v>750</v>
      </c>
      <c r="AH6" s="302"/>
      <c r="AI6" s="268"/>
      <c r="AL6" s="272" t="s">
        <v>483</v>
      </c>
      <c r="AM6" s="272" t="s">
        <v>70</v>
      </c>
      <c r="AN6" s="272" t="s">
        <v>75</v>
      </c>
      <c r="AO6" s="274">
        <f>SUMIF(Ahu_Ashrae_sheet15[Zone],AHU1_CAV_SCHEDULE4451416[[#This Row],[ZONE]],Ahu_Ashrae_sheet15[DESIGN VAV MIN SA(CFM)])</f>
        <v>0</v>
      </c>
      <c r="AP6" s="272">
        <f>SUMIF(Ahu_Ashrae_sheet15[Zone],AHU1_CAV_SCHEDULE4451416[[#This Row],[ZONE]],Ahu_Ashrae_sheet15[DESIGN VAV MAX SA(CFM)])</f>
        <v>0</v>
      </c>
      <c r="AQ6" s="29" t="str">
        <f>IFERROR((VLOOKUP(AHU1_CAV_SCHEDULE4451416[[#This Row],[MAX VAV
(CFM)]],'DO NOT TOUCH'!$B$9:$C$14,2,TRUE)),"TBD")</f>
        <v>TBD</v>
      </c>
      <c r="AR6" s="29">
        <f t="shared" si="2"/>
        <v>0.5</v>
      </c>
      <c r="AS6" s="29">
        <f>AHU1_CAV_SCHEDULE4451416[[#This Row],[MIN VAV
(CFM)]]</f>
        <v>0</v>
      </c>
      <c r="AT6" s="29">
        <f>INPUT_OUTPUTS!$C$16</f>
        <v>140</v>
      </c>
      <c r="AU6" s="29">
        <f>INPUT_OUTPUTS!$C$17</f>
        <v>100</v>
      </c>
      <c r="AV6" s="29">
        <f t="shared" si="0"/>
        <v>55</v>
      </c>
      <c r="AW6" s="29">
        <f t="shared" si="0"/>
        <v>80</v>
      </c>
      <c r="AX6" s="29">
        <f>MROUND((1.08*(AW6-AV6)*AHU1_CAV_SCHEDULE4451416[[#This Row],[HEATING AIRFLOW 
(CFM)]])/1000,0.1)</f>
        <v>0</v>
      </c>
      <c r="AY6" s="30">
        <f t="shared" si="3"/>
        <v>0</v>
      </c>
      <c r="AZ6" s="30">
        <f t="shared" si="1"/>
        <v>0.5</v>
      </c>
      <c r="BA6" s="30">
        <f t="shared" si="4"/>
        <v>5</v>
      </c>
      <c r="BB6" s="30" t="str">
        <f>IFERROR((_xlfn.XLOOKUP(AQ6,'DO NOT TOUCH'!$C$9:$C$14,'DO NOT TOUCH'!$D$9:$D$14,)),"TBD")</f>
        <v>TBD</v>
      </c>
      <c r="BC6" s="30">
        <f>INPUT_OUTPUTS!$C$19</f>
        <v>0</v>
      </c>
      <c r="BD6" s="29" t="str">
        <f t="shared" si="5"/>
        <v>1, 2</v>
      </c>
    </row>
    <row r="7" spans="1:56" ht="15">
      <c r="AL7" s="272" t="s">
        <v>484</v>
      </c>
      <c r="AM7" s="272" t="s">
        <v>70</v>
      </c>
      <c r="AN7" s="272" t="s">
        <v>75</v>
      </c>
      <c r="AO7" s="274">
        <f>SUMIF(Ahu_Ashrae_sheet15[Zone],AHU1_CAV_SCHEDULE4451416[[#This Row],[ZONE]],Ahu_Ashrae_sheet15[DESIGN VAV MIN SA(CFM)])</f>
        <v>0</v>
      </c>
      <c r="AP7" s="272">
        <f>SUMIF(Ahu_Ashrae_sheet15[Zone],AHU1_CAV_SCHEDULE4451416[[#This Row],[ZONE]],Ahu_Ashrae_sheet15[DESIGN VAV MAX SA(CFM)])</f>
        <v>0</v>
      </c>
      <c r="AQ7" s="29" t="str">
        <f>IFERROR((VLOOKUP(AHU1_CAV_SCHEDULE4451416[[#This Row],[MAX VAV
(CFM)]],'DO NOT TOUCH'!$B$9:$C$14,2,TRUE)),"TBD")</f>
        <v>TBD</v>
      </c>
      <c r="AR7" s="29">
        <f t="shared" si="2"/>
        <v>0.5</v>
      </c>
      <c r="AS7" s="29">
        <f>AHU1_CAV_SCHEDULE4451416[[#This Row],[MIN VAV
(CFM)]]</f>
        <v>0</v>
      </c>
      <c r="AT7" s="29">
        <f>INPUT_OUTPUTS!$C$16</f>
        <v>140</v>
      </c>
      <c r="AU7" s="29">
        <f>INPUT_OUTPUTS!$C$17</f>
        <v>100</v>
      </c>
      <c r="AV7" s="29">
        <f t="shared" si="0"/>
        <v>55</v>
      </c>
      <c r="AW7" s="29">
        <f t="shared" si="0"/>
        <v>80</v>
      </c>
      <c r="AX7" s="29">
        <f>MROUND((1.08*(AW7-AV7)*AHU1_CAV_SCHEDULE4451416[[#This Row],[HEATING AIRFLOW 
(CFM)]])/1000,0.1)</f>
        <v>0</v>
      </c>
      <c r="AY7" s="30">
        <f t="shared" si="3"/>
        <v>0</v>
      </c>
      <c r="AZ7" s="30">
        <f t="shared" si="1"/>
        <v>0.5</v>
      </c>
      <c r="BA7" s="30">
        <f t="shared" si="4"/>
        <v>5</v>
      </c>
      <c r="BB7" s="30" t="str">
        <f>IFERROR((_xlfn.XLOOKUP(AQ7,'DO NOT TOUCH'!$C$9:$C$14,'DO NOT TOUCH'!$D$9:$D$14,)),"TBD")</f>
        <v>TBD</v>
      </c>
      <c r="BC7" s="30">
        <f>INPUT_OUTPUTS!$C$19</f>
        <v>0</v>
      </c>
      <c r="BD7" s="29" t="str">
        <f t="shared" si="5"/>
        <v>1, 2</v>
      </c>
    </row>
    <row r="8" spans="1:56" ht="15">
      <c r="AL8" s="272" t="s">
        <v>485</v>
      </c>
      <c r="AM8" s="272" t="s">
        <v>70</v>
      </c>
      <c r="AN8" s="272" t="s">
        <v>75</v>
      </c>
      <c r="AO8" s="274">
        <f>SUMIF(Ahu_Ashrae_sheet15[Zone],AHU1_CAV_SCHEDULE4451416[[#This Row],[ZONE]],Ahu_Ashrae_sheet15[DESIGN VAV MIN SA(CFM)])</f>
        <v>0</v>
      </c>
      <c r="AP8" s="272">
        <f>SUMIF(Ahu_Ashrae_sheet15[Zone],AHU1_CAV_SCHEDULE4451416[[#This Row],[ZONE]],Ahu_Ashrae_sheet15[DESIGN VAV MAX SA(CFM)])</f>
        <v>0</v>
      </c>
      <c r="AQ8" s="29" t="str">
        <f>IFERROR((VLOOKUP(AHU1_CAV_SCHEDULE4451416[[#This Row],[MAX VAV
(CFM)]],'DO NOT TOUCH'!$B$9:$C$14,2,TRUE)),"TBD")</f>
        <v>TBD</v>
      </c>
      <c r="AR8" s="29">
        <f t="shared" si="2"/>
        <v>0.5</v>
      </c>
      <c r="AS8" s="29">
        <f>AHU1_CAV_SCHEDULE4451416[[#This Row],[MIN VAV
(CFM)]]</f>
        <v>0</v>
      </c>
      <c r="AT8" s="29">
        <f>INPUT_OUTPUTS!$C$16</f>
        <v>140</v>
      </c>
      <c r="AU8" s="29">
        <f>INPUT_OUTPUTS!$C$17</f>
        <v>100</v>
      </c>
      <c r="AV8" s="29">
        <f t="shared" si="0"/>
        <v>55</v>
      </c>
      <c r="AW8" s="29">
        <f t="shared" si="0"/>
        <v>80</v>
      </c>
      <c r="AX8" s="29">
        <f>MROUND((1.08*(AW8-AV8)*AHU1_CAV_SCHEDULE4451416[[#This Row],[HEATING AIRFLOW 
(CFM)]])/1000,0.1)</f>
        <v>0</v>
      </c>
      <c r="AY8" s="30">
        <f t="shared" si="3"/>
        <v>0</v>
      </c>
      <c r="AZ8" s="30">
        <f t="shared" si="1"/>
        <v>0.5</v>
      </c>
      <c r="BA8" s="30">
        <f t="shared" si="4"/>
        <v>5</v>
      </c>
      <c r="BB8" s="30" t="str">
        <f>IFERROR((_xlfn.XLOOKUP(AQ8,'DO NOT TOUCH'!$C$9:$C$14,'DO NOT TOUCH'!$D$9:$D$14,)),"TBD")</f>
        <v>TBD</v>
      </c>
      <c r="BC8" s="30">
        <f>INPUT_OUTPUTS!$C$19</f>
        <v>0</v>
      </c>
      <c r="BD8" s="29" t="str">
        <f t="shared" si="5"/>
        <v>1, 2</v>
      </c>
    </row>
    <row r="9" spans="1:56" ht="15">
      <c r="AL9" s="272" t="s">
        <v>486</v>
      </c>
      <c r="AM9" s="272" t="s">
        <v>70</v>
      </c>
      <c r="AN9" s="272" t="s">
        <v>75</v>
      </c>
      <c r="AO9" s="274">
        <f>SUMIF(Ahu_Ashrae_sheet15[Zone],AHU1_CAV_SCHEDULE4451416[[#This Row],[ZONE]],Ahu_Ashrae_sheet15[DESIGN VAV MIN SA(CFM)])</f>
        <v>0</v>
      </c>
      <c r="AP9" s="272">
        <f>SUMIF(Ahu_Ashrae_sheet15[Zone],AHU1_CAV_SCHEDULE4451416[[#This Row],[ZONE]],Ahu_Ashrae_sheet15[DESIGN VAV MAX SA(CFM)])</f>
        <v>0</v>
      </c>
      <c r="AQ9" s="29" t="str">
        <f>IFERROR((VLOOKUP(AHU1_CAV_SCHEDULE4451416[[#This Row],[MAX VAV
(CFM)]],'DO NOT TOUCH'!$B$9:$C$14,2,TRUE)),"TBD")</f>
        <v>TBD</v>
      </c>
      <c r="AR9" s="29">
        <f t="shared" si="2"/>
        <v>0.5</v>
      </c>
      <c r="AS9" s="29">
        <f>AHU1_CAV_SCHEDULE4451416[[#This Row],[MIN VAV
(CFM)]]</f>
        <v>0</v>
      </c>
      <c r="AT9" s="29">
        <f>INPUT_OUTPUTS!$C$16</f>
        <v>140</v>
      </c>
      <c r="AU9" s="29">
        <f>INPUT_OUTPUTS!$C$17</f>
        <v>100</v>
      </c>
      <c r="AV9" s="29">
        <f t="shared" si="0"/>
        <v>55</v>
      </c>
      <c r="AW9" s="29">
        <f t="shared" si="0"/>
        <v>80</v>
      </c>
      <c r="AX9" s="29">
        <f>MROUND((1.08*(AW9-AV9)*AHU1_CAV_SCHEDULE4451416[[#This Row],[HEATING AIRFLOW 
(CFM)]])/1000,0.1)</f>
        <v>0</v>
      </c>
      <c r="AY9" s="30">
        <f t="shared" si="3"/>
        <v>0</v>
      </c>
      <c r="AZ9" s="30">
        <f t="shared" si="1"/>
        <v>0.5</v>
      </c>
      <c r="BA9" s="30">
        <f t="shared" si="4"/>
        <v>5</v>
      </c>
      <c r="BB9" s="30" t="str">
        <f>IFERROR((_xlfn.XLOOKUP(AQ9,'DO NOT TOUCH'!$C$9:$C$14,'DO NOT TOUCH'!$D$9:$D$14,)),"TBD")</f>
        <v>TBD</v>
      </c>
      <c r="BC9" s="30">
        <f>INPUT_OUTPUTS!$C$19</f>
        <v>0</v>
      </c>
      <c r="BD9" s="32" t="str">
        <f t="shared" si="5"/>
        <v>1, 2</v>
      </c>
    </row>
    <row r="10" spans="1:56" ht="15">
      <c r="AL10" s="272" t="s">
        <v>487</v>
      </c>
      <c r="AM10" s="272" t="s">
        <v>70</v>
      </c>
      <c r="AN10" s="272" t="s">
        <v>75</v>
      </c>
      <c r="AO10" s="274">
        <f>SUMIF(Ahu_Ashrae_sheet15[Zone],AHU1_CAV_SCHEDULE4451416[[#This Row],[ZONE]],Ahu_Ashrae_sheet15[DESIGN VAV MIN SA(CFM)])</f>
        <v>0</v>
      </c>
      <c r="AP10" s="272">
        <f>SUMIF(Ahu_Ashrae_sheet15[Zone],AHU1_CAV_SCHEDULE4451416[[#This Row],[ZONE]],Ahu_Ashrae_sheet15[DESIGN VAV MAX SA(CFM)])</f>
        <v>0</v>
      </c>
      <c r="AQ10" s="29" t="str">
        <f>IFERROR((VLOOKUP(AHU1_CAV_SCHEDULE4451416[[#This Row],[MAX VAV
(CFM)]],'DO NOT TOUCH'!$B$9:$C$14,2,TRUE)),"TBD")</f>
        <v>TBD</v>
      </c>
      <c r="AR10" s="29">
        <f t="shared" si="2"/>
        <v>0.5</v>
      </c>
      <c r="AS10" s="29">
        <f>AHU1_CAV_SCHEDULE4451416[[#This Row],[MIN VAV
(CFM)]]</f>
        <v>0</v>
      </c>
      <c r="AT10" s="29">
        <f>INPUT_OUTPUTS!$C$16</f>
        <v>140</v>
      </c>
      <c r="AU10" s="29">
        <f>INPUT_OUTPUTS!$C$17</f>
        <v>100</v>
      </c>
      <c r="AV10" s="29">
        <f t="shared" si="0"/>
        <v>55</v>
      </c>
      <c r="AW10" s="29">
        <f t="shared" si="0"/>
        <v>80</v>
      </c>
      <c r="AX10" s="29">
        <f>MROUND((1.08*(AW10-AV10)*AHU1_CAV_SCHEDULE4451416[[#This Row],[HEATING AIRFLOW 
(CFM)]])/1000,0.1)</f>
        <v>0</v>
      </c>
      <c r="AY10" s="30">
        <f t="shared" si="3"/>
        <v>0</v>
      </c>
      <c r="AZ10" s="30">
        <f t="shared" si="1"/>
        <v>0.5</v>
      </c>
      <c r="BA10" s="30">
        <f t="shared" si="4"/>
        <v>5</v>
      </c>
      <c r="BB10" s="30" t="str">
        <f>IFERROR((_xlfn.XLOOKUP(AQ10,'DO NOT TOUCH'!$C$9:$C$14,'DO NOT TOUCH'!$D$9:$D$14,)),"TBD")</f>
        <v>TBD</v>
      </c>
      <c r="BC10" s="30">
        <f>INPUT_OUTPUTS!$C$19</f>
        <v>0</v>
      </c>
      <c r="BD10" s="32" t="str">
        <f t="shared" si="5"/>
        <v>1, 2</v>
      </c>
    </row>
    <row r="11" spans="1:56" ht="15">
      <c r="AL11" s="272" t="s">
        <v>488</v>
      </c>
      <c r="AM11" s="272" t="s">
        <v>70</v>
      </c>
      <c r="AN11" s="272" t="s">
        <v>75</v>
      </c>
      <c r="AO11" s="274">
        <f>SUMIF(Ahu_Ashrae_sheet15[Zone],AHU1_CAV_SCHEDULE4451416[[#This Row],[ZONE]],Ahu_Ashrae_sheet15[DESIGN VAV MIN SA(CFM)])</f>
        <v>0</v>
      </c>
      <c r="AP11" s="272">
        <f>SUMIF(Ahu_Ashrae_sheet15[Zone],AHU1_CAV_SCHEDULE4451416[[#This Row],[ZONE]],Ahu_Ashrae_sheet15[DESIGN VAV MAX SA(CFM)])</f>
        <v>0</v>
      </c>
      <c r="AQ11" s="29" t="str">
        <f>IFERROR((VLOOKUP(AHU1_CAV_SCHEDULE4451416[[#This Row],[MAX VAV
(CFM)]],'DO NOT TOUCH'!$B$9:$C$14,2,TRUE)),"TBD")</f>
        <v>TBD</v>
      </c>
      <c r="AR11" s="29">
        <f t="shared" si="2"/>
        <v>0.5</v>
      </c>
      <c r="AS11" s="29">
        <f>AHU1_CAV_SCHEDULE4451416[[#This Row],[MIN VAV
(CFM)]]</f>
        <v>0</v>
      </c>
      <c r="AT11" s="29">
        <f>INPUT_OUTPUTS!$C$16</f>
        <v>140</v>
      </c>
      <c r="AU11" s="29">
        <f>INPUT_OUTPUTS!$C$17</f>
        <v>100</v>
      </c>
      <c r="AV11" s="29">
        <f t="shared" si="0"/>
        <v>55</v>
      </c>
      <c r="AW11" s="29">
        <f t="shared" si="0"/>
        <v>80</v>
      </c>
      <c r="AX11" s="29">
        <f>MROUND((1.08*(AW11-AV11)*AHU1_CAV_SCHEDULE4451416[[#This Row],[HEATING AIRFLOW 
(CFM)]])/1000,0.1)</f>
        <v>0</v>
      </c>
      <c r="AY11" s="30">
        <f t="shared" si="3"/>
        <v>0</v>
      </c>
      <c r="AZ11" s="30">
        <f t="shared" si="1"/>
        <v>0.5</v>
      </c>
      <c r="BA11" s="30">
        <f t="shared" si="4"/>
        <v>5</v>
      </c>
      <c r="BB11" s="30" t="str">
        <f>IFERROR((_xlfn.XLOOKUP(AQ11,'DO NOT TOUCH'!$C$9:$C$14,'DO NOT TOUCH'!$D$9:$D$14,)),"TBD")</f>
        <v>TBD</v>
      </c>
      <c r="BC11" s="30">
        <f>INPUT_OUTPUTS!$C$19</f>
        <v>0</v>
      </c>
      <c r="BD11" s="32" t="str">
        <f t="shared" si="5"/>
        <v>1, 2</v>
      </c>
    </row>
    <row r="12" spans="1:56" ht="15">
      <c r="AL12" s="272" t="s">
        <v>489</v>
      </c>
      <c r="AM12" s="272" t="s">
        <v>70</v>
      </c>
      <c r="AN12" s="272" t="s">
        <v>75</v>
      </c>
      <c r="AO12" s="274">
        <f>SUMIF(Ahu_Ashrae_sheet15[Zone],AHU1_CAV_SCHEDULE4451416[[#This Row],[ZONE]],Ahu_Ashrae_sheet15[DESIGN VAV MIN SA(CFM)])</f>
        <v>0</v>
      </c>
      <c r="AP12" s="272">
        <f>SUMIF(Ahu_Ashrae_sheet15[Zone],AHU1_CAV_SCHEDULE4451416[[#This Row],[ZONE]],Ahu_Ashrae_sheet15[DESIGN VAV MAX SA(CFM)])</f>
        <v>0</v>
      </c>
      <c r="AQ12" s="29" t="str">
        <f>IFERROR((VLOOKUP(AHU1_CAV_SCHEDULE4451416[[#This Row],[MAX VAV
(CFM)]],'DO NOT TOUCH'!$B$9:$C$14,2,TRUE)),"TBD")</f>
        <v>TBD</v>
      </c>
      <c r="AR12" s="29">
        <f t="shared" si="2"/>
        <v>0.5</v>
      </c>
      <c r="AS12" s="29">
        <f>AHU1_CAV_SCHEDULE4451416[[#This Row],[MIN VAV
(CFM)]]</f>
        <v>0</v>
      </c>
      <c r="AT12" s="29">
        <f>INPUT_OUTPUTS!$C$16</f>
        <v>140</v>
      </c>
      <c r="AU12" s="29">
        <f>INPUT_OUTPUTS!$C$17</f>
        <v>100</v>
      </c>
      <c r="AV12" s="29">
        <f t="shared" si="0"/>
        <v>55</v>
      </c>
      <c r="AW12" s="29">
        <f t="shared" si="0"/>
        <v>80</v>
      </c>
      <c r="AX12" s="29">
        <f>MROUND((1.08*(AW12-AV12)*AHU1_CAV_SCHEDULE4451416[[#This Row],[HEATING AIRFLOW 
(CFM)]])/1000,0.1)</f>
        <v>0</v>
      </c>
      <c r="AY12" s="30">
        <f t="shared" si="3"/>
        <v>0</v>
      </c>
      <c r="AZ12" s="30">
        <f t="shared" si="1"/>
        <v>0.5</v>
      </c>
      <c r="BA12" s="30">
        <f t="shared" si="4"/>
        <v>5</v>
      </c>
      <c r="BB12" s="30" t="str">
        <f>IFERROR((_xlfn.XLOOKUP(AQ12,'DO NOT TOUCH'!$C$9:$C$14,'DO NOT TOUCH'!$D$9:$D$14,)),"TBD")</f>
        <v>TBD</v>
      </c>
      <c r="BC12" s="30">
        <f>INPUT_OUTPUTS!$C$19</f>
        <v>0</v>
      </c>
      <c r="BD12" s="32" t="str">
        <f t="shared" si="5"/>
        <v>1, 2</v>
      </c>
    </row>
    <row r="13" spans="1:56" ht="15">
      <c r="AL13" s="272" t="s">
        <v>490</v>
      </c>
      <c r="AM13" s="272" t="s">
        <v>70</v>
      </c>
      <c r="AN13" s="272" t="s">
        <v>75</v>
      </c>
      <c r="AO13" s="274">
        <f>SUMIF(Ahu_Ashrae_sheet15[Zone],AHU1_CAV_SCHEDULE4451416[[#This Row],[ZONE]],Ahu_Ashrae_sheet15[DESIGN VAV MIN SA(CFM)])</f>
        <v>0</v>
      </c>
      <c r="AP13" s="272">
        <f>SUMIF(Ahu_Ashrae_sheet15[Zone],AHU1_CAV_SCHEDULE4451416[[#This Row],[ZONE]],Ahu_Ashrae_sheet15[DESIGN VAV MAX SA(CFM)])</f>
        <v>0</v>
      </c>
      <c r="AQ13" s="29" t="str">
        <f>IFERROR((VLOOKUP(AHU1_CAV_SCHEDULE4451416[[#This Row],[MAX VAV
(CFM)]],'DO NOT TOUCH'!$B$9:$C$14,2,TRUE)),"TBD")</f>
        <v>TBD</v>
      </c>
      <c r="AR13" s="29">
        <f t="shared" si="2"/>
        <v>0.5</v>
      </c>
      <c r="AS13" s="29">
        <f>AHU1_CAV_SCHEDULE4451416[[#This Row],[MIN VAV
(CFM)]]</f>
        <v>0</v>
      </c>
      <c r="AT13" s="29">
        <f>INPUT_OUTPUTS!$C$16</f>
        <v>140</v>
      </c>
      <c r="AU13" s="29">
        <f>INPUT_OUTPUTS!$C$17</f>
        <v>100</v>
      </c>
      <c r="AV13" s="29">
        <f t="shared" si="0"/>
        <v>55</v>
      </c>
      <c r="AW13" s="29">
        <f t="shared" si="0"/>
        <v>80</v>
      </c>
      <c r="AX13" s="29">
        <f>MROUND((1.08*(AW13-AV13)*AHU1_CAV_SCHEDULE4451416[[#This Row],[HEATING AIRFLOW 
(CFM)]])/1000,0.1)</f>
        <v>0</v>
      </c>
      <c r="AY13" s="30">
        <f t="shared" si="3"/>
        <v>0</v>
      </c>
      <c r="AZ13" s="30">
        <f t="shared" si="1"/>
        <v>0.5</v>
      </c>
      <c r="BA13" s="30">
        <f t="shared" si="4"/>
        <v>5</v>
      </c>
      <c r="BB13" s="30" t="str">
        <f>IFERROR((_xlfn.XLOOKUP(AQ13,'DO NOT TOUCH'!$C$9:$C$14,'DO NOT TOUCH'!$D$9:$D$14,)),"TBD")</f>
        <v>TBD</v>
      </c>
      <c r="BC13" s="30">
        <f>INPUT_OUTPUTS!$C$19</f>
        <v>0</v>
      </c>
      <c r="BD13" s="32" t="str">
        <f t="shared" si="5"/>
        <v>1, 2</v>
      </c>
    </row>
    <row r="14" spans="1:56" ht="15">
      <c r="AL14" s="272" t="s">
        <v>491</v>
      </c>
      <c r="AM14" s="272" t="s">
        <v>70</v>
      </c>
      <c r="AN14" s="272" t="s">
        <v>75</v>
      </c>
      <c r="AO14" s="274">
        <f>SUMIF(Ahu_Ashrae_sheet15[Zone],AHU1_CAV_SCHEDULE4451416[[#This Row],[ZONE]],Ahu_Ashrae_sheet15[DESIGN VAV MIN SA(CFM)])</f>
        <v>0</v>
      </c>
      <c r="AP14" s="272">
        <f>SUMIF(Ahu_Ashrae_sheet15[Zone],AHU1_CAV_SCHEDULE4451416[[#This Row],[ZONE]],Ahu_Ashrae_sheet15[DESIGN VAV MAX SA(CFM)])</f>
        <v>0</v>
      </c>
      <c r="AQ14" s="29" t="str">
        <f>IFERROR((VLOOKUP(AHU1_CAV_SCHEDULE4451416[[#This Row],[MAX VAV
(CFM)]],'DO NOT TOUCH'!$B$9:$C$14,2,TRUE)),"TBD")</f>
        <v>TBD</v>
      </c>
      <c r="AR14" s="29">
        <f t="shared" si="2"/>
        <v>0.5</v>
      </c>
      <c r="AS14" s="29">
        <f>AHU1_CAV_SCHEDULE4451416[[#This Row],[MIN VAV
(CFM)]]</f>
        <v>0</v>
      </c>
      <c r="AT14" s="29">
        <f>INPUT_OUTPUTS!$C$16</f>
        <v>140</v>
      </c>
      <c r="AU14" s="29">
        <f>INPUT_OUTPUTS!$C$17</f>
        <v>100</v>
      </c>
      <c r="AV14" s="29">
        <f t="shared" si="0"/>
        <v>55</v>
      </c>
      <c r="AW14" s="29">
        <f t="shared" si="0"/>
        <v>80</v>
      </c>
      <c r="AX14" s="29">
        <f>MROUND((1.08*(AW14-AV14)*AHU1_CAV_SCHEDULE4451416[[#This Row],[HEATING AIRFLOW 
(CFM)]])/1000,0.1)</f>
        <v>0</v>
      </c>
      <c r="AY14" s="30">
        <f t="shared" si="3"/>
        <v>0</v>
      </c>
      <c r="AZ14" s="30">
        <f t="shared" si="1"/>
        <v>0.5</v>
      </c>
      <c r="BA14" s="30">
        <f t="shared" si="4"/>
        <v>5</v>
      </c>
      <c r="BB14" s="30" t="str">
        <f>IFERROR((_xlfn.XLOOKUP(AQ14,'DO NOT TOUCH'!$C$9:$C$14,'DO NOT TOUCH'!$D$9:$D$14,)),"TBD")</f>
        <v>TBD</v>
      </c>
      <c r="BC14" s="30">
        <f>INPUT_OUTPUTS!$C$19</f>
        <v>0</v>
      </c>
      <c r="BD14" s="32" t="str">
        <f t="shared" si="5"/>
        <v>1, 2</v>
      </c>
    </row>
    <row r="15" spans="1:56" ht="15">
      <c r="AL15" s="272" t="s">
        <v>492</v>
      </c>
      <c r="AM15" s="272" t="s">
        <v>70</v>
      </c>
      <c r="AN15" s="272" t="s">
        <v>75</v>
      </c>
      <c r="AO15" s="274">
        <f>SUMIF(Ahu_Ashrae_sheet15[Zone],AHU1_CAV_SCHEDULE4451416[[#This Row],[ZONE]],Ahu_Ashrae_sheet15[DESIGN VAV MIN SA(CFM)])</f>
        <v>0</v>
      </c>
      <c r="AP15" s="272">
        <f>SUMIF(Ahu_Ashrae_sheet15[Zone],AHU1_CAV_SCHEDULE4451416[[#This Row],[ZONE]],Ahu_Ashrae_sheet15[DESIGN VAV MAX SA(CFM)])</f>
        <v>0</v>
      </c>
      <c r="AQ15" s="29" t="str">
        <f>IFERROR((VLOOKUP(AHU1_CAV_SCHEDULE4451416[[#This Row],[MAX VAV
(CFM)]],'DO NOT TOUCH'!$B$9:$C$14,2,TRUE)),"TBD")</f>
        <v>TBD</v>
      </c>
      <c r="AR15" s="29">
        <f t="shared" si="2"/>
        <v>0.5</v>
      </c>
      <c r="AS15" s="29">
        <f>AHU1_CAV_SCHEDULE4451416[[#This Row],[MIN VAV
(CFM)]]</f>
        <v>0</v>
      </c>
      <c r="AT15" s="29">
        <f>INPUT_OUTPUTS!$C$16</f>
        <v>140</v>
      </c>
      <c r="AU15" s="29">
        <f>INPUT_OUTPUTS!$C$17</f>
        <v>100</v>
      </c>
      <c r="AV15" s="29">
        <f t="shared" si="0"/>
        <v>55</v>
      </c>
      <c r="AW15" s="29">
        <f t="shared" si="0"/>
        <v>80</v>
      </c>
      <c r="AX15" s="29">
        <f>MROUND((1.08*(AW15-AV15)*AHU1_CAV_SCHEDULE4451416[[#This Row],[HEATING AIRFLOW 
(CFM)]])/1000,0.1)</f>
        <v>0</v>
      </c>
      <c r="AY15" s="30">
        <f t="shared" si="3"/>
        <v>0</v>
      </c>
      <c r="AZ15" s="30">
        <f t="shared" si="1"/>
        <v>0.5</v>
      </c>
      <c r="BA15" s="30">
        <f t="shared" si="4"/>
        <v>5</v>
      </c>
      <c r="BB15" s="30" t="str">
        <f>IFERROR((_xlfn.XLOOKUP(AQ15,'DO NOT TOUCH'!$C$9:$C$14,'DO NOT TOUCH'!$D$9:$D$14,)),"TBD")</f>
        <v>TBD</v>
      </c>
      <c r="BC15" s="30">
        <f>INPUT_OUTPUTS!$C$19</f>
        <v>0</v>
      </c>
      <c r="BD15" s="32" t="str">
        <f t="shared" si="5"/>
        <v>1, 2</v>
      </c>
    </row>
    <row r="16" spans="1:56" ht="15">
      <c r="AL16" s="272" t="s">
        <v>493</v>
      </c>
      <c r="AM16" s="272" t="s">
        <v>70</v>
      </c>
      <c r="AN16" s="272" t="s">
        <v>75</v>
      </c>
      <c r="AO16" s="274">
        <f>SUMIF(Ahu_Ashrae_sheet15[Zone],AHU1_CAV_SCHEDULE4451416[[#This Row],[ZONE]],Ahu_Ashrae_sheet15[DESIGN VAV MIN SA(CFM)])</f>
        <v>0</v>
      </c>
      <c r="AP16" s="272">
        <f>SUMIF(Ahu_Ashrae_sheet15[Zone],AHU1_CAV_SCHEDULE4451416[[#This Row],[ZONE]],Ahu_Ashrae_sheet15[DESIGN VAV MAX SA(CFM)])</f>
        <v>0</v>
      </c>
      <c r="AQ16" s="29" t="str">
        <f>IFERROR((VLOOKUP(AHU1_CAV_SCHEDULE4451416[[#This Row],[MAX VAV
(CFM)]],'DO NOT TOUCH'!$B$9:$C$14,2,TRUE)),"TBD")</f>
        <v>TBD</v>
      </c>
      <c r="AR16" s="29">
        <f t="shared" si="2"/>
        <v>0.5</v>
      </c>
      <c r="AS16" s="29">
        <f>AHU1_CAV_SCHEDULE4451416[[#This Row],[MIN VAV
(CFM)]]</f>
        <v>0</v>
      </c>
      <c r="AT16" s="29">
        <f>INPUT_OUTPUTS!$C$16</f>
        <v>140</v>
      </c>
      <c r="AU16" s="29">
        <f>INPUT_OUTPUTS!$C$17</f>
        <v>100</v>
      </c>
      <c r="AV16" s="29">
        <f t="shared" si="0"/>
        <v>55</v>
      </c>
      <c r="AW16" s="29">
        <f t="shared" si="0"/>
        <v>80</v>
      </c>
      <c r="AX16" s="29">
        <f>MROUND((1.08*(AW16-AV16)*AHU1_CAV_SCHEDULE4451416[[#This Row],[HEATING AIRFLOW 
(CFM)]])/1000,0.1)</f>
        <v>0</v>
      </c>
      <c r="AY16" s="30">
        <f t="shared" si="3"/>
        <v>0</v>
      </c>
      <c r="AZ16" s="30">
        <f t="shared" si="1"/>
        <v>0.5</v>
      </c>
      <c r="BA16" s="30">
        <f t="shared" si="4"/>
        <v>5</v>
      </c>
      <c r="BB16" s="30" t="str">
        <f>IFERROR((_xlfn.XLOOKUP(AQ16,'DO NOT TOUCH'!$C$9:$C$14,'DO NOT TOUCH'!$D$9:$D$14,)),"TBD")</f>
        <v>TBD</v>
      </c>
      <c r="BC16" s="30">
        <f>INPUT_OUTPUTS!$C$19</f>
        <v>0</v>
      </c>
      <c r="BD16" s="32" t="str">
        <f t="shared" si="5"/>
        <v>1, 2</v>
      </c>
    </row>
    <row r="17" spans="38:56" ht="15">
      <c r="AL17" s="272" t="s">
        <v>494</v>
      </c>
      <c r="AM17" s="272" t="s">
        <v>70</v>
      </c>
      <c r="AN17" s="272" t="s">
        <v>75</v>
      </c>
      <c r="AO17" s="274">
        <f>SUMIF(Ahu_Ashrae_sheet15[Zone],AHU1_CAV_SCHEDULE4451416[[#This Row],[ZONE]],Ahu_Ashrae_sheet15[DESIGN VAV MIN SA(CFM)])</f>
        <v>0</v>
      </c>
      <c r="AP17" s="272">
        <f>SUMIF(Ahu_Ashrae_sheet15[Zone],AHU1_CAV_SCHEDULE4451416[[#This Row],[ZONE]],Ahu_Ashrae_sheet15[DESIGN VAV MAX SA(CFM)])</f>
        <v>0</v>
      </c>
      <c r="AQ17" s="29" t="str">
        <f>IFERROR((VLOOKUP(AHU1_CAV_SCHEDULE4451416[[#This Row],[MAX VAV
(CFM)]],'DO NOT TOUCH'!$B$9:$C$14,2,TRUE)),"TBD")</f>
        <v>TBD</v>
      </c>
      <c r="AR17" s="29">
        <f t="shared" si="2"/>
        <v>0.5</v>
      </c>
      <c r="AS17" s="29">
        <f>AHU1_CAV_SCHEDULE4451416[[#This Row],[MIN VAV
(CFM)]]</f>
        <v>0</v>
      </c>
      <c r="AT17" s="29">
        <f>INPUT_OUTPUTS!$C$16</f>
        <v>140</v>
      </c>
      <c r="AU17" s="29">
        <f>INPUT_OUTPUTS!$C$17</f>
        <v>100</v>
      </c>
      <c r="AV17" s="29">
        <f t="shared" si="0"/>
        <v>55</v>
      </c>
      <c r="AW17" s="29">
        <f t="shared" si="0"/>
        <v>80</v>
      </c>
      <c r="AX17" s="29">
        <f>MROUND((1.08*(AW17-AV17)*AHU1_CAV_SCHEDULE4451416[[#This Row],[HEATING AIRFLOW 
(CFM)]])/1000,0.1)</f>
        <v>0</v>
      </c>
      <c r="AY17" s="30">
        <f t="shared" si="3"/>
        <v>0</v>
      </c>
      <c r="AZ17" s="30">
        <f t="shared" si="1"/>
        <v>0.5</v>
      </c>
      <c r="BA17" s="30">
        <f t="shared" si="4"/>
        <v>5</v>
      </c>
      <c r="BB17" s="30" t="str">
        <f>IFERROR((_xlfn.XLOOKUP(AQ17,'DO NOT TOUCH'!$C$9:$C$14,'DO NOT TOUCH'!$D$9:$D$14,)),"TBD")</f>
        <v>TBD</v>
      </c>
      <c r="BC17" s="30">
        <f>INPUT_OUTPUTS!$C$19</f>
        <v>0</v>
      </c>
      <c r="BD17" s="32" t="str">
        <f t="shared" si="5"/>
        <v>1, 2</v>
      </c>
    </row>
    <row r="18" spans="38:56" ht="15">
      <c r="AL18" s="272" t="s">
        <v>495</v>
      </c>
      <c r="AM18" s="272" t="s">
        <v>70</v>
      </c>
      <c r="AN18" s="272" t="s">
        <v>75</v>
      </c>
      <c r="AO18" s="274">
        <f>SUMIF(Ahu_Ashrae_sheet15[Zone],AHU1_CAV_SCHEDULE4451416[[#This Row],[ZONE]],Ahu_Ashrae_sheet15[DESIGN VAV MIN SA(CFM)])</f>
        <v>0</v>
      </c>
      <c r="AP18" s="272">
        <f>SUMIF(Ahu_Ashrae_sheet15[Zone],AHU1_CAV_SCHEDULE4451416[[#This Row],[ZONE]],Ahu_Ashrae_sheet15[DESIGN VAV MAX SA(CFM)])</f>
        <v>0</v>
      </c>
      <c r="AQ18" s="29" t="str">
        <f>IFERROR((VLOOKUP(AHU1_CAV_SCHEDULE4451416[[#This Row],[MAX VAV
(CFM)]],'DO NOT TOUCH'!$B$9:$C$14,2,TRUE)),"TBD")</f>
        <v>TBD</v>
      </c>
      <c r="AR18" s="29">
        <f t="shared" si="2"/>
        <v>0.5</v>
      </c>
      <c r="AS18" s="29">
        <f>AHU1_CAV_SCHEDULE4451416[[#This Row],[MIN VAV
(CFM)]]</f>
        <v>0</v>
      </c>
      <c r="AT18" s="29">
        <f>INPUT_OUTPUTS!$C$16</f>
        <v>140</v>
      </c>
      <c r="AU18" s="29">
        <f>INPUT_OUTPUTS!$C$17</f>
        <v>100</v>
      </c>
      <c r="AV18" s="29">
        <f t="shared" si="0"/>
        <v>55</v>
      </c>
      <c r="AW18" s="29">
        <f t="shared" si="0"/>
        <v>80</v>
      </c>
      <c r="AX18" s="29">
        <f>MROUND((1.08*(AW18-AV18)*AHU1_CAV_SCHEDULE4451416[[#This Row],[HEATING AIRFLOW 
(CFM)]])/1000,0.1)</f>
        <v>0</v>
      </c>
      <c r="AY18" s="30">
        <f t="shared" si="3"/>
        <v>0</v>
      </c>
      <c r="AZ18" s="30">
        <f t="shared" si="1"/>
        <v>0.5</v>
      </c>
      <c r="BA18" s="30">
        <f t="shared" si="4"/>
        <v>5</v>
      </c>
      <c r="BB18" s="30" t="str">
        <f>IFERROR((_xlfn.XLOOKUP(AQ18,'DO NOT TOUCH'!$C$9:$C$14,'DO NOT TOUCH'!$D$9:$D$14,)),"TBD")</f>
        <v>TBD</v>
      </c>
      <c r="BC18" s="30">
        <f>INPUT_OUTPUTS!$C$19</f>
        <v>0</v>
      </c>
      <c r="BD18" s="32" t="str">
        <f t="shared" si="5"/>
        <v>1, 2</v>
      </c>
    </row>
    <row r="19" spans="38:56" ht="15">
      <c r="AL19" s="272" t="s">
        <v>496</v>
      </c>
      <c r="AM19" s="272" t="s">
        <v>70</v>
      </c>
      <c r="AN19" s="272" t="s">
        <v>75</v>
      </c>
      <c r="AO19" s="274">
        <f>SUMIF(Ahu_Ashrae_sheet15[Zone],AHU1_CAV_SCHEDULE4451416[[#This Row],[ZONE]],Ahu_Ashrae_sheet15[DESIGN VAV MIN SA(CFM)])</f>
        <v>0</v>
      </c>
      <c r="AP19" s="272">
        <f>SUMIF(Ahu_Ashrae_sheet15[Zone],AHU1_CAV_SCHEDULE4451416[[#This Row],[ZONE]],Ahu_Ashrae_sheet15[DESIGN VAV MAX SA(CFM)])</f>
        <v>0</v>
      </c>
      <c r="AQ19" s="29" t="str">
        <f>IFERROR((VLOOKUP(AHU1_CAV_SCHEDULE4451416[[#This Row],[MAX VAV
(CFM)]],'DO NOT TOUCH'!$B$9:$C$14,2,TRUE)),"TBD")</f>
        <v>TBD</v>
      </c>
      <c r="AR19" s="29">
        <f t="shared" si="2"/>
        <v>0.5</v>
      </c>
      <c r="AS19" s="29">
        <f>AHU1_CAV_SCHEDULE4451416[[#This Row],[MIN VAV
(CFM)]]</f>
        <v>0</v>
      </c>
      <c r="AT19" s="29">
        <f>INPUT_OUTPUTS!$C$16</f>
        <v>140</v>
      </c>
      <c r="AU19" s="29">
        <f>INPUT_OUTPUTS!$C$17</f>
        <v>100</v>
      </c>
      <c r="AV19" s="29">
        <f t="shared" si="0"/>
        <v>55</v>
      </c>
      <c r="AW19" s="29">
        <f t="shared" si="0"/>
        <v>80</v>
      </c>
      <c r="AX19" s="29">
        <f>MROUND((1.08*(AW19-AV19)*AHU1_CAV_SCHEDULE4451416[[#This Row],[HEATING AIRFLOW 
(CFM)]])/1000,0.1)</f>
        <v>0</v>
      </c>
      <c r="AY19" s="30">
        <f t="shared" si="3"/>
        <v>0</v>
      </c>
      <c r="AZ19" s="30">
        <f t="shared" si="1"/>
        <v>0.5</v>
      </c>
      <c r="BA19" s="30">
        <f t="shared" si="4"/>
        <v>5</v>
      </c>
      <c r="BB19" s="30" t="str">
        <f>IFERROR((_xlfn.XLOOKUP(AQ19,'DO NOT TOUCH'!$C$9:$C$14,'DO NOT TOUCH'!$D$9:$D$14,)),"TBD")</f>
        <v>TBD</v>
      </c>
      <c r="BC19" s="30">
        <f>INPUT_OUTPUTS!$C$19</f>
        <v>0</v>
      </c>
      <c r="BD19" s="32" t="str">
        <f t="shared" si="5"/>
        <v>1, 2</v>
      </c>
    </row>
    <row r="20" spans="38:56" ht="15">
      <c r="AL20" s="272" t="s">
        <v>497</v>
      </c>
      <c r="AM20" s="272" t="s">
        <v>70</v>
      </c>
      <c r="AN20" s="272" t="s">
        <v>75</v>
      </c>
      <c r="AO20" s="274">
        <f>SUMIF(Ahu_Ashrae_sheet15[Zone],AHU1_CAV_SCHEDULE4451416[[#This Row],[ZONE]],Ahu_Ashrae_sheet15[DESIGN VAV MIN SA(CFM)])</f>
        <v>0</v>
      </c>
      <c r="AP20" s="272">
        <f>SUMIF(Ahu_Ashrae_sheet15[Zone],AHU1_CAV_SCHEDULE4451416[[#This Row],[ZONE]],Ahu_Ashrae_sheet15[DESIGN VAV MAX SA(CFM)])</f>
        <v>0</v>
      </c>
      <c r="AQ20" s="29" t="str">
        <f>IFERROR((VLOOKUP(AHU1_CAV_SCHEDULE4451416[[#This Row],[MAX VAV
(CFM)]],'DO NOT TOUCH'!$B$9:$C$14,2,TRUE)),"TBD")</f>
        <v>TBD</v>
      </c>
      <c r="AR20" s="29">
        <f t="shared" si="2"/>
        <v>0.5</v>
      </c>
      <c r="AS20" s="29">
        <f>AHU1_CAV_SCHEDULE4451416[[#This Row],[MIN VAV
(CFM)]]</f>
        <v>0</v>
      </c>
      <c r="AT20" s="29">
        <f>INPUT_OUTPUTS!$C$16</f>
        <v>140</v>
      </c>
      <c r="AU20" s="29">
        <f>INPUT_OUTPUTS!$C$17</f>
        <v>100</v>
      </c>
      <c r="AV20" s="29">
        <f t="shared" ref="AV20:AW35" si="6">AV19</f>
        <v>55</v>
      </c>
      <c r="AW20" s="29">
        <f t="shared" si="6"/>
        <v>80</v>
      </c>
      <c r="AX20" s="29">
        <f>MROUND((1.08*(AW20-AV20)*AHU1_CAV_SCHEDULE4451416[[#This Row],[HEATING AIRFLOW 
(CFM)]])/1000,0.1)</f>
        <v>0</v>
      </c>
      <c r="AY20" s="30">
        <f t="shared" si="3"/>
        <v>0</v>
      </c>
      <c r="AZ20" s="30">
        <f t="shared" si="1"/>
        <v>0.5</v>
      </c>
      <c r="BA20" s="30">
        <f t="shared" si="4"/>
        <v>5</v>
      </c>
      <c r="BB20" s="30" t="str">
        <f>IFERROR((_xlfn.XLOOKUP(AQ20,'DO NOT TOUCH'!$C$9:$C$14,'DO NOT TOUCH'!$D$9:$D$14,)),"TBD")</f>
        <v>TBD</v>
      </c>
      <c r="BC20" s="30">
        <f>INPUT_OUTPUTS!$C$19</f>
        <v>0</v>
      </c>
      <c r="BD20" s="32" t="str">
        <f t="shared" si="5"/>
        <v>1, 2</v>
      </c>
    </row>
    <row r="21" spans="38:56" ht="15">
      <c r="AL21" s="272" t="s">
        <v>498</v>
      </c>
      <c r="AM21" s="272" t="s">
        <v>70</v>
      </c>
      <c r="AN21" s="272" t="s">
        <v>75</v>
      </c>
      <c r="AO21" s="274">
        <f>SUMIF(Ahu_Ashrae_sheet15[Zone],AHU1_CAV_SCHEDULE4451416[[#This Row],[ZONE]],Ahu_Ashrae_sheet15[DESIGN VAV MIN SA(CFM)])</f>
        <v>0</v>
      </c>
      <c r="AP21" s="272">
        <f>SUMIF(Ahu_Ashrae_sheet15[Zone],AHU1_CAV_SCHEDULE4451416[[#This Row],[ZONE]],Ahu_Ashrae_sheet15[DESIGN VAV MAX SA(CFM)])</f>
        <v>0</v>
      </c>
      <c r="AQ21" s="29" t="str">
        <f>IFERROR((VLOOKUP(AHU1_CAV_SCHEDULE4451416[[#This Row],[MAX VAV
(CFM)]],'DO NOT TOUCH'!$B$9:$C$14,2,TRUE)),"TBD")</f>
        <v>TBD</v>
      </c>
      <c r="AR21" s="29">
        <f t="shared" si="2"/>
        <v>0.5</v>
      </c>
      <c r="AS21" s="29">
        <f>AHU1_CAV_SCHEDULE4451416[[#This Row],[MIN VAV
(CFM)]]</f>
        <v>0</v>
      </c>
      <c r="AT21" s="29">
        <f>INPUT_OUTPUTS!$C$16</f>
        <v>140</v>
      </c>
      <c r="AU21" s="29">
        <f>INPUT_OUTPUTS!$C$17</f>
        <v>100</v>
      </c>
      <c r="AV21" s="29">
        <f t="shared" si="6"/>
        <v>55</v>
      </c>
      <c r="AW21" s="29">
        <f t="shared" si="6"/>
        <v>80</v>
      </c>
      <c r="AX21" s="29">
        <f>MROUND((1.08*(AW21-AV21)*AHU1_CAV_SCHEDULE4451416[[#This Row],[HEATING AIRFLOW 
(CFM)]])/1000,0.1)</f>
        <v>0</v>
      </c>
      <c r="AY21" s="30">
        <f t="shared" si="3"/>
        <v>0</v>
      </c>
      <c r="AZ21" s="30">
        <f t="shared" si="1"/>
        <v>0.5</v>
      </c>
      <c r="BA21" s="30">
        <f t="shared" si="4"/>
        <v>5</v>
      </c>
      <c r="BB21" s="30" t="str">
        <f>IFERROR((_xlfn.XLOOKUP(AQ21,'DO NOT TOUCH'!$C$9:$C$14,'DO NOT TOUCH'!$D$9:$D$14,)),"TBD")</f>
        <v>TBD</v>
      </c>
      <c r="BC21" s="30">
        <f>INPUT_OUTPUTS!$C$19</f>
        <v>0</v>
      </c>
      <c r="BD21" s="32" t="str">
        <f t="shared" si="5"/>
        <v>1, 2</v>
      </c>
    </row>
    <row r="22" spans="38:56" ht="15">
      <c r="AL22" s="272" t="s">
        <v>499</v>
      </c>
      <c r="AM22" s="272" t="s">
        <v>70</v>
      </c>
      <c r="AN22" s="272" t="s">
        <v>75</v>
      </c>
      <c r="AO22" s="274">
        <f>SUMIF(Ahu_Ashrae_sheet15[Zone],AHU1_CAV_SCHEDULE4451416[[#This Row],[ZONE]],Ahu_Ashrae_sheet15[DESIGN VAV MIN SA(CFM)])</f>
        <v>0</v>
      </c>
      <c r="AP22" s="272">
        <f>SUMIF(Ahu_Ashrae_sheet15[Zone],AHU1_CAV_SCHEDULE4451416[[#This Row],[ZONE]],Ahu_Ashrae_sheet15[DESIGN VAV MAX SA(CFM)])</f>
        <v>0</v>
      </c>
      <c r="AQ22" s="29" t="str">
        <f>IFERROR((VLOOKUP(AHU1_CAV_SCHEDULE4451416[[#This Row],[MAX VAV
(CFM)]],'DO NOT TOUCH'!$B$9:$C$14,2,TRUE)),"TBD")</f>
        <v>TBD</v>
      </c>
      <c r="AR22" s="29">
        <f t="shared" si="2"/>
        <v>0.5</v>
      </c>
      <c r="AS22" s="29">
        <f>AHU1_CAV_SCHEDULE4451416[[#This Row],[MIN VAV
(CFM)]]</f>
        <v>0</v>
      </c>
      <c r="AT22" s="29">
        <f>INPUT_OUTPUTS!$C$16</f>
        <v>140</v>
      </c>
      <c r="AU22" s="29">
        <f>INPUT_OUTPUTS!$C$17</f>
        <v>100</v>
      </c>
      <c r="AV22" s="29">
        <f t="shared" si="6"/>
        <v>55</v>
      </c>
      <c r="AW22" s="29">
        <f t="shared" si="6"/>
        <v>80</v>
      </c>
      <c r="AX22" s="29">
        <f>MROUND((1.08*(AW22-AV22)*AHU1_CAV_SCHEDULE4451416[[#This Row],[HEATING AIRFLOW 
(CFM)]])/1000,0.1)</f>
        <v>0</v>
      </c>
      <c r="AY22" s="30">
        <f t="shared" si="3"/>
        <v>0</v>
      </c>
      <c r="AZ22" s="30">
        <f t="shared" si="1"/>
        <v>0.5</v>
      </c>
      <c r="BA22" s="30">
        <f t="shared" si="4"/>
        <v>5</v>
      </c>
      <c r="BB22" s="30" t="str">
        <f>IFERROR((_xlfn.XLOOKUP(AQ22,'DO NOT TOUCH'!$C$9:$C$14,'DO NOT TOUCH'!$D$9:$D$14,)),"TBD")</f>
        <v>TBD</v>
      </c>
      <c r="BC22" s="30">
        <f>INPUT_OUTPUTS!$C$19</f>
        <v>0</v>
      </c>
      <c r="BD22" s="32" t="str">
        <f t="shared" si="5"/>
        <v>1, 2</v>
      </c>
    </row>
    <row r="23" spans="38:56" ht="15">
      <c r="AL23" s="272" t="s">
        <v>500</v>
      </c>
      <c r="AM23" s="272" t="s">
        <v>70</v>
      </c>
      <c r="AN23" s="272" t="s">
        <v>75</v>
      </c>
      <c r="AO23" s="274">
        <f>SUMIF(Ahu_Ashrae_sheet15[Zone],AHU1_CAV_SCHEDULE4451416[[#This Row],[ZONE]],Ahu_Ashrae_sheet15[DESIGN VAV MIN SA(CFM)])</f>
        <v>0</v>
      </c>
      <c r="AP23" s="272">
        <f>SUMIF(Ahu_Ashrae_sheet15[Zone],AHU1_CAV_SCHEDULE4451416[[#This Row],[ZONE]],Ahu_Ashrae_sheet15[DESIGN VAV MAX SA(CFM)])</f>
        <v>0</v>
      </c>
      <c r="AQ23" s="29" t="str">
        <f>IFERROR((VLOOKUP(AHU1_CAV_SCHEDULE4451416[[#This Row],[MAX VAV
(CFM)]],'DO NOT TOUCH'!$B$9:$C$14,2,TRUE)),"TBD")</f>
        <v>TBD</v>
      </c>
      <c r="AR23" s="29">
        <f t="shared" si="2"/>
        <v>0.5</v>
      </c>
      <c r="AS23" s="29">
        <f>AHU1_CAV_SCHEDULE4451416[[#This Row],[MIN VAV
(CFM)]]</f>
        <v>0</v>
      </c>
      <c r="AT23" s="29">
        <f>INPUT_OUTPUTS!$C$16</f>
        <v>140</v>
      </c>
      <c r="AU23" s="29">
        <f>INPUT_OUTPUTS!$C$17</f>
        <v>100</v>
      </c>
      <c r="AV23" s="29">
        <f t="shared" si="6"/>
        <v>55</v>
      </c>
      <c r="AW23" s="29">
        <f t="shared" si="6"/>
        <v>80</v>
      </c>
      <c r="AX23" s="29">
        <f>MROUND((1.08*(AW23-AV23)*AHU1_CAV_SCHEDULE4451416[[#This Row],[HEATING AIRFLOW 
(CFM)]])/1000,0.1)</f>
        <v>0</v>
      </c>
      <c r="AY23" s="30">
        <f t="shared" si="3"/>
        <v>0</v>
      </c>
      <c r="AZ23" s="30">
        <f t="shared" si="1"/>
        <v>0.5</v>
      </c>
      <c r="BA23" s="30">
        <f t="shared" si="4"/>
        <v>5</v>
      </c>
      <c r="BB23" s="30" t="str">
        <f>IFERROR((_xlfn.XLOOKUP(AQ23,'DO NOT TOUCH'!$C$9:$C$14,'DO NOT TOUCH'!$D$9:$D$14,)),"TBD")</f>
        <v>TBD</v>
      </c>
      <c r="BC23" s="30">
        <f>INPUT_OUTPUTS!$C$19</f>
        <v>0</v>
      </c>
      <c r="BD23" s="32" t="str">
        <f t="shared" si="5"/>
        <v>1, 2</v>
      </c>
    </row>
    <row r="24" spans="38:56" ht="15">
      <c r="AL24" s="272" t="s">
        <v>501</v>
      </c>
      <c r="AM24" s="272" t="s">
        <v>70</v>
      </c>
      <c r="AN24" s="272" t="s">
        <v>75</v>
      </c>
      <c r="AO24" s="274">
        <f>SUMIF(Ahu_Ashrae_sheet15[Zone],AHU1_CAV_SCHEDULE4451416[[#This Row],[ZONE]],Ahu_Ashrae_sheet15[DESIGN VAV MIN SA(CFM)])</f>
        <v>0</v>
      </c>
      <c r="AP24" s="272">
        <f>SUMIF(Ahu_Ashrae_sheet15[Zone],AHU1_CAV_SCHEDULE4451416[[#This Row],[ZONE]],Ahu_Ashrae_sheet15[DESIGN VAV MAX SA(CFM)])</f>
        <v>0</v>
      </c>
      <c r="AQ24" s="29" t="str">
        <f>IFERROR((VLOOKUP(AHU1_CAV_SCHEDULE4451416[[#This Row],[MAX VAV
(CFM)]],'DO NOT TOUCH'!$B$9:$C$14,2,TRUE)),"TBD")</f>
        <v>TBD</v>
      </c>
      <c r="AR24" s="29">
        <f t="shared" si="2"/>
        <v>0.5</v>
      </c>
      <c r="AS24" s="29">
        <f>AHU1_CAV_SCHEDULE4451416[[#This Row],[MIN VAV
(CFM)]]</f>
        <v>0</v>
      </c>
      <c r="AT24" s="29">
        <f>INPUT_OUTPUTS!$C$16</f>
        <v>140</v>
      </c>
      <c r="AU24" s="29">
        <f>INPUT_OUTPUTS!$C$17</f>
        <v>100</v>
      </c>
      <c r="AV24" s="29">
        <f t="shared" si="6"/>
        <v>55</v>
      </c>
      <c r="AW24" s="29">
        <f t="shared" si="6"/>
        <v>80</v>
      </c>
      <c r="AX24" s="29">
        <f>MROUND((1.08*(AW24-AV24)*AHU1_CAV_SCHEDULE4451416[[#This Row],[HEATING AIRFLOW 
(CFM)]])/1000,0.1)</f>
        <v>0</v>
      </c>
      <c r="AY24" s="30">
        <f t="shared" si="3"/>
        <v>0</v>
      </c>
      <c r="AZ24" s="30">
        <f t="shared" si="1"/>
        <v>0.5</v>
      </c>
      <c r="BA24" s="30">
        <f t="shared" si="4"/>
        <v>5</v>
      </c>
      <c r="BB24" s="30" t="str">
        <f>IFERROR((_xlfn.XLOOKUP(AQ24,'DO NOT TOUCH'!$C$9:$C$14,'DO NOT TOUCH'!$D$9:$D$14,)),"TBD")</f>
        <v>TBD</v>
      </c>
      <c r="BC24" s="30">
        <f>INPUT_OUTPUTS!$C$19</f>
        <v>0</v>
      </c>
      <c r="BD24" s="32" t="str">
        <f t="shared" si="5"/>
        <v>1, 2</v>
      </c>
    </row>
    <row r="25" spans="38:56" ht="15">
      <c r="AL25" s="272" t="s">
        <v>502</v>
      </c>
      <c r="AM25" s="272" t="s">
        <v>70</v>
      </c>
      <c r="AN25" s="272" t="s">
        <v>75</v>
      </c>
      <c r="AO25" s="274">
        <f>SUMIF(Ahu_Ashrae_sheet15[Zone],AHU1_CAV_SCHEDULE4451416[[#This Row],[ZONE]],Ahu_Ashrae_sheet15[DESIGN VAV MIN SA(CFM)])</f>
        <v>0</v>
      </c>
      <c r="AP25" s="272">
        <f>SUMIF(Ahu_Ashrae_sheet15[Zone],AHU1_CAV_SCHEDULE4451416[[#This Row],[ZONE]],Ahu_Ashrae_sheet15[DESIGN VAV MAX SA(CFM)])</f>
        <v>0</v>
      </c>
      <c r="AQ25" s="29" t="str">
        <f>IFERROR((VLOOKUP(AHU1_CAV_SCHEDULE4451416[[#This Row],[MAX VAV
(CFM)]],'DO NOT TOUCH'!$B$9:$C$14,2,TRUE)),"TBD")</f>
        <v>TBD</v>
      </c>
      <c r="AR25" s="29">
        <f t="shared" si="2"/>
        <v>0.5</v>
      </c>
      <c r="AS25" s="29">
        <f>AHU1_CAV_SCHEDULE4451416[[#This Row],[MIN VAV
(CFM)]]</f>
        <v>0</v>
      </c>
      <c r="AT25" s="29">
        <f>INPUT_OUTPUTS!$C$16</f>
        <v>140</v>
      </c>
      <c r="AU25" s="29">
        <f>INPUT_OUTPUTS!$C$17</f>
        <v>100</v>
      </c>
      <c r="AV25" s="29">
        <f t="shared" si="6"/>
        <v>55</v>
      </c>
      <c r="AW25" s="29">
        <f t="shared" si="6"/>
        <v>80</v>
      </c>
      <c r="AX25" s="29">
        <f>MROUND((1.08*(AW25-AV25)*AHU1_CAV_SCHEDULE4451416[[#This Row],[HEATING AIRFLOW 
(CFM)]])/1000,0.1)</f>
        <v>0</v>
      </c>
      <c r="AY25" s="30">
        <f t="shared" si="3"/>
        <v>0</v>
      </c>
      <c r="AZ25" s="30">
        <f t="shared" si="1"/>
        <v>0.5</v>
      </c>
      <c r="BA25" s="30">
        <f t="shared" si="4"/>
        <v>5</v>
      </c>
      <c r="BB25" s="30" t="str">
        <f>IFERROR((_xlfn.XLOOKUP(AQ25,'DO NOT TOUCH'!$C$9:$C$14,'DO NOT TOUCH'!$D$9:$D$14,)),"TBD")</f>
        <v>TBD</v>
      </c>
      <c r="BC25" s="30">
        <f>INPUT_OUTPUTS!$C$19</f>
        <v>0</v>
      </c>
      <c r="BD25" s="32" t="str">
        <f t="shared" si="5"/>
        <v>1, 2</v>
      </c>
    </row>
    <row r="26" spans="38:56" ht="15">
      <c r="AL26" s="272" t="s">
        <v>503</v>
      </c>
      <c r="AM26" s="272" t="s">
        <v>70</v>
      </c>
      <c r="AN26" s="272" t="s">
        <v>75</v>
      </c>
      <c r="AO26" s="274">
        <f>SUMIF(Ahu_Ashrae_sheet15[Zone],AHU1_CAV_SCHEDULE4451416[[#This Row],[ZONE]],Ahu_Ashrae_sheet15[DESIGN VAV MIN SA(CFM)])</f>
        <v>0</v>
      </c>
      <c r="AP26" s="272">
        <f>SUMIF(Ahu_Ashrae_sheet15[Zone],AHU1_CAV_SCHEDULE4451416[[#This Row],[ZONE]],Ahu_Ashrae_sheet15[DESIGN VAV MAX SA(CFM)])</f>
        <v>0</v>
      </c>
      <c r="AQ26" s="29" t="str">
        <f>IFERROR((VLOOKUP(AHU1_CAV_SCHEDULE4451416[[#This Row],[MAX VAV
(CFM)]],'DO NOT TOUCH'!$B$9:$C$14,2,TRUE)),"TBD")</f>
        <v>TBD</v>
      </c>
      <c r="AR26" s="29">
        <f t="shared" si="2"/>
        <v>0.5</v>
      </c>
      <c r="AS26" s="29">
        <f>AHU1_CAV_SCHEDULE4451416[[#This Row],[MIN VAV
(CFM)]]</f>
        <v>0</v>
      </c>
      <c r="AT26" s="29">
        <f>INPUT_OUTPUTS!$C$16</f>
        <v>140</v>
      </c>
      <c r="AU26" s="29">
        <f>INPUT_OUTPUTS!$C$17</f>
        <v>100</v>
      </c>
      <c r="AV26" s="29">
        <f t="shared" si="6"/>
        <v>55</v>
      </c>
      <c r="AW26" s="29">
        <f t="shared" si="6"/>
        <v>80</v>
      </c>
      <c r="AX26" s="29">
        <f>MROUND((1.08*(AW26-AV26)*AHU1_CAV_SCHEDULE4451416[[#This Row],[HEATING AIRFLOW 
(CFM)]])/1000,0.1)</f>
        <v>0</v>
      </c>
      <c r="AY26" s="30">
        <f t="shared" si="3"/>
        <v>0</v>
      </c>
      <c r="AZ26" s="30">
        <f t="shared" si="1"/>
        <v>0.5</v>
      </c>
      <c r="BA26" s="30">
        <f t="shared" si="4"/>
        <v>5</v>
      </c>
      <c r="BB26" s="30" t="str">
        <f>IFERROR((_xlfn.XLOOKUP(AQ26,'DO NOT TOUCH'!$C$9:$C$14,'DO NOT TOUCH'!$D$9:$D$14,)),"TBD")</f>
        <v>TBD</v>
      </c>
      <c r="BC26" s="30">
        <f>INPUT_OUTPUTS!$C$19</f>
        <v>0</v>
      </c>
      <c r="BD26" s="32" t="str">
        <f t="shared" si="5"/>
        <v>1, 2</v>
      </c>
    </row>
    <row r="27" spans="38:56" ht="15">
      <c r="AL27" s="272" t="s">
        <v>504</v>
      </c>
      <c r="AM27" s="272" t="s">
        <v>70</v>
      </c>
      <c r="AN27" s="272" t="s">
        <v>75</v>
      </c>
      <c r="AO27" s="274">
        <f>SUMIF(Ahu_Ashrae_sheet15[Zone],AHU1_CAV_SCHEDULE4451416[[#This Row],[ZONE]],Ahu_Ashrae_sheet15[DESIGN VAV MIN SA(CFM)])</f>
        <v>0</v>
      </c>
      <c r="AP27" s="272">
        <f>SUMIF(Ahu_Ashrae_sheet15[Zone],AHU1_CAV_SCHEDULE4451416[[#This Row],[ZONE]],Ahu_Ashrae_sheet15[DESIGN VAV MAX SA(CFM)])</f>
        <v>0</v>
      </c>
      <c r="AQ27" s="29" t="str">
        <f>IFERROR((VLOOKUP(AHU1_CAV_SCHEDULE4451416[[#This Row],[MAX VAV
(CFM)]],'DO NOT TOUCH'!$B$9:$C$14,2,TRUE)),"TBD")</f>
        <v>TBD</v>
      </c>
      <c r="AR27" s="29">
        <f t="shared" si="2"/>
        <v>0.5</v>
      </c>
      <c r="AS27" s="29">
        <f>AHU1_CAV_SCHEDULE4451416[[#This Row],[MIN VAV
(CFM)]]</f>
        <v>0</v>
      </c>
      <c r="AT27" s="29">
        <f>INPUT_OUTPUTS!$C$16</f>
        <v>140</v>
      </c>
      <c r="AU27" s="29">
        <f>INPUT_OUTPUTS!$C$17</f>
        <v>100</v>
      </c>
      <c r="AV27" s="29">
        <f t="shared" si="6"/>
        <v>55</v>
      </c>
      <c r="AW27" s="29">
        <f t="shared" si="6"/>
        <v>80</v>
      </c>
      <c r="AX27" s="29">
        <f>MROUND((1.08*(AW27-AV27)*AHU1_CAV_SCHEDULE4451416[[#This Row],[HEATING AIRFLOW 
(CFM)]])/1000,0.1)</f>
        <v>0</v>
      </c>
      <c r="AY27" s="30">
        <f t="shared" si="3"/>
        <v>0</v>
      </c>
      <c r="AZ27" s="30">
        <f t="shared" si="1"/>
        <v>0.5</v>
      </c>
      <c r="BA27" s="30">
        <f t="shared" si="4"/>
        <v>5</v>
      </c>
      <c r="BB27" s="30" t="str">
        <f>IFERROR((_xlfn.XLOOKUP(AQ27,'DO NOT TOUCH'!$C$9:$C$14,'DO NOT TOUCH'!$D$9:$D$14,)),"TBD")</f>
        <v>TBD</v>
      </c>
      <c r="BC27" s="30">
        <f>INPUT_OUTPUTS!$C$19</f>
        <v>0</v>
      </c>
      <c r="BD27" s="32" t="str">
        <f t="shared" si="5"/>
        <v>1, 2</v>
      </c>
    </row>
    <row r="28" spans="38:56" ht="15">
      <c r="AL28" s="272" t="s">
        <v>505</v>
      </c>
      <c r="AM28" s="272" t="s">
        <v>70</v>
      </c>
      <c r="AN28" s="272" t="s">
        <v>75</v>
      </c>
      <c r="AO28" s="274">
        <f>SUMIF(Ahu_Ashrae_sheet15[Zone],AHU1_CAV_SCHEDULE4451416[[#This Row],[ZONE]],Ahu_Ashrae_sheet15[DESIGN VAV MIN SA(CFM)])</f>
        <v>0</v>
      </c>
      <c r="AP28" s="272">
        <f>SUMIF(Ahu_Ashrae_sheet15[Zone],AHU1_CAV_SCHEDULE4451416[[#This Row],[ZONE]],Ahu_Ashrae_sheet15[DESIGN VAV MAX SA(CFM)])</f>
        <v>0</v>
      </c>
      <c r="AQ28" s="29" t="str">
        <f>IFERROR((VLOOKUP(AHU1_CAV_SCHEDULE4451416[[#This Row],[MAX VAV
(CFM)]],'DO NOT TOUCH'!$B$9:$C$14,2,TRUE)),"TBD")</f>
        <v>TBD</v>
      </c>
      <c r="AR28" s="29">
        <f t="shared" si="2"/>
        <v>0.5</v>
      </c>
      <c r="AS28" s="29">
        <f>AHU1_CAV_SCHEDULE4451416[[#This Row],[MIN VAV
(CFM)]]</f>
        <v>0</v>
      </c>
      <c r="AT28" s="29">
        <f>INPUT_OUTPUTS!$C$16</f>
        <v>140</v>
      </c>
      <c r="AU28" s="29">
        <f>INPUT_OUTPUTS!$C$17</f>
        <v>100</v>
      </c>
      <c r="AV28" s="29">
        <f t="shared" si="6"/>
        <v>55</v>
      </c>
      <c r="AW28" s="29">
        <f t="shared" si="6"/>
        <v>80</v>
      </c>
      <c r="AX28" s="29">
        <f>MROUND((1.08*(AW28-AV28)*AHU1_CAV_SCHEDULE4451416[[#This Row],[HEATING AIRFLOW 
(CFM)]])/1000,0.1)</f>
        <v>0</v>
      </c>
      <c r="AY28" s="30">
        <f t="shared" si="3"/>
        <v>0</v>
      </c>
      <c r="AZ28" s="30">
        <f t="shared" si="1"/>
        <v>0.5</v>
      </c>
      <c r="BA28" s="30">
        <f t="shared" si="4"/>
        <v>5</v>
      </c>
      <c r="BB28" s="30" t="str">
        <f>IFERROR((_xlfn.XLOOKUP(AQ28,'DO NOT TOUCH'!$C$9:$C$14,'DO NOT TOUCH'!$D$9:$D$14,)),"TBD")</f>
        <v>TBD</v>
      </c>
      <c r="BC28" s="30">
        <f>INPUT_OUTPUTS!$C$19</f>
        <v>0</v>
      </c>
      <c r="BD28" s="32" t="str">
        <f t="shared" si="5"/>
        <v>1, 2</v>
      </c>
    </row>
    <row r="29" spans="38:56" ht="15">
      <c r="AL29" s="272" t="s">
        <v>506</v>
      </c>
      <c r="AM29" s="272" t="s">
        <v>70</v>
      </c>
      <c r="AN29" s="272" t="s">
        <v>75</v>
      </c>
      <c r="AO29" s="274">
        <f>SUMIF(Ahu_Ashrae_sheet15[Zone],AHU1_CAV_SCHEDULE4451416[[#This Row],[ZONE]],Ahu_Ashrae_sheet15[DESIGN VAV MIN SA(CFM)])</f>
        <v>0</v>
      </c>
      <c r="AP29" s="272">
        <f>SUMIF(Ahu_Ashrae_sheet15[Zone],AHU1_CAV_SCHEDULE4451416[[#This Row],[ZONE]],Ahu_Ashrae_sheet15[DESIGN VAV MAX SA(CFM)])</f>
        <v>0</v>
      </c>
      <c r="AQ29" s="29" t="str">
        <f>IFERROR((VLOOKUP(AHU1_CAV_SCHEDULE4451416[[#This Row],[MAX VAV
(CFM)]],'DO NOT TOUCH'!$B$9:$C$14,2,TRUE)),"TBD")</f>
        <v>TBD</v>
      </c>
      <c r="AR29" s="29">
        <f t="shared" si="2"/>
        <v>0.5</v>
      </c>
      <c r="AS29" s="29">
        <f>AHU1_CAV_SCHEDULE4451416[[#This Row],[MIN VAV
(CFM)]]</f>
        <v>0</v>
      </c>
      <c r="AT29" s="29">
        <f>INPUT_OUTPUTS!$C$16</f>
        <v>140</v>
      </c>
      <c r="AU29" s="29">
        <f>INPUT_OUTPUTS!$C$17</f>
        <v>100</v>
      </c>
      <c r="AV29" s="29">
        <f t="shared" si="6"/>
        <v>55</v>
      </c>
      <c r="AW29" s="29">
        <f t="shared" si="6"/>
        <v>80</v>
      </c>
      <c r="AX29" s="29">
        <f>MROUND((1.08*(AW29-AV29)*AHU1_CAV_SCHEDULE4451416[[#This Row],[HEATING AIRFLOW 
(CFM)]])/1000,0.1)</f>
        <v>0</v>
      </c>
      <c r="AY29" s="30">
        <f t="shared" si="3"/>
        <v>0</v>
      </c>
      <c r="AZ29" s="30">
        <f t="shared" si="1"/>
        <v>0.5</v>
      </c>
      <c r="BA29" s="30">
        <f t="shared" si="4"/>
        <v>5</v>
      </c>
      <c r="BB29" s="30" t="str">
        <f>IFERROR((_xlfn.XLOOKUP(AQ29,'DO NOT TOUCH'!$C$9:$C$14,'DO NOT TOUCH'!$D$9:$D$14,)),"TBD")</f>
        <v>TBD</v>
      </c>
      <c r="BC29" s="30">
        <f>INPUT_OUTPUTS!$C$19</f>
        <v>0</v>
      </c>
      <c r="BD29" s="32" t="str">
        <f t="shared" si="5"/>
        <v>1, 2</v>
      </c>
    </row>
    <row r="30" spans="38:56" ht="15">
      <c r="AL30" s="272" t="s">
        <v>507</v>
      </c>
      <c r="AM30" s="272" t="s">
        <v>70</v>
      </c>
      <c r="AN30" s="272" t="s">
        <v>75</v>
      </c>
      <c r="AO30" s="274">
        <f>SUMIF(Ahu_Ashrae_sheet15[Zone],AHU1_CAV_SCHEDULE4451416[[#This Row],[ZONE]],Ahu_Ashrae_sheet15[DESIGN VAV MIN SA(CFM)])</f>
        <v>0</v>
      </c>
      <c r="AP30" s="272">
        <f>SUMIF(Ahu_Ashrae_sheet15[Zone],AHU1_CAV_SCHEDULE4451416[[#This Row],[ZONE]],Ahu_Ashrae_sheet15[DESIGN VAV MAX SA(CFM)])</f>
        <v>0</v>
      </c>
      <c r="AQ30" s="29" t="str">
        <f>IFERROR((VLOOKUP(AHU1_CAV_SCHEDULE4451416[[#This Row],[MAX VAV
(CFM)]],'DO NOT TOUCH'!$B$9:$C$14,2,TRUE)),"TBD")</f>
        <v>TBD</v>
      </c>
      <c r="AR30" s="29">
        <f t="shared" si="2"/>
        <v>0.5</v>
      </c>
      <c r="AS30" s="29">
        <f>AHU1_CAV_SCHEDULE4451416[[#This Row],[MIN VAV
(CFM)]]</f>
        <v>0</v>
      </c>
      <c r="AT30" s="29">
        <f>INPUT_OUTPUTS!$C$16</f>
        <v>140</v>
      </c>
      <c r="AU30" s="29">
        <f>INPUT_OUTPUTS!$C$17</f>
        <v>100</v>
      </c>
      <c r="AV30" s="29">
        <f t="shared" si="6"/>
        <v>55</v>
      </c>
      <c r="AW30" s="29">
        <f t="shared" si="6"/>
        <v>80</v>
      </c>
      <c r="AX30" s="29">
        <f>MROUND((1.08*(AW30-AV30)*AHU1_CAV_SCHEDULE4451416[[#This Row],[HEATING AIRFLOW 
(CFM)]])/1000,0.1)</f>
        <v>0</v>
      </c>
      <c r="AY30" s="30">
        <f t="shared" si="3"/>
        <v>0</v>
      </c>
      <c r="AZ30" s="30">
        <f t="shared" si="1"/>
        <v>0.5</v>
      </c>
      <c r="BA30" s="30">
        <f t="shared" si="4"/>
        <v>5</v>
      </c>
      <c r="BB30" s="30" t="str">
        <f>IFERROR((_xlfn.XLOOKUP(AQ30,'DO NOT TOUCH'!$C$9:$C$14,'DO NOT TOUCH'!$D$9:$D$14,)),"TBD")</f>
        <v>TBD</v>
      </c>
      <c r="BC30" s="30">
        <f>INPUT_OUTPUTS!$C$19</f>
        <v>0</v>
      </c>
      <c r="BD30" s="32" t="str">
        <f t="shared" si="5"/>
        <v>1, 2</v>
      </c>
    </row>
    <row r="31" spans="38:56" ht="15">
      <c r="AL31" s="272" t="s">
        <v>508</v>
      </c>
      <c r="AM31" s="272" t="s">
        <v>70</v>
      </c>
      <c r="AN31" s="272" t="s">
        <v>75</v>
      </c>
      <c r="AO31" s="274">
        <f>SUMIF(Ahu_Ashrae_sheet15[Zone],AHU1_CAV_SCHEDULE4451416[[#This Row],[ZONE]],Ahu_Ashrae_sheet15[DESIGN VAV MIN SA(CFM)])</f>
        <v>0</v>
      </c>
      <c r="AP31" s="272">
        <f>SUMIF(Ahu_Ashrae_sheet15[Zone],AHU1_CAV_SCHEDULE4451416[[#This Row],[ZONE]],Ahu_Ashrae_sheet15[DESIGN VAV MAX SA(CFM)])</f>
        <v>0</v>
      </c>
      <c r="AQ31" s="29" t="str">
        <f>IFERROR((VLOOKUP(AHU1_CAV_SCHEDULE4451416[[#This Row],[MAX VAV
(CFM)]],'DO NOT TOUCH'!$B$9:$C$14,2,TRUE)),"TBD")</f>
        <v>TBD</v>
      </c>
      <c r="AR31" s="29">
        <f t="shared" si="2"/>
        <v>0.5</v>
      </c>
      <c r="AS31" s="29">
        <f>AHU1_CAV_SCHEDULE4451416[[#This Row],[MIN VAV
(CFM)]]</f>
        <v>0</v>
      </c>
      <c r="AT31" s="29">
        <f>INPUT_OUTPUTS!$C$16</f>
        <v>140</v>
      </c>
      <c r="AU31" s="29">
        <f>INPUT_OUTPUTS!$C$17</f>
        <v>100</v>
      </c>
      <c r="AV31" s="29">
        <f t="shared" si="6"/>
        <v>55</v>
      </c>
      <c r="AW31" s="29">
        <f t="shared" si="6"/>
        <v>80</v>
      </c>
      <c r="AX31" s="29">
        <f>MROUND((1.08*(AW31-AV31)*AHU1_CAV_SCHEDULE4451416[[#This Row],[HEATING AIRFLOW 
(CFM)]])/1000,0.1)</f>
        <v>0</v>
      </c>
      <c r="AY31" s="30">
        <f t="shared" si="3"/>
        <v>0</v>
      </c>
      <c r="AZ31" s="30">
        <f t="shared" si="1"/>
        <v>0.5</v>
      </c>
      <c r="BA31" s="30">
        <f t="shared" si="4"/>
        <v>5</v>
      </c>
      <c r="BB31" s="30" t="str">
        <f>IFERROR((_xlfn.XLOOKUP(AQ31,'DO NOT TOUCH'!$C$9:$C$14,'DO NOT TOUCH'!$D$9:$D$14,)),"TBD")</f>
        <v>TBD</v>
      </c>
      <c r="BC31" s="30">
        <f>INPUT_OUTPUTS!$C$19</f>
        <v>0</v>
      </c>
      <c r="BD31" s="32" t="str">
        <f t="shared" si="5"/>
        <v>1, 2</v>
      </c>
    </row>
    <row r="32" spans="38:56" ht="15">
      <c r="AL32" s="272" t="s">
        <v>509</v>
      </c>
      <c r="AM32" s="272" t="s">
        <v>70</v>
      </c>
      <c r="AN32" s="272" t="s">
        <v>75</v>
      </c>
      <c r="AO32" s="274">
        <f>SUMIF(Ahu_Ashrae_sheet15[Zone],AHU1_CAV_SCHEDULE4451416[[#This Row],[ZONE]],Ahu_Ashrae_sheet15[DESIGN VAV MIN SA(CFM)])</f>
        <v>0</v>
      </c>
      <c r="AP32" s="272">
        <f>SUMIF(Ahu_Ashrae_sheet15[Zone],AHU1_CAV_SCHEDULE4451416[[#This Row],[ZONE]],Ahu_Ashrae_sheet15[DESIGN VAV MAX SA(CFM)])</f>
        <v>0</v>
      </c>
      <c r="AQ32" s="29" t="str">
        <f>IFERROR((VLOOKUP(AHU1_CAV_SCHEDULE4451416[[#This Row],[MAX VAV
(CFM)]],'DO NOT TOUCH'!$B$9:$C$14,2,TRUE)),"TBD")</f>
        <v>TBD</v>
      </c>
      <c r="AR32" s="29">
        <f t="shared" si="2"/>
        <v>0.5</v>
      </c>
      <c r="AS32" s="29">
        <f>AHU1_CAV_SCHEDULE4451416[[#This Row],[MIN VAV
(CFM)]]</f>
        <v>0</v>
      </c>
      <c r="AT32" s="29">
        <f>INPUT_OUTPUTS!$C$16</f>
        <v>140</v>
      </c>
      <c r="AU32" s="29">
        <f>INPUT_OUTPUTS!$C$17</f>
        <v>100</v>
      </c>
      <c r="AV32" s="29">
        <f t="shared" si="6"/>
        <v>55</v>
      </c>
      <c r="AW32" s="29">
        <f t="shared" si="6"/>
        <v>80</v>
      </c>
      <c r="AX32" s="29">
        <f>MROUND((1.08*(AW32-AV32)*AHU1_CAV_SCHEDULE4451416[[#This Row],[HEATING AIRFLOW 
(CFM)]])/1000,0.1)</f>
        <v>0</v>
      </c>
      <c r="AY32" s="30">
        <f t="shared" si="3"/>
        <v>0</v>
      </c>
      <c r="AZ32" s="30">
        <f t="shared" si="1"/>
        <v>0.5</v>
      </c>
      <c r="BA32" s="30">
        <f t="shared" si="4"/>
        <v>5</v>
      </c>
      <c r="BB32" s="30" t="str">
        <f>IFERROR((_xlfn.XLOOKUP(AQ32,'DO NOT TOUCH'!$C$9:$C$14,'DO NOT TOUCH'!$D$9:$D$14,)),"TBD")</f>
        <v>TBD</v>
      </c>
      <c r="BC32" s="30">
        <f>INPUT_OUTPUTS!$C$19</f>
        <v>0</v>
      </c>
      <c r="BD32" s="32" t="str">
        <f t="shared" si="5"/>
        <v>1, 2</v>
      </c>
    </row>
    <row r="33" spans="38:56" ht="15">
      <c r="AL33" s="272" t="s">
        <v>510</v>
      </c>
      <c r="AM33" s="272" t="s">
        <v>70</v>
      </c>
      <c r="AN33" s="272" t="s">
        <v>75</v>
      </c>
      <c r="AO33" s="274">
        <f>SUMIF(Ahu_Ashrae_sheet15[Zone],AHU1_CAV_SCHEDULE4451416[[#This Row],[ZONE]],Ahu_Ashrae_sheet15[DESIGN VAV MIN SA(CFM)])</f>
        <v>0</v>
      </c>
      <c r="AP33" s="272">
        <f>SUMIF(Ahu_Ashrae_sheet15[Zone],AHU1_CAV_SCHEDULE4451416[[#This Row],[ZONE]],Ahu_Ashrae_sheet15[DESIGN VAV MAX SA(CFM)])</f>
        <v>0</v>
      </c>
      <c r="AQ33" s="29" t="str">
        <f>IFERROR((VLOOKUP(AHU1_CAV_SCHEDULE4451416[[#This Row],[MAX VAV
(CFM)]],'DO NOT TOUCH'!$B$9:$C$14,2,TRUE)),"TBD")</f>
        <v>TBD</v>
      </c>
      <c r="AR33" s="29">
        <f t="shared" si="2"/>
        <v>0.5</v>
      </c>
      <c r="AS33" s="29">
        <f>AHU1_CAV_SCHEDULE4451416[[#This Row],[MIN VAV
(CFM)]]</f>
        <v>0</v>
      </c>
      <c r="AT33" s="29">
        <f>INPUT_OUTPUTS!$C$16</f>
        <v>140</v>
      </c>
      <c r="AU33" s="29">
        <f>INPUT_OUTPUTS!$C$17</f>
        <v>100</v>
      </c>
      <c r="AV33" s="29">
        <f t="shared" si="6"/>
        <v>55</v>
      </c>
      <c r="AW33" s="29">
        <f t="shared" si="6"/>
        <v>80</v>
      </c>
      <c r="AX33" s="29">
        <f>MROUND((1.08*(AW33-AV33)*AHU1_CAV_SCHEDULE4451416[[#This Row],[HEATING AIRFLOW 
(CFM)]])/1000,0.1)</f>
        <v>0</v>
      </c>
      <c r="AY33" s="30">
        <f t="shared" si="3"/>
        <v>0</v>
      </c>
      <c r="AZ33" s="30">
        <f t="shared" si="1"/>
        <v>0.5</v>
      </c>
      <c r="BA33" s="30">
        <f t="shared" si="4"/>
        <v>5</v>
      </c>
      <c r="BB33" s="30" t="str">
        <f>IFERROR((_xlfn.XLOOKUP(AQ33,'DO NOT TOUCH'!$C$9:$C$14,'DO NOT TOUCH'!$D$9:$D$14,)),"TBD")</f>
        <v>TBD</v>
      </c>
      <c r="BC33" s="30">
        <f>INPUT_OUTPUTS!$C$19</f>
        <v>0</v>
      </c>
      <c r="BD33" s="32" t="str">
        <f t="shared" si="5"/>
        <v>1, 2</v>
      </c>
    </row>
    <row r="34" spans="38:56" ht="15">
      <c r="AL34" s="272" t="s">
        <v>511</v>
      </c>
      <c r="AM34" s="272" t="s">
        <v>70</v>
      </c>
      <c r="AN34" s="272" t="s">
        <v>75</v>
      </c>
      <c r="AO34" s="274">
        <f>SUMIF(Ahu_Ashrae_sheet15[Zone],AHU1_CAV_SCHEDULE4451416[[#This Row],[ZONE]],Ahu_Ashrae_sheet15[DESIGN VAV MIN SA(CFM)])</f>
        <v>0</v>
      </c>
      <c r="AP34" s="272">
        <f>SUMIF(Ahu_Ashrae_sheet15[Zone],AHU1_CAV_SCHEDULE4451416[[#This Row],[ZONE]],Ahu_Ashrae_sheet15[DESIGN VAV MAX SA(CFM)])</f>
        <v>0</v>
      </c>
      <c r="AQ34" s="29" t="str">
        <f>IFERROR((VLOOKUP(AHU1_CAV_SCHEDULE4451416[[#This Row],[MAX VAV
(CFM)]],'DO NOT TOUCH'!$B$9:$C$14,2,TRUE)),"TBD")</f>
        <v>TBD</v>
      </c>
      <c r="AR34" s="29">
        <f t="shared" si="2"/>
        <v>0.5</v>
      </c>
      <c r="AS34" s="29">
        <f>AHU1_CAV_SCHEDULE4451416[[#This Row],[MIN VAV
(CFM)]]</f>
        <v>0</v>
      </c>
      <c r="AT34" s="29">
        <f>INPUT_OUTPUTS!$C$16</f>
        <v>140</v>
      </c>
      <c r="AU34" s="29">
        <f>INPUT_OUTPUTS!$C$17</f>
        <v>100</v>
      </c>
      <c r="AV34" s="29">
        <f t="shared" si="6"/>
        <v>55</v>
      </c>
      <c r="AW34" s="29">
        <f t="shared" si="6"/>
        <v>80</v>
      </c>
      <c r="AX34" s="29">
        <f>MROUND((1.08*(AW34-AV34)*AHU1_CAV_SCHEDULE4451416[[#This Row],[HEATING AIRFLOW 
(CFM)]])/1000,0.1)</f>
        <v>0</v>
      </c>
      <c r="AY34" s="30">
        <f t="shared" si="3"/>
        <v>0</v>
      </c>
      <c r="AZ34" s="30">
        <f t="shared" si="1"/>
        <v>0.5</v>
      </c>
      <c r="BA34" s="30">
        <f t="shared" si="4"/>
        <v>5</v>
      </c>
      <c r="BB34" s="30" t="str">
        <f>IFERROR((_xlfn.XLOOKUP(AQ34,'DO NOT TOUCH'!$C$9:$C$14,'DO NOT TOUCH'!$D$9:$D$14,)),"TBD")</f>
        <v>TBD</v>
      </c>
      <c r="BC34" s="30">
        <f>INPUT_OUTPUTS!$C$19</f>
        <v>0</v>
      </c>
      <c r="BD34" s="32" t="str">
        <f t="shared" si="5"/>
        <v>1, 2</v>
      </c>
    </row>
    <row r="35" spans="38:56" ht="15">
      <c r="AL35" s="272" t="s">
        <v>512</v>
      </c>
      <c r="AM35" s="272" t="s">
        <v>70</v>
      </c>
      <c r="AN35" s="272" t="s">
        <v>75</v>
      </c>
      <c r="AO35" s="274">
        <f>SUMIF(Ahu_Ashrae_sheet15[Zone],AHU1_CAV_SCHEDULE4451416[[#This Row],[ZONE]],Ahu_Ashrae_sheet15[DESIGN VAV MIN SA(CFM)])</f>
        <v>0</v>
      </c>
      <c r="AP35" s="272">
        <f>SUMIF(Ahu_Ashrae_sheet15[Zone],AHU1_CAV_SCHEDULE4451416[[#This Row],[ZONE]],Ahu_Ashrae_sheet15[DESIGN VAV MAX SA(CFM)])</f>
        <v>0</v>
      </c>
      <c r="AQ35" s="29" t="str">
        <f>IFERROR((VLOOKUP(AHU1_CAV_SCHEDULE4451416[[#This Row],[MAX VAV
(CFM)]],'DO NOT TOUCH'!$B$9:$C$14,2,TRUE)),"TBD")</f>
        <v>TBD</v>
      </c>
      <c r="AR35" s="29">
        <f t="shared" si="2"/>
        <v>0.5</v>
      </c>
      <c r="AS35" s="29">
        <f>AHU1_CAV_SCHEDULE4451416[[#This Row],[MIN VAV
(CFM)]]</f>
        <v>0</v>
      </c>
      <c r="AT35" s="29">
        <f>INPUT_OUTPUTS!$C$16</f>
        <v>140</v>
      </c>
      <c r="AU35" s="29">
        <f>INPUT_OUTPUTS!$C$17</f>
        <v>100</v>
      </c>
      <c r="AV35" s="29">
        <f t="shared" si="6"/>
        <v>55</v>
      </c>
      <c r="AW35" s="29">
        <f t="shared" si="6"/>
        <v>80</v>
      </c>
      <c r="AX35" s="29">
        <f>MROUND((1.08*(AW35-AV35)*AHU1_CAV_SCHEDULE4451416[[#This Row],[HEATING AIRFLOW 
(CFM)]])/1000,0.1)</f>
        <v>0</v>
      </c>
      <c r="AY35" s="30">
        <f t="shared" si="3"/>
        <v>0</v>
      </c>
      <c r="AZ35" s="30">
        <f t="shared" si="1"/>
        <v>0.5</v>
      </c>
      <c r="BA35" s="30">
        <f t="shared" si="4"/>
        <v>5</v>
      </c>
      <c r="BB35" s="30" t="str">
        <f>IFERROR((_xlfn.XLOOKUP(AQ35,'DO NOT TOUCH'!$C$9:$C$14,'DO NOT TOUCH'!$D$9:$D$14,)),"TBD")</f>
        <v>TBD</v>
      </c>
      <c r="BC35" s="30">
        <f>INPUT_OUTPUTS!$C$19</f>
        <v>0</v>
      </c>
      <c r="BD35" s="32" t="str">
        <f t="shared" si="5"/>
        <v>1, 2</v>
      </c>
    </row>
    <row r="36" spans="38:56" ht="15">
      <c r="AL36" s="272" t="s">
        <v>513</v>
      </c>
      <c r="AM36" s="272" t="s">
        <v>70</v>
      </c>
      <c r="AN36" s="272" t="s">
        <v>75</v>
      </c>
      <c r="AO36" s="274">
        <f>SUMIF(Ahu_Ashrae_sheet15[Zone],AHU1_CAV_SCHEDULE4451416[[#This Row],[ZONE]],Ahu_Ashrae_sheet15[DESIGN VAV MIN SA(CFM)])</f>
        <v>0</v>
      </c>
      <c r="AP36" s="272">
        <f>SUMIF(Ahu_Ashrae_sheet15[Zone],AHU1_CAV_SCHEDULE4451416[[#This Row],[ZONE]],Ahu_Ashrae_sheet15[DESIGN VAV MAX SA(CFM)])</f>
        <v>0</v>
      </c>
      <c r="AQ36" s="29" t="str">
        <f>IFERROR((VLOOKUP(AHU1_CAV_SCHEDULE4451416[[#This Row],[MAX VAV
(CFM)]],'DO NOT TOUCH'!$B$9:$C$14,2,TRUE)),"TBD")</f>
        <v>TBD</v>
      </c>
      <c r="AR36" s="29">
        <f t="shared" si="2"/>
        <v>0.5</v>
      </c>
      <c r="AS36" s="29">
        <f>AHU1_CAV_SCHEDULE4451416[[#This Row],[MIN VAV
(CFM)]]</f>
        <v>0</v>
      </c>
      <c r="AT36" s="29">
        <f>INPUT_OUTPUTS!$C$16</f>
        <v>140</v>
      </c>
      <c r="AU36" s="29">
        <f>INPUT_OUTPUTS!$C$17</f>
        <v>100</v>
      </c>
      <c r="AV36" s="29">
        <f t="shared" ref="AV36:AW40" si="7">AV35</f>
        <v>55</v>
      </c>
      <c r="AW36" s="29">
        <f t="shared" si="7"/>
        <v>80</v>
      </c>
      <c r="AX36" s="29">
        <f>MROUND((1.08*(AW36-AV36)*AHU1_CAV_SCHEDULE4451416[[#This Row],[HEATING AIRFLOW 
(CFM)]])/1000,0.1)</f>
        <v>0</v>
      </c>
      <c r="AY36" s="30">
        <f t="shared" si="3"/>
        <v>0</v>
      </c>
      <c r="AZ36" s="30">
        <f t="shared" si="1"/>
        <v>0.5</v>
      </c>
      <c r="BA36" s="30">
        <f t="shared" si="4"/>
        <v>5</v>
      </c>
      <c r="BB36" s="30" t="str">
        <f>IFERROR((_xlfn.XLOOKUP(AQ36,'DO NOT TOUCH'!$C$9:$C$14,'DO NOT TOUCH'!$D$9:$D$14,)),"TBD")</f>
        <v>TBD</v>
      </c>
      <c r="BC36" s="30">
        <f>INPUT_OUTPUTS!$C$19</f>
        <v>0</v>
      </c>
      <c r="BD36" s="32" t="str">
        <f t="shared" si="5"/>
        <v>1, 2</v>
      </c>
    </row>
    <row r="37" spans="38:56" ht="15">
      <c r="AL37" s="272" t="s">
        <v>514</v>
      </c>
      <c r="AM37" s="272" t="s">
        <v>70</v>
      </c>
      <c r="AN37" s="272" t="s">
        <v>75</v>
      </c>
      <c r="AO37" s="274">
        <f>SUMIF(Ahu_Ashrae_sheet15[Zone],AHU1_CAV_SCHEDULE4451416[[#This Row],[ZONE]],Ahu_Ashrae_sheet15[DESIGN VAV MIN SA(CFM)])</f>
        <v>0</v>
      </c>
      <c r="AP37" s="272">
        <f>SUMIF(Ahu_Ashrae_sheet15[Zone],AHU1_CAV_SCHEDULE4451416[[#This Row],[ZONE]],Ahu_Ashrae_sheet15[DESIGN VAV MAX SA(CFM)])</f>
        <v>0</v>
      </c>
      <c r="AQ37" s="29" t="str">
        <f>IFERROR((VLOOKUP(AHU1_CAV_SCHEDULE4451416[[#This Row],[MAX VAV
(CFM)]],'DO NOT TOUCH'!$B$9:$C$14,2,TRUE)),"TBD")</f>
        <v>TBD</v>
      </c>
      <c r="AR37" s="29">
        <f t="shared" si="2"/>
        <v>0.5</v>
      </c>
      <c r="AS37" s="29">
        <f>AHU1_CAV_SCHEDULE4451416[[#This Row],[MIN VAV
(CFM)]]</f>
        <v>0</v>
      </c>
      <c r="AT37" s="29">
        <f>INPUT_OUTPUTS!$C$16</f>
        <v>140</v>
      </c>
      <c r="AU37" s="29">
        <f>INPUT_OUTPUTS!$C$17</f>
        <v>100</v>
      </c>
      <c r="AV37" s="29">
        <f t="shared" si="7"/>
        <v>55</v>
      </c>
      <c r="AW37" s="29">
        <f t="shared" si="7"/>
        <v>80</v>
      </c>
      <c r="AX37" s="29">
        <f>MROUND((1.08*(AW37-AV37)*AHU1_CAV_SCHEDULE4451416[[#This Row],[HEATING AIRFLOW 
(CFM)]])/1000,0.1)</f>
        <v>0</v>
      </c>
      <c r="AY37" s="30">
        <f t="shared" si="3"/>
        <v>0</v>
      </c>
      <c r="AZ37" s="30">
        <f t="shared" si="1"/>
        <v>0.5</v>
      </c>
      <c r="BA37" s="30">
        <f t="shared" si="4"/>
        <v>5</v>
      </c>
      <c r="BB37" s="30" t="str">
        <f>IFERROR((_xlfn.XLOOKUP(AQ37,'DO NOT TOUCH'!$C$9:$C$14,'DO NOT TOUCH'!$D$9:$D$14,)),"TBD")</f>
        <v>TBD</v>
      </c>
      <c r="BC37" s="30">
        <f>INPUT_OUTPUTS!$C$19</f>
        <v>0</v>
      </c>
      <c r="BD37" s="32" t="str">
        <f t="shared" si="5"/>
        <v>1, 2</v>
      </c>
    </row>
    <row r="38" spans="38:56" ht="15">
      <c r="AL38" s="272" t="s">
        <v>515</v>
      </c>
      <c r="AM38" s="272" t="s">
        <v>70</v>
      </c>
      <c r="AN38" s="272" t="s">
        <v>75</v>
      </c>
      <c r="AO38" s="274">
        <f>SUMIF(Ahu_Ashrae_sheet15[Zone],AHU1_CAV_SCHEDULE4451416[[#This Row],[ZONE]],Ahu_Ashrae_sheet15[DESIGN VAV MIN SA(CFM)])</f>
        <v>0</v>
      </c>
      <c r="AP38" s="272">
        <f>SUMIF(Ahu_Ashrae_sheet15[Zone],AHU1_CAV_SCHEDULE4451416[[#This Row],[ZONE]],Ahu_Ashrae_sheet15[DESIGN VAV MAX SA(CFM)])</f>
        <v>0</v>
      </c>
      <c r="AQ38" s="29" t="str">
        <f>IFERROR((VLOOKUP(AHU1_CAV_SCHEDULE4451416[[#This Row],[MAX VAV
(CFM)]],'DO NOT TOUCH'!$B$9:$C$14,2,TRUE)),"TBD")</f>
        <v>TBD</v>
      </c>
      <c r="AR38" s="29">
        <f t="shared" si="2"/>
        <v>0.5</v>
      </c>
      <c r="AS38" s="29">
        <f>AHU1_CAV_SCHEDULE4451416[[#This Row],[MIN VAV
(CFM)]]</f>
        <v>0</v>
      </c>
      <c r="AT38" s="29">
        <f>INPUT_OUTPUTS!$C$16</f>
        <v>140</v>
      </c>
      <c r="AU38" s="29">
        <f>INPUT_OUTPUTS!$C$17</f>
        <v>100</v>
      </c>
      <c r="AV38" s="29">
        <f t="shared" si="7"/>
        <v>55</v>
      </c>
      <c r="AW38" s="29">
        <f t="shared" si="7"/>
        <v>80</v>
      </c>
      <c r="AX38" s="29">
        <f>MROUND((1.08*(AW38-AV38)*AHU1_CAV_SCHEDULE4451416[[#This Row],[HEATING AIRFLOW 
(CFM)]])/1000,0.1)</f>
        <v>0</v>
      </c>
      <c r="AY38" s="30">
        <f t="shared" si="3"/>
        <v>0</v>
      </c>
      <c r="AZ38" s="30">
        <f t="shared" si="1"/>
        <v>0.5</v>
      </c>
      <c r="BA38" s="30">
        <f t="shared" si="4"/>
        <v>5</v>
      </c>
      <c r="BB38" s="30" t="str">
        <f>IFERROR((_xlfn.XLOOKUP(AQ38,'DO NOT TOUCH'!$C$9:$C$14,'DO NOT TOUCH'!$D$9:$D$14,)),"TBD")</f>
        <v>TBD</v>
      </c>
      <c r="BC38" s="30">
        <f>INPUT_OUTPUTS!$C$19</f>
        <v>0</v>
      </c>
      <c r="BD38" s="32" t="str">
        <f t="shared" si="5"/>
        <v>1, 2</v>
      </c>
    </row>
    <row r="39" spans="38:56" ht="15">
      <c r="AL39" s="272" t="s">
        <v>516</v>
      </c>
      <c r="AM39" s="272" t="s">
        <v>70</v>
      </c>
      <c r="AN39" s="272" t="s">
        <v>75</v>
      </c>
      <c r="AO39" s="274">
        <f>SUMIF(Ahu_Ashrae_sheet15[Zone],AHU1_CAV_SCHEDULE4451416[[#This Row],[ZONE]],Ahu_Ashrae_sheet15[DESIGN VAV MIN SA(CFM)])</f>
        <v>0</v>
      </c>
      <c r="AP39" s="272">
        <f>SUMIF(Ahu_Ashrae_sheet15[Zone],AHU1_CAV_SCHEDULE4451416[[#This Row],[ZONE]],Ahu_Ashrae_sheet15[DESIGN VAV MAX SA(CFM)])</f>
        <v>0</v>
      </c>
      <c r="AQ39" s="29" t="str">
        <f>IFERROR((VLOOKUP(AHU1_CAV_SCHEDULE4451416[[#This Row],[MAX VAV
(CFM)]],'DO NOT TOUCH'!$B$9:$C$14,2,TRUE)),"TBD")</f>
        <v>TBD</v>
      </c>
      <c r="AR39" s="29">
        <f t="shared" si="2"/>
        <v>0.5</v>
      </c>
      <c r="AS39" s="29">
        <f>AHU1_CAV_SCHEDULE4451416[[#This Row],[MIN VAV
(CFM)]]</f>
        <v>0</v>
      </c>
      <c r="AT39" s="29">
        <f>INPUT_OUTPUTS!$C$16</f>
        <v>140</v>
      </c>
      <c r="AU39" s="29">
        <f>INPUT_OUTPUTS!$C$17</f>
        <v>100</v>
      </c>
      <c r="AV39" s="29">
        <f t="shared" si="7"/>
        <v>55</v>
      </c>
      <c r="AW39" s="29">
        <f t="shared" si="7"/>
        <v>80</v>
      </c>
      <c r="AX39" s="29">
        <f>MROUND((1.08*(AW39-AV39)*AHU1_CAV_SCHEDULE4451416[[#This Row],[HEATING AIRFLOW 
(CFM)]])/1000,0.1)</f>
        <v>0</v>
      </c>
      <c r="AY39" s="30">
        <f t="shared" si="3"/>
        <v>0</v>
      </c>
      <c r="AZ39" s="30">
        <f t="shared" si="1"/>
        <v>0.5</v>
      </c>
      <c r="BA39" s="30">
        <f t="shared" si="4"/>
        <v>5</v>
      </c>
      <c r="BB39" s="30" t="str">
        <f>IFERROR((_xlfn.XLOOKUP(AQ39,'DO NOT TOUCH'!$C$9:$C$14,'DO NOT TOUCH'!$D$9:$D$14,)),"TBD")</f>
        <v>TBD</v>
      </c>
      <c r="BC39" s="30">
        <f>INPUT_OUTPUTS!$C$19</f>
        <v>0</v>
      </c>
      <c r="BD39" s="32" t="str">
        <f t="shared" si="5"/>
        <v>1, 2</v>
      </c>
    </row>
    <row r="40" spans="38:56" ht="15">
      <c r="AL40" s="272" t="s">
        <v>517</v>
      </c>
      <c r="AM40" s="273" t="s">
        <v>70</v>
      </c>
      <c r="AN40" s="273" t="s">
        <v>75</v>
      </c>
      <c r="AO40" s="274">
        <f>SUMIF(Ahu_Ashrae_sheet15[Zone],AHU1_CAV_SCHEDULE4451416[[#This Row],[ZONE]],Ahu_Ashrae_sheet15[DESIGN VAV MIN SA(CFM)])</f>
        <v>0</v>
      </c>
      <c r="AP40" s="272">
        <f>SUMIF(Ahu_Ashrae_sheet15[Zone],AHU1_CAV_SCHEDULE4451416[[#This Row],[ZONE]],Ahu_Ashrae_sheet15[DESIGN VAV MAX SA(CFM)])</f>
        <v>0</v>
      </c>
      <c r="AQ40" s="29" t="str">
        <f>IFERROR((VLOOKUP(AHU1_CAV_SCHEDULE4451416[[#This Row],[MAX VAV
(CFM)]],'DO NOT TOUCH'!$B$9:$C$14,2,TRUE)),"TBD")</f>
        <v>TBD</v>
      </c>
      <c r="AR40" s="35">
        <f t="shared" si="2"/>
        <v>0.5</v>
      </c>
      <c r="AS40" s="29">
        <f>AHU1_CAV_SCHEDULE4451416[[#This Row],[MIN VAV
(CFM)]]</f>
        <v>0</v>
      </c>
      <c r="AT40" s="29">
        <f>INPUT_OUTPUTS!$C$16</f>
        <v>140</v>
      </c>
      <c r="AU40" s="29">
        <f>INPUT_OUTPUTS!$C$17</f>
        <v>100</v>
      </c>
      <c r="AV40" s="35">
        <f t="shared" si="7"/>
        <v>55</v>
      </c>
      <c r="AW40" s="35">
        <f t="shared" si="7"/>
        <v>80</v>
      </c>
      <c r="AX40" s="29">
        <f>MROUND((1.08*(AW40-AV40)*AHU1_CAV_SCHEDULE4451416[[#This Row],[HEATING AIRFLOW 
(CFM)]])/1000,0.1)</f>
        <v>0</v>
      </c>
      <c r="AY40" s="36">
        <f t="shared" si="3"/>
        <v>0</v>
      </c>
      <c r="AZ40" s="36">
        <f t="shared" si="1"/>
        <v>0.5</v>
      </c>
      <c r="BA40" s="36">
        <f t="shared" si="4"/>
        <v>5</v>
      </c>
      <c r="BB40" s="36" t="str">
        <f>IFERROR((_xlfn.XLOOKUP(AQ40,'DO NOT TOUCH'!$C$9:$C$14,'DO NOT TOUCH'!$D$9:$D$14,)),"TBD")</f>
        <v>TBD</v>
      </c>
      <c r="BC40" s="30">
        <f>INPUT_OUTPUTS!$C$19</f>
        <v>0</v>
      </c>
      <c r="BD40" s="37" t="str">
        <f t="shared" si="5"/>
        <v>1, 2</v>
      </c>
    </row>
    <row r="41" spans="38:56" ht="15">
      <c r="AL41" s="42" t="s">
        <v>131</v>
      </c>
      <c r="AM41" s="43"/>
      <c r="AN41" s="43"/>
      <c r="AO41" s="43"/>
      <c r="AP41" s="44"/>
      <c r="AQ41" s="44"/>
      <c r="AR41" s="44"/>
      <c r="AS41" s="44"/>
      <c r="AT41" s="44"/>
      <c r="AU41" s="44"/>
      <c r="AV41" s="44"/>
      <c r="AW41" s="44"/>
      <c r="AX41" s="44">
        <f>SUBTOTAL(109,AHU1_CAV_SCHEDULE4451416[MIN MBH])</f>
        <v>21.5</v>
      </c>
      <c r="AY41" s="44"/>
      <c r="AZ41" s="46">
        <f>SUBTOTAL(109,AHU1_CAV_SCHEDULE4451416[GPM])</f>
        <v>19.074999999999999</v>
      </c>
      <c r="BA41" s="44"/>
      <c r="BB41" s="44"/>
      <c r="BC41" s="44"/>
      <c r="BD41" s="45"/>
    </row>
  </sheetData>
  <mergeCells count="2">
    <mergeCell ref="A1:G1"/>
    <mergeCell ref="H1:AC1"/>
  </mergeCells>
  <phoneticPr fontId="9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D97746D2-C89F-44DA-82C1-46DD8DEBA094}">
          <x14:formula1>
            <xm:f>'ASHRAE Table'!$A$2:$A$92</xm:f>
          </x14:formula1>
          <xm:sqref>I3:I5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2"/>
  <sheetViews>
    <sheetView zoomScale="85" zoomScaleNormal="85" workbookViewId="0">
      <selection activeCell="B102" sqref="B102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263" bestFit="1" customWidth="1"/>
    <col min="10" max="10" width="77.42578125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6" t="s">
        <v>438</v>
      </c>
      <c r="B1" s="16" t="s">
        <v>415</v>
      </c>
      <c r="C1" s="16" t="s">
        <v>201</v>
      </c>
      <c r="D1" s="16" t="s">
        <v>416</v>
      </c>
      <c r="E1" s="16" t="s">
        <v>417</v>
      </c>
      <c r="F1" s="265" t="s">
        <v>418</v>
      </c>
      <c r="G1" s="265" t="s">
        <v>671</v>
      </c>
      <c r="H1"/>
      <c r="J1" s="16" t="s">
        <v>438</v>
      </c>
      <c r="K1" s="16" t="s">
        <v>419</v>
      </c>
      <c r="L1" s="16" t="s">
        <v>420</v>
      </c>
      <c r="M1" s="16" t="s">
        <v>422</v>
      </c>
      <c r="N1" s="16" t="s">
        <v>421</v>
      </c>
      <c r="O1" s="16"/>
      <c r="P1" s="16"/>
      <c r="Q1" s="16"/>
    </row>
    <row r="2" spans="1:28">
      <c r="A2" s="294" t="s">
        <v>578</v>
      </c>
      <c r="B2" s="264">
        <v>10</v>
      </c>
      <c r="C2" s="264">
        <v>0.12</v>
      </c>
      <c r="D2" s="264">
        <v>20</v>
      </c>
      <c r="E2" s="264">
        <v>2</v>
      </c>
      <c r="F2" s="264" t="s">
        <v>214</v>
      </c>
      <c r="G2" s="264" t="s">
        <v>214</v>
      </c>
      <c r="H2"/>
      <c r="J2" s="295" t="s">
        <v>579</v>
      </c>
      <c r="K2" s="267">
        <v>0</v>
      </c>
      <c r="L2" s="264">
        <v>0.9</v>
      </c>
      <c r="M2" s="264"/>
      <c r="N2" s="264">
        <v>3</v>
      </c>
      <c r="Q2" s="16" t="s">
        <v>435</v>
      </c>
      <c r="U2" s="16" t="s">
        <v>554</v>
      </c>
      <c r="V2">
        <v>199</v>
      </c>
      <c r="W2">
        <v>399</v>
      </c>
      <c r="X2">
        <v>10000</v>
      </c>
      <c r="Y2" s="16" t="s">
        <v>554</v>
      </c>
      <c r="Z2">
        <v>199</v>
      </c>
      <c r="AA2">
        <v>399</v>
      </c>
      <c r="AB2">
        <v>10000</v>
      </c>
    </row>
    <row r="3" spans="1:28">
      <c r="A3" s="294" t="s">
        <v>579</v>
      </c>
      <c r="B3" s="264">
        <v>10</v>
      </c>
      <c r="C3" s="264">
        <v>0.18</v>
      </c>
      <c r="D3" s="264">
        <v>20</v>
      </c>
      <c r="E3" s="264">
        <v>3</v>
      </c>
      <c r="F3" s="264" t="s">
        <v>214</v>
      </c>
      <c r="G3" s="264" t="s">
        <v>214</v>
      </c>
      <c r="H3"/>
      <c r="J3" s="295" t="s">
        <v>580</v>
      </c>
      <c r="K3" s="264">
        <v>0</v>
      </c>
      <c r="L3" s="264">
        <v>3</v>
      </c>
      <c r="M3" s="264"/>
      <c r="N3" s="264">
        <v>3</v>
      </c>
      <c r="Q3">
        <v>1</v>
      </c>
      <c r="U3" s="98">
        <v>7</v>
      </c>
      <c r="V3">
        <v>400</v>
      </c>
      <c r="W3">
        <v>200</v>
      </c>
      <c r="X3">
        <v>150</v>
      </c>
      <c r="Y3" s="98">
        <v>7</v>
      </c>
      <c r="Z3">
        <v>800</v>
      </c>
      <c r="AA3">
        <v>400</v>
      </c>
      <c r="AB3">
        <v>250</v>
      </c>
    </row>
    <row r="4" spans="1:28">
      <c r="A4" s="294" t="s">
        <v>580</v>
      </c>
      <c r="B4" s="264">
        <v>10</v>
      </c>
      <c r="C4" s="264">
        <v>0.18</v>
      </c>
      <c r="D4" s="264">
        <v>20</v>
      </c>
      <c r="E4" s="264">
        <v>3</v>
      </c>
      <c r="F4" s="264" t="s">
        <v>214</v>
      </c>
      <c r="G4" s="264" t="s">
        <v>214</v>
      </c>
      <c r="H4"/>
      <c r="J4" s="295" t="s">
        <v>581</v>
      </c>
      <c r="K4" s="264">
        <v>0</v>
      </c>
      <c r="L4" s="264">
        <v>1.5</v>
      </c>
      <c r="M4" s="264"/>
      <c r="N4" s="264">
        <v>3</v>
      </c>
      <c r="Q4">
        <v>0.8</v>
      </c>
      <c r="U4" s="98">
        <v>8</v>
      </c>
      <c r="V4">
        <v>400</v>
      </c>
      <c r="W4">
        <v>200</v>
      </c>
      <c r="X4">
        <v>150</v>
      </c>
      <c r="Y4" s="98">
        <v>8</v>
      </c>
      <c r="Z4">
        <v>800</v>
      </c>
      <c r="AA4">
        <v>400</v>
      </c>
      <c r="AB4">
        <v>250</v>
      </c>
    </row>
    <row r="5" spans="1:28">
      <c r="A5" s="294" t="s">
        <v>581</v>
      </c>
      <c r="B5" s="264">
        <v>10</v>
      </c>
      <c r="C5" s="264">
        <v>0.18</v>
      </c>
      <c r="D5" s="264">
        <v>20</v>
      </c>
      <c r="E5" s="264">
        <v>3</v>
      </c>
      <c r="F5" s="264" t="s">
        <v>214</v>
      </c>
      <c r="G5" s="264" t="s">
        <v>214</v>
      </c>
      <c r="H5"/>
      <c r="J5" s="295" t="s">
        <v>582</v>
      </c>
      <c r="K5" s="264">
        <v>0</v>
      </c>
      <c r="L5" s="264">
        <v>1.5</v>
      </c>
      <c r="M5" s="264"/>
      <c r="N5" s="264">
        <v>3</v>
      </c>
      <c r="Q5">
        <v>0.7</v>
      </c>
      <c r="U5" s="97" t="s">
        <v>537</v>
      </c>
      <c r="V5">
        <v>600</v>
      </c>
      <c r="W5">
        <v>250</v>
      </c>
      <c r="X5">
        <v>150</v>
      </c>
      <c r="Y5" s="97" t="s">
        <v>537</v>
      </c>
      <c r="Z5">
        <v>1400</v>
      </c>
      <c r="AA5">
        <v>900</v>
      </c>
      <c r="AB5">
        <v>400</v>
      </c>
    </row>
    <row r="6" spans="1:28">
      <c r="A6" s="294" t="s">
        <v>582</v>
      </c>
      <c r="B6" s="264">
        <v>10</v>
      </c>
      <c r="C6" s="264">
        <v>0.18</v>
      </c>
      <c r="D6" s="264">
        <v>20</v>
      </c>
      <c r="E6" s="264">
        <v>3</v>
      </c>
      <c r="F6" s="264" t="s">
        <v>214</v>
      </c>
      <c r="G6" s="264" t="s">
        <v>214</v>
      </c>
      <c r="H6"/>
      <c r="J6" s="295" t="s">
        <v>583</v>
      </c>
      <c r="K6" s="264">
        <v>0</v>
      </c>
      <c r="L6" s="264">
        <v>2.25</v>
      </c>
      <c r="M6" s="264"/>
      <c r="N6" s="264">
        <v>3</v>
      </c>
      <c r="Q6">
        <v>0.5</v>
      </c>
      <c r="U6" s="97" t="s">
        <v>538</v>
      </c>
      <c r="V6">
        <v>600</v>
      </c>
      <c r="W6">
        <v>250</v>
      </c>
      <c r="X6">
        <v>150</v>
      </c>
      <c r="Y6" s="97" t="s">
        <v>538</v>
      </c>
      <c r="Z6">
        <v>1400</v>
      </c>
      <c r="AA6">
        <v>900</v>
      </c>
      <c r="AB6">
        <v>400</v>
      </c>
    </row>
    <row r="7" spans="1:28">
      <c r="A7" s="294" t="s">
        <v>583</v>
      </c>
      <c r="B7" s="264">
        <v>10</v>
      </c>
      <c r="C7" s="264">
        <v>0.18</v>
      </c>
      <c r="D7" s="264">
        <v>20</v>
      </c>
      <c r="E7" s="264">
        <v>3</v>
      </c>
      <c r="F7" s="264" t="s">
        <v>214</v>
      </c>
      <c r="G7" s="264" t="s">
        <v>214</v>
      </c>
      <c r="H7"/>
      <c r="J7" s="295" t="s">
        <v>584</v>
      </c>
      <c r="K7" s="264">
        <v>0</v>
      </c>
      <c r="L7" s="264">
        <v>1.5</v>
      </c>
      <c r="M7" s="264"/>
      <c r="N7" s="264">
        <v>3</v>
      </c>
      <c r="Q7">
        <v>1.05</v>
      </c>
      <c r="U7" s="97" t="s">
        <v>539</v>
      </c>
      <c r="V7">
        <v>600</v>
      </c>
      <c r="W7">
        <v>250</v>
      </c>
      <c r="X7">
        <v>150</v>
      </c>
      <c r="Y7" s="97" t="s">
        <v>539</v>
      </c>
      <c r="Z7">
        <v>1400</v>
      </c>
      <c r="AA7">
        <v>900</v>
      </c>
      <c r="AB7">
        <v>400</v>
      </c>
    </row>
    <row r="8" spans="1:28">
      <c r="A8" s="294" t="s">
        <v>584</v>
      </c>
      <c r="B8" s="264">
        <v>10</v>
      </c>
      <c r="C8" s="264">
        <v>0.18</v>
      </c>
      <c r="D8" s="264">
        <v>20</v>
      </c>
      <c r="E8" s="264">
        <v>3</v>
      </c>
      <c r="F8" s="264" t="s">
        <v>214</v>
      </c>
      <c r="G8" s="264" t="s">
        <v>214</v>
      </c>
      <c r="H8"/>
      <c r="J8" s="295" t="s">
        <v>668</v>
      </c>
      <c r="K8" s="264">
        <v>0</v>
      </c>
      <c r="L8" s="264">
        <v>2.25</v>
      </c>
      <c r="M8" s="264"/>
      <c r="N8" s="264">
        <v>3</v>
      </c>
      <c r="Q8">
        <v>1.2</v>
      </c>
      <c r="U8" s="97" t="s">
        <v>540</v>
      </c>
      <c r="V8">
        <v>800</v>
      </c>
      <c r="W8">
        <v>400</v>
      </c>
      <c r="X8">
        <v>250</v>
      </c>
      <c r="Y8" s="97" t="s">
        <v>540</v>
      </c>
      <c r="Z8">
        <v>2000</v>
      </c>
      <c r="AA8">
        <v>1000</v>
      </c>
      <c r="AB8">
        <v>500</v>
      </c>
    </row>
    <row r="9" spans="1:28">
      <c r="A9" s="294" t="s">
        <v>585</v>
      </c>
      <c r="B9" s="264">
        <v>10</v>
      </c>
      <c r="C9" s="264">
        <v>0.18</v>
      </c>
      <c r="D9" s="264">
        <v>20</v>
      </c>
      <c r="E9" s="264">
        <v>3</v>
      </c>
      <c r="F9" s="264" t="s">
        <v>214</v>
      </c>
      <c r="G9" s="264" t="s">
        <v>214</v>
      </c>
      <c r="H9"/>
      <c r="J9" s="295" t="s">
        <v>586</v>
      </c>
      <c r="K9" s="264">
        <v>0</v>
      </c>
      <c r="L9" s="264">
        <v>2.25</v>
      </c>
      <c r="M9" s="264"/>
      <c r="N9" s="264">
        <v>3</v>
      </c>
      <c r="Q9">
        <v>1.5</v>
      </c>
      <c r="U9" s="97" t="s">
        <v>541</v>
      </c>
      <c r="V9">
        <v>800</v>
      </c>
      <c r="W9">
        <v>400</v>
      </c>
      <c r="X9">
        <v>250</v>
      </c>
      <c r="Y9" s="97" t="s">
        <v>541</v>
      </c>
      <c r="Z9">
        <v>2000</v>
      </c>
      <c r="AA9">
        <v>1000</v>
      </c>
      <c r="AB9">
        <v>500</v>
      </c>
    </row>
    <row r="10" spans="1:28">
      <c r="A10" s="294" t="s">
        <v>586</v>
      </c>
      <c r="B10" s="264">
        <v>10</v>
      </c>
      <c r="C10" s="264">
        <v>0.18</v>
      </c>
      <c r="D10" s="264">
        <v>20</v>
      </c>
      <c r="E10" s="264">
        <v>3</v>
      </c>
      <c r="F10" s="264" t="s">
        <v>214</v>
      </c>
      <c r="G10" s="264" t="s">
        <v>214</v>
      </c>
      <c r="H10"/>
      <c r="J10" s="295" t="s">
        <v>587</v>
      </c>
      <c r="K10" s="264">
        <v>0</v>
      </c>
      <c r="L10" s="264">
        <v>2.25</v>
      </c>
      <c r="M10" s="264"/>
      <c r="N10" s="264">
        <v>3</v>
      </c>
      <c r="Q10">
        <v>1.4</v>
      </c>
      <c r="U10" s="97" t="s">
        <v>542</v>
      </c>
      <c r="V10">
        <v>800</v>
      </c>
      <c r="W10">
        <v>400</v>
      </c>
      <c r="X10">
        <v>250</v>
      </c>
      <c r="Y10" s="97" t="s">
        <v>542</v>
      </c>
      <c r="Z10">
        <v>2000</v>
      </c>
      <c r="AA10">
        <v>1000</v>
      </c>
      <c r="AB10">
        <v>500</v>
      </c>
    </row>
    <row r="11" spans="1:28">
      <c r="A11" s="294" t="s">
        <v>587</v>
      </c>
      <c r="B11" s="264">
        <v>10</v>
      </c>
      <c r="C11" s="264">
        <v>0.18</v>
      </c>
      <c r="D11" s="264">
        <v>20</v>
      </c>
      <c r="E11" s="264">
        <v>3</v>
      </c>
      <c r="F11" s="264" t="s">
        <v>214</v>
      </c>
      <c r="G11" s="264" t="s">
        <v>214</v>
      </c>
      <c r="H11"/>
      <c r="J11" s="295" t="s">
        <v>588</v>
      </c>
      <c r="K11" s="264">
        <v>0</v>
      </c>
      <c r="L11" s="264">
        <v>1.5</v>
      </c>
      <c r="M11" s="264"/>
      <c r="N11" s="264">
        <v>3</v>
      </c>
      <c r="Q11">
        <v>1.4</v>
      </c>
      <c r="U11" s="97" t="s">
        <v>543</v>
      </c>
      <c r="V11">
        <v>800</v>
      </c>
      <c r="W11">
        <v>400</v>
      </c>
      <c r="X11">
        <v>250</v>
      </c>
      <c r="Y11" s="97" t="s">
        <v>543</v>
      </c>
      <c r="Z11">
        <v>2000</v>
      </c>
      <c r="AA11">
        <v>1000</v>
      </c>
      <c r="AB11">
        <v>500</v>
      </c>
    </row>
    <row r="12" spans="1:28">
      <c r="A12" s="294" t="s">
        <v>588</v>
      </c>
      <c r="B12" s="264">
        <v>10</v>
      </c>
      <c r="C12" s="264">
        <v>0.18</v>
      </c>
      <c r="D12" s="264">
        <v>20</v>
      </c>
      <c r="E12" s="264">
        <v>3</v>
      </c>
      <c r="F12" s="264" t="s">
        <v>214</v>
      </c>
      <c r="G12" s="264" t="s">
        <v>214</v>
      </c>
      <c r="H12"/>
      <c r="J12" s="295" t="s">
        <v>453</v>
      </c>
      <c r="K12" s="264">
        <v>0</v>
      </c>
      <c r="L12" s="264">
        <v>0.5</v>
      </c>
      <c r="M12" s="264" t="s">
        <v>356</v>
      </c>
      <c r="N12" s="264">
        <v>1</v>
      </c>
      <c r="Q12">
        <v>1.2</v>
      </c>
      <c r="U12" s="97" t="s">
        <v>544</v>
      </c>
      <c r="V12">
        <v>800</v>
      </c>
      <c r="W12">
        <v>400</v>
      </c>
      <c r="X12">
        <v>250</v>
      </c>
      <c r="Y12" s="97" t="s">
        <v>544</v>
      </c>
      <c r="Z12">
        <v>2000</v>
      </c>
      <c r="AA12">
        <v>1000</v>
      </c>
      <c r="AB12">
        <v>500</v>
      </c>
    </row>
    <row r="13" spans="1:28">
      <c r="A13" s="294" t="s">
        <v>589</v>
      </c>
      <c r="B13" s="264">
        <v>7.5</v>
      </c>
      <c r="C13" s="264">
        <v>0.06</v>
      </c>
      <c r="D13" s="264">
        <v>50</v>
      </c>
      <c r="E13" s="264">
        <v>2</v>
      </c>
      <c r="F13" s="264" t="s">
        <v>214</v>
      </c>
      <c r="G13" s="264" t="s">
        <v>214</v>
      </c>
      <c r="H13"/>
      <c r="J13" s="295" t="s">
        <v>454</v>
      </c>
      <c r="K13" s="264">
        <v>0</v>
      </c>
      <c r="L13" s="264">
        <v>0.7</v>
      </c>
      <c r="M13" s="264"/>
      <c r="N13" s="264">
        <v>2</v>
      </c>
      <c r="Q13">
        <v>1.5</v>
      </c>
      <c r="U13" s="97" t="s">
        <v>545</v>
      </c>
      <c r="V13">
        <v>800</v>
      </c>
      <c r="W13">
        <v>400</v>
      </c>
      <c r="X13">
        <v>250</v>
      </c>
      <c r="Y13" s="97" t="s">
        <v>545</v>
      </c>
      <c r="Z13">
        <v>2000</v>
      </c>
      <c r="AA13">
        <v>1000</v>
      </c>
      <c r="AB13">
        <v>500</v>
      </c>
    </row>
    <row r="14" spans="1:28">
      <c r="A14" s="294" t="s">
        <v>590</v>
      </c>
      <c r="B14" s="264">
        <v>5</v>
      </c>
      <c r="C14" s="264">
        <v>0.12</v>
      </c>
      <c r="D14" s="264">
        <v>25</v>
      </c>
      <c r="E14" s="264">
        <v>2</v>
      </c>
      <c r="F14" s="264" t="s">
        <v>214</v>
      </c>
      <c r="G14" s="264" t="s">
        <v>214</v>
      </c>
      <c r="H14"/>
      <c r="J14" s="295" t="s">
        <v>455</v>
      </c>
      <c r="K14" s="264">
        <v>0</v>
      </c>
      <c r="L14" s="264">
        <v>1.5</v>
      </c>
      <c r="M14" s="264" t="s">
        <v>456</v>
      </c>
      <c r="N14" s="264">
        <v>2</v>
      </c>
      <c r="U14" s="97" t="s">
        <v>546</v>
      </c>
      <c r="V14">
        <v>800</v>
      </c>
      <c r="W14">
        <v>400</v>
      </c>
      <c r="X14">
        <v>250</v>
      </c>
      <c r="Y14" s="97" t="s">
        <v>546</v>
      </c>
      <c r="Z14">
        <v>2000</v>
      </c>
      <c r="AA14">
        <v>1000</v>
      </c>
      <c r="AB14">
        <v>500</v>
      </c>
    </row>
    <row r="15" spans="1:28">
      <c r="A15" s="294" t="s">
        <v>591</v>
      </c>
      <c r="B15" s="264">
        <v>5</v>
      </c>
      <c r="C15" s="264">
        <v>0.06</v>
      </c>
      <c r="D15" s="264">
        <v>30</v>
      </c>
      <c r="E15" s="264">
        <v>1</v>
      </c>
      <c r="F15" s="264" t="s">
        <v>214</v>
      </c>
      <c r="G15" s="264" t="s">
        <v>214</v>
      </c>
      <c r="H15"/>
      <c r="J15" s="295" t="s">
        <v>457</v>
      </c>
      <c r="K15" s="264">
        <v>0</v>
      </c>
      <c r="L15" s="264">
        <v>0.5</v>
      </c>
      <c r="M15" s="264"/>
      <c r="N15" s="264">
        <v>2</v>
      </c>
      <c r="U15" s="97" t="s">
        <v>547</v>
      </c>
      <c r="V15">
        <v>1100</v>
      </c>
      <c r="W15">
        <v>600</v>
      </c>
      <c r="X15">
        <v>300</v>
      </c>
      <c r="Y15" s="97" t="s">
        <v>547</v>
      </c>
      <c r="Z15">
        <v>2300</v>
      </c>
      <c r="AA15">
        <v>1100</v>
      </c>
      <c r="AB15">
        <v>600</v>
      </c>
    </row>
    <row r="16" spans="1:28">
      <c r="A16" s="294" t="s">
        <v>592</v>
      </c>
      <c r="B16" s="264">
        <v>5</v>
      </c>
      <c r="C16" s="264">
        <v>0.06</v>
      </c>
      <c r="D16" s="264">
        <v>15</v>
      </c>
      <c r="E16" s="264">
        <v>1</v>
      </c>
      <c r="F16" s="264" t="s">
        <v>214</v>
      </c>
      <c r="G16" s="264" t="s">
        <v>214</v>
      </c>
      <c r="H16"/>
      <c r="J16" s="295" t="s">
        <v>451</v>
      </c>
      <c r="K16" s="264">
        <v>0</v>
      </c>
      <c r="L16" s="264">
        <v>0.6</v>
      </c>
      <c r="M16" s="264"/>
      <c r="N16" s="264">
        <v>2</v>
      </c>
      <c r="U16" s="97" t="s">
        <v>548</v>
      </c>
      <c r="V16">
        <v>1100</v>
      </c>
      <c r="W16">
        <v>600</v>
      </c>
      <c r="X16">
        <v>300</v>
      </c>
      <c r="Y16" s="97" t="s">
        <v>548</v>
      </c>
      <c r="Z16">
        <v>2300</v>
      </c>
      <c r="AA16">
        <v>1100</v>
      </c>
      <c r="AB16">
        <v>600</v>
      </c>
    </row>
    <row r="17" spans="1:28">
      <c r="A17" s="294" t="s">
        <v>593</v>
      </c>
      <c r="B17" s="264">
        <v>10</v>
      </c>
      <c r="C17" s="264">
        <v>0.18</v>
      </c>
      <c r="D17" s="264">
        <v>20</v>
      </c>
      <c r="E17" s="264">
        <v>2</v>
      </c>
      <c r="F17" s="264" t="s">
        <v>214</v>
      </c>
      <c r="G17" s="264" t="s">
        <v>214</v>
      </c>
      <c r="H17"/>
      <c r="J17" s="295" t="s">
        <v>458</v>
      </c>
      <c r="K17" s="264">
        <v>0</v>
      </c>
      <c r="L17" s="264">
        <v>1</v>
      </c>
      <c r="M17" s="264"/>
      <c r="N17" s="264">
        <v>2</v>
      </c>
      <c r="U17" s="97" t="s">
        <v>549</v>
      </c>
      <c r="V17">
        <v>1100</v>
      </c>
      <c r="W17">
        <v>600</v>
      </c>
      <c r="X17">
        <v>300</v>
      </c>
      <c r="Y17" s="97" t="s">
        <v>549</v>
      </c>
      <c r="Z17">
        <v>2300</v>
      </c>
      <c r="AA17">
        <v>1100</v>
      </c>
      <c r="AB17">
        <v>600</v>
      </c>
    </row>
    <row r="18" spans="1:28">
      <c r="A18" s="294" t="s">
        <v>594</v>
      </c>
      <c r="B18" s="264">
        <v>10</v>
      </c>
      <c r="C18" s="264">
        <v>0.12</v>
      </c>
      <c r="D18" s="264">
        <v>25</v>
      </c>
      <c r="E18" s="264">
        <v>1</v>
      </c>
      <c r="F18" s="264" t="s">
        <v>214</v>
      </c>
      <c r="G18" s="264" t="s">
        <v>214</v>
      </c>
      <c r="H18"/>
      <c r="J18" s="295" t="s">
        <v>459</v>
      </c>
      <c r="K18" s="264">
        <v>0</v>
      </c>
      <c r="L18" s="264">
        <v>0.5</v>
      </c>
      <c r="M18" s="264"/>
      <c r="N18" s="264">
        <v>2</v>
      </c>
      <c r="U18" s="97" t="s">
        <v>550</v>
      </c>
      <c r="V18">
        <v>1500</v>
      </c>
      <c r="W18">
        <v>700</v>
      </c>
      <c r="X18">
        <v>400</v>
      </c>
      <c r="Y18" s="97" t="s">
        <v>550</v>
      </c>
      <c r="Z18">
        <v>5200</v>
      </c>
      <c r="AA18">
        <v>2350</v>
      </c>
      <c r="AB18">
        <v>1250</v>
      </c>
    </row>
    <row r="19" spans="1:28">
      <c r="A19" s="294" t="s">
        <v>595</v>
      </c>
      <c r="B19" s="264">
        <v>10</v>
      </c>
      <c r="C19" s="264">
        <v>0.12</v>
      </c>
      <c r="D19" s="264">
        <v>35</v>
      </c>
      <c r="E19" s="264">
        <v>1</v>
      </c>
      <c r="F19" s="264" t="s">
        <v>214</v>
      </c>
      <c r="G19" s="264" t="s">
        <v>214</v>
      </c>
      <c r="H19"/>
      <c r="J19" s="295" t="s">
        <v>460</v>
      </c>
      <c r="K19" s="264">
        <v>0</v>
      </c>
      <c r="L19" s="264">
        <v>1</v>
      </c>
      <c r="M19" s="264"/>
      <c r="N19" s="264">
        <v>2</v>
      </c>
      <c r="U19" s="97" t="s">
        <v>551</v>
      </c>
      <c r="V19">
        <v>1500</v>
      </c>
      <c r="W19">
        <v>700</v>
      </c>
      <c r="X19">
        <v>400</v>
      </c>
      <c r="Y19" s="97" t="s">
        <v>551</v>
      </c>
      <c r="Z19">
        <v>5200</v>
      </c>
      <c r="AA19">
        <v>2350</v>
      </c>
      <c r="AB19">
        <v>1250</v>
      </c>
    </row>
    <row r="20" spans="1:28">
      <c r="A20" s="294" t="s">
        <v>596</v>
      </c>
      <c r="B20" s="264">
        <v>10</v>
      </c>
      <c r="C20" s="264">
        <v>0.12</v>
      </c>
      <c r="D20" s="264">
        <v>25</v>
      </c>
      <c r="E20" s="264">
        <v>1</v>
      </c>
      <c r="F20" s="264" t="s">
        <v>214</v>
      </c>
      <c r="G20" s="264" t="s">
        <v>214</v>
      </c>
      <c r="H20"/>
      <c r="J20" s="295" t="s">
        <v>461</v>
      </c>
      <c r="K20" s="264">
        <v>0</v>
      </c>
      <c r="L20" s="264">
        <v>1</v>
      </c>
      <c r="M20" s="264"/>
      <c r="N20" s="264">
        <v>2</v>
      </c>
      <c r="U20" s="97" t="s">
        <v>552</v>
      </c>
      <c r="V20">
        <v>2400</v>
      </c>
      <c r="W20">
        <v>1100</v>
      </c>
      <c r="X20">
        <v>600</v>
      </c>
      <c r="Y20" s="97" t="s">
        <v>552</v>
      </c>
      <c r="Z20">
        <v>5800</v>
      </c>
      <c r="AA20">
        <v>2600</v>
      </c>
      <c r="AB20">
        <v>1400</v>
      </c>
    </row>
    <row r="21" spans="1:28">
      <c r="A21" s="294" t="s">
        <v>598</v>
      </c>
      <c r="B21" s="264">
        <v>10</v>
      </c>
      <c r="C21" s="264">
        <v>0.18</v>
      </c>
      <c r="D21" s="264">
        <v>25</v>
      </c>
      <c r="E21" s="264">
        <v>2</v>
      </c>
      <c r="F21" s="264" t="s">
        <v>214</v>
      </c>
      <c r="G21" s="264" t="s">
        <v>214</v>
      </c>
      <c r="H21"/>
      <c r="J21" s="295" t="s">
        <v>462</v>
      </c>
      <c r="K21" s="264">
        <v>0</v>
      </c>
      <c r="L21" s="264">
        <v>1</v>
      </c>
      <c r="M21" s="264"/>
      <c r="N21" s="264">
        <v>3</v>
      </c>
      <c r="U21" s="97" t="s">
        <v>553</v>
      </c>
      <c r="V21">
        <v>7000</v>
      </c>
      <c r="W21">
        <v>3000</v>
      </c>
      <c r="X21">
        <v>1700</v>
      </c>
      <c r="Y21" s="97" t="s">
        <v>553</v>
      </c>
      <c r="Z21">
        <v>12000</v>
      </c>
      <c r="AA21">
        <v>6000</v>
      </c>
      <c r="AB21">
        <v>3000</v>
      </c>
    </row>
    <row r="22" spans="1:28">
      <c r="A22" s="294" t="s">
        <v>597</v>
      </c>
      <c r="B22" s="264">
        <v>10</v>
      </c>
      <c r="C22" s="264">
        <v>0.18</v>
      </c>
      <c r="D22" s="264">
        <v>25</v>
      </c>
      <c r="E22" s="264">
        <v>3</v>
      </c>
      <c r="F22" s="264" t="s">
        <v>214</v>
      </c>
      <c r="G22" s="264" t="s">
        <v>214</v>
      </c>
      <c r="H22"/>
      <c r="J22" s="295" t="s">
        <v>463</v>
      </c>
      <c r="K22" s="264">
        <v>0</v>
      </c>
      <c r="L22" s="264">
        <v>0.3</v>
      </c>
      <c r="M22" s="264"/>
      <c r="N22" s="264">
        <v>2</v>
      </c>
    </row>
    <row r="23" spans="1:28">
      <c r="A23" s="294" t="s">
        <v>599</v>
      </c>
      <c r="B23" s="264">
        <v>7.5</v>
      </c>
      <c r="C23" s="264">
        <v>0.06</v>
      </c>
      <c r="D23" s="264">
        <v>65</v>
      </c>
      <c r="E23" s="264">
        <v>1</v>
      </c>
      <c r="F23" s="266" t="s">
        <v>77</v>
      </c>
      <c r="G23" s="264" t="s">
        <v>214</v>
      </c>
      <c r="H23"/>
      <c r="J23" s="295" t="s">
        <v>464</v>
      </c>
      <c r="K23" s="264">
        <v>0</v>
      </c>
      <c r="L23" s="264">
        <v>0.7</v>
      </c>
      <c r="M23" s="264"/>
      <c r="N23" s="264">
        <v>2</v>
      </c>
    </row>
    <row r="24" spans="1:28">
      <c r="A24" s="294" t="s">
        <v>600</v>
      </c>
      <c r="B24" s="264">
        <v>7.5</v>
      </c>
      <c r="C24" s="264">
        <v>0.06</v>
      </c>
      <c r="D24" s="264">
        <v>150</v>
      </c>
      <c r="E24" s="264">
        <v>1</v>
      </c>
      <c r="F24" s="266" t="s">
        <v>77</v>
      </c>
      <c r="G24" s="264" t="s">
        <v>214</v>
      </c>
      <c r="H24"/>
      <c r="J24" s="295" t="s">
        <v>465</v>
      </c>
      <c r="K24" s="264">
        <v>0</v>
      </c>
      <c r="L24" s="264">
        <v>0.5</v>
      </c>
      <c r="M24" s="264"/>
      <c r="N24" s="264">
        <v>2</v>
      </c>
    </row>
    <row r="25" spans="1:28">
      <c r="A25" s="294" t="s">
        <v>601</v>
      </c>
      <c r="B25" s="264">
        <v>5</v>
      </c>
      <c r="C25" s="264">
        <v>0.12</v>
      </c>
      <c r="D25" s="264">
        <v>10</v>
      </c>
      <c r="E25" s="264">
        <v>0</v>
      </c>
      <c r="F25" s="264" t="s">
        <v>214</v>
      </c>
      <c r="G25" s="264" t="s">
        <v>214</v>
      </c>
      <c r="H25"/>
      <c r="J25" s="295" t="s">
        <v>669</v>
      </c>
      <c r="K25" s="264">
        <v>0</v>
      </c>
      <c r="L25" s="264">
        <v>0.25</v>
      </c>
      <c r="M25" s="264"/>
      <c r="N25" s="264">
        <v>2</v>
      </c>
    </row>
    <row r="26" spans="1:28">
      <c r="A26" s="294" t="s">
        <v>602</v>
      </c>
      <c r="B26" s="264">
        <v>10</v>
      </c>
      <c r="C26" s="264">
        <v>0.12</v>
      </c>
      <c r="D26" s="264">
        <v>25</v>
      </c>
      <c r="E26" s="264">
        <v>1</v>
      </c>
      <c r="F26" s="264" t="s">
        <v>214</v>
      </c>
      <c r="G26" s="264" t="s">
        <v>214</v>
      </c>
      <c r="H26"/>
      <c r="J26" s="295" t="s">
        <v>670</v>
      </c>
      <c r="K26" s="264">
        <v>50</v>
      </c>
      <c r="L26" s="264"/>
      <c r="M26" s="264" t="s">
        <v>466</v>
      </c>
      <c r="N26" s="264">
        <v>2</v>
      </c>
    </row>
    <row r="27" spans="1:28">
      <c r="A27" s="294" t="s">
        <v>603</v>
      </c>
      <c r="B27" s="264">
        <v>7.5</v>
      </c>
      <c r="C27" s="264">
        <v>0.06</v>
      </c>
      <c r="D27" s="264">
        <v>100</v>
      </c>
      <c r="E27" s="264">
        <v>1</v>
      </c>
      <c r="F27" s="266" t="s">
        <v>77</v>
      </c>
      <c r="G27" s="264" t="s">
        <v>214</v>
      </c>
      <c r="H27"/>
      <c r="J27" s="295" t="s">
        <v>467</v>
      </c>
      <c r="K27" s="264">
        <v>0</v>
      </c>
      <c r="L27" s="264">
        <v>0</v>
      </c>
      <c r="M27" s="264" t="s">
        <v>123</v>
      </c>
      <c r="N27" s="264">
        <v>4</v>
      </c>
    </row>
    <row r="28" spans="1:28">
      <c r="A28" s="294" t="s">
        <v>604</v>
      </c>
      <c r="B28" s="264">
        <v>10</v>
      </c>
      <c r="C28" s="264">
        <v>0.06</v>
      </c>
      <c r="D28" s="264">
        <v>35</v>
      </c>
      <c r="E28" s="264">
        <v>1</v>
      </c>
      <c r="F28" s="266" t="s">
        <v>77</v>
      </c>
      <c r="G28" s="264" t="s">
        <v>214</v>
      </c>
      <c r="H28"/>
      <c r="J28" s="295" t="s">
        <v>468</v>
      </c>
      <c r="K28" s="264">
        <v>0</v>
      </c>
      <c r="L28" s="264">
        <v>0.75</v>
      </c>
      <c r="M28" s="264" t="s">
        <v>396</v>
      </c>
      <c r="N28" s="264">
        <v>2</v>
      </c>
    </row>
    <row r="29" spans="1:28">
      <c r="A29" s="294" t="s">
        <v>605</v>
      </c>
      <c r="B29" s="264">
        <v>10</v>
      </c>
      <c r="C29" s="264">
        <v>0.18</v>
      </c>
      <c r="D29" s="264">
        <v>25</v>
      </c>
      <c r="E29" s="264">
        <v>2</v>
      </c>
      <c r="F29" s="264" t="s">
        <v>214</v>
      </c>
      <c r="G29" s="264" t="s">
        <v>214</v>
      </c>
      <c r="H29"/>
      <c r="J29" s="295" t="s">
        <v>452</v>
      </c>
      <c r="K29" s="264">
        <v>0</v>
      </c>
      <c r="L29" s="264">
        <v>0.9</v>
      </c>
      <c r="M29" s="264"/>
      <c r="N29" s="264">
        <v>2</v>
      </c>
    </row>
    <row r="30" spans="1:28">
      <c r="A30" s="294" t="s">
        <v>606</v>
      </c>
      <c r="B30" s="264">
        <v>10</v>
      </c>
      <c r="C30" s="264">
        <v>0.18</v>
      </c>
      <c r="D30" s="264">
        <v>25</v>
      </c>
      <c r="E30" s="264">
        <v>2</v>
      </c>
      <c r="F30" s="264" t="s">
        <v>214</v>
      </c>
      <c r="G30" s="264" t="s">
        <v>214</v>
      </c>
      <c r="H30"/>
      <c r="J30" s="295" t="s">
        <v>469</v>
      </c>
      <c r="K30" s="264">
        <v>0</v>
      </c>
      <c r="L30" s="264">
        <v>0</v>
      </c>
      <c r="M30" s="264" t="s">
        <v>123</v>
      </c>
      <c r="N30" s="264">
        <v>3</v>
      </c>
    </row>
    <row r="31" spans="1:28">
      <c r="A31" s="294" t="s">
        <v>607</v>
      </c>
      <c r="B31" s="264">
        <v>10</v>
      </c>
      <c r="C31" s="264">
        <v>0.18</v>
      </c>
      <c r="D31" s="264">
        <v>20</v>
      </c>
      <c r="E31" s="264">
        <v>2</v>
      </c>
      <c r="F31" s="264" t="s">
        <v>214</v>
      </c>
      <c r="G31" s="264" t="s">
        <v>214</v>
      </c>
      <c r="H31"/>
      <c r="J31" s="295" t="s">
        <v>470</v>
      </c>
      <c r="K31" s="264">
        <v>100</v>
      </c>
      <c r="L31" s="264">
        <v>0</v>
      </c>
      <c r="M31" s="264" t="s">
        <v>466</v>
      </c>
      <c r="N31" s="264">
        <v>2</v>
      </c>
    </row>
    <row r="32" spans="1:28">
      <c r="A32" s="294" t="s">
        <v>608</v>
      </c>
      <c r="B32" s="264">
        <v>7.5</v>
      </c>
      <c r="C32" s="264">
        <v>0.18</v>
      </c>
      <c r="D32" s="264">
        <v>100</v>
      </c>
      <c r="E32" s="264">
        <v>2</v>
      </c>
      <c r="F32" s="264" t="s">
        <v>214</v>
      </c>
      <c r="G32" s="264" t="s">
        <v>214</v>
      </c>
      <c r="H32"/>
      <c r="J32" s="295" t="s">
        <v>471</v>
      </c>
      <c r="K32" s="264">
        <v>0</v>
      </c>
      <c r="L32" s="264">
        <v>1</v>
      </c>
      <c r="M32" s="264" t="s">
        <v>123</v>
      </c>
      <c r="N32" s="264">
        <v>3</v>
      </c>
    </row>
    <row r="33" spans="1:14">
      <c r="A33" s="294" t="s">
        <v>609</v>
      </c>
      <c r="B33" s="264">
        <v>7.5</v>
      </c>
      <c r="C33" s="264">
        <v>0.18</v>
      </c>
      <c r="D33" s="264">
        <v>100</v>
      </c>
      <c r="E33" s="264">
        <v>2</v>
      </c>
      <c r="F33" s="264" t="s">
        <v>214</v>
      </c>
      <c r="G33" s="264" t="s">
        <v>214</v>
      </c>
      <c r="H33"/>
      <c r="J33" s="295" t="s">
        <v>472</v>
      </c>
      <c r="K33" s="264">
        <v>0</v>
      </c>
      <c r="L33" s="264">
        <v>1.5</v>
      </c>
      <c r="M33" s="264" t="s">
        <v>123</v>
      </c>
      <c r="N33" s="264">
        <v>4</v>
      </c>
    </row>
    <row r="34" spans="1:14">
      <c r="A34" s="294" t="s">
        <v>610</v>
      </c>
      <c r="B34" s="264">
        <v>7.5</v>
      </c>
      <c r="C34" s="264">
        <v>0.12</v>
      </c>
      <c r="D34" s="264">
        <v>20</v>
      </c>
      <c r="E34" s="264">
        <v>2</v>
      </c>
      <c r="F34" s="264" t="s">
        <v>214</v>
      </c>
      <c r="G34" s="264" t="s">
        <v>214</v>
      </c>
      <c r="H34"/>
      <c r="J34" s="295" t="s">
        <v>473</v>
      </c>
      <c r="K34" s="264">
        <v>50</v>
      </c>
      <c r="L34" s="264">
        <v>0</v>
      </c>
      <c r="M34" s="264" t="s">
        <v>474</v>
      </c>
      <c r="N34" s="264">
        <v>2</v>
      </c>
    </row>
    <row r="35" spans="1:14">
      <c r="A35" s="294" t="s">
        <v>611</v>
      </c>
      <c r="B35" s="264">
        <v>7.5</v>
      </c>
      <c r="C35" s="264">
        <v>0.18</v>
      </c>
      <c r="D35" s="264">
        <v>70</v>
      </c>
      <c r="E35" s="264">
        <v>2</v>
      </c>
      <c r="F35" s="264" t="s">
        <v>214</v>
      </c>
      <c r="G35" s="264" t="s">
        <v>214</v>
      </c>
      <c r="H35"/>
      <c r="J35" s="295" t="s">
        <v>475</v>
      </c>
      <c r="K35" s="264">
        <v>70</v>
      </c>
      <c r="L35" s="264">
        <v>0</v>
      </c>
      <c r="M35" s="264" t="s">
        <v>476</v>
      </c>
      <c r="N35" s="264">
        <v>2</v>
      </c>
    </row>
    <row r="36" spans="1:14">
      <c r="A36" s="294" t="s">
        <v>612</v>
      </c>
      <c r="B36" s="264">
        <v>5</v>
      </c>
      <c r="C36" s="264">
        <v>0.06</v>
      </c>
      <c r="D36" s="264">
        <v>25</v>
      </c>
      <c r="E36" s="264">
        <v>1</v>
      </c>
      <c r="F36" s="266" t="s">
        <v>77</v>
      </c>
      <c r="G36" s="264" t="s">
        <v>214</v>
      </c>
      <c r="H36"/>
      <c r="J36" s="295" t="s">
        <v>478</v>
      </c>
      <c r="K36" s="264">
        <v>0</v>
      </c>
      <c r="L36" s="264">
        <v>0</v>
      </c>
      <c r="M36" s="264">
        <v>0</v>
      </c>
      <c r="N36" s="264">
        <v>0</v>
      </c>
    </row>
    <row r="37" spans="1:14">
      <c r="A37" s="294" t="s">
        <v>613</v>
      </c>
      <c r="B37" s="264">
        <v>5</v>
      </c>
      <c r="C37" s="264">
        <v>0.06</v>
      </c>
      <c r="D37" s="264">
        <v>20</v>
      </c>
      <c r="E37" s="264">
        <v>1</v>
      </c>
      <c r="F37" s="266" t="s">
        <v>77</v>
      </c>
      <c r="G37" s="264" t="s">
        <v>214</v>
      </c>
      <c r="H37"/>
      <c r="J37" s="295" t="s">
        <v>477</v>
      </c>
      <c r="K37" s="264">
        <v>0</v>
      </c>
      <c r="L37" s="264">
        <v>0.5</v>
      </c>
      <c r="M37" s="264"/>
      <c r="N37" s="264">
        <v>2</v>
      </c>
    </row>
    <row r="38" spans="1:14">
      <c r="A38" s="294" t="s">
        <v>614</v>
      </c>
      <c r="B38" s="264">
        <v>5</v>
      </c>
      <c r="C38" s="264">
        <v>0.06</v>
      </c>
      <c r="D38" s="264">
        <v>50</v>
      </c>
      <c r="E38" s="264">
        <v>1</v>
      </c>
      <c r="F38" s="266" t="s">
        <v>77</v>
      </c>
      <c r="G38" s="264" t="s">
        <v>214</v>
      </c>
      <c r="H38"/>
    </row>
    <row r="39" spans="1:14">
      <c r="A39" s="294" t="s">
        <v>615</v>
      </c>
      <c r="B39" s="264">
        <v>0</v>
      </c>
      <c r="C39" s="264">
        <v>0.06</v>
      </c>
      <c r="D39" s="264">
        <v>0</v>
      </c>
      <c r="E39" s="264">
        <v>1</v>
      </c>
      <c r="F39" s="266" t="s">
        <v>77</v>
      </c>
      <c r="G39" s="264" t="s">
        <v>77</v>
      </c>
      <c r="H39"/>
    </row>
    <row r="40" spans="1:14">
      <c r="A40" s="294" t="s">
        <v>616</v>
      </c>
      <c r="B40" s="264">
        <v>5</v>
      </c>
      <c r="C40" s="264">
        <v>0.12</v>
      </c>
      <c r="D40" s="264">
        <v>2</v>
      </c>
      <c r="E40" s="264">
        <v>2</v>
      </c>
      <c r="F40" s="266" t="s">
        <v>77</v>
      </c>
      <c r="G40" s="264" t="s">
        <v>214</v>
      </c>
      <c r="H40"/>
    </row>
    <row r="41" spans="1:14">
      <c r="A41" s="294" t="s">
        <v>672</v>
      </c>
      <c r="B41" s="264">
        <v>0</v>
      </c>
      <c r="C41" s="264">
        <v>0</v>
      </c>
      <c r="D41" s="264">
        <v>0</v>
      </c>
      <c r="E41" s="264">
        <v>2</v>
      </c>
      <c r="F41" s="264" t="s">
        <v>214</v>
      </c>
      <c r="G41" s="264" t="s">
        <v>77</v>
      </c>
      <c r="H41"/>
    </row>
    <row r="42" spans="1:14">
      <c r="A42" s="294" t="s">
        <v>617</v>
      </c>
      <c r="B42" s="264">
        <v>5</v>
      </c>
      <c r="C42" s="264">
        <v>0.06</v>
      </c>
      <c r="D42" s="264">
        <v>20</v>
      </c>
      <c r="E42" s="264">
        <v>1</v>
      </c>
      <c r="F42" s="266" t="s">
        <v>77</v>
      </c>
      <c r="G42" s="264" t="s">
        <v>214</v>
      </c>
      <c r="H42"/>
    </row>
    <row r="43" spans="1:14">
      <c r="A43" s="294" t="s">
        <v>618</v>
      </c>
      <c r="B43" s="264">
        <v>5</v>
      </c>
      <c r="C43" s="264">
        <v>0.06</v>
      </c>
      <c r="D43" s="264">
        <v>10</v>
      </c>
      <c r="E43" s="264">
        <v>1</v>
      </c>
      <c r="F43" s="264" t="s">
        <v>214</v>
      </c>
      <c r="G43" s="264" t="s">
        <v>214</v>
      </c>
      <c r="H43"/>
    </row>
    <row r="44" spans="1:14">
      <c r="A44" s="294" t="s">
        <v>620</v>
      </c>
      <c r="B44" s="264">
        <v>5</v>
      </c>
      <c r="C44" s="264">
        <v>0.12</v>
      </c>
      <c r="D44" s="264">
        <v>10</v>
      </c>
      <c r="E44" s="264">
        <v>1</v>
      </c>
      <c r="F44" s="264" t="s">
        <v>214</v>
      </c>
      <c r="G44" s="264" t="s">
        <v>214</v>
      </c>
      <c r="H44"/>
    </row>
    <row r="45" spans="1:14">
      <c r="A45" s="294" t="s">
        <v>619</v>
      </c>
      <c r="B45" s="264">
        <v>5</v>
      </c>
      <c r="C45" s="264">
        <v>0.12</v>
      </c>
      <c r="D45" s="264">
        <v>10</v>
      </c>
      <c r="E45" s="264">
        <v>2</v>
      </c>
      <c r="F45" s="264" t="s">
        <v>214</v>
      </c>
      <c r="G45" s="264" t="s">
        <v>214</v>
      </c>
      <c r="H45"/>
    </row>
    <row r="46" spans="1:14">
      <c r="A46" s="294" t="s">
        <v>621</v>
      </c>
      <c r="B46" s="264">
        <v>7.5</v>
      </c>
      <c r="C46" s="264">
        <v>0.06</v>
      </c>
      <c r="D46" s="264">
        <v>30</v>
      </c>
      <c r="E46" s="264">
        <v>1</v>
      </c>
      <c r="F46" s="266" t="s">
        <v>77</v>
      </c>
      <c r="G46" s="264" t="s">
        <v>214</v>
      </c>
      <c r="H46"/>
    </row>
    <row r="47" spans="1:14">
      <c r="A47" s="294" t="s">
        <v>622</v>
      </c>
      <c r="B47" s="264">
        <v>5</v>
      </c>
      <c r="C47" s="264">
        <v>0.06</v>
      </c>
      <c r="D47" s="264">
        <v>120</v>
      </c>
      <c r="E47" s="264">
        <v>1</v>
      </c>
      <c r="F47" s="266" t="s">
        <v>77</v>
      </c>
      <c r="G47" s="264" t="s">
        <v>214</v>
      </c>
      <c r="H47"/>
    </row>
    <row r="48" spans="1:14">
      <c r="A48" s="294" t="s">
        <v>624</v>
      </c>
      <c r="B48" s="264">
        <v>5</v>
      </c>
      <c r="C48" s="264">
        <v>0.06</v>
      </c>
      <c r="D48" s="264">
        <v>5</v>
      </c>
      <c r="E48" s="264">
        <v>2</v>
      </c>
      <c r="F48" s="266" t="s">
        <v>77</v>
      </c>
      <c r="G48" s="264" t="s">
        <v>214</v>
      </c>
      <c r="H48"/>
    </row>
    <row r="49" spans="1:8">
      <c r="A49" s="294" t="s">
        <v>623</v>
      </c>
      <c r="B49" s="264">
        <v>7.5</v>
      </c>
      <c r="C49" s="264">
        <v>0.06</v>
      </c>
      <c r="D49" s="264">
        <v>15</v>
      </c>
      <c r="E49" s="264">
        <v>1</v>
      </c>
      <c r="F49" s="266" t="s">
        <v>77</v>
      </c>
      <c r="G49" s="264" t="s">
        <v>214</v>
      </c>
      <c r="H49"/>
    </row>
    <row r="50" spans="1:8">
      <c r="A50" s="294" t="s">
        <v>625</v>
      </c>
      <c r="B50" s="264">
        <v>5</v>
      </c>
      <c r="C50" s="264">
        <v>0.06</v>
      </c>
      <c r="D50" s="264">
        <v>4</v>
      </c>
      <c r="E50" s="264">
        <v>1</v>
      </c>
      <c r="F50" s="266" t="s">
        <v>77</v>
      </c>
      <c r="G50" s="264" t="s">
        <v>214</v>
      </c>
      <c r="H50"/>
    </row>
    <row r="51" spans="1:8">
      <c r="A51" s="294" t="s">
        <v>626</v>
      </c>
      <c r="B51" s="264">
        <v>10</v>
      </c>
      <c r="C51" s="264">
        <v>0</v>
      </c>
      <c r="D51" s="264">
        <v>0</v>
      </c>
      <c r="E51" s="264">
        <v>2</v>
      </c>
      <c r="F51" s="264" t="s">
        <v>214</v>
      </c>
      <c r="G51" s="264" t="s">
        <v>214</v>
      </c>
      <c r="H51"/>
    </row>
    <row r="52" spans="1:8">
      <c r="A52" s="294" t="s">
        <v>627</v>
      </c>
      <c r="B52" s="264">
        <v>10</v>
      </c>
      <c r="C52" s="264">
        <v>0.18</v>
      </c>
      <c r="D52" s="264">
        <v>7</v>
      </c>
      <c r="E52" s="264">
        <v>2</v>
      </c>
      <c r="F52" s="264" t="s">
        <v>214</v>
      </c>
      <c r="G52" s="264" t="s">
        <v>214</v>
      </c>
      <c r="H52"/>
    </row>
    <row r="53" spans="1:8">
      <c r="A53" s="294" t="s">
        <v>628</v>
      </c>
      <c r="B53" s="264">
        <v>10</v>
      </c>
      <c r="C53" s="264">
        <v>0.18</v>
      </c>
      <c r="D53" s="264">
        <v>7</v>
      </c>
      <c r="E53" s="264">
        <v>3</v>
      </c>
      <c r="F53" s="264" t="s">
        <v>214</v>
      </c>
      <c r="G53" s="264" t="s">
        <v>214</v>
      </c>
      <c r="H53"/>
    </row>
    <row r="54" spans="1:8">
      <c r="A54" s="294" t="s">
        <v>629</v>
      </c>
      <c r="B54" s="264">
        <v>5</v>
      </c>
      <c r="C54" s="264">
        <v>0.18</v>
      </c>
      <c r="D54" s="264">
        <v>10</v>
      </c>
      <c r="E54" s="264">
        <v>2</v>
      </c>
      <c r="F54" s="264" t="s">
        <v>214</v>
      </c>
      <c r="G54" s="264" t="s">
        <v>214</v>
      </c>
      <c r="H54"/>
    </row>
    <row r="55" spans="1:8">
      <c r="A55" s="294" t="s">
        <v>630</v>
      </c>
      <c r="B55" s="264">
        <v>5</v>
      </c>
      <c r="C55" s="264">
        <v>0.12</v>
      </c>
      <c r="D55" s="264">
        <v>10</v>
      </c>
      <c r="E55" s="264">
        <v>1</v>
      </c>
      <c r="F55" s="264" t="s">
        <v>214</v>
      </c>
      <c r="G55" s="264" t="s">
        <v>214</v>
      </c>
      <c r="H55"/>
    </row>
    <row r="56" spans="1:8">
      <c r="A56" s="294" t="s">
        <v>631</v>
      </c>
      <c r="B56" s="264">
        <v>10</v>
      </c>
      <c r="C56" s="264">
        <v>0.12</v>
      </c>
      <c r="D56" s="264">
        <v>2</v>
      </c>
      <c r="E56" s="264">
        <v>2</v>
      </c>
      <c r="F56" s="264" t="s">
        <v>214</v>
      </c>
      <c r="G56" s="264" t="s">
        <v>214</v>
      </c>
      <c r="H56"/>
    </row>
    <row r="57" spans="1:8">
      <c r="A57" s="294" t="s">
        <v>632</v>
      </c>
      <c r="B57" s="264">
        <v>7.5</v>
      </c>
      <c r="C57" s="264">
        <v>0.12</v>
      </c>
      <c r="D57" s="264">
        <v>7</v>
      </c>
      <c r="E57" s="264">
        <v>2</v>
      </c>
      <c r="F57" s="264" t="s">
        <v>214</v>
      </c>
      <c r="G57" s="264" t="s">
        <v>214</v>
      </c>
      <c r="H57"/>
    </row>
    <row r="58" spans="1:8">
      <c r="A58" s="294" t="s">
        <v>633</v>
      </c>
      <c r="B58" s="264">
        <v>0</v>
      </c>
      <c r="C58" s="264">
        <v>0</v>
      </c>
      <c r="D58" s="264">
        <v>0</v>
      </c>
      <c r="E58" s="264">
        <v>1</v>
      </c>
      <c r="F58" s="264" t="s">
        <v>214</v>
      </c>
      <c r="G58" s="264" t="s">
        <v>214</v>
      </c>
      <c r="H58"/>
    </row>
    <row r="59" spans="1:8">
      <c r="A59" s="294" t="s">
        <v>634</v>
      </c>
      <c r="B59" s="264">
        <v>7.5</v>
      </c>
      <c r="C59" s="264">
        <v>0.06</v>
      </c>
      <c r="D59" s="264">
        <v>100</v>
      </c>
      <c r="E59" s="264">
        <v>1</v>
      </c>
      <c r="F59" s="266" t="s">
        <v>77</v>
      </c>
      <c r="G59" s="264" t="s">
        <v>214</v>
      </c>
      <c r="H59"/>
    </row>
    <row r="60" spans="1:8">
      <c r="A60" s="294" t="s">
        <v>635</v>
      </c>
      <c r="B60" s="264">
        <v>10</v>
      </c>
      <c r="C60" s="264">
        <v>0.06</v>
      </c>
      <c r="D60" s="264">
        <v>0</v>
      </c>
      <c r="E60" s="264">
        <v>2</v>
      </c>
      <c r="F60" s="264" t="s">
        <v>214</v>
      </c>
      <c r="G60" s="264" t="s">
        <v>77</v>
      </c>
      <c r="H60"/>
    </row>
    <row r="61" spans="1:8">
      <c r="A61" s="294" t="s">
        <v>636</v>
      </c>
      <c r="B61" s="264">
        <v>5</v>
      </c>
      <c r="C61" s="264">
        <v>0.12</v>
      </c>
      <c r="D61" s="264">
        <v>50</v>
      </c>
      <c r="E61" s="264">
        <v>1</v>
      </c>
      <c r="F61" s="264" t="s">
        <v>214</v>
      </c>
      <c r="G61" s="264" t="s">
        <v>214</v>
      </c>
      <c r="H61"/>
    </row>
    <row r="62" spans="1:8">
      <c r="A62" s="294" t="s">
        <v>637</v>
      </c>
      <c r="B62" s="264">
        <v>5</v>
      </c>
      <c r="C62" s="264">
        <v>0.06</v>
      </c>
      <c r="D62" s="264">
        <v>10</v>
      </c>
      <c r="E62" s="264">
        <v>1</v>
      </c>
      <c r="F62" s="266" t="s">
        <v>77</v>
      </c>
      <c r="G62" s="264" t="s">
        <v>214</v>
      </c>
      <c r="H62"/>
    </row>
    <row r="63" spans="1:8">
      <c r="A63" s="294" t="s">
        <v>638</v>
      </c>
      <c r="B63" s="264">
        <v>5</v>
      </c>
      <c r="C63" s="264">
        <v>0.06</v>
      </c>
      <c r="D63" s="264">
        <v>2</v>
      </c>
      <c r="E63" s="264">
        <v>1</v>
      </c>
      <c r="F63" s="264" t="s">
        <v>214</v>
      </c>
      <c r="G63" s="264" t="s">
        <v>77</v>
      </c>
      <c r="H63"/>
    </row>
    <row r="64" spans="1:8">
      <c r="A64" s="294" t="s">
        <v>639</v>
      </c>
      <c r="B64" s="264">
        <v>5</v>
      </c>
      <c r="C64" s="264">
        <v>0.06</v>
      </c>
      <c r="D64" s="264">
        <v>5</v>
      </c>
      <c r="E64" s="264">
        <v>1</v>
      </c>
      <c r="F64" s="266" t="s">
        <v>77</v>
      </c>
      <c r="G64" s="264" t="s">
        <v>214</v>
      </c>
      <c r="H64"/>
    </row>
    <row r="65" spans="1:8">
      <c r="A65" s="294" t="s">
        <v>640</v>
      </c>
      <c r="B65" s="264">
        <v>5</v>
      </c>
      <c r="C65" s="264">
        <v>0.06</v>
      </c>
      <c r="D65" s="264">
        <v>30</v>
      </c>
      <c r="E65" s="264">
        <v>1</v>
      </c>
      <c r="F65" s="266" t="s">
        <v>77</v>
      </c>
      <c r="G65" s="264" t="s">
        <v>214</v>
      </c>
      <c r="H65"/>
    </row>
    <row r="66" spans="1:8">
      <c r="A66" s="294" t="s">
        <v>641</v>
      </c>
      <c r="B66" s="264">
        <v>5</v>
      </c>
      <c r="C66" s="264">
        <v>0.06</v>
      </c>
      <c r="D66" s="264">
        <v>60</v>
      </c>
      <c r="E66" s="264">
        <v>1</v>
      </c>
      <c r="F66" s="266" t="s">
        <v>77</v>
      </c>
      <c r="G66" s="264" t="s">
        <v>214</v>
      </c>
      <c r="H66"/>
    </row>
    <row r="67" spans="1:8">
      <c r="A67" s="294" t="s">
        <v>642</v>
      </c>
      <c r="B67" s="264">
        <v>5</v>
      </c>
      <c r="C67" s="264">
        <v>0.06</v>
      </c>
      <c r="D67" s="264">
        <v>150</v>
      </c>
      <c r="E67" s="264">
        <v>1</v>
      </c>
      <c r="F67" s="266" t="s">
        <v>77</v>
      </c>
      <c r="G67" s="264" t="s">
        <v>214</v>
      </c>
      <c r="H67"/>
    </row>
    <row r="68" spans="1:8">
      <c r="A68" s="294" t="s">
        <v>643</v>
      </c>
      <c r="B68" s="264">
        <v>5</v>
      </c>
      <c r="C68" s="264">
        <v>0.06</v>
      </c>
      <c r="D68" s="264">
        <v>70</v>
      </c>
      <c r="E68" s="264">
        <v>1</v>
      </c>
      <c r="F68" s="266" t="s">
        <v>77</v>
      </c>
      <c r="G68" s="264" t="s">
        <v>214</v>
      </c>
      <c r="H68"/>
    </row>
    <row r="69" spans="1:8">
      <c r="A69" s="294" t="s">
        <v>644</v>
      </c>
      <c r="B69" s="264">
        <v>5</v>
      </c>
      <c r="C69" s="264">
        <v>0.06</v>
      </c>
      <c r="D69" s="264">
        <v>50</v>
      </c>
      <c r="E69" s="264">
        <v>1</v>
      </c>
      <c r="F69" s="266" t="s">
        <v>77</v>
      </c>
      <c r="G69" s="264" t="s">
        <v>214</v>
      </c>
      <c r="H69"/>
    </row>
    <row r="70" spans="1:8">
      <c r="A70" s="294" t="s">
        <v>645</v>
      </c>
      <c r="B70" s="264">
        <v>5</v>
      </c>
      <c r="C70" s="264">
        <v>0.12</v>
      </c>
      <c r="D70" s="264">
        <v>10</v>
      </c>
      <c r="E70" s="264">
        <v>1</v>
      </c>
      <c r="F70" s="264" t="s">
        <v>214</v>
      </c>
      <c r="G70" s="264" t="s">
        <v>214</v>
      </c>
      <c r="H70"/>
    </row>
    <row r="71" spans="1:8">
      <c r="A71" s="294" t="s">
        <v>646</v>
      </c>
      <c r="B71" s="264">
        <v>5</v>
      </c>
      <c r="C71" s="264">
        <v>0.06</v>
      </c>
      <c r="D71" s="264">
        <v>150</v>
      </c>
      <c r="E71" s="264">
        <v>1</v>
      </c>
      <c r="F71" s="266" t="s">
        <v>77</v>
      </c>
      <c r="G71" s="264" t="s">
        <v>214</v>
      </c>
      <c r="H71"/>
    </row>
    <row r="72" spans="1:8">
      <c r="A72" s="294" t="s">
        <v>647</v>
      </c>
      <c r="B72" s="264">
        <v>7.5</v>
      </c>
      <c r="C72" s="264">
        <v>0.12</v>
      </c>
      <c r="D72" s="264">
        <v>40</v>
      </c>
      <c r="E72" s="264">
        <v>1</v>
      </c>
      <c r="F72" s="264" t="s">
        <v>214</v>
      </c>
      <c r="G72" s="264" t="s">
        <v>214</v>
      </c>
      <c r="H72"/>
    </row>
    <row r="73" spans="1:8">
      <c r="A73" s="294" t="s">
        <v>648</v>
      </c>
      <c r="B73" s="264">
        <v>7.5</v>
      </c>
      <c r="C73" s="264">
        <v>0.06</v>
      </c>
      <c r="D73" s="264">
        <v>40</v>
      </c>
      <c r="E73" s="264">
        <v>1</v>
      </c>
      <c r="F73" s="266" t="s">
        <v>77</v>
      </c>
      <c r="G73" s="264" t="s">
        <v>214</v>
      </c>
      <c r="H73"/>
    </row>
    <row r="74" spans="1:8">
      <c r="A74" s="294" t="s">
        <v>649</v>
      </c>
      <c r="B74" s="264">
        <v>5</v>
      </c>
      <c r="C74" s="264">
        <v>0.06</v>
      </c>
      <c r="D74" s="264">
        <v>120</v>
      </c>
      <c r="E74" s="264">
        <v>1</v>
      </c>
      <c r="F74" s="266" t="s">
        <v>77</v>
      </c>
      <c r="G74" s="264" t="s">
        <v>214</v>
      </c>
      <c r="H74"/>
    </row>
    <row r="75" spans="1:8">
      <c r="A75" s="294" t="s">
        <v>650</v>
      </c>
      <c r="B75" s="264">
        <v>0</v>
      </c>
      <c r="C75" s="264">
        <v>0.06</v>
      </c>
      <c r="D75" s="264">
        <v>0</v>
      </c>
      <c r="E75" s="264">
        <v>1</v>
      </c>
      <c r="F75" s="266" t="s">
        <v>77</v>
      </c>
      <c r="G75" s="264" t="s">
        <v>77</v>
      </c>
      <c r="H75"/>
    </row>
    <row r="76" spans="1:8">
      <c r="A76" s="294" t="s">
        <v>652</v>
      </c>
      <c r="B76" s="264">
        <v>7.5</v>
      </c>
      <c r="C76" s="264">
        <v>0.06</v>
      </c>
      <c r="D76" s="264">
        <v>25</v>
      </c>
      <c r="E76" s="264">
        <v>2</v>
      </c>
      <c r="F76" s="266" t="s">
        <v>77</v>
      </c>
      <c r="G76" s="264" t="s">
        <v>214</v>
      </c>
      <c r="H76"/>
    </row>
    <row r="77" spans="1:8">
      <c r="A77" s="294" t="s">
        <v>653</v>
      </c>
      <c r="B77" s="264">
        <v>20</v>
      </c>
      <c r="C77" s="264">
        <v>0.12</v>
      </c>
      <c r="D77" s="264">
        <v>25</v>
      </c>
      <c r="E77" s="264">
        <v>2</v>
      </c>
      <c r="F77" s="264" t="s">
        <v>214</v>
      </c>
      <c r="G77" s="264" t="s">
        <v>214</v>
      </c>
      <c r="H77"/>
    </row>
    <row r="78" spans="1:8">
      <c r="A78" s="294" t="s">
        <v>654</v>
      </c>
      <c r="B78" s="264">
        <v>7.5</v>
      </c>
      <c r="C78" s="264">
        <v>0.12</v>
      </c>
      <c r="D78" s="264">
        <v>20</v>
      </c>
      <c r="E78" s="264">
        <v>2</v>
      </c>
      <c r="F78" s="264" t="s">
        <v>214</v>
      </c>
      <c r="G78" s="264" t="s">
        <v>214</v>
      </c>
      <c r="H78"/>
    </row>
    <row r="79" spans="1:8">
      <c r="A79" s="294" t="s">
        <v>655</v>
      </c>
      <c r="B79" s="264">
        <v>7.5</v>
      </c>
      <c r="C79" s="264">
        <v>0.06</v>
      </c>
      <c r="D79" s="264">
        <v>40</v>
      </c>
      <c r="E79" s="264">
        <v>1</v>
      </c>
      <c r="F79" s="266" t="s">
        <v>77</v>
      </c>
      <c r="G79" s="264" t="s">
        <v>214</v>
      </c>
      <c r="H79"/>
    </row>
    <row r="80" spans="1:8">
      <c r="A80" s="294" t="s">
        <v>656</v>
      </c>
      <c r="B80" s="264">
        <v>7.5</v>
      </c>
      <c r="C80" s="264">
        <v>0.18</v>
      </c>
      <c r="D80" s="264">
        <v>10</v>
      </c>
      <c r="E80" s="264">
        <v>2</v>
      </c>
      <c r="F80" s="264" t="s">
        <v>214</v>
      </c>
      <c r="G80" s="264" t="s">
        <v>214</v>
      </c>
      <c r="H80"/>
    </row>
    <row r="81" spans="1:8">
      <c r="A81" s="294" t="s">
        <v>651</v>
      </c>
      <c r="B81" s="264">
        <v>7.5</v>
      </c>
      <c r="C81" s="264">
        <v>0.12</v>
      </c>
      <c r="D81" s="264">
        <v>15</v>
      </c>
      <c r="E81" s="264">
        <v>2</v>
      </c>
      <c r="F81" s="264" t="s">
        <v>214</v>
      </c>
      <c r="G81" s="264" t="s">
        <v>214</v>
      </c>
      <c r="H81"/>
    </row>
    <row r="82" spans="1:8">
      <c r="A82" s="294" t="s">
        <v>657</v>
      </c>
      <c r="B82" s="264">
        <v>7.5</v>
      </c>
      <c r="C82" s="264">
        <v>0.06</v>
      </c>
      <c r="D82" s="264">
        <v>8</v>
      </c>
      <c r="E82" s="264">
        <v>1</v>
      </c>
      <c r="F82" s="266" t="s">
        <v>77</v>
      </c>
      <c r="G82" s="264" t="s">
        <v>214</v>
      </c>
      <c r="H82"/>
    </row>
    <row r="83" spans="1:8">
      <c r="A83" s="294" t="s">
        <v>658</v>
      </c>
      <c r="B83" s="264">
        <v>10</v>
      </c>
      <c r="C83" s="264">
        <v>0.12</v>
      </c>
      <c r="D83" s="264">
        <v>40</v>
      </c>
      <c r="E83" s="264">
        <v>1</v>
      </c>
      <c r="F83" s="264" t="s">
        <v>214</v>
      </c>
      <c r="G83" s="264" t="s">
        <v>214</v>
      </c>
      <c r="H83"/>
    </row>
    <row r="84" spans="1:8">
      <c r="A84" s="294" t="s">
        <v>659</v>
      </c>
      <c r="B84" s="264">
        <v>20</v>
      </c>
      <c r="C84" s="264">
        <v>0.06</v>
      </c>
      <c r="D84" s="264">
        <v>100</v>
      </c>
      <c r="E84" s="264">
        <v>2</v>
      </c>
      <c r="F84" s="266" t="s">
        <v>77</v>
      </c>
      <c r="G84" s="264" t="s">
        <v>214</v>
      </c>
      <c r="H84"/>
    </row>
    <row r="85" spans="1:8">
      <c r="A85" s="294" t="s">
        <v>660</v>
      </c>
      <c r="B85" s="264">
        <v>7.5</v>
      </c>
      <c r="C85" s="264">
        <v>0.18</v>
      </c>
      <c r="D85" s="264">
        <v>120</v>
      </c>
      <c r="E85" s="264">
        <v>1</v>
      </c>
      <c r="F85" s="264" t="s">
        <v>214</v>
      </c>
      <c r="G85" s="264" t="s">
        <v>214</v>
      </c>
      <c r="H85"/>
    </row>
    <row r="86" spans="1:8">
      <c r="A86" s="294" t="s">
        <v>661</v>
      </c>
      <c r="B86" s="264">
        <v>7.5</v>
      </c>
      <c r="C86" s="264">
        <v>0.18</v>
      </c>
      <c r="D86" s="264">
        <v>20</v>
      </c>
      <c r="E86" s="264">
        <v>1</v>
      </c>
      <c r="F86" s="264" t="s">
        <v>214</v>
      </c>
      <c r="G86" s="264" t="s">
        <v>214</v>
      </c>
      <c r="H86"/>
    </row>
    <row r="87" spans="1:8">
      <c r="A87" s="294" t="s">
        <v>662</v>
      </c>
      <c r="B87" s="264">
        <v>20</v>
      </c>
      <c r="C87" s="264">
        <v>0.18</v>
      </c>
      <c r="D87" s="264">
        <v>7</v>
      </c>
      <c r="E87" s="264">
        <v>2</v>
      </c>
      <c r="F87" s="264" t="s">
        <v>214</v>
      </c>
      <c r="G87" s="264" t="s">
        <v>214</v>
      </c>
      <c r="H87"/>
    </row>
    <row r="88" spans="1:8">
      <c r="A88" s="294" t="s">
        <v>663</v>
      </c>
      <c r="B88" s="264">
        <v>20</v>
      </c>
      <c r="C88" s="264">
        <v>0.06</v>
      </c>
      <c r="D88" s="264">
        <v>40</v>
      </c>
      <c r="E88" s="264">
        <v>2</v>
      </c>
      <c r="F88" s="264" t="s">
        <v>214</v>
      </c>
      <c r="G88" s="264" t="s">
        <v>214</v>
      </c>
      <c r="H88"/>
    </row>
    <row r="89" spans="1:8">
      <c r="A89" s="294" t="s">
        <v>664</v>
      </c>
      <c r="B89" s="264">
        <v>20</v>
      </c>
      <c r="C89" s="264">
        <v>0.06</v>
      </c>
      <c r="D89" s="264">
        <v>10</v>
      </c>
      <c r="E89" s="264">
        <v>2</v>
      </c>
      <c r="F89" s="264" t="s">
        <v>214</v>
      </c>
      <c r="G89" s="264" t="s">
        <v>214</v>
      </c>
      <c r="H89"/>
    </row>
    <row r="90" spans="1:8">
      <c r="A90" s="294" t="s">
        <v>665</v>
      </c>
      <c r="B90" s="264">
        <v>7.5</v>
      </c>
      <c r="C90" s="264">
        <v>0.06</v>
      </c>
      <c r="D90" s="264">
        <v>150</v>
      </c>
      <c r="E90" s="264">
        <v>1</v>
      </c>
      <c r="F90" s="266" t="s">
        <v>77</v>
      </c>
      <c r="G90" s="264" t="s">
        <v>214</v>
      </c>
      <c r="H90"/>
    </row>
    <row r="91" spans="1:8">
      <c r="A91" s="294" t="s">
        <v>666</v>
      </c>
      <c r="B91" s="264">
        <v>10</v>
      </c>
      <c r="C91" s="264">
        <v>0.06</v>
      </c>
      <c r="D91" s="264">
        <v>70</v>
      </c>
      <c r="E91" s="264">
        <v>1</v>
      </c>
      <c r="F91" s="266" t="s">
        <v>77</v>
      </c>
      <c r="G91" s="264" t="s">
        <v>214</v>
      </c>
      <c r="H91"/>
    </row>
    <row r="92" spans="1:8">
      <c r="A92" s="294" t="s">
        <v>667</v>
      </c>
      <c r="B92" s="264">
        <v>0</v>
      </c>
      <c r="C92" s="264">
        <v>0.48</v>
      </c>
      <c r="D92" s="264">
        <v>0</v>
      </c>
      <c r="E92" s="264">
        <v>2</v>
      </c>
      <c r="F92" s="264" t="s">
        <v>214</v>
      </c>
      <c r="G92" s="264" t="s">
        <v>214</v>
      </c>
      <c r="H92"/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zoomScale="115" zoomScaleNormal="115" zoomScaleSheetLayoutView="145" workbookViewId="0">
      <selection activeCell="F12" sqref="B11:F12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12" t="s">
        <v>1</v>
      </c>
      <c r="B1" s="113" t="s">
        <v>2</v>
      </c>
      <c r="C1" s="114" t="s">
        <v>3</v>
      </c>
      <c r="D1" s="113" t="s">
        <v>4</v>
      </c>
      <c r="E1" s="113" t="s">
        <v>250</v>
      </c>
      <c r="F1" s="113" t="s">
        <v>251</v>
      </c>
      <c r="G1" s="115" t="s">
        <v>252</v>
      </c>
      <c r="H1" s="116" t="s">
        <v>253</v>
      </c>
      <c r="I1" s="117" t="s">
        <v>254</v>
      </c>
      <c r="J1" s="114" t="s">
        <v>255</v>
      </c>
      <c r="K1" s="20"/>
    </row>
    <row r="2" spans="1:13">
      <c r="A2" s="118" t="s">
        <v>256</v>
      </c>
      <c r="B2" s="119" t="s">
        <v>257</v>
      </c>
      <c r="C2" s="120" t="s">
        <v>26</v>
      </c>
      <c r="D2" s="121">
        <v>10</v>
      </c>
      <c r="E2" s="119" t="s">
        <v>258</v>
      </c>
      <c r="F2" s="119" t="s">
        <v>259</v>
      </c>
      <c r="G2" s="122" t="s">
        <v>26</v>
      </c>
      <c r="H2" s="123" t="s">
        <v>26</v>
      </c>
      <c r="I2" s="123" t="s">
        <v>26</v>
      </c>
      <c r="J2" s="124" t="s">
        <v>260</v>
      </c>
      <c r="K2" s="20"/>
      <c r="M2" s="20"/>
    </row>
    <row r="3" spans="1:13">
      <c r="A3" s="125" t="s">
        <v>261</v>
      </c>
      <c r="B3" s="126" t="s">
        <v>262</v>
      </c>
      <c r="C3" s="127">
        <v>2</v>
      </c>
      <c r="D3" s="128">
        <v>12</v>
      </c>
      <c r="E3" s="126" t="s">
        <v>258</v>
      </c>
      <c r="F3" s="126" t="s">
        <v>259</v>
      </c>
      <c r="G3" s="129" t="s">
        <v>263</v>
      </c>
      <c r="H3" s="123">
        <v>70</v>
      </c>
      <c r="I3" s="130">
        <v>75</v>
      </c>
      <c r="J3" s="123" t="s">
        <v>260</v>
      </c>
      <c r="K3" s="20"/>
      <c r="M3" s="20"/>
    </row>
    <row r="4" spans="1:13">
      <c r="A4" s="125" t="s">
        <v>264</v>
      </c>
      <c r="B4" s="126" t="s">
        <v>262</v>
      </c>
      <c r="C4" s="127">
        <v>2</v>
      </c>
      <c r="D4" s="128">
        <v>12</v>
      </c>
      <c r="E4" s="126" t="s">
        <v>258</v>
      </c>
      <c r="F4" s="126" t="s">
        <v>259</v>
      </c>
      <c r="G4" s="129" t="s">
        <v>26</v>
      </c>
      <c r="H4" s="123" t="s">
        <v>26</v>
      </c>
      <c r="I4" s="123" t="s">
        <v>26</v>
      </c>
      <c r="J4" s="123"/>
      <c r="K4" s="20"/>
      <c r="M4" s="20"/>
    </row>
    <row r="5" spans="1:13">
      <c r="A5" s="125" t="s">
        <v>265</v>
      </c>
      <c r="B5" s="126" t="s">
        <v>266</v>
      </c>
      <c r="C5" s="127">
        <v>3</v>
      </c>
      <c r="D5" s="128">
        <v>15</v>
      </c>
      <c r="E5" s="126" t="s">
        <v>26</v>
      </c>
      <c r="F5" s="126" t="s">
        <v>26</v>
      </c>
      <c r="G5" s="129" t="s">
        <v>263</v>
      </c>
      <c r="H5" s="123">
        <v>70</v>
      </c>
      <c r="I5" s="130">
        <v>75</v>
      </c>
      <c r="J5" s="131"/>
      <c r="K5" s="20"/>
      <c r="M5" s="20"/>
    </row>
    <row r="6" spans="1:13">
      <c r="A6" s="125" t="s">
        <v>267</v>
      </c>
      <c r="B6" s="126" t="s">
        <v>262</v>
      </c>
      <c r="C6" s="127" t="s">
        <v>26</v>
      </c>
      <c r="D6" s="128">
        <v>10</v>
      </c>
      <c r="E6" s="126" t="s">
        <v>258</v>
      </c>
      <c r="F6" s="126" t="s">
        <v>259</v>
      </c>
      <c r="G6" s="129" t="s">
        <v>26</v>
      </c>
      <c r="H6" s="123">
        <v>70</v>
      </c>
      <c r="I6" s="130">
        <v>75</v>
      </c>
      <c r="J6" s="131"/>
      <c r="K6" s="20"/>
      <c r="M6" s="20"/>
    </row>
    <row r="7" spans="1:13">
      <c r="A7" s="125" t="s">
        <v>268</v>
      </c>
      <c r="B7" s="126" t="s">
        <v>262</v>
      </c>
      <c r="C7" s="127" t="s">
        <v>26</v>
      </c>
      <c r="D7" s="128">
        <v>10</v>
      </c>
      <c r="E7" s="126" t="s">
        <v>258</v>
      </c>
      <c r="F7" s="126" t="s">
        <v>259</v>
      </c>
      <c r="G7" s="129" t="s">
        <v>26</v>
      </c>
      <c r="H7" s="123">
        <v>72</v>
      </c>
      <c r="I7" s="130">
        <v>78</v>
      </c>
      <c r="J7" s="132"/>
      <c r="K7" s="20"/>
      <c r="M7" s="20"/>
    </row>
    <row r="8" spans="1:13">
      <c r="A8" s="125" t="s">
        <v>269</v>
      </c>
      <c r="B8" s="126" t="s">
        <v>262</v>
      </c>
      <c r="C8" s="127" t="s">
        <v>26</v>
      </c>
      <c r="D8" s="128">
        <v>10</v>
      </c>
      <c r="E8" s="126" t="s">
        <v>258</v>
      </c>
      <c r="F8" s="126" t="s">
        <v>259</v>
      </c>
      <c r="G8" s="129" t="s">
        <v>26</v>
      </c>
      <c r="H8" s="123" t="s">
        <v>26</v>
      </c>
      <c r="I8" s="123" t="s">
        <v>26</v>
      </c>
      <c r="J8" s="131"/>
      <c r="K8" s="20"/>
      <c r="M8" s="20"/>
    </row>
    <row r="9" spans="1:13">
      <c r="A9" s="125" t="s">
        <v>270</v>
      </c>
      <c r="B9" s="126" t="s">
        <v>26</v>
      </c>
      <c r="C9" s="127">
        <v>2</v>
      </c>
      <c r="D9" s="128">
        <v>6</v>
      </c>
      <c r="E9" s="126" t="s">
        <v>26</v>
      </c>
      <c r="F9" s="126" t="s">
        <v>26</v>
      </c>
      <c r="G9" s="129" t="s">
        <v>26</v>
      </c>
      <c r="H9" s="123" t="s">
        <v>26</v>
      </c>
      <c r="I9" s="123" t="s">
        <v>26</v>
      </c>
      <c r="J9" s="125"/>
      <c r="K9" s="20"/>
      <c r="M9" s="20"/>
    </row>
    <row r="10" spans="1:13">
      <c r="A10" s="125" t="s">
        <v>271</v>
      </c>
      <c r="B10" s="126" t="s">
        <v>26</v>
      </c>
      <c r="C10" s="127">
        <v>2</v>
      </c>
      <c r="D10" s="128">
        <v>6</v>
      </c>
      <c r="E10" s="126" t="s">
        <v>26</v>
      </c>
      <c r="F10" s="126" t="s">
        <v>26</v>
      </c>
      <c r="G10" s="129" t="s">
        <v>26</v>
      </c>
      <c r="H10" s="123" t="s">
        <v>26</v>
      </c>
      <c r="I10" s="123" t="s">
        <v>26</v>
      </c>
      <c r="J10" s="125"/>
      <c r="M10" s="20"/>
    </row>
    <row r="11" spans="1:13">
      <c r="A11" s="125" t="s">
        <v>272</v>
      </c>
      <c r="B11" s="126" t="s">
        <v>262</v>
      </c>
      <c r="C11" s="127">
        <v>2</v>
      </c>
      <c r="D11" s="128">
        <v>12</v>
      </c>
      <c r="E11" s="126" t="s">
        <v>258</v>
      </c>
      <c r="F11" s="126" t="s">
        <v>259</v>
      </c>
      <c r="G11" s="129" t="s">
        <v>26</v>
      </c>
      <c r="H11" s="123">
        <v>68</v>
      </c>
      <c r="I11" s="130">
        <v>73</v>
      </c>
      <c r="J11" s="123" t="s">
        <v>273</v>
      </c>
      <c r="M11" s="20"/>
    </row>
    <row r="12" spans="1:13">
      <c r="A12" s="125" t="s">
        <v>274</v>
      </c>
      <c r="B12" s="126" t="s">
        <v>266</v>
      </c>
      <c r="C12" s="127">
        <v>3</v>
      </c>
      <c r="D12" s="128">
        <v>15</v>
      </c>
      <c r="E12" s="126" t="s">
        <v>26</v>
      </c>
      <c r="F12" s="126" t="s">
        <v>259</v>
      </c>
      <c r="G12" s="129" t="s">
        <v>263</v>
      </c>
      <c r="H12" s="123">
        <v>70</v>
      </c>
      <c r="I12" s="130">
        <v>75</v>
      </c>
      <c r="J12" s="125"/>
      <c r="M12" s="20"/>
    </row>
    <row r="13" spans="1:13">
      <c r="A13" s="125" t="s">
        <v>275</v>
      </c>
      <c r="B13" s="126" t="s">
        <v>266</v>
      </c>
      <c r="C13" s="127" t="s">
        <v>26</v>
      </c>
      <c r="D13" s="128">
        <v>2</v>
      </c>
      <c r="E13" s="126" t="s">
        <v>26</v>
      </c>
      <c r="F13" s="126" t="s">
        <v>26</v>
      </c>
      <c r="G13" s="129" t="s">
        <v>26</v>
      </c>
      <c r="H13" s="123">
        <v>72</v>
      </c>
      <c r="I13" s="130">
        <v>78</v>
      </c>
      <c r="J13" s="125"/>
      <c r="M13" s="20"/>
    </row>
    <row r="14" spans="1:13">
      <c r="A14" s="125" t="s">
        <v>276</v>
      </c>
      <c r="B14" s="126" t="s">
        <v>266</v>
      </c>
      <c r="C14" s="127">
        <v>2</v>
      </c>
      <c r="D14" s="128">
        <v>4</v>
      </c>
      <c r="E14" s="126" t="s">
        <v>26</v>
      </c>
      <c r="F14" s="126" t="s">
        <v>259</v>
      </c>
      <c r="G14" s="129" t="s">
        <v>263</v>
      </c>
      <c r="H14" s="123">
        <v>72</v>
      </c>
      <c r="I14" s="130">
        <v>78</v>
      </c>
      <c r="J14" s="125"/>
      <c r="M14" s="20"/>
    </row>
    <row r="15" spans="1:13">
      <c r="A15" s="125" t="s">
        <v>277</v>
      </c>
      <c r="B15" s="126" t="s">
        <v>266</v>
      </c>
      <c r="C15" s="127">
        <v>2</v>
      </c>
      <c r="D15" s="128">
        <v>4</v>
      </c>
      <c r="E15" s="126" t="s">
        <v>26</v>
      </c>
      <c r="F15" s="126" t="s">
        <v>26</v>
      </c>
      <c r="G15" s="129" t="s">
        <v>26</v>
      </c>
      <c r="H15" s="123" t="s">
        <v>26</v>
      </c>
      <c r="I15" s="123" t="s">
        <v>26</v>
      </c>
      <c r="J15" s="125"/>
      <c r="M15" s="20"/>
    </row>
    <row r="16" spans="1:13">
      <c r="A16" s="125" t="s">
        <v>278</v>
      </c>
      <c r="B16" s="126" t="s">
        <v>26</v>
      </c>
      <c r="C16" s="127">
        <v>2</v>
      </c>
      <c r="D16" s="128">
        <v>6</v>
      </c>
      <c r="E16" s="126" t="s">
        <v>26</v>
      </c>
      <c r="F16" s="126" t="s">
        <v>259</v>
      </c>
      <c r="G16" s="129" t="s">
        <v>279</v>
      </c>
      <c r="H16" s="123">
        <v>70</v>
      </c>
      <c r="I16" s="130">
        <v>75</v>
      </c>
      <c r="J16" s="125"/>
      <c r="M16" s="20"/>
    </row>
    <row r="17" spans="1:13">
      <c r="A17" s="125" t="s">
        <v>280</v>
      </c>
      <c r="B17" s="126" t="s">
        <v>26</v>
      </c>
      <c r="C17" s="127">
        <v>2</v>
      </c>
      <c r="D17" s="128">
        <v>6</v>
      </c>
      <c r="E17" s="126" t="s">
        <v>26</v>
      </c>
      <c r="F17" s="126" t="s">
        <v>26</v>
      </c>
      <c r="G17" s="129" t="s">
        <v>263</v>
      </c>
      <c r="H17" s="123" t="s">
        <v>26</v>
      </c>
      <c r="I17" s="123" t="s">
        <v>26</v>
      </c>
      <c r="J17" s="123"/>
      <c r="M17" s="20"/>
    </row>
    <row r="18" spans="1:13">
      <c r="A18" s="125" t="s">
        <v>281</v>
      </c>
      <c r="B18" s="126" t="s">
        <v>262</v>
      </c>
      <c r="C18" s="127">
        <v>2</v>
      </c>
      <c r="D18" s="128">
        <v>10</v>
      </c>
      <c r="E18" s="126" t="s">
        <v>258</v>
      </c>
      <c r="F18" s="126" t="s">
        <v>259</v>
      </c>
      <c r="G18" s="129" t="s">
        <v>26</v>
      </c>
      <c r="H18" s="123" t="s">
        <v>26</v>
      </c>
      <c r="I18" s="123" t="s">
        <v>26</v>
      </c>
      <c r="J18" s="123" t="s">
        <v>282</v>
      </c>
      <c r="M18" s="20"/>
    </row>
    <row r="19" spans="1:13">
      <c r="A19" s="125" t="s">
        <v>283</v>
      </c>
      <c r="B19" s="126" t="s">
        <v>266</v>
      </c>
      <c r="C19" s="127">
        <v>4</v>
      </c>
      <c r="D19" s="128">
        <v>20</v>
      </c>
      <c r="E19" s="126" t="s">
        <v>26</v>
      </c>
      <c r="F19" s="126" t="s">
        <v>259</v>
      </c>
      <c r="G19" s="129" t="s">
        <v>284</v>
      </c>
      <c r="H19" s="123">
        <v>68</v>
      </c>
      <c r="I19" s="130">
        <v>75</v>
      </c>
      <c r="J19" s="123" t="s">
        <v>285</v>
      </c>
      <c r="M19" s="20"/>
    </row>
    <row r="20" spans="1:13">
      <c r="A20" s="125" t="s">
        <v>286</v>
      </c>
      <c r="B20" s="126" t="s">
        <v>26</v>
      </c>
      <c r="C20" s="127">
        <v>2</v>
      </c>
      <c r="D20" s="128">
        <v>6</v>
      </c>
      <c r="E20" s="126" t="s">
        <v>26</v>
      </c>
      <c r="F20" s="126" t="s">
        <v>26</v>
      </c>
      <c r="G20" s="129" t="s">
        <v>26</v>
      </c>
      <c r="H20" s="123">
        <v>72</v>
      </c>
      <c r="I20" s="130">
        <v>78</v>
      </c>
      <c r="J20" s="123"/>
      <c r="M20" s="20"/>
    </row>
    <row r="21" spans="1:13">
      <c r="A21" s="125" t="s">
        <v>287</v>
      </c>
      <c r="B21" s="126" t="s">
        <v>262</v>
      </c>
      <c r="C21" s="127" t="s">
        <v>26</v>
      </c>
      <c r="D21" s="128">
        <v>10</v>
      </c>
      <c r="E21" s="126" t="s">
        <v>258</v>
      </c>
      <c r="F21" s="126" t="s">
        <v>259</v>
      </c>
      <c r="G21" s="129" t="s">
        <v>26</v>
      </c>
      <c r="H21" s="123" t="s">
        <v>26</v>
      </c>
      <c r="I21" s="123" t="s">
        <v>26</v>
      </c>
      <c r="J21" s="123"/>
      <c r="M21" s="20"/>
    </row>
    <row r="22" spans="1:13">
      <c r="A22" s="125" t="s">
        <v>288</v>
      </c>
      <c r="B22" s="126" t="s">
        <v>26</v>
      </c>
      <c r="C22" s="127" t="s">
        <v>26</v>
      </c>
      <c r="D22" s="128">
        <v>2</v>
      </c>
      <c r="E22" s="126" t="s">
        <v>26</v>
      </c>
      <c r="F22" s="126" t="s">
        <v>259</v>
      </c>
      <c r="G22" s="129" t="s">
        <v>26</v>
      </c>
      <c r="H22" s="123">
        <v>72</v>
      </c>
      <c r="I22" s="130">
        <v>78</v>
      </c>
      <c r="J22" s="123"/>
      <c r="M22" s="20"/>
    </row>
    <row r="23" spans="1:13">
      <c r="A23" s="125" t="s">
        <v>289</v>
      </c>
      <c r="B23" s="126" t="s">
        <v>28</v>
      </c>
      <c r="C23" s="127">
        <v>3</v>
      </c>
      <c r="D23" s="128">
        <v>15</v>
      </c>
      <c r="E23" s="126" t="s">
        <v>26</v>
      </c>
      <c r="F23" s="126" t="s">
        <v>26</v>
      </c>
      <c r="G23" s="129" t="s">
        <v>26</v>
      </c>
      <c r="H23" s="123" t="s">
        <v>26</v>
      </c>
      <c r="I23" s="123" t="s">
        <v>26</v>
      </c>
      <c r="J23" s="123"/>
      <c r="M23" s="20"/>
    </row>
    <row r="24" spans="1:13">
      <c r="A24" s="125" t="s">
        <v>290</v>
      </c>
      <c r="B24" s="126" t="s">
        <v>26</v>
      </c>
      <c r="C24" s="127">
        <v>2</v>
      </c>
      <c r="D24" s="128">
        <v>6</v>
      </c>
      <c r="E24" s="126" t="s">
        <v>26</v>
      </c>
      <c r="F24" s="126" t="s">
        <v>26</v>
      </c>
      <c r="G24" s="129" t="s">
        <v>263</v>
      </c>
      <c r="H24" s="123">
        <v>70</v>
      </c>
      <c r="I24" s="130">
        <v>75</v>
      </c>
      <c r="J24" s="123" t="s">
        <v>28</v>
      </c>
      <c r="M24" s="20"/>
    </row>
    <row r="25" spans="1:13">
      <c r="A25" s="125" t="s">
        <v>291</v>
      </c>
      <c r="B25" s="126" t="s">
        <v>262</v>
      </c>
      <c r="C25" s="127">
        <v>2</v>
      </c>
      <c r="D25" s="128">
        <v>10</v>
      </c>
      <c r="E25" s="126" t="s">
        <v>258</v>
      </c>
      <c r="F25" s="126" t="s">
        <v>259</v>
      </c>
      <c r="G25" s="129" t="s">
        <v>26</v>
      </c>
      <c r="H25" s="123" t="s">
        <v>26</v>
      </c>
      <c r="I25" s="123" t="s">
        <v>26</v>
      </c>
      <c r="J25" s="123"/>
      <c r="M25" s="20"/>
    </row>
    <row r="26" spans="1:13">
      <c r="A26" s="125" t="s">
        <v>292</v>
      </c>
      <c r="B26" s="126" t="s">
        <v>262</v>
      </c>
      <c r="C26" s="127">
        <v>2</v>
      </c>
      <c r="D26" s="128">
        <v>12</v>
      </c>
      <c r="E26" s="126" t="s">
        <v>258</v>
      </c>
      <c r="F26" s="126" t="s">
        <v>259</v>
      </c>
      <c r="G26" s="129" t="s">
        <v>26</v>
      </c>
      <c r="H26" s="123" t="s">
        <v>26</v>
      </c>
      <c r="I26" s="123" t="s">
        <v>26</v>
      </c>
      <c r="J26" s="123"/>
      <c r="M26" s="20"/>
    </row>
    <row r="27" spans="1:13">
      <c r="A27" s="125" t="s">
        <v>293</v>
      </c>
      <c r="B27" s="126" t="s">
        <v>262</v>
      </c>
      <c r="C27" s="127">
        <v>2</v>
      </c>
      <c r="D27" s="128">
        <v>12</v>
      </c>
      <c r="E27" s="126" t="s">
        <v>258</v>
      </c>
      <c r="F27" s="126" t="s">
        <v>26</v>
      </c>
      <c r="G27" s="129" t="s">
        <v>294</v>
      </c>
      <c r="H27" s="123">
        <v>70</v>
      </c>
      <c r="I27" s="130">
        <v>75</v>
      </c>
      <c r="J27" s="123" t="s">
        <v>410</v>
      </c>
      <c r="M27" s="20"/>
    </row>
    <row r="28" spans="1:13">
      <c r="A28" s="125" t="s">
        <v>295</v>
      </c>
      <c r="B28" s="126" t="s">
        <v>26</v>
      </c>
      <c r="C28" s="127">
        <v>2</v>
      </c>
      <c r="D28" s="128">
        <v>6</v>
      </c>
      <c r="E28" s="126" t="s">
        <v>26</v>
      </c>
      <c r="F28" s="126" t="s">
        <v>26</v>
      </c>
      <c r="G28" s="129" t="s">
        <v>263</v>
      </c>
      <c r="H28" s="123">
        <v>70</v>
      </c>
      <c r="I28" s="130">
        <v>75</v>
      </c>
      <c r="J28" s="123"/>
      <c r="M28" s="20"/>
    </row>
    <row r="29" spans="1:13">
      <c r="A29" s="125" t="s">
        <v>296</v>
      </c>
      <c r="B29" s="126" t="s">
        <v>26</v>
      </c>
      <c r="C29" s="127">
        <v>2</v>
      </c>
      <c r="D29" s="128">
        <v>6</v>
      </c>
      <c r="E29" s="126" t="s">
        <v>26</v>
      </c>
      <c r="F29" s="126" t="s">
        <v>26</v>
      </c>
      <c r="G29" s="129" t="s">
        <v>26</v>
      </c>
      <c r="H29" s="123" t="s">
        <v>26</v>
      </c>
      <c r="I29" s="123" t="s">
        <v>26</v>
      </c>
      <c r="J29" s="123"/>
      <c r="M29" s="20"/>
    </row>
    <row r="30" spans="1:13">
      <c r="A30" s="125" t="s">
        <v>297</v>
      </c>
      <c r="B30" s="126" t="s">
        <v>262</v>
      </c>
      <c r="C30" s="127">
        <v>2</v>
      </c>
      <c r="D30" s="128">
        <v>6</v>
      </c>
      <c r="E30" s="126" t="s">
        <v>258</v>
      </c>
      <c r="F30" s="126" t="s">
        <v>259</v>
      </c>
      <c r="G30" s="129" t="s">
        <v>26</v>
      </c>
      <c r="H30" s="123" t="s">
        <v>26</v>
      </c>
      <c r="I30" s="123" t="s">
        <v>26</v>
      </c>
      <c r="J30" s="123"/>
      <c r="M30" s="20"/>
    </row>
    <row r="31" spans="1:13">
      <c r="A31" s="125" t="s">
        <v>298</v>
      </c>
      <c r="B31" s="126" t="s">
        <v>26</v>
      </c>
      <c r="C31" s="127">
        <v>2</v>
      </c>
      <c r="D31" s="128">
        <v>10</v>
      </c>
      <c r="E31" s="126" t="s">
        <v>26</v>
      </c>
      <c r="F31" s="126" t="s">
        <v>259</v>
      </c>
      <c r="G31" s="129" t="s">
        <v>26</v>
      </c>
      <c r="H31" s="123">
        <v>72</v>
      </c>
      <c r="I31" s="130">
        <v>78</v>
      </c>
      <c r="J31" s="123" t="s">
        <v>299</v>
      </c>
      <c r="M31" s="20"/>
    </row>
    <row r="32" spans="1:13">
      <c r="A32" s="125" t="s">
        <v>300</v>
      </c>
      <c r="B32" s="126" t="s">
        <v>26</v>
      </c>
      <c r="C32" s="127">
        <v>2</v>
      </c>
      <c r="D32" s="128">
        <v>6</v>
      </c>
      <c r="E32" s="126" t="s">
        <v>26</v>
      </c>
      <c r="F32" s="126" t="s">
        <v>259</v>
      </c>
      <c r="G32" s="129" t="s">
        <v>284</v>
      </c>
      <c r="H32" s="123">
        <v>68</v>
      </c>
      <c r="I32" s="130">
        <v>73</v>
      </c>
      <c r="J32" s="123" t="s">
        <v>301</v>
      </c>
      <c r="M32" s="20"/>
    </row>
    <row r="33" spans="1:13">
      <c r="A33" s="125" t="s">
        <v>302</v>
      </c>
      <c r="B33" s="126" t="s">
        <v>262</v>
      </c>
      <c r="C33" s="127">
        <v>2</v>
      </c>
      <c r="D33" s="128">
        <v>10</v>
      </c>
      <c r="E33" s="126" t="s">
        <v>258</v>
      </c>
      <c r="F33" s="126" t="s">
        <v>259</v>
      </c>
      <c r="G33" s="129" t="s">
        <v>26</v>
      </c>
      <c r="H33" s="123" t="s">
        <v>26</v>
      </c>
      <c r="I33" s="123" t="s">
        <v>26</v>
      </c>
      <c r="J33" s="123"/>
      <c r="M33" s="20"/>
    </row>
    <row r="34" spans="1:13">
      <c r="A34" s="125" t="s">
        <v>303</v>
      </c>
      <c r="B34" s="126" t="s">
        <v>262</v>
      </c>
      <c r="C34" s="127">
        <v>2</v>
      </c>
      <c r="D34" s="128">
        <v>6</v>
      </c>
      <c r="E34" s="126" t="s">
        <v>26</v>
      </c>
      <c r="F34" s="126" t="s">
        <v>26</v>
      </c>
      <c r="G34" s="129" t="s">
        <v>26</v>
      </c>
      <c r="H34" s="123">
        <v>72</v>
      </c>
      <c r="I34" s="130">
        <v>80</v>
      </c>
      <c r="J34" s="123"/>
      <c r="M34" s="20"/>
    </row>
    <row r="35" spans="1:13">
      <c r="A35" s="125" t="s">
        <v>304</v>
      </c>
      <c r="B35" s="126" t="s">
        <v>266</v>
      </c>
      <c r="C35" s="127">
        <v>2</v>
      </c>
      <c r="D35" s="128">
        <v>6</v>
      </c>
      <c r="E35" s="126" t="s">
        <v>26</v>
      </c>
      <c r="F35" s="126" t="s">
        <v>26</v>
      </c>
      <c r="G35" s="129" t="s">
        <v>26</v>
      </c>
      <c r="H35" s="123" t="s">
        <v>26</v>
      </c>
      <c r="I35" s="123" t="s">
        <v>26</v>
      </c>
      <c r="J35" s="123"/>
      <c r="M35" s="20"/>
    </row>
    <row r="36" spans="1:13">
      <c r="A36" s="125" t="s">
        <v>305</v>
      </c>
      <c r="B36" s="126" t="s">
        <v>26</v>
      </c>
      <c r="C36" s="127">
        <v>2</v>
      </c>
      <c r="D36" s="128">
        <v>6</v>
      </c>
      <c r="E36" s="126" t="s">
        <v>26</v>
      </c>
      <c r="F36" s="126" t="s">
        <v>26</v>
      </c>
      <c r="G36" s="129" t="s">
        <v>263</v>
      </c>
      <c r="H36" s="123">
        <v>70</v>
      </c>
      <c r="I36" s="130">
        <v>75</v>
      </c>
      <c r="J36" s="123" t="s">
        <v>306</v>
      </c>
      <c r="M36" s="20"/>
    </row>
    <row r="37" spans="1:13">
      <c r="A37" s="125" t="s">
        <v>307</v>
      </c>
      <c r="B37" s="126" t="s">
        <v>266</v>
      </c>
      <c r="C37" s="127">
        <v>5</v>
      </c>
      <c r="D37" s="128">
        <v>15</v>
      </c>
      <c r="E37" s="126" t="s">
        <v>26</v>
      </c>
      <c r="F37" s="126" t="s">
        <v>26</v>
      </c>
      <c r="G37" s="129" t="s">
        <v>26</v>
      </c>
      <c r="H37" s="123" t="s">
        <v>26</v>
      </c>
      <c r="I37" s="123" t="s">
        <v>26</v>
      </c>
      <c r="J37" s="123"/>
      <c r="M37" s="20"/>
    </row>
    <row r="38" spans="1:13">
      <c r="A38" s="125" t="s">
        <v>308</v>
      </c>
      <c r="B38" s="126" t="s">
        <v>266</v>
      </c>
      <c r="C38" s="127">
        <v>2</v>
      </c>
      <c r="D38" s="128">
        <v>6</v>
      </c>
      <c r="E38" s="126" t="s">
        <v>26</v>
      </c>
      <c r="F38" s="126" t="s">
        <v>26</v>
      </c>
      <c r="G38" s="129" t="s">
        <v>26</v>
      </c>
      <c r="H38" s="123" t="s">
        <v>26</v>
      </c>
      <c r="I38" s="123" t="s">
        <v>26</v>
      </c>
      <c r="J38" s="123"/>
      <c r="M38" s="20"/>
    </row>
    <row r="39" spans="1:13">
      <c r="A39" s="125" t="s">
        <v>309</v>
      </c>
      <c r="B39" s="126" t="s">
        <v>262</v>
      </c>
      <c r="C39" s="127" t="s">
        <v>26</v>
      </c>
      <c r="D39" s="128">
        <v>10</v>
      </c>
      <c r="E39" s="126" t="s">
        <v>258</v>
      </c>
      <c r="F39" s="126" t="s">
        <v>259</v>
      </c>
      <c r="G39" s="129" t="s">
        <v>26</v>
      </c>
      <c r="H39" s="123" t="s">
        <v>26</v>
      </c>
      <c r="I39" s="123" t="s">
        <v>26</v>
      </c>
      <c r="J39" s="123"/>
      <c r="M39" s="20"/>
    </row>
    <row r="40" spans="1:13">
      <c r="A40" s="125" t="s">
        <v>310</v>
      </c>
      <c r="B40" s="126" t="s">
        <v>26</v>
      </c>
      <c r="C40" s="127">
        <v>2</v>
      </c>
      <c r="D40" s="128">
        <v>6</v>
      </c>
      <c r="E40" s="126" t="s">
        <v>26</v>
      </c>
      <c r="F40" s="126" t="s">
        <v>26</v>
      </c>
      <c r="G40" s="129" t="s">
        <v>263</v>
      </c>
      <c r="H40" s="123">
        <v>70</v>
      </c>
      <c r="I40" s="130">
        <v>75</v>
      </c>
      <c r="J40" s="123" t="s">
        <v>306</v>
      </c>
      <c r="M40" s="20"/>
    </row>
    <row r="41" spans="1:13">
      <c r="A41" s="125" t="s">
        <v>311</v>
      </c>
      <c r="B41" s="126" t="s">
        <v>26</v>
      </c>
      <c r="C41" s="127">
        <v>2</v>
      </c>
      <c r="D41" s="128">
        <v>6</v>
      </c>
      <c r="E41" s="126" t="s">
        <v>26</v>
      </c>
      <c r="F41" s="126" t="s">
        <v>26</v>
      </c>
      <c r="G41" s="129" t="s">
        <v>263</v>
      </c>
      <c r="H41" s="123">
        <v>70</v>
      </c>
      <c r="I41" s="130">
        <v>75</v>
      </c>
      <c r="J41" s="123" t="s">
        <v>306</v>
      </c>
      <c r="M41" s="20"/>
    </row>
    <row r="42" spans="1:13">
      <c r="A42" s="125" t="s">
        <v>312</v>
      </c>
      <c r="B42" s="126" t="s">
        <v>262</v>
      </c>
      <c r="C42" s="127">
        <v>2</v>
      </c>
      <c r="D42" s="128">
        <v>6</v>
      </c>
      <c r="E42" s="126" t="s">
        <v>258</v>
      </c>
      <c r="F42" s="126" t="s">
        <v>26</v>
      </c>
      <c r="G42" s="129" t="s">
        <v>26</v>
      </c>
      <c r="H42" s="123">
        <v>70</v>
      </c>
      <c r="I42" s="130">
        <v>75</v>
      </c>
      <c r="J42" s="123" t="s">
        <v>313</v>
      </c>
      <c r="M42" s="20"/>
    </row>
    <row r="43" spans="1:13">
      <c r="A43" s="125" t="s">
        <v>314</v>
      </c>
      <c r="B43" s="126" t="s">
        <v>262</v>
      </c>
      <c r="C43" s="127">
        <v>2</v>
      </c>
      <c r="D43" s="128">
        <v>6</v>
      </c>
      <c r="E43" s="126" t="s">
        <v>258</v>
      </c>
      <c r="F43" s="126" t="s">
        <v>26</v>
      </c>
      <c r="G43" s="129" t="s">
        <v>26</v>
      </c>
      <c r="H43" s="123">
        <v>70</v>
      </c>
      <c r="I43" s="130">
        <v>75</v>
      </c>
      <c r="J43" s="123" t="s">
        <v>313</v>
      </c>
      <c r="M43" s="20"/>
    </row>
    <row r="44" spans="1:13">
      <c r="A44" s="125" t="s">
        <v>315</v>
      </c>
      <c r="B44" s="126" t="s">
        <v>262</v>
      </c>
      <c r="C44" s="127">
        <v>2</v>
      </c>
      <c r="D44" s="128">
        <v>6</v>
      </c>
      <c r="E44" s="126" t="s">
        <v>258</v>
      </c>
      <c r="F44" s="126" t="s">
        <v>26</v>
      </c>
      <c r="G44" s="129" t="s">
        <v>26</v>
      </c>
      <c r="H44" s="123">
        <v>70</v>
      </c>
      <c r="I44" s="130">
        <v>75</v>
      </c>
      <c r="J44" s="123" t="s">
        <v>313</v>
      </c>
      <c r="M44" s="20"/>
    </row>
    <row r="45" spans="1:13">
      <c r="A45" s="125" t="s">
        <v>316</v>
      </c>
      <c r="B45" s="126" t="s">
        <v>262</v>
      </c>
      <c r="C45" s="127">
        <v>2</v>
      </c>
      <c r="D45" s="128">
        <v>6</v>
      </c>
      <c r="E45" s="126" t="s">
        <v>26</v>
      </c>
      <c r="F45" s="126" t="s">
        <v>26</v>
      </c>
      <c r="G45" s="129" t="s">
        <v>26</v>
      </c>
      <c r="H45" s="123">
        <v>70</v>
      </c>
      <c r="I45" s="130">
        <v>75</v>
      </c>
      <c r="J45" s="123" t="s">
        <v>313</v>
      </c>
      <c r="M45" s="20"/>
    </row>
    <row r="46" spans="1:13">
      <c r="A46" s="125" t="s">
        <v>317</v>
      </c>
      <c r="B46" s="126" t="s">
        <v>262</v>
      </c>
      <c r="C46" s="127">
        <v>2</v>
      </c>
      <c r="D46" s="128">
        <v>10</v>
      </c>
      <c r="E46" s="126" t="s">
        <v>258</v>
      </c>
      <c r="F46" s="126" t="s">
        <v>26</v>
      </c>
      <c r="G46" s="129" t="s">
        <v>26</v>
      </c>
      <c r="H46" s="123" t="s">
        <v>26</v>
      </c>
      <c r="I46" s="123" t="s">
        <v>26</v>
      </c>
      <c r="J46" s="123" t="s">
        <v>313</v>
      </c>
      <c r="M46" s="20"/>
    </row>
    <row r="47" spans="1:13">
      <c r="A47" s="125" t="s">
        <v>318</v>
      </c>
      <c r="B47" s="126" t="s">
        <v>262</v>
      </c>
      <c r="C47" s="127">
        <v>2</v>
      </c>
      <c r="D47" s="128">
        <v>6</v>
      </c>
      <c r="E47" s="126" t="s">
        <v>258</v>
      </c>
      <c r="F47" s="126" t="s">
        <v>26</v>
      </c>
      <c r="G47" s="129" t="s">
        <v>26</v>
      </c>
      <c r="H47" s="123">
        <v>70</v>
      </c>
      <c r="I47" s="130">
        <v>75</v>
      </c>
      <c r="J47" s="123" t="s">
        <v>313</v>
      </c>
      <c r="M47" s="20"/>
    </row>
    <row r="48" spans="1:13">
      <c r="A48" s="133" t="s">
        <v>319</v>
      </c>
      <c r="B48" s="134" t="s">
        <v>262</v>
      </c>
      <c r="C48" s="127">
        <v>2</v>
      </c>
      <c r="D48" s="128">
        <v>6</v>
      </c>
      <c r="E48" s="134" t="s">
        <v>258</v>
      </c>
      <c r="F48" s="134" t="s">
        <v>26</v>
      </c>
      <c r="G48" s="129" t="s">
        <v>26</v>
      </c>
      <c r="H48" s="135">
        <v>70</v>
      </c>
      <c r="I48" s="130">
        <v>75</v>
      </c>
      <c r="J48" s="135"/>
      <c r="M48" s="20"/>
    </row>
    <row r="49" spans="1:13">
      <c r="A49" s="136" t="s">
        <v>320</v>
      </c>
      <c r="B49" s="137" t="s">
        <v>266</v>
      </c>
      <c r="C49" s="127">
        <v>2</v>
      </c>
      <c r="D49" s="128">
        <v>4</v>
      </c>
      <c r="E49" s="137" t="s">
        <v>26</v>
      </c>
      <c r="F49" s="137" t="s">
        <v>26</v>
      </c>
      <c r="G49" s="129" t="s">
        <v>26</v>
      </c>
      <c r="H49" s="138">
        <v>70</v>
      </c>
      <c r="I49" s="130">
        <v>75</v>
      </c>
      <c r="J49" s="138" t="s">
        <v>313</v>
      </c>
      <c r="M49" s="20"/>
    </row>
    <row r="50" spans="1:13">
      <c r="A50" s="139" t="s">
        <v>321</v>
      </c>
      <c r="B50" s="140" t="s">
        <v>262</v>
      </c>
      <c r="C50" s="127">
        <v>2</v>
      </c>
      <c r="D50" s="128">
        <v>6</v>
      </c>
      <c r="E50" s="140" t="s">
        <v>258</v>
      </c>
      <c r="F50" s="140" t="s">
        <v>26</v>
      </c>
      <c r="G50" s="129" t="s">
        <v>26</v>
      </c>
      <c r="H50" s="141">
        <v>70</v>
      </c>
      <c r="I50" s="130">
        <v>75</v>
      </c>
      <c r="J50" s="141" t="s">
        <v>313</v>
      </c>
      <c r="M50" s="20"/>
    </row>
    <row r="51" spans="1:13">
      <c r="A51" s="142" t="s">
        <v>322</v>
      </c>
      <c r="B51" s="143" t="s">
        <v>262</v>
      </c>
      <c r="C51" s="127">
        <v>2</v>
      </c>
      <c r="D51" s="128">
        <v>6</v>
      </c>
      <c r="E51" s="143" t="s">
        <v>258</v>
      </c>
      <c r="F51" s="143" t="s">
        <v>26</v>
      </c>
      <c r="G51" s="129" t="s">
        <v>26</v>
      </c>
      <c r="H51" s="144">
        <v>70</v>
      </c>
      <c r="I51" s="130">
        <v>75</v>
      </c>
      <c r="J51" s="144" t="s">
        <v>313</v>
      </c>
      <c r="M51" s="20"/>
    </row>
    <row r="52" spans="1:13">
      <c r="A52" s="145" t="s">
        <v>323</v>
      </c>
      <c r="B52" s="146" t="s">
        <v>262</v>
      </c>
      <c r="C52" s="127">
        <v>2</v>
      </c>
      <c r="D52" s="128">
        <v>6</v>
      </c>
      <c r="E52" s="146" t="s">
        <v>258</v>
      </c>
      <c r="F52" s="146" t="s">
        <v>26</v>
      </c>
      <c r="G52" s="129" t="s">
        <v>26</v>
      </c>
      <c r="H52" s="147">
        <v>70</v>
      </c>
      <c r="I52" s="130">
        <v>75</v>
      </c>
      <c r="J52" s="147" t="s">
        <v>313</v>
      </c>
      <c r="M52" s="20"/>
    </row>
    <row r="53" spans="1:13">
      <c r="A53" s="148" t="s">
        <v>324</v>
      </c>
      <c r="B53" s="149" t="s">
        <v>262</v>
      </c>
      <c r="C53" s="127">
        <v>2</v>
      </c>
      <c r="D53" s="128">
        <v>6</v>
      </c>
      <c r="E53" s="149" t="s">
        <v>258</v>
      </c>
      <c r="F53" s="149" t="s">
        <v>26</v>
      </c>
      <c r="G53" s="129" t="s">
        <v>26</v>
      </c>
      <c r="H53" s="150">
        <v>70</v>
      </c>
      <c r="I53" s="130">
        <v>75</v>
      </c>
      <c r="J53" s="150" t="s">
        <v>313</v>
      </c>
      <c r="M53" s="20"/>
    </row>
    <row r="54" spans="1:13">
      <c r="A54" s="151" t="s">
        <v>325</v>
      </c>
      <c r="B54" s="152" t="s">
        <v>262</v>
      </c>
      <c r="C54" s="127">
        <v>2</v>
      </c>
      <c r="D54" s="128">
        <v>10</v>
      </c>
      <c r="E54" s="152" t="s">
        <v>258</v>
      </c>
      <c r="F54" s="152" t="s">
        <v>26</v>
      </c>
      <c r="G54" s="129" t="s">
        <v>26</v>
      </c>
      <c r="H54" s="153">
        <v>70</v>
      </c>
      <c r="I54" s="130">
        <v>75</v>
      </c>
      <c r="J54" s="153"/>
      <c r="M54" s="20"/>
    </row>
    <row r="55" spans="1:13">
      <c r="A55" s="154" t="s">
        <v>326</v>
      </c>
      <c r="B55" s="155" t="s">
        <v>26</v>
      </c>
      <c r="C55" s="127">
        <v>2</v>
      </c>
      <c r="D55" s="128">
        <v>6</v>
      </c>
      <c r="E55" s="155" t="s">
        <v>26</v>
      </c>
      <c r="F55" s="155" t="s">
        <v>26</v>
      </c>
      <c r="G55" s="129" t="s">
        <v>26</v>
      </c>
      <c r="H55" s="156" t="s">
        <v>26</v>
      </c>
      <c r="I55" s="156" t="s">
        <v>26</v>
      </c>
      <c r="J55" s="156"/>
      <c r="M55" s="20"/>
    </row>
    <row r="56" spans="1:13">
      <c r="A56" s="157" t="s">
        <v>327</v>
      </c>
      <c r="B56" s="155" t="s">
        <v>266</v>
      </c>
      <c r="C56" s="127">
        <v>3</v>
      </c>
      <c r="D56" s="128">
        <v>15</v>
      </c>
      <c r="E56" s="155" t="s">
        <v>26</v>
      </c>
      <c r="F56" s="155" t="s">
        <v>259</v>
      </c>
      <c r="G56" s="129" t="s">
        <v>284</v>
      </c>
      <c r="H56" s="156">
        <v>70</v>
      </c>
      <c r="I56" s="130">
        <v>75</v>
      </c>
      <c r="J56" s="156"/>
      <c r="M56" s="20"/>
    </row>
    <row r="57" spans="1:13">
      <c r="A57" s="157" t="s">
        <v>328</v>
      </c>
      <c r="B57" s="155" t="s">
        <v>262</v>
      </c>
      <c r="C57" s="127">
        <v>2</v>
      </c>
      <c r="D57" s="128">
        <v>10</v>
      </c>
      <c r="E57" s="155" t="s">
        <v>258</v>
      </c>
      <c r="F57" s="155" t="s">
        <v>259</v>
      </c>
      <c r="G57" s="129" t="s">
        <v>26</v>
      </c>
      <c r="H57" s="156" t="s">
        <v>26</v>
      </c>
      <c r="I57" s="156" t="s">
        <v>26</v>
      </c>
      <c r="J57" s="156"/>
      <c r="M57" s="20"/>
    </row>
    <row r="58" spans="1:13">
      <c r="A58" s="157" t="s">
        <v>329</v>
      </c>
      <c r="B58" s="155" t="s">
        <v>262</v>
      </c>
      <c r="C58" s="127" t="s">
        <v>26</v>
      </c>
      <c r="D58" s="128">
        <v>10</v>
      </c>
      <c r="E58" s="155" t="s">
        <v>258</v>
      </c>
      <c r="F58" s="155" t="s">
        <v>259</v>
      </c>
      <c r="G58" s="129" t="s">
        <v>26</v>
      </c>
      <c r="H58" s="156" t="s">
        <v>26</v>
      </c>
      <c r="I58" s="156" t="s">
        <v>26</v>
      </c>
      <c r="J58" s="156"/>
      <c r="M58" s="20"/>
    </row>
    <row r="59" spans="1:13">
      <c r="A59" s="157" t="s">
        <v>330</v>
      </c>
      <c r="B59" s="155" t="s">
        <v>262</v>
      </c>
      <c r="C59" s="127" t="s">
        <v>26</v>
      </c>
      <c r="D59" s="128">
        <v>8</v>
      </c>
      <c r="E59" s="155" t="s">
        <v>258</v>
      </c>
      <c r="F59" s="155" t="s">
        <v>26</v>
      </c>
      <c r="G59" s="129" t="s">
        <v>26</v>
      </c>
      <c r="H59" s="156" t="s">
        <v>26</v>
      </c>
      <c r="I59" s="156" t="s">
        <v>26</v>
      </c>
      <c r="J59" s="156" t="s">
        <v>331</v>
      </c>
      <c r="M59" s="20"/>
    </row>
    <row r="60" spans="1:13">
      <c r="A60" s="157" t="s">
        <v>332</v>
      </c>
      <c r="B60" s="155" t="s">
        <v>26</v>
      </c>
      <c r="C60" s="127">
        <v>2</v>
      </c>
      <c r="D60" s="128">
        <v>4</v>
      </c>
      <c r="E60" s="155" t="s">
        <v>26</v>
      </c>
      <c r="F60" s="155" t="s">
        <v>26</v>
      </c>
      <c r="G60" s="129" t="s">
        <v>263</v>
      </c>
      <c r="H60" s="156">
        <v>70</v>
      </c>
      <c r="I60" s="130">
        <v>75</v>
      </c>
      <c r="J60" s="156"/>
      <c r="M60" s="20"/>
    </row>
    <row r="61" spans="1:13">
      <c r="A61" s="157" t="s">
        <v>333</v>
      </c>
      <c r="B61" s="155" t="s">
        <v>262</v>
      </c>
      <c r="C61" s="127">
        <v>2</v>
      </c>
      <c r="D61" s="128">
        <v>12</v>
      </c>
      <c r="E61" s="155" t="s">
        <v>258</v>
      </c>
      <c r="F61" s="155" t="s">
        <v>259</v>
      </c>
      <c r="G61" s="129" t="s">
        <v>26</v>
      </c>
      <c r="H61" s="156">
        <v>68</v>
      </c>
      <c r="I61" s="130">
        <v>75</v>
      </c>
      <c r="J61" s="156" t="s">
        <v>273</v>
      </c>
      <c r="M61" s="20"/>
    </row>
    <row r="62" spans="1:13">
      <c r="A62" s="157" t="s">
        <v>334</v>
      </c>
      <c r="B62" s="155" t="s">
        <v>26</v>
      </c>
      <c r="C62" s="127">
        <v>2</v>
      </c>
      <c r="D62" s="128">
        <v>6</v>
      </c>
      <c r="E62" s="155" t="s">
        <v>26</v>
      </c>
      <c r="F62" s="155" t="s">
        <v>26</v>
      </c>
      <c r="G62" s="129" t="s">
        <v>26</v>
      </c>
      <c r="H62" s="156" t="s">
        <v>26</v>
      </c>
      <c r="I62" s="156" t="s">
        <v>26</v>
      </c>
      <c r="J62" s="156"/>
      <c r="M62" s="20"/>
    </row>
    <row r="63" spans="1:13">
      <c r="A63" s="157" t="s">
        <v>335</v>
      </c>
      <c r="B63" s="155" t="s">
        <v>262</v>
      </c>
      <c r="C63" s="127">
        <v>2</v>
      </c>
      <c r="D63" s="128">
        <v>12</v>
      </c>
      <c r="E63" s="155" t="s">
        <v>258</v>
      </c>
      <c r="F63" s="155" t="s">
        <v>259</v>
      </c>
      <c r="G63" s="129" t="s">
        <v>263</v>
      </c>
      <c r="H63" s="156">
        <v>72</v>
      </c>
      <c r="I63" s="130">
        <v>78</v>
      </c>
      <c r="J63" s="156"/>
      <c r="M63" s="20"/>
    </row>
    <row r="64" spans="1:13">
      <c r="A64" s="157" t="s">
        <v>336</v>
      </c>
      <c r="B64" s="155" t="s">
        <v>266</v>
      </c>
      <c r="C64" s="127">
        <v>2</v>
      </c>
      <c r="D64" s="128">
        <v>6</v>
      </c>
      <c r="E64" s="155" t="s">
        <v>26</v>
      </c>
      <c r="F64" s="155" t="s">
        <v>259</v>
      </c>
      <c r="G64" s="129" t="s">
        <v>279</v>
      </c>
      <c r="H64" s="156">
        <v>72</v>
      </c>
      <c r="I64" s="130">
        <v>78</v>
      </c>
      <c r="J64" s="156"/>
      <c r="M64" s="20"/>
    </row>
    <row r="65" spans="1:13">
      <c r="A65" s="157" t="s">
        <v>337</v>
      </c>
      <c r="B65" s="155" t="s">
        <v>28</v>
      </c>
      <c r="C65" s="127">
        <v>2</v>
      </c>
      <c r="D65" s="128">
        <v>10</v>
      </c>
      <c r="E65" s="155" t="s">
        <v>26</v>
      </c>
      <c r="F65" s="155" t="s">
        <v>259</v>
      </c>
      <c r="G65" s="129" t="s">
        <v>26</v>
      </c>
      <c r="H65" s="156" t="s">
        <v>26</v>
      </c>
      <c r="I65" s="156" t="s">
        <v>26</v>
      </c>
      <c r="J65" s="156"/>
      <c r="M65" s="20"/>
    </row>
    <row r="66" spans="1:13">
      <c r="A66" s="157" t="s">
        <v>338</v>
      </c>
      <c r="B66" s="155" t="s">
        <v>26</v>
      </c>
      <c r="C66" s="127">
        <v>2</v>
      </c>
      <c r="D66" s="128">
        <v>6</v>
      </c>
      <c r="E66" s="155" t="s">
        <v>26</v>
      </c>
      <c r="F66" s="155" t="s">
        <v>259</v>
      </c>
      <c r="G66" s="129" t="s">
        <v>279</v>
      </c>
      <c r="H66" s="156">
        <v>72</v>
      </c>
      <c r="I66" s="130">
        <v>78</v>
      </c>
      <c r="J66" s="156"/>
      <c r="M66" s="20"/>
    </row>
    <row r="67" spans="1:13">
      <c r="A67" s="157" t="s">
        <v>339</v>
      </c>
      <c r="B67" s="155" t="s">
        <v>262</v>
      </c>
      <c r="C67" s="127" t="s">
        <v>26</v>
      </c>
      <c r="D67" s="128">
        <v>10</v>
      </c>
      <c r="E67" s="155" t="s">
        <v>258</v>
      </c>
      <c r="F67" s="155" t="s">
        <v>259</v>
      </c>
      <c r="G67" s="129" t="s">
        <v>26</v>
      </c>
      <c r="H67" s="156">
        <v>70</v>
      </c>
      <c r="I67" s="130">
        <v>75</v>
      </c>
      <c r="J67" s="156" t="s">
        <v>340</v>
      </c>
      <c r="M67" s="20"/>
    </row>
    <row r="68" spans="1:13">
      <c r="A68" s="157" t="s">
        <v>341</v>
      </c>
      <c r="B68" s="155" t="s">
        <v>26</v>
      </c>
      <c r="C68" s="127" t="s">
        <v>26</v>
      </c>
      <c r="D68" s="128">
        <v>2</v>
      </c>
      <c r="E68" s="155" t="s">
        <v>26</v>
      </c>
      <c r="F68" s="155" t="s">
        <v>26</v>
      </c>
      <c r="G68" s="129" t="s">
        <v>26</v>
      </c>
      <c r="H68" s="156" t="s">
        <v>26</v>
      </c>
      <c r="I68" s="156" t="s">
        <v>26</v>
      </c>
      <c r="J68" s="156"/>
      <c r="M68" s="20"/>
    </row>
    <row r="69" spans="1:13">
      <c r="A69" s="157" t="s">
        <v>342</v>
      </c>
      <c r="B69" s="155" t="s">
        <v>262</v>
      </c>
      <c r="C69" s="127">
        <v>2</v>
      </c>
      <c r="D69" s="128">
        <v>6</v>
      </c>
      <c r="E69" s="155" t="s">
        <v>258</v>
      </c>
      <c r="F69" s="155" t="s">
        <v>259</v>
      </c>
      <c r="G69" s="129" t="s">
        <v>26</v>
      </c>
      <c r="H69" s="156" t="s">
        <v>26</v>
      </c>
      <c r="I69" s="156" t="s">
        <v>26</v>
      </c>
      <c r="J69" s="156"/>
      <c r="M69" s="20"/>
    </row>
    <row r="70" spans="1:13">
      <c r="A70" s="157" t="s">
        <v>343</v>
      </c>
      <c r="B70" s="155" t="s">
        <v>262</v>
      </c>
      <c r="C70" s="127" t="s">
        <v>26</v>
      </c>
      <c r="D70" s="128">
        <v>6</v>
      </c>
      <c r="E70" s="155" t="s">
        <v>258</v>
      </c>
      <c r="F70" s="155" t="s">
        <v>259</v>
      </c>
      <c r="G70" s="129" t="s">
        <v>26</v>
      </c>
      <c r="H70" s="156">
        <v>70</v>
      </c>
      <c r="I70" s="130">
        <v>75</v>
      </c>
      <c r="J70" s="156"/>
      <c r="M70" s="20"/>
    </row>
    <row r="71" spans="1:13">
      <c r="A71" s="157" t="s">
        <v>344</v>
      </c>
      <c r="B71" s="155" t="s">
        <v>262</v>
      </c>
      <c r="C71" s="127">
        <v>2</v>
      </c>
      <c r="D71" s="128">
        <v>6</v>
      </c>
      <c r="E71" s="155" t="s">
        <v>258</v>
      </c>
      <c r="F71" s="155" t="s">
        <v>26</v>
      </c>
      <c r="G71" s="129" t="s">
        <v>26</v>
      </c>
      <c r="H71" s="156">
        <v>70</v>
      </c>
      <c r="I71" s="130">
        <v>75</v>
      </c>
      <c r="J71" s="156"/>
      <c r="M71" s="20"/>
    </row>
    <row r="72" spans="1:13">
      <c r="A72" s="157" t="s">
        <v>345</v>
      </c>
      <c r="B72" s="127" t="s">
        <v>26</v>
      </c>
      <c r="C72" s="127" t="s">
        <v>26</v>
      </c>
      <c r="D72" s="128">
        <v>2</v>
      </c>
      <c r="E72" s="155" t="s">
        <v>26</v>
      </c>
      <c r="F72" s="155" t="s">
        <v>26</v>
      </c>
      <c r="G72" s="155" t="s">
        <v>26</v>
      </c>
      <c r="H72" s="155" t="s">
        <v>26</v>
      </c>
      <c r="I72" s="155" t="s">
        <v>26</v>
      </c>
      <c r="J72" s="156" t="s">
        <v>346</v>
      </c>
      <c r="M72" s="20"/>
    </row>
    <row r="73" spans="1:13">
      <c r="A73" s="157" t="s">
        <v>347</v>
      </c>
      <c r="B73" s="155" t="s">
        <v>26</v>
      </c>
      <c r="C73" s="127">
        <v>2</v>
      </c>
      <c r="D73" s="128">
        <v>6</v>
      </c>
      <c r="E73" s="155" t="s">
        <v>26</v>
      </c>
      <c r="F73" s="155" t="s">
        <v>26</v>
      </c>
      <c r="G73" s="129" t="s">
        <v>26</v>
      </c>
      <c r="H73" s="156">
        <v>70</v>
      </c>
      <c r="I73" s="130">
        <v>75</v>
      </c>
      <c r="J73" s="156"/>
      <c r="M73" s="20"/>
    </row>
    <row r="74" spans="1:13">
      <c r="A74" s="157" t="s">
        <v>348</v>
      </c>
      <c r="B74" s="155" t="s">
        <v>26</v>
      </c>
      <c r="C74" s="127">
        <v>2</v>
      </c>
      <c r="D74" s="128">
        <v>6</v>
      </c>
      <c r="E74" s="155" t="s">
        <v>26</v>
      </c>
      <c r="F74" s="155" t="s">
        <v>26</v>
      </c>
      <c r="G74" s="129" t="s">
        <v>26</v>
      </c>
      <c r="H74" s="156">
        <v>70</v>
      </c>
      <c r="I74" s="130">
        <v>75</v>
      </c>
      <c r="J74" s="156"/>
      <c r="M74" s="20"/>
    </row>
    <row r="75" spans="1:13">
      <c r="A75" s="157" t="s">
        <v>349</v>
      </c>
      <c r="B75" s="155" t="s">
        <v>266</v>
      </c>
      <c r="C75" s="127">
        <v>4</v>
      </c>
      <c r="D75" s="128">
        <v>20</v>
      </c>
      <c r="E75" s="155" t="s">
        <v>26</v>
      </c>
      <c r="F75" s="155" t="s">
        <v>259</v>
      </c>
      <c r="G75" s="129" t="s">
        <v>284</v>
      </c>
      <c r="H75" s="156">
        <v>68</v>
      </c>
      <c r="I75" s="130">
        <v>75</v>
      </c>
      <c r="J75" s="156"/>
      <c r="M75" s="20"/>
    </row>
    <row r="76" spans="1:13">
      <c r="A76" s="157" t="s">
        <v>350</v>
      </c>
      <c r="B76" s="155" t="s">
        <v>266</v>
      </c>
      <c r="C76" s="127">
        <v>4</v>
      </c>
      <c r="D76" s="128">
        <v>20</v>
      </c>
      <c r="E76" s="155" t="s">
        <v>26</v>
      </c>
      <c r="F76" s="155" t="s">
        <v>259</v>
      </c>
      <c r="G76" s="129" t="s">
        <v>284</v>
      </c>
      <c r="H76" s="156">
        <v>68</v>
      </c>
      <c r="I76" s="130">
        <v>75</v>
      </c>
      <c r="J76" s="156" t="s">
        <v>285</v>
      </c>
      <c r="M76" s="20"/>
    </row>
    <row r="77" spans="1:13">
      <c r="A77" s="157" t="s">
        <v>351</v>
      </c>
      <c r="B77" s="155" t="s">
        <v>26</v>
      </c>
      <c r="C77" s="127" t="s">
        <v>26</v>
      </c>
      <c r="D77" s="128">
        <v>2</v>
      </c>
      <c r="E77" s="155" t="s">
        <v>26</v>
      </c>
      <c r="F77" s="155" t="s">
        <v>26</v>
      </c>
      <c r="G77" s="129" t="s">
        <v>26</v>
      </c>
      <c r="H77" s="156" t="s">
        <v>26</v>
      </c>
      <c r="I77" s="156" t="s">
        <v>26</v>
      </c>
      <c r="J77" s="156"/>
      <c r="M77" s="20"/>
    </row>
    <row r="78" spans="1:13">
      <c r="A78" s="157" t="s">
        <v>352</v>
      </c>
      <c r="B78" s="155" t="s">
        <v>26</v>
      </c>
      <c r="C78" s="127">
        <v>2</v>
      </c>
      <c r="D78" s="128">
        <v>6</v>
      </c>
      <c r="E78" s="155" t="s">
        <v>26</v>
      </c>
      <c r="F78" s="155" t="s">
        <v>259</v>
      </c>
      <c r="G78" s="129" t="s">
        <v>26</v>
      </c>
      <c r="H78" s="156" t="s">
        <v>26</v>
      </c>
      <c r="I78" s="156" t="s">
        <v>26</v>
      </c>
      <c r="J78" s="156"/>
      <c r="M78" s="20"/>
    </row>
    <row r="79" spans="1:13">
      <c r="A79" s="157" t="s">
        <v>353</v>
      </c>
      <c r="B79" s="155" t="s">
        <v>26</v>
      </c>
      <c r="C79" s="127">
        <v>2</v>
      </c>
      <c r="D79" s="128">
        <v>4</v>
      </c>
      <c r="E79" s="155" t="s">
        <v>26</v>
      </c>
      <c r="F79" s="155" t="s">
        <v>26</v>
      </c>
      <c r="G79" s="129" t="s">
        <v>263</v>
      </c>
      <c r="H79" s="156">
        <v>70</v>
      </c>
      <c r="I79" s="130">
        <v>75</v>
      </c>
      <c r="J79" s="156" t="s">
        <v>409</v>
      </c>
      <c r="M79" s="20"/>
    </row>
    <row r="80" spans="1:13">
      <c r="A80" s="158" t="s">
        <v>354</v>
      </c>
      <c r="B80" s="159" t="s">
        <v>26</v>
      </c>
      <c r="C80" s="127">
        <v>2</v>
      </c>
      <c r="D80" s="128">
        <v>6</v>
      </c>
      <c r="E80" s="159" t="s">
        <v>26</v>
      </c>
      <c r="F80" s="159" t="s">
        <v>26</v>
      </c>
      <c r="G80" s="129" t="s">
        <v>26</v>
      </c>
      <c r="H80" s="160" t="s">
        <v>26</v>
      </c>
      <c r="I80" s="160" t="s">
        <v>26</v>
      </c>
      <c r="J80" s="160"/>
      <c r="M80" s="20"/>
    </row>
    <row r="81" spans="1:13">
      <c r="A81" s="161" t="s">
        <v>355</v>
      </c>
      <c r="B81" s="162" t="s">
        <v>266</v>
      </c>
      <c r="C81" s="127">
        <v>2</v>
      </c>
      <c r="D81" s="128">
        <v>4</v>
      </c>
      <c r="E81" s="162" t="s">
        <v>26</v>
      </c>
      <c r="F81" s="162" t="s">
        <v>26</v>
      </c>
      <c r="G81" s="129" t="s">
        <v>26</v>
      </c>
      <c r="H81" s="163" t="s">
        <v>26</v>
      </c>
      <c r="I81" s="163" t="s">
        <v>26</v>
      </c>
      <c r="J81" s="163" t="s">
        <v>356</v>
      </c>
      <c r="M81" s="20"/>
    </row>
    <row r="82" spans="1:13">
      <c r="A82" s="164" t="s">
        <v>357</v>
      </c>
      <c r="B82" s="165" t="s">
        <v>26</v>
      </c>
      <c r="C82" s="127">
        <v>2</v>
      </c>
      <c r="D82" s="128">
        <v>4</v>
      </c>
      <c r="E82" s="165" t="s">
        <v>26</v>
      </c>
      <c r="F82" s="165" t="s">
        <v>26</v>
      </c>
      <c r="G82" s="129" t="s">
        <v>26</v>
      </c>
      <c r="H82" s="166" t="s">
        <v>26</v>
      </c>
      <c r="I82" s="166" t="s">
        <v>26</v>
      </c>
      <c r="J82" s="166"/>
      <c r="M82" s="20"/>
    </row>
    <row r="83" spans="1:13">
      <c r="A83" s="167" t="s">
        <v>358</v>
      </c>
      <c r="B83" s="168" t="s">
        <v>266</v>
      </c>
      <c r="C83" s="127" t="s">
        <v>26</v>
      </c>
      <c r="D83" s="128" t="s">
        <v>26</v>
      </c>
      <c r="E83" s="168" t="s">
        <v>26</v>
      </c>
      <c r="F83" s="168" t="s">
        <v>26</v>
      </c>
      <c r="G83" s="129" t="s">
        <v>359</v>
      </c>
      <c r="H83" s="169">
        <v>68</v>
      </c>
      <c r="I83" s="169">
        <v>68</v>
      </c>
      <c r="J83" s="169" t="s">
        <v>356</v>
      </c>
      <c r="M83" s="20"/>
    </row>
    <row r="84" spans="1:13">
      <c r="A84" s="170" t="s">
        <v>360</v>
      </c>
      <c r="B84" s="171" t="s">
        <v>262</v>
      </c>
      <c r="C84" s="127" t="s">
        <v>26</v>
      </c>
      <c r="D84" s="128">
        <v>30</v>
      </c>
      <c r="E84" s="171" t="s">
        <v>258</v>
      </c>
      <c r="F84" s="171" t="s">
        <v>259</v>
      </c>
      <c r="G84" s="129" t="s">
        <v>359</v>
      </c>
      <c r="H84" s="172">
        <v>68</v>
      </c>
      <c r="I84" s="172">
        <v>68</v>
      </c>
      <c r="J84" s="172" t="s">
        <v>356</v>
      </c>
      <c r="M84" s="20"/>
    </row>
    <row r="85" spans="1:13">
      <c r="A85" s="173" t="s">
        <v>361</v>
      </c>
      <c r="B85" s="174" t="s">
        <v>262</v>
      </c>
      <c r="C85" s="127" t="s">
        <v>26</v>
      </c>
      <c r="D85" s="128">
        <v>12</v>
      </c>
      <c r="E85" s="174" t="s">
        <v>258</v>
      </c>
      <c r="F85" s="174" t="s">
        <v>26</v>
      </c>
      <c r="G85" s="129" t="s">
        <v>26</v>
      </c>
      <c r="H85" s="175" t="s">
        <v>26</v>
      </c>
      <c r="I85" s="175" t="s">
        <v>26</v>
      </c>
      <c r="J85" s="175" t="s">
        <v>362</v>
      </c>
      <c r="M85" s="20"/>
    </row>
    <row r="86" spans="1:13">
      <c r="A86" s="176" t="s">
        <v>363</v>
      </c>
      <c r="B86" s="177" t="s">
        <v>262</v>
      </c>
      <c r="C86" s="127" t="s">
        <v>26</v>
      </c>
      <c r="D86" s="128">
        <v>12</v>
      </c>
      <c r="E86" s="177" t="s">
        <v>258</v>
      </c>
      <c r="F86" s="177" t="s">
        <v>26</v>
      </c>
      <c r="G86" s="129" t="s">
        <v>26</v>
      </c>
      <c r="H86" s="178" t="s">
        <v>26</v>
      </c>
      <c r="I86" s="178" t="s">
        <v>26</v>
      </c>
      <c r="J86" s="178" t="s">
        <v>356</v>
      </c>
      <c r="M86" s="20"/>
    </row>
    <row r="87" spans="1:13">
      <c r="A87" s="179" t="s">
        <v>364</v>
      </c>
      <c r="B87" s="180" t="s">
        <v>266</v>
      </c>
      <c r="C87" s="127" t="s">
        <v>26</v>
      </c>
      <c r="D87" s="128">
        <v>30</v>
      </c>
      <c r="E87" s="180" t="s">
        <v>26</v>
      </c>
      <c r="F87" s="180" t="s">
        <v>26</v>
      </c>
      <c r="G87" s="129" t="s">
        <v>359</v>
      </c>
      <c r="H87" s="181">
        <v>68</v>
      </c>
      <c r="I87" s="181">
        <v>68</v>
      </c>
      <c r="J87" s="181" t="s">
        <v>356</v>
      </c>
      <c r="M87" s="20"/>
    </row>
    <row r="88" spans="1:13">
      <c r="A88" s="182" t="s">
        <v>365</v>
      </c>
      <c r="B88" s="183" t="s">
        <v>266</v>
      </c>
      <c r="C88" s="127" t="s">
        <v>26</v>
      </c>
      <c r="D88" s="128">
        <v>30</v>
      </c>
      <c r="E88" s="183" t="s">
        <v>26</v>
      </c>
      <c r="F88" s="183" t="s">
        <v>259</v>
      </c>
      <c r="G88" s="129" t="s">
        <v>359</v>
      </c>
      <c r="H88" s="184">
        <v>68</v>
      </c>
      <c r="I88" s="184">
        <v>68</v>
      </c>
      <c r="J88" s="184" t="s">
        <v>356</v>
      </c>
      <c r="M88" s="20"/>
    </row>
    <row r="89" spans="1:13">
      <c r="A89" s="185" t="s">
        <v>366</v>
      </c>
      <c r="B89" s="186" t="s">
        <v>26</v>
      </c>
      <c r="C89" s="127" t="s">
        <v>26</v>
      </c>
      <c r="D89" s="128" t="s">
        <v>26</v>
      </c>
      <c r="E89" s="186" t="s">
        <v>26</v>
      </c>
      <c r="F89" s="186" t="s">
        <v>26</v>
      </c>
      <c r="G89" s="129" t="s">
        <v>26</v>
      </c>
      <c r="H89" s="187" t="s">
        <v>26</v>
      </c>
      <c r="I89" s="187" t="s">
        <v>26</v>
      </c>
      <c r="J89" s="187"/>
      <c r="M89" s="20"/>
    </row>
    <row r="90" spans="1:13">
      <c r="A90" s="188" t="s">
        <v>367</v>
      </c>
      <c r="B90" s="189" t="s">
        <v>262</v>
      </c>
      <c r="C90" s="127">
        <v>2</v>
      </c>
      <c r="D90" s="128">
        <v>6</v>
      </c>
      <c r="E90" s="189" t="s">
        <v>26</v>
      </c>
      <c r="F90" s="189" t="s">
        <v>26</v>
      </c>
      <c r="G90" s="129" t="s">
        <v>26</v>
      </c>
      <c r="H90" s="190">
        <v>70</v>
      </c>
      <c r="I90" s="130">
        <v>75</v>
      </c>
      <c r="J90" s="190"/>
      <c r="M90" s="20"/>
    </row>
    <row r="91" spans="1:13">
      <c r="A91" s="191" t="s">
        <v>368</v>
      </c>
      <c r="B91" s="192" t="s">
        <v>262</v>
      </c>
      <c r="C91" s="127">
        <v>2</v>
      </c>
      <c r="D91" s="128">
        <v>6</v>
      </c>
      <c r="E91" s="192" t="s">
        <v>26</v>
      </c>
      <c r="F91" s="192" t="s">
        <v>26</v>
      </c>
      <c r="G91" s="129" t="s">
        <v>294</v>
      </c>
      <c r="H91" s="193">
        <v>72</v>
      </c>
      <c r="I91" s="130">
        <v>80</v>
      </c>
      <c r="J91" s="193"/>
      <c r="M91" s="20"/>
    </row>
    <row r="92" spans="1:13">
      <c r="A92" s="194" t="s">
        <v>369</v>
      </c>
      <c r="B92" s="195" t="s">
        <v>26</v>
      </c>
      <c r="C92" s="127">
        <v>2</v>
      </c>
      <c r="D92" s="128">
        <v>6</v>
      </c>
      <c r="E92" s="195" t="s">
        <v>258</v>
      </c>
      <c r="F92" s="195" t="s">
        <v>259</v>
      </c>
      <c r="G92" s="129" t="s">
        <v>284</v>
      </c>
      <c r="H92" s="196">
        <v>70</v>
      </c>
      <c r="I92" s="130">
        <v>75</v>
      </c>
      <c r="J92" s="196"/>
      <c r="M92" s="20"/>
    </row>
    <row r="93" spans="1:13">
      <c r="A93" s="197" t="s">
        <v>370</v>
      </c>
      <c r="B93" s="198" t="s">
        <v>262</v>
      </c>
      <c r="C93" s="127">
        <v>2</v>
      </c>
      <c r="D93" s="128">
        <v>12</v>
      </c>
      <c r="E93" s="198" t="s">
        <v>258</v>
      </c>
      <c r="F93" s="198" t="s">
        <v>26</v>
      </c>
      <c r="G93" s="129" t="s">
        <v>26</v>
      </c>
      <c r="H93" s="199" t="s">
        <v>26</v>
      </c>
      <c r="I93" s="199" t="s">
        <v>26</v>
      </c>
      <c r="J93" s="199" t="s">
        <v>410</v>
      </c>
      <c r="M93" s="20"/>
    </row>
    <row r="94" spans="1:13">
      <c r="A94" s="200" t="s">
        <v>371</v>
      </c>
      <c r="B94" s="201" t="s">
        <v>266</v>
      </c>
      <c r="C94" s="127">
        <v>3</v>
      </c>
      <c r="D94" s="128">
        <v>15</v>
      </c>
      <c r="E94" s="201" t="s">
        <v>26</v>
      </c>
      <c r="F94" s="201" t="s">
        <v>259</v>
      </c>
      <c r="G94" s="129" t="s">
        <v>284</v>
      </c>
      <c r="H94" s="202">
        <v>70</v>
      </c>
      <c r="I94" s="130">
        <v>75</v>
      </c>
      <c r="J94" s="202" t="s">
        <v>372</v>
      </c>
      <c r="M94" s="20"/>
    </row>
    <row r="95" spans="1:13">
      <c r="A95" s="203" t="s">
        <v>373</v>
      </c>
      <c r="B95" s="204" t="s">
        <v>374</v>
      </c>
      <c r="C95" s="127" t="s">
        <v>26</v>
      </c>
      <c r="D95" s="128">
        <v>10</v>
      </c>
      <c r="E95" s="204" t="s">
        <v>26</v>
      </c>
      <c r="F95" s="204" t="s">
        <v>259</v>
      </c>
      <c r="G95" s="129" t="s">
        <v>26</v>
      </c>
      <c r="H95" s="205" t="s">
        <v>26</v>
      </c>
      <c r="I95" s="205" t="s">
        <v>26</v>
      </c>
      <c r="J95" s="205" t="s">
        <v>375</v>
      </c>
      <c r="M95" s="20"/>
    </row>
    <row r="96" spans="1:13">
      <c r="A96" s="206" t="s">
        <v>376</v>
      </c>
      <c r="B96" s="207" t="s">
        <v>266</v>
      </c>
      <c r="C96" s="127">
        <v>2</v>
      </c>
      <c r="D96" s="128">
        <v>12</v>
      </c>
      <c r="E96" s="207" t="s">
        <v>26</v>
      </c>
      <c r="F96" s="207" t="s">
        <v>259</v>
      </c>
      <c r="G96" s="129" t="s">
        <v>263</v>
      </c>
      <c r="H96" s="208">
        <v>70</v>
      </c>
      <c r="I96" s="130">
        <v>75</v>
      </c>
      <c r="J96" s="208" t="s">
        <v>375</v>
      </c>
      <c r="M96" s="20"/>
    </row>
    <row r="97" spans="1:13">
      <c r="A97" s="209" t="s">
        <v>377</v>
      </c>
      <c r="B97" s="210" t="s">
        <v>262</v>
      </c>
      <c r="C97" s="127">
        <v>2</v>
      </c>
      <c r="D97" s="128">
        <v>12</v>
      </c>
      <c r="E97" s="210" t="s">
        <v>258</v>
      </c>
      <c r="F97" s="210" t="s">
        <v>26</v>
      </c>
      <c r="G97" s="129" t="s">
        <v>263</v>
      </c>
      <c r="H97" s="211">
        <v>70</v>
      </c>
      <c r="I97" s="130">
        <v>75</v>
      </c>
      <c r="J97" s="211" t="s">
        <v>411</v>
      </c>
      <c r="M97" s="20"/>
    </row>
    <row r="98" spans="1:13">
      <c r="A98" s="212" t="s">
        <v>378</v>
      </c>
      <c r="B98" s="213" t="s">
        <v>26</v>
      </c>
      <c r="C98" s="127">
        <v>2</v>
      </c>
      <c r="D98" s="128">
        <v>6</v>
      </c>
      <c r="E98" s="213" t="s">
        <v>26</v>
      </c>
      <c r="F98" s="213" t="s">
        <v>259</v>
      </c>
      <c r="G98" s="129" t="s">
        <v>284</v>
      </c>
      <c r="H98" s="214">
        <v>70</v>
      </c>
      <c r="I98" s="130">
        <v>75</v>
      </c>
      <c r="J98" s="214"/>
      <c r="M98" s="20"/>
    </row>
    <row r="99" spans="1:13">
      <c r="A99" s="215" t="s">
        <v>379</v>
      </c>
      <c r="B99" s="216" t="s">
        <v>26</v>
      </c>
      <c r="C99" s="127">
        <v>2</v>
      </c>
      <c r="D99" s="128">
        <v>6</v>
      </c>
      <c r="E99" s="216" t="s">
        <v>26</v>
      </c>
      <c r="F99" s="216" t="s">
        <v>26</v>
      </c>
      <c r="G99" s="129" t="s">
        <v>26</v>
      </c>
      <c r="H99" s="217" t="s">
        <v>26</v>
      </c>
      <c r="I99" s="217" t="s">
        <v>26</v>
      </c>
      <c r="J99" s="217"/>
      <c r="M99" s="20"/>
    </row>
    <row r="100" spans="1:13">
      <c r="A100" s="218" t="s">
        <v>380</v>
      </c>
      <c r="B100" s="219" t="s">
        <v>26</v>
      </c>
      <c r="C100" s="127">
        <v>4</v>
      </c>
      <c r="D100" s="128">
        <v>4</v>
      </c>
      <c r="E100" s="219" t="s">
        <v>26</v>
      </c>
      <c r="F100" s="219" t="s">
        <v>26</v>
      </c>
      <c r="G100" s="129" t="s">
        <v>26</v>
      </c>
      <c r="H100" s="220">
        <v>70</v>
      </c>
      <c r="I100" s="130">
        <v>75</v>
      </c>
      <c r="J100" s="220"/>
      <c r="M100" s="20"/>
    </row>
    <row r="101" spans="1:13">
      <c r="A101" s="221" t="s">
        <v>381</v>
      </c>
      <c r="B101" s="222" t="s">
        <v>26</v>
      </c>
      <c r="C101" s="127">
        <v>2</v>
      </c>
      <c r="D101" s="128">
        <v>2</v>
      </c>
      <c r="E101" s="222" t="s">
        <v>26</v>
      </c>
      <c r="F101" s="222" t="s">
        <v>26</v>
      </c>
      <c r="G101" s="129" t="s">
        <v>26</v>
      </c>
      <c r="H101" s="223">
        <v>70</v>
      </c>
      <c r="I101" s="130">
        <v>75</v>
      </c>
      <c r="J101" s="223"/>
      <c r="M101" s="20"/>
    </row>
    <row r="102" spans="1:13">
      <c r="A102" s="224" t="s">
        <v>382</v>
      </c>
      <c r="B102" s="225" t="s">
        <v>26</v>
      </c>
      <c r="C102" s="127" t="s">
        <v>26</v>
      </c>
      <c r="D102" s="128">
        <v>4</v>
      </c>
      <c r="E102" s="225" t="s">
        <v>26</v>
      </c>
      <c r="F102" s="225" t="s">
        <v>26</v>
      </c>
      <c r="G102" s="129" t="s">
        <v>26</v>
      </c>
      <c r="H102" s="226" t="s">
        <v>26</v>
      </c>
      <c r="I102" s="226" t="s">
        <v>26</v>
      </c>
      <c r="J102" s="226"/>
      <c r="M102" s="20"/>
    </row>
    <row r="103" spans="1:13">
      <c r="A103" s="227" t="s">
        <v>383</v>
      </c>
      <c r="B103" s="228" t="s">
        <v>26</v>
      </c>
      <c r="C103" s="127">
        <v>2</v>
      </c>
      <c r="D103" s="128">
        <v>6</v>
      </c>
      <c r="E103" s="228" t="s">
        <v>26</v>
      </c>
      <c r="F103" s="228" t="s">
        <v>26</v>
      </c>
      <c r="G103" s="129" t="s">
        <v>26</v>
      </c>
      <c r="H103" s="229" t="s">
        <v>26</v>
      </c>
      <c r="I103" s="229" t="s">
        <v>26</v>
      </c>
      <c r="J103" s="229"/>
      <c r="M103" s="20"/>
    </row>
    <row r="104" spans="1:13">
      <c r="A104" s="230" t="s">
        <v>384</v>
      </c>
      <c r="B104" s="231" t="s">
        <v>26</v>
      </c>
      <c r="C104" s="232">
        <v>2</v>
      </c>
      <c r="D104" s="233">
        <v>4</v>
      </c>
      <c r="E104" s="231" t="s">
        <v>26</v>
      </c>
      <c r="F104" s="231" t="s">
        <v>26</v>
      </c>
      <c r="G104" s="234" t="s">
        <v>26</v>
      </c>
      <c r="H104" s="229" t="s">
        <v>26</v>
      </c>
      <c r="I104" s="229" t="s">
        <v>26</v>
      </c>
      <c r="J104" s="130"/>
      <c r="M104" s="20"/>
    </row>
    <row r="105" spans="1:13">
      <c r="A105" s="230" t="s">
        <v>385</v>
      </c>
      <c r="B105" s="231" t="s">
        <v>262</v>
      </c>
      <c r="C105" s="232" t="s">
        <v>26</v>
      </c>
      <c r="D105" s="233">
        <v>10</v>
      </c>
      <c r="E105" s="231" t="s">
        <v>258</v>
      </c>
      <c r="F105" s="231" t="s">
        <v>259</v>
      </c>
      <c r="G105" s="234" t="s">
        <v>26</v>
      </c>
      <c r="H105" s="229" t="s">
        <v>26</v>
      </c>
      <c r="I105" s="229" t="s">
        <v>26</v>
      </c>
      <c r="J105" s="235"/>
      <c r="M105" s="20"/>
    </row>
    <row r="106" spans="1:13">
      <c r="A106" s="236" t="s">
        <v>386</v>
      </c>
      <c r="B106" s="237" t="s">
        <v>262</v>
      </c>
      <c r="C106" s="232" t="s">
        <v>26</v>
      </c>
      <c r="D106" s="233">
        <v>10</v>
      </c>
      <c r="E106" s="237" t="s">
        <v>258</v>
      </c>
      <c r="F106" s="237" t="s">
        <v>259</v>
      </c>
      <c r="G106" s="234" t="s">
        <v>26</v>
      </c>
      <c r="H106" s="229" t="s">
        <v>26</v>
      </c>
      <c r="I106" s="229" t="s">
        <v>26</v>
      </c>
      <c r="J106" s="235"/>
      <c r="M106" s="20"/>
    </row>
    <row r="107" spans="1:13">
      <c r="A107" s="236" t="s">
        <v>387</v>
      </c>
      <c r="B107" s="237" t="s">
        <v>262</v>
      </c>
      <c r="C107" s="232">
        <v>2</v>
      </c>
      <c r="D107" s="233">
        <v>6</v>
      </c>
      <c r="E107" s="237" t="s">
        <v>258</v>
      </c>
      <c r="F107" s="237" t="s">
        <v>259</v>
      </c>
      <c r="G107" s="234" t="s">
        <v>26</v>
      </c>
      <c r="H107" s="229">
        <v>72</v>
      </c>
      <c r="I107" s="238">
        <v>78</v>
      </c>
      <c r="J107" s="238"/>
      <c r="M107" s="20"/>
    </row>
    <row r="108" spans="1:13">
      <c r="A108" s="239" t="s">
        <v>388</v>
      </c>
      <c r="B108" s="240" t="s">
        <v>262</v>
      </c>
      <c r="C108" s="232">
        <v>2</v>
      </c>
      <c r="D108" s="233">
        <v>10</v>
      </c>
      <c r="E108" s="240" t="s">
        <v>258</v>
      </c>
      <c r="F108" s="240" t="s">
        <v>259</v>
      </c>
      <c r="G108" s="234" t="s">
        <v>26</v>
      </c>
      <c r="H108" s="229" t="s">
        <v>26</v>
      </c>
      <c r="I108" s="229" t="s">
        <v>26</v>
      </c>
      <c r="J108" s="238"/>
      <c r="M108" s="20"/>
    </row>
    <row r="109" spans="1:13">
      <c r="A109" s="239" t="s">
        <v>389</v>
      </c>
      <c r="B109" s="240" t="s">
        <v>26</v>
      </c>
      <c r="C109" s="232">
        <v>2</v>
      </c>
      <c r="D109" s="233">
        <v>6</v>
      </c>
      <c r="E109" s="240" t="s">
        <v>258</v>
      </c>
      <c r="F109" s="240" t="s">
        <v>26</v>
      </c>
      <c r="G109" s="234" t="s">
        <v>26</v>
      </c>
      <c r="H109" s="229" t="s">
        <v>26</v>
      </c>
      <c r="I109" s="229" t="s">
        <v>26</v>
      </c>
      <c r="J109" s="241"/>
      <c r="M109" s="20"/>
    </row>
    <row r="110" spans="1:13">
      <c r="A110" s="242" t="s">
        <v>390</v>
      </c>
      <c r="B110" s="243" t="s">
        <v>26</v>
      </c>
      <c r="C110" s="232">
        <v>2</v>
      </c>
      <c r="D110" s="233">
        <v>6</v>
      </c>
      <c r="E110" s="243" t="s">
        <v>26</v>
      </c>
      <c r="F110" s="243" t="s">
        <v>26</v>
      </c>
      <c r="G110" s="234" t="s">
        <v>26</v>
      </c>
      <c r="H110" s="229" t="s">
        <v>26</v>
      </c>
      <c r="I110" s="229" t="s">
        <v>26</v>
      </c>
      <c r="J110" s="241"/>
      <c r="M110" s="20"/>
    </row>
    <row r="111" spans="1:13">
      <c r="A111" s="242" t="s">
        <v>391</v>
      </c>
      <c r="B111" s="243" t="s">
        <v>266</v>
      </c>
      <c r="C111" s="232">
        <v>2</v>
      </c>
      <c r="D111" s="233">
        <v>4</v>
      </c>
      <c r="E111" s="243" t="s">
        <v>26</v>
      </c>
      <c r="F111" s="243" t="s">
        <v>26</v>
      </c>
      <c r="G111" s="234" t="s">
        <v>263</v>
      </c>
      <c r="H111" s="229">
        <v>72</v>
      </c>
      <c r="I111" s="244">
        <v>78</v>
      </c>
      <c r="J111" s="244"/>
      <c r="M111" s="20"/>
    </row>
    <row r="112" spans="1:13">
      <c r="A112" s="245" t="s">
        <v>392</v>
      </c>
      <c r="B112" s="243" t="s">
        <v>262</v>
      </c>
      <c r="C112" s="232" t="s">
        <v>26</v>
      </c>
      <c r="D112" s="233">
        <v>10</v>
      </c>
      <c r="E112" s="243" t="s">
        <v>258</v>
      </c>
      <c r="F112" s="243" t="s">
        <v>259</v>
      </c>
      <c r="G112" s="234" t="s">
        <v>26</v>
      </c>
      <c r="H112" s="229" t="s">
        <v>26</v>
      </c>
      <c r="I112" s="229" t="s">
        <v>26</v>
      </c>
      <c r="J112" s="244"/>
      <c r="M112" s="20"/>
    </row>
    <row r="113" spans="1:13">
      <c r="A113" s="245" t="s">
        <v>393</v>
      </c>
      <c r="B113" s="243" t="s">
        <v>26</v>
      </c>
      <c r="C113" s="232">
        <v>2</v>
      </c>
      <c r="D113" s="233">
        <v>6</v>
      </c>
      <c r="E113" s="243" t="s">
        <v>26</v>
      </c>
      <c r="F113" s="243" t="s">
        <v>259</v>
      </c>
      <c r="G113" s="234" t="s">
        <v>26</v>
      </c>
      <c r="H113" s="229" t="s">
        <v>26</v>
      </c>
      <c r="I113" s="229" t="s">
        <v>26</v>
      </c>
      <c r="J113" s="244"/>
      <c r="M113" s="20"/>
    </row>
    <row r="114" spans="1:13">
      <c r="A114" s="245" t="s">
        <v>394</v>
      </c>
      <c r="B114" s="243" t="s">
        <v>262</v>
      </c>
      <c r="C114" s="232" t="s">
        <v>26</v>
      </c>
      <c r="D114" s="233">
        <v>10</v>
      </c>
      <c r="E114" s="243" t="s">
        <v>258</v>
      </c>
      <c r="F114" s="243" t="s">
        <v>259</v>
      </c>
      <c r="G114" s="234" t="s">
        <v>26</v>
      </c>
      <c r="H114" s="229" t="s">
        <v>26</v>
      </c>
      <c r="I114" s="229" t="s">
        <v>26</v>
      </c>
      <c r="J114" s="244"/>
      <c r="M114" s="20"/>
    </row>
    <row r="115" spans="1:13">
      <c r="A115" s="245" t="s">
        <v>395</v>
      </c>
      <c r="B115" s="243" t="s">
        <v>266</v>
      </c>
      <c r="C115" s="232">
        <v>3</v>
      </c>
      <c r="D115" s="233">
        <v>15</v>
      </c>
      <c r="E115" s="243" t="s">
        <v>26</v>
      </c>
      <c r="F115" s="243" t="s">
        <v>259</v>
      </c>
      <c r="G115" s="234" t="s">
        <v>284</v>
      </c>
      <c r="H115" s="229">
        <v>70</v>
      </c>
      <c r="I115" s="244">
        <v>75</v>
      </c>
      <c r="J115" s="244" t="s">
        <v>396</v>
      </c>
      <c r="M115" s="20"/>
    </row>
    <row r="116" spans="1:13">
      <c r="A116" s="245" t="s">
        <v>397</v>
      </c>
      <c r="B116" s="243" t="s">
        <v>26</v>
      </c>
      <c r="C116" s="232">
        <v>2</v>
      </c>
      <c r="D116" s="233">
        <v>6</v>
      </c>
      <c r="E116" s="243" t="s">
        <v>26</v>
      </c>
      <c r="F116" s="243" t="s">
        <v>26</v>
      </c>
      <c r="G116" s="234" t="s">
        <v>284</v>
      </c>
      <c r="H116" s="229">
        <v>70</v>
      </c>
      <c r="I116" s="244">
        <v>75</v>
      </c>
      <c r="J116" s="244" t="s">
        <v>28</v>
      </c>
      <c r="M116" s="20"/>
    </row>
    <row r="117" spans="1:13">
      <c r="A117" s="245" t="s">
        <v>398</v>
      </c>
      <c r="B117" s="243" t="s">
        <v>26</v>
      </c>
      <c r="C117" s="232">
        <v>2</v>
      </c>
      <c r="D117" s="233">
        <v>6</v>
      </c>
      <c r="E117" s="243" t="s">
        <v>26</v>
      </c>
      <c r="F117" s="243" t="s">
        <v>26</v>
      </c>
      <c r="G117" s="234" t="s">
        <v>263</v>
      </c>
      <c r="H117" s="229">
        <v>70</v>
      </c>
      <c r="I117" s="244">
        <v>75</v>
      </c>
      <c r="J117" s="244" t="s">
        <v>301</v>
      </c>
      <c r="M117" s="20"/>
    </row>
    <row r="118" spans="1:13">
      <c r="A118" s="245" t="s">
        <v>399</v>
      </c>
      <c r="B118" s="243" t="s">
        <v>262</v>
      </c>
      <c r="C118" s="232">
        <v>2</v>
      </c>
      <c r="D118" s="233">
        <v>12</v>
      </c>
      <c r="E118" s="243" t="s">
        <v>258</v>
      </c>
      <c r="F118" s="243" t="s">
        <v>26</v>
      </c>
      <c r="G118" s="234" t="s">
        <v>263</v>
      </c>
      <c r="H118" s="229">
        <v>70</v>
      </c>
      <c r="I118" s="244">
        <v>75</v>
      </c>
      <c r="J118" s="244" t="s">
        <v>410</v>
      </c>
      <c r="M118" s="20"/>
    </row>
    <row r="119" spans="1:13">
      <c r="A119" s="245" t="s">
        <v>400</v>
      </c>
      <c r="B119" s="243" t="s">
        <v>26</v>
      </c>
      <c r="C119" s="232">
        <v>2</v>
      </c>
      <c r="D119" s="233">
        <v>6</v>
      </c>
      <c r="E119" s="243" t="s">
        <v>26</v>
      </c>
      <c r="F119" s="243" t="s">
        <v>26</v>
      </c>
      <c r="G119" s="234" t="s">
        <v>26</v>
      </c>
      <c r="H119" s="229" t="s">
        <v>26</v>
      </c>
      <c r="I119" s="229" t="s">
        <v>26</v>
      </c>
      <c r="J119" s="244"/>
      <c r="M119" s="20"/>
    </row>
    <row r="120" spans="1:13">
      <c r="A120" s="245" t="s">
        <v>401</v>
      </c>
      <c r="B120" s="243" t="s">
        <v>26</v>
      </c>
      <c r="C120" s="232">
        <v>2</v>
      </c>
      <c r="D120" s="233">
        <v>2</v>
      </c>
      <c r="E120" s="243" t="s">
        <v>26</v>
      </c>
      <c r="F120" s="243" t="s">
        <v>26</v>
      </c>
      <c r="G120" s="234" t="s">
        <v>26</v>
      </c>
      <c r="H120" s="229" t="s">
        <v>26</v>
      </c>
      <c r="I120" s="229" t="s">
        <v>26</v>
      </c>
      <c r="J120" s="244"/>
      <c r="M120" s="20"/>
    </row>
    <row r="121" spans="1:13">
      <c r="A121" s="245" t="s">
        <v>402</v>
      </c>
      <c r="B121" s="243" t="s">
        <v>262</v>
      </c>
      <c r="C121" s="232">
        <v>2</v>
      </c>
      <c r="D121" s="233">
        <v>12</v>
      </c>
      <c r="E121" s="243" t="s">
        <v>258</v>
      </c>
      <c r="F121" s="243" t="s">
        <v>259</v>
      </c>
      <c r="G121" s="234" t="s">
        <v>26</v>
      </c>
      <c r="H121" s="229" t="s">
        <v>26</v>
      </c>
      <c r="I121" s="229" t="s">
        <v>26</v>
      </c>
      <c r="J121" s="244"/>
      <c r="M121" s="20"/>
    </row>
    <row r="122" spans="1:13">
      <c r="A122" s="245" t="s">
        <v>403</v>
      </c>
      <c r="B122" s="243" t="s">
        <v>262</v>
      </c>
      <c r="C122" s="232">
        <v>2</v>
      </c>
      <c r="D122" s="233">
        <v>10</v>
      </c>
      <c r="E122" s="243" t="s">
        <v>258</v>
      </c>
      <c r="F122" s="243" t="s">
        <v>26</v>
      </c>
      <c r="G122" s="234" t="s">
        <v>26</v>
      </c>
      <c r="H122" s="229" t="s">
        <v>26</v>
      </c>
      <c r="I122" s="229" t="s">
        <v>26</v>
      </c>
      <c r="J122" s="244" t="s">
        <v>410</v>
      </c>
      <c r="M122" s="20"/>
    </row>
    <row r="123" spans="1:13">
      <c r="A123" s="245" t="s">
        <v>404</v>
      </c>
      <c r="B123" s="243" t="s">
        <v>262</v>
      </c>
      <c r="C123" s="232" t="s">
        <v>26</v>
      </c>
      <c r="D123" s="233">
        <v>10</v>
      </c>
      <c r="E123" s="243" t="s">
        <v>258</v>
      </c>
      <c r="F123" s="243" t="s">
        <v>259</v>
      </c>
      <c r="G123" s="234" t="s">
        <v>26</v>
      </c>
      <c r="H123" s="229" t="s">
        <v>26</v>
      </c>
      <c r="I123" s="229" t="s">
        <v>26</v>
      </c>
      <c r="J123" s="244"/>
      <c r="M123" s="20"/>
    </row>
    <row r="124" spans="1:13">
      <c r="A124" s="245" t="s">
        <v>405</v>
      </c>
      <c r="B124" s="243" t="s">
        <v>26</v>
      </c>
      <c r="C124" s="232">
        <v>2</v>
      </c>
      <c r="D124" s="233">
        <v>6</v>
      </c>
      <c r="E124" s="243" t="s">
        <v>26</v>
      </c>
      <c r="F124" s="243" t="s">
        <v>259</v>
      </c>
      <c r="G124" s="234" t="s">
        <v>406</v>
      </c>
      <c r="H124" s="229">
        <v>70</v>
      </c>
      <c r="I124" s="244">
        <v>75</v>
      </c>
      <c r="J124" s="244"/>
      <c r="M124" s="20"/>
    </row>
    <row r="125" spans="1:13">
      <c r="A125" s="246" t="s">
        <v>407</v>
      </c>
      <c r="B125" s="243" t="s">
        <v>26</v>
      </c>
      <c r="C125" s="232">
        <v>2</v>
      </c>
      <c r="D125" s="233">
        <v>6</v>
      </c>
      <c r="E125" s="243" t="s">
        <v>26</v>
      </c>
      <c r="F125" s="243" t="s">
        <v>26</v>
      </c>
      <c r="G125" s="234" t="s">
        <v>263</v>
      </c>
      <c r="H125" s="229">
        <v>72</v>
      </c>
      <c r="I125" s="244">
        <v>78</v>
      </c>
      <c r="J125" s="244"/>
      <c r="M125" s="20"/>
    </row>
    <row r="126" spans="1:13">
      <c r="A126" s="252" t="s">
        <v>414</v>
      </c>
      <c r="B126" s="247" t="s">
        <v>26</v>
      </c>
      <c r="C126" s="248">
        <v>2</v>
      </c>
      <c r="D126" s="249">
        <v>6</v>
      </c>
      <c r="E126" s="247" t="s">
        <v>26</v>
      </c>
      <c r="F126" s="247" t="s">
        <v>26</v>
      </c>
      <c r="G126" s="250" t="s">
        <v>26</v>
      </c>
      <c r="H126" s="251" t="s">
        <v>26</v>
      </c>
      <c r="I126" s="251" t="s">
        <v>26</v>
      </c>
      <c r="J126" s="251"/>
      <c r="M126" s="20"/>
    </row>
    <row r="127" spans="1:13">
      <c r="A127" s="246" t="s">
        <v>408</v>
      </c>
      <c r="B127" s="243" t="s">
        <v>266</v>
      </c>
      <c r="C127" s="232">
        <v>3</v>
      </c>
      <c r="D127" s="233">
        <v>15</v>
      </c>
      <c r="E127" s="243" t="s">
        <v>26</v>
      </c>
      <c r="F127" s="243" t="s">
        <v>259</v>
      </c>
      <c r="G127" s="234" t="s">
        <v>263</v>
      </c>
      <c r="H127" s="244">
        <v>70</v>
      </c>
      <c r="I127" s="244">
        <v>75</v>
      </c>
      <c r="J127" s="244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B5:D18"/>
  <sheetViews>
    <sheetView zoomScale="145" zoomScaleNormal="145" workbookViewId="0">
      <selection activeCell="K17" sqref="K17"/>
    </sheetView>
  </sheetViews>
  <sheetFormatPr defaultColWidth="8.85546875" defaultRowHeight="12.75"/>
  <sheetData>
    <row r="5" spans="2:4">
      <c r="B5" s="16" t="s">
        <v>130</v>
      </c>
    </row>
    <row r="7" spans="2:4" ht="14.25">
      <c r="B7" s="357" t="s">
        <v>51</v>
      </c>
      <c r="C7" s="358"/>
      <c r="D7" s="359"/>
    </row>
    <row r="8" spans="2:4" ht="14.25">
      <c r="B8" s="8" t="s">
        <v>32</v>
      </c>
      <c r="C8" s="9" t="s">
        <v>52</v>
      </c>
      <c r="D8" s="9" t="s">
        <v>69</v>
      </c>
    </row>
    <row r="9" spans="2:4">
      <c r="B9" s="4">
        <v>1</v>
      </c>
      <c r="C9" s="10">
        <v>6</v>
      </c>
      <c r="D9" s="10">
        <v>30</v>
      </c>
    </row>
    <row r="10" spans="2:4">
      <c r="B10" s="4">
        <v>400</v>
      </c>
      <c r="C10" s="10">
        <v>8</v>
      </c>
      <c r="D10" s="10">
        <v>30</v>
      </c>
    </row>
    <row r="11" spans="2:4">
      <c r="B11" s="4">
        <v>700</v>
      </c>
      <c r="C11" s="10">
        <v>10</v>
      </c>
      <c r="D11" s="10">
        <v>35</v>
      </c>
    </row>
    <row r="12" spans="2:4">
      <c r="B12" s="4">
        <v>1000</v>
      </c>
      <c r="C12" s="10">
        <v>12</v>
      </c>
      <c r="D12" s="10">
        <v>45</v>
      </c>
    </row>
    <row r="13" spans="2:4">
      <c r="B13" s="4">
        <v>1500</v>
      </c>
      <c r="C13" s="10">
        <v>14</v>
      </c>
      <c r="D13" s="10">
        <v>55</v>
      </c>
    </row>
    <row r="14" spans="2:4" ht="13.5" thickBot="1">
      <c r="B14" s="11">
        <v>2100</v>
      </c>
      <c r="C14" s="12">
        <v>16</v>
      </c>
      <c r="D14" s="12">
        <v>60</v>
      </c>
    </row>
    <row r="18" spans="2:2">
      <c r="B18" s="16"/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INPUT_OUTPUTS</vt:lpstr>
      <vt:lpstr>Generic</vt:lpstr>
      <vt:lpstr>AHU_Psych</vt:lpstr>
      <vt:lpstr>62.1_SINGLE_ZONE</vt:lpstr>
      <vt:lpstr>62.1_MULTI_ZONE</vt:lpstr>
      <vt:lpstr>ASHRAE Table</vt:lpstr>
      <vt:lpstr>UMC Table 4-A</vt:lpstr>
      <vt:lpstr>DO NOT TOUCH</vt:lpstr>
      <vt:lpstr>Generic!AHU_1AC_AV</vt:lpstr>
      <vt:lpstr>'62.1_MULTI_ZONE'!AHUs</vt:lpstr>
      <vt:lpstr>AHU_Psych!Print_Area</vt:lpstr>
      <vt:lpstr>Generic!Print_Area</vt:lpstr>
      <vt:lpstr>'UMC Table 4-A'!Print_Area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2023-05-25T17:22:15Z</cp:lastPrinted>
  <dcterms:created xsi:type="dcterms:W3CDTF">2001-05-17T15:02:58Z</dcterms:created>
  <dcterms:modified xsi:type="dcterms:W3CDTF">2023-10-04T21:14:48Z</dcterms:modified>
  <cp:category/>
</cp:coreProperties>
</file>