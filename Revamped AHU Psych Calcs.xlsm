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10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tables/table11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ush\Documents\PsychroCalc\"/>
    </mc:Choice>
  </mc:AlternateContent>
  <xr:revisionPtr revIDLastSave="0" documentId="13_ncr:1_{2A7B6B14-8893-4268-8054-81456EC8590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PUT_OUTPUTS" sheetId="64" r:id="rId1"/>
    <sheet name="Generic" sheetId="99" state="hidden" r:id="rId2"/>
    <sheet name="AHU 1" sheetId="108" r:id="rId3"/>
    <sheet name="AHU 2" sheetId="109" r:id="rId4"/>
    <sheet name="AHU 3" sheetId="110" r:id="rId5"/>
    <sheet name="AHU_Psych" sheetId="45" r:id="rId6"/>
    <sheet name="62.1_SINGLE_ZONE" sheetId="104" state="hidden" r:id="rId7"/>
    <sheet name="62.1_MULTI_ZONE" sheetId="107" state="hidden" r:id="rId8"/>
    <sheet name="ASHRAE Table" sheetId="105" r:id="rId9"/>
    <sheet name="UMC Table 4-A" sheetId="37" state="hidden" r:id="rId10"/>
    <sheet name="DO NOT TOUCH" sheetId="63" state="hidden" r:id="rId11"/>
  </sheets>
  <definedNames>
    <definedName name="_CAV1">#REF!</definedName>
    <definedName name="_CAV1." localSheetId="4">'AHU 3'!$AD$5:$AT$48</definedName>
    <definedName name="_CAV1." localSheetId="1">Generic!$AD$5:$AT$48</definedName>
    <definedName name="_CAV1.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4">'AHU 3'!$AC$7:$AO$43</definedName>
    <definedName name="AHU_1AC_AV" localSheetId="1">Generic!$AC$7:$AO$43</definedName>
    <definedName name="AHU_1AC_AV">#REF!</definedName>
    <definedName name="AHUs" localSheetId="7">Table7[TAG]</definedName>
    <definedName name="AHUs" localSheetId="3">Table7[TAG]</definedName>
    <definedName name="CAV_1A_SCHEDULE" localSheetId="4">'AHU 3'!$AD$5:$AT$48</definedName>
    <definedName name="CAV_1A_SCHEDULE" localSheetId="1">Generic!$AD$5:$AT$48</definedName>
    <definedName name="CAV_1A_SCHEDULE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7">#REF!</definedName>
    <definedName name="FCU" localSheetId="3">#REF!</definedName>
    <definedName name="FCU">#REF!</definedName>
    <definedName name="_xlnm.Print_Area" localSheetId="4">'AHU 3'!$D$4:$V$17</definedName>
    <definedName name="_xlnm.Print_Area" localSheetId="5">AHU_Psych!$A$8:$BA$16</definedName>
    <definedName name="_xlnm.Print_Area" localSheetId="1">Generic!$D$4:$V$17</definedName>
    <definedName name="_xlnm.Print_Area" localSheetId="9">'UMC Table 4-A'!$A$1:$E$132</definedName>
    <definedName name="_xlnm.Print_Titles" localSheetId="4">'AHU 3'!$3:$6</definedName>
    <definedName name="_xlnm.Print_Titles" localSheetId="1">Generic!$3:$6</definedName>
    <definedName name="_xlnm.Print_Titles" localSheetId="9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A15" i="45" l="1"/>
  <c r="G15" i="45"/>
  <c r="H15" i="45"/>
  <c r="J15" i="45"/>
  <c r="K15" i="45"/>
  <c r="L15" i="45"/>
  <c r="S15" i="45"/>
  <c r="W15" i="45"/>
  <c r="X15" i="45"/>
  <c r="AC15" i="45"/>
  <c r="AD15" i="45"/>
  <c r="AE15" i="45" s="1"/>
  <c r="AI15" i="45"/>
  <c r="AJ15" i="45"/>
  <c r="AS15" i="45"/>
  <c r="AT15" i="45"/>
  <c r="AR44" i="110"/>
  <c r="AJ44" i="110"/>
  <c r="AI44" i="110"/>
  <c r="AF44" i="110"/>
  <c r="AG44" i="110" s="1"/>
  <c r="AQ44" i="110" s="1"/>
  <c r="AR43" i="110"/>
  <c r="AJ43" i="110"/>
  <c r="AI43" i="110"/>
  <c r="AF43" i="110"/>
  <c r="AG43" i="110" s="1"/>
  <c r="AQ43" i="110" s="1"/>
  <c r="AR42" i="110"/>
  <c r="AJ42" i="110"/>
  <c r="AI42" i="110"/>
  <c r="AF42" i="110"/>
  <c r="AG42" i="110" s="1"/>
  <c r="AQ42" i="110" s="1"/>
  <c r="AR41" i="110"/>
  <c r="AJ41" i="110"/>
  <c r="AI41" i="110"/>
  <c r="AF41" i="110"/>
  <c r="AG41" i="110" s="1"/>
  <c r="AQ41" i="110" s="1"/>
  <c r="AR40" i="110"/>
  <c r="AJ40" i="110"/>
  <c r="AI40" i="110"/>
  <c r="AF40" i="110"/>
  <c r="AG40" i="110" s="1"/>
  <c r="AQ40" i="110" s="1"/>
  <c r="AR39" i="110"/>
  <c r="AJ39" i="110"/>
  <c r="AI39" i="110"/>
  <c r="AF39" i="110"/>
  <c r="AG39" i="110" s="1"/>
  <c r="AQ39" i="110" s="1"/>
  <c r="AR38" i="110"/>
  <c r="AJ38" i="110"/>
  <c r="AI38" i="110"/>
  <c r="AF38" i="110"/>
  <c r="AG38" i="110" s="1"/>
  <c r="AQ38" i="110" s="1"/>
  <c r="AR37" i="110"/>
  <c r="AJ37" i="110"/>
  <c r="AI37" i="110"/>
  <c r="AF37" i="110"/>
  <c r="AG37" i="110" s="1"/>
  <c r="AQ37" i="110" s="1"/>
  <c r="AR36" i="110"/>
  <c r="AJ36" i="110"/>
  <c r="AI36" i="110"/>
  <c r="AF36" i="110"/>
  <c r="AG36" i="110" s="1"/>
  <c r="AQ36" i="110" s="1"/>
  <c r="AR35" i="110"/>
  <c r="AJ35" i="110"/>
  <c r="AI35" i="110"/>
  <c r="AF35" i="110"/>
  <c r="AG35" i="110" s="1"/>
  <c r="AQ35" i="110" s="1"/>
  <c r="AR34" i="110"/>
  <c r="AJ34" i="110"/>
  <c r="AI34" i="110"/>
  <c r="AF34" i="110"/>
  <c r="AG34" i="110" s="1"/>
  <c r="AQ34" i="110" s="1"/>
  <c r="AR33" i="110"/>
  <c r="AJ33" i="110"/>
  <c r="AI33" i="110"/>
  <c r="AF33" i="110"/>
  <c r="AG33" i="110" s="1"/>
  <c r="AQ33" i="110" s="1"/>
  <c r="AR32" i="110"/>
  <c r="AJ32" i="110"/>
  <c r="AI32" i="110"/>
  <c r="AF32" i="110"/>
  <c r="AG32" i="110" s="1"/>
  <c r="AQ32" i="110" s="1"/>
  <c r="AR31" i="110"/>
  <c r="AJ31" i="110"/>
  <c r="AI31" i="110"/>
  <c r="AF31" i="110"/>
  <c r="AG31" i="110" s="1"/>
  <c r="AQ31" i="110" s="1"/>
  <c r="AR30" i="110"/>
  <c r="AJ30" i="110"/>
  <c r="AI30" i="110"/>
  <c r="AF30" i="110"/>
  <c r="AG30" i="110" s="1"/>
  <c r="AQ30" i="110" s="1"/>
  <c r="AR29" i="110"/>
  <c r="AJ29" i="110"/>
  <c r="AI29" i="110"/>
  <c r="AF29" i="110"/>
  <c r="AG29" i="110" s="1"/>
  <c r="AQ29" i="110" s="1"/>
  <c r="AR28" i="110"/>
  <c r="AJ28" i="110"/>
  <c r="AI28" i="110"/>
  <c r="AF28" i="110"/>
  <c r="AG28" i="110" s="1"/>
  <c r="AQ28" i="110" s="1"/>
  <c r="AR27" i="110"/>
  <c r="AJ27" i="110"/>
  <c r="AI27" i="110"/>
  <c r="AF27" i="110"/>
  <c r="AG27" i="110" s="1"/>
  <c r="AQ27" i="110" s="1"/>
  <c r="AR26" i="110"/>
  <c r="AJ26" i="110"/>
  <c r="AI26" i="110"/>
  <c r="AF26" i="110"/>
  <c r="AG26" i="110" s="1"/>
  <c r="AQ26" i="110" s="1"/>
  <c r="AR25" i="110"/>
  <c r="AJ25" i="110"/>
  <c r="AI25" i="110"/>
  <c r="AF25" i="110"/>
  <c r="AG25" i="110" s="1"/>
  <c r="AQ25" i="110" s="1"/>
  <c r="AR24" i="110"/>
  <c r="AJ24" i="110"/>
  <c r="AI24" i="110"/>
  <c r="AF24" i="110"/>
  <c r="AG24" i="110" s="1"/>
  <c r="AQ24" i="110" s="1"/>
  <c r="AR23" i="110"/>
  <c r="AJ23" i="110"/>
  <c r="AI23" i="110"/>
  <c r="AF23" i="110"/>
  <c r="AG23" i="110" s="1"/>
  <c r="AQ23" i="110" s="1"/>
  <c r="AR22" i="110"/>
  <c r="AJ22" i="110"/>
  <c r="AI22" i="110"/>
  <c r="AF22" i="110"/>
  <c r="AG22" i="110" s="1"/>
  <c r="AQ22" i="110" s="1"/>
  <c r="AR21" i="110"/>
  <c r="AJ21" i="110"/>
  <c r="AI21" i="110"/>
  <c r="AF21" i="110"/>
  <c r="AG21" i="110" s="1"/>
  <c r="AQ21" i="110" s="1"/>
  <c r="AR20" i="110"/>
  <c r="AJ20" i="110"/>
  <c r="AI20" i="110"/>
  <c r="AF20" i="110"/>
  <c r="AG20" i="110" s="1"/>
  <c r="AQ20" i="110" s="1"/>
  <c r="AR19" i="110"/>
  <c r="AJ19" i="110"/>
  <c r="AI19" i="110"/>
  <c r="AF19" i="110"/>
  <c r="AG19" i="110" s="1"/>
  <c r="AQ19" i="110" s="1"/>
  <c r="AR18" i="110"/>
  <c r="AJ18" i="110"/>
  <c r="AI18" i="110"/>
  <c r="AF18" i="110"/>
  <c r="AG18" i="110" s="1"/>
  <c r="AQ18" i="110" s="1"/>
  <c r="E18" i="110"/>
  <c r="AR17" i="110"/>
  <c r="AJ17" i="110"/>
  <c r="AI17" i="110"/>
  <c r="AG17" i="110"/>
  <c r="AQ17" i="110" s="1"/>
  <c r="AF17" i="110"/>
  <c r="U17" i="110"/>
  <c r="Q17" i="110"/>
  <c r="P17" i="110"/>
  <c r="O17" i="110"/>
  <c r="N17" i="110"/>
  <c r="R17" i="110" s="1"/>
  <c r="L17" i="110"/>
  <c r="K17" i="110"/>
  <c r="H17" i="110"/>
  <c r="I17" i="110" s="1"/>
  <c r="G17" i="110"/>
  <c r="AR16" i="110"/>
  <c r="AJ16" i="110"/>
  <c r="AI16" i="110"/>
  <c r="AG16" i="110"/>
  <c r="AQ16" i="110" s="1"/>
  <c r="AF16" i="110"/>
  <c r="Q16" i="110"/>
  <c r="U16" i="110" s="1"/>
  <c r="P16" i="110"/>
  <c r="O16" i="110"/>
  <c r="N16" i="110"/>
  <c r="T16" i="110" s="1"/>
  <c r="L16" i="110"/>
  <c r="K16" i="110"/>
  <c r="R16" i="110" s="1"/>
  <c r="H16" i="110"/>
  <c r="I16" i="110" s="1"/>
  <c r="G16" i="110"/>
  <c r="AR15" i="110"/>
  <c r="AQ15" i="110"/>
  <c r="AJ15" i="110"/>
  <c r="AI15" i="110"/>
  <c r="AG15" i="110"/>
  <c r="AF15" i="110"/>
  <c r="Q15" i="110"/>
  <c r="U15" i="110" s="1"/>
  <c r="O15" i="110"/>
  <c r="P15" i="110" s="1"/>
  <c r="N15" i="110"/>
  <c r="L15" i="110"/>
  <c r="K15" i="110"/>
  <c r="H15" i="110"/>
  <c r="I15" i="110" s="1"/>
  <c r="G15" i="110"/>
  <c r="AR14" i="110"/>
  <c r="AJ14" i="110"/>
  <c r="AI14" i="110"/>
  <c r="AG14" i="110"/>
  <c r="AQ14" i="110" s="1"/>
  <c r="AF14" i="110"/>
  <c r="U14" i="110"/>
  <c r="Q14" i="110"/>
  <c r="P14" i="110"/>
  <c r="O14" i="110"/>
  <c r="N14" i="110"/>
  <c r="R14" i="110" s="1"/>
  <c r="L14" i="110"/>
  <c r="K14" i="110"/>
  <c r="H14" i="110"/>
  <c r="I14" i="110" s="1"/>
  <c r="G14" i="110"/>
  <c r="AR13" i="110"/>
  <c r="AJ13" i="110"/>
  <c r="AI13" i="110"/>
  <c r="AG13" i="110"/>
  <c r="AQ13" i="110" s="1"/>
  <c r="AF13" i="110"/>
  <c r="Q13" i="110"/>
  <c r="U13" i="110" s="1"/>
  <c r="P13" i="110"/>
  <c r="O13" i="110"/>
  <c r="N13" i="110"/>
  <c r="L13" i="110"/>
  <c r="K13" i="110"/>
  <c r="R13" i="110" s="1"/>
  <c r="H13" i="110"/>
  <c r="I13" i="110" s="1"/>
  <c r="G13" i="110"/>
  <c r="AR12" i="110"/>
  <c r="AQ12" i="110"/>
  <c r="AJ12" i="110"/>
  <c r="AI12" i="110"/>
  <c r="AG12" i="110"/>
  <c r="AF12" i="110"/>
  <c r="Q12" i="110"/>
  <c r="U12" i="110" s="1"/>
  <c r="O12" i="110"/>
  <c r="P12" i="110" s="1"/>
  <c r="N12" i="110"/>
  <c r="L12" i="110"/>
  <c r="K12" i="110"/>
  <c r="H12" i="110"/>
  <c r="I12" i="110" s="1"/>
  <c r="G12" i="110"/>
  <c r="AR11" i="110"/>
  <c r="AJ11" i="110"/>
  <c r="AI11" i="110"/>
  <c r="AG11" i="110"/>
  <c r="AQ11" i="110" s="1"/>
  <c r="AF11" i="110"/>
  <c r="U11" i="110"/>
  <c r="Q11" i="110"/>
  <c r="P11" i="110"/>
  <c r="O11" i="110"/>
  <c r="N11" i="110"/>
  <c r="R11" i="110" s="1"/>
  <c r="L11" i="110"/>
  <c r="K11" i="110"/>
  <c r="H11" i="110"/>
  <c r="I11" i="110" s="1"/>
  <c r="G11" i="110"/>
  <c r="AR10" i="110"/>
  <c r="AJ10" i="110"/>
  <c r="AI10" i="110"/>
  <c r="AG10" i="110"/>
  <c r="AQ10" i="110" s="1"/>
  <c r="AF10" i="110"/>
  <c r="Q10" i="110"/>
  <c r="U10" i="110" s="1"/>
  <c r="P10" i="110"/>
  <c r="O10" i="110"/>
  <c r="N10" i="110"/>
  <c r="L10" i="110"/>
  <c r="K10" i="110"/>
  <c r="R10" i="110" s="1"/>
  <c r="H10" i="110"/>
  <c r="I10" i="110" s="1"/>
  <c r="G10" i="110"/>
  <c r="AR9" i="110"/>
  <c r="AQ9" i="110"/>
  <c r="AP9" i="110"/>
  <c r="AP10" i="110" s="1"/>
  <c r="AP11" i="110" s="1"/>
  <c r="AP12" i="110" s="1"/>
  <c r="AP13" i="110" s="1"/>
  <c r="AP14" i="110" s="1"/>
  <c r="AP15" i="110" s="1"/>
  <c r="AP16" i="110" s="1"/>
  <c r="AP17" i="110" s="1"/>
  <c r="AP18" i="110" s="1"/>
  <c r="AP19" i="110" s="1"/>
  <c r="AP20" i="110" s="1"/>
  <c r="AP21" i="110" s="1"/>
  <c r="AP22" i="110" s="1"/>
  <c r="AP23" i="110" s="1"/>
  <c r="AP24" i="110" s="1"/>
  <c r="AP25" i="110" s="1"/>
  <c r="AP26" i="110" s="1"/>
  <c r="AP27" i="110" s="1"/>
  <c r="AP28" i="110" s="1"/>
  <c r="AP29" i="110" s="1"/>
  <c r="AP30" i="110" s="1"/>
  <c r="AP31" i="110" s="1"/>
  <c r="AP32" i="110" s="1"/>
  <c r="AP33" i="110" s="1"/>
  <c r="AP34" i="110" s="1"/>
  <c r="AP35" i="110" s="1"/>
  <c r="AP36" i="110" s="1"/>
  <c r="AP37" i="110" s="1"/>
  <c r="AP38" i="110" s="1"/>
  <c r="AP39" i="110" s="1"/>
  <c r="AP40" i="110" s="1"/>
  <c r="AP41" i="110" s="1"/>
  <c r="AP42" i="110" s="1"/>
  <c r="AP43" i="110" s="1"/>
  <c r="AP44" i="110" s="1"/>
  <c r="AM9" i="110"/>
  <c r="AL9" i="110"/>
  <c r="AL10" i="110" s="1"/>
  <c r="AK9" i="110"/>
  <c r="AK10" i="110" s="1"/>
  <c r="AK11" i="110" s="1"/>
  <c r="AK12" i="110" s="1"/>
  <c r="AK13" i="110" s="1"/>
  <c r="AK14" i="110" s="1"/>
  <c r="AK15" i="110" s="1"/>
  <c r="AK16" i="110" s="1"/>
  <c r="AK17" i="110" s="1"/>
  <c r="AK18" i="110" s="1"/>
  <c r="AK19" i="110" s="1"/>
  <c r="AK20" i="110" s="1"/>
  <c r="AK21" i="110" s="1"/>
  <c r="AK22" i="110" s="1"/>
  <c r="AK23" i="110" s="1"/>
  <c r="AK24" i="110" s="1"/>
  <c r="AK25" i="110" s="1"/>
  <c r="AK26" i="110" s="1"/>
  <c r="AK27" i="110" s="1"/>
  <c r="AK28" i="110" s="1"/>
  <c r="AK29" i="110" s="1"/>
  <c r="AK30" i="110" s="1"/>
  <c r="AK31" i="110" s="1"/>
  <c r="AK32" i="110" s="1"/>
  <c r="AK33" i="110" s="1"/>
  <c r="AK34" i="110" s="1"/>
  <c r="AK35" i="110" s="1"/>
  <c r="AK36" i="110" s="1"/>
  <c r="AK37" i="110" s="1"/>
  <c r="AK38" i="110" s="1"/>
  <c r="AK39" i="110" s="1"/>
  <c r="AK40" i="110" s="1"/>
  <c r="AK41" i="110" s="1"/>
  <c r="AK42" i="110" s="1"/>
  <c r="AK43" i="110" s="1"/>
  <c r="AK44" i="110" s="1"/>
  <c r="AJ9" i="110"/>
  <c r="AI9" i="110"/>
  <c r="AG9" i="110"/>
  <c r="AF9" i="110"/>
  <c r="T9" i="110"/>
  <c r="Q9" i="110"/>
  <c r="O9" i="110"/>
  <c r="P9" i="110" s="1"/>
  <c r="N9" i="110"/>
  <c r="L9" i="110"/>
  <c r="K9" i="110"/>
  <c r="H9" i="110"/>
  <c r="I9" i="110" s="1"/>
  <c r="G9" i="110"/>
  <c r="AS8" i="110"/>
  <c r="AS9" i="110" s="1"/>
  <c r="AS10" i="110" s="1"/>
  <c r="AS11" i="110" s="1"/>
  <c r="AS12" i="110" s="1"/>
  <c r="AS13" i="110" s="1"/>
  <c r="AS14" i="110" s="1"/>
  <c r="AS15" i="110" s="1"/>
  <c r="AS16" i="110" s="1"/>
  <c r="AS17" i="110" s="1"/>
  <c r="AS18" i="110" s="1"/>
  <c r="AS19" i="110" s="1"/>
  <c r="AS20" i="110" s="1"/>
  <c r="AS21" i="110" s="1"/>
  <c r="AS22" i="110" s="1"/>
  <c r="AS23" i="110" s="1"/>
  <c r="AS24" i="110" s="1"/>
  <c r="AS25" i="110" s="1"/>
  <c r="AS26" i="110" s="1"/>
  <c r="AS27" i="110" s="1"/>
  <c r="AS28" i="110" s="1"/>
  <c r="AS29" i="110" s="1"/>
  <c r="AS30" i="110" s="1"/>
  <c r="AS31" i="110" s="1"/>
  <c r="AS32" i="110" s="1"/>
  <c r="AS33" i="110" s="1"/>
  <c r="AS34" i="110" s="1"/>
  <c r="AS35" i="110" s="1"/>
  <c r="AS36" i="110" s="1"/>
  <c r="AS37" i="110" s="1"/>
  <c r="AS38" i="110" s="1"/>
  <c r="AS39" i="110" s="1"/>
  <c r="AS40" i="110" s="1"/>
  <c r="AS41" i="110" s="1"/>
  <c r="AS42" i="110" s="1"/>
  <c r="AS43" i="110" s="1"/>
  <c r="AS44" i="110" s="1"/>
  <c r="AR8" i="110"/>
  <c r="AP8" i="110"/>
  <c r="AM8" i="110"/>
  <c r="AL8" i="110"/>
  <c r="AK8" i="110"/>
  <c r="AJ8" i="110"/>
  <c r="AI8" i="110"/>
  <c r="AH8" i="110"/>
  <c r="AH9" i="110" s="1"/>
  <c r="AH10" i="110" s="1"/>
  <c r="AH11" i="110" s="1"/>
  <c r="AH12" i="110" s="1"/>
  <c r="AH13" i="110" s="1"/>
  <c r="AH14" i="110" s="1"/>
  <c r="AH15" i="110" s="1"/>
  <c r="AH16" i="110" s="1"/>
  <c r="AH17" i="110" s="1"/>
  <c r="AH18" i="110" s="1"/>
  <c r="AH19" i="110" s="1"/>
  <c r="AH20" i="110" s="1"/>
  <c r="AH21" i="110" s="1"/>
  <c r="AH22" i="110" s="1"/>
  <c r="AH23" i="110" s="1"/>
  <c r="AH24" i="110" s="1"/>
  <c r="AH25" i="110" s="1"/>
  <c r="AH26" i="110" s="1"/>
  <c r="AH27" i="110" s="1"/>
  <c r="AH28" i="110" s="1"/>
  <c r="AH29" i="110" s="1"/>
  <c r="AH30" i="110" s="1"/>
  <c r="AH31" i="110" s="1"/>
  <c r="AH32" i="110" s="1"/>
  <c r="AH33" i="110" s="1"/>
  <c r="AH34" i="110" s="1"/>
  <c r="AH35" i="110" s="1"/>
  <c r="AH36" i="110" s="1"/>
  <c r="AH37" i="110" s="1"/>
  <c r="AH38" i="110" s="1"/>
  <c r="AH39" i="110" s="1"/>
  <c r="AH40" i="110" s="1"/>
  <c r="AH41" i="110" s="1"/>
  <c r="AH42" i="110" s="1"/>
  <c r="AH43" i="110" s="1"/>
  <c r="AH44" i="110" s="1"/>
  <c r="AG8" i="110"/>
  <c r="AQ8" i="110" s="1"/>
  <c r="AF8" i="110"/>
  <c r="U8" i="110"/>
  <c r="Q8" i="110"/>
  <c r="P8" i="110"/>
  <c r="O8" i="110"/>
  <c r="N8" i="110"/>
  <c r="R8" i="110" s="1"/>
  <c r="L8" i="110"/>
  <c r="K8" i="110"/>
  <c r="H8" i="110"/>
  <c r="I8" i="110" s="1"/>
  <c r="G8" i="110"/>
  <c r="AR7" i="110"/>
  <c r="AM7" i="110"/>
  <c r="AJ7" i="110"/>
  <c r="AI7" i="110"/>
  <c r="AG7" i="110"/>
  <c r="AQ7" i="110" s="1"/>
  <c r="AF7" i="110"/>
  <c r="Q7" i="110"/>
  <c r="U7" i="110" s="1"/>
  <c r="O7" i="110"/>
  <c r="P7" i="110" s="1"/>
  <c r="N7" i="110"/>
  <c r="L7" i="110"/>
  <c r="I7" i="110"/>
  <c r="H7" i="110"/>
  <c r="G7" i="110"/>
  <c r="K7" i="110" s="1"/>
  <c r="AY3" i="109"/>
  <c r="AY4" i="109"/>
  <c r="AY5" i="109"/>
  <c r="AY6" i="109"/>
  <c r="AY7" i="109"/>
  <c r="AY8" i="109"/>
  <c r="G14" i="45"/>
  <c r="H14" i="45"/>
  <c r="J14" i="45"/>
  <c r="K14" i="45"/>
  <c r="L14" i="45"/>
  <c r="S14" i="45"/>
  <c r="W14" i="45"/>
  <c r="X14" i="45"/>
  <c r="AC14" i="45"/>
  <c r="AD14" i="45"/>
  <c r="AE14" i="45" s="1"/>
  <c r="AI14" i="45"/>
  <c r="AJ14" i="45"/>
  <c r="AS14" i="45"/>
  <c r="AT14" i="45"/>
  <c r="BD40" i="109"/>
  <c r="AV40" i="109"/>
  <c r="AU40" i="109"/>
  <c r="AQ40" i="109"/>
  <c r="AR40" i="109" s="1"/>
  <c r="BC40" i="109" s="1"/>
  <c r="AP40" i="109"/>
  <c r="AT40" i="109" s="1"/>
  <c r="BD39" i="109"/>
  <c r="AV39" i="109"/>
  <c r="AU39" i="109"/>
  <c r="AQ39" i="109"/>
  <c r="AR39" i="109" s="1"/>
  <c r="BC39" i="109" s="1"/>
  <c r="AP39" i="109"/>
  <c r="AT39" i="109" s="1"/>
  <c r="BD38" i="109"/>
  <c r="AV38" i="109"/>
  <c r="AU38" i="109"/>
  <c r="AQ38" i="109"/>
  <c r="AR38" i="109" s="1"/>
  <c r="BC38" i="109" s="1"/>
  <c r="AP38" i="109"/>
  <c r="AT38" i="109" s="1"/>
  <c r="BD37" i="109"/>
  <c r="AV37" i="109"/>
  <c r="AU37" i="109"/>
  <c r="AQ37" i="109"/>
  <c r="AR37" i="109" s="1"/>
  <c r="BC37" i="109" s="1"/>
  <c r="AP37" i="109"/>
  <c r="AT37" i="109" s="1"/>
  <c r="BD36" i="109"/>
  <c r="AV36" i="109"/>
  <c r="AU36" i="109"/>
  <c r="AQ36" i="109"/>
  <c r="AR36" i="109" s="1"/>
  <c r="BC36" i="109" s="1"/>
  <c r="AP36" i="109"/>
  <c r="AT36" i="109" s="1"/>
  <c r="BD35" i="109"/>
  <c r="AV35" i="109"/>
  <c r="AU35" i="109"/>
  <c r="AQ35" i="109"/>
  <c r="AR35" i="109" s="1"/>
  <c r="BC35" i="109" s="1"/>
  <c r="AP35" i="109"/>
  <c r="AT35" i="109" s="1"/>
  <c r="BD34" i="109"/>
  <c r="AV34" i="109"/>
  <c r="AU34" i="109"/>
  <c r="AQ34" i="109"/>
  <c r="AR34" i="109" s="1"/>
  <c r="BC34" i="109" s="1"/>
  <c r="AP34" i="109"/>
  <c r="AT34" i="109" s="1"/>
  <c r="BD33" i="109"/>
  <c r="AV33" i="109"/>
  <c r="AU33" i="109"/>
  <c r="AQ33" i="109"/>
  <c r="AR33" i="109" s="1"/>
  <c r="BC33" i="109" s="1"/>
  <c r="AP33" i="109"/>
  <c r="AT33" i="109" s="1"/>
  <c r="BD32" i="109"/>
  <c r="AV32" i="109"/>
  <c r="AU32" i="109"/>
  <c r="AQ32" i="109"/>
  <c r="AR32" i="109" s="1"/>
  <c r="BC32" i="109" s="1"/>
  <c r="AP32" i="109"/>
  <c r="AT32" i="109" s="1"/>
  <c r="BD31" i="109"/>
  <c r="AV31" i="109"/>
  <c r="AU31" i="109"/>
  <c r="AQ31" i="109"/>
  <c r="AR31" i="109" s="1"/>
  <c r="BC31" i="109" s="1"/>
  <c r="AP31" i="109"/>
  <c r="AT31" i="109" s="1"/>
  <c r="BD30" i="109"/>
  <c r="AV30" i="109"/>
  <c r="AU30" i="109"/>
  <c r="AQ30" i="109"/>
  <c r="AR30" i="109" s="1"/>
  <c r="BC30" i="109" s="1"/>
  <c r="AP30" i="109"/>
  <c r="AT30" i="109" s="1"/>
  <c r="BD29" i="109"/>
  <c r="AV29" i="109"/>
  <c r="AU29" i="109"/>
  <c r="AQ29" i="109"/>
  <c r="AR29" i="109" s="1"/>
  <c r="BC29" i="109" s="1"/>
  <c r="AP29" i="109"/>
  <c r="AT29" i="109" s="1"/>
  <c r="BD28" i="109"/>
  <c r="AV28" i="109"/>
  <c r="AU28" i="109"/>
  <c r="AQ28" i="109"/>
  <c r="AR28" i="109" s="1"/>
  <c r="BC28" i="109" s="1"/>
  <c r="AP28" i="109"/>
  <c r="AT28" i="109" s="1"/>
  <c r="BD27" i="109"/>
  <c r="AV27" i="109"/>
  <c r="AU27" i="109"/>
  <c r="AQ27" i="109"/>
  <c r="AR27" i="109" s="1"/>
  <c r="BC27" i="109" s="1"/>
  <c r="AP27" i="109"/>
  <c r="AT27" i="109" s="1"/>
  <c r="BD26" i="109"/>
  <c r="AV26" i="109"/>
  <c r="AU26" i="109"/>
  <c r="AQ26" i="109"/>
  <c r="AR26" i="109" s="1"/>
  <c r="BC26" i="109" s="1"/>
  <c r="AP26" i="109"/>
  <c r="AT26" i="109" s="1"/>
  <c r="BD25" i="109"/>
  <c r="AV25" i="109"/>
  <c r="AU25" i="109"/>
  <c r="AQ25" i="109"/>
  <c r="AR25" i="109" s="1"/>
  <c r="BC25" i="109" s="1"/>
  <c r="AP25" i="109"/>
  <c r="AT25" i="109" s="1"/>
  <c r="BD24" i="109"/>
  <c r="AV24" i="109"/>
  <c r="AU24" i="109"/>
  <c r="AQ24" i="109"/>
  <c r="AR24" i="109" s="1"/>
  <c r="BC24" i="109" s="1"/>
  <c r="AP24" i="109"/>
  <c r="AT24" i="109" s="1"/>
  <c r="BD23" i="109"/>
  <c r="AV23" i="109"/>
  <c r="AU23" i="109"/>
  <c r="AQ23" i="109"/>
  <c r="AR23" i="109" s="1"/>
  <c r="BC23" i="109" s="1"/>
  <c r="AP23" i="109"/>
  <c r="AT23" i="109" s="1"/>
  <c r="BD22" i="109"/>
  <c r="AV22" i="109"/>
  <c r="AU22" i="109"/>
  <c r="AQ22" i="109"/>
  <c r="AR22" i="109" s="1"/>
  <c r="BC22" i="109" s="1"/>
  <c r="AP22" i="109"/>
  <c r="AT22" i="109" s="1"/>
  <c r="BD21" i="109"/>
  <c r="AV21" i="109"/>
  <c r="AU21" i="109"/>
  <c r="AQ21" i="109"/>
  <c r="AR21" i="109" s="1"/>
  <c r="BC21" i="109" s="1"/>
  <c r="AP21" i="109"/>
  <c r="AT21" i="109" s="1"/>
  <c r="BD20" i="109"/>
  <c r="AV20" i="109"/>
  <c r="AU20" i="109"/>
  <c r="AQ20" i="109"/>
  <c r="AR20" i="109" s="1"/>
  <c r="BC20" i="109" s="1"/>
  <c r="AP20" i="109"/>
  <c r="AT20" i="109" s="1"/>
  <c r="BD19" i="109"/>
  <c r="AV19" i="109"/>
  <c r="AU19" i="109"/>
  <c r="AQ19" i="109"/>
  <c r="AR19" i="109" s="1"/>
  <c r="BC19" i="109" s="1"/>
  <c r="AP19" i="109"/>
  <c r="AT19" i="109" s="1"/>
  <c r="BD18" i="109"/>
  <c r="AV18" i="109"/>
  <c r="AU18" i="109"/>
  <c r="AQ18" i="109"/>
  <c r="AR18" i="109" s="1"/>
  <c r="BC18" i="109" s="1"/>
  <c r="AP18" i="109"/>
  <c r="AT18" i="109" s="1"/>
  <c r="BD17" i="109"/>
  <c r="AV17" i="109"/>
  <c r="AU17" i="109"/>
  <c r="AQ17" i="109"/>
  <c r="AR17" i="109" s="1"/>
  <c r="BC17" i="109" s="1"/>
  <c r="AP17" i="109"/>
  <c r="AT17" i="109" s="1"/>
  <c r="BD16" i="109"/>
  <c r="AV16" i="109"/>
  <c r="AU16" i="109"/>
  <c r="AQ16" i="109"/>
  <c r="AR16" i="109" s="1"/>
  <c r="BC16" i="109" s="1"/>
  <c r="AP16" i="109"/>
  <c r="AT16" i="109" s="1"/>
  <c r="BD15" i="109"/>
  <c r="AV15" i="109"/>
  <c r="AU15" i="109"/>
  <c r="AQ15" i="109"/>
  <c r="AR15" i="109" s="1"/>
  <c r="BC15" i="109" s="1"/>
  <c r="AP15" i="109"/>
  <c r="AT15" i="109" s="1"/>
  <c r="BD14" i="109"/>
  <c r="AV14" i="109"/>
  <c r="AU14" i="109"/>
  <c r="AQ14" i="109"/>
  <c r="AR14" i="109" s="1"/>
  <c r="BC14" i="109" s="1"/>
  <c r="AP14" i="109"/>
  <c r="AT14" i="109" s="1"/>
  <c r="BD13" i="109"/>
  <c r="AV13" i="109"/>
  <c r="AU13" i="109"/>
  <c r="AQ13" i="109"/>
  <c r="AR13" i="109" s="1"/>
  <c r="BC13" i="109" s="1"/>
  <c r="AP13" i="109"/>
  <c r="AT13" i="109" s="1"/>
  <c r="BD12" i="109"/>
  <c r="AV12" i="109"/>
  <c r="AU12" i="109"/>
  <c r="AQ12" i="109"/>
  <c r="AR12" i="109" s="1"/>
  <c r="BC12" i="109" s="1"/>
  <c r="AP12" i="109"/>
  <c r="AT12" i="109" s="1"/>
  <c r="BD11" i="109"/>
  <c r="AV11" i="109"/>
  <c r="AU11" i="109"/>
  <c r="AQ11" i="109"/>
  <c r="AR11" i="109" s="1"/>
  <c r="BC11" i="109" s="1"/>
  <c r="AP11" i="109"/>
  <c r="AT11" i="109" s="1"/>
  <c r="BD10" i="109"/>
  <c r="AV10" i="109"/>
  <c r="AU10" i="109"/>
  <c r="AQ10" i="109"/>
  <c r="AR10" i="109" s="1"/>
  <c r="BC10" i="109" s="1"/>
  <c r="AP10" i="109"/>
  <c r="AT10" i="109" s="1"/>
  <c r="BD9" i="109"/>
  <c r="AV9" i="109"/>
  <c r="AU9" i="109"/>
  <c r="AQ9" i="109"/>
  <c r="AR9" i="109" s="1"/>
  <c r="BC9" i="109" s="1"/>
  <c r="AP9" i="109"/>
  <c r="AT9" i="109" s="1"/>
  <c r="BD8" i="109"/>
  <c r="AV8" i="109"/>
  <c r="AU8" i="109"/>
  <c r="AQ8" i="109"/>
  <c r="AR8" i="109" s="1"/>
  <c r="BC8" i="109" s="1"/>
  <c r="AP8" i="109"/>
  <c r="AT8" i="109" s="1"/>
  <c r="BD7" i="109"/>
  <c r="AV7" i="109"/>
  <c r="AU7" i="109"/>
  <c r="AQ7" i="109"/>
  <c r="AR7" i="109" s="1"/>
  <c r="BC7" i="109" s="1"/>
  <c r="AP7" i="109"/>
  <c r="AT7" i="109" s="1"/>
  <c r="BD6" i="109"/>
  <c r="AV6" i="109"/>
  <c r="AU6" i="109"/>
  <c r="AQ6" i="109"/>
  <c r="AR6" i="109" s="1"/>
  <c r="BC6" i="109" s="1"/>
  <c r="AP6" i="109"/>
  <c r="AT6" i="109" s="1"/>
  <c r="O6" i="109"/>
  <c r="G6" i="109"/>
  <c r="D6" i="109"/>
  <c r="C6" i="109"/>
  <c r="BD5" i="109"/>
  <c r="AV5" i="109"/>
  <c r="AU5" i="109"/>
  <c r="AC5" i="109"/>
  <c r="AB5" i="109"/>
  <c r="AD5" i="109" s="1"/>
  <c r="Z5" i="109" a="1"/>
  <c r="Z5" i="109" s="1"/>
  <c r="AA5" i="109" s="1"/>
  <c r="N5" i="109" a="1"/>
  <c r="N5" i="109" s="1"/>
  <c r="M5" i="109" a="1"/>
  <c r="M5" i="109" s="1"/>
  <c r="L5" i="109" a="1"/>
  <c r="L5" i="109" s="1"/>
  <c r="K5" i="109" a="1"/>
  <c r="K5" i="109" s="1"/>
  <c r="F5" i="109"/>
  <c r="BE4" i="109"/>
  <c r="BE5" i="109" s="1"/>
  <c r="BE6" i="109" s="1"/>
  <c r="BE7" i="109" s="1"/>
  <c r="BE8" i="109" s="1"/>
  <c r="BE9" i="109" s="1"/>
  <c r="BE10" i="109" s="1"/>
  <c r="BE11" i="109" s="1"/>
  <c r="BE12" i="109" s="1"/>
  <c r="BE13" i="109" s="1"/>
  <c r="BE14" i="109" s="1"/>
  <c r="BE15" i="109" s="1"/>
  <c r="BE16" i="109" s="1"/>
  <c r="BE17" i="109" s="1"/>
  <c r="BE18" i="109" s="1"/>
  <c r="BE19" i="109" s="1"/>
  <c r="BE20" i="109" s="1"/>
  <c r="BE21" i="109" s="1"/>
  <c r="BE22" i="109" s="1"/>
  <c r="BE23" i="109" s="1"/>
  <c r="BE24" i="109" s="1"/>
  <c r="BE25" i="109" s="1"/>
  <c r="BE26" i="109" s="1"/>
  <c r="BE27" i="109" s="1"/>
  <c r="BE28" i="109" s="1"/>
  <c r="BE29" i="109" s="1"/>
  <c r="BE30" i="109" s="1"/>
  <c r="BE31" i="109" s="1"/>
  <c r="BE32" i="109" s="1"/>
  <c r="BE33" i="109" s="1"/>
  <c r="BE34" i="109" s="1"/>
  <c r="BE35" i="109" s="1"/>
  <c r="BE36" i="109" s="1"/>
  <c r="BE37" i="109" s="1"/>
  <c r="BE38" i="109" s="1"/>
  <c r="BE39" i="109" s="1"/>
  <c r="BE40" i="109" s="1"/>
  <c r="BD4" i="109"/>
  <c r="BB4" i="109"/>
  <c r="BB5" i="109" s="1"/>
  <c r="BB6" i="109" s="1"/>
  <c r="BB7" i="109" s="1"/>
  <c r="BB8" i="109" s="1"/>
  <c r="BB9" i="109" s="1"/>
  <c r="BB10" i="109" s="1"/>
  <c r="BB11" i="109" s="1"/>
  <c r="BB12" i="109" s="1"/>
  <c r="BB13" i="109" s="1"/>
  <c r="BB14" i="109" s="1"/>
  <c r="BB15" i="109" s="1"/>
  <c r="BB16" i="109" s="1"/>
  <c r="BB17" i="109" s="1"/>
  <c r="BB18" i="109" s="1"/>
  <c r="BB19" i="109" s="1"/>
  <c r="BB20" i="109" s="1"/>
  <c r="BB21" i="109" s="1"/>
  <c r="BB22" i="109" s="1"/>
  <c r="BB23" i="109" s="1"/>
  <c r="BB24" i="109" s="1"/>
  <c r="BB25" i="109" s="1"/>
  <c r="BB26" i="109" s="1"/>
  <c r="BB27" i="109" s="1"/>
  <c r="BB28" i="109" s="1"/>
  <c r="BB29" i="109" s="1"/>
  <c r="BB30" i="109" s="1"/>
  <c r="BB31" i="109" s="1"/>
  <c r="BB32" i="109" s="1"/>
  <c r="BB33" i="109" s="1"/>
  <c r="BB34" i="109" s="1"/>
  <c r="BB35" i="109" s="1"/>
  <c r="BB36" i="109" s="1"/>
  <c r="BB37" i="109" s="1"/>
  <c r="BB38" i="109" s="1"/>
  <c r="BB39" i="109" s="1"/>
  <c r="BB40" i="109" s="1"/>
  <c r="AX4" i="109"/>
  <c r="AX5" i="109" s="1"/>
  <c r="AW4" i="109"/>
  <c r="AW5" i="109" s="1"/>
  <c r="AW6" i="109" s="1"/>
  <c r="AW7" i="109" s="1"/>
  <c r="AW8" i="109" s="1"/>
  <c r="AW9" i="109" s="1"/>
  <c r="AW10" i="109" s="1"/>
  <c r="AW11" i="109" s="1"/>
  <c r="AW12" i="109" s="1"/>
  <c r="AW13" i="109" s="1"/>
  <c r="AW14" i="109" s="1"/>
  <c r="AW15" i="109" s="1"/>
  <c r="AW16" i="109" s="1"/>
  <c r="AW17" i="109" s="1"/>
  <c r="AW18" i="109" s="1"/>
  <c r="AW19" i="109" s="1"/>
  <c r="AW20" i="109" s="1"/>
  <c r="AW21" i="109" s="1"/>
  <c r="AW22" i="109" s="1"/>
  <c r="AW23" i="109" s="1"/>
  <c r="AW24" i="109" s="1"/>
  <c r="AW25" i="109" s="1"/>
  <c r="AW26" i="109" s="1"/>
  <c r="AW27" i="109" s="1"/>
  <c r="AW28" i="109" s="1"/>
  <c r="AW29" i="109" s="1"/>
  <c r="AW30" i="109" s="1"/>
  <c r="AW31" i="109" s="1"/>
  <c r="AW32" i="109" s="1"/>
  <c r="AW33" i="109" s="1"/>
  <c r="AW34" i="109" s="1"/>
  <c r="AW35" i="109" s="1"/>
  <c r="AW36" i="109" s="1"/>
  <c r="AW37" i="109" s="1"/>
  <c r="AW38" i="109" s="1"/>
  <c r="AW39" i="109" s="1"/>
  <c r="AW40" i="109" s="1"/>
  <c r="AY40" i="109" s="1"/>
  <c r="AV4" i="109"/>
  <c r="AU4" i="109"/>
  <c r="AS4" i="109"/>
  <c r="AS5" i="109" s="1"/>
  <c r="AS6" i="109" s="1"/>
  <c r="AS7" i="109" s="1"/>
  <c r="AS8" i="109" s="1"/>
  <c r="AS9" i="109" s="1"/>
  <c r="AS10" i="109" s="1"/>
  <c r="AS11" i="109" s="1"/>
  <c r="AS12" i="109" s="1"/>
  <c r="AS13" i="109" s="1"/>
  <c r="AS14" i="109" s="1"/>
  <c r="AS15" i="109" s="1"/>
  <c r="AS16" i="109" s="1"/>
  <c r="AS17" i="109" s="1"/>
  <c r="AS18" i="109" s="1"/>
  <c r="AS19" i="109" s="1"/>
  <c r="AS20" i="109" s="1"/>
  <c r="AS21" i="109" s="1"/>
  <c r="AS22" i="109" s="1"/>
  <c r="AS23" i="109" s="1"/>
  <c r="AS24" i="109" s="1"/>
  <c r="AS25" i="109" s="1"/>
  <c r="AS26" i="109" s="1"/>
  <c r="AS27" i="109" s="1"/>
  <c r="AS28" i="109" s="1"/>
  <c r="AS29" i="109" s="1"/>
  <c r="AS30" i="109" s="1"/>
  <c r="AS31" i="109" s="1"/>
  <c r="AS32" i="109" s="1"/>
  <c r="AS33" i="109" s="1"/>
  <c r="AS34" i="109" s="1"/>
  <c r="AS35" i="109" s="1"/>
  <c r="AS36" i="109" s="1"/>
  <c r="AS37" i="109" s="1"/>
  <c r="AS38" i="109" s="1"/>
  <c r="AS39" i="109" s="1"/>
  <c r="AS40" i="109" s="1"/>
  <c r="AQ4" i="109"/>
  <c r="AR4" i="109" s="1"/>
  <c r="BC4" i="109" s="1"/>
  <c r="AP4" i="109"/>
  <c r="AT4" i="109" s="1"/>
  <c r="AC4" i="109"/>
  <c r="AB4" i="109"/>
  <c r="AD4" i="109" s="1"/>
  <c r="AH4" i="109" s="1"/>
  <c r="Z4" i="109" a="1"/>
  <c r="Z4" i="109" s="1"/>
  <c r="N4" i="109" a="1"/>
  <c r="N4" i="109" s="1"/>
  <c r="M4" i="109" a="1"/>
  <c r="M4" i="109" s="1"/>
  <c r="L4" i="109" a="1"/>
  <c r="L4" i="109" s="1"/>
  <c r="K4" i="109" a="1"/>
  <c r="K4" i="109" s="1"/>
  <c r="F4" i="109"/>
  <c r="BD3" i="109"/>
  <c r="AV3" i="109"/>
  <c r="AU3" i="109"/>
  <c r="AC3" i="109"/>
  <c r="AB3" i="109"/>
  <c r="Z3" i="109" a="1"/>
  <c r="Z3" i="109" s="1"/>
  <c r="N3" i="109" a="1"/>
  <c r="N3" i="109" s="1"/>
  <c r="M3" i="109" a="1"/>
  <c r="M3" i="109" s="1"/>
  <c r="L3" i="109" a="1"/>
  <c r="L3" i="109" s="1"/>
  <c r="K3" i="109" a="1"/>
  <c r="K3" i="109" s="1"/>
  <c r="F3" i="109"/>
  <c r="G13" i="45"/>
  <c r="H13" i="45"/>
  <c r="J13" i="45"/>
  <c r="K13" i="45"/>
  <c r="L13" i="45"/>
  <c r="S13" i="45"/>
  <c r="W13" i="45"/>
  <c r="X13" i="45"/>
  <c r="AD13" i="45"/>
  <c r="AE13" i="45" s="1"/>
  <c r="AI13" i="45"/>
  <c r="AJ13" i="45"/>
  <c r="AS13" i="45"/>
  <c r="AT13" i="45"/>
  <c r="G4" i="108"/>
  <c r="D4" i="108"/>
  <c r="C4" i="108"/>
  <c r="U3" i="108"/>
  <c r="V3" i="108" s="1"/>
  <c r="T3" i="108"/>
  <c r="N3" i="108" a="1"/>
  <c r="N3" i="108" s="1"/>
  <c r="M3" i="108" a="1"/>
  <c r="M3" i="108" s="1"/>
  <c r="O3" i="108" s="1"/>
  <c r="O4" i="108" s="1"/>
  <c r="L3" i="108" a="1"/>
  <c r="L3" i="108" s="1"/>
  <c r="K3" i="108" a="1"/>
  <c r="K3" i="108" s="1"/>
  <c r="F3" i="108"/>
  <c r="Y5" i="107"/>
  <c r="P5" i="107"/>
  <c r="P4" i="107"/>
  <c r="P3" i="107"/>
  <c r="V5" i="104"/>
  <c r="V4" i="104"/>
  <c r="V3" i="104"/>
  <c r="U4" i="104"/>
  <c r="U5" i="104"/>
  <c r="U3" i="104"/>
  <c r="T4" i="104"/>
  <c r="T5" i="104"/>
  <c r="T3" i="104"/>
  <c r="O4" i="104"/>
  <c r="O5" i="104"/>
  <c r="O3" i="104"/>
  <c r="AU4" i="107"/>
  <c r="AV4" i="107"/>
  <c r="AU5" i="107"/>
  <c r="AV5" i="107"/>
  <c r="AU6" i="107"/>
  <c r="AV6" i="107"/>
  <c r="AU7" i="107"/>
  <c r="AV7" i="107"/>
  <c r="AU8" i="107"/>
  <c r="AV8" i="107"/>
  <c r="AU9" i="107"/>
  <c r="AV9" i="107"/>
  <c r="AU10" i="107"/>
  <c r="AV10" i="107"/>
  <c r="AU11" i="107"/>
  <c r="AV11" i="107"/>
  <c r="AU12" i="107"/>
  <c r="AV12" i="107"/>
  <c r="AU13" i="107"/>
  <c r="AV13" i="107"/>
  <c r="AU14" i="107"/>
  <c r="AV14" i="107"/>
  <c r="AU15" i="107"/>
  <c r="AV15" i="107"/>
  <c r="AU16" i="107"/>
  <c r="AV16" i="107"/>
  <c r="AU17" i="107"/>
  <c r="AV17" i="107"/>
  <c r="AU18" i="107"/>
  <c r="AV18" i="107"/>
  <c r="AU19" i="107"/>
  <c r="AV19" i="107"/>
  <c r="AU20" i="107"/>
  <c r="AV20" i="107"/>
  <c r="AU21" i="107"/>
  <c r="AV21" i="107"/>
  <c r="AU22" i="107"/>
  <c r="AV22" i="107"/>
  <c r="AU23" i="107"/>
  <c r="AV23" i="107"/>
  <c r="AU24" i="107"/>
  <c r="AV24" i="107"/>
  <c r="AU25" i="107"/>
  <c r="AV25" i="107"/>
  <c r="AU26" i="107"/>
  <c r="AV26" i="107"/>
  <c r="AU27" i="107"/>
  <c r="AV27" i="107"/>
  <c r="AU28" i="107"/>
  <c r="AV28" i="107"/>
  <c r="AU29" i="107"/>
  <c r="AV29" i="107"/>
  <c r="AU30" i="107"/>
  <c r="AV30" i="107"/>
  <c r="AU31" i="107"/>
  <c r="AV31" i="107"/>
  <c r="AU32" i="107"/>
  <c r="AV32" i="107"/>
  <c r="AU33" i="107"/>
  <c r="AV33" i="107"/>
  <c r="AU34" i="107"/>
  <c r="AV34" i="107"/>
  <c r="AU35" i="107"/>
  <c r="AV35" i="107"/>
  <c r="AU36" i="107"/>
  <c r="AV36" i="107"/>
  <c r="AU37" i="107"/>
  <c r="AV37" i="107"/>
  <c r="AU38" i="107"/>
  <c r="AV38" i="107"/>
  <c r="AU39" i="107"/>
  <c r="AV39" i="107"/>
  <c r="AU40" i="107"/>
  <c r="AV40" i="107"/>
  <c r="AV3" i="107"/>
  <c r="AU3" i="107"/>
  <c r="AP12" i="107"/>
  <c r="AQ12" i="107"/>
  <c r="AR12" i="107" s="1"/>
  <c r="AP13" i="107"/>
  <c r="AQ13" i="107"/>
  <c r="AR13" i="107" s="1"/>
  <c r="AP14" i="107"/>
  <c r="AQ14" i="107"/>
  <c r="AR14" i="107" s="1"/>
  <c r="AP15" i="107"/>
  <c r="AQ15" i="107"/>
  <c r="AR15" i="107" s="1"/>
  <c r="AP16" i="107"/>
  <c r="AQ16" i="107"/>
  <c r="AP17" i="107"/>
  <c r="AQ17" i="107"/>
  <c r="AP18" i="107"/>
  <c r="AQ18" i="107"/>
  <c r="AR18" i="107" s="1"/>
  <c r="AP19" i="107"/>
  <c r="AQ19" i="107"/>
  <c r="AP20" i="107"/>
  <c r="AQ20" i="107"/>
  <c r="AR20" i="107" s="1"/>
  <c r="AP21" i="107"/>
  <c r="AQ21" i="107"/>
  <c r="AR21" i="107" s="1"/>
  <c r="AP22" i="107"/>
  <c r="AQ22" i="107"/>
  <c r="AR22" i="107" s="1"/>
  <c r="AP23" i="107"/>
  <c r="AQ23" i="107"/>
  <c r="AP24" i="107"/>
  <c r="AQ24" i="107"/>
  <c r="AP25" i="107"/>
  <c r="AQ25" i="107"/>
  <c r="AP26" i="107"/>
  <c r="AQ26" i="107"/>
  <c r="AR26" i="107" s="1"/>
  <c r="AP27" i="107"/>
  <c r="AQ27" i="107"/>
  <c r="AP28" i="107"/>
  <c r="AQ28" i="107"/>
  <c r="AR28" i="107" s="1"/>
  <c r="AP29" i="107"/>
  <c r="AQ29" i="107"/>
  <c r="AP30" i="107"/>
  <c r="AQ30" i="107"/>
  <c r="AR30" i="107" s="1"/>
  <c r="AP31" i="107"/>
  <c r="AQ31" i="107"/>
  <c r="AR31" i="107" s="1"/>
  <c r="AP32" i="107"/>
  <c r="AQ32" i="107"/>
  <c r="AR32" i="107" s="1"/>
  <c r="AP33" i="107"/>
  <c r="AQ33" i="107"/>
  <c r="AR33" i="107" s="1"/>
  <c r="AP34" i="107"/>
  <c r="AQ34" i="107"/>
  <c r="AR34" i="107" s="1"/>
  <c r="AP35" i="107"/>
  <c r="AQ35" i="107"/>
  <c r="AP36" i="107"/>
  <c r="AQ36" i="107"/>
  <c r="AR36" i="107" s="1"/>
  <c r="AP37" i="107"/>
  <c r="AQ37" i="107"/>
  <c r="AR37" i="107" s="1"/>
  <c r="AP38" i="107"/>
  <c r="AQ38" i="107"/>
  <c r="AR38" i="107" s="1"/>
  <c r="AP39" i="107"/>
  <c r="AQ39" i="107"/>
  <c r="AR39" i="107" s="1"/>
  <c r="AP40" i="107"/>
  <c r="AQ40" i="107"/>
  <c r="AR40" i="107" s="1"/>
  <c r="AP4" i="107"/>
  <c r="AQ4" i="107"/>
  <c r="AP6" i="107"/>
  <c r="AQ6" i="107"/>
  <c r="AR6" i="107" s="1"/>
  <c r="AP7" i="107"/>
  <c r="AQ7" i="107"/>
  <c r="AR7" i="107" s="1"/>
  <c r="AP8" i="107"/>
  <c r="AQ8" i="107"/>
  <c r="AR8" i="107" s="1"/>
  <c r="AP9" i="107"/>
  <c r="AQ9" i="107"/>
  <c r="AR9" i="107" s="1"/>
  <c r="AP10" i="107"/>
  <c r="AQ10" i="107"/>
  <c r="AP11" i="107"/>
  <c r="AQ11" i="107"/>
  <c r="AR11" i="107" s="1"/>
  <c r="AR4" i="107"/>
  <c r="AR10" i="107"/>
  <c r="AR16" i="107"/>
  <c r="AR17" i="107"/>
  <c r="AR19" i="107"/>
  <c r="AR23" i="107"/>
  <c r="AR24" i="107"/>
  <c r="AR25" i="107"/>
  <c r="AR27" i="107"/>
  <c r="AR29" i="107"/>
  <c r="AR35" i="107"/>
  <c r="Z4" i="107" a="1"/>
  <c r="Z4" i="107" s="1"/>
  <c r="Z5" i="107" a="1"/>
  <c r="Z5" i="107" s="1"/>
  <c r="AA5" i="107" s="1"/>
  <c r="Z3" i="107" a="1"/>
  <c r="Z3" i="107" s="1"/>
  <c r="AY38" i="109" l="1"/>
  <c r="AY14" i="109"/>
  <c r="AY37" i="109"/>
  <c r="AY13" i="109"/>
  <c r="AY36" i="109"/>
  <c r="AY12" i="109"/>
  <c r="AY35" i="109"/>
  <c r="AY11" i="109"/>
  <c r="AY34" i="109"/>
  <c r="AY10" i="109"/>
  <c r="AY33" i="109"/>
  <c r="AY9" i="109"/>
  <c r="AY32" i="109"/>
  <c r="AY31" i="109"/>
  <c r="AY30" i="109"/>
  <c r="AY29" i="109"/>
  <c r="AY28" i="109"/>
  <c r="AY27" i="109"/>
  <c r="AN9" i="110"/>
  <c r="AO9" i="110" s="1"/>
  <c r="AY26" i="109"/>
  <c r="AY25" i="109"/>
  <c r="AY24" i="109"/>
  <c r="AY23" i="109"/>
  <c r="AY22" i="109"/>
  <c r="AY21" i="109"/>
  <c r="AN8" i="110"/>
  <c r="AO8" i="110" s="1"/>
  <c r="AY20" i="109"/>
  <c r="AY19" i="109"/>
  <c r="AY18" i="109"/>
  <c r="AY17" i="109"/>
  <c r="AY16" i="109"/>
  <c r="AY39" i="109"/>
  <c r="AY15" i="109"/>
  <c r="Z10" i="110"/>
  <c r="X10" i="110"/>
  <c r="T10" i="110"/>
  <c r="S10" i="110"/>
  <c r="P18" i="110"/>
  <c r="AY2" i="110" s="1"/>
  <c r="T12" i="110"/>
  <c r="S14" i="110"/>
  <c r="T14" i="110"/>
  <c r="Z14" i="110"/>
  <c r="X14" i="110"/>
  <c r="Z16" i="110"/>
  <c r="X16" i="110"/>
  <c r="S16" i="110"/>
  <c r="V16" i="110" s="1"/>
  <c r="W16" i="110" s="1"/>
  <c r="Y14" i="110"/>
  <c r="S8" i="110"/>
  <c r="T8" i="110"/>
  <c r="Z8" i="110"/>
  <c r="X8" i="110"/>
  <c r="S11" i="110"/>
  <c r="T11" i="110"/>
  <c r="Z11" i="110"/>
  <c r="X11" i="110"/>
  <c r="Z13" i="110"/>
  <c r="X13" i="110"/>
  <c r="T13" i="110"/>
  <c r="W13" i="110" s="1"/>
  <c r="S13" i="110"/>
  <c r="V13" i="110" s="1"/>
  <c r="S17" i="110"/>
  <c r="T17" i="110"/>
  <c r="Z17" i="110"/>
  <c r="X17" i="110"/>
  <c r="U9" i="110"/>
  <c r="U18" i="110" s="1"/>
  <c r="AL11" i="110"/>
  <c r="AM10" i="110"/>
  <c r="AN10" i="110" s="1"/>
  <c r="AO10" i="110" s="1"/>
  <c r="R12" i="110"/>
  <c r="R15" i="110"/>
  <c r="AN7" i="110"/>
  <c r="AO7" i="110" s="1"/>
  <c r="R7" i="110"/>
  <c r="T7" i="110"/>
  <c r="AZ3" i="109"/>
  <c r="BA3" i="109" s="1"/>
  <c r="AA4" i="109"/>
  <c r="AD3" i="109"/>
  <c r="P4" i="109"/>
  <c r="U4" i="109" s="1"/>
  <c r="W4" i="109" s="1"/>
  <c r="Y4" i="109"/>
  <c r="AF3" i="109"/>
  <c r="AH3" i="109"/>
  <c r="P5" i="109"/>
  <c r="U5" i="109" s="1"/>
  <c r="W5" i="109" s="1"/>
  <c r="Y5" i="109"/>
  <c r="AF5" i="109"/>
  <c r="AG5" i="109" s="1"/>
  <c r="AH5" i="109"/>
  <c r="AZ5" i="109"/>
  <c r="BA5" i="109" s="1"/>
  <c r="AX6" i="109"/>
  <c r="Y3" i="109"/>
  <c r="P3" i="109"/>
  <c r="P6" i="109" s="1"/>
  <c r="Q4" i="109" s="1"/>
  <c r="AA3" i="109"/>
  <c r="AA6" i="109" s="1"/>
  <c r="AZ4" i="109"/>
  <c r="BA4" i="109" s="1"/>
  <c r="AF4" i="109"/>
  <c r="AG4" i="109" s="1"/>
  <c r="Y3" i="108"/>
  <c r="W3" i="108"/>
  <c r="P3" i="108"/>
  <c r="R3" i="108" s="1"/>
  <c r="S3" i="108" s="1"/>
  <c r="O6" i="107"/>
  <c r="BF13" i="45"/>
  <c r="BA12" i="45"/>
  <c r="BD40" i="107"/>
  <c r="AT40" i="107"/>
  <c r="BC40" i="107"/>
  <c r="BD39" i="107"/>
  <c r="AT39" i="107"/>
  <c r="BC39" i="107"/>
  <c r="BD38" i="107"/>
  <c r="AT38" i="107"/>
  <c r="BC38" i="107"/>
  <c r="BD37" i="107"/>
  <c r="AT37" i="107"/>
  <c r="BC37" i="107"/>
  <c r="BD36" i="107"/>
  <c r="AT36" i="107"/>
  <c r="BC36" i="107"/>
  <c r="BD35" i="107"/>
  <c r="AT35" i="107"/>
  <c r="BC35" i="107"/>
  <c r="BD34" i="107"/>
  <c r="AT34" i="107"/>
  <c r="BC34" i="107"/>
  <c r="BD33" i="107"/>
  <c r="AT33" i="107"/>
  <c r="BC33" i="107"/>
  <c r="BD32" i="107"/>
  <c r="AT32" i="107"/>
  <c r="BC32" i="107"/>
  <c r="BD31" i="107"/>
  <c r="AT31" i="107"/>
  <c r="BC31" i="107"/>
  <c r="BD30" i="107"/>
  <c r="AT30" i="107"/>
  <c r="BC30" i="107"/>
  <c r="BD29" i="107"/>
  <c r="AT29" i="107"/>
  <c r="BC29" i="107"/>
  <c r="BD28" i="107"/>
  <c r="AT28" i="107"/>
  <c r="BC28" i="107"/>
  <c r="BD27" i="107"/>
  <c r="AT27" i="107"/>
  <c r="BC27" i="107"/>
  <c r="BD26" i="107"/>
  <c r="AT26" i="107"/>
  <c r="BC26" i="107"/>
  <c r="BD25" i="107"/>
  <c r="AT25" i="107"/>
  <c r="BC25" i="107"/>
  <c r="BD24" i="107"/>
  <c r="AT24" i="107"/>
  <c r="BC24" i="107"/>
  <c r="BD23" i="107"/>
  <c r="AT23" i="107"/>
  <c r="BC23" i="107"/>
  <c r="BD22" i="107"/>
  <c r="AT22" i="107"/>
  <c r="BC22" i="107"/>
  <c r="BD21" i="107"/>
  <c r="AT21" i="107"/>
  <c r="BC21" i="107"/>
  <c r="BD20" i="107"/>
  <c r="AT20" i="107"/>
  <c r="BC20" i="107"/>
  <c r="BD19" i="107"/>
  <c r="AT19" i="107"/>
  <c r="BC19" i="107"/>
  <c r="BD18" i="107"/>
  <c r="AT18" i="107"/>
  <c r="BC18" i="107"/>
  <c r="BD17" i="107"/>
  <c r="AT17" i="107"/>
  <c r="BC17" i="107"/>
  <c r="BD16" i="107"/>
  <c r="AT16" i="107"/>
  <c r="BC16" i="107"/>
  <c r="BD15" i="107"/>
  <c r="AT15" i="107"/>
  <c r="BC15" i="107"/>
  <c r="BD14" i="107"/>
  <c r="AT14" i="107"/>
  <c r="BC14" i="107"/>
  <c r="BD13" i="107"/>
  <c r="AT13" i="107"/>
  <c r="BC13" i="107"/>
  <c r="BD12" i="107"/>
  <c r="AT12" i="107"/>
  <c r="BC12" i="107"/>
  <c r="BD11" i="107"/>
  <c r="AT11" i="107"/>
  <c r="BC11" i="107"/>
  <c r="BD10" i="107"/>
  <c r="AT10" i="107"/>
  <c r="BC10" i="107"/>
  <c r="BD9" i="107"/>
  <c r="AT9" i="107"/>
  <c r="BC9" i="107"/>
  <c r="BD8" i="107"/>
  <c r="AT8" i="107"/>
  <c r="BC8" i="107"/>
  <c r="BD7" i="107"/>
  <c r="AT7" i="107"/>
  <c r="BC7" i="107"/>
  <c r="BD6" i="107"/>
  <c r="AT6" i="107"/>
  <c r="BC6" i="107"/>
  <c r="G6" i="107"/>
  <c r="D6" i="107"/>
  <c r="C6" i="107"/>
  <c r="BD5" i="107"/>
  <c r="AC5" i="107"/>
  <c r="AB5" i="107"/>
  <c r="AD5" i="107" s="1"/>
  <c r="N5" i="107" a="1"/>
  <c r="N5" i="107" s="1"/>
  <c r="M5" i="107" a="1"/>
  <c r="M5" i="107" s="1"/>
  <c r="L5" i="107" a="1"/>
  <c r="L5" i="107" s="1"/>
  <c r="K5" i="107" a="1"/>
  <c r="K5" i="107" s="1"/>
  <c r="F5" i="107"/>
  <c r="BE4" i="107"/>
  <c r="BE5" i="107" s="1"/>
  <c r="BE6" i="107" s="1"/>
  <c r="BE7" i="107" s="1"/>
  <c r="BE8" i="107" s="1"/>
  <c r="BE9" i="107" s="1"/>
  <c r="BE10" i="107" s="1"/>
  <c r="BE11" i="107" s="1"/>
  <c r="BE12" i="107" s="1"/>
  <c r="BE13" i="107" s="1"/>
  <c r="BE14" i="107" s="1"/>
  <c r="BE15" i="107" s="1"/>
  <c r="BE16" i="107" s="1"/>
  <c r="BE17" i="107" s="1"/>
  <c r="BE18" i="107" s="1"/>
  <c r="BE19" i="107" s="1"/>
  <c r="BE20" i="107" s="1"/>
  <c r="BE21" i="107" s="1"/>
  <c r="BE22" i="107" s="1"/>
  <c r="BE23" i="107" s="1"/>
  <c r="BE24" i="107" s="1"/>
  <c r="BE25" i="107" s="1"/>
  <c r="BE26" i="107" s="1"/>
  <c r="BE27" i="107" s="1"/>
  <c r="BE28" i="107" s="1"/>
  <c r="BE29" i="107" s="1"/>
  <c r="BE30" i="107" s="1"/>
  <c r="BE31" i="107" s="1"/>
  <c r="BE32" i="107" s="1"/>
  <c r="BE33" i="107" s="1"/>
  <c r="BE34" i="107" s="1"/>
  <c r="BE35" i="107" s="1"/>
  <c r="BE36" i="107" s="1"/>
  <c r="BE37" i="107" s="1"/>
  <c r="BE38" i="107" s="1"/>
  <c r="BE39" i="107" s="1"/>
  <c r="BE40" i="107" s="1"/>
  <c r="BD4" i="107"/>
  <c r="BB4" i="107"/>
  <c r="BB5" i="107" s="1"/>
  <c r="BB6" i="107" s="1"/>
  <c r="BB7" i="107" s="1"/>
  <c r="BB8" i="107" s="1"/>
  <c r="BB9" i="107" s="1"/>
  <c r="BB10" i="107" s="1"/>
  <c r="BB11" i="107" s="1"/>
  <c r="BB12" i="107" s="1"/>
  <c r="BB13" i="107" s="1"/>
  <c r="BB14" i="107" s="1"/>
  <c r="BB15" i="107" s="1"/>
  <c r="BB16" i="107" s="1"/>
  <c r="BB17" i="107" s="1"/>
  <c r="BB18" i="107" s="1"/>
  <c r="BB19" i="107" s="1"/>
  <c r="BB20" i="107" s="1"/>
  <c r="BB21" i="107" s="1"/>
  <c r="BB22" i="107" s="1"/>
  <c r="BB23" i="107" s="1"/>
  <c r="BB24" i="107" s="1"/>
  <c r="BB25" i="107" s="1"/>
  <c r="BB26" i="107" s="1"/>
  <c r="BB27" i="107" s="1"/>
  <c r="BB28" i="107" s="1"/>
  <c r="BB29" i="107" s="1"/>
  <c r="BB30" i="107" s="1"/>
  <c r="BB31" i="107" s="1"/>
  <c r="BB32" i="107" s="1"/>
  <c r="BB33" i="107" s="1"/>
  <c r="BB34" i="107" s="1"/>
  <c r="BB35" i="107" s="1"/>
  <c r="BB36" i="107" s="1"/>
  <c r="BB37" i="107" s="1"/>
  <c r="BB38" i="107" s="1"/>
  <c r="BB39" i="107" s="1"/>
  <c r="BB40" i="107" s="1"/>
  <c r="AX4" i="107"/>
  <c r="AX5" i="107" s="1"/>
  <c r="AW4" i="107"/>
  <c r="AW5" i="107" s="1"/>
  <c r="AW6" i="107" s="1"/>
  <c r="AW7" i="107" s="1"/>
  <c r="AW8" i="107" s="1"/>
  <c r="AW9" i="107" s="1"/>
  <c r="AW10" i="107" s="1"/>
  <c r="AW11" i="107" s="1"/>
  <c r="AW12" i="107" s="1"/>
  <c r="AW13" i="107" s="1"/>
  <c r="AW14" i="107" s="1"/>
  <c r="AW15" i="107" s="1"/>
  <c r="AW16" i="107" s="1"/>
  <c r="AW17" i="107" s="1"/>
  <c r="AW18" i="107" s="1"/>
  <c r="AW19" i="107" s="1"/>
  <c r="AW20" i="107" s="1"/>
  <c r="AW21" i="107" s="1"/>
  <c r="AW22" i="107" s="1"/>
  <c r="AW23" i="107" s="1"/>
  <c r="AW24" i="107" s="1"/>
  <c r="AW25" i="107" s="1"/>
  <c r="AW26" i="107" s="1"/>
  <c r="AW27" i="107" s="1"/>
  <c r="AW28" i="107" s="1"/>
  <c r="AW29" i="107" s="1"/>
  <c r="AW30" i="107" s="1"/>
  <c r="AW31" i="107" s="1"/>
  <c r="AW32" i="107" s="1"/>
  <c r="AW33" i="107" s="1"/>
  <c r="AW34" i="107" s="1"/>
  <c r="AW35" i="107" s="1"/>
  <c r="AW36" i="107" s="1"/>
  <c r="AW37" i="107" s="1"/>
  <c r="AW38" i="107" s="1"/>
  <c r="AW39" i="107" s="1"/>
  <c r="AW40" i="107" s="1"/>
  <c r="AT4" i="107"/>
  <c r="AS4" i="107"/>
  <c r="AS5" i="107" s="1"/>
  <c r="AS6" i="107" s="1"/>
  <c r="AS7" i="107" s="1"/>
  <c r="AS8" i="107" s="1"/>
  <c r="AS9" i="107" s="1"/>
  <c r="AS10" i="107" s="1"/>
  <c r="AS11" i="107" s="1"/>
  <c r="AS12" i="107" s="1"/>
  <c r="AS13" i="107" s="1"/>
  <c r="AS14" i="107" s="1"/>
  <c r="AS15" i="107" s="1"/>
  <c r="AS16" i="107" s="1"/>
  <c r="AS17" i="107" s="1"/>
  <c r="AS18" i="107" s="1"/>
  <c r="AS19" i="107" s="1"/>
  <c r="AS20" i="107" s="1"/>
  <c r="AS21" i="107" s="1"/>
  <c r="AS22" i="107" s="1"/>
  <c r="AS23" i="107" s="1"/>
  <c r="AS24" i="107" s="1"/>
  <c r="AS25" i="107" s="1"/>
  <c r="AS26" i="107" s="1"/>
  <c r="AS27" i="107" s="1"/>
  <c r="AS28" i="107" s="1"/>
  <c r="AS29" i="107" s="1"/>
  <c r="AS30" i="107" s="1"/>
  <c r="AS31" i="107" s="1"/>
  <c r="AS32" i="107" s="1"/>
  <c r="AS33" i="107" s="1"/>
  <c r="AS34" i="107" s="1"/>
  <c r="AS35" i="107" s="1"/>
  <c r="AS36" i="107" s="1"/>
  <c r="AS37" i="107" s="1"/>
  <c r="AS38" i="107" s="1"/>
  <c r="AS39" i="107" s="1"/>
  <c r="AS40" i="107" s="1"/>
  <c r="BC4" i="107"/>
  <c r="AC4" i="107"/>
  <c r="AB4" i="107"/>
  <c r="AD4" i="107" s="1"/>
  <c r="N4" i="107" a="1"/>
  <c r="N4" i="107" s="1"/>
  <c r="M4" i="107" a="1"/>
  <c r="M4" i="107" s="1"/>
  <c r="Y4" i="107" s="1"/>
  <c r="L4" i="107" a="1"/>
  <c r="L4" i="107" s="1"/>
  <c r="AA4" i="107" s="1"/>
  <c r="K4" i="107" a="1"/>
  <c r="K4" i="107" s="1"/>
  <c r="F4" i="107"/>
  <c r="BD3" i="107"/>
  <c r="AC3" i="107"/>
  <c r="AB3" i="107"/>
  <c r="N3" i="107" a="1"/>
  <c r="N3" i="107" s="1"/>
  <c r="M3" i="107" a="1"/>
  <c r="M3" i="107" s="1"/>
  <c r="Y3" i="107" s="1"/>
  <c r="L3" i="107" a="1"/>
  <c r="L3" i="107" s="1"/>
  <c r="AA3" i="107" s="1"/>
  <c r="K3" i="107" a="1"/>
  <c r="K3" i="107" s="1"/>
  <c r="F3" i="107"/>
  <c r="C6" i="104"/>
  <c r="D6" i="104"/>
  <c r="G6" i="104"/>
  <c r="F5" i="104"/>
  <c r="F3" i="104"/>
  <c r="F4" i="104"/>
  <c r="K5" i="104" a="1"/>
  <c r="K5" i="104" s="1"/>
  <c r="L5" i="104" a="1"/>
  <c r="L5" i="104" s="1"/>
  <c r="M5" i="104" a="1"/>
  <c r="M5" i="104" s="1"/>
  <c r="N5" i="104" a="1"/>
  <c r="N5" i="104" s="1"/>
  <c r="N4" i="104" a="1"/>
  <c r="N4" i="104" s="1"/>
  <c r="N3" i="104" a="1"/>
  <c r="N3" i="104" s="1"/>
  <c r="M4" i="104" a="1"/>
  <c r="M4" i="104" s="1"/>
  <c r="M3" i="104" a="1"/>
  <c r="M3" i="104" s="1"/>
  <c r="L4" i="104" a="1"/>
  <c r="L4" i="104" s="1"/>
  <c r="L3" i="104" a="1"/>
  <c r="L3" i="104" s="1"/>
  <c r="K4" i="104" a="1"/>
  <c r="K4" i="104" s="1"/>
  <c r="K3" i="104" a="1"/>
  <c r="K3" i="104" s="1"/>
  <c r="F12" i="45" l="1"/>
  <c r="F13" i="45"/>
  <c r="F14" i="45"/>
  <c r="F15" i="45"/>
  <c r="I15" i="45" s="1"/>
  <c r="AW15" i="45" s="1"/>
  <c r="AY41" i="109"/>
  <c r="R9" i="110"/>
  <c r="V17" i="110"/>
  <c r="W17" i="110" s="1"/>
  <c r="V14" i="110"/>
  <c r="W14" i="110" s="1"/>
  <c r="Y17" i="110"/>
  <c r="AL12" i="110"/>
  <c r="AM11" i="110"/>
  <c r="R18" i="110"/>
  <c r="S7" i="110"/>
  <c r="Z7" i="110"/>
  <c r="X7" i="110"/>
  <c r="Z15" i="110"/>
  <c r="X15" i="110"/>
  <c r="S15" i="110"/>
  <c r="Y11" i="110"/>
  <c r="V11" i="110"/>
  <c r="W11" i="110" s="1"/>
  <c r="Y10" i="110"/>
  <c r="V10" i="110"/>
  <c r="W10" i="110" s="1"/>
  <c r="Z12" i="110"/>
  <c r="X12" i="110"/>
  <c r="S12" i="110"/>
  <c r="Y16" i="110"/>
  <c r="T15" i="110"/>
  <c r="Y13" i="110"/>
  <c r="V8" i="110"/>
  <c r="W8" i="110" s="1"/>
  <c r="Y8" i="110"/>
  <c r="T18" i="110"/>
  <c r="AX2" i="110" s="1"/>
  <c r="AG3" i="109"/>
  <c r="S4" i="109"/>
  <c r="R4" i="109"/>
  <c r="U3" i="109"/>
  <c r="W3" i="109" s="1"/>
  <c r="Q5" i="109"/>
  <c r="AX7" i="109"/>
  <c r="AZ6" i="109"/>
  <c r="BA6" i="109" s="1"/>
  <c r="AQ5" i="109"/>
  <c r="AR5" i="109" s="1"/>
  <c r="BC5" i="109" s="1"/>
  <c r="AI5" i="109"/>
  <c r="AE5" i="109"/>
  <c r="AP5" i="109" s="1"/>
  <c r="AT5" i="109" s="1"/>
  <c r="Q3" i="109"/>
  <c r="AI4" i="109"/>
  <c r="AE4" i="109"/>
  <c r="AH6" i="109"/>
  <c r="AI3" i="109"/>
  <c r="AE3" i="109"/>
  <c r="AP3" i="109" s="1"/>
  <c r="AT3" i="109" s="1"/>
  <c r="AF6" i="109"/>
  <c r="AQ3" i="109"/>
  <c r="AR3" i="109" s="1"/>
  <c r="BC3" i="109" s="1"/>
  <c r="AA3" i="108"/>
  <c r="S4" i="108"/>
  <c r="W4" i="108"/>
  <c r="X3" i="108"/>
  <c r="Y4" i="108"/>
  <c r="AA6" i="107"/>
  <c r="U3" i="107"/>
  <c r="W3" i="107" s="1"/>
  <c r="U4" i="107"/>
  <c r="W4" i="107" s="1"/>
  <c r="U5" i="107"/>
  <c r="W5" i="107" s="1"/>
  <c r="AD3" i="107"/>
  <c r="AH3" i="107" s="1"/>
  <c r="AY4" i="107"/>
  <c r="AZ4" i="107" s="1"/>
  <c r="BA4" i="107" s="1"/>
  <c r="AY3" i="107"/>
  <c r="AZ3" i="107" s="1"/>
  <c r="BA3" i="107" s="1"/>
  <c r="AY5" i="107"/>
  <c r="AZ5" i="107" s="1"/>
  <c r="BA5" i="107" s="1"/>
  <c r="AX6" i="107"/>
  <c r="AH5" i="107"/>
  <c r="AF5" i="107"/>
  <c r="AQ5" i="107" s="1"/>
  <c r="AR5" i="107" s="1"/>
  <c r="BC5" i="107" s="1"/>
  <c r="P6" i="107"/>
  <c r="Q5" i="107" s="1"/>
  <c r="R5" i="107" s="1"/>
  <c r="AH4" i="107"/>
  <c r="AF4" i="107"/>
  <c r="O6" i="104"/>
  <c r="W3" i="104"/>
  <c r="X3" i="104" s="1"/>
  <c r="P5" i="104"/>
  <c r="R5" i="104" s="1"/>
  <c r="S5" i="104" s="1"/>
  <c r="Y5" i="104"/>
  <c r="Y4" i="104"/>
  <c r="W4" i="104" s="1"/>
  <c r="X4" i="104" s="1"/>
  <c r="P3" i="104"/>
  <c r="R3" i="104" s="1"/>
  <c r="S3" i="104" s="1"/>
  <c r="P4" i="104"/>
  <c r="Y4" i="110" l="1"/>
  <c r="C12" i="45"/>
  <c r="C13" i="45"/>
  <c r="C14" i="45"/>
  <c r="C15" i="45"/>
  <c r="V15" i="110"/>
  <c r="W15" i="110" s="1"/>
  <c r="Y15" i="110"/>
  <c r="V7" i="110"/>
  <c r="Y7" i="110"/>
  <c r="V12" i="110"/>
  <c r="W12" i="110" s="1"/>
  <c r="Y12" i="110"/>
  <c r="AM12" i="110"/>
  <c r="AN12" i="110" s="1"/>
  <c r="AO12" i="110" s="1"/>
  <c r="AL13" i="110"/>
  <c r="AN11" i="110"/>
  <c r="AO11" i="110" s="1"/>
  <c r="Z9" i="110"/>
  <c r="X9" i="110"/>
  <c r="S9" i="110"/>
  <c r="AG6" i="109"/>
  <c r="T4" i="109"/>
  <c r="AJ4" i="109" s="1"/>
  <c r="S3" i="109"/>
  <c r="R3" i="109"/>
  <c r="AZ7" i="109"/>
  <c r="BA7" i="109" s="1"/>
  <c r="AX8" i="109"/>
  <c r="R5" i="109"/>
  <c r="T5" i="109" s="1"/>
  <c r="AJ5" i="109" s="1"/>
  <c r="S5" i="109"/>
  <c r="X4" i="108"/>
  <c r="Z3" i="108"/>
  <c r="AE5" i="107"/>
  <c r="AP5" i="107" s="1"/>
  <c r="AT5" i="107" s="1"/>
  <c r="AE4" i="107"/>
  <c r="S5" i="107"/>
  <c r="T5" i="107" s="1"/>
  <c r="Q3" i="107"/>
  <c r="Q4" i="107"/>
  <c r="R4" i="107" s="1"/>
  <c r="AH6" i="107"/>
  <c r="AF3" i="107"/>
  <c r="AQ3" i="107" s="1"/>
  <c r="AR3" i="107" s="1"/>
  <c r="AG5" i="107"/>
  <c r="AI5" i="107" s="1"/>
  <c r="AX7" i="107"/>
  <c r="AY6" i="107"/>
  <c r="AZ6" i="107" s="1"/>
  <c r="BA6" i="107" s="1"/>
  <c r="AG4" i="107"/>
  <c r="AI4" i="107" s="1"/>
  <c r="Y3" i="104"/>
  <c r="Y6" i="104" s="1"/>
  <c r="AA3" i="104"/>
  <c r="W5" i="104"/>
  <c r="Z4" i="104"/>
  <c r="R4" i="104"/>
  <c r="S4" i="104" s="1"/>
  <c r="AA4" i="104" s="1"/>
  <c r="V9" i="110" l="1"/>
  <c r="W9" i="110" s="1"/>
  <c r="Y9" i="110"/>
  <c r="AL14" i="110"/>
  <c r="AM13" i="110"/>
  <c r="S18" i="110"/>
  <c r="AW2" i="110" s="1"/>
  <c r="V18" i="110"/>
  <c r="W7" i="110"/>
  <c r="AX9" i="109"/>
  <c r="AZ8" i="109"/>
  <c r="BA8" i="109" s="1"/>
  <c r="R6" i="109"/>
  <c r="T3" i="109"/>
  <c r="AG3" i="107"/>
  <c r="AI3" i="107" s="1"/>
  <c r="AE3" i="107"/>
  <c r="AP3" i="107" s="1"/>
  <c r="AJ5" i="107"/>
  <c r="R3" i="107"/>
  <c r="R6" i="107" s="1"/>
  <c r="S3" i="107"/>
  <c r="S4" i="107"/>
  <c r="T4" i="107" s="1"/>
  <c r="AF6" i="107"/>
  <c r="AX8" i="107"/>
  <c r="AY7" i="107"/>
  <c r="AA5" i="104"/>
  <c r="X5" i="104"/>
  <c r="X6" i="104" s="1"/>
  <c r="Z3" i="104"/>
  <c r="W6" i="104"/>
  <c r="S6" i="104"/>
  <c r="L8" i="99"/>
  <c r="L9" i="99"/>
  <c r="L10" i="99"/>
  <c r="L11" i="99"/>
  <c r="L12" i="99"/>
  <c r="L13" i="99"/>
  <c r="L14" i="99"/>
  <c r="L15" i="99"/>
  <c r="L16" i="99"/>
  <c r="L17" i="99"/>
  <c r="L7" i="99"/>
  <c r="B12" i="45" l="1"/>
  <c r="B13" i="45"/>
  <c r="AO13" i="45" s="1"/>
  <c r="B14" i="45"/>
  <c r="AO14" i="45" s="1"/>
  <c r="B15" i="45"/>
  <c r="AL15" i="110"/>
  <c r="AM14" i="110"/>
  <c r="AN14" i="110" s="1"/>
  <c r="AO14" i="110" s="1"/>
  <c r="AN13" i="110"/>
  <c r="AO13" i="110" s="1"/>
  <c r="AJ3" i="109"/>
  <c r="T6" i="109"/>
  <c r="AX10" i="109"/>
  <c r="AZ9" i="109"/>
  <c r="BA9" i="109" s="1"/>
  <c r="BC3" i="107"/>
  <c r="AT3" i="107"/>
  <c r="AG6" i="107"/>
  <c r="T3" i="107"/>
  <c r="AJ4" i="107"/>
  <c r="AZ7" i="107"/>
  <c r="BA7" i="107" s="1"/>
  <c r="AX9" i="107"/>
  <c r="AY8" i="107"/>
  <c r="AZ8" i="107" s="1"/>
  <c r="BA8" i="107" s="1"/>
  <c r="Z5" i="104"/>
  <c r="AO15" i="45" l="1"/>
  <c r="M15" i="45"/>
  <c r="AM15" i="110"/>
  <c r="AL16" i="110"/>
  <c r="I14" i="45"/>
  <c r="AW14" i="45" s="1"/>
  <c r="M14" i="45"/>
  <c r="I13" i="45"/>
  <c r="AW13" i="45" s="1"/>
  <c r="M13" i="45"/>
  <c r="AZ10" i="109"/>
  <c r="BA10" i="109" s="1"/>
  <c r="AX11" i="109"/>
  <c r="AJ3" i="107"/>
  <c r="T6" i="107"/>
  <c r="AX10" i="107"/>
  <c r="AY9" i="107"/>
  <c r="AZ9" i="107" s="1"/>
  <c r="BA9" i="107" s="1"/>
  <c r="N15" i="45" l="1"/>
  <c r="T15" i="45" s="1"/>
  <c r="Z15" i="45"/>
  <c r="AF15" i="45" s="1"/>
  <c r="AA15" i="45"/>
  <c r="AB15" i="45" s="1"/>
  <c r="AG15" i="45" s="1"/>
  <c r="AP15" i="45"/>
  <c r="O15" i="45"/>
  <c r="P15" i="45" s="1"/>
  <c r="U15" i="45" s="1"/>
  <c r="AR15" i="45"/>
  <c r="AU15" i="45" s="1"/>
  <c r="AL17" i="110"/>
  <c r="AM16" i="110"/>
  <c r="AN16" i="110" s="1"/>
  <c r="AO16" i="110" s="1"/>
  <c r="AN15" i="110"/>
  <c r="AO15" i="110" s="1"/>
  <c r="N14" i="45"/>
  <c r="T14" i="45" s="1"/>
  <c r="Z14" i="45"/>
  <c r="AF14" i="45" s="1"/>
  <c r="AA14" i="45"/>
  <c r="AB14" i="45" s="1"/>
  <c r="AG14" i="45" s="1"/>
  <c r="AP14" i="45"/>
  <c r="AR14" i="45" s="1"/>
  <c r="AU14" i="45" s="1"/>
  <c r="O14" i="45"/>
  <c r="P14" i="45" s="1"/>
  <c r="U14" i="45" s="1"/>
  <c r="N13" i="45"/>
  <c r="T13" i="45" s="1"/>
  <c r="O13" i="45"/>
  <c r="P13" i="45" s="1"/>
  <c r="U13" i="45" s="1"/>
  <c r="AA13" i="45"/>
  <c r="AB13" i="45" s="1"/>
  <c r="AG13" i="45" s="1"/>
  <c r="Z13" i="45"/>
  <c r="AF13" i="45" s="1"/>
  <c r="AP13" i="45"/>
  <c r="AR13" i="45" s="1"/>
  <c r="AU13" i="45" s="1"/>
  <c r="AZ11" i="109"/>
  <c r="BA11" i="109" s="1"/>
  <c r="AX12" i="109"/>
  <c r="AX11" i="107"/>
  <c r="AY10" i="107"/>
  <c r="AZ10" i="107" s="1"/>
  <c r="BA10" i="107" s="1"/>
  <c r="AC12" i="45"/>
  <c r="E18" i="99"/>
  <c r="AR44" i="99"/>
  <c r="AJ44" i="99"/>
  <c r="AI44" i="99"/>
  <c r="AF44" i="99"/>
  <c r="AG44" i="99" s="1"/>
  <c r="AQ44" i="99" s="1"/>
  <c r="AR43" i="99"/>
  <c r="AJ43" i="99"/>
  <c r="AI43" i="99"/>
  <c r="AF43" i="99"/>
  <c r="AG43" i="99" s="1"/>
  <c r="AQ43" i="99" s="1"/>
  <c r="AR42" i="99"/>
  <c r="AJ42" i="99"/>
  <c r="AI42" i="99"/>
  <c r="AF42" i="99"/>
  <c r="AG42" i="99" s="1"/>
  <c r="AQ42" i="99" s="1"/>
  <c r="AR41" i="99"/>
  <c r="AJ41" i="99"/>
  <c r="AI41" i="99"/>
  <c r="AF41" i="99"/>
  <c r="AG41" i="99" s="1"/>
  <c r="AQ41" i="99" s="1"/>
  <c r="AR40" i="99"/>
  <c r="AJ40" i="99"/>
  <c r="AI40" i="99"/>
  <c r="AF40" i="99"/>
  <c r="AG40" i="99" s="1"/>
  <c r="AQ40" i="99" s="1"/>
  <c r="AR39" i="99"/>
  <c r="AJ39" i="99"/>
  <c r="AI39" i="99"/>
  <c r="AF39" i="99"/>
  <c r="AG39" i="99" s="1"/>
  <c r="AQ39" i="99" s="1"/>
  <c r="AR38" i="99"/>
  <c r="AJ38" i="99"/>
  <c r="AI38" i="99"/>
  <c r="AF38" i="99"/>
  <c r="AG38" i="99" s="1"/>
  <c r="AQ38" i="99" s="1"/>
  <c r="AR37" i="99"/>
  <c r="AJ37" i="99"/>
  <c r="AI37" i="99"/>
  <c r="AF37" i="99"/>
  <c r="AG37" i="99" s="1"/>
  <c r="AQ37" i="99" s="1"/>
  <c r="AR36" i="99"/>
  <c r="AJ36" i="99"/>
  <c r="AI36" i="99"/>
  <c r="AF36" i="99"/>
  <c r="AG36" i="99" s="1"/>
  <c r="AQ36" i="99" s="1"/>
  <c r="AR35" i="99"/>
  <c r="AJ35" i="99"/>
  <c r="AI35" i="99"/>
  <c r="AF35" i="99"/>
  <c r="AG35" i="99" s="1"/>
  <c r="AQ35" i="99" s="1"/>
  <c r="AR34" i="99"/>
  <c r="AJ34" i="99"/>
  <c r="AI34" i="99"/>
  <c r="AF34" i="99"/>
  <c r="AG34" i="99" s="1"/>
  <c r="AQ34" i="99" s="1"/>
  <c r="AR33" i="99"/>
  <c r="AJ33" i="99"/>
  <c r="AI33" i="99"/>
  <c r="AF33" i="99"/>
  <c r="AG33" i="99" s="1"/>
  <c r="AQ33" i="99" s="1"/>
  <c r="AR32" i="99"/>
  <c r="AJ32" i="99"/>
  <c r="AI32" i="99"/>
  <c r="AF32" i="99"/>
  <c r="AG32" i="99" s="1"/>
  <c r="AQ32" i="99" s="1"/>
  <c r="AR31" i="99"/>
  <c r="AJ31" i="99"/>
  <c r="AI31" i="99"/>
  <c r="AF31" i="99"/>
  <c r="AG31" i="99" s="1"/>
  <c r="AQ31" i="99" s="1"/>
  <c r="AR30" i="99"/>
  <c r="AJ30" i="99"/>
  <c r="AI30" i="99"/>
  <c r="AF30" i="99"/>
  <c r="AG30" i="99" s="1"/>
  <c r="AQ30" i="99" s="1"/>
  <c r="AR29" i="99"/>
  <c r="AJ29" i="99"/>
  <c r="AI29" i="99"/>
  <c r="AF29" i="99"/>
  <c r="AG29" i="99" s="1"/>
  <c r="AQ29" i="99" s="1"/>
  <c r="AR28" i="99"/>
  <c r="AJ28" i="99"/>
  <c r="AI28" i="99"/>
  <c r="AF28" i="99"/>
  <c r="AG28" i="99" s="1"/>
  <c r="AQ28" i="99" s="1"/>
  <c r="AR27" i="99"/>
  <c r="AJ27" i="99"/>
  <c r="AI27" i="99"/>
  <c r="AF27" i="99"/>
  <c r="AG27" i="99" s="1"/>
  <c r="AQ27" i="99" s="1"/>
  <c r="AR26" i="99"/>
  <c r="AJ26" i="99"/>
  <c r="AI26" i="99"/>
  <c r="AF26" i="99"/>
  <c r="AG26" i="99" s="1"/>
  <c r="AQ26" i="99" s="1"/>
  <c r="AR25" i="99"/>
  <c r="AJ25" i="99"/>
  <c r="AI25" i="99"/>
  <c r="AF25" i="99"/>
  <c r="AG25" i="99" s="1"/>
  <c r="AQ25" i="99" s="1"/>
  <c r="AR24" i="99"/>
  <c r="AJ24" i="99"/>
  <c r="AI24" i="99"/>
  <c r="AF24" i="99"/>
  <c r="AG24" i="99" s="1"/>
  <c r="AQ24" i="99" s="1"/>
  <c r="AR23" i="99"/>
  <c r="AJ23" i="99"/>
  <c r="AI23" i="99"/>
  <c r="AF23" i="99"/>
  <c r="AG23" i="99" s="1"/>
  <c r="AQ23" i="99" s="1"/>
  <c r="AR22" i="99"/>
  <c r="AJ22" i="99"/>
  <c r="AI22" i="99"/>
  <c r="AF22" i="99"/>
  <c r="AG22" i="99" s="1"/>
  <c r="AQ22" i="99" s="1"/>
  <c r="AR21" i="99"/>
  <c r="AJ21" i="99"/>
  <c r="AI21" i="99"/>
  <c r="AF21" i="99"/>
  <c r="AG21" i="99" s="1"/>
  <c r="AQ21" i="99" s="1"/>
  <c r="AR20" i="99"/>
  <c r="AJ20" i="99"/>
  <c r="AI20" i="99"/>
  <c r="AF20" i="99"/>
  <c r="AG20" i="99" s="1"/>
  <c r="AQ20" i="99" s="1"/>
  <c r="AR19" i="99"/>
  <c r="AJ19" i="99"/>
  <c r="AI19" i="99"/>
  <c r="AF19" i="99"/>
  <c r="AG19" i="99" s="1"/>
  <c r="AQ19" i="99" s="1"/>
  <c r="AR18" i="99"/>
  <c r="AJ18" i="99"/>
  <c r="AI18" i="99"/>
  <c r="AF18" i="99"/>
  <c r="AG18" i="99" s="1"/>
  <c r="AQ18" i="99" s="1"/>
  <c r="AR17" i="99"/>
  <c r="AJ17" i="99"/>
  <c r="AI17" i="99"/>
  <c r="AF17" i="99"/>
  <c r="AG17" i="99" s="1"/>
  <c r="AQ17" i="99" s="1"/>
  <c r="Q17" i="99"/>
  <c r="O17" i="99"/>
  <c r="P17" i="99" s="1"/>
  <c r="N17" i="99"/>
  <c r="H17" i="99"/>
  <c r="I17" i="99" s="1"/>
  <c r="G17" i="99"/>
  <c r="K17" i="99" s="1"/>
  <c r="AR16" i="99"/>
  <c r="AJ16" i="99"/>
  <c r="AI16" i="99"/>
  <c r="AF16" i="99"/>
  <c r="AG16" i="99" s="1"/>
  <c r="AQ16" i="99" s="1"/>
  <c r="Q16" i="99"/>
  <c r="O16" i="99"/>
  <c r="P16" i="99" s="1"/>
  <c r="N16" i="99"/>
  <c r="H16" i="99"/>
  <c r="I16" i="99" s="1"/>
  <c r="G16" i="99"/>
  <c r="K16" i="99" s="1"/>
  <c r="AR15" i="99"/>
  <c r="AJ15" i="99"/>
  <c r="AI15" i="99"/>
  <c r="AF15" i="99"/>
  <c r="AG15" i="99" s="1"/>
  <c r="AQ15" i="99" s="1"/>
  <c r="Q15" i="99"/>
  <c r="O15" i="99"/>
  <c r="P15" i="99" s="1"/>
  <c r="N15" i="99"/>
  <c r="H15" i="99"/>
  <c r="I15" i="99" s="1"/>
  <c r="G15" i="99"/>
  <c r="K15" i="99" s="1"/>
  <c r="AR14" i="99"/>
  <c r="AJ14" i="99"/>
  <c r="AI14" i="99"/>
  <c r="AF14" i="99"/>
  <c r="AG14" i="99" s="1"/>
  <c r="AQ14" i="99" s="1"/>
  <c r="Q14" i="99"/>
  <c r="U14" i="99" s="1"/>
  <c r="O14" i="99"/>
  <c r="P14" i="99" s="1"/>
  <c r="N14" i="99"/>
  <c r="H14" i="99"/>
  <c r="I14" i="99" s="1"/>
  <c r="G14" i="99"/>
  <c r="K14" i="99" s="1"/>
  <c r="AR13" i="99"/>
  <c r="AJ13" i="99"/>
  <c r="AI13" i="99"/>
  <c r="AF13" i="99"/>
  <c r="AG13" i="99" s="1"/>
  <c r="AQ13" i="99" s="1"/>
  <c r="Q13" i="99"/>
  <c r="O13" i="99"/>
  <c r="P13" i="99" s="1"/>
  <c r="N13" i="99"/>
  <c r="H13" i="99"/>
  <c r="G13" i="99"/>
  <c r="K13" i="99" s="1"/>
  <c r="AR12" i="99"/>
  <c r="AJ12" i="99"/>
  <c r="AI12" i="99"/>
  <c r="AF12" i="99"/>
  <c r="AG12" i="99" s="1"/>
  <c r="AQ12" i="99" s="1"/>
  <c r="Q12" i="99"/>
  <c r="O12" i="99"/>
  <c r="P12" i="99" s="1"/>
  <c r="N12" i="99"/>
  <c r="H12" i="99"/>
  <c r="I12" i="99" s="1"/>
  <c r="G12" i="99"/>
  <c r="K12" i="99" s="1"/>
  <c r="AR11" i="99"/>
  <c r="AJ11" i="99"/>
  <c r="AI11" i="99"/>
  <c r="AF11" i="99"/>
  <c r="AG11" i="99" s="1"/>
  <c r="AQ11" i="99" s="1"/>
  <c r="Q11" i="99"/>
  <c r="O11" i="99"/>
  <c r="P11" i="99" s="1"/>
  <c r="N11" i="99"/>
  <c r="H11" i="99"/>
  <c r="I11" i="99" s="1"/>
  <c r="G11" i="99"/>
  <c r="K11" i="99" s="1"/>
  <c r="AR10" i="99"/>
  <c r="AJ10" i="99"/>
  <c r="AI10" i="99"/>
  <c r="AF10" i="99"/>
  <c r="AG10" i="99" s="1"/>
  <c r="AQ10" i="99" s="1"/>
  <c r="Q10" i="99"/>
  <c r="O10" i="99"/>
  <c r="P10" i="99" s="1"/>
  <c r="N10" i="99"/>
  <c r="H10" i="99"/>
  <c r="G10" i="99"/>
  <c r="K10" i="99" s="1"/>
  <c r="AR9" i="99"/>
  <c r="AK9" i="99"/>
  <c r="AK10" i="99" s="1"/>
  <c r="AK11" i="99" s="1"/>
  <c r="AK12" i="99" s="1"/>
  <c r="AK13" i="99" s="1"/>
  <c r="AK14" i="99" s="1"/>
  <c r="AK15" i="99" s="1"/>
  <c r="AK16" i="99" s="1"/>
  <c r="AK17" i="99" s="1"/>
  <c r="AK18" i="99" s="1"/>
  <c r="AK19" i="99" s="1"/>
  <c r="AK20" i="99" s="1"/>
  <c r="AK21" i="99" s="1"/>
  <c r="AK22" i="99" s="1"/>
  <c r="AK23" i="99" s="1"/>
  <c r="AK24" i="99" s="1"/>
  <c r="AK25" i="99" s="1"/>
  <c r="AK26" i="99" s="1"/>
  <c r="AK27" i="99" s="1"/>
  <c r="AK28" i="99" s="1"/>
  <c r="AK29" i="99" s="1"/>
  <c r="AK30" i="99" s="1"/>
  <c r="AK31" i="99" s="1"/>
  <c r="AK32" i="99" s="1"/>
  <c r="AK33" i="99" s="1"/>
  <c r="AK34" i="99" s="1"/>
  <c r="AK35" i="99" s="1"/>
  <c r="AK36" i="99" s="1"/>
  <c r="AK37" i="99" s="1"/>
  <c r="AK38" i="99" s="1"/>
  <c r="AK39" i="99" s="1"/>
  <c r="AK40" i="99" s="1"/>
  <c r="AK41" i="99" s="1"/>
  <c r="AK42" i="99" s="1"/>
  <c r="AK43" i="99" s="1"/>
  <c r="AK44" i="99" s="1"/>
  <c r="AJ9" i="99"/>
  <c r="AI9" i="99"/>
  <c r="AF9" i="99"/>
  <c r="AG9" i="99" s="1"/>
  <c r="AQ9" i="99" s="1"/>
  <c r="Q9" i="99"/>
  <c r="O9" i="99"/>
  <c r="P9" i="99" s="1"/>
  <c r="N9" i="99"/>
  <c r="H9" i="99"/>
  <c r="G9" i="99"/>
  <c r="K9" i="99" s="1"/>
  <c r="AS8" i="99"/>
  <c r="AS9" i="99" s="1"/>
  <c r="AS10" i="99" s="1"/>
  <c r="AS11" i="99" s="1"/>
  <c r="AS12" i="99" s="1"/>
  <c r="AS13" i="99" s="1"/>
  <c r="AS14" i="99" s="1"/>
  <c r="AS15" i="99" s="1"/>
  <c r="AS16" i="99" s="1"/>
  <c r="AS17" i="99" s="1"/>
  <c r="AS18" i="99" s="1"/>
  <c r="AS19" i="99" s="1"/>
  <c r="AS20" i="99" s="1"/>
  <c r="AS21" i="99" s="1"/>
  <c r="AS22" i="99" s="1"/>
  <c r="AS23" i="99" s="1"/>
  <c r="AS24" i="99" s="1"/>
  <c r="AS25" i="99" s="1"/>
  <c r="AS26" i="99" s="1"/>
  <c r="AS27" i="99" s="1"/>
  <c r="AS28" i="99" s="1"/>
  <c r="AS29" i="99" s="1"/>
  <c r="AS30" i="99" s="1"/>
  <c r="AS31" i="99" s="1"/>
  <c r="AS32" i="99" s="1"/>
  <c r="AS33" i="99" s="1"/>
  <c r="AS34" i="99" s="1"/>
  <c r="AS35" i="99" s="1"/>
  <c r="AS36" i="99" s="1"/>
  <c r="AS37" i="99" s="1"/>
  <c r="AS38" i="99" s="1"/>
  <c r="AS39" i="99" s="1"/>
  <c r="AS40" i="99" s="1"/>
  <c r="AS41" i="99" s="1"/>
  <c r="AS42" i="99" s="1"/>
  <c r="AS43" i="99" s="1"/>
  <c r="AS44" i="99" s="1"/>
  <c r="AR8" i="99"/>
  <c r="AP8" i="99"/>
  <c r="AP9" i="99" s="1"/>
  <c r="AP10" i="99" s="1"/>
  <c r="AP11" i="99" s="1"/>
  <c r="AP12" i="99" s="1"/>
  <c r="AP13" i="99" s="1"/>
  <c r="AP14" i="99" s="1"/>
  <c r="AP15" i="99" s="1"/>
  <c r="AP16" i="99" s="1"/>
  <c r="AP17" i="99" s="1"/>
  <c r="AP18" i="99" s="1"/>
  <c r="AP19" i="99" s="1"/>
  <c r="AP20" i="99" s="1"/>
  <c r="AP21" i="99" s="1"/>
  <c r="AP22" i="99" s="1"/>
  <c r="AP23" i="99" s="1"/>
  <c r="AP24" i="99" s="1"/>
  <c r="AP25" i="99" s="1"/>
  <c r="AP26" i="99" s="1"/>
  <c r="AP27" i="99" s="1"/>
  <c r="AP28" i="99" s="1"/>
  <c r="AP29" i="99" s="1"/>
  <c r="AP30" i="99" s="1"/>
  <c r="AP31" i="99" s="1"/>
  <c r="AP32" i="99" s="1"/>
  <c r="AP33" i="99" s="1"/>
  <c r="AP34" i="99" s="1"/>
  <c r="AP35" i="99" s="1"/>
  <c r="AP36" i="99" s="1"/>
  <c r="AP37" i="99" s="1"/>
  <c r="AP38" i="99" s="1"/>
  <c r="AP39" i="99" s="1"/>
  <c r="AP40" i="99" s="1"/>
  <c r="AP41" i="99" s="1"/>
  <c r="AP42" i="99" s="1"/>
  <c r="AP43" i="99" s="1"/>
  <c r="AP44" i="99" s="1"/>
  <c r="AL8" i="99"/>
  <c r="AL9" i="99" s="1"/>
  <c r="AK8" i="99"/>
  <c r="AJ8" i="99"/>
  <c r="AI8" i="99"/>
  <c r="AH8" i="99"/>
  <c r="AH9" i="99" s="1"/>
  <c r="AH10" i="99" s="1"/>
  <c r="AH11" i="99" s="1"/>
  <c r="AH12" i="99" s="1"/>
  <c r="AH13" i="99" s="1"/>
  <c r="AH14" i="99" s="1"/>
  <c r="AH15" i="99" s="1"/>
  <c r="AH16" i="99" s="1"/>
  <c r="AH17" i="99" s="1"/>
  <c r="AH18" i="99" s="1"/>
  <c r="AH19" i="99" s="1"/>
  <c r="AH20" i="99" s="1"/>
  <c r="AH21" i="99" s="1"/>
  <c r="AH22" i="99" s="1"/>
  <c r="AH23" i="99" s="1"/>
  <c r="AH24" i="99" s="1"/>
  <c r="AH25" i="99" s="1"/>
  <c r="AH26" i="99" s="1"/>
  <c r="AH27" i="99" s="1"/>
  <c r="AH28" i="99" s="1"/>
  <c r="AH29" i="99" s="1"/>
  <c r="AH30" i="99" s="1"/>
  <c r="AH31" i="99" s="1"/>
  <c r="AH32" i="99" s="1"/>
  <c r="AH33" i="99" s="1"/>
  <c r="AH34" i="99" s="1"/>
  <c r="AH35" i="99" s="1"/>
  <c r="AH36" i="99" s="1"/>
  <c r="AH37" i="99" s="1"/>
  <c r="AH38" i="99" s="1"/>
  <c r="AH39" i="99" s="1"/>
  <c r="AH40" i="99" s="1"/>
  <c r="AH41" i="99" s="1"/>
  <c r="AH42" i="99" s="1"/>
  <c r="AH43" i="99" s="1"/>
  <c r="AH44" i="99" s="1"/>
  <c r="AF8" i="99"/>
  <c r="AG8" i="99" s="1"/>
  <c r="AQ8" i="99" s="1"/>
  <c r="Q8" i="99"/>
  <c r="O8" i="99"/>
  <c r="P8" i="99" s="1"/>
  <c r="N8" i="99"/>
  <c r="H8" i="99"/>
  <c r="I8" i="99" s="1"/>
  <c r="G8" i="99"/>
  <c r="K8" i="99" s="1"/>
  <c r="AR7" i="99"/>
  <c r="AJ7" i="99"/>
  <c r="AI7" i="99"/>
  <c r="AF7" i="99"/>
  <c r="AM7" i="99" s="1"/>
  <c r="Q7" i="99"/>
  <c r="U7" i="99" s="1"/>
  <c r="O7" i="99"/>
  <c r="P7" i="99" s="1"/>
  <c r="N7" i="99"/>
  <c r="H7" i="99"/>
  <c r="I7" i="99" s="1"/>
  <c r="G7" i="99"/>
  <c r="K7" i="99" s="1"/>
  <c r="AD12" i="45"/>
  <c r="AE12" i="45" s="1"/>
  <c r="K12" i="45"/>
  <c r="J12" i="45"/>
  <c r="H12" i="45"/>
  <c r="G12" i="45"/>
  <c r="L12" i="45"/>
  <c r="AT12" i="45"/>
  <c r="AS12" i="45"/>
  <c r="AJ12" i="45"/>
  <c r="X12" i="45"/>
  <c r="AI12" i="45"/>
  <c r="W12" i="45"/>
  <c r="S12" i="45"/>
  <c r="V15" i="45" l="1"/>
  <c r="Y15" i="45"/>
  <c r="AH15" i="45"/>
  <c r="AK15" i="45"/>
  <c r="AN15" i="45" s="1"/>
  <c r="AM17" i="110"/>
  <c r="AN17" i="110" s="1"/>
  <c r="AO17" i="110" s="1"/>
  <c r="AL18" i="110"/>
  <c r="AH13" i="45"/>
  <c r="AK13" i="45"/>
  <c r="V13" i="45"/>
  <c r="Y13" i="45"/>
  <c r="V14" i="45"/>
  <c r="Y14" i="45"/>
  <c r="AH14" i="45"/>
  <c r="AK14" i="45"/>
  <c r="AN14" i="45" s="1"/>
  <c r="AX13" i="109"/>
  <c r="AZ12" i="109"/>
  <c r="BA12" i="109" s="1"/>
  <c r="AY11" i="107"/>
  <c r="AZ11" i="107" s="1"/>
  <c r="BA11" i="107" s="1"/>
  <c r="AX12" i="107"/>
  <c r="I9" i="99"/>
  <c r="R7" i="99"/>
  <c r="I10" i="99"/>
  <c r="I13" i="99"/>
  <c r="AG7" i="99"/>
  <c r="AQ7" i="99" s="1"/>
  <c r="R12" i="99"/>
  <c r="T12" i="99" s="1"/>
  <c r="AM8" i="99"/>
  <c r="AN8" i="99" s="1"/>
  <c r="AO8" i="99" s="1"/>
  <c r="R13" i="99"/>
  <c r="Z13" i="99" s="1"/>
  <c r="AM9" i="99"/>
  <c r="AN9" i="99" s="1"/>
  <c r="AO9" i="99" s="1"/>
  <c r="AL10" i="99"/>
  <c r="U11" i="99"/>
  <c r="P18" i="99"/>
  <c r="AY2" i="99" s="1"/>
  <c r="AN7" i="99"/>
  <c r="AO7" i="99" s="1"/>
  <c r="U15" i="99"/>
  <c r="R15" i="99"/>
  <c r="T15" i="99" s="1"/>
  <c r="U13" i="99"/>
  <c r="U17" i="99"/>
  <c r="R17" i="99"/>
  <c r="U8" i="99"/>
  <c r="R11" i="99"/>
  <c r="T11" i="99" s="1"/>
  <c r="R8" i="99"/>
  <c r="S8" i="99" s="1"/>
  <c r="U16" i="99"/>
  <c r="R16" i="99"/>
  <c r="U9" i="99"/>
  <c r="R9" i="99" s="1"/>
  <c r="S9" i="99" s="1"/>
  <c r="T9" i="99"/>
  <c r="U10" i="99"/>
  <c r="R10" i="99" s="1"/>
  <c r="X10" i="99" s="1"/>
  <c r="U12" i="99"/>
  <c r="R14" i="99"/>
  <c r="AL15" i="45" l="1"/>
  <c r="AM15" i="45"/>
  <c r="AN13" i="45"/>
  <c r="AL19" i="110"/>
  <c r="AM18" i="110"/>
  <c r="AN18" i="110" s="1"/>
  <c r="AO18" i="110" s="1"/>
  <c r="AM14" i="45"/>
  <c r="AL14" i="45"/>
  <c r="AM13" i="45"/>
  <c r="AL13" i="45"/>
  <c r="AZ13" i="109"/>
  <c r="BA13" i="109" s="1"/>
  <c r="AX14" i="109"/>
  <c r="AX13" i="107"/>
  <c r="AY12" i="107"/>
  <c r="AZ12" i="107" s="1"/>
  <c r="BA12" i="107" s="1"/>
  <c r="Z9" i="99"/>
  <c r="X9" i="99"/>
  <c r="X12" i="99"/>
  <c r="Z12" i="99"/>
  <c r="S12" i="99"/>
  <c r="Y12" i="99" s="1"/>
  <c r="T13" i="99"/>
  <c r="S13" i="99"/>
  <c r="X13" i="99"/>
  <c r="T10" i="99"/>
  <c r="S10" i="99"/>
  <c r="Z10" i="99"/>
  <c r="U18" i="99"/>
  <c r="X8" i="99"/>
  <c r="Z8" i="99"/>
  <c r="V9" i="99"/>
  <c r="W9" i="99" s="1"/>
  <c r="Y9" i="99"/>
  <c r="Z14" i="99"/>
  <c r="S14" i="99"/>
  <c r="X14" i="99"/>
  <c r="R18" i="99"/>
  <c r="X7" i="99"/>
  <c r="Z7" i="99"/>
  <c r="S7" i="99"/>
  <c r="AL11" i="99"/>
  <c r="AM10" i="99"/>
  <c r="T8" i="99"/>
  <c r="T7" i="99"/>
  <c r="T14" i="99"/>
  <c r="S11" i="99"/>
  <c r="X11" i="99"/>
  <c r="Z11" i="99"/>
  <c r="Z16" i="99"/>
  <c r="S16" i="99"/>
  <c r="X16" i="99"/>
  <c r="Z17" i="99"/>
  <c r="S17" i="99"/>
  <c r="X17" i="99"/>
  <c r="T17" i="99"/>
  <c r="T16" i="99"/>
  <c r="Z15" i="99"/>
  <c r="S15" i="99"/>
  <c r="X15" i="99"/>
  <c r="AL20" i="110" l="1"/>
  <c r="AM19" i="110"/>
  <c r="AN19" i="110" s="1"/>
  <c r="AO19" i="110" s="1"/>
  <c r="AZ14" i="109"/>
  <c r="BA14" i="109" s="1"/>
  <c r="AX15" i="109"/>
  <c r="AX14" i="107"/>
  <c r="AY13" i="107"/>
  <c r="AZ13" i="107" s="1"/>
  <c r="BA13" i="107" s="1"/>
  <c r="V12" i="99"/>
  <c r="W12" i="99" s="1"/>
  <c r="V13" i="99"/>
  <c r="W13" i="99" s="1"/>
  <c r="Y13" i="99"/>
  <c r="V10" i="99"/>
  <c r="W10" i="99" s="1"/>
  <c r="Y10" i="99"/>
  <c r="T18" i="99"/>
  <c r="AX2" i="99" s="1"/>
  <c r="Y4" i="99" s="1"/>
  <c r="V8" i="99"/>
  <c r="W8" i="99" s="1"/>
  <c r="Y8" i="99"/>
  <c r="V15" i="99"/>
  <c r="W15" i="99" s="1"/>
  <c r="Y15" i="99"/>
  <c r="AN10" i="99"/>
  <c r="AO10" i="99" s="1"/>
  <c r="V16" i="99"/>
  <c r="W16" i="99" s="1"/>
  <c r="Y16" i="99"/>
  <c r="V17" i="99"/>
  <c r="W17" i="99" s="1"/>
  <c r="Y17" i="99"/>
  <c r="V11" i="99"/>
  <c r="W11" i="99" s="1"/>
  <c r="Y11" i="99"/>
  <c r="S18" i="99"/>
  <c r="AW2" i="99" s="1"/>
  <c r="V7" i="99"/>
  <c r="W7" i="99" s="1"/>
  <c r="Y7" i="99"/>
  <c r="V14" i="99"/>
  <c r="W14" i="99" s="1"/>
  <c r="Y14" i="99"/>
  <c r="AM11" i="99"/>
  <c r="AN11" i="99" s="1"/>
  <c r="AO11" i="99" s="1"/>
  <c r="AL12" i="99"/>
  <c r="AM20" i="110" l="1"/>
  <c r="AN20" i="110" s="1"/>
  <c r="AO20" i="110" s="1"/>
  <c r="AL21" i="110"/>
  <c r="AX16" i="109"/>
  <c r="AZ15" i="109"/>
  <c r="BA15" i="109" s="1"/>
  <c r="AX15" i="107"/>
  <c r="AY14" i="107"/>
  <c r="AZ14" i="107" s="1"/>
  <c r="BA14" i="107" s="1"/>
  <c r="V18" i="99"/>
  <c r="AM12" i="99"/>
  <c r="AN12" i="99" s="1"/>
  <c r="AO12" i="99" s="1"/>
  <c r="AL13" i="99"/>
  <c r="AL22" i="110" l="1"/>
  <c r="AM21" i="110"/>
  <c r="AN21" i="110" s="1"/>
  <c r="AO21" i="110" s="1"/>
  <c r="AZ16" i="109"/>
  <c r="BA16" i="109" s="1"/>
  <c r="AX17" i="109"/>
  <c r="AY15" i="107"/>
  <c r="AZ15" i="107" s="1"/>
  <c r="BA15" i="107" s="1"/>
  <c r="AX16" i="107"/>
  <c r="AL14" i="99"/>
  <c r="AM13" i="99"/>
  <c r="AN13" i="99" s="1"/>
  <c r="AO13" i="99" s="1"/>
  <c r="AM22" i="110" l="1"/>
  <c r="AN22" i="110" s="1"/>
  <c r="AO22" i="110" s="1"/>
  <c r="AL23" i="110"/>
  <c r="AZ17" i="109"/>
  <c r="BA17" i="109" s="1"/>
  <c r="AX18" i="109"/>
  <c r="AX17" i="107"/>
  <c r="AY16" i="107"/>
  <c r="AZ16" i="107" s="1"/>
  <c r="BA16" i="107" s="1"/>
  <c r="AM14" i="99"/>
  <c r="AL15" i="99"/>
  <c r="AL24" i="110" l="1"/>
  <c r="AM23" i="110"/>
  <c r="AN23" i="110" s="1"/>
  <c r="AO23" i="110" s="1"/>
  <c r="AX19" i="109"/>
  <c r="AZ18" i="109"/>
  <c r="BA18" i="109" s="1"/>
  <c r="AX18" i="107"/>
  <c r="AY17" i="107"/>
  <c r="AZ17" i="107" s="1"/>
  <c r="BA17" i="107" s="1"/>
  <c r="AM15" i="99"/>
  <c r="AN15" i="99" s="1"/>
  <c r="AO15" i="99" s="1"/>
  <c r="AL16" i="99"/>
  <c r="AN14" i="99"/>
  <c r="AO14" i="99" s="1"/>
  <c r="AM24" i="110" l="1"/>
  <c r="AN24" i="110" s="1"/>
  <c r="AO24" i="110" s="1"/>
  <c r="AL25" i="110"/>
  <c r="AZ19" i="109"/>
  <c r="BA19" i="109" s="1"/>
  <c r="AX20" i="109"/>
  <c r="AX19" i="107"/>
  <c r="AY18" i="107"/>
  <c r="AZ18" i="107" s="1"/>
  <c r="BA18" i="107" s="1"/>
  <c r="AM16" i="99"/>
  <c r="AN16" i="99" s="1"/>
  <c r="AO16" i="99" s="1"/>
  <c r="AL17" i="99"/>
  <c r="I12" i="45"/>
  <c r="AW12" i="45" s="1"/>
  <c r="AM25" i="110" l="1"/>
  <c r="AN25" i="110" s="1"/>
  <c r="AO25" i="110" s="1"/>
  <c r="AL26" i="110"/>
  <c r="AZ20" i="109"/>
  <c r="BA20" i="109" s="1"/>
  <c r="AX21" i="109"/>
  <c r="AY19" i="107"/>
  <c r="AZ19" i="107" s="1"/>
  <c r="BA19" i="107" s="1"/>
  <c r="AX20" i="107"/>
  <c r="AL18" i="99"/>
  <c r="AM17" i="99"/>
  <c r="AN17" i="99" s="1"/>
  <c r="AO17" i="99" s="1"/>
  <c r="AL27" i="110" l="1"/>
  <c r="AM26" i="110"/>
  <c r="AN26" i="110" s="1"/>
  <c r="AO26" i="110" s="1"/>
  <c r="AX22" i="109"/>
  <c r="AZ21" i="109"/>
  <c r="BA21" i="109" s="1"/>
  <c r="AX21" i="107"/>
  <c r="AY20" i="107"/>
  <c r="AZ20" i="107" s="1"/>
  <c r="BA20" i="107" s="1"/>
  <c r="AM18" i="99"/>
  <c r="AN18" i="99" s="1"/>
  <c r="AO18" i="99" s="1"/>
  <c r="AL19" i="99"/>
  <c r="AM27" i="110" l="1"/>
  <c r="AN27" i="110" s="1"/>
  <c r="AO27" i="110" s="1"/>
  <c r="AL28" i="110"/>
  <c r="AZ22" i="109"/>
  <c r="BA22" i="109" s="1"/>
  <c r="AX23" i="109"/>
  <c r="AX22" i="107"/>
  <c r="AY21" i="107"/>
  <c r="AZ21" i="107" s="1"/>
  <c r="BA21" i="107" s="1"/>
  <c r="AL20" i="99"/>
  <c r="AM19" i="99"/>
  <c r="AN19" i="99" s="1"/>
  <c r="AO19" i="99" s="1"/>
  <c r="AL29" i="110" l="1"/>
  <c r="AM28" i="110"/>
  <c r="AN28" i="110" s="1"/>
  <c r="AO28" i="110" s="1"/>
  <c r="AZ23" i="109"/>
  <c r="BA23" i="109" s="1"/>
  <c r="AX24" i="109"/>
  <c r="AX23" i="107"/>
  <c r="AY22" i="107"/>
  <c r="AZ22" i="107" s="1"/>
  <c r="BA22" i="107" s="1"/>
  <c r="AM20" i="99"/>
  <c r="AN20" i="99" s="1"/>
  <c r="AO20" i="99" s="1"/>
  <c r="AL21" i="99"/>
  <c r="AM29" i="110" l="1"/>
  <c r="AN29" i="110" s="1"/>
  <c r="AO29" i="110" s="1"/>
  <c r="AL30" i="110"/>
  <c r="AX25" i="109"/>
  <c r="AZ24" i="109"/>
  <c r="BA24" i="109" s="1"/>
  <c r="AY23" i="107"/>
  <c r="AZ23" i="107" s="1"/>
  <c r="BA23" i="107" s="1"/>
  <c r="AX24" i="107"/>
  <c r="AL22" i="99"/>
  <c r="AM21" i="99"/>
  <c r="AN21" i="99" s="1"/>
  <c r="AO21" i="99" s="1"/>
  <c r="AL31" i="110" l="1"/>
  <c r="AM30" i="110"/>
  <c r="AN30" i="110" s="1"/>
  <c r="AO30" i="110" s="1"/>
  <c r="AZ25" i="109"/>
  <c r="BA25" i="109" s="1"/>
  <c r="AX26" i="109"/>
  <c r="AX25" i="107"/>
  <c r="AY24" i="107"/>
  <c r="AZ24" i="107" s="1"/>
  <c r="BA24" i="107" s="1"/>
  <c r="AM22" i="99"/>
  <c r="AN22" i="99" s="1"/>
  <c r="AO22" i="99" s="1"/>
  <c r="AL23" i="99"/>
  <c r="AL32" i="110" l="1"/>
  <c r="AM31" i="110"/>
  <c r="AN31" i="110" s="1"/>
  <c r="AO31" i="110" s="1"/>
  <c r="AZ26" i="109"/>
  <c r="BA26" i="109" s="1"/>
  <c r="AX27" i="109"/>
  <c r="AX26" i="107"/>
  <c r="AY25" i="107"/>
  <c r="AZ25" i="107" s="1"/>
  <c r="BA25" i="107" s="1"/>
  <c r="AL24" i="99"/>
  <c r="AM23" i="99"/>
  <c r="AN23" i="99" s="1"/>
  <c r="AO23" i="99" s="1"/>
  <c r="AM32" i="110" l="1"/>
  <c r="AN32" i="110" s="1"/>
  <c r="AO32" i="110" s="1"/>
  <c r="AL33" i="110"/>
  <c r="AX28" i="109"/>
  <c r="AZ27" i="109"/>
  <c r="BA27" i="109" s="1"/>
  <c r="AX27" i="107"/>
  <c r="AY26" i="107"/>
  <c r="AZ26" i="107" s="1"/>
  <c r="BA26" i="107" s="1"/>
  <c r="AM24" i="99"/>
  <c r="AN24" i="99" s="1"/>
  <c r="AO24" i="99" s="1"/>
  <c r="AL25" i="99"/>
  <c r="AL34" i="110" l="1"/>
  <c r="AM33" i="110"/>
  <c r="AN33" i="110" s="1"/>
  <c r="AO33" i="110" s="1"/>
  <c r="AZ28" i="109"/>
  <c r="BA28" i="109" s="1"/>
  <c r="AX29" i="109"/>
  <c r="AX28" i="107"/>
  <c r="AY27" i="107"/>
  <c r="AZ27" i="107" s="1"/>
  <c r="BA27" i="107" s="1"/>
  <c r="AL26" i="99"/>
  <c r="AM25" i="99"/>
  <c r="AN25" i="99" s="1"/>
  <c r="AO25" i="99" s="1"/>
  <c r="AM34" i="110" l="1"/>
  <c r="AN34" i="110" s="1"/>
  <c r="AO34" i="110" s="1"/>
  <c r="AL35" i="110"/>
  <c r="AZ29" i="109"/>
  <c r="BA29" i="109" s="1"/>
  <c r="AX30" i="109"/>
  <c r="AX29" i="107"/>
  <c r="AY28" i="107"/>
  <c r="AZ28" i="107" s="1"/>
  <c r="BA28" i="107" s="1"/>
  <c r="AL27" i="99"/>
  <c r="AM26" i="99"/>
  <c r="AN26" i="99" s="1"/>
  <c r="AO26" i="99" s="1"/>
  <c r="AL36" i="110" l="1"/>
  <c r="AM35" i="110"/>
  <c r="AN35" i="110" s="1"/>
  <c r="AO35" i="110" s="1"/>
  <c r="AX31" i="109"/>
  <c r="AZ30" i="109"/>
  <c r="BA30" i="109" s="1"/>
  <c r="AX30" i="107"/>
  <c r="AY29" i="107"/>
  <c r="AZ29" i="107" s="1"/>
  <c r="BA29" i="107" s="1"/>
  <c r="AL28" i="99"/>
  <c r="AM27" i="99"/>
  <c r="AN27" i="99" s="1"/>
  <c r="AO27" i="99" s="1"/>
  <c r="AM36" i="110" l="1"/>
  <c r="AN36" i="110" s="1"/>
  <c r="AO36" i="110" s="1"/>
  <c r="AL37" i="110"/>
  <c r="AZ31" i="109"/>
  <c r="BA31" i="109" s="1"/>
  <c r="AX32" i="109"/>
  <c r="AX31" i="107"/>
  <c r="AY30" i="107"/>
  <c r="AZ30" i="107" s="1"/>
  <c r="BA30" i="107" s="1"/>
  <c r="AL29" i="99"/>
  <c r="AM28" i="99"/>
  <c r="AN28" i="99" s="1"/>
  <c r="AO28" i="99" s="1"/>
  <c r="AM37" i="110" l="1"/>
  <c r="AN37" i="110" s="1"/>
  <c r="AO37" i="110" s="1"/>
  <c r="AL38" i="110"/>
  <c r="AZ32" i="109"/>
  <c r="BA32" i="109" s="1"/>
  <c r="AX33" i="109"/>
  <c r="AX32" i="107"/>
  <c r="AY31" i="107"/>
  <c r="AZ31" i="107" s="1"/>
  <c r="BA31" i="107" s="1"/>
  <c r="AL30" i="99"/>
  <c r="AM29" i="99"/>
  <c r="AN29" i="99" s="1"/>
  <c r="AO29" i="99" s="1"/>
  <c r="AL39" i="110" l="1"/>
  <c r="AM38" i="110"/>
  <c r="AN38" i="110" s="1"/>
  <c r="AO38" i="110" s="1"/>
  <c r="AX34" i="109"/>
  <c r="AZ33" i="109"/>
  <c r="BA33" i="109" s="1"/>
  <c r="AX33" i="107"/>
  <c r="AY32" i="107"/>
  <c r="AZ32" i="107" s="1"/>
  <c r="BA32" i="107" s="1"/>
  <c r="AL31" i="99"/>
  <c r="AM30" i="99"/>
  <c r="AN30" i="99" s="1"/>
  <c r="AO30" i="99" s="1"/>
  <c r="AM39" i="110" l="1"/>
  <c r="AN39" i="110" s="1"/>
  <c r="AO39" i="110" s="1"/>
  <c r="AL40" i="110"/>
  <c r="AZ34" i="109"/>
  <c r="BA34" i="109" s="1"/>
  <c r="AX35" i="109"/>
  <c r="AX34" i="107"/>
  <c r="AY33" i="107"/>
  <c r="AZ33" i="107" s="1"/>
  <c r="BA33" i="107" s="1"/>
  <c r="AL32" i="99"/>
  <c r="AM31" i="99"/>
  <c r="AN31" i="99" s="1"/>
  <c r="AO31" i="99" s="1"/>
  <c r="AL41" i="110" l="1"/>
  <c r="AM40" i="110"/>
  <c r="AN40" i="110" s="1"/>
  <c r="AO40" i="110" s="1"/>
  <c r="AZ35" i="109"/>
  <c r="BA35" i="109" s="1"/>
  <c r="AX36" i="109"/>
  <c r="AX35" i="107"/>
  <c r="AY34" i="107"/>
  <c r="AZ34" i="107" s="1"/>
  <c r="BA34" i="107" s="1"/>
  <c r="AM32" i="99"/>
  <c r="AN32" i="99" s="1"/>
  <c r="AO32" i="99" s="1"/>
  <c r="AL33" i="99"/>
  <c r="AM41" i="110" l="1"/>
  <c r="AN41" i="110" s="1"/>
  <c r="AO41" i="110" s="1"/>
  <c r="AL42" i="110"/>
  <c r="AX37" i="109"/>
  <c r="AZ36" i="109"/>
  <c r="BA36" i="109" s="1"/>
  <c r="AX36" i="107"/>
  <c r="AY35" i="107"/>
  <c r="AZ35" i="107" s="1"/>
  <c r="BA35" i="107" s="1"/>
  <c r="AL34" i="99"/>
  <c r="AM33" i="99"/>
  <c r="AN33" i="99" s="1"/>
  <c r="AO33" i="99" s="1"/>
  <c r="AL43" i="110" l="1"/>
  <c r="AM42" i="110"/>
  <c r="AN42" i="110" s="1"/>
  <c r="AO42" i="110" s="1"/>
  <c r="AZ37" i="109"/>
  <c r="BA37" i="109" s="1"/>
  <c r="AX38" i="109"/>
  <c r="AX37" i="107"/>
  <c r="AY36" i="107"/>
  <c r="AZ36" i="107" s="1"/>
  <c r="BA36" i="107" s="1"/>
  <c r="AL35" i="99"/>
  <c r="AM34" i="99"/>
  <c r="AN34" i="99" s="1"/>
  <c r="AO34" i="99" s="1"/>
  <c r="AL44" i="110" l="1"/>
  <c r="AM44" i="110" s="1"/>
  <c r="AM43" i="110"/>
  <c r="AN43" i="110" s="1"/>
  <c r="AO43" i="110" s="1"/>
  <c r="AX39" i="109"/>
  <c r="AZ38" i="109"/>
  <c r="BA38" i="109" s="1"/>
  <c r="AX38" i="107"/>
  <c r="AY37" i="107"/>
  <c r="AZ37" i="107" s="1"/>
  <c r="BA37" i="107" s="1"/>
  <c r="AL36" i="99"/>
  <c r="AM35" i="99"/>
  <c r="AN35" i="99" s="1"/>
  <c r="AO35" i="99" s="1"/>
  <c r="AN44" i="110" l="1"/>
  <c r="AO44" i="110" s="1"/>
  <c r="AO45" i="110" s="1"/>
  <c r="BA2" i="110" s="1"/>
  <c r="AZ15" i="45" s="1"/>
  <c r="AM45" i="110"/>
  <c r="BB2" i="110" s="1"/>
  <c r="AZ39" i="109"/>
  <c r="BA39" i="109" s="1"/>
  <c r="AX40" i="109"/>
  <c r="AZ40" i="109" s="1"/>
  <c r="BA40" i="109" s="1"/>
  <c r="BA41" i="109" s="1"/>
  <c r="AX39" i="107"/>
  <c r="AY38" i="107"/>
  <c r="AZ38" i="107" s="1"/>
  <c r="BA38" i="107" s="1"/>
  <c r="AL37" i="99"/>
  <c r="AM36" i="99"/>
  <c r="AN36" i="99" s="1"/>
  <c r="AO36" i="99" s="1"/>
  <c r="BE13" i="45" l="1"/>
  <c r="AY39" i="107"/>
  <c r="AZ39" i="107" s="1"/>
  <c r="BA39" i="107" s="1"/>
  <c r="AX40" i="107"/>
  <c r="AY40" i="107" s="1"/>
  <c r="AM37" i="99"/>
  <c r="AN37" i="99" s="1"/>
  <c r="AO37" i="99" s="1"/>
  <c r="AL38" i="99"/>
  <c r="AZ40" i="107" l="1"/>
  <c r="BA40" i="107" s="1"/>
  <c r="BA41" i="107" s="1"/>
  <c r="AY41" i="107"/>
  <c r="AM38" i="99"/>
  <c r="AN38" i="99" s="1"/>
  <c r="AO38" i="99" s="1"/>
  <c r="AL39" i="99"/>
  <c r="AM39" i="99" l="1"/>
  <c r="AN39" i="99" s="1"/>
  <c r="AO39" i="99" s="1"/>
  <c r="AL40" i="99"/>
  <c r="AM40" i="99" l="1"/>
  <c r="AN40" i="99" s="1"/>
  <c r="AO40" i="99" s="1"/>
  <c r="AL41" i="99"/>
  <c r="AM41" i="99" l="1"/>
  <c r="AN41" i="99" s="1"/>
  <c r="AO41" i="99" s="1"/>
  <c r="AL42" i="99"/>
  <c r="AM42" i="99" l="1"/>
  <c r="AN42" i="99" s="1"/>
  <c r="AO42" i="99" s="1"/>
  <c r="AL43" i="99"/>
  <c r="AM43" i="99" l="1"/>
  <c r="AN43" i="99" s="1"/>
  <c r="AO43" i="99" s="1"/>
  <c r="AL44" i="99"/>
  <c r="AM44" i="99" s="1"/>
  <c r="AN44" i="99" l="1"/>
  <c r="AO44" i="99" s="1"/>
  <c r="AO45" i="99" s="1"/>
  <c r="BA2" i="99" s="1"/>
  <c r="AM45" i="99"/>
  <c r="BB2" i="99" s="1"/>
  <c r="BA16" i="45" l="1"/>
  <c r="K10" i="64" s="1"/>
  <c r="AZ16" i="45"/>
  <c r="K11" i="64" s="1"/>
  <c r="M12" i="45" l="1"/>
  <c r="O12" i="45" s="1"/>
  <c r="B16" i="45"/>
  <c r="AO12" i="45"/>
  <c r="N12" i="45" l="1"/>
  <c r="T12" i="45" s="1"/>
  <c r="AP12" i="45"/>
  <c r="AR12" i="45" s="1"/>
  <c r="P12" i="45"/>
  <c r="U12" i="45" s="1"/>
  <c r="N7" i="63"/>
  <c r="N8" i="63" s="1"/>
  <c r="AA12" i="45"/>
  <c r="AB12" i="45" s="1"/>
  <c r="AG12" i="45" s="1"/>
  <c r="Z12" i="45"/>
  <c r="AF12" i="45" s="1"/>
  <c r="AU12" i="45" l="1"/>
  <c r="AU16" i="45" s="1"/>
  <c r="AR16" i="45"/>
  <c r="AH12" i="45"/>
  <c r="AK12" i="45"/>
  <c r="V12" i="45"/>
  <c r="Y12" i="45"/>
  <c r="Y16" i="45" s="1"/>
  <c r="AN12" i="45" l="1"/>
  <c r="AN16" i="45" s="1"/>
  <c r="K8" i="64" s="1"/>
  <c r="K9" i="64" s="1" a="1"/>
  <c r="K9" i="64" s="1"/>
  <c r="AK16" i="45"/>
  <c r="AL12" i="45"/>
  <c r="AL16" i="45" s="1"/>
  <c r="K7" i="64" s="1"/>
  <c r="AM12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tc={E58C7751-D100-3043-8A2B-D49980DE41F8}</author>
    <author>tc={DB117495-74B2-6A48-B3E7-18DECDA1C8F1}</author>
    <author>tc={78537B5D-0C1E-7543-954D-57E0882F58A8}</author>
    <author>tc={20356944-402C-084B-8ECC-E64EE43C2BF7}</author>
    <author>tc={F825E008-475F-ED47-92CB-81749DF35284}</author>
    <author>tc={9E0A5074-AF0B-9F42-BE2C-0A73C11674B7}</author>
    <author>tc={48FA2B7B-833F-634C-9610-94B91957B95A}</author>
    <author>tc={9DF007F6-7F62-A74C-9CF0-09469FE2BFFE}</author>
    <author>tc={57D29A12-2EB9-234C-B32E-45CA7306F2B4}</author>
    <author>tc={B740EF93-38A1-D64A-9021-E067C964D4E8}</author>
    <author>tc={D477A2FA-7217-544F-9033-B0C7EEB110D7}</author>
  </authors>
  <commentList>
    <comment ref="Z4" authorId="0" shapeId="0" xr:uid="{E58C7751-D100-3043-8A2B-D49980DE4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DB117495-74B2-6A48-B3E7-18DECDA1C8F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78537B5D-0C1E-7543-954D-57E0882F58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20356944-402C-084B-8ECC-E64EE43C2BF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F825E008-475F-ED47-92CB-81749DF352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E0A5074-AF0B-9F42-BE2C-0A73C11674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48FA2B7B-833F-634C-9610-94B91957B95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9DF007F6-7F62-A74C-9CF0-09469FE2B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57D29A12-2EB9-234C-B32E-45CA7306F2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B740EF93-38A1-D64A-9021-E067C964D4E8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10" shapeId="0" xr:uid="{D477A2FA-7217-544F-9033-B0C7EEB110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tc={10D6E60D-B83B-43B5-BF6C-0647D072EB01}</author>
  </authors>
  <commentList>
    <comment ref="Q2" authorId="0" shapeId="0" xr:uid="{10D6E60D-B83B-43B5-BF6C-0647D072EB01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tc={67B625E8-2E06-4BF3-A1C5-ADB251BA3E00}</author>
    <author>tc={91F949DB-0CE3-4FF6-8A41-66FFCC0C431F}</author>
    <author>tc={7AD46A32-DC02-4A32-80C7-C77DACAB08CE}</author>
    <author>tc={2B939F13-40CA-4729-8ADB-358C10AFDC07}</author>
  </authors>
  <commentList>
    <comment ref="E2" authorId="0" shapeId="0" xr:uid="{67B625E8-2E06-4BF3-A1C5-ADB251BA3E00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O2" authorId="1" shapeId="0" xr:uid="{91F949DB-0CE3-4FF6-8A41-66FFCC0C431F}">
      <text>
        <t>[Threaded comment]
Your version of Excel allows you to read this threaded comment; however, any edits to it will get removed if the file is opened in a newer version of Excel. Learn more: https://go.microsoft.com/fwlink/?linkid=870924
Comment:
    To be inputted Manually if the total occupancy seems high</t>
      </text>
    </comment>
    <comment ref="V2" authorId="2" shapeId="0" xr:uid="{7AD46A32-DC02-4A32-80C7-C77DACAB08C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M2" authorId="3" shapeId="0" xr:uid="{2B939F13-40CA-4729-8ADB-358C10AFDC0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tc={AD44BA8E-07C1-4980-A850-DB84FEE6F9EE}</author>
    <author>tc={B98EF468-64F4-4B13-B3F6-F01339A9CE6E}</author>
    <author>tc={FB199123-0F0C-46AA-8F1D-813D549B6E95}</author>
    <author>tc={7A3F34D9-29B6-4410-BCE4-F8146509CC82}</author>
    <author>tc={4D5D7988-98F9-46BE-AB8D-767292F8BE0C}</author>
    <author>tc={FB53CA2D-E3E0-47E6-B38E-A661F98CD2AC}</author>
    <author>tc={C3DAA1E3-D648-480D-89A3-A1453D17A81F}</author>
    <author>tc={522D8303-30D2-410C-B702-C94293377092}</author>
    <author>tc={DD86F827-D639-4F7F-9CA8-871BDDE53A84}</author>
    <author>tc={51221651-72AD-4266-BADB-85D71BF4DF8C}</author>
    <author>tc={AE3D96DC-C7F4-4513-BF3D-73A605E8750C}</author>
  </authors>
  <commentList>
    <comment ref="Z4" authorId="0" shapeId="0" xr:uid="{AD44BA8E-07C1-4980-A850-DB84FEE6F9E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B98EF468-64F4-4B13-B3F6-F01339A9CE6E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FB199123-0F0C-46AA-8F1D-813D549B6E9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A3F34D9-29B6-4410-BCE4-F8146509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4D5D7988-98F9-46BE-AB8D-767292F8BE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FB53CA2D-E3E0-47E6-B38E-A661F98CD2A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C3DAA1E3-D648-480D-89A3-A1453D17A81F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522D8303-30D2-410C-B702-C94293377092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DD86F827-D639-4F7F-9CA8-871BDDE53A8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51221651-72AD-4266-BADB-85D71BF4DF8C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10" shapeId="0" xr:uid="{AE3D96DC-C7F4-4513-BF3D-73A605E8750C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D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AV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tc={9CA4B69A-D90F-4871-8F75-C811F2AC2E34}</author>
  </authors>
  <commentList>
    <comment ref="Q2" authorId="0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tc={4E5A4463-7793-4AC4-A59E-2608060717A3}</author>
    <author>tc={37A41AF8-43E0-4E53-97C1-7B232202F572}</author>
    <author>tc={6AA7AC04-FAAA-4D66-BDEA-A5CAE99FC69E}</author>
    <author>tc={8B74483E-F39A-48BC-9A4F-F2282AE37744}</author>
  </authors>
  <commentList>
    <comment ref="E2" authorId="0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O2" authorId="1" shapeId="0" xr:uid="{37A41AF8-43E0-4E53-97C1-7B232202F572}">
      <text>
        <t>[Threaded comment]
Your version of Excel allows you to read this threaded comment; however, any edits to it will get removed if the file is opened in a newer version of Excel. Learn more: https://go.microsoft.com/fwlink/?linkid=870924
Comment:
    To be inputted Manually if the total occupancy seems high</t>
      </text>
    </comment>
    <comment ref="V2" authorId="2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M2" authorId="3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<sst xmlns="http://schemas.openxmlformats.org/spreadsheetml/2006/main" count="2309" uniqueCount="701">
  <si>
    <t>HG
(FT)</t>
  </si>
  <si>
    <t>Area Designation</t>
  </si>
  <si>
    <t>Air Balance Rerationship to Adjacent Areas</t>
  </si>
  <si>
    <t>Minimum Air Changes of Outdoor Air per Hour</t>
  </si>
  <si>
    <t>Minimum Total Air Changes per Hour</t>
  </si>
  <si>
    <t>DB</t>
  </si>
  <si>
    <t>ROOM</t>
  </si>
  <si>
    <t>RA CFM</t>
  </si>
  <si>
    <t>EA CFM</t>
  </si>
  <si>
    <t>Transfer Air CFM</t>
  </si>
  <si>
    <t>Balance?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</si>
  <si>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</si>
  <si>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</si>
  <si>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</si>
  <si>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</si>
  <si>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</si>
  <si>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</si>
  <si>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</si>
  <si>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</si>
  <si>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</si>
  <si>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</si>
  <si>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</si>
  <si>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</si>
  <si>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</si>
  <si>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</si>
  <si>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</si>
  <si>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</si>
  <si>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</si>
  <si>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</si>
  <si>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</si>
  <si>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NR</t>
  </si>
  <si>
    <t>ROOM #</t>
  </si>
  <si>
    <t>100%
EA</t>
  </si>
  <si>
    <t>P</t>
  </si>
  <si>
    <t>GPM</t>
  </si>
  <si>
    <t>EWT</t>
  </si>
  <si>
    <t>EAT</t>
  </si>
  <si>
    <t>CFM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</si>
  <si>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</si>
  <si>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</si>
  <si>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</si>
  <si>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</si>
  <si>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</si>
  <si>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</si>
  <si>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</si>
  <si>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</si>
  <si>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Psych (sensible)</t>
  </si>
  <si>
    <t>Unit Loads - Psych (dehumidification)</t>
  </si>
  <si>
    <t>Summer Outside Air (dehumidification)</t>
  </si>
  <si>
    <t>Winter Outside</t>
  </si>
  <si>
    <t>(MBH)</t>
  </si>
  <si>
    <t>SUMMER DESIGN</t>
  </si>
  <si>
    <t>WINTER DESIGN</t>
  </si>
  <si>
    <t>COOLING</t>
  </si>
  <si>
    <t>MCDB</t>
  </si>
  <si>
    <t>HR</t>
  </si>
  <si>
    <t>OSA PERCENT</t>
  </si>
  <si>
    <t>OA PERCENT</t>
  </si>
  <si>
    <t>V-Lookup</t>
  </si>
  <si>
    <t>Size</t>
  </si>
  <si>
    <t>CALCULATED SA CFM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</si>
  <si>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</si>
  <si>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</si>
  <si>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</si>
  <si>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</si>
  <si>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</si>
  <si>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</si>
  <si>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</si>
  <si>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</si>
  <si>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</si>
  <si>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MIN MBH</t>
  </si>
  <si>
    <t>DESIGN 
LAT</t>
  </si>
  <si>
    <t>DESIGN 
LWT</t>
  </si>
  <si>
    <t>PATIENT ROOM</t>
  </si>
  <si>
    <t>PRE - HEATING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</si>
  <si>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</si>
  <si>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</si>
  <si>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</si>
  <si>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</si>
  <si>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</si>
  <si>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</si>
  <si>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</si>
  <si>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</si>
  <si>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</si>
  <si>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</si>
  <si>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</si>
  <si>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</si>
  <si>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</si>
  <si>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</si>
  <si>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BLOOD DRAW/PHLEBOTOMY</t>
  </si>
  <si>
    <t>YES</t>
  </si>
  <si>
    <t>ZONE</t>
  </si>
  <si>
    <t>TOTAL AC/HR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</si>
  <si>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</si>
  <si>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</si>
  <si>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</si>
  <si>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</si>
  <si>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</si>
  <si>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</si>
  <si>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</si>
  <si>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</si>
  <si>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</si>
  <si>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</si>
  <si>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</si>
  <si>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</si>
  <si>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</si>
  <si>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</si>
  <si>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</si>
  <si>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</si>
  <si>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</si>
  <si>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</si>
  <si>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</si>
  <si>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</si>
  <si>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</si>
  <si>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</si>
  <si>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</si>
  <si>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</si>
  <si>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</si>
  <si>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</si>
  <si>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</si>
  <si>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</si>
  <si>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</si>
  <si>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</si>
  <si>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</si>
  <si>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</si>
  <si>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</si>
  <si>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</si>
  <si>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</si>
  <si>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</si>
  <si>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</si>
  <si>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</si>
  <si>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</si>
  <si>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</si>
  <si>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</si>
  <si>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</si>
  <si>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</si>
  <si>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</si>
  <si>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</si>
  <si>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</si>
  <si>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</si>
  <si>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</si>
  <si>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</si>
  <si>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</si>
  <si>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</si>
  <si>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</si>
  <si>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</si>
  <si>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</si>
  <si>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</si>
  <si>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</si>
  <si>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</si>
  <si>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</si>
  <si>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</si>
  <si>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</si>
  <si>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</si>
  <si>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</si>
  <si>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</si>
  <si>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</si>
  <si>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</si>
  <si>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</si>
  <si>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</si>
  <si>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</si>
  <si>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</si>
  <si>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</si>
  <si>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</si>
  <si>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</si>
  <si>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</si>
  <si>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</si>
  <si>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</si>
  <si>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</si>
  <si>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</si>
  <si>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</si>
  <si>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</si>
  <si>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</si>
  <si>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</si>
  <si>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</si>
  <si>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</si>
  <si>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</si>
  <si>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</si>
  <si>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</si>
  <si>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</si>
  <si>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</si>
  <si>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</si>
  <si>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</si>
  <si>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</si>
  <si>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</si>
  <si>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</si>
  <si>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</si>
  <si>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</si>
  <si>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</si>
  <si>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</si>
  <si>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</si>
  <si>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</si>
  <si>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</si>
  <si>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</si>
  <si>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</si>
  <si>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</si>
  <si>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</si>
  <si>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</si>
  <si>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</si>
  <si>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</si>
  <si>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</si>
  <si>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</si>
  <si>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</si>
  <si>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</si>
  <si>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</si>
  <si>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</si>
  <si>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</si>
  <si>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</si>
  <si>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</si>
  <si>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</si>
  <si>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</si>
  <si>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</si>
  <si>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</si>
  <si>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</si>
  <si>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</si>
  <si>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</si>
  <si>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</si>
  <si>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</si>
  <si>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</si>
  <si>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</si>
  <si>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</si>
  <si>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</si>
  <si>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</si>
  <si>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</si>
  <si>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</si>
  <si>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</si>
  <si>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</si>
  <si>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</si>
  <si>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</si>
  <si>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</si>
  <si>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</si>
  <si>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</si>
  <si>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</si>
  <si>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</si>
  <si>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</si>
  <si>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</si>
  <si>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</si>
  <si>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</si>
  <si>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</si>
  <si>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</si>
  <si>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SUPPLY FAN VFD</t>
  </si>
  <si>
    <t>AHU NAME</t>
  </si>
  <si>
    <t>RETURN FAN</t>
  </si>
  <si>
    <t>RETURN FAN VFD</t>
  </si>
  <si>
    <t>NO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</si>
  <si>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</si>
  <si>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</si>
  <si>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</si>
  <si>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</si>
  <si>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</si>
  <si>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</si>
  <si>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</si>
  <si>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</si>
  <si>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</si>
  <si>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ATFP DAMPERS</t>
  </si>
  <si>
    <t>HUMIDIFIER</t>
  </si>
  <si>
    <t>HEPA FILTER</t>
  </si>
  <si>
    <t>RETURN CONFIG</t>
  </si>
  <si>
    <t>DISCHARGE CONFIG</t>
  </si>
  <si>
    <t xml:space="preserve">END </t>
  </si>
  <si>
    <t>SIDE</t>
  </si>
  <si>
    <t>DOWN</t>
  </si>
  <si>
    <t>MERV 8</t>
  </si>
  <si>
    <t>MERV 9</t>
  </si>
  <si>
    <t>MERV 10</t>
  </si>
  <si>
    <t>MERV 11</t>
  </si>
  <si>
    <t>MERV 12</t>
  </si>
  <si>
    <t>MERV 13</t>
  </si>
  <si>
    <t>MERV 14</t>
  </si>
  <si>
    <t>PLATE FRAME HEAT EXCHANGER</t>
  </si>
  <si>
    <t>ENTHALPY WHEEL</t>
  </si>
  <si>
    <t>AHU OPTIONS MATRIX</t>
  </si>
  <si>
    <t>CURRENT % OA</t>
  </si>
  <si>
    <t>Number of Chillers</t>
  </si>
  <si>
    <t>number of CHW Pumps</t>
  </si>
  <si>
    <t>Column1</t>
  </si>
  <si>
    <t>Diversity %</t>
  </si>
  <si>
    <t>CHW Total Flow</t>
  </si>
  <si>
    <t>EA
(CFM)</t>
  </si>
  <si>
    <t>LOAD (CFM)</t>
  </si>
  <si>
    <t>INTERMIDIATE FILTER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</si>
  <si>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</si>
  <si>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</si>
  <si>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</si>
  <si>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</si>
  <si>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</si>
  <si>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</si>
  <si>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</si>
  <si>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</si>
  <si>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</si>
  <si>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</si>
  <si>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</si>
  <si>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</si>
  <si>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</si>
  <si>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</si>
  <si>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</si>
  <si>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</si>
  <si>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</si>
  <si>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Bathing room</t>
  </si>
  <si>
    <t>Bathroom</t>
  </si>
  <si>
    <t>Bedpan room</t>
  </si>
  <si>
    <t>Blood bank/tissue storage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</si>
  <si>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</si>
  <si>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</si>
  <si>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</si>
  <si>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</si>
  <si>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</si>
  <si>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</si>
  <si>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</si>
  <si>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</si>
  <si>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</si>
  <si>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</si>
  <si>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</si>
  <si>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</si>
  <si>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</si>
  <si>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</si>
  <si>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</si>
  <si>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</si>
  <si>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</si>
  <si>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</si>
  <si>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</si>
  <si>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</si>
  <si>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</si>
  <si>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</si>
  <si>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</si>
  <si>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</si>
  <si>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Examination room</t>
  </si>
  <si>
    <t>Fast track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</si>
  <si>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</si>
  <si>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</si>
  <si>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</si>
  <si>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</si>
  <si>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</si>
  <si>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</si>
  <si>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</si>
  <si>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</si>
  <si>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</si>
  <si>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</si>
  <si>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</si>
  <si>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</si>
  <si>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</si>
  <si>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</si>
  <si>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</si>
  <si>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</si>
  <si>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</si>
  <si>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</si>
  <si>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</si>
  <si>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</si>
  <si>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</si>
  <si>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</si>
  <si>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</si>
  <si>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</si>
  <si>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</si>
  <si>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</si>
  <si>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</si>
  <si>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</si>
  <si>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</si>
  <si>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</si>
  <si>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</si>
  <si>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Laundry, general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</si>
  <si>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</si>
  <si>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</si>
  <si>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</si>
  <si>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</si>
  <si>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</si>
  <si>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</si>
  <si>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</si>
  <si>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</si>
  <si>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</si>
  <si>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</si>
  <si>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</si>
  <si>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</si>
  <si>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</si>
  <si>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</si>
  <si>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</si>
  <si>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</si>
  <si>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</si>
  <si>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</si>
  <si>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</si>
  <si>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</si>
  <si>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</si>
  <si>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</si>
  <si>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corridor</t>
  </si>
  <si>
    <t>Patient holding preparation</t>
  </si>
  <si>
    <t>Patient room</t>
  </si>
  <si>
    <t>Pediatric play area</t>
  </si>
  <si>
    <t xml:space="preserve">Pharmacy </t>
  </si>
  <si>
    <t>B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</si>
  <si>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</si>
  <si>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</si>
  <si>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</si>
  <si>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</si>
  <si>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</si>
  <si>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</si>
  <si>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</si>
  <si>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</si>
  <si>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</si>
  <si>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</si>
  <si>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</si>
  <si>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</si>
  <si>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</si>
  <si>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</si>
  <si>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</si>
  <si>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</si>
  <si>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</si>
  <si>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</si>
  <si>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</si>
  <si>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</si>
  <si>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</si>
  <si>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</si>
  <si>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</si>
  <si>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</si>
  <si>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</si>
  <si>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</si>
  <si>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</si>
  <si>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</si>
  <si>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</si>
  <si>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</si>
  <si>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</si>
  <si>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</si>
  <si>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</si>
  <si>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</si>
  <si>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</si>
  <si>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</si>
  <si>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</si>
  <si>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</si>
  <si>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</si>
  <si>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>C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</si>
  <si>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</si>
  <si>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</si>
  <si>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</si>
  <si>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</si>
  <si>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</si>
  <si>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</si>
  <si>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</si>
  <si>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</si>
  <si>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</si>
  <si>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</si>
  <si>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</si>
  <si>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</si>
  <si>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y</t>
  </si>
  <si>
    <t>q</t>
  </si>
  <si>
    <t>q,w</t>
  </si>
  <si>
    <t>1 or 0.5 CFM/SF</t>
  </si>
  <si>
    <t>Leaving Coil</t>
  </si>
  <si>
    <t>Admin (NOT PER TABLE 4A)</t>
  </si>
  <si>
    <t>OCCUPANCY CATEGORY</t>
  </si>
  <si>
    <t>OCCUPANCY SUBCATEGORY</t>
  </si>
  <si>
    <t>RP</t>
  </si>
  <si>
    <t>OCCUPANT DENSITY</t>
  </si>
  <si>
    <t>AIR CLASS</t>
  </si>
  <si>
    <t>OS</t>
  </si>
  <si>
    <t>EXHAUST RATE PER UNIT</t>
  </si>
  <si>
    <t>EXHAUST RATE PER AREA</t>
  </si>
  <si>
    <t xml:space="preserve">AIR CLASS </t>
  </si>
  <si>
    <t>NOTES</t>
  </si>
  <si>
    <t>Room Number</t>
  </si>
  <si>
    <t>Room</t>
  </si>
  <si>
    <t>Occupants</t>
  </si>
  <si>
    <t>OA Frac (Z)</t>
  </si>
  <si>
    <t>LOBBY</t>
  </si>
  <si>
    <t>Vbz</t>
  </si>
  <si>
    <t>Ez</t>
  </si>
  <si>
    <t>Voz</t>
  </si>
  <si>
    <t>Occupancy Subcategory</t>
  </si>
  <si>
    <t>CORRIDORS</t>
  </si>
  <si>
    <t>OFFICE STANDARD 
(CFM)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</si>
  <si>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</si>
  <si>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RP
(CFM/PER PERSON)</t>
  </si>
  <si>
    <t>RA
(CFM/FT²)</t>
  </si>
  <si>
    <t>TABLE 6-4</t>
  </si>
  <si>
    <t>Exhaust Category</t>
  </si>
  <si>
    <t>Exhaust Units</t>
  </si>
  <si>
    <t>ANIMAL FACILITIES</t>
  </si>
  <si>
    <t>ANIMAL EXAM ROOM (VETERINARY OFFICE)</t>
  </si>
  <si>
    <t>Occupancy Category</t>
  </si>
  <si>
    <t>Air Class</t>
  </si>
  <si>
    <t>OCCUPANT DENSITY
(#/1000 FT²)</t>
  </si>
  <si>
    <t>OUTSIDE AIRFLOW (CFM) (Vot)</t>
  </si>
  <si>
    <t>DESIGN</t>
  </si>
  <si>
    <t>ASHRAE 62.1 TABLE 6-1 AND 6-2</t>
  </si>
  <si>
    <t>ROOM DATA INPUTS</t>
  </si>
  <si>
    <t>MIN ASHRAE EA
(CFM)</t>
  </si>
  <si>
    <t>EA RATE
(CFM/FT²)</t>
  </si>
  <si>
    <t>EA RATE
(CFM/UNIT)</t>
  </si>
  <si>
    <t>TOTAL</t>
  </si>
  <si>
    <t>ANIMAL IMAGING (MRI/CT/PET)</t>
  </si>
  <si>
    <t>ANIMAL OPERATING ROOMS</t>
  </si>
  <si>
    <t>ANIMAL POSTOPERATIVE RECOVERY ROOM</t>
  </si>
  <si>
    <t>ANIMAL PREPARATION ROOMS</t>
  </si>
  <si>
    <t>ANIMAL PROCEDURE ROOM</t>
  </si>
  <si>
    <t>ANIMAL SURGERY SCRUB</t>
  </si>
  <si>
    <t>LARGE ANIMAL HOLDING ROOM</t>
  </si>
  <si>
    <t>NECROPSY</t>
  </si>
  <si>
    <t>SMALL-ANIMAL-CAGE ROOM (STATIC CAGES)</t>
  </si>
  <si>
    <t>SMALL-ANIMAL-CAGE ROOM (VENTILATED CAGES)</t>
  </si>
  <si>
    <t>CORRECTIONAL FACILITIES</t>
  </si>
  <si>
    <t>BOOKING/WAITING</t>
  </si>
  <si>
    <t>CELL</t>
  </si>
  <si>
    <t>DAYROOM</t>
  </si>
  <si>
    <t>GUARD STATIONS</t>
  </si>
  <si>
    <t>EDUCATIONAL FACILITIES</t>
  </si>
  <si>
    <t>ART CLASSROOM</t>
  </si>
  <si>
    <t>CLASSROOMS (AGES 5 TO 8)</t>
  </si>
  <si>
    <t>CLASSROOMS (AGES 9 PLUS)</t>
  </si>
  <si>
    <t>COMPUTER LAB</t>
  </si>
  <si>
    <t>DAYCARE SICKROOM</t>
  </si>
  <si>
    <t>DAYCARE (THROUGH AGE 4)</t>
  </si>
  <si>
    <t>LECTURE CLASSROOM</t>
  </si>
  <si>
    <t>LECTURE HALL (FIXED SEATS)</t>
  </si>
  <si>
    <t>LIBRARIES</t>
  </si>
  <si>
    <t>MEDIA CENTER</t>
  </si>
  <si>
    <t>MULTIUSE ASSEMBLY</t>
  </si>
  <si>
    <t>MUSIC/THEATER/DANCE</t>
  </si>
  <si>
    <t>SCIENCE LABORATORIES</t>
  </si>
  <si>
    <t>UNIVERSITY/COLLEGE LABORATORIES</t>
  </si>
  <si>
    <t>WOOD/METAL SHOP</t>
  </si>
  <si>
    <t>FOOD AND BEVERAGE SERVICE</t>
  </si>
  <si>
    <t>BARS, COCKTAIL LOUNGES</t>
  </si>
  <si>
    <t>CAFETERIA/FAST-FOOD DINING</t>
  </si>
  <si>
    <t>KITCHEN (COOKING)</t>
  </si>
  <si>
    <t>RESTAURANT DINING ROOMS</t>
  </si>
  <si>
    <t>GENERAL</t>
  </si>
  <si>
    <t>BREAK ROOMS</t>
  </si>
  <si>
    <t>COFFEE STATIONS</t>
  </si>
  <si>
    <t>CONFERENCE/MEETING</t>
  </si>
  <si>
    <t>OCCUPIABLE STORAGE ROOMS FOR LIQUIDS OR GELS</t>
  </si>
  <si>
    <t>HOTELS, MOTELS, RESORTS, DORMITORIES</t>
  </si>
  <si>
    <t>BARRACKS SLEEPING AREAS</t>
  </si>
  <si>
    <t>BEDROOM/LIVING ROOM</t>
  </si>
  <si>
    <t>LAUNDRY ROOMS, CENTRAL</t>
  </si>
  <si>
    <t>LAUNDRY ROOMS WITHIN DWELLING UNITS</t>
  </si>
  <si>
    <t>LOBBIES/PREFUNCTION</t>
  </si>
  <si>
    <t>MULTIPURPOSE ASSEMBLY</t>
  </si>
  <si>
    <t>MISCELLANEOUS SPACES</t>
  </si>
  <si>
    <t>BANKS OR BANKS LOBBIES</t>
  </si>
  <si>
    <t>BANK VAULTS/SAFE DEPOSIT</t>
  </si>
  <si>
    <t>COMPUTER (NOT PRINTING)</t>
  </si>
  <si>
    <t>FREEZER AND REFRIGERATED SPACES (&lt;50°F [10C])</t>
  </si>
  <si>
    <t>MANUFACTURING WHERE HAZARDOUS MATERIALS ARE NOT USED</t>
  </si>
  <si>
    <t>MANUFACTURING WHERE HAZARDOUS MATERIALS ARE USED (EXCLUDES HEAVY INDUSTRIAL AND CHEMICAL PROCESSES)</t>
  </si>
  <si>
    <t>PHARMACY (PREP. AREA)</t>
  </si>
  <si>
    <t>PHOTO STUDIOS</t>
  </si>
  <si>
    <t>SHIPPING/RECEIVING</t>
  </si>
  <si>
    <t>SORTING, PACKING, LIGHT ASSEMBLE</t>
  </si>
  <si>
    <t>TELEPHONE CLOSETS</t>
  </si>
  <si>
    <t>TRANSPORTATION WAITING</t>
  </si>
  <si>
    <t>WAREHOUSES</t>
  </si>
  <si>
    <t>OFFICE BUILDINGS</t>
  </si>
  <si>
    <t>BREAKROOMS</t>
  </si>
  <si>
    <t>MAIN ENTRY LOBBIES</t>
  </si>
  <si>
    <t>OCCUPIABLE STORAGE ROOMS FOR DRY MATERIALS</t>
  </si>
  <si>
    <t>OFFICE SPACE</t>
  </si>
  <si>
    <t>RECEPTION AREAS</t>
  </si>
  <si>
    <t>TELEPHONE/DATA ENTRY</t>
  </si>
  <si>
    <t>PUBLIC ASSEMBLY SPACES</t>
  </si>
  <si>
    <t>AUDITORIUM SEATING AREA</t>
  </si>
  <si>
    <t>COURTROOMS</t>
  </si>
  <si>
    <t>LEGISLATIVE CHAMBERS</t>
  </si>
  <si>
    <t>LOBBIES</t>
  </si>
  <si>
    <t>MUSEUMS (CHILDREN'S)</t>
  </si>
  <si>
    <t>MUSEUMS/GALLERIES</t>
  </si>
  <si>
    <t>PLACES OF RELIGIOUS WORSHIP</t>
  </si>
  <si>
    <t>RESIDENTIAL</t>
  </si>
  <si>
    <t>COMMON CORRIDORS</t>
  </si>
  <si>
    <t>RETAIL</t>
  </si>
  <si>
    <t>SALES (EXCEPT AS BELOW)</t>
  </si>
  <si>
    <t>BARBERSHOP</t>
  </si>
  <si>
    <t>BEAUTY AND NAIL SALONS</t>
  </si>
  <si>
    <t>COIN-OPERATED LAUNDRIES</t>
  </si>
  <si>
    <t>MALL COMMON AREAS</t>
  </si>
  <si>
    <t>PET SHOPS (ANIMAL AREAS)</t>
  </si>
  <si>
    <t>SUPERMARKET</t>
  </si>
  <si>
    <t>SPORTS AND ENTERTAINMENT</t>
  </si>
  <si>
    <t>BOWLING ALLEY (SEATING)</t>
  </si>
  <si>
    <t>DISCO/DANCE FLOORS</t>
  </si>
  <si>
    <t>GAMBLING CASINOS</t>
  </si>
  <si>
    <t>GAME ARCADES</t>
  </si>
  <si>
    <t>GYM, SPORTS ARENA (PLAY AREA)</t>
  </si>
  <si>
    <t>HEALTH CLUB/AEROBICS ROOM</t>
  </si>
  <si>
    <t>HEALTH CLUB/WEIGHT ROOMS</t>
  </si>
  <si>
    <t>SPECTATOR AREAS</t>
  </si>
  <si>
    <t>STAGES, STUDIOS</t>
  </si>
  <si>
    <t>SWIMMING (POOL AND DECK)</t>
  </si>
  <si>
    <t>LARGE-ANIMAL HOLDING ROOM</t>
  </si>
  <si>
    <t>ARENAS</t>
  </si>
  <si>
    <t>ART CLASSROOMS</t>
  </si>
  <si>
    <t>AUTO REPAIR ROOMS</t>
  </si>
  <si>
    <t>A</t>
  </si>
  <si>
    <t>BARBER SHOPS</t>
  </si>
  <si>
    <t>CELLS WITH TOILET</t>
  </si>
  <si>
    <t>COPY, PRINTING ROOMS</t>
  </si>
  <si>
    <t>DARKROOMS</t>
  </si>
  <si>
    <t>EDUCATIONAL SCIENCE LABORATORIES</t>
  </si>
  <si>
    <t>JANITOR CLOSETS, TRASH ROOMS, RECYCLING</t>
  </si>
  <si>
    <t>KITCHENETTES</t>
  </si>
  <si>
    <t>KITCHENS—COMMERICAL</t>
  </si>
  <si>
    <t>LOCKER ROOMS FOR ATHLETIC, INDUSTRIAL, AND HEALTH CARE FACILITIES</t>
  </si>
  <si>
    <t>ALL OTHER LOCKER ROOMS</t>
  </si>
  <si>
    <t>SHOWER ROOMS</t>
  </si>
  <si>
    <t>G,I</t>
  </si>
  <si>
    <t>PAINT SPRAY BOOTHS</t>
  </si>
  <si>
    <t>PARKING GARAGES</t>
  </si>
  <si>
    <t>REFRIGERATING MACHINERY ROOMS</t>
  </si>
  <si>
    <t>RESIDENTIAL KITCHENS</t>
  </si>
  <si>
    <t>SOILED LAUNDRY STORAGE ROOMS</t>
  </si>
  <si>
    <t>STORAGE ROOMS, CHEMICAL</t>
  </si>
  <si>
    <t>TOILETS—PRIVATE</t>
  </si>
  <si>
    <t>E.H</t>
  </si>
  <si>
    <t>TOILETS—PUBLIC</t>
  </si>
  <si>
    <t>D,H</t>
  </si>
  <si>
    <t>WOODWORK SHOP/CLASSROOMS</t>
  </si>
  <si>
    <t>NOT APPLICABLE</t>
  </si>
  <si>
    <t>Zone</t>
  </si>
  <si>
    <t>VAV-1-01</t>
  </si>
  <si>
    <t>VAV-1-02</t>
  </si>
  <si>
    <t>VAV-1-03</t>
  </si>
  <si>
    <t>VAV-1-04</t>
  </si>
  <si>
    <t>VAV-1-05</t>
  </si>
  <si>
    <t>VAV-1-06</t>
  </si>
  <si>
    <t>VAV-1-07</t>
  </si>
  <si>
    <t>VAV-1-08</t>
  </si>
  <si>
    <t>VAV-1-09</t>
  </si>
  <si>
    <t>VAV-1-10</t>
  </si>
  <si>
    <t>VAV-1-11</t>
  </si>
  <si>
    <t>VAV-1-12</t>
  </si>
  <si>
    <t>VAV-1-13</t>
  </si>
  <si>
    <t>VAV-1-14</t>
  </si>
  <si>
    <t>VAV-1-15</t>
  </si>
  <si>
    <t>VAV-1-16</t>
  </si>
  <si>
    <t>VAV-1-17</t>
  </si>
  <si>
    <t>VAV-1-18</t>
  </si>
  <si>
    <t>VAV-1-19</t>
  </si>
  <si>
    <t>VAV-1-20</t>
  </si>
  <si>
    <t>VAV-1-21</t>
  </si>
  <si>
    <t>VAV-1-22</t>
  </si>
  <si>
    <t>VAV-1-23</t>
  </si>
  <si>
    <t>VAV-1-24</t>
  </si>
  <si>
    <t>VAV-1-25</t>
  </si>
  <si>
    <t>VAV-1-26</t>
  </si>
  <si>
    <t>VAV-1-27</t>
  </si>
  <si>
    <t>VAV-1-28</t>
  </si>
  <si>
    <t>VAV-1-29</t>
  </si>
  <si>
    <t>VAV-1-30</t>
  </si>
  <si>
    <t>VAV-1-31</t>
  </si>
  <si>
    <t>VAV-1-32</t>
  </si>
  <si>
    <t>VAV-1-33</t>
  </si>
  <si>
    <t>VAV-1-34</t>
  </si>
  <si>
    <t>VAV-1-35</t>
  </si>
  <si>
    <t>VAV-1-36</t>
  </si>
  <si>
    <t>VAV-1-37</t>
  </si>
  <si>
    <t>VAV-1-38</t>
  </si>
  <si>
    <t>MIN VAV
(CFM)</t>
  </si>
  <si>
    <t>MAX VAV
(CFM)</t>
  </si>
  <si>
    <t>VAV INLET SIZE
(IN)</t>
  </si>
  <si>
    <t>MAX TOTAL VAV PD 
(IN W.G.)</t>
  </si>
  <si>
    <t>HEATING AIRFLOW 
(CFM)</t>
  </si>
  <si>
    <t>DESIGN SA(CFM)</t>
  </si>
  <si>
    <t xml:space="preserve">RETURN AIR </t>
  </si>
  <si>
    <t>DESIGN RA(CFM)</t>
  </si>
  <si>
    <t>DESIGN EA(CFM)</t>
  </si>
  <si>
    <t>Actual Number of  Occupants (Ps)</t>
  </si>
  <si>
    <t>Occupants (Pz)</t>
  </si>
  <si>
    <t>DIVERSITY (D)</t>
  </si>
  <si>
    <t>DESIGN RA (CFM)</t>
  </si>
  <si>
    <t>Uncorrected OA (Vou)</t>
  </si>
  <si>
    <t>System Efficiency (Ev)</t>
  </si>
  <si>
    <t>Zone OA (Voz)</t>
  </si>
  <si>
    <t>Zone Efficiency (Ez)</t>
  </si>
  <si>
    <t>Breathing Zone OA (Vbz)</t>
  </si>
  <si>
    <t>Climate Zone</t>
  </si>
  <si>
    <t>5A</t>
  </si>
  <si>
    <t>6A</t>
  </si>
  <si>
    <t>6B</t>
  </si>
  <si>
    <t>0A</t>
  </si>
  <si>
    <t>0B</t>
  </si>
  <si>
    <t>1B</t>
  </si>
  <si>
    <t>3A</t>
  </si>
  <si>
    <t>4A</t>
  </si>
  <si>
    <t>5B</t>
  </si>
  <si>
    <t>5C</t>
  </si>
  <si>
    <t>2A</t>
  </si>
  <si>
    <t>2B</t>
  </si>
  <si>
    <t>4C</t>
  </si>
  <si>
    <t>3B</t>
  </si>
  <si>
    <t>4B</t>
  </si>
  <si>
    <t>1A</t>
  </si>
  <si>
    <t>3C</t>
  </si>
  <si>
    <t>CLIMATE ZONE</t>
  </si>
  <si>
    <t>EXHAUST RECOVERY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</si>
  <si>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</si>
  <si>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MIN OA ALLOWABLE (WITH DCV)</t>
  </si>
  <si>
    <t>DESIGN VAV MIN SA(CFM)</t>
  </si>
  <si>
    <t>DESIGN VAV MAX SA(CFM)</t>
  </si>
  <si>
    <t>CO2 SENSOR</t>
  </si>
  <si>
    <t>AHU 1</t>
  </si>
  <si>
    <t>NA</t>
  </si>
  <si>
    <t>AC-1</t>
  </si>
  <si>
    <t>OFFICEQ</t>
  </si>
  <si>
    <t>AHU 2</t>
  </si>
  <si>
    <t>AHU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</si>
</sst>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</numFmts>
  <fonts count="57">
    <font>
      <sz val="10"/>
      <name val="Arial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u/>
      <sz val="12"/>
      <color theme="1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sz val="11"/>
      <name val="Arial"/>
      <family val="2"/>
    </font>
    <font>
      <sz val="9"/>
      <color indexed="81"/>
      <name val="Tahoma"/>
      <family val="2"/>
    </font>
    <font>
      <sz val="11"/>
      <color theme="3"/>
      <name val="Calibri (Body)"/>
    </font>
    <font>
      <sz val="11"/>
      <color theme="3"/>
      <name val="Century Gothic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</fills>
  <borders count="171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indexed="23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6">
    <xf numFmtId="0" fontId="0" fillId="0" borderId="0"/>
    <xf numFmtId="0" fontId="9" fillId="4" borderId="0"/>
    <xf numFmtId="0" fontId="12" fillId="7" borderId="0" applyNumberFormat="0" applyBorder="0" applyAlignment="0" applyProtection="0"/>
    <xf numFmtId="9" fontId="21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1" fillId="0" borderId="0"/>
  </cellStyleXfs>
  <cellXfs count="389">
    <xf numFmtId="0" fontId="0" fillId="0" borderId="0" xfId="0"/>
    <xf numFmtId="0" fontId="2" fillId="0" borderId="0" xfId="0" applyFont="1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3" xfId="0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0" fontId="7" fillId="6" borderId="21" xfId="0" applyFont="1" applyFill="1" applyBorder="1" applyAlignment="1">
      <alignment horizontal="center" vertical="center"/>
    </xf>
    <xf numFmtId="0" fontId="7" fillId="6" borderId="23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3" fontId="11" fillId="2" borderId="3" xfId="0" applyNumberFormat="1" applyFont="1" applyFill="1" applyBorder="1" applyAlignment="1">
      <alignment horizontal="center" vertical="center" wrapText="1"/>
    </xf>
    <xf numFmtId="0" fontId="10" fillId="0" borderId="0" xfId="0" applyFont="1"/>
    <xf numFmtId="0" fontId="1" fillId="0" borderId="0" xfId="0" applyFont="1"/>
    <xf numFmtId="0" fontId="15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15" fillId="0" borderId="8" xfId="0" applyFont="1" applyBorder="1" applyAlignment="1">
      <alignment horizontal="center"/>
    </xf>
    <xf numFmtId="0" fontId="14" fillId="0" borderId="13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/>
    </xf>
    <xf numFmtId="164" fontId="15" fillId="0" borderId="8" xfId="0" applyNumberFormat="1" applyFont="1" applyBorder="1" applyAlignment="1">
      <alignment horizontal="center" vertical="center" shrinkToFit="1"/>
    </xf>
    <xf numFmtId="164" fontId="15" fillId="0" borderId="2" xfId="0" applyNumberFormat="1" applyFont="1" applyBorder="1" applyAlignment="1">
      <alignment horizontal="center" vertical="center" shrinkToFit="1"/>
    </xf>
    <xf numFmtId="0" fontId="1" fillId="0" borderId="2" xfId="0" applyFont="1" applyBorder="1" applyAlignment="1">
      <alignment horizontal="center" vertical="center"/>
    </xf>
    <xf numFmtId="0" fontId="17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18" fillId="0" borderId="34" xfId="0" applyNumberFormat="1" applyFont="1" applyBorder="1" applyAlignment="1">
      <alignment horizontal="center" vertical="top" shrinkToFit="1"/>
    </xf>
    <xf numFmtId="1" fontId="19" fillId="0" borderId="29" xfId="0" applyNumberFormat="1" applyFont="1" applyBorder="1" applyAlignment="1">
      <alignment horizontal="center" vertical="top" shrinkToFit="1"/>
    </xf>
    <xf numFmtId="2" fontId="19" fillId="0" borderId="29" xfId="0" applyNumberFormat="1" applyFont="1" applyBorder="1" applyAlignment="1">
      <alignment horizontal="center" vertical="top" shrinkToFit="1"/>
    </xf>
    <xf numFmtId="1" fontId="19" fillId="0" borderId="35" xfId="0" applyNumberFormat="1" applyFont="1" applyBorder="1" applyAlignment="1">
      <alignment horizontal="center" vertical="top" shrinkToFit="1"/>
    </xf>
    <xf numFmtId="2" fontId="19" fillId="0" borderId="35" xfId="0" applyNumberFormat="1" applyFont="1" applyBorder="1" applyAlignment="1">
      <alignment horizontal="center" vertical="top" shrinkToFit="1"/>
    </xf>
    <xf numFmtId="1" fontId="19" fillId="0" borderId="33" xfId="0" applyNumberFormat="1" applyFont="1" applyBorder="1" applyAlignment="1">
      <alignment horizontal="center" vertical="top" shrinkToFit="1"/>
    </xf>
    <xf numFmtId="2" fontId="19" fillId="0" borderId="33" xfId="0" applyNumberFormat="1" applyFont="1" applyBorder="1" applyAlignment="1">
      <alignment horizontal="center" vertical="top" shrinkToFit="1"/>
    </xf>
    <xf numFmtId="0" fontId="20" fillId="0" borderId="0" xfId="0" applyFont="1" applyAlignment="1">
      <alignment horizontal="left" vertical="top"/>
    </xf>
    <xf numFmtId="0" fontId="0" fillId="0" borderId="0" xfId="0" quotePrefix="1"/>
    <xf numFmtId="1" fontId="18" fillId="0" borderId="34" xfId="0" applyNumberFormat="1" applyFont="1" applyBorder="1" applyAlignment="1">
      <alignment horizontal="center" vertical="top" shrinkToFit="1"/>
    </xf>
    <xf numFmtId="2" fontId="6" fillId="0" borderId="2" xfId="0" applyNumberFormat="1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 wrapText="1"/>
    </xf>
    <xf numFmtId="3" fontId="6" fillId="0" borderId="2" xfId="0" applyNumberFormat="1" applyFont="1" applyBorder="1" applyAlignment="1">
      <alignment horizontal="center" vertical="center"/>
    </xf>
    <xf numFmtId="167" fontId="6" fillId="0" borderId="2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 applyProtection="1">
      <alignment horizontal="center" vertical="center"/>
      <protection locked="0"/>
    </xf>
    <xf numFmtId="165" fontId="6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14" fillId="0" borderId="2" xfId="0" applyFont="1" applyBorder="1" applyAlignment="1" applyProtection="1">
      <alignment horizontal="center" vertical="center" wrapText="1"/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165" fontId="15" fillId="0" borderId="2" xfId="0" applyNumberFormat="1" applyFont="1" applyBorder="1" applyAlignment="1" applyProtection="1">
      <alignment horizontal="center" vertical="center"/>
      <protection locked="0"/>
    </xf>
    <xf numFmtId="0" fontId="14" fillId="0" borderId="5" xfId="0" applyFont="1" applyBorder="1" applyAlignment="1" applyProtection="1">
      <alignment horizontal="center" vertical="center" wrapText="1"/>
      <protection locked="0"/>
    </xf>
    <xf numFmtId="0" fontId="15" fillId="0" borderId="11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 applyProtection="1">
      <alignment horizontal="center" vertical="center" wrapText="1"/>
      <protection locked="0"/>
    </xf>
    <xf numFmtId="0" fontId="14" fillId="0" borderId="18" xfId="0" applyFont="1" applyBorder="1" applyAlignment="1" applyProtection="1">
      <alignment horizontal="center" vertical="center" wrapText="1"/>
      <protection locked="0"/>
    </xf>
    <xf numFmtId="0" fontId="15" fillId="0" borderId="18" xfId="0" applyFont="1" applyBorder="1" applyAlignment="1" applyProtection="1">
      <alignment horizontal="center" vertical="center"/>
      <protection locked="0"/>
    </xf>
    <xf numFmtId="165" fontId="15" fillId="0" borderId="18" xfId="0" applyNumberFormat="1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 applyProtection="1">
      <alignment horizontal="left" vertical="center"/>
      <protection locked="0"/>
    </xf>
    <xf numFmtId="0" fontId="14" fillId="3" borderId="14" xfId="0" applyFont="1" applyFill="1" applyBorder="1" applyAlignment="1" applyProtection="1">
      <alignment horizontal="center" vertical="center"/>
      <protection locked="0"/>
    </xf>
    <xf numFmtId="0" fontId="14" fillId="3" borderId="20" xfId="0" applyFont="1" applyFill="1" applyBorder="1" applyAlignment="1" applyProtection="1">
      <alignment horizontal="center" vertical="center" wrapText="1"/>
      <protection locked="0"/>
    </xf>
    <xf numFmtId="0" fontId="14" fillId="3" borderId="12" xfId="0" applyFont="1" applyFill="1" applyBorder="1" applyAlignment="1" applyProtection="1">
      <alignment horizontal="center" vertical="center" wrapText="1"/>
      <protection locked="0"/>
    </xf>
    <xf numFmtId="0" fontId="14" fillId="3" borderId="1" xfId="0" applyFont="1" applyFill="1" applyBorder="1" applyAlignment="1" applyProtection="1">
      <alignment horizontal="center" vertical="center" wrapText="1"/>
      <protection locked="0"/>
    </xf>
    <xf numFmtId="9" fontId="14" fillId="8" borderId="14" xfId="0" applyNumberFormat="1" applyFont="1" applyFill="1" applyBorder="1" applyAlignment="1" applyProtection="1">
      <alignment horizontal="center" vertical="center" wrapText="1"/>
      <protection locked="0"/>
    </xf>
    <xf numFmtId="0" fontId="14" fillId="8" borderId="12" xfId="0" applyFont="1" applyFill="1" applyBorder="1" applyAlignment="1" applyProtection="1">
      <alignment horizontal="center" vertical="center" wrapText="1"/>
      <protection locked="0"/>
    </xf>
    <xf numFmtId="0" fontId="14" fillId="3" borderId="14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65" fontId="1" fillId="0" borderId="2" xfId="0" applyNumberFormat="1" applyFont="1" applyBorder="1" applyAlignment="1">
      <alignment horizontal="center" vertical="center"/>
    </xf>
    <xf numFmtId="1" fontId="1" fillId="0" borderId="2" xfId="0" applyNumberFormat="1" applyFont="1" applyBorder="1" applyAlignment="1">
      <alignment horizontal="center" vertical="center"/>
    </xf>
    <xf numFmtId="0" fontId="14" fillId="0" borderId="38" xfId="0" applyFont="1" applyBorder="1" applyAlignment="1" applyProtection="1">
      <alignment horizontal="center" vertical="center" wrapText="1"/>
      <protection locked="0"/>
    </xf>
    <xf numFmtId="0" fontId="14" fillId="0" borderId="37" xfId="0" applyFont="1" applyBorder="1" applyAlignment="1" applyProtection="1">
      <alignment horizontal="center" vertical="center" wrapText="1"/>
      <protection locked="0"/>
    </xf>
    <xf numFmtId="0" fontId="15" fillId="0" borderId="37" xfId="0" applyFont="1" applyBorder="1" applyAlignment="1" applyProtection="1">
      <alignment horizontal="center" vertical="center"/>
      <protection locked="0"/>
    </xf>
    <xf numFmtId="0" fontId="15" fillId="0" borderId="39" xfId="0" applyFont="1" applyBorder="1" applyAlignment="1" applyProtection="1">
      <alignment horizontal="center" vertical="center"/>
      <protection locked="0"/>
    </xf>
    <xf numFmtId="165" fontId="15" fillId="0" borderId="37" xfId="0" applyNumberFormat="1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>
      <alignment horizontal="center" vertical="center"/>
    </xf>
    <xf numFmtId="0" fontId="8" fillId="0" borderId="0" xfId="0" applyFont="1"/>
    <xf numFmtId="0" fontId="27" fillId="0" borderId="0" xfId="0" applyFont="1"/>
    <xf numFmtId="49" fontId="10" fillId="0" borderId="2" xfId="0" applyNumberFormat="1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" fontId="25" fillId="0" borderId="2" xfId="0" applyNumberFormat="1" applyFont="1" applyBorder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3" fontId="22" fillId="0" borderId="36" xfId="0" applyNumberFormat="1" applyFont="1" applyBorder="1" applyAlignment="1">
      <alignment horizontal="center" vertical="center"/>
    </xf>
    <xf numFmtId="0" fontId="22" fillId="0" borderId="36" xfId="0" applyFont="1" applyBorder="1" applyAlignment="1" applyProtection="1">
      <alignment horizontal="center" vertical="center"/>
      <protection locked="0"/>
    </xf>
    <xf numFmtId="165" fontId="22" fillId="0" borderId="36" xfId="0" applyNumberFormat="1" applyFont="1" applyBorder="1" applyAlignment="1">
      <alignment horizontal="center" vertical="center"/>
    </xf>
    <xf numFmtId="1" fontId="22" fillId="0" borderId="36" xfId="0" applyNumberFormat="1" applyFont="1" applyBorder="1" applyAlignment="1">
      <alignment horizontal="center" vertical="center"/>
    </xf>
    <xf numFmtId="164" fontId="15" fillId="0" borderId="20" xfId="0" applyNumberFormat="1" applyFont="1" applyBorder="1" applyAlignment="1">
      <alignment horizontal="center" shrinkToFit="1"/>
    </xf>
    <xf numFmtId="3" fontId="0" fillId="0" borderId="0" xfId="0" applyNumberFormat="1"/>
    <xf numFmtId="1" fontId="0" fillId="0" borderId="0" xfId="0" applyNumberFormat="1"/>
    <xf numFmtId="0" fontId="8" fillId="0" borderId="2" xfId="0" applyFont="1" applyBorder="1" applyAlignment="1">
      <alignment horizontal="left"/>
    </xf>
    <xf numFmtId="0" fontId="8" fillId="0" borderId="11" xfId="0" applyFont="1" applyBorder="1"/>
    <xf numFmtId="165" fontId="8" fillId="0" borderId="11" xfId="0" applyNumberFormat="1" applyFont="1" applyBorder="1"/>
    <xf numFmtId="0" fontId="8" fillId="0" borderId="5" xfId="0" applyFont="1" applyBorder="1"/>
    <xf numFmtId="0" fontId="0" fillId="0" borderId="0" xfId="0" applyAlignment="1">
      <alignment horizontal="left"/>
    </xf>
    <xf numFmtId="0" fontId="8" fillId="0" borderId="0" xfId="0" applyFont="1" applyAlignment="1">
      <alignment horizontal="right"/>
    </xf>
    <xf numFmtId="165" fontId="34" fillId="0" borderId="36" xfId="0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8" fillId="0" borderId="24" xfId="0" applyFont="1" applyBorder="1" applyAlignment="1">
      <alignment horizontal="center" vertical="center" wrapText="1"/>
    </xf>
    <xf numFmtId="0" fontId="38" fillId="0" borderId="27" xfId="0" applyFont="1" applyBorder="1" applyAlignment="1">
      <alignment horizontal="center" vertical="center" wrapText="1"/>
    </xf>
    <xf numFmtId="0" fontId="37" fillId="0" borderId="5" xfId="0" applyFont="1" applyBorder="1" applyAlignment="1">
      <alignment horizontal="center" vertical="center"/>
    </xf>
    <xf numFmtId="0" fontId="14" fillId="3" borderId="1" xfId="0" applyFont="1" applyFill="1" applyBorder="1" applyAlignment="1" applyProtection="1">
      <alignment horizontal="center" vertical="center"/>
      <protection locked="0"/>
    </xf>
    <xf numFmtId="1" fontId="14" fillId="0" borderId="13" xfId="0" applyNumberFormat="1" applyFont="1" applyBorder="1" applyAlignment="1">
      <alignment horizontal="center" vertical="center" wrapText="1"/>
    </xf>
    <xf numFmtId="166" fontId="15" fillId="0" borderId="8" xfId="0" applyNumberFormat="1" applyFont="1" applyBorder="1" applyAlignment="1">
      <alignment horizontal="center" vertical="center"/>
    </xf>
    <xf numFmtId="166" fontId="15" fillId="0" borderId="4" xfId="0" applyNumberFormat="1" applyFont="1" applyBorder="1" applyAlignment="1">
      <alignment horizontal="center" vertical="center"/>
    </xf>
    <xf numFmtId="166" fontId="15" fillId="0" borderId="2" xfId="0" applyNumberFormat="1" applyFont="1" applyBorder="1" applyAlignment="1">
      <alignment horizontal="center" vertical="center"/>
    </xf>
    <xf numFmtId="1" fontId="14" fillId="0" borderId="2" xfId="0" applyNumberFormat="1" applyFont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/>
    </xf>
    <xf numFmtId="0" fontId="15" fillId="0" borderId="0" xfId="0" applyFont="1"/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right"/>
    </xf>
    <xf numFmtId="165" fontId="40" fillId="7" borderId="0" xfId="2" applyNumberFormat="1" applyFont="1" applyAlignment="1">
      <alignment horizontal="center" vertical="center"/>
    </xf>
    <xf numFmtId="0" fontId="40" fillId="7" borderId="0" xfId="2" applyFont="1" applyAlignment="1">
      <alignment horizontal="center" vertical="center"/>
    </xf>
    <xf numFmtId="0" fontId="14" fillId="0" borderId="0" xfId="0" applyFont="1"/>
    <xf numFmtId="0" fontId="15" fillId="0" borderId="2" xfId="0" applyFont="1" applyBorder="1"/>
    <xf numFmtId="0" fontId="14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 vertical="center"/>
    </xf>
    <xf numFmtId="0" fontId="14" fillId="3" borderId="2" xfId="0" applyFont="1" applyFill="1" applyBorder="1" applyAlignment="1" applyProtection="1">
      <alignment horizontal="center" vertical="center" wrapText="1"/>
      <protection locked="0"/>
    </xf>
    <xf numFmtId="0" fontId="14" fillId="3" borderId="0" xfId="0" applyFont="1" applyFill="1"/>
    <xf numFmtId="0" fontId="41" fillId="0" borderId="0" xfId="0" applyFont="1"/>
    <xf numFmtId="0" fontId="41" fillId="0" borderId="0" xfId="0" applyFont="1" applyAlignment="1">
      <alignment horizontal="center" vertical="center"/>
    </xf>
    <xf numFmtId="164" fontId="15" fillId="0" borderId="0" xfId="0" applyNumberFormat="1" applyFont="1" applyAlignment="1" applyProtection="1">
      <alignment horizontal="center" shrinkToFit="1"/>
      <protection locked="0"/>
    </xf>
    <xf numFmtId="164" fontId="42" fillId="0" borderId="0" xfId="0" applyNumberFormat="1" applyFont="1" applyAlignment="1">
      <alignment horizontal="center" shrinkToFit="1"/>
    </xf>
    <xf numFmtId="164" fontId="42" fillId="0" borderId="0" xfId="0" applyNumberFormat="1" applyFont="1" applyAlignment="1">
      <alignment horizontal="right" shrinkToFit="1"/>
    </xf>
    <xf numFmtId="3" fontId="15" fillId="0" borderId="0" xfId="0" applyNumberFormat="1" applyFont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0" fontId="41" fillId="0" borderId="0" xfId="0" applyFont="1" applyAlignment="1">
      <alignment vertical="center"/>
    </xf>
    <xf numFmtId="0" fontId="43" fillId="2" borderId="0" xfId="0" applyFont="1" applyFill="1" applyAlignment="1">
      <alignment horizontal="right"/>
    </xf>
    <xf numFmtId="2" fontId="15" fillId="0" borderId="0" xfId="0" applyNumberFormat="1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165" fontId="45" fillId="9" borderId="2" xfId="0" applyNumberFormat="1" applyFont="1" applyFill="1" applyBorder="1" applyAlignment="1" applyProtection="1">
      <alignment horizontal="center" vertical="center"/>
      <protection locked="0"/>
    </xf>
    <xf numFmtId="0" fontId="45" fillId="9" borderId="2" xfId="0" applyFont="1" applyFill="1" applyBorder="1" applyAlignment="1" applyProtection="1">
      <alignment horizontal="center" vertical="center"/>
      <protection locked="0"/>
    </xf>
    <xf numFmtId="9" fontId="45" fillId="9" borderId="2" xfId="3" applyFont="1" applyFill="1" applyBorder="1" applyAlignment="1" applyProtection="1">
      <alignment horizontal="center" vertical="center"/>
      <protection locked="0"/>
    </xf>
    <xf numFmtId="0" fontId="45" fillId="9" borderId="2" xfId="0" applyFont="1" applyFill="1" applyBorder="1" applyAlignment="1">
      <alignment horizontal="center" vertical="center"/>
    </xf>
    <xf numFmtId="0" fontId="45" fillId="9" borderId="11" xfId="0" applyFont="1" applyFill="1" applyBorder="1" applyAlignment="1">
      <alignment horizontal="center" vertical="center"/>
    </xf>
    <xf numFmtId="0" fontId="46" fillId="9" borderId="2" xfId="0" applyFont="1" applyFill="1" applyBorder="1" applyAlignment="1">
      <alignment horizontal="center" vertical="center"/>
    </xf>
    <xf numFmtId="1" fontId="46" fillId="9" borderId="2" xfId="0" applyNumberFormat="1" applyFont="1" applyFill="1" applyBorder="1" applyAlignment="1" applyProtection="1">
      <alignment horizontal="center" vertical="center" wrapText="1"/>
      <protection locked="0"/>
    </xf>
    <xf numFmtId="164" fontId="46" fillId="9" borderId="2" xfId="0" applyNumberFormat="1" applyFont="1" applyFill="1" applyBorder="1" applyAlignment="1" applyProtection="1">
      <alignment horizontal="center" vertical="center" wrapText="1"/>
      <protection locked="0"/>
    </xf>
    <xf numFmtId="0" fontId="46" fillId="9" borderId="2" xfId="0" applyFont="1" applyFill="1" applyBorder="1" applyAlignment="1">
      <alignment horizontal="center"/>
    </xf>
    <xf numFmtId="165" fontId="47" fillId="9" borderId="2" xfId="0" applyNumberFormat="1" applyFont="1" applyFill="1" applyBorder="1" applyAlignment="1" applyProtection="1">
      <alignment horizontal="center" vertical="center"/>
      <protection locked="0"/>
    </xf>
    <xf numFmtId="0" fontId="44" fillId="9" borderId="2" xfId="0" applyFont="1" applyFill="1" applyBorder="1" applyAlignment="1">
      <alignment horizontal="center" vertical="center"/>
    </xf>
    <xf numFmtId="165" fontId="44" fillId="9" borderId="2" xfId="0" applyNumberFormat="1" applyFont="1" applyFill="1" applyBorder="1" applyAlignment="1">
      <alignment horizontal="center" vertical="center"/>
    </xf>
    <xf numFmtId="0" fontId="1" fillId="0" borderId="0" xfId="5"/>
    <xf numFmtId="0" fontId="3" fillId="0" borderId="40" xfId="5" applyFont="1" applyBorder="1" applyAlignment="1">
      <alignment vertical="center"/>
    </xf>
    <xf numFmtId="0" fontId="3" fillId="0" borderId="20" xfId="5" applyFont="1" applyBorder="1" applyAlignment="1">
      <alignment vertical="center"/>
    </xf>
    <xf numFmtId="0" fontId="3" fillId="0" borderId="15" xfId="5" applyFont="1" applyBorder="1" applyAlignment="1">
      <alignment vertical="center"/>
    </xf>
    <xf numFmtId="0" fontId="3" fillId="0" borderId="22" xfId="5" applyFont="1" applyBorder="1" applyAlignment="1">
      <alignment vertical="center"/>
    </xf>
    <xf numFmtId="0" fontId="3" fillId="0" borderId="41" xfId="5" applyFont="1" applyBorder="1" applyAlignment="1">
      <alignment vertical="center"/>
    </xf>
    <xf numFmtId="0" fontId="3" fillId="0" borderId="0" xfId="5" applyFont="1" applyAlignment="1">
      <alignment vertical="center"/>
    </xf>
    <xf numFmtId="0" fontId="2" fillId="0" borderId="40" xfId="5" applyFont="1" applyBorder="1" applyAlignment="1">
      <alignment vertical="center"/>
    </xf>
    <xf numFmtId="0" fontId="2" fillId="0" borderId="42" xfId="5" applyFont="1" applyBorder="1" applyAlignment="1">
      <alignment horizontal="center"/>
    </xf>
    <xf numFmtId="0" fontId="2" fillId="0" borderId="43" xfId="5" applyFont="1" applyBorder="1" applyAlignment="1">
      <alignment horizontal="center"/>
    </xf>
    <xf numFmtId="0" fontId="2" fillId="0" borderId="44" xfId="5" applyFont="1" applyBorder="1" applyAlignment="1">
      <alignment horizontal="center"/>
    </xf>
    <xf numFmtId="0" fontId="2" fillId="0" borderId="45" xfId="5" applyFont="1" applyBorder="1" applyAlignment="1">
      <alignment horizontal="center"/>
    </xf>
    <xf numFmtId="0" fontId="2" fillId="0" borderId="46" xfId="5" applyFont="1" applyBorder="1" applyAlignment="1">
      <alignment horizontal="center" vertical="center"/>
    </xf>
    <xf numFmtId="0" fontId="2" fillId="0" borderId="40" xfId="5" applyFont="1" applyBorder="1" applyAlignment="1">
      <alignment horizontal="center" vertical="center"/>
    </xf>
    <xf numFmtId="0" fontId="2" fillId="0" borderId="46" xfId="5" applyFont="1" applyBorder="1" applyAlignment="1">
      <alignment vertical="center"/>
    </xf>
    <xf numFmtId="0" fontId="2" fillId="0" borderId="47" xfId="5" applyFont="1" applyBorder="1" applyAlignment="1">
      <alignment horizontal="center" vertical="center"/>
    </xf>
    <xf numFmtId="0" fontId="2" fillId="0" borderId="48" xfId="5" applyFont="1" applyBorder="1" applyAlignment="1">
      <alignment horizontal="center" vertical="center"/>
    </xf>
    <xf numFmtId="0" fontId="2" fillId="0" borderId="49" xfId="5" applyFont="1" applyBorder="1" applyAlignment="1">
      <alignment horizontal="center" vertical="center"/>
    </xf>
    <xf numFmtId="0" fontId="2" fillId="0" borderId="50" xfId="5" applyFont="1" applyBorder="1" applyAlignment="1">
      <alignment horizontal="center" vertical="center"/>
    </xf>
    <xf numFmtId="0" fontId="2" fillId="0" borderId="51" xfId="5" applyFont="1" applyBorder="1" applyAlignment="1">
      <alignment horizontal="center" vertical="center"/>
    </xf>
    <xf numFmtId="0" fontId="4" fillId="0" borderId="40" xfId="5" applyFont="1" applyBorder="1" applyAlignment="1">
      <alignment horizontal="center" vertical="center"/>
    </xf>
    <xf numFmtId="0" fontId="4" fillId="0" borderId="46" xfId="5" applyFont="1" applyBorder="1" applyAlignment="1">
      <alignment horizontal="center" vertical="center"/>
    </xf>
    <xf numFmtId="0" fontId="2" fillId="0" borderId="52" xfId="5" applyFont="1" applyBorder="1" applyAlignment="1">
      <alignment horizontal="left" vertical="center"/>
    </xf>
    <xf numFmtId="0" fontId="2" fillId="0" borderId="53" xfId="5" applyFont="1" applyBorder="1" applyAlignment="1">
      <alignment horizontal="center" vertical="center"/>
    </xf>
    <xf numFmtId="0" fontId="2" fillId="0" borderId="54" xfId="5" applyFont="1" applyBorder="1" applyAlignment="1">
      <alignment horizontal="center" vertical="center"/>
    </xf>
    <xf numFmtId="0" fontId="2" fillId="0" borderId="55" xfId="5" applyFont="1" applyBorder="1" applyAlignment="1">
      <alignment horizontal="left" vertical="center"/>
    </xf>
    <xf numFmtId="0" fontId="2" fillId="0" borderId="56" xfId="5" applyFont="1" applyBorder="1" applyAlignment="1">
      <alignment horizontal="center" vertical="center"/>
    </xf>
    <xf numFmtId="0" fontId="2" fillId="0" borderId="57" xfId="5" applyFont="1" applyBorder="1" applyAlignment="1">
      <alignment horizontal="center" vertical="center"/>
    </xf>
    <xf numFmtId="0" fontId="2" fillId="0" borderId="58" xfId="5" applyFont="1" applyBorder="1" applyAlignment="1">
      <alignment horizontal="left" vertical="center"/>
    </xf>
    <xf numFmtId="0" fontId="2" fillId="0" borderId="59" xfId="5" applyFont="1" applyBorder="1" applyAlignment="1">
      <alignment horizontal="center" vertical="center"/>
    </xf>
    <xf numFmtId="0" fontId="2" fillId="0" borderId="60" xfId="5" applyFont="1" applyBorder="1" applyAlignment="1">
      <alignment horizontal="center" vertical="center"/>
    </xf>
    <xf numFmtId="0" fontId="2" fillId="0" borderId="61" xfId="5" applyFont="1" applyBorder="1" applyAlignment="1">
      <alignment horizontal="left" vertical="center"/>
    </xf>
    <xf numFmtId="0" fontId="2" fillId="0" borderId="62" xfId="5" applyFont="1" applyBorder="1" applyAlignment="1">
      <alignment horizontal="center" vertical="center"/>
    </xf>
    <xf numFmtId="0" fontId="2" fillId="0" borderId="63" xfId="5" applyFont="1" applyBorder="1" applyAlignment="1">
      <alignment horizontal="center" vertical="center"/>
    </xf>
    <xf numFmtId="0" fontId="2" fillId="0" borderId="64" xfId="5" applyFont="1" applyBorder="1" applyAlignment="1">
      <alignment horizontal="left" vertical="center"/>
    </xf>
    <xf numFmtId="0" fontId="2" fillId="0" borderId="65" xfId="5" applyFont="1" applyBorder="1" applyAlignment="1">
      <alignment horizontal="center" vertical="center"/>
    </xf>
    <xf numFmtId="0" fontId="2" fillId="0" borderId="66" xfId="5" applyFont="1" applyBorder="1" applyAlignment="1">
      <alignment horizontal="center" vertical="center"/>
    </xf>
    <xf numFmtId="0" fontId="2" fillId="0" borderId="67" xfId="5" applyFont="1" applyBorder="1" applyAlignment="1">
      <alignment horizontal="left" vertical="center"/>
    </xf>
    <xf numFmtId="0" fontId="2" fillId="0" borderId="68" xfId="5" applyFont="1" applyBorder="1" applyAlignment="1">
      <alignment horizontal="center" vertical="center"/>
    </xf>
    <xf numFmtId="0" fontId="2" fillId="0" borderId="69" xfId="5" applyFont="1" applyBorder="1" applyAlignment="1">
      <alignment horizontal="center" vertical="center"/>
    </xf>
    <xf numFmtId="0" fontId="2" fillId="0" borderId="70" xfId="5" applyFont="1" applyBorder="1" applyAlignment="1">
      <alignment horizontal="left" vertical="center"/>
    </xf>
    <xf numFmtId="0" fontId="2" fillId="0" borderId="71" xfId="5" applyFont="1" applyBorder="1" applyAlignment="1">
      <alignment horizontal="center" vertical="center"/>
    </xf>
    <xf numFmtId="0" fontId="2" fillId="0" borderId="72" xfId="5" applyFont="1" applyBorder="1" applyAlignment="1">
      <alignment horizontal="center" vertical="center"/>
    </xf>
    <xf numFmtId="0" fontId="2" fillId="0" borderId="73" xfId="5" applyFont="1" applyBorder="1" applyAlignment="1">
      <alignment horizontal="left" vertical="center"/>
    </xf>
    <xf numFmtId="0" fontId="2" fillId="0" borderId="74" xfId="5" applyFont="1" applyBorder="1" applyAlignment="1">
      <alignment horizontal="center" vertical="center"/>
    </xf>
    <xf numFmtId="0" fontId="2" fillId="0" borderId="75" xfId="5" applyFont="1" applyBorder="1" applyAlignment="1">
      <alignment horizontal="center" vertical="center"/>
    </xf>
    <xf numFmtId="0" fontId="2" fillId="0" borderId="75" xfId="5" applyFont="1" applyBorder="1" applyAlignment="1">
      <alignment vertical="center"/>
    </xf>
    <xf numFmtId="0" fontId="2" fillId="0" borderId="76" xfId="5" applyFont="1" applyBorder="1" applyAlignment="1">
      <alignment horizontal="left" vertical="center"/>
    </xf>
    <xf numFmtId="0" fontId="2" fillId="0" borderId="77" xfId="5" applyFont="1" applyBorder="1" applyAlignment="1">
      <alignment horizontal="center" vertical="center"/>
    </xf>
    <xf numFmtId="0" fontId="2" fillId="0" borderId="78" xfId="5" applyFont="1" applyBorder="1" applyAlignment="1">
      <alignment horizontal="center" vertical="center"/>
    </xf>
    <xf numFmtId="0" fontId="2" fillId="0" borderId="79" xfId="5" applyFont="1" applyBorder="1" applyAlignment="1">
      <alignment horizontal="left" vertical="center"/>
    </xf>
    <xf numFmtId="0" fontId="2" fillId="0" borderId="80" xfId="5" applyFont="1" applyBorder="1" applyAlignment="1">
      <alignment horizontal="center" vertical="center"/>
    </xf>
    <xf numFmtId="0" fontId="2" fillId="0" borderId="81" xfId="5" applyFont="1" applyBorder="1" applyAlignment="1">
      <alignment horizontal="center" vertical="center"/>
    </xf>
    <xf numFmtId="0" fontId="2" fillId="0" borderId="82" xfId="5" applyFont="1" applyBorder="1" applyAlignment="1">
      <alignment horizontal="left" vertical="center"/>
    </xf>
    <xf numFmtId="0" fontId="2" fillId="0" borderId="83" xfId="5" applyFont="1" applyBorder="1" applyAlignment="1">
      <alignment horizontal="center" vertical="center"/>
    </xf>
    <xf numFmtId="0" fontId="2" fillId="0" borderId="84" xfId="5" applyFont="1" applyBorder="1" applyAlignment="1">
      <alignment horizontal="center" vertical="center"/>
    </xf>
    <xf numFmtId="0" fontId="2" fillId="0" borderId="85" xfId="5" applyFont="1" applyBorder="1" applyAlignment="1">
      <alignment horizontal="left" vertical="center"/>
    </xf>
    <xf numFmtId="0" fontId="2" fillId="0" borderId="86" xfId="5" applyFont="1" applyBorder="1" applyAlignment="1">
      <alignment horizontal="center" vertical="center"/>
    </xf>
    <xf numFmtId="0" fontId="2" fillId="0" borderId="87" xfId="5" applyFont="1" applyBorder="1" applyAlignment="1">
      <alignment horizontal="center" vertical="center"/>
    </xf>
    <xf numFmtId="0" fontId="2" fillId="0" borderId="88" xfId="5" applyFont="1" applyBorder="1" applyAlignment="1">
      <alignment horizontal="left" vertical="center"/>
    </xf>
    <xf numFmtId="0" fontId="2" fillId="0" borderId="89" xfId="5" applyFont="1" applyBorder="1" applyAlignment="1">
      <alignment horizontal="center" vertical="center"/>
    </xf>
    <xf numFmtId="0" fontId="2" fillId="0" borderId="90" xfId="5" applyFont="1" applyBorder="1" applyAlignment="1">
      <alignment horizontal="center" vertical="center"/>
    </xf>
    <xf numFmtId="0" fontId="2" fillId="0" borderId="91" xfId="5" applyFont="1" applyBorder="1" applyAlignment="1">
      <alignment horizontal="left" vertical="center"/>
    </xf>
    <xf numFmtId="0" fontId="2" fillId="0" borderId="92" xfId="5" applyFont="1" applyBorder="1" applyAlignment="1">
      <alignment horizontal="center" vertical="center"/>
    </xf>
    <xf numFmtId="0" fontId="2" fillId="0" borderId="93" xfId="5" applyFont="1" applyBorder="1" applyAlignment="1">
      <alignment horizontal="center" vertical="center"/>
    </xf>
    <xf numFmtId="0" fontId="2" fillId="0" borderId="94" xfId="5" applyFont="1" applyBorder="1" applyAlignment="1">
      <alignment horizontal="left" vertical="center"/>
    </xf>
    <xf numFmtId="0" fontId="2" fillId="0" borderId="95" xfId="5" applyFont="1" applyBorder="1" applyAlignment="1">
      <alignment horizontal="center" vertical="center"/>
    </xf>
    <xf numFmtId="0" fontId="2" fillId="0" borderId="96" xfId="5" applyFont="1" applyBorder="1" applyAlignment="1">
      <alignment horizontal="center" vertical="center"/>
    </xf>
    <xf numFmtId="0" fontId="2" fillId="0" borderId="97" xfId="5" applyFont="1" applyBorder="1" applyAlignment="1">
      <alignment horizontal="left" vertical="center"/>
    </xf>
    <xf numFmtId="0" fontId="2" fillId="0" borderId="98" xfId="5" applyFont="1" applyBorder="1" applyAlignment="1">
      <alignment horizontal="center" vertical="center"/>
    </xf>
    <xf numFmtId="0" fontId="2" fillId="0" borderId="99" xfId="5" applyFont="1" applyBorder="1" applyAlignment="1">
      <alignment horizontal="center" vertical="center"/>
    </xf>
    <xf numFmtId="0" fontId="2" fillId="0" borderId="100" xfId="5" applyFont="1" applyBorder="1" applyAlignment="1">
      <alignment horizontal="left" vertical="center"/>
    </xf>
    <xf numFmtId="0" fontId="2" fillId="0" borderId="101" xfId="5" applyFont="1" applyBorder="1" applyAlignment="1">
      <alignment horizontal="center" vertical="center"/>
    </xf>
    <xf numFmtId="0" fontId="2" fillId="0" borderId="102" xfId="5" applyFont="1" applyBorder="1" applyAlignment="1">
      <alignment horizontal="center" vertical="center"/>
    </xf>
    <xf numFmtId="0" fontId="2" fillId="0" borderId="103" xfId="5" applyFont="1" applyBorder="1" applyAlignment="1">
      <alignment horizontal="left" vertical="center"/>
    </xf>
    <xf numFmtId="0" fontId="2" fillId="0" borderId="104" xfId="5" applyFont="1" applyBorder="1" applyAlignment="1">
      <alignment horizontal="center" vertical="center"/>
    </xf>
    <xf numFmtId="0" fontId="2" fillId="0" borderId="105" xfId="5" applyFont="1" applyBorder="1" applyAlignment="1">
      <alignment horizontal="center" vertical="center"/>
    </xf>
    <xf numFmtId="0" fontId="2" fillId="0" borderId="106" xfId="5" applyFont="1" applyBorder="1" applyAlignment="1">
      <alignment horizontal="left" vertical="center"/>
    </xf>
    <xf numFmtId="0" fontId="2" fillId="0" borderId="107" xfId="5" applyFont="1" applyBorder="1" applyAlignment="1">
      <alignment horizontal="center" vertical="center"/>
    </xf>
    <xf numFmtId="0" fontId="2" fillId="0" borderId="108" xfId="5" applyFont="1" applyBorder="1" applyAlignment="1">
      <alignment horizontal="center" vertical="center"/>
    </xf>
    <xf numFmtId="0" fontId="2" fillId="0" borderId="109" xfId="5" applyFont="1" applyBorder="1" applyAlignment="1">
      <alignment horizontal="left" vertical="center"/>
    </xf>
    <xf numFmtId="0" fontId="2" fillId="0" borderId="110" xfId="5" applyFont="1" applyBorder="1" applyAlignment="1">
      <alignment horizontal="center" vertical="center"/>
    </xf>
    <xf numFmtId="0" fontId="2" fillId="0" borderId="111" xfId="5" applyFont="1" applyBorder="1" applyAlignment="1">
      <alignment horizontal="center" vertical="center"/>
    </xf>
    <xf numFmtId="0" fontId="2" fillId="0" borderId="112" xfId="5" applyFont="1" applyBorder="1" applyAlignment="1">
      <alignment horizontal="left" vertical="center"/>
    </xf>
    <xf numFmtId="0" fontId="2" fillId="0" borderId="113" xfId="5" applyFont="1" applyBorder="1" applyAlignment="1">
      <alignment horizontal="center" vertical="center"/>
    </xf>
    <xf numFmtId="0" fontId="2" fillId="0" borderId="114" xfId="5" applyFont="1" applyBorder="1" applyAlignment="1">
      <alignment horizontal="center" vertical="center"/>
    </xf>
    <xf numFmtId="0" fontId="2" fillId="0" borderId="115" xfId="5" applyFont="1" applyBorder="1" applyAlignment="1">
      <alignment horizontal="left" vertical="center"/>
    </xf>
    <xf numFmtId="0" fontId="2" fillId="0" borderId="116" xfId="5" applyFont="1" applyBorder="1" applyAlignment="1">
      <alignment horizontal="center" vertical="center"/>
    </xf>
    <xf numFmtId="0" fontId="2" fillId="0" borderId="117" xfId="5" applyFont="1" applyBorder="1" applyAlignment="1">
      <alignment horizontal="center" vertical="center"/>
    </xf>
    <xf numFmtId="0" fontId="2" fillId="0" borderId="118" xfId="5" applyFont="1" applyBorder="1" applyAlignment="1">
      <alignment horizontal="left" vertical="center"/>
    </xf>
    <xf numFmtId="0" fontId="2" fillId="0" borderId="119" xfId="5" applyFont="1" applyBorder="1" applyAlignment="1">
      <alignment horizontal="center" vertical="center"/>
    </xf>
    <xf numFmtId="0" fontId="2" fillId="0" borderId="120" xfId="5" applyFont="1" applyBorder="1" applyAlignment="1">
      <alignment horizontal="center" vertical="center"/>
    </xf>
    <xf numFmtId="0" fontId="2" fillId="0" borderId="121" xfId="5" applyFont="1" applyBorder="1" applyAlignment="1">
      <alignment horizontal="left" vertical="center"/>
    </xf>
    <xf numFmtId="0" fontId="2" fillId="0" borderId="122" xfId="5" applyFont="1" applyBorder="1" applyAlignment="1">
      <alignment horizontal="center" vertical="center"/>
    </xf>
    <xf numFmtId="0" fontId="2" fillId="0" borderId="123" xfId="5" applyFont="1" applyBorder="1" applyAlignment="1">
      <alignment horizontal="center" vertical="center"/>
    </xf>
    <xf numFmtId="0" fontId="2" fillId="0" borderId="124" xfId="5" applyFont="1" applyBorder="1" applyAlignment="1">
      <alignment horizontal="left" vertical="center"/>
    </xf>
    <xf numFmtId="0" fontId="2" fillId="0" borderId="125" xfId="5" applyFont="1" applyBorder="1" applyAlignment="1">
      <alignment horizontal="center" vertical="center"/>
    </xf>
    <xf numFmtId="0" fontId="2" fillId="0" borderId="126" xfId="5" applyFont="1" applyBorder="1" applyAlignment="1">
      <alignment horizontal="center" vertical="center"/>
    </xf>
    <xf numFmtId="0" fontId="2" fillId="0" borderId="127" xfId="5" applyFont="1" applyBorder="1" applyAlignment="1">
      <alignment horizontal="left" vertical="center"/>
    </xf>
    <xf numFmtId="0" fontId="2" fillId="0" borderId="128" xfId="5" applyFont="1" applyBorder="1" applyAlignment="1">
      <alignment horizontal="center" vertical="center"/>
    </xf>
    <xf numFmtId="0" fontId="2" fillId="0" borderId="129" xfId="5" applyFont="1" applyBorder="1" applyAlignment="1">
      <alignment horizontal="center" vertical="center"/>
    </xf>
    <xf numFmtId="0" fontId="2" fillId="0" borderId="130" xfId="5" applyFont="1" applyBorder="1" applyAlignment="1">
      <alignment horizontal="left" vertical="center"/>
    </xf>
    <xf numFmtId="0" fontId="2" fillId="0" borderId="131" xfId="5" applyFont="1" applyBorder="1" applyAlignment="1">
      <alignment horizontal="center" vertical="center"/>
    </xf>
    <xf numFmtId="0" fontId="2" fillId="0" borderId="132" xfId="5" applyFont="1" applyBorder="1" applyAlignment="1">
      <alignment horizontal="center" vertical="center"/>
    </xf>
    <xf numFmtId="0" fontId="2" fillId="0" borderId="133" xfId="5" applyFont="1" applyBorder="1" applyAlignment="1">
      <alignment horizontal="left" vertical="center"/>
    </xf>
    <xf numFmtId="0" fontId="2" fillId="0" borderId="134" xfId="5" applyFont="1" applyBorder="1" applyAlignment="1">
      <alignment horizontal="center" vertical="center"/>
    </xf>
    <xf numFmtId="0" fontId="2" fillId="0" borderId="135" xfId="5" applyFont="1" applyBorder="1" applyAlignment="1">
      <alignment horizontal="center" vertical="center"/>
    </xf>
    <xf numFmtId="0" fontId="2" fillId="0" borderId="136" xfId="5" applyFont="1" applyBorder="1" applyAlignment="1">
      <alignment horizontal="left" vertical="center"/>
    </xf>
    <xf numFmtId="0" fontId="2" fillId="0" borderId="137" xfId="5" applyFont="1" applyBorder="1" applyAlignment="1">
      <alignment horizontal="center" vertical="center"/>
    </xf>
    <xf numFmtId="0" fontId="2" fillId="0" borderId="138" xfId="5" applyFont="1" applyBorder="1" applyAlignment="1">
      <alignment horizontal="center" vertical="center"/>
    </xf>
    <xf numFmtId="0" fontId="2" fillId="0" borderId="139" xfId="5" applyFont="1" applyBorder="1" applyAlignment="1">
      <alignment horizontal="left" vertical="center"/>
    </xf>
    <xf numFmtId="0" fontId="2" fillId="0" borderId="140" xfId="5" applyFont="1" applyBorder="1" applyAlignment="1">
      <alignment horizontal="center" vertical="center"/>
    </xf>
    <xf numFmtId="0" fontId="2" fillId="0" borderId="141" xfId="5" applyFont="1" applyBorder="1" applyAlignment="1">
      <alignment horizontal="center" vertical="center"/>
    </xf>
    <xf numFmtId="0" fontId="2" fillId="0" borderId="142" xfId="5" applyFont="1" applyBorder="1" applyAlignment="1">
      <alignment horizontal="left" vertical="center"/>
    </xf>
    <xf numFmtId="0" fontId="2" fillId="0" borderId="143" xfId="5" applyFont="1" applyBorder="1" applyAlignment="1">
      <alignment horizontal="center" vertical="center"/>
    </xf>
    <xf numFmtId="0" fontId="2" fillId="0" borderId="144" xfId="5" applyFont="1" applyBorder="1" applyAlignment="1">
      <alignment horizontal="center" vertical="center"/>
    </xf>
    <xf numFmtId="0" fontId="2" fillId="0" borderId="145" xfId="5" applyFont="1" applyBorder="1" applyAlignment="1">
      <alignment horizontal="left" vertical="center"/>
    </xf>
    <xf numFmtId="0" fontId="2" fillId="0" borderId="146" xfId="5" applyFont="1" applyBorder="1" applyAlignment="1">
      <alignment horizontal="center" vertical="center"/>
    </xf>
    <xf numFmtId="0" fontId="2" fillId="0" borderId="147" xfId="5" applyFont="1" applyBorder="1" applyAlignment="1">
      <alignment horizontal="center" vertical="center"/>
    </xf>
    <xf numFmtId="0" fontId="2" fillId="0" borderId="148" xfId="5" applyFont="1" applyBorder="1" applyAlignment="1">
      <alignment vertical="center"/>
    </xf>
    <xf numFmtId="0" fontId="2" fillId="0" borderId="149" xfId="5" applyFont="1" applyBorder="1" applyAlignment="1">
      <alignment horizontal="center" vertical="center"/>
    </xf>
    <xf numFmtId="0" fontId="2" fillId="0" borderId="150" xfId="5" applyFont="1" applyBorder="1" applyAlignment="1">
      <alignment horizontal="center" vertical="center"/>
    </xf>
    <xf numFmtId="0" fontId="2" fillId="0" borderId="151" xfId="5" applyFont="1" applyBorder="1" applyAlignment="1">
      <alignment horizontal="center" vertical="center"/>
    </xf>
    <xf numFmtId="0" fontId="2" fillId="0" borderId="152" xfId="5" applyFont="1" applyBorder="1" applyAlignment="1">
      <alignment horizontal="center" vertical="center"/>
    </xf>
    <xf numFmtId="0" fontId="2" fillId="0" borderId="153" xfId="5" applyFont="1" applyBorder="1" applyAlignment="1">
      <alignment horizontal="center" vertical="center"/>
    </xf>
    <xf numFmtId="0" fontId="2" fillId="0" borderId="154" xfId="5" applyFont="1" applyBorder="1" applyAlignment="1">
      <alignment vertical="center"/>
    </xf>
    <xf numFmtId="0" fontId="2" fillId="0" borderId="155" xfId="5" applyFont="1" applyBorder="1" applyAlignment="1">
      <alignment horizontal="center" vertical="center"/>
    </xf>
    <xf numFmtId="0" fontId="2" fillId="0" borderId="156" xfId="5" applyFont="1" applyBorder="1" applyAlignment="1">
      <alignment horizontal="center" vertical="center"/>
    </xf>
    <xf numFmtId="0" fontId="2" fillId="0" borderId="157" xfId="5" applyFont="1" applyBorder="1" applyAlignment="1">
      <alignment vertical="center"/>
    </xf>
    <xf numFmtId="0" fontId="2" fillId="0" borderId="158" xfId="5" applyFont="1" applyBorder="1" applyAlignment="1">
      <alignment horizontal="center" vertical="center"/>
    </xf>
    <xf numFmtId="0" fontId="2" fillId="0" borderId="159" xfId="5" applyFont="1" applyBorder="1" applyAlignment="1">
      <alignment horizontal="center" vertical="center"/>
    </xf>
    <xf numFmtId="0" fontId="2" fillId="0" borderId="160" xfId="5" applyFont="1" applyBorder="1" applyAlignment="1">
      <alignment vertical="center"/>
    </xf>
    <xf numFmtId="0" fontId="2" fillId="0" borderId="161" xfId="5" applyFont="1" applyBorder="1" applyAlignment="1">
      <alignment horizontal="center" vertical="center"/>
    </xf>
    <xf numFmtId="0" fontId="2" fillId="0" borderId="162" xfId="5" applyFont="1" applyBorder="1" applyAlignment="1">
      <alignment horizontal="center" vertical="center"/>
    </xf>
    <xf numFmtId="0" fontId="2" fillId="0" borderId="162" xfId="5" applyFont="1" applyBorder="1" applyAlignment="1">
      <alignment vertical="center"/>
    </xf>
    <xf numFmtId="0" fontId="2" fillId="0" borderId="162" xfId="5" applyFont="1" applyBorder="1" applyAlignment="1">
      <alignment horizontal="left" vertical="center"/>
    </xf>
    <xf numFmtId="0" fontId="2" fillId="0" borderId="163" xfId="5" applyFont="1" applyBorder="1" applyAlignment="1">
      <alignment horizontal="center" vertical="center"/>
    </xf>
    <xf numFmtId="0" fontId="2" fillId="0" borderId="164" xfId="5" applyFont="1" applyBorder="1" applyAlignment="1">
      <alignment horizontal="center" vertical="center"/>
    </xf>
    <xf numFmtId="0" fontId="2" fillId="0" borderId="165" xfId="5" applyFont="1" applyBorder="1" applyAlignment="1">
      <alignment horizontal="center" vertical="center"/>
    </xf>
    <xf numFmtId="0" fontId="2" fillId="0" borderId="166" xfId="5" applyFont="1" applyBorder="1" applyAlignment="1">
      <alignment horizontal="center" vertical="center"/>
    </xf>
    <xf numFmtId="0" fontId="2" fillId="0" borderId="167" xfId="5" applyFont="1" applyBorder="1" applyAlignment="1">
      <alignment horizontal="center" vertical="center"/>
    </xf>
    <xf numFmtId="0" fontId="2" fillId="0" borderId="167" xfId="5" applyFont="1" applyBorder="1" applyAlignment="1">
      <alignment vertical="center"/>
    </xf>
    <xf numFmtId="0" fontId="14" fillId="0" borderId="2" xfId="0" applyFont="1" applyBorder="1" applyAlignment="1">
      <alignment horizontal="center" vertical="center"/>
    </xf>
    <xf numFmtId="165" fontId="14" fillId="0" borderId="2" xfId="0" applyNumberFormat="1" applyFont="1" applyBorder="1" applyAlignment="1">
      <alignment horizontal="center" vertical="center" wrapText="1"/>
    </xf>
    <xf numFmtId="0" fontId="50" fillId="0" borderId="22" xfId="0" applyFont="1" applyBorder="1" applyAlignment="1">
      <alignment horizontal="center" vertical="center"/>
    </xf>
    <xf numFmtId="0" fontId="50" fillId="0" borderId="169" xfId="0" applyFont="1" applyBorder="1" applyAlignment="1">
      <alignment horizontal="center" vertical="center"/>
    </xf>
    <xf numFmtId="0" fontId="50" fillId="0" borderId="169" xfId="0" applyFont="1" applyBorder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1" fontId="50" fillId="0" borderId="169" xfId="0" applyNumberFormat="1" applyFont="1" applyBorder="1" applyAlignment="1">
      <alignment horizontal="center" vertical="center" wrapText="1"/>
    </xf>
    <xf numFmtId="0" fontId="50" fillId="0" borderId="22" xfId="0" applyFont="1" applyBorder="1" applyAlignment="1">
      <alignment horizontal="center" vertical="center" wrapText="1"/>
    </xf>
    <xf numFmtId="0" fontId="50" fillId="0" borderId="24" xfId="0" applyFont="1" applyBorder="1" applyAlignment="1">
      <alignment horizontal="center" vertical="center"/>
    </xf>
    <xf numFmtId="9" fontId="49" fillId="0" borderId="168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5" applyAlignment="1">
      <alignment horizontal="center"/>
    </xf>
    <xf numFmtId="0" fontId="52" fillId="0" borderId="0" xfId="0" applyFont="1"/>
    <xf numFmtId="0" fontId="1" fillId="0" borderId="0" xfId="0" applyFont="1" applyAlignment="1">
      <alignment horizontal="center"/>
    </xf>
    <xf numFmtId="43" fontId="1" fillId="0" borderId="0" xfId="5" applyNumberFormat="1" applyAlignment="1">
      <alignment horizontal="center"/>
    </xf>
    <xf numFmtId="2" fontId="1" fillId="0" borderId="0" xfId="5" applyNumberForma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5" applyAlignment="1">
      <alignment horizontal="left"/>
    </xf>
    <xf numFmtId="0" fontId="9" fillId="0" borderId="0" xfId="5" applyFont="1" applyAlignment="1">
      <alignment horizontal="left"/>
    </xf>
    <xf numFmtId="0" fontId="53" fillId="0" borderId="0" xfId="5" applyFont="1" applyAlignment="1">
      <alignment horizontal="left"/>
    </xf>
    <xf numFmtId="168" fontId="50" fillId="0" borderId="169" xfId="0" applyNumberFormat="1" applyFont="1" applyBorder="1" applyAlignment="1">
      <alignment horizontal="center" vertical="center"/>
    </xf>
    <xf numFmtId="169" fontId="50" fillId="0" borderId="169" xfId="0" applyNumberFormat="1" applyFont="1" applyBorder="1" applyAlignment="1">
      <alignment horizontal="center" vertical="center"/>
    </xf>
    <xf numFmtId="170" fontId="50" fillId="0" borderId="169" xfId="0" applyNumberFormat="1" applyFont="1" applyBorder="1" applyAlignment="1">
      <alignment horizontal="center" vertical="center"/>
    </xf>
    <xf numFmtId="0" fontId="46" fillId="0" borderId="169" xfId="0" applyFont="1" applyBorder="1" applyAlignment="1">
      <alignment horizontal="center" vertical="center"/>
    </xf>
    <xf numFmtId="0" fontId="51" fillId="0" borderId="169" xfId="0" applyFont="1" applyBorder="1" applyAlignment="1">
      <alignment horizontal="center" vertical="center"/>
    </xf>
    <xf numFmtId="0" fontId="51" fillId="0" borderId="169" xfId="0" applyFont="1" applyBorder="1" applyAlignment="1">
      <alignment horizontal="center" vertical="center" wrapText="1"/>
    </xf>
    <xf numFmtId="171" fontId="51" fillId="0" borderId="169" xfId="0" applyNumberFormat="1" applyFont="1" applyBorder="1" applyAlignment="1">
      <alignment horizontal="center" vertical="center" wrapText="1"/>
    </xf>
    <xf numFmtId="168" fontId="51" fillId="0" borderId="169" xfId="0" applyNumberFormat="1" applyFont="1" applyBorder="1" applyAlignment="1">
      <alignment horizontal="center" vertical="center" wrapText="1"/>
    </xf>
    <xf numFmtId="9" fontId="22" fillId="0" borderId="0" xfId="0" applyNumberFormat="1" applyFont="1" applyAlignment="1">
      <alignment horizontal="center" vertical="center"/>
    </xf>
    <xf numFmtId="1" fontId="46" fillId="9" borderId="2" xfId="0" applyNumberFormat="1" applyFont="1" applyFill="1" applyBorder="1" applyAlignment="1">
      <alignment horizontal="center" vertical="center"/>
    </xf>
    <xf numFmtId="2" fontId="14" fillId="0" borderId="2" xfId="0" applyNumberFormat="1" applyFont="1" applyBorder="1" applyAlignment="1">
      <alignment horizontal="center" vertical="center" wrapText="1"/>
    </xf>
    <xf numFmtId="1" fontId="50" fillId="0" borderId="0" xfId="0" applyNumberFormat="1" applyFont="1" applyAlignment="1">
      <alignment horizontal="center" vertical="center" wrapText="1"/>
    </xf>
    <xf numFmtId="0" fontId="14" fillId="0" borderId="2" xfId="0" applyFont="1" applyBorder="1" applyAlignment="1" applyProtection="1">
      <alignment horizontal="center" vertical="center"/>
      <protection locked="0"/>
    </xf>
    <xf numFmtId="0" fontId="14" fillId="0" borderId="18" xfId="0" applyFont="1" applyBorder="1" applyAlignment="1" applyProtection="1">
      <alignment horizontal="center" vertical="center"/>
      <protection locked="0"/>
    </xf>
    <xf numFmtId="1" fontId="14" fillId="0" borderId="2" xfId="0" applyNumberFormat="1" applyFont="1" applyBorder="1" applyAlignment="1" applyProtection="1">
      <alignment horizontal="center" vertical="center"/>
      <protection locked="0"/>
    </xf>
    <xf numFmtId="0" fontId="6" fillId="0" borderId="5" xfId="0" applyFont="1" applyBorder="1" applyAlignment="1">
      <alignment horizontal="center" vertical="center"/>
    </xf>
    <xf numFmtId="165" fontId="55" fillId="9" borderId="2" xfId="0" applyNumberFormat="1" applyFont="1" applyFill="1" applyBorder="1" applyAlignment="1" applyProtection="1">
      <alignment horizontal="center" vertical="center"/>
      <protection locked="0"/>
    </xf>
    <xf numFmtId="165" fontId="56" fillId="9" borderId="2" xfId="0" applyNumberFormat="1" applyFont="1" applyFill="1" applyBorder="1" applyAlignment="1">
      <alignment horizontal="center" vertical="center"/>
    </xf>
    <xf numFmtId="167" fontId="6" fillId="0" borderId="11" xfId="0" applyNumberFormat="1" applyFont="1" applyBorder="1" applyAlignment="1">
      <alignment horizontal="center" vertical="center"/>
    </xf>
    <xf numFmtId="0" fontId="33" fillId="9" borderId="2" xfId="0" applyFont="1" applyFill="1" applyBorder="1" applyAlignment="1" applyProtection="1">
      <alignment horizontal="center" vertical="center"/>
      <protection locked="0"/>
    </xf>
    <xf numFmtId="0" fontId="33" fillId="9" borderId="2" xfId="0" applyFont="1" applyFill="1" applyBorder="1" applyAlignment="1">
      <alignment horizontal="center" vertical="center"/>
    </xf>
    <xf numFmtId="0" fontId="33" fillId="9" borderId="11" xfId="0" applyFont="1" applyFill="1" applyBorder="1" applyAlignment="1">
      <alignment horizontal="center" vertical="center"/>
    </xf>
    <xf numFmtId="0" fontId="39" fillId="0" borderId="11" xfId="0" applyFont="1" applyBorder="1" applyAlignment="1">
      <alignment horizontal="center" vertical="center"/>
    </xf>
    <xf numFmtId="0" fontId="39" fillId="0" borderId="9" xfId="0" applyFont="1" applyBorder="1" applyAlignment="1">
      <alignment horizontal="center" vertical="center"/>
    </xf>
    <xf numFmtId="0" fontId="39" fillId="0" borderId="5" xfId="0" applyFont="1" applyBorder="1" applyAlignment="1">
      <alignment horizontal="center" vertical="center"/>
    </xf>
    <xf numFmtId="0" fontId="36" fillId="0" borderId="0" xfId="4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45" fillId="9" borderId="0" xfId="0" applyFont="1" applyFill="1" applyAlignment="1" applyProtection="1">
      <alignment horizontal="left"/>
      <protection locked="0"/>
    </xf>
    <xf numFmtId="0" fontId="33" fillId="0" borderId="0" xfId="0" applyFont="1" applyAlignment="1" applyProtection="1">
      <alignment horizontal="left"/>
      <protection locked="0"/>
    </xf>
    <xf numFmtId="14" fontId="45" fillId="9" borderId="0" xfId="0" applyNumberFormat="1" applyFont="1" applyFill="1" applyAlignment="1" applyProtection="1">
      <alignment horizontal="left"/>
      <protection locked="0"/>
    </xf>
    <xf numFmtId="0" fontId="32" fillId="0" borderId="11" xfId="0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0" fontId="31" fillId="0" borderId="0" xfId="0" applyFont="1" applyAlignment="1">
      <alignment horizontal="left"/>
    </xf>
    <xf numFmtId="0" fontId="8" fillId="0" borderId="2" xfId="0" applyFont="1" applyBorder="1" applyAlignment="1">
      <alignment horizontal="center" vertical="center"/>
    </xf>
    <xf numFmtId="165" fontId="45" fillId="9" borderId="18" xfId="0" applyNumberFormat="1" applyFont="1" applyFill="1" applyBorder="1" applyAlignment="1" applyProtection="1">
      <alignment horizontal="center" vertical="center"/>
      <protection locked="0"/>
    </xf>
    <xf numFmtId="165" fontId="33" fillId="0" borderId="4" xfId="0" applyNumberFormat="1" applyFont="1" applyBorder="1" applyAlignment="1" applyProtection="1">
      <alignment horizontal="center" vertical="center"/>
      <protection locked="0"/>
    </xf>
    <xf numFmtId="0" fontId="14" fillId="0" borderId="17" xfId="0" applyFont="1" applyBorder="1" applyAlignment="1" applyProtection="1">
      <alignment horizontal="left" vertical="top" wrapText="1"/>
      <protection locked="0"/>
    </xf>
    <xf numFmtId="0" fontId="14" fillId="0" borderId="25" xfId="0" applyFont="1" applyBorder="1" applyAlignment="1" applyProtection="1">
      <alignment horizontal="left" vertical="top" wrapText="1"/>
      <protection locked="0"/>
    </xf>
    <xf numFmtId="0" fontId="14" fillId="0" borderId="26" xfId="0" applyFont="1" applyBorder="1" applyAlignment="1" applyProtection="1">
      <alignment horizontal="left" vertical="top" wrapText="1"/>
      <protection locked="0"/>
    </xf>
    <xf numFmtId="0" fontId="14" fillId="0" borderId="15" xfId="0" applyFont="1" applyBorder="1" applyAlignment="1" applyProtection="1">
      <alignment horizontal="left" vertical="top" wrapText="1"/>
      <protection locked="0"/>
    </xf>
    <xf numFmtId="0" fontId="14" fillId="0" borderId="0" xfId="0" applyFont="1" applyAlignment="1" applyProtection="1">
      <alignment horizontal="left" vertical="top" wrapText="1"/>
      <protection locked="0"/>
    </xf>
    <xf numFmtId="0" fontId="14" fillId="0" borderId="22" xfId="0" applyFont="1" applyBorder="1" applyAlignment="1" applyProtection="1">
      <alignment horizontal="left" vertical="top" wrapText="1"/>
      <protection locked="0"/>
    </xf>
    <xf numFmtId="0" fontId="14" fillId="0" borderId="24" xfId="0" applyFont="1" applyBorder="1" applyAlignment="1" applyProtection="1">
      <alignment horizontal="left" vertical="top" wrapText="1"/>
      <protection locked="0"/>
    </xf>
    <xf numFmtId="0" fontId="14" fillId="0" borderId="10" xfId="0" applyFont="1" applyBorder="1" applyAlignment="1" applyProtection="1">
      <alignment horizontal="left" vertical="top" wrapText="1"/>
      <protection locked="0"/>
    </xf>
    <xf numFmtId="0" fontId="14" fillId="0" borderId="27" xfId="0" applyFont="1" applyBorder="1" applyAlignment="1" applyProtection="1">
      <alignment horizontal="left" vertical="top" wrapText="1"/>
      <protection locked="0"/>
    </xf>
    <xf numFmtId="0" fontId="15" fillId="0" borderId="11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4" fillId="0" borderId="2" xfId="0" applyFont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49" fontId="1" fillId="0" borderId="2" xfId="0" applyNumberFormat="1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wrapText="1"/>
    </xf>
    <xf numFmtId="49" fontId="1" fillId="0" borderId="11" xfId="0" applyNumberFormat="1" applyFont="1" applyBorder="1" applyAlignment="1">
      <alignment horizontal="center" vertical="center" wrapText="1"/>
    </xf>
    <xf numFmtId="49" fontId="1" fillId="0" borderId="9" xfId="0" applyNumberFormat="1" applyFont="1" applyBorder="1" applyAlignment="1">
      <alignment horizontal="center" vertical="center" wrapText="1"/>
    </xf>
    <xf numFmtId="49" fontId="1" fillId="0" borderId="5" xfId="0" applyNumberFormat="1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7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29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17" fillId="0" borderId="30" xfId="0" applyFont="1" applyBorder="1" applyAlignment="1">
      <alignment horizontal="left" vertical="top" wrapText="1" indent="18"/>
    </xf>
    <xf numFmtId="0" fontId="17" fillId="0" borderId="31" xfId="0" applyFont="1" applyBorder="1" applyAlignment="1">
      <alignment horizontal="left" vertical="top" wrapText="1" indent="18"/>
    </xf>
    <xf numFmtId="0" fontId="17" fillId="0" borderId="32" xfId="0" applyFont="1" applyBorder="1" applyAlignment="1">
      <alignment horizontal="left" vertical="top" wrapText="1" indent="18"/>
    </xf>
    <xf numFmtId="0" fontId="7" fillId="5" borderId="11" xfId="0" applyFont="1" applyFill="1" applyBorder="1" applyAlignment="1">
      <alignment horizontal="center"/>
    </xf>
    <xf numFmtId="0" fontId="7" fillId="5" borderId="9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165" fontId="6" fillId="0" borderId="2" xfId="0" applyNumberFormat="1" applyFont="1" applyBorder="1" applyAlignment="1" applyProtection="1">
      <alignment horizontal="center" vertical="center"/>
    </xf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Percent" xfId="3" builtinId="5"/>
  </cellStyles>
  <dxfs count="7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font>
        <b/>
      </font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2</xdr:row>
          <xdr:rowOff>104775</xdr:rowOff>
        </xdr:from>
        <xdr:to>
          <xdr:col>17</xdr:col>
          <xdr:colOff>104775</xdr:colOff>
          <xdr:row>4</xdr:row>
          <xdr:rowOff>123825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@scengineers.net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9" totalsRowShown="0" headerRowDxfId="714" dataDxfId="712" headerRowBorderDxfId="713" tableBorderDxfId="711" totalsRowBorderDxfId="710">
  <autoFilter ref="B25:T29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709"/>
    <tableColumn id="18" xr3:uid="{366DBBF2-20A8-4D60-93FE-3D5A81578DB0}" name="DISCHARGE CONFIG" dataDxfId="708"/>
    <tableColumn id="19" xr3:uid="{0CEE3843-A0BB-4053-8B60-160B8D23C3A1}" name="RETURN CONFIG" dataDxfId="707"/>
    <tableColumn id="2" xr3:uid="{A907651C-1565-4CA5-8395-FBF4A48F82DF}" name="SUPPLY FAN VFD" dataDxfId="706"/>
    <tableColumn id="3" xr3:uid="{A1BA734B-6B37-4C81-BB00-B96C74EABC9E}" name="RETURN FAN" dataDxfId="705"/>
    <tableColumn id="4" xr3:uid="{1A2A118E-5D50-4E1F-8178-C4EFA7C8AFB2}" name="RETURN FAN VFD" dataDxfId="704"/>
    <tableColumn id="5" xr3:uid="{9789DB90-BB58-4C9A-84AA-733010BD2ABF}" name="ECONOMIZER" dataDxfId="703"/>
    <tableColumn id="6" xr3:uid="{7F342EF1-E9D4-4167-9F2C-FB7ECDD16AC5}" name="HEAT RECOVERY" dataDxfId="702"/>
    <tableColumn id="7" xr3:uid="{26A7AB30-2773-4D3A-B047-D020B43C98AD}" name="PREHEAT COIL" dataDxfId="701"/>
    <tableColumn id="8" xr3:uid="{698E1BCF-A037-4D50-BC22-BF171E579A40}" name="REHEAT COIL" dataDxfId="700"/>
    <tableColumn id="9" xr3:uid="{E1206B26-EAF7-482D-90C7-BD9B25AC7DF4}" name="SUPPLY SMOKE" dataDxfId="699"/>
    <tableColumn id="10" xr3:uid="{3C1D9E90-D1DB-4131-ACF1-AE091BA0F570}" name="RETURN SMOKE" dataDxfId="698"/>
    <tableColumn id="11" xr3:uid="{42FFA5A3-94D2-4855-A74E-B15F86BB7CA6}" name="SINGLE POWER" dataDxfId="697"/>
    <tableColumn id="12" xr3:uid="{A9CF85BF-E075-40CD-A3D8-8F54B4742E17}" name="UV LIGHTS" dataDxfId="696"/>
    <tableColumn id="13" xr3:uid="{E6598DEC-673D-4041-8DFD-65E1B4E86C00}" name="PRE FILTER " dataDxfId="695"/>
    <tableColumn id="14" xr3:uid="{A42CA4AB-ECDB-4F8E-9F88-493EE19C6264}" name="INTERMIDIATE FILTER" dataDxfId="694"/>
    <tableColumn id="15" xr3:uid="{7E317255-F402-493B-BA5E-6339E59F2B79}" name="ATFP DAMPERS" dataDxfId="693"/>
    <tableColumn id="16" xr3:uid="{F81087CC-928B-4AE1-A5CB-B814D3F9D515}" name="HUMIDIFIER" dataDxfId="692"/>
    <tableColumn id="17" xr3:uid="{6D8362BD-1A4B-4899-83CC-017029BF5237}" name="HEPA FILTER" dataDxfId="69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32:E33" totalsRowShown="0" headerRowDxfId="690" dataDxfId="689">
  <autoFilter ref="B32:E33" xr:uid="{4581B1AD-A786-2246-8D37-2A5F7703F76B}"/>
  <tableColumns count="4">
    <tableColumn id="1" xr3:uid="{F6DE3AB9-A636-4F44-A1A2-B490A8559CB9}" name="Number of Chillers" dataDxfId="688"/>
    <tableColumn id="2" xr3:uid="{4435B585-7E01-124C-A117-60351029480F}" name="Diversity %" dataDxfId="687" dataCellStyle="Percent"/>
    <tableColumn id="3" xr3:uid="{5593EF6B-BC7D-2545-87E3-670353EFCEA9}" name="number of CHW Pumps" dataDxfId="686"/>
    <tableColumn id="4" xr3:uid="{62962FB5-BAF9-064A-8972-6E8082614CD8}" name="Column1" dataDxfId="68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94EE0CB-68C1-474D-A940-BD44736E3BAA}" name="TABLE4A43" displayName="TABLE4A43" ref="B6:Z18" totalsRowCount="1" headerRowDxfId="684" dataDxfId="683" totalsRowDxfId="681" tableBorderDxfId="682">
  <autoFilter ref="B6:Z17" xr:uid="{524E3D6C-149E-4F0C-99B8-D02F54E8F335}"/>
  <sortState xmlns:xlrd2="http://schemas.microsoft.com/office/spreadsheetml/2017/richdata2" ref="B7:Z17">
    <sortCondition ref="B6:B17"/>
  </sortState>
  <tableColumns count="25">
    <tableColumn id="2" xr3:uid="{22C7799E-DFE7-0046-A424-0E41D791266C}" name="ZONE" dataDxfId="680" totalsRowDxfId="679"/>
    <tableColumn id="3" xr3:uid="{62F86706-BFED-8849-B203-1462C07A11D1}" name="ROOM" dataDxfId="678" totalsRowDxfId="677"/>
    <tableColumn id="4" xr3:uid="{BA8CC09C-8989-7449-815E-02DA3EBCCE73}" name="ROOM #" dataDxfId="676" totalsRowDxfId="675"/>
    <tableColumn id="5" xr3:uid="{2A5847B7-C8C2-7D4C-9B9E-AF0D4F961528}" name="AREA (FT²)" totalsRowFunction="sum" dataDxfId="674" totalsRowDxfId="673"/>
    <tableColumn id="6" xr3:uid="{6F4863D2-E26C-4B4A-8A7E-6808FF9E98AF}" name="HG_x000a_(FT)" dataDxfId="672" totalsRowDxfId="671"/>
    <tableColumn id="7" xr3:uid="{D114EF5A-EB4D-E240-9D9D-BD8D88BBD5D0}" name="TOTAL AC/HR" dataDxfId="670" totalsRowDxfId="669">
      <calculatedColumnFormula>VLOOKUP($M7,'UMC Table 4-A'!$A$2:$E$132,4,FALSE)</calculatedColumnFormula>
    </tableColumn>
    <tableColumn id="8" xr3:uid="{C41C1A8A-07D2-F847-ADC4-523F6DA3A59A}" name="100%_x000a_EA" dataDxfId="668" totalsRowDxfId="667">
      <calculatedColumnFormula>VLOOKUP($M7,'UMC Table 4-A'!$A$2:$E$132,5,FALSE)</calculatedColumnFormula>
    </tableColumn>
    <tableColumn id="9" xr3:uid="{C2F85DE3-5208-7A42-B5B3-6BD44EDE360A}" name="EA_x000a_(CFM)" dataDxfId="666" totalsRowDxfId="665">
      <calculatedColumnFormula>IF(H7="Yes",K7,"-")</calculatedColumnFormula>
    </tableColumn>
    <tableColumn id="10" xr3:uid="{DB9587E5-51D0-9E49-B476-3D1DEB286854}" name="LOAD (CFM)" dataDxfId="664" totalsRowDxfId="663"/>
    <tableColumn id="11" xr3:uid="{C2B72E76-A1B2-864A-8E40-94D30E0904B2}" name="AC/HR CFM" dataDxfId="662" totalsRowDxfId="661">
      <calculatedColumnFormula>IF(G7&lt;&gt;"NR",ROUNDUP((E7*F7*G7)/60,-1),0)</calculatedColumnFormula>
    </tableColumn>
    <tableColumn id="12" xr3:uid="{4166323B-03BF-624D-B936-3007427F886B}" name="1 or 0.5 CFM/SF" dataDxfId="660" totalsRowDxfId="659">
      <calculatedColumnFormula>IF((M7="PATIENT CORRIDOR"),(E7*0.5),E7)</calculatedColumnFormula>
    </tableColumn>
    <tableColumn id="13" xr3:uid="{EF99C6F8-178D-B74B-9494-D87EECB93536}" name="4-A DESIGNATION" dataDxfId="658" totalsRowDxfId="657"/>
    <tableColumn id="14" xr3:uid="{58966974-3F49-C846-8C54-D89C6D09D35B}" name="AIRBALANCE RELATIONSHIP" dataDxfId="656" totalsRowDxfId="655">
      <calculatedColumnFormula>VLOOKUP($M7,'UMC Table 4-A'!$A$2:$E$132,2,FALSE)</calculatedColumnFormula>
    </tableColumn>
    <tableColumn id="15" xr3:uid="{5E77F12B-AF22-DE47-96B1-F2CCA63C5F3B}" name="MINIMUM OSA CHANGES PER HOUR" dataDxfId="654" totalsRowDxfId="653">
      <calculatedColumnFormula>VLOOKUP($M7,'UMC Table 4-A'!$A$2:$E$132,3,FALSE)</calculatedColumnFormula>
    </tableColumn>
    <tableColumn id="16" xr3:uid="{EB149268-2DAB-9145-9B3F-A075A9E0BB62}" name="OSA CFM" totalsRowFunction="sum" dataDxfId="652" totalsRowDxfId="651">
      <calculatedColumnFormula>IF(O7&lt;&gt;"NR",ROUNDUP((E7*F7*O7)/60,-1),0)</calculatedColumnFormula>
    </tableColumn>
    <tableColumn id="17" xr3:uid="{D7D5D4AD-5D2F-1947-A1EC-864FB51133D3}" name="ALL AIR EXHAUSTED" dataDxfId="650" totalsRowDxfId="649">
      <calculatedColumnFormula>VLOOKUP($M7,'UMC Table 4-A'!$A$2:$E$132,5,FALSE)</calculatedColumnFormula>
    </tableColumn>
    <tableColumn id="18" xr3:uid="{8E64C3DD-B984-C34D-950D-988E6756EC90}" name="CALCULATED SA CFM" totalsRowFunction="sum" dataDxfId="648" totalsRowDxfId="647">
      <calculatedColumnFormula>IF(N7="Negative",IF(OR(M7="Toilet room",M7="Janitor's closet, housekeeping"),0,IF(0.1*U7&gt;50,220-0.1*U7,U7-50)),IF(Q7="Yes",0,CEILING(MAX(J7:L7),5)))</calculatedColumnFormula>
    </tableColumn>
    <tableColumn id="19" xr3:uid="{E8C6C3AF-DA37-294C-9EDD-CF2B2D5B970A}" name="DESIGN SA CFM" totalsRowFunction="sum" dataDxfId="646" totalsRowDxfId="645">
      <calculatedColumnFormula>R7</calculatedColumnFormula>
    </tableColumn>
    <tableColumn id="20" xr3:uid="{DD8A54C1-53C5-BC42-BBC6-13ABBEB44ADF}" name="RA CFM" totalsRowFunction="sum" dataDxfId="644" totalsRowDxfId="643">
      <calculatedColumnFormula>IF(Q7="Yes",0,IF(N7="Positive",IF(0.1*R7&gt;50,R7-0.1*R7,R7-50),IF(N7="Negative",IF(0.1*R7&gt;50,R7+0.1*R7,R7+50),R7)))</calculatedColumnFormula>
    </tableColumn>
    <tableColumn id="21" xr3:uid="{8868FABE-CA00-2B4B-80AA-4865D9483ACE}" name="EA CFM" totalsRowFunction="sum" dataDxfId="642" totalsRowDxfId="641">
      <calculatedColumnFormula>IF(Q7="Yes",I7,0)</calculatedColumnFormula>
    </tableColumn>
    <tableColumn id="22" xr3:uid="{D9078ABF-02C8-5649-BF43-2635E4E43CD3}" name="Transfer Air CFM" totalsRowFunction="sum" dataDxfId="640" totalsRowDxfId="639">
      <calculatedColumnFormula>S7-T7-U7</calculatedColumnFormula>
    </tableColumn>
    <tableColumn id="23" xr3:uid="{420D3664-0F81-6346-9798-DAAD4438D382}" name="Balance?" dataDxfId="638" totalsRowDxfId="637">
      <calculatedColumnFormula>IF(R7-T7-U7+V7=0,"Yes","No")</calculatedColumnFormula>
    </tableColumn>
    <tableColumn id="24" xr3:uid="{2B06E20E-4173-5744-A06B-F45C3B6E4E06}" name="CFM/SF" dataDxfId="636" totalsRowDxfId="635">
      <calculatedColumnFormula>IFERROR(R7/E7,"-")</calculatedColumnFormula>
    </tableColumn>
    <tableColumn id="25" xr3:uid="{1CCCE25F-6BF2-294F-9C7E-94799BF60C61}" name="OSA PERCENT" dataDxfId="634" totalsRowDxfId="633"/>
    <tableColumn id="26" xr3:uid="{A9787315-1554-5F47-9583-71F6447BADE7}" name="ACH/hr" dataDxfId="632" totalsRowDxfId="63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808008B-AD6D-2742-B35D-781B9D31167A}" name="AHU1_CAV_SCHEDULE44" displayName="AHU1_CAV_SCHEDULE44" ref="AC6:AS45" totalsRowCount="1" headerRowDxfId="630" dataDxfId="628" totalsRowDxfId="626" headerRowBorderDxfId="629" tableBorderDxfId="627" totalsRowBorderDxfId="625">
  <autoFilter ref="AC6:AS44" xr:uid="{2A2B6BA6-0EAB-2349-A085-FD569408EC9D}"/>
  <tableColumns count="17">
    <tableColumn id="1" xr3:uid="{C25C46EE-18B7-234F-90BC-9CFAECF0D77B}" name="ZONE" totalsRowLabel="Total" dataDxfId="624" totalsRowDxfId="623"/>
    <tableColumn id="2" xr3:uid="{FF1D057E-CF59-234B-BE6D-5179D70CBEFE}" name="BASIS OF DESIGN _x000a_MANUFACTURER" dataDxfId="622" totalsRowDxfId="621"/>
    <tableColumn id="3" xr3:uid="{76C3F628-FC7A-644D-A84B-B7D2DF32CB78}" name="DESCRIPTION" dataDxfId="620" totalsRowDxfId="619"/>
    <tableColumn id="4" xr3:uid="{648F5A5B-AB00-7445-B77F-BC8AA4FAF8E5}" name="CFM" dataDxfId="618" totalsRowDxfId="617">
      <calculatedColumnFormula>SUMIF($B$7:$B$17,AC7,$S$7:$S$17)</calculatedColumnFormula>
    </tableColumn>
    <tableColumn id="5" xr3:uid="{B8C6F18E-27B7-5C47-A6AA-896E053D5DD5}" name="CAV INLET SIZE" dataDxfId="616" totalsRowDxfId="615">
      <calculatedColumnFormula>IFERROR((VLOOKUP(AF7,'DO NOT TOUCH'!$P$9:$Q$14,2,TRUE)),"TBD")</calculatedColumnFormula>
    </tableColumn>
    <tableColumn id="6" xr3:uid="{9B933B17-72C0-114F-B80C-4F0E9DEE45DA}" name="MAX TOTAL CAV PD _x000a_(IN W.G.)" dataDxfId="614" totalsRowDxfId="613">
      <calculatedColumnFormula>AH6</calculatedColumnFormula>
    </tableColumn>
    <tableColumn id="7" xr3:uid="{B18295A8-1F00-1048-BB1F-85CE741F6991}" name="EWT" dataDxfId="612" totalsRowDxfId="611">
      <calculatedColumnFormula>INPUT_OUTPUTS!$C$16</calculatedColumnFormula>
    </tableColumn>
    <tableColumn id="8" xr3:uid="{71AC2984-1F71-FE45-8BF4-5C296E523C25}" name="DESIGN _x000a_LWT" dataDxfId="610" totalsRowDxfId="609">
      <calculatedColumnFormula>INPUT_OUTPUTS!$C$17</calculatedColumnFormula>
    </tableColumn>
    <tableColumn id="9" xr3:uid="{ECBF8CE3-146D-7E4C-B125-10414FE35F41}" name="EAT" dataDxfId="608" totalsRowDxfId="607">
      <calculatedColumnFormula>AK6</calculatedColumnFormula>
    </tableColumn>
    <tableColumn id="10" xr3:uid="{15F58DEE-0A56-6E49-9C7C-E911663EA507}" name="DESIGN _x000a_LAT" dataDxfId="606" totalsRowDxfId="605">
      <calculatedColumnFormula>AL6</calculatedColumnFormula>
    </tableColumn>
    <tableColumn id="11" xr3:uid="{914895A5-B38D-0743-8A44-8F92020558DF}" name="MIN MBH" totalsRowFunction="sum" dataDxfId="604" totalsRowDxfId="603">
      <calculatedColumnFormula>MROUND((1.08*(AL7-AK7)*AF7)/1000,0.1)</calculatedColumnFormula>
    </tableColumn>
    <tableColumn id="12" xr3:uid="{CD0348BA-B462-F447-A201-4DC3F6D405EA}" name="AGPM" dataDxfId="602" totalsRowDxfId="601">
      <calculatedColumnFormula>(AM7*1000)/(500*(AI7-AJ7))</calculatedColumnFormula>
    </tableColumn>
    <tableColumn id="13" xr3:uid="{08FCAA37-BE69-A645-B7B4-97E57511637E}" name="GPM" totalsRowFunction="sum" dataDxfId="600" totalsRowDxfId="599">
      <calculatedColumnFormula>IF(AN7&lt;0.5,0.5,AN7)</calculatedColumnFormula>
    </tableColumn>
    <tableColumn id="14" xr3:uid="{36DECC85-96C7-1F40-8C0A-6358A371661E}" name="MAX WATER _x000a_PD (FT)" dataDxfId="598" totalsRowDxfId="597">
      <calculatedColumnFormula>AP6</calculatedColumnFormula>
    </tableColumn>
    <tableColumn id="15" xr3:uid="{40BE04EB-CA2B-BD46-A2A8-B5618F6EB628}" name="OPER _x000a_WEIGHT_x000a_(LBS)" dataDxfId="596" totalsRowDxfId="595">
      <calculatedColumnFormula>IFERROR((_xlfn.XLOOKUP(AG7,'DO NOT TOUCH'!$Q$9:$Q$14,'DO NOT TOUCH'!$R$9:$R$14,)),"TBD")</calculatedColumnFormula>
    </tableColumn>
    <tableColumn id="16" xr3:uid="{FCE60676-46C3-2C4E-9399-C8250EC74D56}" name="MTG _x000a_DETAIL" dataDxfId="594" totalsRowDxfId="593">
      <calculatedColumnFormula>INPUT_OUTPUTS!$C$19</calculatedColumnFormula>
    </tableColumn>
    <tableColumn id="17" xr3:uid="{F5AE1D75-89DB-1E44-A1ED-A1A5537714F6}" name="REMARKS" dataDxfId="592" totalsRowDxfId="591">
      <calculatedColumnFormula>AS6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D56CCF-90A6-4002-91E3-16B659132EB6}" name="AHU_1_Ashrae" displayName="AHU_1_Ashrae" ref="A2:AA4" totalsRowCount="1" headerRowDxfId="590" dataDxfId="589" totalsRowDxfId="587" tableBorderDxfId="588">
  <autoFilter ref="A2:AA3" xr:uid="{59B85608-0CD2-47F2-870C-191ADDE0C2B8}"/>
  <tableColumns count="27">
    <tableColumn id="1" xr3:uid="{1E046812-0943-4526-9AC3-25CCD5D3389E}" name="Zone" totalsRowLabel="TOTAL" dataDxfId="586" totalsRowDxfId="585"/>
    <tableColumn id="3" xr3:uid="{1AE27A44-94EB-4776-817B-6918E573E1C4}" name="Room Number" dataDxfId="584" totalsRowDxfId="583"/>
    <tableColumn id="4" xr3:uid="{EB025315-C8BF-4216-964B-E09CD47977AE}" name="Room" totalsRowFunction="count" dataDxfId="582" totalsRowDxfId="581"/>
    <tableColumn id="6" xr3:uid="{4C6E18C1-5816-42E6-9BBA-D032F4B3DDCF}" name="AREA _x000a_(FT²)" totalsRowFunction="sum" dataDxfId="580" totalsRowDxfId="579"/>
    <tableColumn id="18" xr3:uid="{B05ABBEA-E4EE-4AFF-A4D4-02FE0B89784B}" name="Exhaust Units" dataDxfId="578" totalsRowDxfId="577"/>
    <tableColumn id="7" xr3:uid="{9CE6F82C-9CCC-40C8-A443-2421DAA45941}" name="OFFICE STANDARD _x000a_(CFM)" dataDxfId="576" totalsRowDxfId="575">
      <calculatedColumnFormula>IF((AHU_1_Ashrae[[#This Row],[Occupancy Subcategory]] = "TOILET"),MROUND(D3/2,5),MROUND(D3,5))</calculatedColumnFormula>
    </tableColumn>
    <tableColumn id="8" xr3:uid="{02BEA360-4B6C-4640-AF81-779E094FEC9C}" name="LOAD (CFM)" totalsRowFunction="sum" dataDxfId="574" totalsRowDxfId="573"/>
    <tableColumn id="17" xr3:uid="{FD58E20F-B59B-4730-AE28-7531B5292D5F}" name="Exhaust Category" dataDxfId="572" totalsRowDxfId="571"/>
    <tableColumn id="5" xr3:uid="{D24661C0-EA16-41CD-AE22-EF1409B98734}" name="Occupancy Category" dataDxfId="570" totalsRowDxfId="569"/>
    <tableColumn id="36" xr3:uid="{E5F0C7DC-4E6B-442D-947C-8DA50A9CF1DA}" name="Occupancy Subcategory" dataDxfId="568" totalsRowDxfId="567"/>
    <tableColumn id="10" xr3:uid="{76FBDD84-3B21-41C6-93A5-777454873766}" name="RP_x000a_(CFM/PER PERSON)" dataDxfId="566" totalsRowDxfId="565">
      <calculatedColumnFormula array="1">INDEX(Ashrae90.1Vent[RP],MATCH(AHU_1_Ashrae[[#This Row],[Occupancy Category]]&amp;AHU_1_Ashrae[[#This Row],[Occupancy Subcategory]],Ashrae90.1Vent[OCCUPANCY CATEGORY]&amp;Ashrae90.1Vent[OCCUPANCY SUBCATEGORY],0))</calculatedColumnFormula>
    </tableColumn>
    <tableColumn id="11" xr3:uid="{F5805B4D-6514-4CAD-B1D6-0C4AC9BC2C1E}" name="RA_x000a_(CFM/FT²)" dataDxfId="564" totalsRowDxfId="563">
      <calculatedColumnFormula array="1">INDEX(Ashrae90.1Vent[RA],MATCH(AHU_1_Ashrae[[#This Row],[Occupancy Category]]&amp;AHU_1_Ashrae[[#This Row],[Occupancy Subcategory]],Ashrae90.1Vent[OCCUPANCY CATEGORY]&amp;Ashrae90.1Vent[OCCUPANCY SUBCATEGORY],))</calculatedColumnFormula>
    </tableColumn>
    <tableColumn id="9" xr3:uid="{0264B647-49EA-4E72-9AC7-8A544C1FC0AE}" name="OCCUPANT DENSITY_x000a_(#/1000 FT²)" dataDxfId="562" totalsRowDxfId="561">
      <calculatedColumnFormula array="1">INDEX(Ashrae90.1Vent[OCCUPANT DENSITY],MATCH(AHU_1_Ashrae[[#This Row],[Occupancy Category]]&amp;AHU_1_Ashrae[[#This Row],[Occupancy Subcategory]],Ashrae90.1Vent[OCCUPANCY CATEGORY]&amp;Ashrae90.1Vent[OCCUPANCY SUBCATEGORY],))</calculatedColumnFormula>
    </tableColumn>
    <tableColumn id="12" xr3:uid="{AB98C6E7-E0A2-41C3-8830-455165339605}" name="Air Class" dataDxfId="560" totalsRowDxfId="559">
      <calculatedColumnFormula array="1">INDEX(Ashrae90.1Vent[AIR CLASS],MATCH(AHU_1_Ashrae[[#This Row],[Occupancy Category]]&amp;AHU_1_Ashrae[[#This Row],[Occupancy Subcategory]],Ashrae90.1Vent[OCCUPANCY CATEGORY]&amp;Ashrae90.1Vent[OCCUPANCY SUBCATEGORY],))</calculatedColumnFormula>
    </tableColumn>
    <tableColumn id="13" xr3:uid="{E010B6A3-ED09-42E3-84C9-CF889EDE2D10}" name="Occupants" totalsRowFunction="sum" dataDxfId="558" totalsRowDxfId="557">
      <calculatedColumnFormula>CEILING((M3/1000)*D3,1)</calculatedColumnFormula>
    </tableColumn>
    <tableColumn id="14" xr3:uid="{F080D6EA-68B5-4C25-BF03-B3E8C57F8E1C}" name="Vbz" dataDxfId="556" totalsRowDxfId="555">
      <calculatedColumnFormula>(AHU_1_Ashrae[[#This Row],[RP
(CFM/PER PERSON)]]*AHU_1_Ashrae[[#This Row],[Occupants]])+(AHU_1_Ashrae[[#This Row],[RA
(CFM/FT²)]]*AHU_1_Ashrae[[#This Row],[AREA 
(FT²)]])</calculatedColumnFormula>
    </tableColumn>
    <tableColumn id="15" xr3:uid="{0A35C8D4-A62F-4CD8-833A-DC8A4182FDCD}" name="Ez" dataDxfId="554" totalsRowDxfId="553"/>
    <tableColumn id="16" xr3:uid="{16F70A3E-490B-44E7-8973-78A00DEB87B9}" name="Voz" dataDxfId="552" totalsRowDxfId="551">
      <calculatedColumnFormula>P3/Q3</calculatedColumnFormula>
    </tableColumn>
    <tableColumn id="21" xr3:uid="{571A6BEC-E1F0-463E-A804-8582AAB1AD0B}" name="OUTSIDE AIRFLOW (CFM) (Vot)" totalsRowFunction="sum" dataDxfId="550" totalsRowDxfId="549">
      <calculatedColumnFormula>AHU_1_Ashrae[[#This Row],[Voz]]</calculatedColumnFormula>
    </tableColumn>
    <tableColumn id="27" xr3:uid="{75B3608B-79B9-4E75-B73D-02BEC836945F}" name="EA RATE_x000a_(CFM/UNIT)" dataDxfId="548" totalsRowDxfId="547">
      <calculatedColumnFormula>IF(AHU_1_Ashrae[[#This Row],[Exhaust Category]]="NA","NA",VLOOKUP(AHU_1_Ashrae[[#This Row],[Exhaust Category]],ASHRAE_EA_Table[#All],3,FALSE))</calculatedColumnFormula>
    </tableColumn>
    <tableColumn id="19" xr3:uid="{D0ECCB03-0786-486F-886F-41E246E54DC1}" name="EA RATE_x000a_(CFM/FT²)" dataDxfId="546" totalsRowDxfId="545">
      <calculatedColumnFormula>IF(AHU_1_Ashrae[[#This Row],[Exhaust Category]]="NA","NA",VLOOKUP(AHU_1_Ashrae[[#This Row],[Exhaust Category]],ASHRAE_EA_Table[#All],4,FALSE))</calculatedColumnFormula>
    </tableColumn>
    <tableColumn id="28" xr3:uid="{F2374C64-FF32-43CE-B7A9-32D5E06F9142}" name="MIN ASHRAE EA_x000a_(CFM)" dataDxfId="544" totalsRowDxfId="543">
      <calculatedColumnFormula>IF(AHU_1_Ashrae[[#This Row],[EA RATE
(CFM/UNIT)]]=0&amp;AHU_1_Ashrae[[#This Row],[EA RATE
(CFM/FT²)]]=0,0,IF(AHU_1_Ashrae[[#This Row],[EA RATE
(CFM/UNIT)]]=0,AHU_1_Ashrae[[#This Row],[EA RATE
(CFM/FT²)]]*AHU_1_Ashrae[[#This Row],[AREA 
(FT²)]],AHU_1_Ashrae[[#This Row],[Exhaust Units]]*AHU_1_Ashrae[[#This Row],[EA RATE
(CFM/UNIT)]]))</calculatedColumnFormula>
    </tableColumn>
    <tableColumn id="22" xr3:uid="{6A6ECC84-014E-4AA3-BF88-FF1C1F69284A}" name="DESIGN SA(CFM)" totalsRowFunction="sum" dataDxfId="542" totalsRowDxfId="541">
      <calculatedColumnFormula>IF(AHU_1_Ashrae[[#This Row],[MIN ASHRAE EA
(CFM)]]=0,MAX(AHU_1_Ashrae[[#This Row],[LOAD (CFM)]],AHU_1_Ashrae[[#This Row],[OFFICE STANDARD 
(CFM)]]),AHU_1_Ashrae[[#This Row],[DESIGN EA(CFM)]]-100)</calculatedColumnFormula>
    </tableColumn>
    <tableColumn id="26" xr3:uid="{380B976A-EF8C-4E1E-8848-39E968AEE6E3}" name="DESIGN RA(CFM)" totalsRowFunction="sum" dataDxfId="540" totalsRowDxfId="539">
      <calculatedColumnFormula>IF(AHU_1_Ashrae[[#This Row],[MIN ASHRAE EA
(CFM)]]=0,AHU_1_Ashrae[[#This Row],[DESIGN SA(CFM)]],0)</calculatedColumnFormula>
    </tableColumn>
    <tableColumn id="29" xr3:uid="{26BA57DB-CEEF-4C42-8319-D2B5C2D75B5D}" name="DESIGN EA(CFM)" totalsRowFunction="sum" dataDxfId="538" totalsRowDxfId="537">
      <calculatedColumnFormula>IF(AHU_1_Ashrae[[#This Row],[MIN ASHRAE EA
(CFM)]]=0,0,IF(AHU_1_Ashrae[[#This Row],[MIN ASHRAE EA
(CFM)]]&lt;AHU_1_Ashrae[[#This Row],[LOAD (CFM)]],AHU_1_Ashrae[[#This Row],[LOAD (CFM)]]+100,AHU_1_Ashrae[[#This Row],[MIN ASHRAE EA
(CFM)]]))</calculatedColumnFormula>
    </tableColumn>
    <tableColumn id="30" xr3:uid="{59D480E8-C45E-4932-AADA-52136DBE07E1}" name="Transfer Air CFM" dataDxfId="536" totalsRowDxfId="535">
      <calculatedColumnFormula>AHU_1_Ashrae[[#This Row],[DESIGN SA(CFM)]]-AHU_1_Ashrae[[#This Row],[DESIGN RA(CFM)]]-AHU_1_Ashrae[[#This Row],[DESIGN EA(CFM)]]</calculatedColumnFormula>
    </tableColumn>
    <tableColumn id="35" xr3:uid="{B1888F7B-AD9F-4E79-90D7-9D1037E6BEAD}" name="OA Frac (Z)" dataDxfId="534" totalsRowDxfId="533" dataCellStyle="Percent">
      <calculatedColumnFormula>AHU_1_Ashrae[[#This Row],[OUTSIDE AIRFLOW (CFM) (Vot)]]/AHU_1_Ashrae[[#This Row],[DESIGN SA(CFM)]]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66C90B4-902E-480E-83E7-009DF0E431F2}" name="AHU_2_Ashrae" displayName="AHU_2_Ashrae" ref="A2:AJ6" totalsRowCount="1" headerRowDxfId="271" dataDxfId="270" totalsRowDxfId="269" tableBorderDxfId="268">
  <autoFilter ref="A2:AJ5" xr:uid="{59B85608-0CD2-47F2-870C-191ADDE0C2B8}"/>
  <tableColumns count="36">
    <tableColumn id="1" xr3:uid="{002E6A55-09C8-4750-BF8B-E774B64565B2}" name="Zone" totalsRowLabel="TOTAL" dataDxfId="267" totalsRowDxfId="225"/>
    <tableColumn id="3" xr3:uid="{F666254F-1B03-438A-9C9B-93EC26FB11B6}" name="Room Number" dataDxfId="266" totalsRowDxfId="224"/>
    <tableColumn id="4" xr3:uid="{B31B419A-52E4-461A-964B-EA8294576167}" name="Room" totalsRowFunction="count" dataDxfId="265" totalsRowDxfId="223"/>
    <tableColumn id="6" xr3:uid="{2B04B564-2E3A-4A1C-B19E-EDEFD05799E1}" name="AREA (FT²)" totalsRowFunction="sum" dataDxfId="264" totalsRowDxfId="222"/>
    <tableColumn id="18" xr3:uid="{34D7E623-F829-4EF6-8423-D06FCC733FF0}" name="Exhaust Units" dataDxfId="263" totalsRowDxfId="221"/>
    <tableColumn id="7" xr3:uid="{22F9C24D-F958-45DC-A086-92BFF29F2D26}" name="OFFICE STANDARD _x000a_(CFM)" dataDxfId="262" totalsRowDxfId="220">
      <calculatedColumnFormula>IF((AHU_2_Ashrae[[#This Row],[Occupancy Subcategory]] = "TOILET"),MROUND(D3/2,5),MROUND(D3,5))</calculatedColumnFormula>
    </tableColumn>
    <tableColumn id="8" xr3:uid="{759313E7-F5F6-4363-A61B-8B60CCFAD3A2}" name="LOAD (CFM)" totalsRowFunction="sum" dataDxfId="261" totalsRowDxfId="219"/>
    <tableColumn id="17" xr3:uid="{D2F50EF0-0EA9-47A7-A089-0E26364CCFF8}" name="Exhaust Category" dataDxfId="260" totalsRowDxfId="218"/>
    <tableColumn id="5" xr3:uid="{A2148F2D-09E2-4501-AAE8-F507ECEE70BE}" name="Occupancy Category" dataDxfId="259" totalsRowDxfId="217"/>
    <tableColumn id="36" xr3:uid="{86EF569C-EB38-4D8E-8979-3BBF5D703283}" name="Occupancy Subcategory" dataDxfId="258" totalsRowDxfId="216"/>
    <tableColumn id="10" xr3:uid="{19B6C846-65F5-4D00-B92A-BAE8A95EBA54}" name="RP_x000a_(CFM/PER PERSON)" dataDxfId="257" totalsRowDxfId="215">
      <calculatedColumnFormula array="1">INDEX(Ashrae90.1Vent[RP],MATCH(AHU_2_Ashrae[[#This Row],[Occupancy Category]]&amp;AHU_2_Ashrae[[#This Row],[Occupancy Subcategory]],Ashrae90.1Vent[OCCUPANCY CATEGORY]&amp;Ashrae90.1Vent[OCCUPANCY SUBCATEGORY],0))</calculatedColumnFormula>
    </tableColumn>
    <tableColumn id="11" xr3:uid="{1BF07802-A9EF-42A5-B017-796856328DFE}" name="RA_x000a_(CFM/FT²)" dataDxfId="256" totalsRowDxfId="214">
      <calculatedColumnFormula array="1">INDEX(Ashrae90.1Vent[RA],MATCH(AHU_2_Ashrae[[#This Row],[Occupancy Category]]&amp;AHU_2_Ashrae[[#This Row],[Occupancy Subcategory]],Ashrae90.1Vent[OCCUPANCY CATEGORY]&amp;Ashrae90.1Vent[OCCUPANCY SUBCATEGORY],))</calculatedColumnFormula>
    </tableColumn>
    <tableColumn id="9" xr3:uid="{A2966760-7004-447B-9AAA-BB2E2F177B31}" name="OCCUPANT DENSITY_x000a_(#/1000 FT²)" dataDxfId="255" totalsRowDxfId="213">
      <calculatedColumnFormula array="1">INDEX(Ashrae90.1Vent[OCCUPANT DENSITY],MATCH(AHU_2_Ashrae[[#This Row],[Occupancy Category]]&amp;AHU_2_Ashrae[[#This Row],[Occupancy Subcategory]],Ashrae90.1Vent[OCCUPANCY CATEGORY]&amp;Ashrae90.1Vent[OCCUPANCY SUBCATEGORY],))</calculatedColumnFormula>
    </tableColumn>
    <tableColumn id="12" xr3:uid="{3B4DB1D1-AE53-4EBC-9780-F9510ED1E7AE}" name="Air Class" dataDxfId="254" totalsRowDxfId="212">
      <calculatedColumnFormula array="1">INDEX(Ashrae90.1Vent[AIR CLASS],MATCH(AHU_2_Ashrae[[#This Row],[Occupancy Category]]&amp;AHU_2_Ashrae[[#This Row],[Occupancy Subcategory]],Ashrae90.1Vent[OCCUPANCY CATEGORY]&amp;Ashrae90.1Vent[OCCUPANCY SUBCATEGORY],))</calculatedColumnFormula>
    </tableColumn>
    <tableColumn id="2" xr3:uid="{D40D33FC-6F15-4D7D-97A8-988FE91BB3DA}" name="Actual Number of  Occupants (Ps)" totalsRowFunction="sum" dataDxfId="253" totalsRowDxfId="211"/>
    <tableColumn id="13" xr3:uid="{34F2222E-58F8-40E8-93B4-98EF40CD5B54}" name="Occupants (Pz)" totalsRowFunction="sum" dataDxfId="252" totalsRowDxfId="210">
      <calculatedColumnFormula>CEILING((M3/1000)*D3,1)</calculatedColumnFormula>
    </tableColumn>
    <tableColumn id="20" xr3:uid="{2FE438C8-DD0C-4699-B421-2D0F1CD03334}" name="DIVERSITY (D)" dataDxfId="251" totalsRowDxfId="209">
      <calculatedColumnFormula>IF((AHU_2_Ashrae[[#Totals],[Actual Number of  Occupants (Ps)]]/AHU_2_Ashrae[[#Totals],[Occupants (Pz)]])&gt;1,1,AHU_2_Ashrae[[#Totals],[Actual Number of  Occupants (Ps)]]/AHU_2_Ashrae[[#Totals],[Occupants (Pz)]])</calculatedColumnFormula>
    </tableColumn>
    <tableColumn id="14" xr3:uid="{F79EFAAD-A200-4D30-9948-F1242BA8A2D6}" name="Uncorrected OA (Vou)" totalsRowFunction="sum" dataDxfId="250" totalsRowDxfId="208">
      <calculatedColumnFormula>(AHU_2_Ashrae[[#This Row],[DIVERSITY (D)]]*AHU_2_Ashrae[[#This Row],[RP
(CFM/PER PERSON)]]*AHU_2_Ashrae[[#This Row],[Occupants (Pz)]])+(AHU_2_Ashrae[[#This Row],[RA
(CFM/FT²)]]*AHU_2_Ashrae[[#This Row],[AREA (FT²)]])</calculatedColumnFormula>
    </tableColumn>
    <tableColumn id="16" xr3:uid="{D1CEE0E6-F754-4B76-89B2-81DAAFA50290}" name="System Efficiency (Ev)" dataDxfId="249" totalsRowDxfId="207">
      <calculatedColumnFormula>IF(AHU_2_Ashrae[[#This Row],[DIVERSITY (D)]]&lt;0.6,(0.88*AHU_2_Ashrae[[#This Row],[DIVERSITY (D)]]+0.22),0.75)</calculatedColumnFormula>
    </tableColumn>
    <tableColumn id="21" xr3:uid="{39346EDE-9F8E-45A3-ADCA-C5C2903B68F3}" name="OUTSIDE AIRFLOW (CFM) (Vot)" totalsRowFunction="sum" dataDxfId="248" totalsRowDxfId="206">
      <calculatedColumnFormula>AHU_2_Ashrae[[#This Row],[Uncorrected OA (Vou)]]/AHU_2_Ashrae[[#This Row],[System Efficiency (Ev)]]</calculatedColumnFormula>
    </tableColumn>
    <tableColumn id="32" xr3:uid="{AA8D1339-A6B5-4AE9-9456-E05F86E090BD}" name="Breathing Zone OA (Vbz)" dataDxfId="247" totalsRowDxfId="205">
      <calculatedColumnFormula>(AHU_2_Ashrae[[#This Row],[RP
(CFM/PER PERSON)]]*AHU_2_Ashrae[[#This Row],[Occupants (Pz)]])+(AHU_2_Ashrae[[#This Row],[RA
(CFM/FT²)]]*AHU_2_Ashrae[[#This Row],[AREA (FT²)]])</calculatedColumnFormula>
    </tableColumn>
    <tableColumn id="25" xr3:uid="{7F5953E0-423B-4001-B168-AE5B615F4FEB}" name="Zone Efficiency (Ez)" dataDxfId="246" totalsRowDxfId="204"/>
    <tableColumn id="24" xr3:uid="{F4D49ED8-5781-464A-B303-8D176E6E3202}" name="Zone OA (Voz)" dataDxfId="245" totalsRowDxfId="203">
      <calculatedColumnFormula>AHU_2_Ashrae[[#This Row],[Breathing Zone OA (Vbz)]]/AHU_2_Ashrae[[#This Row],[Zone Efficiency (Ez)]]</calculatedColumnFormula>
    </tableColumn>
    <tableColumn id="34" xr3:uid="{B15B7AC0-D3FB-44CE-A5A5-89B6979603FA}" name="EXHAUST RECOVERY" dataDxfId="244" totalsRowDxfId="202"/>
    <tableColumn id="33" xr3:uid="{881707C4-BEE4-499F-BC33-8DE3DF99E6EA}" name="CO2 SENSOR" dataDxfId="243" totalsRowDxfId="201">
      <calculatedColumnFormula>IF(AHU_2_Ashrae[[#This Row],[EXHAUST RECOVERY]]="YES",(IF(AHU_2_Ashrae[[#This Row],[AREA (FT²)]]&lt;(VLOOKUP(INPUT_OUTPUTS!$C$6,'ASHRAE Table'!Z2:AC21,MATCH((AHU_2_Ashrae[[#This Row],[OCCUPANT DENSITY
('#/1000 FT²)]]*AHU_2_Ashrae[[#This Row],[RP
(CFM/PER PERSON)]]),'ASHRAE Table'!Z2:AC2,1),FALSE)), "NO","PROVIDE CO2 SENSOR")),(IF(AHU_2_Ashrae[[#This Row],[AREA (FT²)]]&lt;(VLOOKUP(INPUT_OUTPUTS!$C$6,'ASHRAE Table'!V2:Y21,MATCH((AHU_2_Ashrae[[#This Row],[OCCUPANT DENSITY
('#/1000 FT²)]]*AHU_2_Ashrae[[#This Row],[RP
(CFM/PER PERSON)]]),'ASHRAE Table'!V2:Y2,1),FALSE)), "NOT REQUIRED","PROVIDE CO2 SENSOR")))</calculatedColumnFormula>
    </tableColumn>
    <tableColumn id="38" xr3:uid="{21B6B848-458D-4533-970A-45C55A0DC023}" name="OS" dataDxfId="242" totalsRowDxfId="200">
      <calculatedColumnFormula array="1">INDEX(Ashrae90.1Vent[OS],MATCH(AHU_2_Ashrae[[#This Row],[Occupancy Category]]&amp;AHU_2_Ashrae[[#This Row],[Occupancy Subcategory]],Ashrae90.1Vent[OCCUPANCY CATEGORY]&amp;Ashrae90.1Vent[OCCUPANCY SUBCATEGORY],0))</calculatedColumnFormula>
    </tableColumn>
    <tableColumn id="37" xr3:uid="{BF3C0A4A-DD4B-4273-896E-8FE74A76001E}" name="MIN OA ALLOWABLE (WITH DCV)" totalsRowFunction="sum" dataDxfId="241" totalsRowDxfId="199">
      <calculatedColumnFormula>IF(AHU_2_Ashrae[[#This Row],[OS]]="YES",0,AHU_2_Ashrae[[#This Row],[RA
(CFM/FT²)]]*AHU_2_Ashrae[[#This Row],[AREA (FT²)]])</calculatedColumnFormula>
    </tableColumn>
    <tableColumn id="27" xr3:uid="{6E3ACB68-B77A-4490-BE64-8BA6830AB18B}" name="EA RATE_x000a_(CFM/UNIT)" dataDxfId="240" totalsRowDxfId="198">
      <calculatedColumnFormula>IF(AHU_2_Ashrae[[#This Row],[Exhaust Category]]="NA","NA",VLOOKUP(AHU_2_Ashrae[[#This Row],[Exhaust Category]],ASHRAE_EA_Table[[#All],[OCCUPANCY SUBCATEGORY]:[EXHAUST RATE PER AREA]],2))</calculatedColumnFormula>
    </tableColumn>
    <tableColumn id="19" xr3:uid="{A3AF6CCD-8386-4243-B29C-1324B929CD80}" name="EA RATE_x000a_(CFM/FT²)" dataDxfId="239" totalsRowDxfId="197">
      <calculatedColumnFormula>IF(AHU_2_Ashrae[[#This Row],[Exhaust Category]]="NA","NA",VLOOKUP(AHU_2_Ashrae[[#This Row],[Exhaust Category]],ASHRAE_EA_Table[[#All],[OCCUPANCY SUBCATEGORY]:[EXHAUST RATE PER AREA]],3))</calculatedColumnFormula>
    </tableColumn>
    <tableColumn id="28" xr3:uid="{9F3194A1-2DF1-452F-A3F9-87F51055C3FC}" name="MIN ASHRAE EA_x000a_(CFM)" dataDxfId="238" totalsRowDxfId="196">
      <calculatedColumnFormula>IF(AHU_2_Ashrae[[#This Row],[EA RATE
(CFM/UNIT)]]="NA",AHU_2_Ashrae[[#This Row],[EA RATE
(CFM/FT²)]]*AHU_2_Ashrae[[#This Row],[AREA (FT²)]],AHU_2_Ashrae[[#This Row],[Exhaust Units]]*AHU_2_Ashrae[[#This Row],[EA RATE
(CFM/UNIT)]])</calculatedColumnFormula>
    </tableColumn>
    <tableColumn id="23" xr3:uid="{3696AE5A-05DE-4AEC-9D16-FB10CFF26B3C}" name="DESIGN VAV MIN SA(CFM)" dataDxfId="237" totalsRowDxfId="195">
      <calculatedColumnFormula>IF((AHU_2_Ashrae[[#This Row],[DESIGN VAV MAX SA(CFM)]]*0.3)&lt;(AHU_2_Ashrae[[#This Row],[Zone OA (Voz)]]*1.5),(AHU_2_Ashrae[[#This Row],[Zone OA (Voz)]]*1.5),(AHU_2_Ashrae[[#This Row],[DESIGN VAV MAX SA(CFM)]]*0.3))</calculatedColumnFormula>
    </tableColumn>
    <tableColumn id="22" xr3:uid="{79F2E9EF-457F-41D7-B5E5-202ED6BEB83E}" name="DESIGN VAV MAX SA(CFM)" totalsRowFunction="sum" dataDxfId="236" totalsRowDxfId="194">
      <calculatedColumnFormula>IF(AHU_2_Ashrae[[#This Row],[MIN ASHRAE EA
(CFM)]]=0,MAX(AHU_2_Ashrae[[#This Row],[LOAD (CFM)]],AHU_2_Ashrae[[#This Row],[OFFICE STANDARD 
(CFM)]]),AHU_2_Ashrae[[#This Row],[DESIGN EA(CFM)]]-100)</calculatedColumnFormula>
    </tableColumn>
    <tableColumn id="26" xr3:uid="{8B1605C2-3644-4FB0-A911-1D8576E08F13}" name="DESIGN RA (CFM)" totalsRowFunction="sum" dataDxfId="235" totalsRowDxfId="193">
      <calculatedColumnFormula>IF(AHU_2_Ashrae[[#This Row],[MIN ASHRAE EA
(CFM)]]=0,AHU_2_Ashrae[[#This Row],[DESIGN VAV MAX SA(CFM)]],0)</calculatedColumnFormula>
    </tableColumn>
    <tableColumn id="29" xr3:uid="{8DEF87F2-9678-4DA6-A905-1E300579C2D4}" name="DESIGN EA(CFM)" totalsRowFunction="sum" dataDxfId="234" totalsRowDxfId="192">
      <calculatedColumnFormula>IF(AHU_2_Ashrae[[#This Row],[MIN ASHRAE EA
(CFM)]]=0,0,IF(AHU_2_Ashrae[[#This Row],[MIN ASHRAE EA
(CFM)]]&lt;AHU_2_Ashrae[[#This Row],[LOAD (CFM)]],AHU_2_Ashrae[[#This Row],[LOAD (CFM)]]+100,AHU_2_Ashrae[[#This Row],[MIN ASHRAE EA
(CFM)]]))</calculatedColumnFormula>
    </tableColumn>
    <tableColumn id="30" xr3:uid="{3C4B06B4-143F-4763-984F-3737859D6ACA}" name="Transfer Air CFM" dataDxfId="233" totalsRowDxfId="191">
      <calculatedColumnFormula>AHU_2_Ashrae[[#This Row],[DESIGN VAV MAX SA(CFM)]]-AHU_2_Ashrae[[#This Row],[DESIGN RA (CFM)]]-AHU_2_Ashrae[[#This Row],[DESIGN EA(CFM)]]</calculatedColumnFormula>
    </tableColumn>
    <tableColumn id="35" xr3:uid="{3676EEE4-CAF7-4ED7-B5C1-CE8606A6153D}" name="OA Frac (Z)" dataDxfId="232" totalsRowDxfId="190" dataCellStyle="Percent">
      <calculatedColumnFormula>AHU_2_Ashrae[[#This Row],[OUTSIDE AIRFLOW (CFM) (Vot)]]/AHU_2_Ashrae[[#This Row],[DESIGN VAV MAX SA(CFM)]]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8ACEEB0-79C1-4905-BAE2-33E8D1AA0C94}" name="AHU1_CAV_SCHEDULE44514167" displayName="AHU1_CAV_SCHEDULE44514167" ref="AM2:BE41" totalsRowCount="1" headerRowDxfId="231" dataDxfId="230" totalsRowDxfId="229" headerRowBorderDxfId="227" tableBorderDxfId="228" totalsRowBorderDxfId="226">
  <autoFilter ref="AM2:BE40" xr:uid="{13D566E9-CE9D-4920-9557-440C01DE1A40}"/>
  <tableColumns count="19">
    <tableColumn id="1" xr3:uid="{F9FF867B-2FE5-45DD-AAE0-89294912D267}" name="ZONE" totalsRowLabel="Total" dataDxfId="189" totalsRowDxfId="171"/>
    <tableColumn id="2" xr3:uid="{1E3B6F56-BD7F-4377-994D-10C1F3B4DF05}" name="BASIS OF DESIGN _x000a_MANUFACTURER" dataDxfId="188" totalsRowDxfId="170"/>
    <tableColumn id="3" xr3:uid="{90ACB8D0-B443-4205-8C58-5E954035468F}" name="DESCRIPTION" dataDxfId="187" totalsRowDxfId="169"/>
    <tableColumn id="18" xr3:uid="{9E683BFF-C9C1-49F5-A454-34A07F125B7B}" name="MIN VAV_x000a_(CFM)" dataDxfId="186" totalsRowDxfId="168">
      <calculatedColumnFormula>SUMIF(AHU_2_Ashrae[Zone],AHU1_CAV_SCHEDULE44514167[[#This Row],[ZONE]],AHU_2_Ashrae[DESIGN VAV MIN SA(CFM)])</calculatedColumnFormula>
    </tableColumn>
    <tableColumn id="20" xr3:uid="{65CB19AB-BFA4-4C1A-9437-1FA4183D120E}" name="MAX VAV_x000a_(CFM)" dataDxfId="185" totalsRowDxfId="167">
      <calculatedColumnFormula>SUMIF(AHU_2_Ashrae[Zone],AHU1_CAV_SCHEDULE44514167[[#This Row],[ZONE]],AHU_2_Ashrae[DESIGN VAV MAX SA(CFM)])</calculatedColumnFormula>
    </tableColumn>
    <tableColumn id="5" xr3:uid="{01EA4390-608B-4807-A7D2-F8AEA792BD7E}" name="VAV INLET SIZE_x000a_(IN)" dataDxfId="184" totalsRowDxfId="166">
      <calculatedColumnFormula>IFERROR((VLOOKUP(AHU1_CAV_SCHEDULE44514167[[#This Row],[MAX VAV
(CFM)]],'DO NOT TOUCH'!$P$9:$Q$14,2,TRUE)),"TBD")</calculatedColumnFormula>
    </tableColumn>
    <tableColumn id="6" xr3:uid="{6C3F3F86-74C6-4C67-8DA1-F07A7E6B46C0}" name="MAX TOTAL VAV PD _x000a_(IN W.G.)" dataDxfId="183" totalsRowDxfId="165">
      <calculatedColumnFormula>AS2</calculatedColumnFormula>
    </tableColumn>
    <tableColumn id="19" xr3:uid="{3B93DD95-2E43-42CF-B454-7A41D95D770D}" name="HEATING AIRFLOW _x000a_(CFM)" dataDxfId="182" totalsRowDxfId="164">
      <calculatedColumnFormula>AHU1_CAV_SCHEDULE44514167[[#This Row],[MIN VAV
(CFM)]]</calculatedColumnFormula>
    </tableColumn>
    <tableColumn id="7" xr3:uid="{9BD7547D-CA11-47FD-BB62-016DC305297C}" name="EWT" dataDxfId="181" totalsRowDxfId="163">
      <calculatedColumnFormula>INPUT_OUTPUTS!$C$16</calculatedColumnFormula>
    </tableColumn>
    <tableColumn id="8" xr3:uid="{5D627F6F-1811-4BE4-8B03-7E01FC74234B}" name="DESIGN _x000a_LWT" dataDxfId="180" totalsRowDxfId="162">
      <calculatedColumnFormula>INPUT_OUTPUTS!$C$17</calculatedColumnFormula>
    </tableColumn>
    <tableColumn id="9" xr3:uid="{849AE266-E242-4545-87D1-A482B8BD2D48}" name="EAT" dataDxfId="179" totalsRowDxfId="161">
      <calculatedColumnFormula>AW2</calculatedColumnFormula>
    </tableColumn>
    <tableColumn id="10" xr3:uid="{5650C9E9-27D5-4C4F-A4FA-8C2E8F41601B}" name="DESIGN _x000a_LAT" dataDxfId="178" totalsRowDxfId="160">
      <calculatedColumnFormula>AX2</calculatedColumnFormula>
    </tableColumn>
    <tableColumn id="11" xr3:uid="{061EDD40-F113-4C9C-88F4-9F29339E2E0E}" name="MIN MBH" totalsRowFunction="sum" dataDxfId="152" totalsRowDxfId="159">
      <calculatedColumnFormula>MROUND((1.08*(AX3-AW3)*AHU1_CAV_SCHEDULE44514167[[#This Row],[HEATING AIRFLOW 
(CFM)]])/1000,0.1)</calculatedColumnFormula>
    </tableColumn>
    <tableColumn id="12" xr3:uid="{ECF4489F-E4B7-4996-BF24-BDEA8AB6F5F2}" name="AGPM" dataDxfId="177" totalsRowDxfId="158">
      <calculatedColumnFormula>(AY3*1000)/(500*(AU3-AV3))</calculatedColumnFormula>
    </tableColumn>
    <tableColumn id="13" xr3:uid="{221498A1-F1D0-4A0F-AA3E-638510C7A135}" name="GPM" totalsRowFunction="sum" dataDxfId="176" totalsRowDxfId="157">
      <calculatedColumnFormula>IF(AZ3&lt;0.5,0.5,AZ3)</calculatedColumnFormula>
    </tableColumn>
    <tableColumn id="14" xr3:uid="{8A8216B0-30CB-460B-828B-82EF547827CE}" name="MAX WATER _x000a_PD (FT)" dataDxfId="175" totalsRowDxfId="156">
      <calculatedColumnFormula>BB2</calculatedColumnFormula>
    </tableColumn>
    <tableColumn id="15" xr3:uid="{25E6B3E4-C6E7-4AA1-A89F-F2B5ED4C3E88}" name="OPER _x000a_WEIGHT_x000a_(LBS)" dataDxfId="174" totalsRowDxfId="155">
      <calculatedColumnFormula>IFERROR((_xlfn.XLOOKUP(AR3,'DO NOT TOUCH'!$Q$9:$Q$14,'DO NOT TOUCH'!$R$9:$R$14,)),"TBD")</calculatedColumnFormula>
    </tableColumn>
    <tableColumn id="16" xr3:uid="{16D59DD6-89EE-4D89-A1B5-38FD4045A1B2}" name="MTG _x000a_DETAIL" dataDxfId="173" totalsRowDxfId="154">
      <calculatedColumnFormula>INPUT_OUTPUTS!$C$19</calculatedColumnFormula>
    </tableColumn>
    <tableColumn id="17" xr3:uid="{1D06D0E5-85CB-4DEA-A91D-CF52B6D8CA04}" name="REMARKS" dataDxfId="172" totalsRowDxfId="153">
      <calculatedColumnFormula>BE2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F5F413-27F3-4213-AA61-4B954F2F9600}" name="TABLE4A439" displayName="TABLE4A439" ref="B6:Z18" totalsRowCount="1" headerRowDxfId="151" dataDxfId="150" totalsRowDxfId="149" tableBorderDxfId="148">
  <autoFilter ref="B6:Z17" xr:uid="{524E3D6C-149E-4F0C-99B8-D02F54E8F335}"/>
  <sortState xmlns:xlrd2="http://schemas.microsoft.com/office/spreadsheetml/2017/richdata2" ref="B7:Z17">
    <sortCondition ref="B6:B17"/>
  </sortState>
  <tableColumns count="25">
    <tableColumn id="2" xr3:uid="{042A846F-831C-4F39-9D4C-194E904A212E}" name="ZONE" dataDxfId="146" totalsRowDxfId="147"/>
    <tableColumn id="3" xr3:uid="{C2F54D71-F1C6-49DB-922E-7D2631440381}" name="ROOM" dataDxfId="144" totalsRowDxfId="145"/>
    <tableColumn id="4" xr3:uid="{189BFD32-5838-4B8D-83F1-8FF63371B25D}" name="ROOM #" dataDxfId="142" totalsRowDxfId="143"/>
    <tableColumn id="5" xr3:uid="{7FC753AE-3B21-46CB-956D-DCD0916DD59D}" name="AREA (FT²)" totalsRowFunction="sum" dataDxfId="140" totalsRowDxfId="141"/>
    <tableColumn id="6" xr3:uid="{212AC2DD-3F08-44C5-838C-413FFEC1F4C6}" name="HG_x000a_(FT)" dataDxfId="138" totalsRowDxfId="139"/>
    <tableColumn id="7" xr3:uid="{1422055C-7D3C-4AC4-BA02-F92D824538A1}" name="TOTAL AC/HR" dataDxfId="136" totalsRowDxfId="137">
      <calculatedColumnFormula>VLOOKUP($M7,'UMC Table 4-A'!$A$2:$E$132,4,FALSE)</calculatedColumnFormula>
    </tableColumn>
    <tableColumn id="8" xr3:uid="{B747ED35-F271-4E44-B347-594DCF339F19}" name="100%_x000a_EA" dataDxfId="134" totalsRowDxfId="135">
      <calculatedColumnFormula>VLOOKUP($M7,'UMC Table 4-A'!$A$2:$E$132,5,FALSE)</calculatedColumnFormula>
    </tableColumn>
    <tableColumn id="9" xr3:uid="{28CE80D3-3D31-43C8-8472-BB2E79C01D35}" name="EA_x000a_(CFM)" dataDxfId="132" totalsRowDxfId="133">
      <calculatedColumnFormula>IF(H7="Yes",K7,"-")</calculatedColumnFormula>
    </tableColumn>
    <tableColumn id="10" xr3:uid="{614FC840-D402-45A6-89B3-CE1DEF3FB988}" name="LOAD (CFM)" dataDxfId="130" totalsRowDxfId="131"/>
    <tableColumn id="11" xr3:uid="{503D0C83-9936-4893-B3CE-323297186610}" name="AC/HR CFM" dataDxfId="128" totalsRowDxfId="129">
      <calculatedColumnFormula>IF(G7&lt;&gt;"NR",ROUNDUP((E7*F7*G7)/60,-1),0)</calculatedColumnFormula>
    </tableColumn>
    <tableColumn id="12" xr3:uid="{3BD29DF7-A320-479F-AB6B-6729E84FCEAB}" name="1 or 0.5 CFM/SF" dataDxfId="126" totalsRowDxfId="127">
      <calculatedColumnFormula>IF((M7="PATIENT CORRIDOR"),(E7*0.5),E7)</calculatedColumnFormula>
    </tableColumn>
    <tableColumn id="13" xr3:uid="{9407B204-8E03-4498-BEE0-3E05952C0289}" name="4-A DESIGNATION" dataDxfId="124" totalsRowDxfId="125"/>
    <tableColumn id="14" xr3:uid="{FA54CB06-931D-43A8-B96F-0CBA46308F44}" name="AIRBALANCE RELATIONSHIP" dataDxfId="122" totalsRowDxfId="123">
      <calculatedColumnFormula>VLOOKUP($M7,'UMC Table 4-A'!$A$2:$E$132,2,FALSE)</calculatedColumnFormula>
    </tableColumn>
    <tableColumn id="15" xr3:uid="{15A74791-FF44-4F36-9B6F-046690A0794D}" name="MINIMUM OSA CHANGES PER HOUR" dataDxfId="120" totalsRowDxfId="121">
      <calculatedColumnFormula>VLOOKUP($M7,'UMC Table 4-A'!$A$2:$E$132,3,FALSE)</calculatedColumnFormula>
    </tableColumn>
    <tableColumn id="16" xr3:uid="{87103CC9-4D45-4E78-BF34-B058CC675F73}" name="OSA CFM" totalsRowFunction="sum" dataDxfId="118" totalsRowDxfId="119">
      <calculatedColumnFormula>IF(O7&lt;&gt;"NR",ROUNDUP((E7*F7*O7)/60,-1),0)</calculatedColumnFormula>
    </tableColumn>
    <tableColumn id="17" xr3:uid="{3F5F975F-3AF5-49AF-804D-E68DEB3CA6DE}" name="ALL AIR EXHAUSTED" dataDxfId="116" totalsRowDxfId="117">
      <calculatedColumnFormula>VLOOKUP($M7,'UMC Table 4-A'!$A$2:$E$132,5,FALSE)</calculatedColumnFormula>
    </tableColumn>
    <tableColumn id="18" xr3:uid="{EC1A34C4-186B-4F5D-BBBF-F944DABAE0DE}" name="CALCULATED SA CFM" totalsRowFunction="sum" dataDxfId="114" totalsRowDxfId="115">
      <calculatedColumnFormula>IF(N7="Negative",IF(OR(M7="Toilet room",M7="Janitor's closet, housekeeping"),0,IF(0.1*U7&gt;50,220-0.1*U7,U7-50)),IF(Q7="Yes",0,CEILING(MAX(J7:L7),5)))</calculatedColumnFormula>
    </tableColumn>
    <tableColumn id="19" xr3:uid="{6F54B7B8-54C0-4DC2-A3CC-F5D089201A83}" name="DESIGN SA CFM" totalsRowFunction="sum" dataDxfId="112" totalsRowDxfId="113">
      <calculatedColumnFormula>R7</calculatedColumnFormula>
    </tableColumn>
    <tableColumn id="20" xr3:uid="{3EA21BB5-0F64-4AE1-85D8-9CF36F64F169}" name="RA CFM" totalsRowFunction="sum" dataDxfId="110" totalsRowDxfId="111">
      <calculatedColumnFormula>IF(Q7="Yes",0,IF(N7="Positive",IF(0.1*R7&gt;50,R7-0.1*R7,R7-50),IF(N7="Negative",IF(0.1*R7&gt;50,R7+0.1*R7,R7+50),R7)))</calculatedColumnFormula>
    </tableColumn>
    <tableColumn id="21" xr3:uid="{2E4C1AF2-89C6-46A2-9906-8DB44498129D}" name="EA CFM" totalsRowFunction="sum" dataDxfId="108" totalsRowDxfId="109">
      <calculatedColumnFormula>IF(Q7="Yes",I7,0)</calculatedColumnFormula>
    </tableColumn>
    <tableColumn id="22" xr3:uid="{670B1646-1347-4231-BEAC-EACE1B9AB3F0}" name="Transfer Air CFM" totalsRowFunction="sum" dataDxfId="106" totalsRowDxfId="107">
      <calculatedColumnFormula>S7-T7-U7</calculatedColumnFormula>
    </tableColumn>
    <tableColumn id="23" xr3:uid="{2AF622FD-992A-4DDD-B9A9-B3EFD3519585}" name="Balance?" dataDxfId="104" totalsRowDxfId="105">
      <calculatedColumnFormula>IF(R7-T7-U7+V7=0,"Yes","No")</calculatedColumnFormula>
    </tableColumn>
    <tableColumn id="24" xr3:uid="{48A894A3-2372-4DA8-BDE4-ECEEDE3D0EF6}" name="CFM/SF" dataDxfId="102" totalsRowDxfId="103">
      <calculatedColumnFormula>IFERROR(R7/E7,"-")</calculatedColumnFormula>
    </tableColumn>
    <tableColumn id="25" xr3:uid="{9BC6F763-35E7-482F-8273-B0601EC26A45}" name="OSA PERCENT" dataDxfId="100" totalsRowDxfId="101"/>
    <tableColumn id="26" xr3:uid="{E4CF811E-B4F1-4772-93DA-71987AA79E17}" name="ACH/hr" dataDxfId="98" totalsRowDxfId="99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8ACB6C-8D5A-4E2A-89B7-23BE4B3D5ECB}" name="AHU1_CAV_SCHEDULE4411" displayName="AHU1_CAV_SCHEDULE4411" ref="AC6:AS45" totalsRowCount="1" headerRowDxfId="97" dataDxfId="96" totalsRowDxfId="95" headerRowBorderDxfId="93" tableBorderDxfId="94" totalsRowBorderDxfId="92">
  <autoFilter ref="AC6:AS44" xr:uid="{2A2B6BA6-0EAB-2349-A085-FD569408EC9D}"/>
  <tableColumns count="17">
    <tableColumn id="1" xr3:uid="{57BE8BDC-A4D3-4989-BC7B-7D4035BFFB37}" name="ZONE" totalsRowLabel="Total" dataDxfId="90" totalsRowDxfId="91"/>
    <tableColumn id="2" xr3:uid="{BC752A02-1DF4-4483-B512-23CC7F568DD8}" name="BASIS OF DESIGN _x000a_MANUFACTURER" dataDxfId="88" totalsRowDxfId="89"/>
    <tableColumn id="3" xr3:uid="{242E7275-C722-4C29-9346-0DF293287756}" name="DESCRIPTION" dataDxfId="86" totalsRowDxfId="87"/>
    <tableColumn id="4" xr3:uid="{22EB9722-D35D-46A4-B4D9-BDCCDDE1D567}" name="CFM" dataDxfId="84" totalsRowDxfId="85">
      <calculatedColumnFormula>SUMIF($B$7:$B$17,AC7,$S$7:$S$17)</calculatedColumnFormula>
    </tableColumn>
    <tableColumn id="5" xr3:uid="{51309487-29A6-4A90-9ACE-1C65D844B978}" name="CAV INLET SIZE" dataDxfId="82" totalsRowDxfId="83">
      <calculatedColumnFormula>IFERROR((VLOOKUP(AF7,'DO NOT TOUCH'!$P$9:$Q$14,2,TRUE)),"TBD")</calculatedColumnFormula>
    </tableColumn>
    <tableColumn id="6" xr3:uid="{215C2515-E562-4D91-AA5F-B9EF101C10B1}" name="MAX TOTAL CAV PD _x000a_(IN W.G.)" dataDxfId="80" totalsRowDxfId="81">
      <calculatedColumnFormula>AH6</calculatedColumnFormula>
    </tableColumn>
    <tableColumn id="7" xr3:uid="{44ABD785-5FF4-4BDF-8DA8-ABCB4A3BD858}" name="EWT" dataDxfId="78" totalsRowDxfId="79">
      <calculatedColumnFormula>INPUT_OUTPUTS!$C$16</calculatedColumnFormula>
    </tableColumn>
    <tableColumn id="8" xr3:uid="{D7A38AF8-CCEA-4611-B868-D92E45DFB31D}" name="DESIGN _x000a_LWT" dataDxfId="76" totalsRowDxfId="77">
      <calculatedColumnFormula>INPUT_OUTPUTS!$C$17</calculatedColumnFormula>
    </tableColumn>
    <tableColumn id="9" xr3:uid="{74E9A83C-F72E-4681-B2A6-32313CCD9052}" name="EAT" dataDxfId="74" totalsRowDxfId="75">
      <calculatedColumnFormula>AK6</calculatedColumnFormula>
    </tableColumn>
    <tableColumn id="10" xr3:uid="{8B982646-83B7-4FAB-B9B2-3DE24C1C5929}" name="DESIGN _x000a_LAT" dataDxfId="72" totalsRowDxfId="73">
      <calculatedColumnFormula>AL6</calculatedColumnFormula>
    </tableColumn>
    <tableColumn id="11" xr3:uid="{272BE2CC-D55E-4E27-A9CD-23F7D3C69C7E}" name="MIN MBH" totalsRowFunction="sum" dataDxfId="70" totalsRowDxfId="71">
      <calculatedColumnFormula>MROUND((1.08*(AL7-AK7)*AF7)/1000,0.1)</calculatedColumnFormula>
    </tableColumn>
    <tableColumn id="12" xr3:uid="{7397E695-5680-41E5-BD4B-54E06DBC3660}" name="AGPM" dataDxfId="68" totalsRowDxfId="69">
      <calculatedColumnFormula>(AM7*1000)/(500*(AI7-AJ7))</calculatedColumnFormula>
    </tableColumn>
    <tableColumn id="13" xr3:uid="{414C9995-C808-4163-A7C0-6FBE3CE786D5}" name="GPM" totalsRowFunction="sum" dataDxfId="66" totalsRowDxfId="67">
      <calculatedColumnFormula>IF(AN7&lt;0.5,0.5,AN7)</calculatedColumnFormula>
    </tableColumn>
    <tableColumn id="14" xr3:uid="{FA76CB50-9C92-48CB-9847-CD2C20E3C0EA}" name="MAX WATER _x000a_PD (FT)" dataDxfId="64" totalsRowDxfId="65">
      <calculatedColumnFormula>AP6</calculatedColumnFormula>
    </tableColumn>
    <tableColumn id="15" xr3:uid="{754EB634-20EB-4627-9050-4DA3F237AC8C}" name="OPER _x000a_WEIGHT_x000a_(LBS)" dataDxfId="62" totalsRowDxfId="63">
      <calculatedColumnFormula>IFERROR((_xlfn.XLOOKUP(AG7,'DO NOT TOUCH'!$Q$9:$Q$14,'DO NOT TOUCH'!$R$9:$R$14,)),"TBD")</calculatedColumnFormula>
    </tableColumn>
    <tableColumn id="16" xr3:uid="{97D93DD7-F48C-4EE7-8FD7-BFAA5497DDA8}" name="MTG _x000a_DETAIL" dataDxfId="60" totalsRowDxfId="61">
      <calculatedColumnFormula>INPUT_OUTPUTS!$C$19</calculatedColumnFormula>
    </tableColumn>
    <tableColumn id="17" xr3:uid="{E363493A-6B19-483A-BFC0-A10768DD7DBD}" name="REMARKS" dataDxfId="58" totalsRowDxfId="59">
      <calculatedColumnFormula>AS6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A16" totalsRowCount="1" headerRowDxfId="532" dataDxfId="530" headerRowBorderDxfId="531" tableBorderDxfId="529">
  <autoFilter ref="A11:BA15" xr:uid="{E6D9D33A-2DE5-364A-B78C-5DD7A614D29B}"/>
  <tableColumns count="53">
    <tableColumn id="1" xr3:uid="{75084425-A44B-8E45-87AE-08AECD33E09D}" name="TAG" totalsRowLabel="Total" dataDxfId="528" totalsRowDxfId="54"/>
    <tableColumn id="2" xr3:uid="{C741F4EF-D022-3147-B8E2-8A68ED8EF0CC}" name="(CFM)" totalsRowFunction="sum" dataDxfId="57" totalsRowDxfId="53">
      <calculatedColumnFormula>'AHU 3'!$AW$2</calculatedColumnFormula>
    </tableColumn>
    <tableColumn id="4" xr3:uid="{8F33E354-148B-E049-A9AB-2FEBF1D2ABCF}" name="(CFM)2" dataDxfId="56" totalsRowDxfId="52">
      <calculatedColumnFormula>'AHU 3'!$AX$2</calculatedColumnFormula>
    </tableColumn>
    <tableColumn id="6" xr3:uid="{44289BD7-7B7A-5040-A9C3-A81E708605BA}" name="(˚F db)" dataDxfId="527" totalsRowDxfId="51"/>
    <tableColumn id="7" xr3:uid="{A118C93B-9473-8340-A213-7536CC01FA69}" name="(˚F wb)" dataDxfId="526" totalsRowDxfId="50"/>
    <tableColumn id="8" xr3:uid="{BA4E1C0D-A98F-C94F-B5DE-2C36AC9D0BA3}" name="(CFM)3" dataDxfId="55" totalsRowDxfId="49">
      <calculatedColumnFormula>'AHU 3'!$AY$2</calculatedColumnFormula>
    </tableColumn>
    <tableColumn id="9" xr3:uid="{8E2A683D-7B4C-954E-A75A-56B4A8A15F0B}" name="(˚F db)4" dataDxfId="525" totalsRowDxfId="48">
      <calculatedColumnFormula>INPUT_OUTPUTS!$C$8</calculatedColumnFormula>
    </tableColumn>
    <tableColumn id="10" xr3:uid="{D83D5AD6-51F5-5E4B-BE3C-C238ECC50CFF}" name="(˚F wb)5" dataDxfId="524" totalsRowDxfId="47">
      <calculatedColumnFormula>INPUT_OUTPUTS!$C$9</calculatedColumnFormula>
    </tableColumn>
    <tableColumn id="11" xr3:uid="{58DDBF84-EFFA-734F-B069-FD929AE8505B}" name="(CFM)6" dataDxfId="523" totalsRowDxfId="46">
      <calculatedColumnFormula>Table7[[#This Row],[(CFM)3]]</calculatedColumnFormula>
    </tableColumn>
    <tableColumn id="12" xr3:uid="{7D7925B1-33E7-A84F-AAEC-67A01BBE986C}" name="(˚F db)7" dataDxfId="522" totalsRowDxfId="45">
      <calculatedColumnFormula>INPUT_OUTPUTS!$C$10</calculatedColumnFormula>
    </tableColumn>
    <tableColumn id="13" xr3:uid="{9E21E0BF-E9C5-C54C-9B8C-005C0935E109}" name="(˚F wb)8" dataDxfId="521" totalsRowDxfId="44">
      <calculatedColumnFormula>INPUT_OUTPUTS!$C$11</calculatedColumnFormula>
    </tableColumn>
    <tableColumn id="14" xr3:uid="{AC23D981-3B01-5147-97B6-3252A7FC953B}" name="(˚F db)9" dataDxfId="520" totalsRowDxfId="43">
      <calculatedColumnFormula>INPUT_OUTPUTS!$F$8</calculatedColumnFormula>
    </tableColumn>
    <tableColumn id="15" xr3:uid="{DB54E7DD-3A47-6447-A89B-94C85E52BE7D}" name="(CFM)10" dataDxfId="519" totalsRowDxfId="42">
      <calculatedColumnFormula>C12+F12-B12</calculatedColumnFormula>
    </tableColumn>
    <tableColumn id="16" xr3:uid="{4FEC2D7C-9758-744F-A9BF-FBA46547E062}" name="(˚F db)11" dataDxfId="518" totalsRowDxfId="41">
      <calculatedColumnFormula>D12*((C12-M12)/B12) + G12*(F12/B12)</calculatedColumnFormula>
    </tableColumn>
    <tableColumn id="17" xr3:uid="{B005BDD5-39CF-2B47-842F-C982BA9FC7E1}" name="(˚F wb)12" dataDxfId="517" totalsRowDxfId="40">
      <calculatedColumnFormula>TRUNC(E12*((C12-M12)/B12) + H12*(F12/B12),1)</calculatedColumnFormula>
    </tableColumn>
    <tableColumn id="18" xr3:uid="{5AC4E564-0F72-0E49-B041-B5DE3FD4DD18}" name="(h)" dataDxfId="516" totalsRowDxfId="39">
      <calculatedColumnFormula>VLOOKUP(FLOOR(O12,1),'DO NOT TOUCH'!$A$7:$K$57,MATCH(ROUND((O12-FLOOR(O12,1)),1),'DO NOT TOUCH'!$A$6:$K$6,0),FALSE)</calculatedColumnFormula>
    </tableColumn>
    <tableColumn id="19" xr3:uid="{1CF6B834-F9E4-7943-9908-D52F6A59E930}" name="(˚F db)13" dataDxfId="515" totalsRowDxfId="38"/>
    <tableColumn id="20" xr3:uid="{069031AB-30B0-304F-BA24-44B4C6E6101C}" name="(˚F wb)14" dataDxfId="514" totalsRowDxfId="37"/>
    <tableColumn id="21" xr3:uid="{1EA24A2B-BE77-6945-9098-6C4501A9902F}" name="(h)15" dataDxfId="513" totalsRowDxfId="36">
      <calculatedColumnFormula>VLOOKUP(FLOOR(R12,1),'DO NOT TOUCH'!$A$7:$K$57,MATCH(ROUND((R12-FLOOR(R12,1)),1),'DO NOT TOUCH'!$A$6:$K$6,0),FALSE)</calculatedColumnFormula>
    </tableColumn>
    <tableColumn id="22" xr3:uid="{05796239-DA0D-E349-ADE3-8A1B87E96861}" name="(Btu/hr)" dataDxfId="512" totalsRowDxfId="35">
      <calculatedColumnFormula>B12*1.085*(N12-Q12)</calculatedColumnFormula>
    </tableColumn>
    <tableColumn id="23" xr3:uid="{02C21CA2-732A-8C4C-93ED-640017544BD3}" name="(Btu/hr)16" dataDxfId="511" totalsRowDxfId="34">
      <calculatedColumnFormula>4.5*B12*(P12-S12)</calculatedColumnFormula>
    </tableColumn>
    <tableColumn id="24" xr3:uid="{80183150-6317-2C46-B9FB-5600693E1D79}" name="(Tons)" dataDxfId="510" totalsRowDxfId="33">
      <calculatedColumnFormula>IF(U12&lt;T12,"INVALID POINT",U12/12000)</calculatedColumnFormula>
    </tableColumn>
    <tableColumn id="25" xr3:uid="{8AF1DEDF-1446-A54C-A718-1F4A80DCED1F}" name="(˚F db)17" dataDxfId="509" totalsRowDxfId="32">
      <calculatedColumnFormula>INPUT_OUTPUTS!$C$14</calculatedColumnFormula>
    </tableColumn>
    <tableColumn id="26" xr3:uid="{30713AF6-10A7-A640-9A81-7C9C656F28C6}" name="(˚F db)18" dataDxfId="508" totalsRowDxfId="31">
      <calculatedColumnFormula>INPUT_OUTPUTS!$C$15</calculatedColumnFormula>
    </tableColumn>
    <tableColumn id="27" xr3:uid="{07E9B9A3-68BD-0040-B64A-445B4F7DB78B}" name="GPM" totalsRowFunction="sum" dataDxfId="507" totalsRowDxfId="30">
      <calculatedColumnFormula>U12/(500*(X12-W12))</calculatedColumnFormula>
    </tableColumn>
    <tableColumn id="28" xr3:uid="{63A1C04A-F0C1-344B-9C91-CDCBB09CC808}" name="(˚F db)19" dataDxfId="506" totalsRowDxfId="29">
      <calculatedColumnFormula>D12*((C12-M12)/B12) + J12*(F12/B12)</calculatedColumnFormula>
    </tableColumn>
    <tableColumn id="29" xr3:uid="{6B8C516D-DE70-BF40-8E5C-0B23062187E5}" name="(˚F wb)20" dataDxfId="505" totalsRowDxfId="28">
      <calculatedColumnFormula>TRUNC(E12*((C12-M12)/B12) + K12*(F12/B12),1)</calculatedColumnFormula>
    </tableColumn>
    <tableColumn id="30" xr3:uid="{045EE11E-9647-ED4C-9652-8752BBE74982}" name="(h)21" dataDxfId="504" totalsRowDxfId="27">
      <calculatedColumnFormula>VLOOKUP(FLOOR(AA12,1),'DO NOT TOUCH'!$A$7:$K$57,MATCH(ROUND((AA12-FLOOR(AA12,1)),1),'DO NOT TOUCH'!$A$6:$K$6,0),FALSE)</calculatedColumnFormula>
    </tableColumn>
    <tableColumn id="31" xr3:uid="{1C877888-78C7-FA4C-A946-1B9EDB031094}" name="(˚F db)22" dataDxfId="503" totalsRowDxfId="26">
      <calculatedColumnFormula>Table7[[#This Row],[(˚F db)13]]</calculatedColumnFormula>
    </tableColumn>
    <tableColumn id="32" xr3:uid="{5E7C32E8-28E9-554C-93A3-4ED479273F5C}" name="(˚F wb)23" dataDxfId="502" totalsRowDxfId="25">
      <calculatedColumnFormula>Table7[[#This Row],[(˚F wb)14]]</calculatedColumnFormula>
    </tableColumn>
    <tableColumn id="33" xr3:uid="{7EB81F19-A30A-5844-B465-95995C2169F1}" name="(h)24" dataDxfId="501" totalsRowDxfId="24">
      <calculatedColumnFormula>VLOOKUP(FLOOR(AD12,1),'DO NOT TOUCH'!$A$7:$K$57,MATCH(ROUND((AD12-FLOOR(AD12,1)),1),'DO NOT TOUCH'!$A$6:$K$6,0),FALSE)</calculatedColumnFormula>
    </tableColumn>
    <tableColumn id="37" xr3:uid="{B86C10F8-CA05-8945-8F0F-F9E339D5FA04}" name="(Btu/hr)28" dataDxfId="500" totalsRowDxfId="23">
      <calculatedColumnFormula>B12*1.085*(Z12-AC12)</calculatedColumnFormula>
    </tableColumn>
    <tableColumn id="38" xr3:uid="{3C9101C2-66E5-5844-8571-55FD8B0FA8E4}" name="(Btu/hr)29" dataDxfId="499" totalsRowDxfId="22">
      <calculatedColumnFormula>4.5*B12*(AB12-AE12)</calculatedColumnFormula>
    </tableColumn>
    <tableColumn id="39" xr3:uid="{611DF507-C49C-8E40-9B22-204394B4D484}" name="(Tons)30" dataDxfId="498" totalsRowDxfId="21">
      <calculatedColumnFormula>IF(AG12&lt;AF12,"INVALID POINT",AG12/12000)</calculatedColumnFormula>
    </tableColumn>
    <tableColumn id="40" xr3:uid="{8D69DAB9-C665-1C40-8BEE-2F67013BDA9E}" name="(˚F db)31" dataDxfId="497" totalsRowDxfId="20">
      <calculatedColumnFormula>INPUT_OUTPUTS!$C$14</calculatedColumnFormula>
    </tableColumn>
    <tableColumn id="41" xr3:uid="{2C7A8B9E-09E2-C245-8AD4-9B511603B988}" name="(˚F db)32" dataDxfId="496" totalsRowDxfId="19">
      <calculatedColumnFormula>INPUT_OUTPUTS!$C$15</calculatedColumnFormula>
    </tableColumn>
    <tableColumn id="42" xr3:uid="{97B72D8E-BA89-4E4A-B5D1-F02C61433D68}" name="GPM33" totalsRowFunction="sum" dataDxfId="495" totalsRowDxfId="18">
      <calculatedColumnFormula>AG12/(500*(AJ12-AI12))</calculatedColumnFormula>
    </tableColumn>
    <tableColumn id="43" xr3:uid="{EE7A438B-ECC2-DF4B-9129-EA55728EFC2E}" name="(Tons)34" totalsRowFunction="sum" dataDxfId="494" totalsRowDxfId="17">
      <calculatedColumnFormula>MAX(AH12,V12)</calculatedColumnFormula>
    </tableColumn>
    <tableColumn id="44" xr3:uid="{B68CC7E9-570D-A84E-8670-D3C2DEA54479}" name="(CFM)35" dataDxfId="493" totalsRowDxfId="16">
      <calculatedColumnFormula>B12/AH12</calculatedColumnFormula>
    </tableColumn>
    <tableColumn id="59" xr3:uid="{2F2BA6E3-EE55-BA45-94DB-4A9361068B22}" name="GPM MAX" totalsRowFunction="sum" dataDxfId="492" totalsRowDxfId="15">
      <calculatedColumnFormula>MAX(Table7[[#This Row],[GPM33]],Table7[[#This Row],[GPM]])</calculatedColumnFormula>
    </tableColumn>
    <tableColumn id="45" xr3:uid="{033D6B36-8B19-EB4B-A1E7-E7585C21489B}" name="(CFM)36" dataDxfId="491" totalsRowDxfId="14">
      <calculatedColumnFormula>B12</calculatedColumnFormula>
    </tableColumn>
    <tableColumn id="46" xr3:uid="{940C5796-789D-5B4A-9FCD-445173CBE38B}" name="(˚F db)37" dataDxfId="490" totalsRowDxfId="13">
      <calculatedColumnFormula>D12*((C12-M12)/B12) + L12*(F12/B12)</calculatedColumnFormula>
    </tableColumn>
    <tableColumn id="47" xr3:uid="{33252E21-E95C-E84B-AA5C-160823174238}" name="(˚F db)38" dataDxfId="489" totalsRowDxfId="12"/>
    <tableColumn id="48" xr3:uid="{F5FF0CC7-9CD6-DC4B-9AC8-6CF9532FE75F}" name="(MBH)" totalsRowFunction="sum" dataDxfId="488" totalsRowDxfId="11">
      <calculatedColumnFormula>AO12*1.085*(AQ12-AP12)/1000</calculatedColumnFormula>
    </tableColumn>
    <tableColumn id="49" xr3:uid="{41191CD7-30B2-EE4D-850D-B2169746F6D6}" name="(˚F db)39" dataDxfId="487" totalsRowDxfId="10">
      <calculatedColumnFormula>INPUT_OUTPUTS!$C$16</calculatedColumnFormula>
    </tableColumn>
    <tableColumn id="50" xr3:uid="{4D3CE10E-9198-0E44-849F-6C7B4A36B8CE}" name="(˚F db)40" dataDxfId="486" totalsRowDxfId="9">
      <calculatedColumnFormula>INPUT_OUTPUTS!$C$17</calculatedColumnFormula>
    </tableColumn>
    <tableColumn id="51" xr3:uid="{01E8F924-565C-4D42-9E39-E87365245FFA}" name="GPM41" totalsRowFunction="sum" dataDxfId="485" totalsRowDxfId="8">
      <calculatedColumnFormula>(AR12*1000)/(500*(AS12-AT12))</calculatedColumnFormula>
    </tableColumn>
    <tableColumn id="52" xr3:uid="{682AB22E-7AB3-E544-B158-3A216817586F}" name="LBS/HR" dataDxfId="484" totalsRowDxfId="7"/>
    <tableColumn id="53" xr3:uid="{9FA51183-6547-7247-B2B7-FE2572F6FDB0}" name="LBS/HR42" dataDxfId="483" totalsRowDxfId="6">
      <calculatedColumnFormula>AV12*(I12/1000)</calculatedColumnFormula>
    </tableColumn>
    <tableColumn id="54" xr3:uid="{D0D7EAE6-3EA2-E244-8B8D-01899554629D}" name="(˚F db)43" dataDxfId="482" totalsRowDxfId="5"/>
    <tableColumn id="56" xr3:uid="{0D1DB506-119B-7043-BE7D-652B0413152C}" name="(˚F db)45" dataDxfId="481" totalsRowDxfId="4"/>
    <tableColumn id="60" xr3:uid="{3575FFB4-394C-DC4E-9487-884A377EB86A}" name="(˚F db)46" totalsRowFunction="sum" dataDxfId="480" totalsRowDxfId="3"/>
    <tableColumn id="57" xr3:uid="{C012C8FF-93AB-B94F-BC98-7474F441DD8E}" name="(mbh)46" totalsRowFunction="sum" dataDxfId="479" totalsRowDxfId="2">
      <calculatedColumnFormula>#REF!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2:AA6" totalsRowCount="1" headerRowDxfId="478" dataDxfId="477" totalsRowDxfId="475" tableBorderDxfId="476">
  <autoFilter ref="A2:AA5" xr:uid="{59B85608-0CD2-47F2-870C-191ADDE0C2B8}"/>
  <tableColumns count="27">
    <tableColumn id="1" xr3:uid="{AACF3619-1A60-4FCF-BCFF-F336ADCF73B8}" name="Zone" totalsRowLabel="TOTAL" dataDxfId="474" totalsRowDxfId="473"/>
    <tableColumn id="3" xr3:uid="{80B2F9E7-1259-4673-96AB-0F4F83EB3D46}" name="Room Number" dataDxfId="472" totalsRowDxfId="471"/>
    <tableColumn id="4" xr3:uid="{0BD09193-37D6-4F7C-BCAE-45CFF2C8A151}" name="Room" totalsRowFunction="count" dataDxfId="470" totalsRowDxfId="469"/>
    <tableColumn id="6" xr3:uid="{E95CEC16-C2FC-4214-A0EB-7A08FDEAF0F9}" name="AREA _x000a_(FT²)" totalsRowFunction="sum" dataDxfId="468" totalsRowDxfId="467"/>
    <tableColumn id="18" xr3:uid="{6DA2FAE7-17CA-4FE0-8359-8C4FF34595A6}" name="Exhaust Units" dataDxfId="466" totalsRowDxfId="465"/>
    <tableColumn id="7" xr3:uid="{583FAE05-9F7D-48E5-BEF5-13CEE070C1D5}" name="OFFICE STANDARD _x000a_(CFM)" dataDxfId="464" totalsRowDxfId="463">
      <calculatedColumnFormula>IF((Ahu_Ashrae_sheet[[#This Row],[Occupancy Subcategory]] = "TOILET"),MROUND(D3/2,5),MROUND(D3,5))</calculatedColumnFormula>
    </tableColumn>
    <tableColumn id="8" xr3:uid="{47403FA0-F7C3-45DA-A426-0E7EA8BC2C2D}" name="LOAD (CFM)" totalsRowFunction="sum" dataDxfId="462" totalsRowDxfId="461"/>
    <tableColumn id="17" xr3:uid="{9950D068-2B64-41F9-A84D-F7BB46AA37B4}" name="Exhaust Category" dataDxfId="460" totalsRowDxfId="459"/>
    <tableColumn id="5" xr3:uid="{593AD6F9-FDB5-4388-9BB0-C939DB13E66D}" name="Occupancy Category" dataDxfId="458" totalsRowDxfId="457"/>
    <tableColumn id="36" xr3:uid="{FFC7F312-2A64-4BFB-9BD9-8659A44B2B2A}" name="Occupancy Subcategory" dataDxfId="456" totalsRowDxfId="455"/>
    <tableColumn id="10" xr3:uid="{7266144B-9C83-4090-884A-1BB5A987F5A7}" name="RP_x000a_(CFM/PER PERSON)" dataDxfId="454" totalsRowDxfId="453">
      <calculatedColumnFormula array="1">INDEX(Ashrae90.1Vent[RP],MATCH(Ahu_Ashrae_sheet[[#This Row],[Occupancy Category]]&amp;Ahu_Ashrae_sheet[[#This Row],[Occupancy Subcategory]],Ashrae90.1Vent[OCCUPANCY CATEGORY]&amp;Ashrae90.1Vent[OCCUPANCY SUBCATEGORY],0))</calculatedColumnFormula>
    </tableColumn>
    <tableColumn id="11" xr3:uid="{09B8A030-EFEC-4BFF-ACC4-60D52EC4A99A}" name="RA_x000a_(CFM/FT²)" dataDxfId="452" totalsRowDxfId="451">
      <calculatedColumnFormula array="1">INDEX(Ashrae90.1Vent[RA],MATCH(Ahu_Ashrae_sheet[[#This Row],[Occupancy Category]]&amp;Ahu_Ashrae_sheet[[#This Row],[Occupancy Subcategory]],Ashrae90.1Vent[OCCUPANCY CATEGORY]&amp;Ashrae90.1Vent[OCCUPANCY SUBCATEGORY],))</calculatedColumnFormula>
    </tableColumn>
    <tableColumn id="9" xr3:uid="{8A1EE948-BF4B-4ECE-B0BC-2D78AE8EBCB1}" name="OCCUPANT DENSITY_x000a_(#/1000 FT²)" dataDxfId="450" totalsRowDxfId="449">
      <calculatedColumnFormula array="1">INDEX(Ashrae90.1Vent[OCCUPANT DENSITY],MATCH(Ahu_Ashrae_sheet[[#This Row],[Occupancy Category]]&amp;Ahu_Ashrae_sheet[[#This Row],[Occupancy Subcategory]],Ashrae90.1Vent[OCCUPANCY CATEGORY]&amp;Ashrae90.1Vent[OCCUPANCY SUBCATEGORY],))</calculatedColumnFormula>
    </tableColumn>
    <tableColumn id="12" xr3:uid="{B627EA84-4F12-4D9C-9B2E-8C8B23AA47EF}" name="Air Class" dataDxfId="448" totalsRowDxfId="447">
      <calculatedColumnFormula array="1">INDEX(Ashrae90.1Vent[AIR CLASS],MATCH(Ahu_Ashrae_sheet[[#This Row],[Occupancy Category]]&amp;Ahu_Ashrae_sheet[[#This Row],[Occupancy Subcategory]],Ashrae90.1Vent[OCCUPANCY CATEGORY]&amp;Ashrae90.1Vent[OCCUPANCY SUBCATEGORY],))</calculatedColumnFormula>
    </tableColumn>
    <tableColumn id="13" xr3:uid="{2482AE45-6727-4713-94E7-C56A28C53053}" name="Occupants" totalsRowFunction="sum" dataDxfId="446" totalsRowDxfId="445">
      <calculatedColumnFormula>CEILING((M3/1000)*D3,1)</calculatedColumnFormula>
    </tableColumn>
    <tableColumn id="14" xr3:uid="{F57C4FE9-D689-4840-BE7F-8AAC8AF32E90}" name="Vbz" dataDxfId="444" totalsRowDxfId="443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442" totalsRowDxfId="441"/>
    <tableColumn id="16" xr3:uid="{E815DDA4-80F1-4B30-89A0-831145D8A65F}" name="Voz" dataDxfId="440" totalsRowDxfId="439">
      <calculatedColumnFormula>P3/Q3</calculatedColumnFormula>
    </tableColumn>
    <tableColumn id="21" xr3:uid="{3796FC97-1024-4F8D-AF4A-C1BCEDC0304A}" name="OUTSIDE AIRFLOW (CFM) (Vot)" totalsRowFunction="sum" dataDxfId="438" totalsRowDxfId="437">
      <calculatedColumnFormula>Ahu_Ashrae_sheet[[#This Row],[Voz]]</calculatedColumnFormula>
    </tableColumn>
    <tableColumn id="27" xr3:uid="{D6F07612-EAC0-4AD6-8EB3-909D232BF60F}" name="EA RATE_x000a_(CFM/UNIT)" dataDxfId="436" totalsRowDxfId="435">
      <calculatedColumnFormula>IF(Ahu_Ashrae_sheet[[#This Row],[Exhaust Category]]="NA","NA",VLOOKUP(Ahu_Ashrae_sheet[[#This Row],[Exhaust Category]],ASHRAE_EA_Table[#All],3,FALSE))</calculatedColumnFormula>
    </tableColumn>
    <tableColumn id="19" xr3:uid="{162CF25C-455F-4425-BBCF-EF541E4CC9A8}" name="EA RATE_x000a_(CFM/FT²)" dataDxfId="434" totalsRowDxfId="433">
      <calculatedColumnFormula>IF(Ahu_Ashrae_sheet[[#This Row],[Exhaust Category]]="NA","NA",VLOOKUP(Ahu_Ashrae_sheet[[#This Row],[Exhaust Category]],ASHRAE_EA_Table[#All],4,FALSE))</calculatedColumnFormula>
    </tableColumn>
    <tableColumn id="28" xr3:uid="{B0045427-3B74-4ECE-A325-8F14C261EA1F}" name="MIN ASHRAE EA_x000a_(CFM)" dataDxfId="432" totalsRowDxfId="431">
      <calculatedColumnFormula>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</calculatedColumnFormula>
    </tableColumn>
    <tableColumn id="22" xr3:uid="{A28E5D34-9B1F-421B-88CE-1EDD499FE4B0}" name="DESIGN SA(CFM)" totalsRowFunction="sum" dataDxfId="430" totalsRowDxfId="429">
      <calculatedColumnFormula>IF(Ahu_Ashrae_sheet[[#This Row],[MIN ASHRAE EA
(CFM)]]=0,MAX(Ahu_Ashrae_sheet[[#This Row],[LOAD (CFM)]],Ahu_Ashrae_sheet[[#This Row],[OFFICE STANDARD 
(CFM)]]),Ahu_Ashrae_sheet[[#This Row],[MIN ASHRAE EA
(CFM)]]-100)</calculatedColumnFormula>
    </tableColumn>
    <tableColumn id="26" xr3:uid="{E5C38A60-425D-4F6C-9FDB-5E20E1A3E7E8}" name="DESIGN RA(CFM)" totalsRowFunction="sum" dataDxfId="428" totalsRowDxfId="427">
      <calculatedColumnFormula>IF(Ahu_Ashrae_sheet[[#This Row],[MIN ASHRAE EA
(CFM)]]=0,Ahu_Ashrae_sheet[[#This Row],[DESIGN SA(CFM)]],0)</calculatedColumnFormula>
    </tableColumn>
    <tableColumn id="29" xr3:uid="{7CBBFD1A-04A3-40BF-ADB5-C1CAA7ED83DE}" name="DESIGN EA(CFM)" totalsRowFunction="sum" dataDxfId="426" totalsRowDxfId="425">
      <calculatedColumnFormula>IF(Ahu_Ashrae_sheet[[#This Row],[MIN ASHRAE EA
(CFM)]]=0,0,IF(Ahu_Ashrae_sheet[[#This Row],[MIN ASHRAE EA
(CFM)]]&lt;Ahu_Ashrae_sheet[[#This Row],[LOAD (CFM)]],Ahu_Ashrae_sheet[[#This Row],[LOAD (CFM)]]+100,Ahu_Ashrae_sheet[[#This Row],[MIN ASHRAE EA
(CFM)]]))</calculatedColumnFormula>
    </tableColumn>
    <tableColumn id="30" xr3:uid="{AB62DC65-850C-4361-8132-0512F10C7B71}" name="Transfer Air CFM" dataDxfId="424" totalsRowDxfId="423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422" totalsRowDxfId="421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sheet15" displayName="Ahu_Ashrae_sheet15" ref="A2:AJ6" totalsRowCount="1" headerRowDxfId="420" dataDxfId="419" totalsRowDxfId="417" tableBorderDxfId="418">
  <autoFilter ref="A2:AJ5" xr:uid="{59B85608-0CD2-47F2-870C-191ADDE0C2B8}"/>
  <tableColumns count="36">
    <tableColumn id="1" xr3:uid="{13F107CA-E395-403B-99B4-65D454865F61}" name="Zone" totalsRowLabel="TOTAL" dataDxfId="416" totalsRowDxfId="415"/>
    <tableColumn id="3" xr3:uid="{F80D1C16-C418-4B4D-A569-08FF0C9FD9A1}" name="Room Number" dataDxfId="414" totalsRowDxfId="413"/>
    <tableColumn id="4" xr3:uid="{216886B4-41A5-46E5-957A-D9BC5211544A}" name="Room" totalsRowFunction="count" dataDxfId="412" totalsRowDxfId="411"/>
    <tableColumn id="6" xr3:uid="{FAEF0092-9267-4494-BA56-051894961217}" name="AREA (FT²)" totalsRowFunction="sum" dataDxfId="410" totalsRowDxfId="409"/>
    <tableColumn id="18" xr3:uid="{85D8CA67-8705-42BF-AC57-76DEABA6CFF8}" name="Exhaust Units" dataDxfId="408" totalsRowDxfId="407"/>
    <tableColumn id="7" xr3:uid="{22DEA9EB-6829-4F94-A62D-70E9DB4118C6}" name="OFFICE STANDARD _x000a_(CFM)" dataDxfId="406" totalsRowDxfId="405">
      <calculatedColumnFormula>IF((Ahu_Ashrae_sheet15[[#This Row],[Occupancy Subcategory]] = "TOILET"),MROUND(D3/2,5),MROUND(D3,5))</calculatedColumnFormula>
    </tableColumn>
    <tableColumn id="8" xr3:uid="{7E2DDD6E-E4CD-4911-B0AB-66850CA0C7DA}" name="LOAD (CFM)" totalsRowFunction="sum" dataDxfId="404" totalsRowDxfId="403"/>
    <tableColumn id="17" xr3:uid="{AB90DFB5-D9F7-4991-B79C-73953940B8A9}" name="Exhaust Category" dataDxfId="402" totalsRowDxfId="401"/>
    <tableColumn id="5" xr3:uid="{D0FC3464-26A6-4825-B194-880E47740C1D}" name="Occupancy Category" dataDxfId="400" totalsRowDxfId="399"/>
    <tableColumn id="36" xr3:uid="{5F46065C-E5A3-401C-9502-8764BA0B5DDC}" name="Occupancy Subcategory" dataDxfId="398" totalsRowDxfId="397"/>
    <tableColumn id="10" xr3:uid="{776D97F5-1DFD-4EF3-AB3B-86F72E19D6E4}" name="RP_x000a_(CFM/PER PERSON)" dataDxfId="396" totalsRowDxfId="395">
      <calculatedColumnFormula array="1">INDEX(Ashrae90.1Vent[RP],MATCH(Ahu_Ashrae_sheet15[[#This Row],[Occupancy Category]]&amp;Ahu_Ashrae_sheet15[[#This Row],[Occupancy Subcategory]],Ashrae90.1Vent[OCCUPANCY CATEGORY]&amp;Ashrae90.1Vent[OCCUPANCY SUBCATEGORY],0))</calculatedColumnFormula>
    </tableColumn>
    <tableColumn id="11" xr3:uid="{76672635-C795-4F06-BEC7-0313455A053C}" name="RA_x000a_(CFM/FT²)" dataDxfId="394" totalsRowDxfId="393">
      <calculatedColumnFormula array="1">INDEX(Ashrae90.1Vent[RA],MATCH(Ahu_Ashrae_sheet15[[#This Row],[Occupancy Category]]&amp;Ahu_Ashrae_sheet15[[#This Row],[Occupancy Subcategory]],Ashrae90.1Vent[OCCUPANCY CATEGORY]&amp;Ashrae90.1Vent[OCCUPANCY SUBCATEGORY],))</calculatedColumnFormula>
    </tableColumn>
    <tableColumn id="9" xr3:uid="{8CD6DD67-6216-4CF3-8380-930B3A37E6A0}" name="OCCUPANT DENSITY_x000a_(#/1000 FT²)" dataDxfId="392" totalsRowDxfId="391">
      <calculatedColumnFormula array="1">INDEX(Ashrae90.1Vent[OCCUPANT DENSITY],MATCH(Ahu_Ashrae_sheet15[[#This Row],[Occupancy Category]]&amp;Ahu_Ashrae_sheet15[[#This Row],[Occupancy Subcategory]],Ashrae90.1Vent[OCCUPANCY CATEGORY]&amp;Ashrae90.1Vent[OCCUPANCY SUBCATEGORY],))</calculatedColumnFormula>
    </tableColumn>
    <tableColumn id="12" xr3:uid="{A2512039-1BFD-4637-9149-E45B36F1BCBD}" name="Air Class" dataDxfId="390" totalsRowDxfId="389">
      <calculatedColumnFormula array="1">INDEX(Ashrae90.1Vent[AIR CLASS],MATCH(Ahu_Ashrae_sheet15[[#This Row],[Occupancy Category]]&amp;Ahu_Ashrae_sheet15[[#This Row],[Occupancy Subcategory]],Ashrae90.1Vent[OCCUPANCY CATEGORY]&amp;Ashrae90.1Vent[OCCUPANCY SUBCATEGORY],))</calculatedColumnFormula>
    </tableColumn>
    <tableColumn id="2" xr3:uid="{468B725D-7142-49B8-83E0-2B65D8440EB2}" name="Actual Number of  Occupants (Ps)" totalsRowFunction="sum" dataDxfId="388" totalsRowDxfId="387"/>
    <tableColumn id="13" xr3:uid="{47B0F9A6-920C-43DF-A14A-8F0C04A59C11}" name="Occupants (Pz)" totalsRowFunction="sum" dataDxfId="386" totalsRowDxfId="385">
      <calculatedColumnFormula>CEILING((M3/1000)*D3,1)</calculatedColumnFormula>
    </tableColumn>
    <tableColumn id="20" xr3:uid="{D88BB767-D9CE-4502-9AE5-38238841E676}" name="DIVERSITY (D)" dataDxfId="384" totalsRowDxfId="383">
      <calculatedColumnFormula>IF((Ahu_Ashrae_sheet15[[#Totals],[Actual Number of  Occupants (Ps)]]/Ahu_Ashrae_sheet15[[#Totals],[Occupants (Pz)]])&gt;1,1,Ahu_Ashrae_sheet15[[#Totals],[Actual Number of  Occupants (Ps)]]/Ahu_Ashrae_sheet15[[#Totals],[Occupants (Pz)]])</calculatedColumnFormula>
    </tableColumn>
    <tableColumn id="14" xr3:uid="{515960F0-0D57-4682-8B27-4890C0589FBE}" name="Uncorrected OA (Vou)" totalsRowFunction="sum" dataDxfId="382" totalsRowDxfId="381">
      <calculatedColumnFormula>(Ahu_Ashrae_sheet15[[#This Row],[DIVERSITY (D)]]*Ahu_Ashrae_sheet15[[#This Row],[RP
(CFM/PER PERSON)]]*Ahu_Ashrae_sheet15[[#This Row],[Occupants (Pz)]])+(Ahu_Ashrae_sheet15[[#This Row],[RA
(CFM/FT²)]]*Ahu_Ashrae_sheet15[[#This Row],[AREA (FT²)]])</calculatedColumnFormula>
    </tableColumn>
    <tableColumn id="16" xr3:uid="{44D80A74-09DA-42BB-971A-4586DD89EC4E}" name="System Efficiency (Ev)" dataDxfId="380" totalsRowDxfId="379">
      <calculatedColumnFormula>IF(Ahu_Ashrae_sheet15[[#This Row],[DIVERSITY (D)]]&lt;0.6,(0.88*Ahu_Ashrae_sheet15[[#This Row],[DIVERSITY (D)]]+0.22),0.75)</calculatedColumnFormula>
    </tableColumn>
    <tableColumn id="21" xr3:uid="{5A56127A-64F8-417C-A88F-2F9F5C0817E1}" name="OUTSIDE AIRFLOW (CFM) (Vot)" totalsRowFunction="sum" dataDxfId="378" totalsRowDxfId="377">
      <calculatedColumnFormula>Ahu_Ashrae_sheet15[[#This Row],[Uncorrected OA (Vou)]]/Ahu_Ashrae_sheet15[[#This Row],[System Efficiency (Ev)]]</calculatedColumnFormula>
    </tableColumn>
    <tableColumn id="32" xr3:uid="{F510565D-7EF1-4FFE-AD9C-E9D58436E4AB}" name="Breathing Zone OA (Vbz)" dataDxfId="376" totalsRowDxfId="375">
      <calculatedColumnFormula>(Ahu_Ashrae_sheet15[[#This Row],[RP
(CFM/PER PERSON)]]*Ahu_Ashrae_sheet15[[#This Row],[Occupants (Pz)]])+(Ahu_Ashrae_sheet15[[#This Row],[RA
(CFM/FT²)]]*Ahu_Ashrae_sheet15[[#This Row],[AREA (FT²)]])</calculatedColumnFormula>
    </tableColumn>
    <tableColumn id="25" xr3:uid="{496E79E4-1236-4F15-BD06-CB27BF479A18}" name="Zone Efficiency (Ez)" dataDxfId="374" totalsRowDxfId="373"/>
    <tableColumn id="24" xr3:uid="{44A19890-0B61-48FE-AEE6-B4AF44D95889}" name="Zone OA (Voz)" dataDxfId="372" totalsRowDxfId="371">
      <calculatedColumnFormula>Ahu_Ashrae_sheet15[[#This Row],[Breathing Zone OA (Vbz)]]/Ahu_Ashrae_sheet15[[#This Row],[Zone Efficiency (Ez)]]</calculatedColumnFormula>
    </tableColumn>
    <tableColumn id="34" xr3:uid="{049255D7-F302-4459-B2F6-81F01B39A78F}" name="EXHAUST RECOVERY" dataDxfId="370" totalsRowDxfId="369"/>
    <tableColumn id="33" xr3:uid="{84D3A249-3F9E-4505-B5AC-4AF46EFA1A96}" name="CO2 SENSOR" dataDxfId="368" totalsRowDxfId="367">
      <calculatedColumnFormula>IF(Ahu_Ashrae_sheet15[[#This Row],[EXHAUST RECOVERY]]="YES",(IF(Ahu_Ashrae_sheet15[[#This Row],[AREA (FT²)]]&lt;(VLOOKUP(INPUT_OUTPUTS!$C$6,'ASHRAE Table'!Z2:AC21,MATCH((Ahu_Ashrae_sheet15[[#This Row],[OCCUPANT DENSITY
('#/1000 FT²)]]*Ahu_Ashrae_sheet15[[#This Row],[RP
(CFM/PER PERSON)]]),'ASHRAE Table'!Z2:AC2,1),FALSE)), "NO","PROVIDE CO2 SENSOR")),(IF(Ahu_Ashrae_sheet15[[#This Row],[AREA (FT²)]]&lt;(VLOOKUP(INPUT_OUTPUTS!$C$6,'ASHRAE Table'!V2:Y21,MATCH((Ahu_Ashrae_sheet15[[#This Row],[OCCUPANT DENSITY
('#/1000 FT²)]]*Ahu_Ashrae_sheet15[[#This Row],[RP
(CFM/PER PERSON)]]),'ASHRAE Table'!V2:Y2,1),FALSE)), "NOT REQUIRED","PROVIDE CO2 SENSOR")))</calculatedColumnFormula>
    </tableColumn>
    <tableColumn id="38" xr3:uid="{4FD9694B-3228-493F-A0BC-7381C760E767}" name="OS" dataDxfId="366" totalsRowDxfId="365">
      <calculatedColumnFormula array="1">INDEX(Ashrae90.1Vent[OS],MATCH(Ahu_Ashrae_sheet15[[#This Row],[Occupancy Category]]&amp;Ahu_Ashrae_sheet15[[#This Row],[Occupancy Subcategory]],Ashrae90.1Vent[OCCUPANCY CATEGORY]&amp;Ashrae90.1Vent[OCCUPANCY SUBCATEGORY],0))</calculatedColumnFormula>
    </tableColumn>
    <tableColumn id="37" xr3:uid="{1FFAD58F-B1CC-4422-9390-3E4F6D87B6FE}" name="MIN OA ALLOWABLE (WITH DCV)" totalsRowFunction="sum" dataDxfId="364" totalsRowDxfId="363">
      <calculatedColumnFormula>IF(Ahu_Ashrae_sheet15[[#This Row],[OS]]="YES",0,Ahu_Ashrae_sheet15[[#This Row],[RA
(CFM/FT²)]]*Ahu_Ashrae_sheet15[[#This Row],[AREA (FT²)]])</calculatedColumnFormula>
    </tableColumn>
    <tableColumn id="27" xr3:uid="{3CC2EE5F-91BA-47CD-9CAA-E5A58A707F37}" name="EA RATE_x000a_(CFM/UNIT)" dataDxfId="362" totalsRowDxfId="361">
      <calculatedColumnFormula>IF(Ahu_Ashrae_sheet15[[#This Row],[Exhaust Category]]="NA","NA",VLOOKUP(Ahu_Ashrae_sheet15[[#This Row],[Exhaust Category]],ASHRAE_EA_Table[[#All],[OCCUPANCY SUBCATEGORY]:[EXHAUST RATE PER AREA]],2))</calculatedColumnFormula>
    </tableColumn>
    <tableColumn id="19" xr3:uid="{4ED74037-DFDA-4E5B-81B4-B902AD475608}" name="EA RATE_x000a_(CFM/FT²)" dataDxfId="360" totalsRowDxfId="359">
      <calculatedColumnFormula>IF(Ahu_Ashrae_sheet15[[#This Row],[Exhaust Category]]="NA","NA",VLOOKUP(Ahu_Ashrae_sheet15[[#This Row],[Exhaust Category]],ASHRAE_EA_Table[[#All],[OCCUPANCY SUBCATEGORY]:[EXHAUST RATE PER AREA]],3))</calculatedColumnFormula>
    </tableColumn>
    <tableColumn id="28" xr3:uid="{9C99C5DB-489C-4002-B04A-B16D24ABF10C}" name="MIN ASHRAE EA_x000a_(CFM)" dataDxfId="358" totalsRowDxfId="357">
      <calculatedColumnFormula>IF(Ahu_Ashrae_sheet15[[#This Row],[EA RATE
(CFM/UNIT)]]="NA",Ahu_Ashrae_sheet15[[#This Row],[EA RATE
(CFM/FT²)]]*Ahu_Ashrae_sheet15[[#This Row],[AREA (FT²)]],Ahu_Ashrae_sheet15[[#This Row],[Exhaust Units]]*Ahu_Ashrae_sheet15[[#This Row],[EA RATE
(CFM/UNIT)]])</calculatedColumnFormula>
    </tableColumn>
    <tableColumn id="23" xr3:uid="{0CD81329-9529-4F5D-8D4B-B139A3800A5C}" name="DESIGN VAV MIN SA(CFM)" dataDxfId="356" totalsRowDxfId="355">
      <calculatedColumnFormula>IF((Ahu_Ashrae_sheet15[[#This Row],[DESIGN VAV MAX SA(CFM)]]*0.3)&lt;(Ahu_Ashrae_sheet15[[#This Row],[Zone OA (Voz)]]*1.5),(Ahu_Ashrae_sheet15[[#This Row],[Zone OA (Voz)]]*1.5),(Ahu_Ashrae_sheet15[[#This Row],[DESIGN VAV MAX SA(CFM)]]*0.3))</calculatedColumnFormula>
    </tableColumn>
    <tableColumn id="22" xr3:uid="{C5A8A555-88AC-459F-9F83-83E50B8FB331}" name="DESIGN VAV MAX SA(CFM)" totalsRowFunction="sum" dataDxfId="354" totalsRowDxfId="353">
      <calculatedColumnFormula>IF(Ahu_Ashrae_sheet15[[#This Row],[MIN ASHRAE EA
(CFM)]]=0,MAX(Ahu_Ashrae_sheet15[[#This Row],[LOAD (CFM)]],Ahu_Ashrae_sheet15[[#This Row],[OFFICE STANDARD 
(CFM)]]),Ahu_Ashrae_sheet15[[#This Row],[DESIGN EA(CFM)]]-100)</calculatedColumnFormula>
    </tableColumn>
    <tableColumn id="26" xr3:uid="{C209B658-68EC-4534-8D10-A67298439FE6}" name="DESIGN RA (CFM)" totalsRowFunction="sum" dataDxfId="352" totalsRowDxfId="351">
      <calculatedColumnFormula>IF(Ahu_Ashrae_sheet15[[#This Row],[MIN ASHRAE EA
(CFM)]]=0,Ahu_Ashrae_sheet15[[#This Row],[DESIGN VAV MAX SA(CFM)]],0)</calculatedColumnFormula>
    </tableColumn>
    <tableColumn id="29" xr3:uid="{2FC77A91-15C9-4850-A858-6F923D344079}" name="DESIGN EA(CFM)" totalsRowFunction="sum" dataDxfId="350" totalsRowDxfId="349">
      <calculatedColumnFormula>IF(Ahu_Ashrae_sheet15[[#This Row],[MIN ASHRAE EA
(CFM)]]=0,0,IF(Ahu_Ashrae_sheet15[[#This Row],[MIN ASHRAE EA
(CFM)]]&lt;Ahu_Ashrae_sheet15[[#This Row],[LOAD (CFM)]],Ahu_Ashrae_sheet15[[#This Row],[LOAD (CFM)]]+100,Ahu_Ashrae_sheet15[[#This Row],[MIN ASHRAE EA
(CFM)]]))</calculatedColumnFormula>
    </tableColumn>
    <tableColumn id="30" xr3:uid="{A35D6C48-B8D4-4488-A3BE-9C7B9622187A}" name="Transfer Air CFM" dataDxfId="348" totalsRowDxfId="347">
      <calculatedColumnFormula>Ahu_Ashrae_sheet15[[#This Row],[DESIGN VAV MAX SA(CFM)]]-Ahu_Ashrae_sheet15[[#This Row],[DESIGN RA (CFM)]]-Ahu_Ashrae_sheet15[[#This Row],[DESIGN EA(CFM)]]</calculatedColumnFormula>
    </tableColumn>
    <tableColumn id="35" xr3:uid="{ACFFB6CD-9605-47FC-BF87-E301EDFFAF73}" name="OA Frac (Z)" dataDxfId="346" totalsRowDxfId="345" dataCellStyle="Percent">
      <calculatedColumnFormula>Ahu_Ashrae_sheet15[[#This Row],[OUTSIDE AIRFLOW (CFM) (Vot)]]/Ahu_Ashrae_sheet15[[#This Row],[DESIGN VAV MAX SA(CFM)]]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1_CAV_SCHEDULE4451416" displayName="AHU1_CAV_SCHEDULE4451416" ref="AM2:BE41" totalsRowCount="1" headerRowDxfId="344" dataDxfId="342" totalsRowDxfId="340" headerRowBorderDxfId="343" tableBorderDxfId="341" totalsRowBorderDxfId="339">
  <autoFilter ref="AM2:BE40" xr:uid="{13D566E9-CE9D-4920-9557-440C01DE1A40}"/>
  <tableColumns count="19">
    <tableColumn id="1" xr3:uid="{F4100601-C8F7-4EDA-B9ED-EC5144A4622B}" name="ZONE" totalsRowLabel="Total" dataDxfId="338" totalsRowDxfId="337"/>
    <tableColumn id="2" xr3:uid="{DE711A04-3BAB-4400-94F9-9EA1A3D93724}" name="BASIS OF DESIGN _x000a_MANUFACTURER" dataDxfId="336" totalsRowDxfId="335"/>
    <tableColumn id="3" xr3:uid="{5EFC2877-1E13-4BC7-9997-881F4F723359}" name="DESCRIPTION" dataDxfId="334" totalsRowDxfId="333"/>
    <tableColumn id="18" xr3:uid="{4BD82A36-B59C-4680-BDCB-C1D5CE6D8206}" name="MIN VAV_x000a_(CFM)" dataDxfId="332" totalsRowDxfId="331">
      <calculatedColumnFormula>SUMIF(Ahu_Ashrae_sheet15[Zone],AHU1_CAV_SCHEDULE4451416[[#This Row],[ZONE]],Ahu_Ashrae_sheet15[DESIGN VAV MIN SA(CFM)])</calculatedColumnFormula>
    </tableColumn>
    <tableColumn id="20" xr3:uid="{4C9D23FA-7727-4CB2-BC60-4CDC07EFE151}" name="MAX VAV_x000a_(CFM)" dataDxfId="330" totalsRowDxfId="329">
      <calculatedColumnFormula>SUMIF(Ahu_Ashrae_sheet15[Zone],AHU1_CAV_SCHEDULE4451416[[#This Row],[ZONE]],Ahu_Ashrae_sheet15[DESIGN VAV MAX SA(CFM)])</calculatedColumnFormula>
    </tableColumn>
    <tableColumn id="5" xr3:uid="{FA2A9B0D-AB59-4FC8-A9ED-5973CFB8D00D}" name="VAV INLET SIZE_x000a_(IN)" dataDxfId="328" totalsRowDxfId="327">
      <calculatedColumnFormula>IFERROR((VLOOKUP(AHU1_CAV_SCHEDULE4451416[[#This Row],[MAX VAV
(CFM)]],'DO NOT TOUCH'!$P$9:$Q$14,2,TRUE)),"TBD")</calculatedColumnFormula>
    </tableColumn>
    <tableColumn id="6" xr3:uid="{7BD7D03A-0062-4AE1-A137-B7A43FB31DE2}" name="MAX TOTAL VAV PD _x000a_(IN W.G.)" dataDxfId="326" totalsRowDxfId="325">
      <calculatedColumnFormula>AS2</calculatedColumnFormula>
    </tableColumn>
    <tableColumn id="19" xr3:uid="{5F3FB950-6412-4753-A80D-B928E2E9B62C}" name="HEATING AIRFLOW _x000a_(CFM)" dataDxfId="324" totalsRowDxfId="323">
      <calculatedColumnFormula>AHU1_CAV_SCHEDULE4451416[[#This Row],[MIN VAV
(CFM)]]</calculatedColumnFormula>
    </tableColumn>
    <tableColumn id="7" xr3:uid="{252B9BF8-54B1-493D-9221-BD358C10E426}" name="EWT" dataDxfId="322" totalsRowDxfId="321">
      <calculatedColumnFormula>INPUT_OUTPUTS!$C$16</calculatedColumnFormula>
    </tableColumn>
    <tableColumn id="8" xr3:uid="{E16AE38C-7652-4771-A602-4043B581B8CE}" name="DESIGN _x000a_LWT" dataDxfId="320" totalsRowDxfId="319">
      <calculatedColumnFormula>INPUT_OUTPUTS!$C$17</calculatedColumnFormula>
    </tableColumn>
    <tableColumn id="9" xr3:uid="{494A5CA5-FC2F-4016-9EDA-AAD0074B0288}" name="EAT" dataDxfId="318" totalsRowDxfId="317">
      <calculatedColumnFormula>AW2</calculatedColumnFormula>
    </tableColumn>
    <tableColumn id="10" xr3:uid="{7B534454-B13B-4823-B389-688DB1FFC0C2}" name="DESIGN _x000a_LAT" dataDxfId="316" totalsRowDxfId="315">
      <calculatedColumnFormula>AX2</calculatedColumnFormula>
    </tableColumn>
    <tableColumn id="11" xr3:uid="{58C190FA-9339-4475-8FE4-B94254008B39}" name="MIN MBH" totalsRowFunction="sum" dataDxfId="314" totalsRowDxfId="313">
      <calculatedColumnFormula>MROUND((1.08*(AX3-AW3)*#REF!)/1000,0.1)</calculatedColumnFormula>
    </tableColumn>
    <tableColumn id="12" xr3:uid="{E8FC4A04-BE1B-467E-A94D-1BC0BAFF2FAC}" name="AGPM" dataDxfId="312" totalsRowDxfId="311">
      <calculatedColumnFormula>(AY3*1000)/(500*(AU3-AV3))</calculatedColumnFormula>
    </tableColumn>
    <tableColumn id="13" xr3:uid="{AAA466EF-B5D0-49B1-A9E7-E101103D64B4}" name="GPM" totalsRowFunction="sum" dataDxfId="310" totalsRowDxfId="309">
      <calculatedColumnFormula>IF(AZ3&lt;0.5,0.5,AZ3)</calculatedColumnFormula>
    </tableColumn>
    <tableColumn id="14" xr3:uid="{8B37A8C5-27D0-4D67-9351-B38D9137444F}" name="MAX WATER _x000a_PD (FT)" dataDxfId="308" totalsRowDxfId="307">
      <calculatedColumnFormula>BB2</calculatedColumnFormula>
    </tableColumn>
    <tableColumn id="15" xr3:uid="{CE1AD8A3-6CC9-4182-A598-A96DC629A332}" name="OPER _x000a_WEIGHT_x000a_(LBS)" dataDxfId="306" totalsRowDxfId="305">
      <calculatedColumnFormula>IFERROR((_xlfn.XLOOKUP(AR3,'DO NOT TOUCH'!$Q$9:$Q$14,'DO NOT TOUCH'!$R$9:$R$14,)),"TBD")</calculatedColumnFormula>
    </tableColumn>
    <tableColumn id="16" xr3:uid="{46061A8B-CF07-404A-89CF-B3DC053B9D47}" name="MTG _x000a_DETAIL" dataDxfId="304" totalsRowDxfId="303">
      <calculatedColumnFormula>INPUT_OUTPUTS!$C$19</calculatedColumnFormula>
    </tableColumn>
    <tableColumn id="17" xr3:uid="{AFA49697-1C1E-4B56-9982-63047E73069E}" name="REMARKS" dataDxfId="302" totalsRowDxfId="301">
      <calculatedColumnFormula>BE2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1" totalsRowShown="0" headerRowDxfId="300" dataDxfId="299" dataCellStyle="Normal 2">
  <autoFilter ref="A1:G91" xr:uid="{F45BA8B8-8715-43AE-BC90-D77409CD4392}"/>
  <tableColumns count="7">
    <tableColumn id="1" xr3:uid="{68E47545-A150-4707-8B94-C1130BF1A737}" name="OCCUPANCY CATEGORY" dataDxfId="298"/>
    <tableColumn id="2" xr3:uid="{5B165886-5845-4A98-97EC-56CB62B4803D}" name="OCCUPANCY SUBCATEGORY" dataDxfId="297"/>
    <tableColumn id="3" xr3:uid="{9733D35C-867E-4C4B-8F2B-E086ECB58CD3}" name="RP" dataDxfId="296" dataCellStyle="Normal 2"/>
    <tableColumn id="4" xr3:uid="{8749CE45-D3E3-463B-A943-59B6B0450B44}" name="RA" dataDxfId="295" dataCellStyle="Normal 2"/>
    <tableColumn id="5" xr3:uid="{CD462116-5E1B-4F25-96C0-8DB927D62FAD}" name="OCCUPANT DENSITY" dataDxfId="294" dataCellStyle="Normal 2"/>
    <tableColumn id="6" xr3:uid="{17ED933E-614D-45F6-B2C6-C5FD970DCCC2}" name="AIR CLASS" dataDxfId="293" dataCellStyle="Normal 2"/>
    <tableColumn id="7" xr3:uid="{8990C0AF-57F2-4ABC-A0E1-FC88BC4B024A}" name="OS" dataDxfId="292" dataCellStyle="Normal 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O37" totalsRowShown="0" headerRowDxfId="291" dataDxfId="290" dataCellStyle="Normal 2">
  <autoFilter ref="J1:O37" xr:uid="{FC3692C1-EB92-41FB-9444-5DAEF8591757}"/>
  <tableColumns count="6">
    <tableColumn id="1" xr3:uid="{3388F3D2-8E05-4D17-8907-36872544E020}" name="OCCUPANCY CATEGORY" dataDxfId="289" dataCellStyle="Normal 2"/>
    <tableColumn id="2" xr3:uid="{E1FB0B28-C444-4EA6-817D-1A1572A48015}" name="OCCUPANCY SUBCATEGORY" dataDxfId="288" dataCellStyle="Normal 2"/>
    <tableColumn id="3" xr3:uid="{FF109B0F-3E01-4002-A883-C4CDF4B3E8CA}" name="EXHAUST RATE PER UNIT" dataDxfId="287" dataCellStyle="Normal 2"/>
    <tableColumn id="4" xr3:uid="{9EBCCC92-92E9-4FE1-B17B-CA56536298A4}" name="EXHAUST RATE PER AREA" dataDxfId="286" dataCellStyle="Normal 2"/>
    <tableColumn id="5" xr3:uid="{0075CAEE-1CDF-4D4F-8B21-A29737198283}" name="NOTES" dataDxfId="285" dataCellStyle="Normal 2"/>
    <tableColumn id="6" xr3:uid="{73E3E663-31ED-4991-8F25-4C660DE5C8CC}" name="AIR CLASS " dataDxfId="284" dataCellStyle="Normal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283" tableBorderDxfId="282">
  <autoFilter ref="A1:J127" xr:uid="{4540C5B7-7ED8-1346-9688-BBD6F913E0FF}"/>
  <tableColumns count="10">
    <tableColumn id="1" xr3:uid="{7BF2CBE1-A9FA-634B-9D43-EBA146167592}" name="Area Designation" dataDxfId="281"/>
    <tableColumn id="2" xr3:uid="{1460B4E9-9118-944C-9857-493DDFFE200A}" name="Air Balance Rerationship to Adjacent Areas" dataDxfId="280"/>
    <tableColumn id="3" xr3:uid="{25BE9BDC-FBB0-7A47-894B-42F72D14066C}" name="Minimum Air Changes of Outdoor Air per Hour" dataDxfId="279"/>
    <tableColumn id="4" xr3:uid="{82F49D63-6B08-DA45-8A60-1FF0FD6AC5B9}" name="Minimum Total Air Changes per Hour" dataDxfId="278"/>
    <tableColumn id="5" xr3:uid="{4FDAD794-62F4-8F49-87E5-EA2422234CCC}" name="All Air Exhausted Directly To Outdoors_x000a_(j)" dataDxfId="277"/>
    <tableColumn id="6" xr3:uid="{B9C49FC8-C251-2342-AE20-E81B274FAA4A}" name="Air Recirculated by Means of Room Units (a)" dataDxfId="276"/>
    <tableColumn id="7" xr3:uid="{E57842AF-587D-1D42-B911-B576DF543C66}" name="Design Relative Humidity (k)%" dataDxfId="275"/>
    <tableColumn id="8" xr3:uid="{BE19DA4C-3671-2040-8AE0-8608C571F1B5}" name="MIN Design Temperature(l)" dataDxfId="274"/>
    <tableColumn id="10" xr3:uid="{40B13846-A1DF-B641-AA80-2CDFCA140F33}" name="MAX Design Temperature" dataDxfId="273"/>
    <tableColumn id="9" xr3:uid="{D8B11080-DB40-234A-BEF6-09CC488530B9}" name="Notes" dataDxfId="27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E58C7751-D100-3043-8A2B-D49980DE41F8}">
    <text xml:space="preserve">This is a manual number added here when the percent outside air needs to be increased. </text>
  </threadedComment>
  <threadedComment ref="B6" dT="2023-01-20T01:58:59.17" personId="{4EB4B6F3-1969-DB48-B081-3832009A33BA}" id="{DB117495-74B2-6A48-B3E7-18DECDA1C8F1}">
    <text>Import zone from Revit</text>
  </threadedComment>
  <threadedComment ref="C6" dT="2023-01-20T01:59:19.81" personId="{4EB4B6F3-1969-DB48-B081-3832009A33BA}" id="{78537B5D-0C1E-7543-954D-57E0882F58A8}">
    <text>Import room from Revit</text>
  </threadedComment>
  <threadedComment ref="D6" dT="2023-01-20T01:59:37.35" personId="{4EB4B6F3-1969-DB48-B081-3832009A33BA}" id="{20356944-402C-084B-8ECC-E64EE43C2BF7}">
    <text>Import room number from Revit</text>
  </threadedComment>
  <threadedComment ref="E6" dT="2023-01-20T01:59:56.66" personId="{4EB4B6F3-1969-DB48-B081-3832009A33BA}" id="{F825E008-475F-ED47-92CB-81749DF35284}">
    <text>Import Area from Revit</text>
  </threadedComment>
  <threadedComment ref="F6" dT="2023-01-20T02:00:11.73" personId="{4EB4B6F3-1969-DB48-B081-3832009A33BA}" id="{9E0A5074-AF0B-9F42-BE2C-0A73C11674B7}">
    <text>Import height from Revit</text>
  </threadedComment>
  <threadedComment ref="S6" dT="2023-01-20T02:57:22.76" personId="{4EB4B6F3-1969-DB48-B081-3832009A33BA}" id="{48FA2B7B-833F-634C-9610-94B91957B95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DF007F6-7F62-A74C-9CF0-09469FE2BFF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57D29A12-2EB9-234C-B32E-45CA7306F2B4}">
    <text xml:space="preserve">Usually automatic, but check and edit as necessary. </text>
  </threadedComment>
  <threadedComment ref="Y6" dT="2023-01-20T02:57:47.98" personId="{4EB4B6F3-1969-DB48-B081-3832009A33BA}" id="{B740EF93-38A1-D64A-9021-E067C964D4E8}">
    <text>All cells in this column must be green</text>
  </threadedComment>
  <threadedComment ref="AC6" dT="2023-01-20T03:02:14.75" personId="{4EB4B6F3-1969-DB48-B081-3832009A33BA}" id="{D477A2FA-7217-544F-9033-B0C7EEB110D7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Q2" dT="2023-04-05T23:02:22.87" personId="{9818FCBF-2832-490A-8648-B86041484521}" id="{10D6E60D-B83B-43B5-BF6C-0647D072EB01}">
    <text>Select Value from ASHRAE Table 6-4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E2" dT="2023-04-25T00:29:13.68" personId="{9818FCBF-2832-490A-8648-B86041484521}" id="{67B625E8-2E06-4BF3-A1C5-ADB251BA3E00}">
    <text>Number of showers / toilets / urinals</text>
  </threadedComment>
  <threadedComment ref="O2" dT="2023-04-25T00:25:17.94" personId="{9818FCBF-2832-490A-8648-B86041484521}" id="{91F949DB-0CE3-4FF6-8A41-66FFCC0C431F}">
    <text>To be inputted Manually if the total occupancy seems high</text>
  </threadedComment>
  <threadedComment ref="V2" dT="2023-04-25T00:26:28.36" personId="{9818FCBF-2832-490A-8648-B86041484521}" id="{7AD46A32-DC02-4A32-80C7-C77DACAB08CE}">
    <text>Pick Based on the zone efficiency table in ASHRAE 62.1</text>
  </threadedComment>
  <threadedComment ref="AM2" dT="2023-01-20T03:02:14.75" personId="{4EB4B6F3-1969-DB48-B081-3832009A33BA}" id="{2B939F13-40CA-4729-8ADB-358C10AFDC07}">
    <text>Increase or decrease number of rows in this table to match the number of zones.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AD44BA8E-07C1-4980-A850-DB84FEE6F9EE}">
    <text xml:space="preserve">This is a manual number added here when the percent outside air needs to be increased. </text>
  </threadedComment>
  <threadedComment ref="B6" dT="2023-01-20T01:58:59.17" personId="{4EB4B6F3-1969-DB48-B081-3832009A33BA}" id="{B98EF468-64F4-4B13-B3F6-F01339A9CE6E}">
    <text>Import zone from Revit</text>
  </threadedComment>
  <threadedComment ref="C6" dT="2023-01-20T01:59:19.81" personId="{4EB4B6F3-1969-DB48-B081-3832009A33BA}" id="{FB199123-0F0C-46AA-8F1D-813D549B6E95}">
    <text>Import room from Revit</text>
  </threadedComment>
  <threadedComment ref="D6" dT="2023-01-20T01:59:37.35" personId="{4EB4B6F3-1969-DB48-B081-3832009A33BA}" id="{7A3F34D9-29B6-4410-BCE4-F8146509CC82}">
    <text>Import room number from Revit</text>
  </threadedComment>
  <threadedComment ref="E6" dT="2023-01-20T01:59:56.66" personId="{4EB4B6F3-1969-DB48-B081-3832009A33BA}" id="{4D5D7988-98F9-46BE-AB8D-767292F8BE0C}">
    <text>Import Area from Revit</text>
  </threadedComment>
  <threadedComment ref="F6" dT="2023-01-20T02:00:11.73" personId="{4EB4B6F3-1969-DB48-B081-3832009A33BA}" id="{FB53CA2D-E3E0-47E6-B38E-A661F98CD2AC}">
    <text>Import height from Revit</text>
  </threadedComment>
  <threadedComment ref="S6" dT="2023-01-20T02:57:22.76" personId="{4EB4B6F3-1969-DB48-B081-3832009A33BA}" id="{C3DAA1E3-D648-480D-89A3-A1453D17A81F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522D8303-30D2-410C-B702-C94293377092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DD86F827-D639-4F7F-9CA8-871BDDE53A84}">
    <text xml:space="preserve">Usually automatic, but check and edit as necessary. </text>
  </threadedComment>
  <threadedComment ref="Y6" dT="2023-01-20T02:57:47.98" personId="{4EB4B6F3-1969-DB48-B081-3832009A33BA}" id="{51221651-72AD-4266-BADB-85D71BF4DF8C}">
    <text>All cells in this column must be green</text>
  </threadedComment>
  <threadedComment ref="AC6" dT="2023-01-20T03:02:14.75" personId="{4EB4B6F3-1969-DB48-B081-3832009A33BA}" id="{AE3D96DC-C7F4-4513-BF3D-73A605E8750C}">
    <text>Increase or decrease number of rows in this table to match the number of zones.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84D71866-A333-4CD0-9197-88E7042E5A29}">
    <text xml:space="preserve">This is desired room temperature. Input based on RFP or ASHRAE. </text>
  </threadedComment>
  <threadedComment ref="E11" dT="2023-01-20T00:11:36.80" personId="{9818FCBF-2832-490A-8648-B86041484521}" id="{437746F2-980E-42E9-9E62-943E879A051B}">
    <text xml:space="preserve">This is desired room temperature. Input based on RFP or ASHRAE. </text>
  </threadedComment>
  <threadedComment ref="AV12" dT="2022-09-20T22:32:15.58" personId="{F37BE4D7-C0F5-405A-A860-1164F50E938E}" id="{F2D31235-4F3A-43BA-8D0F-AFF518BEBF36}">
    <text>BASED ON WINTER OA AT 50% AND INDOOR AT 40% HUMIDITY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Q2" dT="2023-04-05T23:02:22.87" personId="{9818FCBF-2832-490A-8648-B86041484521}" id="{9CA4B69A-D90F-4871-8F75-C811F2AC2E34}">
    <text>Select Value from ASHRAE Table 6-4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E2" dT="2023-04-25T00:29:13.68" personId="{9818FCBF-2832-490A-8648-B86041484521}" id="{4E5A4463-7793-4AC4-A59E-2608060717A3}">
    <text>Number of showers / toilets / urinals</text>
  </threadedComment>
  <threadedComment ref="O2" dT="2023-04-25T00:25:17.94" personId="{9818FCBF-2832-490A-8648-B86041484521}" id="{37A41AF8-43E0-4E53-97C1-7B232202F572}">
    <text>To be inputted Manually if the total occupancy seems high</text>
  </threadedComment>
  <threadedComment ref="V2" dT="2023-04-25T00:26:28.36" personId="{9818FCBF-2832-490A-8648-B86041484521}" id="{6AA7AC04-FAAA-4D66-BDEA-A5CAE99FC69E}">
    <text>Pick Based on the zone efficiency table in ASHRAE 62.1</text>
  </threadedComment>
  <threadedComment ref="AM2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3.vml"/><Relationship Id="rId4" Type="http://schemas.microsoft.com/office/2017/10/relationships/threadedComment" Target="../threadedComments/threadedComment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4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5.xml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table" Target="../tables/table11.xml"/><Relationship Id="rId1" Type="http://schemas.openxmlformats.org/officeDocument/2006/relationships/vmlDrawing" Target="../drawings/vmlDrawing7.vml"/><Relationship Id="rId4" Type="http://schemas.microsoft.com/office/2017/10/relationships/threadedComment" Target="../threadedComments/threadedComment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8.vml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6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3"/>
  <sheetViews>
    <sheetView showGridLines="0" showRowColHeaders="0" tabSelected="1" zoomScale="117" zoomScaleNormal="117" workbookViewId="0">
      <pane xSplit="25" ySplit="33" topLeftCell="Z52" activePane="bottomRight" state="frozen"/>
      <selection pane="topRight" activeCell="Z1" sqref="Z1"/>
      <selection pane="bottomLeft" activeCell="A34" sqref="A34"/>
      <selection pane="bottomRight" activeCell="P17" sqref="P17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8" width="11.5703125" bestFit="1" customWidth="1"/>
    <col min="19" max="19" width="10.28515625" customWidth="1"/>
    <col min="20" max="20" width="9.42578125" bestFit="1" customWidth="1"/>
    <col min="22" max="24" width="8.85546875" hidden="1" customWidth="1"/>
    <col min="25" max="25" width="32.140625" hidden="1" customWidth="1"/>
  </cols>
  <sheetData>
    <row r="2" spans="2:25">
      <c r="B2" s="95" t="s">
        <v>236</v>
      </c>
      <c r="C2" s="340" t="s">
        <v>238</v>
      </c>
      <c r="D2" s="341"/>
      <c r="E2" s="95" t="s">
        <v>235</v>
      </c>
      <c r="F2" s="342"/>
      <c r="G2" s="341"/>
    </row>
    <row r="3" spans="2:25">
      <c r="B3" s="16"/>
      <c r="C3" s="94"/>
      <c r="D3" s="94"/>
      <c r="V3" s="16" t="s">
        <v>90</v>
      </c>
      <c r="W3" s="16" t="s">
        <v>259</v>
      </c>
      <c r="X3" s="16" t="s">
        <v>262</v>
      </c>
      <c r="Y3" s="16" t="s">
        <v>269</v>
      </c>
    </row>
    <row r="4" spans="2:25">
      <c r="B4" s="343" t="s">
        <v>212</v>
      </c>
      <c r="C4" s="344"/>
      <c r="D4" s="344"/>
      <c r="E4" s="344"/>
      <c r="F4" s="344"/>
      <c r="G4" s="345"/>
      <c r="J4" s="346" t="s">
        <v>214</v>
      </c>
      <c r="K4" s="346"/>
      <c r="L4" s="346"/>
      <c r="V4" s="16" t="s">
        <v>244</v>
      </c>
      <c r="W4" s="16" t="s">
        <v>260</v>
      </c>
      <c r="X4" s="16" t="s">
        <v>263</v>
      </c>
      <c r="Y4" s="16" t="s">
        <v>270</v>
      </c>
    </row>
    <row r="5" spans="2:25">
      <c r="B5" s="347" t="s">
        <v>237</v>
      </c>
      <c r="C5" s="347"/>
      <c r="D5" s="347"/>
      <c r="E5" s="347"/>
      <c r="F5" s="347"/>
      <c r="G5" s="347"/>
      <c r="S5" s="16"/>
      <c r="W5" s="16" t="s">
        <v>261</v>
      </c>
      <c r="X5" s="16" t="s">
        <v>264</v>
      </c>
    </row>
    <row r="6" spans="2:25">
      <c r="B6" s="74" t="s">
        <v>670</v>
      </c>
      <c r="C6" s="137" t="s">
        <v>684</v>
      </c>
      <c r="D6" s="3"/>
      <c r="E6" s="3"/>
      <c r="F6" s="2"/>
      <c r="J6" s="337" t="s">
        <v>234</v>
      </c>
      <c r="K6" s="338"/>
      <c r="L6" s="339"/>
      <c r="S6" s="16"/>
      <c r="X6" s="16" t="s">
        <v>265</v>
      </c>
    </row>
    <row r="7" spans="2:25">
      <c r="B7" s="346" t="s">
        <v>51</v>
      </c>
      <c r="C7" s="346"/>
      <c r="D7" s="346"/>
      <c r="E7" s="346" t="s">
        <v>52</v>
      </c>
      <c r="F7" s="346"/>
      <c r="G7" s="346"/>
      <c r="J7" s="91" t="s">
        <v>215</v>
      </c>
      <c r="K7" s="92">
        <f>Table7[[#Totals],[(Tons)34]]</f>
        <v>0</v>
      </c>
      <c r="L7" s="93" t="s">
        <v>216</v>
      </c>
      <c r="X7" s="16" t="s">
        <v>266</v>
      </c>
    </row>
    <row r="8" spans="2:25">
      <c r="B8" s="348" t="s">
        <v>53</v>
      </c>
      <c r="C8" s="137"/>
      <c r="D8" s="74" t="s">
        <v>5</v>
      </c>
      <c r="E8" s="348" t="s">
        <v>42</v>
      </c>
      <c r="F8" s="349"/>
      <c r="G8" s="348" t="s">
        <v>54</v>
      </c>
      <c r="J8" s="91" t="s">
        <v>277</v>
      </c>
      <c r="K8" s="92">
        <f>Table7[[#Totals],[GPM MAX]]</f>
        <v>-80.829900000000009</v>
      </c>
      <c r="L8" s="93" t="s">
        <v>220</v>
      </c>
      <c r="X8" s="16" t="s">
        <v>267</v>
      </c>
    </row>
    <row r="9" spans="2:25">
      <c r="B9" s="348"/>
      <c r="C9" s="137"/>
      <c r="D9" s="74" t="s">
        <v>25</v>
      </c>
      <c r="E9" s="348"/>
      <c r="F9" s="350"/>
      <c r="G9" s="348"/>
      <c r="J9" s="91" t="s">
        <v>219</v>
      </c>
      <c r="K9" s="92" cm="1">
        <f t="array" ref="K9">K8/Table1[number of CHW Pumps]</f>
        <v>-40.414950000000005</v>
      </c>
      <c r="L9" s="93" t="s">
        <v>220</v>
      </c>
      <c r="X9" s="16" t="s">
        <v>268</v>
      </c>
    </row>
    <row r="10" spans="2:25">
      <c r="B10" s="348" t="s">
        <v>225</v>
      </c>
      <c r="C10" s="138"/>
      <c r="D10" s="74" t="s">
        <v>54</v>
      </c>
      <c r="E10" s="348" t="s">
        <v>66</v>
      </c>
      <c r="F10" s="137"/>
      <c r="G10" s="74" t="s">
        <v>54</v>
      </c>
      <c r="J10" s="91" t="s">
        <v>217</v>
      </c>
      <c r="K10" s="92">
        <f>Table7[[#Totals],[(mbh)46]]</f>
        <v>0</v>
      </c>
      <c r="L10" s="93" t="s">
        <v>218</v>
      </c>
    </row>
    <row r="11" spans="2:25">
      <c r="B11" s="348"/>
      <c r="C11" s="138"/>
      <c r="D11" s="74" t="s">
        <v>25</v>
      </c>
      <c r="E11" s="348"/>
      <c r="F11" s="137"/>
      <c r="G11" s="74" t="s">
        <v>55</v>
      </c>
      <c r="J11" s="91" t="s">
        <v>221</v>
      </c>
      <c r="K11" s="92">
        <f>Table7[[#Totals],[(˚F db)46]]</f>
        <v>19</v>
      </c>
      <c r="L11" s="93" t="s">
        <v>220</v>
      </c>
    </row>
    <row r="12" spans="2:25">
      <c r="B12" s="2"/>
      <c r="D12" s="3"/>
      <c r="E12" s="3"/>
      <c r="J12" s="75"/>
      <c r="K12" s="75"/>
      <c r="L12" s="75"/>
    </row>
    <row r="13" spans="2:25">
      <c r="B13" s="346" t="s">
        <v>213</v>
      </c>
      <c r="C13" s="346"/>
      <c r="D13" s="346"/>
    </row>
    <row r="14" spans="2:25">
      <c r="B14" s="90" t="s">
        <v>149</v>
      </c>
      <c r="C14" s="138">
        <v>42</v>
      </c>
      <c r="D14" s="74" t="s">
        <v>150</v>
      </c>
    </row>
    <row r="15" spans="2:25">
      <c r="B15" s="90" t="s">
        <v>151</v>
      </c>
      <c r="C15" s="138">
        <v>52</v>
      </c>
      <c r="D15" s="74" t="s">
        <v>150</v>
      </c>
    </row>
    <row r="16" spans="2:25">
      <c r="B16" s="90" t="s">
        <v>152</v>
      </c>
      <c r="C16" s="138">
        <v>140</v>
      </c>
      <c r="D16" s="74" t="s">
        <v>150</v>
      </c>
    </row>
    <row r="17" spans="2:20">
      <c r="B17" s="90" t="s">
        <v>153</v>
      </c>
      <c r="C17" s="138">
        <v>100</v>
      </c>
      <c r="D17" s="74" t="s">
        <v>150</v>
      </c>
    </row>
    <row r="18" spans="2:20">
      <c r="B18" s="90" t="s">
        <v>154</v>
      </c>
      <c r="C18" s="139">
        <v>1.2</v>
      </c>
      <c r="D18" s="74" t="s">
        <v>155</v>
      </c>
    </row>
    <row r="19" spans="2:20">
      <c r="B19" s="90" t="s">
        <v>159</v>
      </c>
      <c r="C19" s="139"/>
      <c r="D19" s="74" t="s">
        <v>141</v>
      </c>
      <c r="H19" s="75"/>
      <c r="I19" s="75"/>
      <c r="J19" s="75"/>
      <c r="K19" s="75"/>
      <c r="L19" s="75"/>
    </row>
    <row r="20" spans="2:20">
      <c r="H20" s="75"/>
      <c r="I20" s="75"/>
      <c r="J20" s="336" t="s">
        <v>239</v>
      </c>
      <c r="K20" s="336"/>
      <c r="L20" s="75"/>
    </row>
    <row r="21" spans="2:20">
      <c r="H21" s="75"/>
      <c r="I21" s="75"/>
      <c r="J21" s="75"/>
      <c r="K21" s="75"/>
      <c r="L21" s="75"/>
    </row>
    <row r="23" spans="2:20">
      <c r="B23" s="333" t="s">
        <v>271</v>
      </c>
      <c r="C23" s="334"/>
      <c r="D23" s="334"/>
      <c r="E23" s="334"/>
      <c r="F23" s="334"/>
      <c r="G23" s="334"/>
      <c r="H23" s="334"/>
      <c r="I23" s="334"/>
      <c r="J23" s="334"/>
      <c r="K23" s="334"/>
      <c r="L23" s="334"/>
      <c r="M23" s="334"/>
      <c r="N23" s="334"/>
      <c r="O23" s="334"/>
      <c r="P23" s="334"/>
      <c r="Q23" s="334"/>
      <c r="R23" s="334"/>
      <c r="S23" s="334"/>
      <c r="T23" s="335"/>
    </row>
    <row r="24" spans="2:20"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</row>
    <row r="25" spans="2:20" ht="22.5">
      <c r="B25" s="99" t="s">
        <v>241</v>
      </c>
      <c r="C25" s="97" t="s">
        <v>258</v>
      </c>
      <c r="D25" s="97" t="s">
        <v>257</v>
      </c>
      <c r="E25" s="97" t="s">
        <v>240</v>
      </c>
      <c r="F25" s="97" t="s">
        <v>242</v>
      </c>
      <c r="G25" s="97" t="s">
        <v>243</v>
      </c>
      <c r="H25" s="97" t="s">
        <v>245</v>
      </c>
      <c r="I25" s="97" t="s">
        <v>246</v>
      </c>
      <c r="J25" s="97" t="s">
        <v>247</v>
      </c>
      <c r="K25" s="97" t="s">
        <v>248</v>
      </c>
      <c r="L25" s="97" t="s">
        <v>249</v>
      </c>
      <c r="M25" s="97" t="s">
        <v>250</v>
      </c>
      <c r="N25" s="97" t="s">
        <v>251</v>
      </c>
      <c r="O25" s="97" t="s">
        <v>252</v>
      </c>
      <c r="P25" s="97" t="s">
        <v>253</v>
      </c>
      <c r="Q25" s="97" t="s">
        <v>280</v>
      </c>
      <c r="R25" s="97" t="s">
        <v>254</v>
      </c>
      <c r="S25" s="97" t="s">
        <v>255</v>
      </c>
      <c r="T25" s="98" t="s">
        <v>256</v>
      </c>
    </row>
    <row r="26" spans="2:20" hidden="1">
      <c r="B26" s="100"/>
      <c r="C26" s="138" t="s">
        <v>260</v>
      </c>
      <c r="D26" s="140" t="s">
        <v>259</v>
      </c>
      <c r="E26" s="140" t="s">
        <v>90</v>
      </c>
      <c r="F26" s="140" t="s">
        <v>90</v>
      </c>
      <c r="G26" s="140" t="s">
        <v>90</v>
      </c>
      <c r="H26" s="140" t="s">
        <v>90</v>
      </c>
      <c r="I26" s="140" t="s">
        <v>90</v>
      </c>
      <c r="J26" s="140" t="s">
        <v>90</v>
      </c>
      <c r="K26" s="140" t="s">
        <v>90</v>
      </c>
      <c r="L26" s="140" t="s">
        <v>244</v>
      </c>
      <c r="M26" s="140" t="s">
        <v>244</v>
      </c>
      <c r="N26" s="140" t="s">
        <v>90</v>
      </c>
      <c r="O26" s="140" t="s">
        <v>244</v>
      </c>
      <c r="P26" s="140" t="s">
        <v>262</v>
      </c>
      <c r="Q26" s="140" t="s">
        <v>268</v>
      </c>
      <c r="R26" s="140" t="s">
        <v>90</v>
      </c>
      <c r="S26" s="140" t="s">
        <v>244</v>
      </c>
      <c r="T26" s="141" t="s">
        <v>244</v>
      </c>
    </row>
    <row r="27" spans="2:20">
      <c r="B27" s="100" t="s">
        <v>695</v>
      </c>
      <c r="C27" s="330"/>
      <c r="D27" s="331"/>
      <c r="E27" s="331"/>
      <c r="F27" s="331"/>
      <c r="G27" s="331"/>
      <c r="H27" s="331"/>
      <c r="I27" s="331"/>
      <c r="J27" s="331"/>
      <c r="K27" s="331"/>
      <c r="L27" s="331"/>
      <c r="M27" s="331"/>
      <c r="N27" s="331"/>
      <c r="O27" s="331"/>
      <c r="P27" s="331"/>
      <c r="Q27" s="331"/>
      <c r="R27" s="331"/>
      <c r="S27" s="331"/>
      <c r="T27" s="332"/>
    </row>
    <row r="28" spans="2:20">
      <c r="B28" s="100" t="s">
        <v>699</v>
      </c>
      <c r="C28" s="330"/>
      <c r="D28" s="331"/>
      <c r="E28" s="331"/>
      <c r="F28" s="331"/>
      <c r="G28" s="331"/>
      <c r="H28" s="331"/>
      <c r="I28" s="331"/>
      <c r="J28" s="331"/>
      <c r="K28" s="331"/>
      <c r="L28" s="331"/>
      <c r="M28" s="331"/>
      <c r="N28" s="331"/>
      <c r="O28" s="331"/>
      <c r="P28" s="331"/>
      <c r="Q28" s="331"/>
      <c r="R28" s="331"/>
      <c r="S28" s="331"/>
      <c r="T28" s="332"/>
    </row>
    <row r="29" spans="2:20">
      <c r="B29" s="100" t="s">
        <v>700</v>
      </c>
      <c r="C29" s="330"/>
      <c r="D29" s="331"/>
      <c r="E29" s="331"/>
      <c r="F29" s="331"/>
      <c r="G29" s="331"/>
      <c r="H29" s="331"/>
      <c r="I29" s="331"/>
      <c r="J29" s="331"/>
      <c r="K29" s="331"/>
      <c r="L29" s="331"/>
      <c r="M29" s="331"/>
      <c r="N29" s="331"/>
      <c r="O29" s="331"/>
      <c r="P29" s="331"/>
      <c r="Q29" s="331"/>
      <c r="R29" s="331"/>
      <c r="S29" s="331"/>
      <c r="T29" s="332"/>
    </row>
    <row r="30" spans="2:20">
      <c r="K30" s="75"/>
      <c r="L30" s="75"/>
      <c r="M30" s="75"/>
      <c r="N30" s="75"/>
    </row>
    <row r="32" spans="2:20">
      <c r="B32" s="134" t="s">
        <v>273</v>
      </c>
      <c r="C32" s="134" t="s">
        <v>276</v>
      </c>
      <c r="D32" s="134" t="s">
        <v>274</v>
      </c>
      <c r="E32" s="135" t="s">
        <v>275</v>
      </c>
    </row>
    <row r="33" spans="2:5">
      <c r="B33" s="135">
        <v>2</v>
      </c>
      <c r="C33" s="136">
        <v>0.7</v>
      </c>
      <c r="D33" s="135">
        <v>2</v>
      </c>
      <c r="E33" s="135"/>
    </row>
  </sheetData>
  <mergeCells count="17">
    <mergeCell ref="F8:F9"/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10:E11"/>
  </mergeCells>
  <phoneticPr fontId="8" type="noConversion"/>
  <dataValidations disablePrompts="1" count="6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9 R26:T29" xr:uid="{57127854-0033-9F43-9FDF-126419A3E943}">
      <formula1>$V$3:$V$4</formula1>
    </dataValidation>
    <dataValidation type="list" allowBlank="1" showInputMessage="1" showErrorMessage="1" sqref="C26:D29" xr:uid="{752016F0-3485-7D46-A297-38E9578FC1FD}">
      <formula1>$W$3:$W$5</formula1>
    </dataValidation>
    <dataValidation type="list" allowBlank="1" showInputMessage="1" showErrorMessage="1" sqref="P26:P29" xr:uid="{69929419-8A96-0A4C-BC33-A3DDB95DC281}">
      <formula1>$X$3:$X$6</formula1>
    </dataValidation>
    <dataValidation type="list" allowBlank="1" showInputMessage="1" showErrorMessage="1" sqref="Q26:Q29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ddGUI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257175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4712E79-1CC0-4B34-AE6D-AA6447E4CFD4}">
          <x14:formula1>
            <xm:f>'ASHRAE Table'!$V$3:$V$21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C547-3971-EE4C-876C-6377D5D4B36C}">
  <sheetPr codeName="Sheet7">
    <tabColor indexed="43"/>
    <pageSetUpPr fitToPage="1"/>
  </sheetPr>
  <dimension ref="A1:BB104"/>
  <sheetViews>
    <sheetView showGridLines="0" topLeftCell="X1" zoomScale="85" zoomScaleNormal="85" zoomScaleSheetLayoutView="50" zoomScalePageLayoutView="80" workbookViewId="0">
      <pane ySplit="6" topLeftCell="A7" activePane="bottomLeft" state="frozen"/>
      <selection pane="bottomLeft" activeCell="AB21" sqref="AB21"/>
    </sheetView>
  </sheetViews>
  <sheetFormatPr defaultColWidth="8.85546875" defaultRowHeight="15"/>
  <cols>
    <col min="1" max="1" width="2.85546875" style="109" customWidth="1"/>
    <col min="2" max="2" width="12.7109375" style="109" customWidth="1"/>
    <col min="3" max="3" width="9.85546875" style="110" bestFit="1" customWidth="1"/>
    <col min="4" max="4" width="14" style="111" bestFit="1" customWidth="1"/>
    <col min="5" max="5" width="16" style="110" bestFit="1" customWidth="1"/>
    <col min="6" max="6" width="9.85546875" style="110" bestFit="1" customWidth="1"/>
    <col min="7" max="7" width="12.7109375" style="109" customWidth="1"/>
    <col min="8" max="8" width="11.42578125" style="112" customWidth="1"/>
    <col min="9" max="9" width="7.7109375" style="109" customWidth="1"/>
    <col min="10" max="10" width="12.85546875" style="109" bestFit="1" customWidth="1"/>
    <col min="11" max="11" width="11.85546875" style="112" customWidth="1"/>
    <col min="12" max="12" width="12.7109375" style="109" customWidth="1"/>
    <col min="13" max="13" width="39" style="109" bestFit="1" customWidth="1"/>
    <col min="14" max="14" width="64.28515625" style="112" customWidth="1"/>
    <col min="15" max="15" width="25.42578125" style="112" hidden="1" customWidth="1"/>
    <col min="16" max="16" width="12.85546875" style="109" customWidth="1"/>
    <col min="17" max="17" width="13" style="109" hidden="1" customWidth="1"/>
    <col min="18" max="18" width="18" style="109" customWidth="1"/>
    <col min="19" max="19" width="22.85546875" style="112" customWidth="1"/>
    <col min="20" max="20" width="16.42578125" style="112" customWidth="1"/>
    <col min="21" max="21" width="10.140625" style="110" customWidth="1"/>
    <col min="22" max="22" width="16.7109375" style="112" bestFit="1" customWidth="1"/>
    <col min="23" max="23" width="18" style="113" customWidth="1"/>
    <col min="24" max="24" width="19.140625" style="109" bestFit="1" customWidth="1"/>
    <col min="25" max="25" width="15.85546875" style="110" bestFit="1" customWidth="1"/>
    <col min="26" max="26" width="15.85546875" style="110" customWidth="1"/>
    <col min="27" max="27" width="9.42578125" style="110" customWidth="1"/>
    <col min="28" max="28" width="22.42578125" style="110" bestFit="1" customWidth="1"/>
    <col min="29" max="29" width="13.28515625" style="110" bestFit="1" customWidth="1"/>
    <col min="30" max="30" width="18.42578125" style="114" bestFit="1" customWidth="1"/>
    <col min="31" max="31" width="22" style="114" bestFit="1" customWidth="1"/>
    <col min="32" max="32" width="7.28515625" style="114" customWidth="1"/>
    <col min="33" max="33" width="18" style="115" customWidth="1"/>
    <col min="34" max="34" width="9.85546875" style="115" customWidth="1"/>
    <col min="35" max="35" width="14.140625" style="115" bestFit="1" customWidth="1"/>
    <col min="36" max="36" width="8.42578125" style="109" hidden="1" customWidth="1"/>
    <col min="37" max="37" width="9.28515625" style="109" customWidth="1"/>
    <col min="38" max="38" width="12.28515625" style="109" bestFit="1" customWidth="1"/>
    <col min="39" max="39" width="11.42578125" style="109" bestFit="1" customWidth="1"/>
    <col min="40" max="40" width="5.85546875" style="109" hidden="1" customWidth="1"/>
    <col min="41" max="41" width="8.85546875" style="109" customWidth="1"/>
    <col min="42" max="42" width="8.28515625" style="109" bestFit="1" customWidth="1"/>
    <col min="43" max="43" width="9.7109375" style="109" bestFit="1" customWidth="1"/>
    <col min="44" max="44" width="10.42578125" style="109" bestFit="1" customWidth="1"/>
    <col min="45" max="45" width="12.42578125" style="109" customWidth="1"/>
    <col min="46" max="46" width="12.85546875" style="109" bestFit="1" customWidth="1"/>
    <col min="47" max="48" width="8.85546875" style="109"/>
    <col min="49" max="51" width="9.28515625" style="109" bestFit="1" customWidth="1"/>
    <col min="52" max="16384" width="8.85546875" style="109"/>
  </cols>
  <sheetData>
    <row r="1" spans="1:54">
      <c r="AW1" s="109" t="s">
        <v>230</v>
      </c>
      <c r="AX1" s="109" t="s">
        <v>231</v>
      </c>
      <c r="AY1" s="109" t="s">
        <v>232</v>
      </c>
      <c r="BA1" s="109" t="s">
        <v>34</v>
      </c>
      <c r="BB1" s="109" t="s">
        <v>233</v>
      </c>
    </row>
    <row r="2" spans="1:54" ht="18" thickBot="1">
      <c r="AW2" s="14">
        <f>ROUNDUP(S18*INPUT_OUTPUTS!$C$18,-2)</f>
        <v>5100</v>
      </c>
      <c r="AX2" s="14">
        <f>ROUNDUP(T18*INPUT_OUTPUTS!$C$18,-2)</f>
        <v>4500</v>
      </c>
      <c r="AY2" s="13">
        <f>ROUNDUP((P18*INPUT_OUTPUTS!C18)+Z4,-2)</f>
        <v>1600</v>
      </c>
      <c r="BA2" s="116">
        <f>AHU1_CAV_SCHEDULE44[[#Totals],[GPM]]</f>
        <v>19</v>
      </c>
      <c r="BB2" s="117">
        <f>AHU1_CAV_SCHEDULE44[[#Totals],[MIN MBH]]</f>
        <v>0</v>
      </c>
    </row>
    <row r="3" spans="1:54" ht="15.75" customHeight="1">
      <c r="C3" s="109"/>
      <c r="H3" s="109"/>
      <c r="K3" s="109"/>
      <c r="N3" s="109"/>
      <c r="O3" s="109"/>
      <c r="S3" s="109"/>
      <c r="T3" s="109"/>
      <c r="U3" s="109"/>
      <c r="V3" s="109"/>
      <c r="W3" s="118"/>
      <c r="Y3" s="109"/>
      <c r="Z3" s="109"/>
      <c r="AA3" s="109"/>
    </row>
    <row r="4" spans="1:54" ht="15.75">
      <c r="B4" s="112"/>
      <c r="C4" s="112"/>
      <c r="D4" s="112"/>
      <c r="E4" s="112"/>
      <c r="F4" s="112"/>
      <c r="G4" s="112"/>
      <c r="I4" s="112"/>
      <c r="J4" s="112"/>
      <c r="L4" s="112"/>
      <c r="M4" s="112"/>
      <c r="P4" s="112"/>
      <c r="Q4" s="112"/>
      <c r="R4" s="112"/>
      <c r="U4" s="112"/>
      <c r="W4" s="112"/>
      <c r="X4" s="19" t="s">
        <v>272</v>
      </c>
      <c r="Y4" s="145">
        <f>(AY2/AX2)*100</f>
        <v>35.555555555555557</v>
      </c>
      <c r="Z4" s="19">
        <v>0</v>
      </c>
      <c r="AA4" s="109"/>
    </row>
    <row r="5" spans="1:54">
      <c r="B5" s="119"/>
      <c r="C5" s="119"/>
      <c r="D5" s="360" t="s">
        <v>63</v>
      </c>
      <c r="E5" s="361"/>
      <c r="F5" s="361"/>
      <c r="G5" s="362"/>
      <c r="H5" s="363" t="s">
        <v>64</v>
      </c>
      <c r="I5" s="363"/>
      <c r="J5" s="363"/>
      <c r="K5" s="363"/>
      <c r="L5" s="363"/>
      <c r="M5" s="363"/>
      <c r="N5" s="363"/>
      <c r="O5" s="363"/>
      <c r="P5" s="363"/>
      <c r="Q5" s="363"/>
      <c r="R5" s="363"/>
      <c r="S5" s="360" t="s">
        <v>62</v>
      </c>
      <c r="T5" s="361"/>
      <c r="U5" s="361"/>
      <c r="V5" s="362"/>
      <c r="W5" s="119"/>
      <c r="X5" s="364" t="s">
        <v>61</v>
      </c>
      <c r="Y5" s="365"/>
      <c r="Z5" s="366"/>
      <c r="AC5" s="367" t="s">
        <v>84</v>
      </c>
      <c r="AD5" s="367"/>
      <c r="AE5" s="367"/>
      <c r="AF5" s="367"/>
      <c r="AG5" s="367"/>
      <c r="AH5" s="367"/>
      <c r="AI5" s="367"/>
      <c r="AJ5" s="367"/>
      <c r="AK5" s="367"/>
      <c r="AL5" s="367"/>
      <c r="AM5" s="367"/>
      <c r="AN5" s="367"/>
      <c r="AO5" s="367"/>
      <c r="AP5" s="367"/>
      <c r="AQ5" s="367"/>
      <c r="AR5" s="367"/>
      <c r="AS5" s="367"/>
    </row>
    <row r="6" spans="1:54" s="123" customFormat="1" ht="53.1" customHeight="1" thickBot="1">
      <c r="A6" s="120"/>
      <c r="B6" s="101" t="s">
        <v>91</v>
      </c>
      <c r="C6" s="57" t="s">
        <v>6</v>
      </c>
      <c r="D6" s="58" t="s">
        <v>31</v>
      </c>
      <c r="E6" s="59" t="s">
        <v>85</v>
      </c>
      <c r="F6" s="60" t="s">
        <v>0</v>
      </c>
      <c r="G6" s="61" t="s">
        <v>92</v>
      </c>
      <c r="H6" s="62" t="s">
        <v>32</v>
      </c>
      <c r="I6" s="63" t="s">
        <v>278</v>
      </c>
      <c r="J6" s="61" t="s">
        <v>279</v>
      </c>
      <c r="K6" s="61" t="s">
        <v>93</v>
      </c>
      <c r="L6" s="61" t="s">
        <v>443</v>
      </c>
      <c r="M6" s="64" t="s">
        <v>94</v>
      </c>
      <c r="N6" s="59" t="s">
        <v>95</v>
      </c>
      <c r="O6" s="59" t="s">
        <v>96</v>
      </c>
      <c r="P6" s="59" t="s">
        <v>11</v>
      </c>
      <c r="Q6" s="60" t="s">
        <v>97</v>
      </c>
      <c r="R6" s="64" t="s">
        <v>60</v>
      </c>
      <c r="S6" s="64" t="s">
        <v>98</v>
      </c>
      <c r="T6" s="59" t="s">
        <v>7</v>
      </c>
      <c r="U6" s="60" t="s">
        <v>8</v>
      </c>
      <c r="V6" s="61" t="s">
        <v>9</v>
      </c>
      <c r="W6" s="61" t="s">
        <v>10</v>
      </c>
      <c r="X6" s="64" t="s">
        <v>27</v>
      </c>
      <c r="Y6" s="64" t="s">
        <v>56</v>
      </c>
      <c r="Z6" s="60" t="s">
        <v>28</v>
      </c>
      <c r="AA6" s="121"/>
      <c r="AB6" s="121"/>
      <c r="AC6" s="122" t="s">
        <v>91</v>
      </c>
      <c r="AD6" s="122" t="s">
        <v>79</v>
      </c>
      <c r="AE6" s="122" t="s">
        <v>80</v>
      </c>
      <c r="AF6" s="122" t="s">
        <v>37</v>
      </c>
      <c r="AG6" s="122" t="s">
        <v>87</v>
      </c>
      <c r="AH6" s="122" t="s">
        <v>78</v>
      </c>
      <c r="AI6" s="122" t="s">
        <v>35</v>
      </c>
      <c r="AJ6" s="122" t="s">
        <v>72</v>
      </c>
      <c r="AK6" s="122" t="s">
        <v>36</v>
      </c>
      <c r="AL6" s="122" t="s">
        <v>71</v>
      </c>
      <c r="AM6" s="122" t="s">
        <v>70</v>
      </c>
      <c r="AN6" s="122" t="s">
        <v>160</v>
      </c>
      <c r="AO6" s="122" t="s">
        <v>34</v>
      </c>
      <c r="AP6" s="122" t="s">
        <v>75</v>
      </c>
      <c r="AQ6" s="122" t="s">
        <v>76</v>
      </c>
      <c r="AR6" s="122" t="s">
        <v>77</v>
      </c>
      <c r="AS6" s="122" t="s">
        <v>65</v>
      </c>
    </row>
    <row r="7" spans="1:54" ht="15" customHeight="1">
      <c r="B7" s="142" t="s">
        <v>156</v>
      </c>
      <c r="C7" s="142" t="s">
        <v>156</v>
      </c>
      <c r="D7" s="142">
        <v>1234</v>
      </c>
      <c r="E7" s="142">
        <v>100</v>
      </c>
      <c r="F7" s="142">
        <v>10</v>
      </c>
      <c r="G7" s="17">
        <f>VLOOKUP($M7,'UMC Table 4-A'!$A$2:$E$132,4,FALSE)</f>
        <v>2</v>
      </c>
      <c r="H7" s="17" t="str">
        <f>VLOOKUP($M7,'UMC Table 4-A'!$A$2:$E$132,5,FALSE)</f>
        <v>NR</v>
      </c>
      <c r="I7" s="17" t="str">
        <f t="shared" ref="I7:I17" si="0">IF(H7="Yes",K7,"-")</f>
        <v>-</v>
      </c>
      <c r="J7" s="17">
        <v>0</v>
      </c>
      <c r="K7" s="17">
        <f t="shared" ref="K7:K17" si="1">IF(G7&lt;&gt;"NR",ROUNDUP((E7*F7*G7)/60,-1),0)</f>
        <v>40</v>
      </c>
      <c r="L7" s="17">
        <f>IF((M7="PATIENT CORRIDOR"),(E7*0.5),E7)</f>
        <v>50</v>
      </c>
      <c r="M7" s="142" t="s">
        <v>382</v>
      </c>
      <c r="N7" s="21" t="str">
        <f>VLOOKUP($M7,'UMC Table 4-A'!$A$2:$E$132,2,FALSE)</f>
        <v>NR</v>
      </c>
      <c r="O7" s="23" t="str">
        <f>VLOOKUP($M7,'UMC Table 4-A'!$A$2:$E$132,3,FALSE)</f>
        <v>NR</v>
      </c>
      <c r="P7" s="24">
        <f t="shared" ref="P7:P17" si="2">IF(O7&lt;&gt;"NR",ROUNDUP((E7*F7*O7)/60,-1),0)</f>
        <v>0</v>
      </c>
      <c r="Q7" s="23" t="str">
        <f>VLOOKUP($M7,'UMC Table 4-A'!$A$2:$E$132,5,FALSE)</f>
        <v>NR</v>
      </c>
      <c r="R7" s="22">
        <f t="shared" ref="R7:R17" si="3">IF(N7="Negative",IF(OR(M7="Toilet room",M7="Janitor's closet, housekeeping"),0,IF(0.1*U7&gt;50,220-0.1*U7,U7-50)),IF(Q7="Yes",0,CEILING(MAX(J7:L7),5)))</f>
        <v>50</v>
      </c>
      <c r="S7" s="143">
        <f t="shared" ref="S7:S17" si="4">R7</f>
        <v>50</v>
      </c>
      <c r="T7" s="144">
        <f t="shared" ref="T7:T17" si="5">IF(Q7="Yes",0,IF(N7="Positive",IF(0.1*R7&gt;50,R7-0.1*R7,R7-50),IF(N7="Negative",IF(0.1*R7&gt;50,R7+0.1*R7,R7+50),R7)))</f>
        <v>50</v>
      </c>
      <c r="U7" s="143">
        <f t="shared" ref="U7:U17" si="6">IF(Q7="Yes",I7,0)</f>
        <v>0</v>
      </c>
      <c r="V7" s="102">
        <f t="shared" ref="V7:V17" si="7">S7-T7-U7</f>
        <v>0</v>
      </c>
      <c r="W7" s="23" t="str">
        <f t="shared" ref="W7:W17" si="8">IF(R7-T7-U7+V7=0,"Yes","No")</f>
        <v>Yes</v>
      </c>
      <c r="X7" s="103">
        <f>IFERROR(R7/E7,"-")</f>
        <v>0.5</v>
      </c>
      <c r="Y7" s="104">
        <f t="shared" ref="Y7" si="9">(P7/S7)*100</f>
        <v>0</v>
      </c>
      <c r="Z7" s="105">
        <f t="shared" ref="Z7" si="10">R7/E7/F7*60</f>
        <v>3</v>
      </c>
      <c r="AC7" s="47" t="s">
        <v>103</v>
      </c>
      <c r="AD7" s="47" t="s">
        <v>82</v>
      </c>
      <c r="AE7" s="47" t="s">
        <v>88</v>
      </c>
      <c r="AF7" s="48">
        <f t="shared" ref="AF7:AF44" si="11">SUMIF($B$7:$B$17,AC7,$S$7:$S$17)</f>
        <v>0</v>
      </c>
      <c r="AG7" s="48" t="str">
        <f>IFERROR((VLOOKUP(AF7,'DO NOT TOUCH'!$P$9:$Q$14,2,TRUE)),"TBD")</f>
        <v>TBD</v>
      </c>
      <c r="AH7" s="48">
        <v>0.5</v>
      </c>
      <c r="AI7" s="48">
        <f>INPUT_OUTPUTS!$C$16</f>
        <v>140</v>
      </c>
      <c r="AJ7" s="48">
        <f>INPUT_OUTPUTS!$C$17</f>
        <v>100</v>
      </c>
      <c r="AK7" s="48">
        <v>55</v>
      </c>
      <c r="AL7" s="48">
        <v>85</v>
      </c>
      <c r="AM7" s="48">
        <f t="shared" ref="AM7:AM44" si="12">MROUND((1.08*(AL7-AK7)*AF7)/1000,0.1)</f>
        <v>0</v>
      </c>
      <c r="AN7" s="49">
        <f>(AM7*1000)/(500*(AI7-AJ7))</f>
        <v>0</v>
      </c>
      <c r="AO7" s="49">
        <f>IF(AN7&lt;0.5,0.5,AN7)</f>
        <v>0.5</v>
      </c>
      <c r="AP7" s="49">
        <v>5</v>
      </c>
      <c r="AQ7" s="49" t="str">
        <f>IFERROR((_xlfn.XLOOKUP(AG7,'DO NOT TOUCH'!$Q$9:$Q$14,'DO NOT TOUCH'!$R$9:$R$14,)),"TBD")</f>
        <v>TBD</v>
      </c>
      <c r="AR7" s="49">
        <f>INPUT_OUTPUTS!$C$19</f>
        <v>0</v>
      </c>
      <c r="AS7" s="48" t="s">
        <v>83</v>
      </c>
    </row>
    <row r="8" spans="1:54" ht="15" customHeight="1">
      <c r="B8" s="142" t="s">
        <v>156</v>
      </c>
      <c r="C8" s="142" t="s">
        <v>156</v>
      </c>
      <c r="D8" s="142">
        <v>1234</v>
      </c>
      <c r="E8" s="142">
        <v>200</v>
      </c>
      <c r="F8" s="142">
        <v>9.5</v>
      </c>
      <c r="G8" s="17">
        <f>VLOOKUP($M8,'UMC Table 4-A'!$A$2:$E$132,4,FALSE)</f>
        <v>4</v>
      </c>
      <c r="H8" s="17" t="str">
        <f>VLOOKUP($M8,'UMC Table 4-A'!$A$2:$E$132,5,FALSE)</f>
        <v>NR</v>
      </c>
      <c r="I8" s="17" t="str">
        <f t="shared" si="0"/>
        <v>-</v>
      </c>
      <c r="J8" s="17">
        <v>0</v>
      </c>
      <c r="K8" s="17">
        <f t="shared" si="1"/>
        <v>130</v>
      </c>
      <c r="L8" s="17">
        <f t="shared" ref="L8:L17" si="13">IF((M8="PATIENT CORRIDOR"),(E8*0.5),E8)</f>
        <v>200</v>
      </c>
      <c r="M8" s="142" t="s">
        <v>73</v>
      </c>
      <c r="N8" s="19" t="str">
        <f>VLOOKUP($M8,'UMC Table 4-A'!$A$2:$E$132,2,FALSE)</f>
        <v>NR</v>
      </c>
      <c r="O8" s="17">
        <f>VLOOKUP($M8,'UMC Table 4-A'!$A$2:$E$132,3,FALSE)</f>
        <v>2</v>
      </c>
      <c r="P8" s="25">
        <f t="shared" si="2"/>
        <v>70</v>
      </c>
      <c r="Q8" s="17" t="str">
        <f>VLOOKUP($M8,'UMC Table 4-A'!$A$2:$E$132,5,FALSE)</f>
        <v>NR</v>
      </c>
      <c r="R8" s="18">
        <f t="shared" si="3"/>
        <v>200</v>
      </c>
      <c r="S8" s="143">
        <f t="shared" si="4"/>
        <v>200</v>
      </c>
      <c r="T8" s="143">
        <f t="shared" si="5"/>
        <v>200</v>
      </c>
      <c r="U8" s="143">
        <f t="shared" si="6"/>
        <v>0</v>
      </c>
      <c r="V8" s="106">
        <f t="shared" si="7"/>
        <v>0</v>
      </c>
      <c r="W8" s="17" t="str">
        <f t="shared" si="8"/>
        <v>Yes</v>
      </c>
      <c r="X8" s="105">
        <f>IFERROR(R8/E8,"-")</f>
        <v>1</v>
      </c>
      <c r="Y8" s="104">
        <f>IFERROR(((P8/S8)*100),"-")</f>
        <v>35</v>
      </c>
      <c r="Z8" s="105">
        <f>IFERROR((R8/E8/F8*60),"-")</f>
        <v>6.3157894736842106</v>
      </c>
      <c r="AC8" s="47" t="s">
        <v>104</v>
      </c>
      <c r="AD8" s="47" t="s">
        <v>82</v>
      </c>
      <c r="AE8" s="47" t="s">
        <v>88</v>
      </c>
      <c r="AF8" s="48">
        <f t="shared" si="11"/>
        <v>0</v>
      </c>
      <c r="AG8" s="48" t="str">
        <f>IFERROR((VLOOKUP(AF8,'DO NOT TOUCH'!$P$9:$Q$14,2,TRUE)),"TBD")</f>
        <v>TBD</v>
      </c>
      <c r="AH8" s="48">
        <f>AH7</f>
        <v>0.5</v>
      </c>
      <c r="AI8" s="48">
        <f>INPUT_OUTPUTS!$C$16</f>
        <v>140</v>
      </c>
      <c r="AJ8" s="48">
        <f>INPUT_OUTPUTS!$C$17</f>
        <v>100</v>
      </c>
      <c r="AK8" s="48">
        <f t="shared" ref="AK8:AL23" si="14">AK7</f>
        <v>55</v>
      </c>
      <c r="AL8" s="48">
        <f t="shared" si="14"/>
        <v>85</v>
      </c>
      <c r="AM8" s="48">
        <f t="shared" si="12"/>
        <v>0</v>
      </c>
      <c r="AN8" s="49">
        <f>(AM8*1000)/(500*(AI8-AJ8))</f>
        <v>0</v>
      </c>
      <c r="AO8" s="49">
        <f t="shared" ref="AO8:AO44" si="15">IF(AN8&lt;0.5,0.5,AN8)</f>
        <v>0.5</v>
      </c>
      <c r="AP8" s="49">
        <f>AP7</f>
        <v>5</v>
      </c>
      <c r="AQ8" s="49" t="str">
        <f>IFERROR((_xlfn.XLOOKUP(AG8,'DO NOT TOUCH'!$Q$9:$Q$14,'DO NOT TOUCH'!$R$9:$R$14,)),"TBD")</f>
        <v>TBD</v>
      </c>
      <c r="AR8" s="49">
        <f>INPUT_OUTPUTS!$C$19</f>
        <v>0</v>
      </c>
      <c r="AS8" s="48" t="str">
        <f>AS7</f>
        <v>1, 2</v>
      </c>
    </row>
    <row r="9" spans="1:54" ht="15" customHeight="1">
      <c r="B9" s="142" t="s">
        <v>161</v>
      </c>
      <c r="C9" s="142" t="s">
        <v>156</v>
      </c>
      <c r="D9" s="142">
        <v>1234</v>
      </c>
      <c r="E9" s="142">
        <v>300</v>
      </c>
      <c r="F9" s="142">
        <v>10</v>
      </c>
      <c r="G9" s="17">
        <f>VLOOKUP($M9,'UMC Table 4-A'!$A$2:$E$132,4,FALSE)</f>
        <v>10</v>
      </c>
      <c r="H9" s="17" t="str">
        <f>VLOOKUP($M9,'UMC Table 4-A'!$A$2:$E$132,5,FALSE)</f>
        <v>Yes</v>
      </c>
      <c r="I9" s="17">
        <f t="shared" si="0"/>
        <v>500</v>
      </c>
      <c r="J9" s="17">
        <v>0</v>
      </c>
      <c r="K9" s="17">
        <f t="shared" si="1"/>
        <v>500</v>
      </c>
      <c r="L9" s="17">
        <f t="shared" si="13"/>
        <v>300</v>
      </c>
      <c r="M9" s="142" t="s">
        <v>298</v>
      </c>
      <c r="N9" s="19" t="str">
        <f>VLOOKUP($M9,'UMC Table 4-A'!$A$2:$E$132,2,FALSE)</f>
        <v>Negative</v>
      </c>
      <c r="O9" s="17" t="str">
        <f>VLOOKUP($M9,'UMC Table 4-A'!$A$2:$E$132,3,FALSE)</f>
        <v>NR</v>
      </c>
      <c r="P9" s="25">
        <f t="shared" si="2"/>
        <v>0</v>
      </c>
      <c r="Q9" s="17" t="str">
        <f>VLOOKUP($M9,'UMC Table 4-A'!$A$2:$E$132,5,FALSE)</f>
        <v>Yes</v>
      </c>
      <c r="R9" s="18">
        <f t="shared" si="3"/>
        <v>450</v>
      </c>
      <c r="S9" s="143">
        <f t="shared" si="4"/>
        <v>450</v>
      </c>
      <c r="T9" s="143">
        <f t="shared" si="5"/>
        <v>0</v>
      </c>
      <c r="U9" s="143">
        <f t="shared" si="6"/>
        <v>500</v>
      </c>
      <c r="V9" s="106">
        <f t="shared" si="7"/>
        <v>-50</v>
      </c>
      <c r="W9" s="17" t="str">
        <f t="shared" si="8"/>
        <v>No</v>
      </c>
      <c r="X9" s="105">
        <f t="shared" ref="X9:X17" si="16">IFERROR(R9/E9,"-")</f>
        <v>1.5</v>
      </c>
      <c r="Y9" s="104">
        <f t="shared" ref="Y9:Y17" si="17">IFERROR(((P9/S9)*100),"-")</f>
        <v>0</v>
      </c>
      <c r="Z9" s="105">
        <f t="shared" ref="Z9:Z17" si="18">IFERROR((R9/E9/F9*60),"-")</f>
        <v>9</v>
      </c>
      <c r="AC9" s="47" t="s">
        <v>105</v>
      </c>
      <c r="AD9" s="47" t="s">
        <v>82</v>
      </c>
      <c r="AE9" s="47" t="s">
        <v>88</v>
      </c>
      <c r="AF9" s="48">
        <f t="shared" si="11"/>
        <v>0</v>
      </c>
      <c r="AG9" s="48" t="str">
        <f>IFERROR((VLOOKUP(AF9,'DO NOT TOUCH'!$P$9:$Q$14,2,TRUE)),"TBD")</f>
        <v>TBD</v>
      </c>
      <c r="AH9" s="48">
        <f t="shared" ref="AH9:AH44" si="19">AH8</f>
        <v>0.5</v>
      </c>
      <c r="AI9" s="48">
        <f>INPUT_OUTPUTS!$C$16</f>
        <v>140</v>
      </c>
      <c r="AJ9" s="48">
        <f>INPUT_OUTPUTS!$C$17</f>
        <v>100</v>
      </c>
      <c r="AK9" s="48">
        <f t="shared" si="14"/>
        <v>55</v>
      </c>
      <c r="AL9" s="48">
        <f t="shared" si="14"/>
        <v>85</v>
      </c>
      <c r="AM9" s="48">
        <f t="shared" si="12"/>
        <v>0</v>
      </c>
      <c r="AN9" s="49">
        <f t="shared" ref="AN9:AN44" si="20">(AM9*1000)/(500*(AI9-AJ9))</f>
        <v>0</v>
      </c>
      <c r="AO9" s="49">
        <f t="shared" si="15"/>
        <v>0.5</v>
      </c>
      <c r="AP9" s="49">
        <f t="shared" ref="AP9:AP44" si="21">AP8</f>
        <v>5</v>
      </c>
      <c r="AQ9" s="49" t="str">
        <f>IFERROR((_xlfn.XLOOKUP(AG9,'DO NOT TOUCH'!$Q$9:$Q$14,'DO NOT TOUCH'!$R$9:$R$14,)),"TBD")</f>
        <v>TBD</v>
      </c>
      <c r="AR9" s="49">
        <f>INPUT_OUTPUTS!$C$19</f>
        <v>0</v>
      </c>
      <c r="AS9" s="48" t="str">
        <f t="shared" ref="AS9:AS44" si="22">AS8</f>
        <v>1, 2</v>
      </c>
    </row>
    <row r="10" spans="1:54" ht="15" customHeight="1">
      <c r="B10" s="142" t="s">
        <v>162</v>
      </c>
      <c r="C10" s="142" t="s">
        <v>156</v>
      </c>
      <c r="D10" s="142">
        <v>1234</v>
      </c>
      <c r="E10" s="142">
        <v>20</v>
      </c>
      <c r="F10" s="142">
        <v>10</v>
      </c>
      <c r="G10" s="17">
        <f>VLOOKUP($M10,'UMC Table 4-A'!$A$2:$E$132,4,FALSE)</f>
        <v>6</v>
      </c>
      <c r="H10" s="17" t="str">
        <f>VLOOKUP($M10,'UMC Table 4-A'!$A$2:$E$132,5,FALSE)</f>
        <v>NR</v>
      </c>
      <c r="I10" s="17" t="str">
        <f t="shared" si="0"/>
        <v>-</v>
      </c>
      <c r="J10" s="17">
        <v>0</v>
      </c>
      <c r="K10" s="17">
        <f t="shared" si="1"/>
        <v>20</v>
      </c>
      <c r="L10" s="17">
        <f t="shared" si="13"/>
        <v>20</v>
      </c>
      <c r="M10" s="142" t="s">
        <v>301</v>
      </c>
      <c r="N10" s="19" t="str">
        <f>VLOOKUP($M10,'UMC Table 4-A'!$A$2:$E$132,2,FALSE)</f>
        <v>NR</v>
      </c>
      <c r="O10" s="17">
        <f>VLOOKUP($M10,'UMC Table 4-A'!$A$2:$E$132,3,FALSE)</f>
        <v>2</v>
      </c>
      <c r="P10" s="25">
        <f t="shared" si="2"/>
        <v>10</v>
      </c>
      <c r="Q10" s="17" t="str">
        <f>VLOOKUP($M10,'UMC Table 4-A'!$A$2:$E$132,5,FALSE)</f>
        <v>NR</v>
      </c>
      <c r="R10" s="18">
        <f t="shared" si="3"/>
        <v>20</v>
      </c>
      <c r="S10" s="143">
        <f t="shared" si="4"/>
        <v>20</v>
      </c>
      <c r="T10" s="143">
        <f t="shared" si="5"/>
        <v>20</v>
      </c>
      <c r="U10" s="143">
        <f t="shared" si="6"/>
        <v>0</v>
      </c>
      <c r="V10" s="106">
        <f t="shared" si="7"/>
        <v>0</v>
      </c>
      <c r="W10" s="17" t="str">
        <f t="shared" si="8"/>
        <v>Yes</v>
      </c>
      <c r="X10" s="105">
        <f t="shared" si="16"/>
        <v>1</v>
      </c>
      <c r="Y10" s="104">
        <f t="shared" si="17"/>
        <v>50</v>
      </c>
      <c r="Z10" s="105">
        <f t="shared" si="18"/>
        <v>6</v>
      </c>
      <c r="AC10" s="47" t="s">
        <v>106</v>
      </c>
      <c r="AD10" s="47" t="s">
        <v>82</v>
      </c>
      <c r="AE10" s="47" t="s">
        <v>88</v>
      </c>
      <c r="AF10" s="48">
        <f t="shared" si="11"/>
        <v>0</v>
      </c>
      <c r="AG10" s="48" t="str">
        <f>IFERROR((VLOOKUP(AF10,'DO NOT TOUCH'!$P$9:$Q$14,2,TRUE)),"TBD")</f>
        <v>TBD</v>
      </c>
      <c r="AH10" s="48">
        <f t="shared" si="19"/>
        <v>0.5</v>
      </c>
      <c r="AI10" s="48">
        <f>INPUT_OUTPUTS!$C$16</f>
        <v>140</v>
      </c>
      <c r="AJ10" s="48">
        <f>INPUT_OUTPUTS!$C$17</f>
        <v>100</v>
      </c>
      <c r="AK10" s="48">
        <f t="shared" si="14"/>
        <v>55</v>
      </c>
      <c r="AL10" s="48">
        <f t="shared" si="14"/>
        <v>85</v>
      </c>
      <c r="AM10" s="48">
        <f t="shared" si="12"/>
        <v>0</v>
      </c>
      <c r="AN10" s="49">
        <f t="shared" si="20"/>
        <v>0</v>
      </c>
      <c r="AO10" s="49">
        <f t="shared" si="15"/>
        <v>0.5</v>
      </c>
      <c r="AP10" s="49">
        <f t="shared" si="21"/>
        <v>5</v>
      </c>
      <c r="AQ10" s="49" t="str">
        <f>IFERROR((_xlfn.XLOOKUP(AG10,'DO NOT TOUCH'!$Q$9:$Q$14,'DO NOT TOUCH'!$R$9:$R$14,)),"TBD")</f>
        <v>TBD</v>
      </c>
      <c r="AR10" s="49">
        <f>INPUT_OUTPUTS!$C$19</f>
        <v>0</v>
      </c>
      <c r="AS10" s="48" t="str">
        <f t="shared" si="22"/>
        <v>1, 2</v>
      </c>
    </row>
    <row r="11" spans="1:54" ht="15" customHeight="1">
      <c r="B11" s="142" t="s">
        <v>163</v>
      </c>
      <c r="C11" s="142" t="s">
        <v>156</v>
      </c>
      <c r="D11" s="142">
        <v>1234</v>
      </c>
      <c r="E11" s="142">
        <v>36</v>
      </c>
      <c r="F11" s="142">
        <v>10</v>
      </c>
      <c r="G11" s="17">
        <f>VLOOKUP($M11,'UMC Table 4-A'!$A$2:$E$132,4,FALSE)</f>
        <v>4</v>
      </c>
      <c r="H11" s="17" t="str">
        <f>VLOOKUP($M11,'UMC Table 4-A'!$A$2:$E$132,5,FALSE)</f>
        <v>NR</v>
      </c>
      <c r="I11" s="17" t="str">
        <f t="shared" si="0"/>
        <v>-</v>
      </c>
      <c r="J11" s="17">
        <v>0</v>
      </c>
      <c r="K11" s="17">
        <f t="shared" si="1"/>
        <v>30</v>
      </c>
      <c r="L11" s="17">
        <f t="shared" si="13"/>
        <v>36</v>
      </c>
      <c r="M11" s="142" t="s">
        <v>73</v>
      </c>
      <c r="N11" s="19" t="str">
        <f>VLOOKUP($M11,'UMC Table 4-A'!$A$2:$E$132,2,FALSE)</f>
        <v>NR</v>
      </c>
      <c r="O11" s="17">
        <f>VLOOKUP($M11,'UMC Table 4-A'!$A$2:$E$132,3,FALSE)</f>
        <v>2</v>
      </c>
      <c r="P11" s="25">
        <f t="shared" si="2"/>
        <v>20</v>
      </c>
      <c r="Q11" s="17" t="str">
        <f>VLOOKUP($M11,'UMC Table 4-A'!$A$2:$E$132,5,FALSE)</f>
        <v>NR</v>
      </c>
      <c r="R11" s="18">
        <f t="shared" si="3"/>
        <v>40</v>
      </c>
      <c r="S11" s="143">
        <f t="shared" si="4"/>
        <v>40</v>
      </c>
      <c r="T11" s="143">
        <f t="shared" si="5"/>
        <v>40</v>
      </c>
      <c r="U11" s="143">
        <f t="shared" si="6"/>
        <v>0</v>
      </c>
      <c r="V11" s="106">
        <f t="shared" si="7"/>
        <v>0</v>
      </c>
      <c r="W11" s="17" t="str">
        <f t="shared" si="8"/>
        <v>Yes</v>
      </c>
      <c r="X11" s="105">
        <f t="shared" si="16"/>
        <v>1.1111111111111112</v>
      </c>
      <c r="Y11" s="104">
        <f t="shared" si="17"/>
        <v>50</v>
      </c>
      <c r="Z11" s="105">
        <f t="shared" si="18"/>
        <v>6.666666666666667</v>
      </c>
      <c r="AC11" s="47" t="s">
        <v>107</v>
      </c>
      <c r="AD11" s="47" t="s">
        <v>82</v>
      </c>
      <c r="AE11" s="47" t="s">
        <v>88</v>
      </c>
      <c r="AF11" s="48">
        <f t="shared" si="11"/>
        <v>0</v>
      </c>
      <c r="AG11" s="48" t="str">
        <f>IFERROR((VLOOKUP(AF11,'DO NOT TOUCH'!$P$9:$Q$14,2,TRUE)),"TBD")</f>
        <v>TBD</v>
      </c>
      <c r="AH11" s="48">
        <f t="shared" si="19"/>
        <v>0.5</v>
      </c>
      <c r="AI11" s="48">
        <f>INPUT_OUTPUTS!$C$16</f>
        <v>140</v>
      </c>
      <c r="AJ11" s="48">
        <f>INPUT_OUTPUTS!$C$17</f>
        <v>100</v>
      </c>
      <c r="AK11" s="48">
        <f t="shared" si="14"/>
        <v>55</v>
      </c>
      <c r="AL11" s="48">
        <f t="shared" si="14"/>
        <v>85</v>
      </c>
      <c r="AM11" s="48">
        <f t="shared" si="12"/>
        <v>0</v>
      </c>
      <c r="AN11" s="49">
        <f t="shared" si="20"/>
        <v>0</v>
      </c>
      <c r="AO11" s="49">
        <f t="shared" si="15"/>
        <v>0.5</v>
      </c>
      <c r="AP11" s="49">
        <f t="shared" si="21"/>
        <v>5</v>
      </c>
      <c r="AQ11" s="49" t="str">
        <f>IFERROR((_xlfn.XLOOKUP(AG11,'DO NOT TOUCH'!$Q$9:$Q$14,'DO NOT TOUCH'!$R$9:$R$14,)),"TBD")</f>
        <v>TBD</v>
      </c>
      <c r="AR11" s="49">
        <f>INPUT_OUTPUTS!$C$19</f>
        <v>0</v>
      </c>
      <c r="AS11" s="48" t="str">
        <f t="shared" si="22"/>
        <v>1, 2</v>
      </c>
    </row>
    <row r="12" spans="1:54" ht="15" customHeight="1">
      <c r="B12" s="142" t="s">
        <v>163</v>
      </c>
      <c r="C12" s="142" t="s">
        <v>156</v>
      </c>
      <c r="D12" s="142">
        <v>1234</v>
      </c>
      <c r="E12" s="142">
        <v>212</v>
      </c>
      <c r="F12" s="142">
        <v>10</v>
      </c>
      <c r="G12" s="17">
        <f>VLOOKUP($M12,'UMC Table 4-A'!$A$2:$E$132,4,FALSE)</f>
        <v>4</v>
      </c>
      <c r="H12" s="17" t="str">
        <f>VLOOKUP($M12,'UMC Table 4-A'!$A$2:$E$132,5,FALSE)</f>
        <v>NR</v>
      </c>
      <c r="I12" s="17" t="str">
        <f t="shared" si="0"/>
        <v>-</v>
      </c>
      <c r="J12" s="17">
        <v>0</v>
      </c>
      <c r="K12" s="17">
        <f t="shared" si="1"/>
        <v>150</v>
      </c>
      <c r="L12" s="17">
        <f t="shared" si="13"/>
        <v>212</v>
      </c>
      <c r="M12" s="142" t="s">
        <v>73</v>
      </c>
      <c r="N12" s="19" t="str">
        <f>VLOOKUP($M12,'UMC Table 4-A'!$A$2:$E$132,2,FALSE)</f>
        <v>NR</v>
      </c>
      <c r="O12" s="17">
        <f>VLOOKUP($M12,'UMC Table 4-A'!$A$2:$E$132,3,FALSE)</f>
        <v>2</v>
      </c>
      <c r="P12" s="25">
        <f t="shared" si="2"/>
        <v>80</v>
      </c>
      <c r="Q12" s="17" t="str">
        <f>VLOOKUP($M12,'UMC Table 4-A'!$A$2:$E$132,5,FALSE)</f>
        <v>NR</v>
      </c>
      <c r="R12" s="18">
        <f t="shared" si="3"/>
        <v>215</v>
      </c>
      <c r="S12" s="143">
        <f t="shared" si="4"/>
        <v>215</v>
      </c>
      <c r="T12" s="143">
        <f t="shared" si="5"/>
        <v>215</v>
      </c>
      <c r="U12" s="143">
        <f t="shared" si="6"/>
        <v>0</v>
      </c>
      <c r="V12" s="106">
        <f t="shared" si="7"/>
        <v>0</v>
      </c>
      <c r="W12" s="17" t="str">
        <f t="shared" si="8"/>
        <v>Yes</v>
      </c>
      <c r="X12" s="105">
        <f t="shared" si="16"/>
        <v>1.0141509433962264</v>
      </c>
      <c r="Y12" s="104">
        <f t="shared" si="17"/>
        <v>37.209302325581397</v>
      </c>
      <c r="Z12" s="105">
        <f t="shared" si="18"/>
        <v>6.0849056603773581</v>
      </c>
      <c r="AC12" s="47" t="s">
        <v>108</v>
      </c>
      <c r="AD12" s="47" t="s">
        <v>82</v>
      </c>
      <c r="AE12" s="47" t="s">
        <v>88</v>
      </c>
      <c r="AF12" s="48">
        <f t="shared" si="11"/>
        <v>0</v>
      </c>
      <c r="AG12" s="48" t="str">
        <f>IFERROR((VLOOKUP(AF12,'DO NOT TOUCH'!$P$9:$Q$14,2,TRUE)),"TBD")</f>
        <v>TBD</v>
      </c>
      <c r="AH12" s="48">
        <f t="shared" si="19"/>
        <v>0.5</v>
      </c>
      <c r="AI12" s="48">
        <f>INPUT_OUTPUTS!$C$16</f>
        <v>140</v>
      </c>
      <c r="AJ12" s="48">
        <f>INPUT_OUTPUTS!$C$17</f>
        <v>100</v>
      </c>
      <c r="AK12" s="48">
        <f t="shared" si="14"/>
        <v>55</v>
      </c>
      <c r="AL12" s="48">
        <f t="shared" si="14"/>
        <v>85</v>
      </c>
      <c r="AM12" s="48">
        <f t="shared" si="12"/>
        <v>0</v>
      </c>
      <c r="AN12" s="49">
        <f t="shared" si="20"/>
        <v>0</v>
      </c>
      <c r="AO12" s="49">
        <f t="shared" si="15"/>
        <v>0.5</v>
      </c>
      <c r="AP12" s="49">
        <f t="shared" si="21"/>
        <v>5</v>
      </c>
      <c r="AQ12" s="49" t="str">
        <f>IFERROR((_xlfn.XLOOKUP(AG12,'DO NOT TOUCH'!$Q$9:$Q$14,'DO NOT TOUCH'!$R$9:$R$14,)),"TBD")</f>
        <v>TBD</v>
      </c>
      <c r="AR12" s="49">
        <f>INPUT_OUTPUTS!$C$19</f>
        <v>0</v>
      </c>
      <c r="AS12" s="48" t="str">
        <f t="shared" si="22"/>
        <v>1, 2</v>
      </c>
    </row>
    <row r="13" spans="1:54" ht="15" customHeight="1">
      <c r="B13" s="142" t="s">
        <v>164</v>
      </c>
      <c r="C13" s="142" t="s">
        <v>156</v>
      </c>
      <c r="D13" s="142">
        <v>1234</v>
      </c>
      <c r="E13" s="142">
        <v>27</v>
      </c>
      <c r="F13" s="142">
        <v>10</v>
      </c>
      <c r="G13" s="17">
        <f>VLOOKUP($M13,'UMC Table 4-A'!$A$2:$E$132,4,FALSE)</f>
        <v>6</v>
      </c>
      <c r="H13" s="17" t="str">
        <f>VLOOKUP($M13,'UMC Table 4-A'!$A$2:$E$132,5,FALSE)</f>
        <v>NR</v>
      </c>
      <c r="I13" s="17" t="str">
        <f t="shared" si="0"/>
        <v>-</v>
      </c>
      <c r="J13" s="17">
        <v>0</v>
      </c>
      <c r="K13" s="17">
        <f t="shared" si="1"/>
        <v>30</v>
      </c>
      <c r="L13" s="17">
        <f t="shared" si="13"/>
        <v>27</v>
      </c>
      <c r="M13" s="142" t="s">
        <v>89</v>
      </c>
      <c r="N13" s="19" t="str">
        <f>VLOOKUP($M13,'UMC Table 4-A'!$A$2:$E$132,2,FALSE)</f>
        <v>NR</v>
      </c>
      <c r="O13" s="17">
        <f>VLOOKUP($M13,'UMC Table 4-A'!$A$2:$E$132,3,FALSE)</f>
        <v>2</v>
      </c>
      <c r="P13" s="25">
        <f t="shared" si="2"/>
        <v>10</v>
      </c>
      <c r="Q13" s="17" t="str">
        <f>VLOOKUP($M13,'UMC Table 4-A'!$A$2:$E$132,5,FALSE)</f>
        <v>NR</v>
      </c>
      <c r="R13" s="18">
        <f t="shared" si="3"/>
        <v>30</v>
      </c>
      <c r="S13" s="143">
        <f t="shared" si="4"/>
        <v>30</v>
      </c>
      <c r="T13" s="143">
        <f t="shared" si="5"/>
        <v>30</v>
      </c>
      <c r="U13" s="143">
        <f t="shared" si="6"/>
        <v>0</v>
      </c>
      <c r="V13" s="106">
        <f t="shared" si="7"/>
        <v>0</v>
      </c>
      <c r="W13" s="17" t="str">
        <f t="shared" si="8"/>
        <v>Yes</v>
      </c>
      <c r="X13" s="105">
        <f t="shared" si="16"/>
        <v>1.1111111111111112</v>
      </c>
      <c r="Y13" s="104">
        <f t="shared" si="17"/>
        <v>33.333333333333329</v>
      </c>
      <c r="Z13" s="105">
        <f t="shared" si="18"/>
        <v>6.666666666666667</v>
      </c>
      <c r="AC13" s="50" t="s">
        <v>109</v>
      </c>
      <c r="AD13" s="47" t="s">
        <v>82</v>
      </c>
      <c r="AE13" s="47" t="s">
        <v>88</v>
      </c>
      <c r="AF13" s="48">
        <f t="shared" si="11"/>
        <v>0</v>
      </c>
      <c r="AG13" s="48" t="str">
        <f>IFERROR((VLOOKUP(AF13,'DO NOT TOUCH'!$P$9:$Q$14,2,TRUE)),"TBD")</f>
        <v>TBD</v>
      </c>
      <c r="AH13" s="48">
        <f t="shared" si="19"/>
        <v>0.5</v>
      </c>
      <c r="AI13" s="48">
        <f>INPUT_OUTPUTS!$C$16</f>
        <v>140</v>
      </c>
      <c r="AJ13" s="48">
        <f>INPUT_OUTPUTS!$C$17</f>
        <v>100</v>
      </c>
      <c r="AK13" s="48">
        <f t="shared" si="14"/>
        <v>55</v>
      </c>
      <c r="AL13" s="48">
        <f t="shared" si="14"/>
        <v>85</v>
      </c>
      <c r="AM13" s="48">
        <f t="shared" si="12"/>
        <v>0</v>
      </c>
      <c r="AN13" s="49">
        <f t="shared" si="20"/>
        <v>0</v>
      </c>
      <c r="AO13" s="49">
        <f t="shared" si="15"/>
        <v>0.5</v>
      </c>
      <c r="AP13" s="49">
        <f t="shared" si="21"/>
        <v>5</v>
      </c>
      <c r="AQ13" s="49" t="str">
        <f>IFERROR((_xlfn.XLOOKUP(AG13,'DO NOT TOUCH'!$Q$9:$Q$14,'DO NOT TOUCH'!$R$9:$R$14,)),"TBD")</f>
        <v>TBD</v>
      </c>
      <c r="AR13" s="49">
        <f>INPUT_OUTPUTS!$C$19</f>
        <v>0</v>
      </c>
      <c r="AS13" s="51" t="str">
        <f t="shared" si="22"/>
        <v>1, 2</v>
      </c>
    </row>
    <row r="14" spans="1:54" ht="15" customHeight="1">
      <c r="B14" s="142" t="s">
        <v>165</v>
      </c>
      <c r="C14" s="142" t="s">
        <v>156</v>
      </c>
      <c r="D14" s="142">
        <v>1234</v>
      </c>
      <c r="E14" s="142">
        <v>111</v>
      </c>
      <c r="F14" s="142">
        <v>10</v>
      </c>
      <c r="G14" s="17">
        <f>VLOOKUP($M14,'UMC Table 4-A'!$A$2:$E$132,4,FALSE)</f>
        <v>4</v>
      </c>
      <c r="H14" s="17" t="str">
        <f>VLOOKUP($M14,'UMC Table 4-A'!$A$2:$E$132,5,FALSE)</f>
        <v>NR</v>
      </c>
      <c r="I14" s="17" t="str">
        <f t="shared" si="0"/>
        <v>-</v>
      </c>
      <c r="J14" s="17">
        <v>0</v>
      </c>
      <c r="K14" s="17">
        <f t="shared" si="1"/>
        <v>80</v>
      </c>
      <c r="L14" s="17">
        <f t="shared" si="13"/>
        <v>111</v>
      </c>
      <c r="M14" s="142" t="s">
        <v>73</v>
      </c>
      <c r="N14" s="19" t="str">
        <f>VLOOKUP($M14,'UMC Table 4-A'!$A$2:$E$132,2,FALSE)</f>
        <v>NR</v>
      </c>
      <c r="O14" s="17">
        <f>VLOOKUP($M14,'UMC Table 4-A'!$A$2:$E$132,3,FALSE)</f>
        <v>2</v>
      </c>
      <c r="P14" s="25">
        <f t="shared" si="2"/>
        <v>40</v>
      </c>
      <c r="Q14" s="17" t="str">
        <f>VLOOKUP($M14,'UMC Table 4-A'!$A$2:$E$132,5,FALSE)</f>
        <v>NR</v>
      </c>
      <c r="R14" s="18">
        <f t="shared" si="3"/>
        <v>115</v>
      </c>
      <c r="S14" s="143">
        <f t="shared" si="4"/>
        <v>115</v>
      </c>
      <c r="T14" s="143">
        <f t="shared" si="5"/>
        <v>115</v>
      </c>
      <c r="U14" s="143">
        <f t="shared" si="6"/>
        <v>0</v>
      </c>
      <c r="V14" s="106">
        <f t="shared" si="7"/>
        <v>0</v>
      </c>
      <c r="W14" s="17" t="str">
        <f t="shared" si="8"/>
        <v>Yes</v>
      </c>
      <c r="X14" s="105">
        <f t="shared" si="16"/>
        <v>1.0360360360360361</v>
      </c>
      <c r="Y14" s="104">
        <f t="shared" si="17"/>
        <v>34.782608695652172</v>
      </c>
      <c r="Z14" s="105">
        <f t="shared" si="18"/>
        <v>6.2162162162162167</v>
      </c>
      <c r="AC14" s="50" t="s">
        <v>110</v>
      </c>
      <c r="AD14" s="47" t="s">
        <v>82</v>
      </c>
      <c r="AE14" s="47" t="s">
        <v>88</v>
      </c>
      <c r="AF14" s="48">
        <f t="shared" si="11"/>
        <v>0</v>
      </c>
      <c r="AG14" s="48" t="str">
        <f>IFERROR((VLOOKUP(AF14,'DO NOT TOUCH'!$P$9:$Q$14,2,TRUE)),"TBD")</f>
        <v>TBD</v>
      </c>
      <c r="AH14" s="48">
        <f t="shared" si="19"/>
        <v>0.5</v>
      </c>
      <c r="AI14" s="48">
        <f>INPUT_OUTPUTS!$C$16</f>
        <v>140</v>
      </c>
      <c r="AJ14" s="48">
        <f>INPUT_OUTPUTS!$C$17</f>
        <v>100</v>
      </c>
      <c r="AK14" s="48">
        <f t="shared" si="14"/>
        <v>55</v>
      </c>
      <c r="AL14" s="48">
        <f t="shared" si="14"/>
        <v>85</v>
      </c>
      <c r="AM14" s="48">
        <f t="shared" si="12"/>
        <v>0</v>
      </c>
      <c r="AN14" s="49">
        <f t="shared" si="20"/>
        <v>0</v>
      </c>
      <c r="AO14" s="49">
        <f t="shared" si="15"/>
        <v>0.5</v>
      </c>
      <c r="AP14" s="49">
        <f t="shared" si="21"/>
        <v>5</v>
      </c>
      <c r="AQ14" s="49" t="str">
        <f>IFERROR((_xlfn.XLOOKUP(AG14,'DO NOT TOUCH'!$Q$9:$Q$14,'DO NOT TOUCH'!$R$9:$R$14,)),"TBD")</f>
        <v>TBD</v>
      </c>
      <c r="AR14" s="49">
        <f>INPUT_OUTPUTS!$C$19</f>
        <v>0</v>
      </c>
      <c r="AS14" s="51" t="str">
        <f t="shared" si="22"/>
        <v>1, 2</v>
      </c>
    </row>
    <row r="15" spans="1:54" ht="15" customHeight="1">
      <c r="B15" s="142" t="s">
        <v>165</v>
      </c>
      <c r="C15" s="142" t="s">
        <v>156</v>
      </c>
      <c r="D15" s="142">
        <v>1234</v>
      </c>
      <c r="E15" s="142">
        <v>256</v>
      </c>
      <c r="F15" s="142">
        <v>10</v>
      </c>
      <c r="G15" s="17">
        <f>VLOOKUP($M15,'UMC Table 4-A'!$A$2:$E$132,4,FALSE)</f>
        <v>4</v>
      </c>
      <c r="H15" s="17" t="str">
        <f>VLOOKUP($M15,'UMC Table 4-A'!$A$2:$E$132,5,FALSE)</f>
        <v>NR</v>
      </c>
      <c r="I15" s="17" t="str">
        <f t="shared" si="0"/>
        <v>-</v>
      </c>
      <c r="J15" s="17">
        <v>0</v>
      </c>
      <c r="K15" s="17">
        <f t="shared" si="1"/>
        <v>180</v>
      </c>
      <c r="L15" s="17">
        <f t="shared" si="13"/>
        <v>256</v>
      </c>
      <c r="M15" s="142" t="s">
        <v>73</v>
      </c>
      <c r="N15" s="19" t="str">
        <f>VLOOKUP($M15,'UMC Table 4-A'!$A$2:$E$132,2,FALSE)</f>
        <v>NR</v>
      </c>
      <c r="O15" s="17">
        <f>VLOOKUP($M15,'UMC Table 4-A'!$A$2:$E$132,3,FALSE)</f>
        <v>2</v>
      </c>
      <c r="P15" s="25">
        <f t="shared" si="2"/>
        <v>90</v>
      </c>
      <c r="Q15" s="17" t="str">
        <f>VLOOKUP($M15,'UMC Table 4-A'!$A$2:$E$132,5,FALSE)</f>
        <v>NR</v>
      </c>
      <c r="R15" s="18">
        <f t="shared" si="3"/>
        <v>260</v>
      </c>
      <c r="S15" s="143">
        <f t="shared" si="4"/>
        <v>260</v>
      </c>
      <c r="T15" s="143">
        <f t="shared" si="5"/>
        <v>260</v>
      </c>
      <c r="U15" s="143">
        <f t="shared" si="6"/>
        <v>0</v>
      </c>
      <c r="V15" s="106">
        <f t="shared" si="7"/>
        <v>0</v>
      </c>
      <c r="W15" s="17" t="str">
        <f t="shared" si="8"/>
        <v>Yes</v>
      </c>
      <c r="X15" s="105">
        <f t="shared" si="16"/>
        <v>1.015625</v>
      </c>
      <c r="Y15" s="104">
        <f t="shared" si="17"/>
        <v>34.615384615384613</v>
      </c>
      <c r="Z15" s="105">
        <f t="shared" si="18"/>
        <v>6.09375</v>
      </c>
      <c r="AC15" s="50" t="s">
        <v>111</v>
      </c>
      <c r="AD15" s="47" t="s">
        <v>82</v>
      </c>
      <c r="AE15" s="47" t="s">
        <v>88</v>
      </c>
      <c r="AF15" s="48">
        <f t="shared" si="11"/>
        <v>0</v>
      </c>
      <c r="AG15" s="48" t="str">
        <f>IFERROR((VLOOKUP(AF15,'DO NOT TOUCH'!$P$9:$Q$14,2,TRUE)),"TBD")</f>
        <v>TBD</v>
      </c>
      <c r="AH15" s="48">
        <f t="shared" si="19"/>
        <v>0.5</v>
      </c>
      <c r="AI15" s="48">
        <f>INPUT_OUTPUTS!$C$16</f>
        <v>140</v>
      </c>
      <c r="AJ15" s="48">
        <f>INPUT_OUTPUTS!$C$17</f>
        <v>100</v>
      </c>
      <c r="AK15" s="48">
        <f t="shared" si="14"/>
        <v>55</v>
      </c>
      <c r="AL15" s="48">
        <f t="shared" si="14"/>
        <v>85</v>
      </c>
      <c r="AM15" s="48">
        <f t="shared" si="12"/>
        <v>0</v>
      </c>
      <c r="AN15" s="49">
        <f t="shared" si="20"/>
        <v>0</v>
      </c>
      <c r="AO15" s="49">
        <f t="shared" si="15"/>
        <v>0.5</v>
      </c>
      <c r="AP15" s="49">
        <f t="shared" si="21"/>
        <v>5</v>
      </c>
      <c r="AQ15" s="49" t="str">
        <f>IFERROR((_xlfn.XLOOKUP(AG15,'DO NOT TOUCH'!$Q$9:$Q$14,'DO NOT TOUCH'!$R$9:$R$14,)),"TBD")</f>
        <v>TBD</v>
      </c>
      <c r="AR15" s="49">
        <f>INPUT_OUTPUTS!$C$19</f>
        <v>0</v>
      </c>
      <c r="AS15" s="51" t="str">
        <f t="shared" si="22"/>
        <v>1, 2</v>
      </c>
    </row>
    <row r="16" spans="1:54" ht="15" customHeight="1">
      <c r="B16" s="142" t="s">
        <v>166</v>
      </c>
      <c r="C16" s="142" t="s">
        <v>156</v>
      </c>
      <c r="D16" s="142">
        <v>1234</v>
      </c>
      <c r="E16" s="142">
        <v>2347</v>
      </c>
      <c r="F16" s="142">
        <v>10</v>
      </c>
      <c r="G16" s="17">
        <f>VLOOKUP($M16,'UMC Table 4-A'!$A$2:$E$132,4,FALSE)</f>
        <v>4</v>
      </c>
      <c r="H16" s="17" t="str">
        <f>VLOOKUP($M16,'UMC Table 4-A'!$A$2:$E$132,5,FALSE)</f>
        <v>NR</v>
      </c>
      <c r="I16" s="17" t="str">
        <f t="shared" si="0"/>
        <v>-</v>
      </c>
      <c r="J16" s="17">
        <v>0</v>
      </c>
      <c r="K16" s="17">
        <f t="shared" si="1"/>
        <v>1570</v>
      </c>
      <c r="L16" s="17">
        <f t="shared" si="13"/>
        <v>2347</v>
      </c>
      <c r="M16" s="142" t="s">
        <v>73</v>
      </c>
      <c r="N16" s="19" t="str">
        <f>VLOOKUP($M16,'UMC Table 4-A'!$A$2:$E$132,2,FALSE)</f>
        <v>NR</v>
      </c>
      <c r="O16" s="17">
        <f>VLOOKUP($M16,'UMC Table 4-A'!$A$2:$E$132,3,FALSE)</f>
        <v>2</v>
      </c>
      <c r="P16" s="25">
        <f t="shared" si="2"/>
        <v>790</v>
      </c>
      <c r="Q16" s="17" t="str">
        <f>VLOOKUP($M16,'UMC Table 4-A'!$A$2:$E$132,5,FALSE)</f>
        <v>NR</v>
      </c>
      <c r="R16" s="18">
        <f t="shared" si="3"/>
        <v>2350</v>
      </c>
      <c r="S16" s="143">
        <f t="shared" si="4"/>
        <v>2350</v>
      </c>
      <c r="T16" s="143">
        <f t="shared" si="5"/>
        <v>2350</v>
      </c>
      <c r="U16" s="143">
        <f t="shared" si="6"/>
        <v>0</v>
      </c>
      <c r="V16" s="106">
        <f t="shared" si="7"/>
        <v>0</v>
      </c>
      <c r="W16" s="17" t="str">
        <f t="shared" si="8"/>
        <v>Yes</v>
      </c>
      <c r="X16" s="105">
        <f t="shared" si="16"/>
        <v>1.0012782275244994</v>
      </c>
      <c r="Y16" s="104">
        <f t="shared" si="17"/>
        <v>33.617021276595743</v>
      </c>
      <c r="Z16" s="105">
        <f t="shared" si="18"/>
        <v>6.0076693651469961</v>
      </c>
      <c r="AC16" s="50" t="s">
        <v>112</v>
      </c>
      <c r="AD16" s="47" t="s">
        <v>82</v>
      </c>
      <c r="AE16" s="47" t="s">
        <v>88</v>
      </c>
      <c r="AF16" s="48">
        <f t="shared" si="11"/>
        <v>0</v>
      </c>
      <c r="AG16" s="48" t="str">
        <f>IFERROR((VLOOKUP(AF16,'DO NOT TOUCH'!$P$9:$Q$14,2,TRUE)),"TBD")</f>
        <v>TBD</v>
      </c>
      <c r="AH16" s="48">
        <f t="shared" si="19"/>
        <v>0.5</v>
      </c>
      <c r="AI16" s="48">
        <f>INPUT_OUTPUTS!$C$16</f>
        <v>140</v>
      </c>
      <c r="AJ16" s="48">
        <f>INPUT_OUTPUTS!$C$17</f>
        <v>100</v>
      </c>
      <c r="AK16" s="48">
        <f t="shared" si="14"/>
        <v>55</v>
      </c>
      <c r="AL16" s="48">
        <f t="shared" si="14"/>
        <v>85</v>
      </c>
      <c r="AM16" s="48">
        <f t="shared" si="12"/>
        <v>0</v>
      </c>
      <c r="AN16" s="49">
        <f t="shared" si="20"/>
        <v>0</v>
      </c>
      <c r="AO16" s="49">
        <f t="shared" si="15"/>
        <v>0.5</v>
      </c>
      <c r="AP16" s="49">
        <f t="shared" si="21"/>
        <v>5</v>
      </c>
      <c r="AQ16" s="49" t="str">
        <f>IFERROR((_xlfn.XLOOKUP(AG16,'DO NOT TOUCH'!$Q$9:$Q$14,'DO NOT TOUCH'!$R$9:$R$14,)),"TBD")</f>
        <v>TBD</v>
      </c>
      <c r="AR16" s="49">
        <f>INPUT_OUTPUTS!$C$19</f>
        <v>0</v>
      </c>
      <c r="AS16" s="51" t="str">
        <f t="shared" si="22"/>
        <v>1, 2</v>
      </c>
    </row>
    <row r="17" spans="2:45" ht="15" customHeight="1">
      <c r="B17" s="142" t="s">
        <v>167</v>
      </c>
      <c r="C17" s="142" t="s">
        <v>156</v>
      </c>
      <c r="D17" s="142">
        <v>1234</v>
      </c>
      <c r="E17" s="142">
        <v>454</v>
      </c>
      <c r="F17" s="142">
        <v>10</v>
      </c>
      <c r="G17" s="17">
        <f>VLOOKUP($M17,'UMC Table 4-A'!$A$2:$E$132,4,FALSE)</f>
        <v>4</v>
      </c>
      <c r="H17" s="17" t="str">
        <f>VLOOKUP($M17,'UMC Table 4-A'!$A$2:$E$132,5,FALSE)</f>
        <v>NR</v>
      </c>
      <c r="I17" s="17" t="str">
        <f t="shared" si="0"/>
        <v>-</v>
      </c>
      <c r="J17" s="17">
        <v>0</v>
      </c>
      <c r="K17" s="17">
        <f t="shared" si="1"/>
        <v>310</v>
      </c>
      <c r="L17" s="17">
        <f t="shared" si="13"/>
        <v>454</v>
      </c>
      <c r="M17" s="142" t="s">
        <v>73</v>
      </c>
      <c r="N17" s="19" t="str">
        <f>VLOOKUP($M17,'UMC Table 4-A'!$A$2:$E$132,2,FALSE)</f>
        <v>NR</v>
      </c>
      <c r="O17" s="17">
        <f>VLOOKUP($M17,'UMC Table 4-A'!$A$2:$E$132,3,FALSE)</f>
        <v>2</v>
      </c>
      <c r="P17" s="25">
        <f t="shared" si="2"/>
        <v>160</v>
      </c>
      <c r="Q17" s="17" t="str">
        <f>VLOOKUP($M17,'UMC Table 4-A'!$A$2:$E$132,5,FALSE)</f>
        <v>NR</v>
      </c>
      <c r="R17" s="18">
        <f t="shared" si="3"/>
        <v>455</v>
      </c>
      <c r="S17" s="143">
        <f t="shared" si="4"/>
        <v>455</v>
      </c>
      <c r="T17" s="143">
        <f t="shared" si="5"/>
        <v>455</v>
      </c>
      <c r="U17" s="143">
        <f t="shared" si="6"/>
        <v>0</v>
      </c>
      <c r="V17" s="106">
        <f t="shared" si="7"/>
        <v>0</v>
      </c>
      <c r="W17" s="17" t="str">
        <f t="shared" si="8"/>
        <v>Yes</v>
      </c>
      <c r="X17" s="105">
        <f t="shared" si="16"/>
        <v>1.0022026431718061</v>
      </c>
      <c r="Y17" s="104">
        <f t="shared" si="17"/>
        <v>35.164835164835168</v>
      </c>
      <c r="Z17" s="105">
        <f t="shared" si="18"/>
        <v>6.0132158590308364</v>
      </c>
      <c r="AC17" s="50" t="s">
        <v>113</v>
      </c>
      <c r="AD17" s="47" t="s">
        <v>82</v>
      </c>
      <c r="AE17" s="47" t="s">
        <v>88</v>
      </c>
      <c r="AF17" s="48">
        <f t="shared" si="11"/>
        <v>0</v>
      </c>
      <c r="AG17" s="48" t="str">
        <f>IFERROR((VLOOKUP(AF17,'DO NOT TOUCH'!$P$9:$Q$14,2,TRUE)),"TBD")</f>
        <v>TBD</v>
      </c>
      <c r="AH17" s="48">
        <f t="shared" si="19"/>
        <v>0.5</v>
      </c>
      <c r="AI17" s="48">
        <f>INPUT_OUTPUTS!$C$16</f>
        <v>140</v>
      </c>
      <c r="AJ17" s="48">
        <f>INPUT_OUTPUTS!$C$17</f>
        <v>100</v>
      </c>
      <c r="AK17" s="48">
        <f t="shared" si="14"/>
        <v>55</v>
      </c>
      <c r="AL17" s="48">
        <f t="shared" si="14"/>
        <v>85</v>
      </c>
      <c r="AM17" s="48">
        <f t="shared" si="12"/>
        <v>0</v>
      </c>
      <c r="AN17" s="49">
        <f t="shared" si="20"/>
        <v>0</v>
      </c>
      <c r="AO17" s="49">
        <f t="shared" si="15"/>
        <v>0.5</v>
      </c>
      <c r="AP17" s="49">
        <f t="shared" si="21"/>
        <v>5</v>
      </c>
      <c r="AQ17" s="49" t="str">
        <f>IFERROR((_xlfn.XLOOKUP(AG17,'DO NOT TOUCH'!$Q$9:$Q$14,'DO NOT TOUCH'!$R$9:$R$14,)),"TBD")</f>
        <v>TBD</v>
      </c>
      <c r="AR17" s="49">
        <f>INPUT_OUTPUTS!$C$19</f>
        <v>0</v>
      </c>
      <c r="AS17" s="51" t="str">
        <f t="shared" si="22"/>
        <v>1, 2</v>
      </c>
    </row>
    <row r="18" spans="2:45" ht="15" customHeight="1">
      <c r="B18" s="107"/>
      <c r="C18" s="46"/>
      <c r="D18" s="46"/>
      <c r="E18" s="87">
        <f>SUBTOTAL(109,TABLE4A43[AREA (FT²)])</f>
        <v>4063</v>
      </c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>
        <f>SUBTOTAL(109,TABLE4A43[OSA CFM])</f>
        <v>1270</v>
      </c>
      <c r="Q18" s="87"/>
      <c r="R18" s="87">
        <f>SUBTOTAL(109,TABLE4A43[CALCULATED SA CFM])</f>
        <v>4185</v>
      </c>
      <c r="S18" s="87">
        <f>SUBTOTAL(109,TABLE4A43[DESIGN SA CFM])</f>
        <v>4185</v>
      </c>
      <c r="T18" s="87">
        <f>SUBTOTAL(109,TABLE4A43[RA CFM])</f>
        <v>3735</v>
      </c>
      <c r="U18" s="87">
        <f>SUBTOTAL(109,TABLE4A43[EA CFM])</f>
        <v>500</v>
      </c>
      <c r="V18" s="87">
        <f>SUBTOTAL(109,TABLE4A43[Transfer Air CFM])</f>
        <v>-50</v>
      </c>
      <c r="W18" s="87"/>
      <c r="X18" s="87"/>
      <c r="Y18" s="108"/>
      <c r="Z18" s="108"/>
      <c r="AC18" s="50" t="s">
        <v>114</v>
      </c>
      <c r="AD18" s="47" t="s">
        <v>82</v>
      </c>
      <c r="AE18" s="47" t="s">
        <v>88</v>
      </c>
      <c r="AF18" s="48">
        <f t="shared" si="11"/>
        <v>0</v>
      </c>
      <c r="AG18" s="48" t="str">
        <f>IFERROR((VLOOKUP(AF18,'DO NOT TOUCH'!$P$9:$Q$14,2,TRUE)),"TBD")</f>
        <v>TBD</v>
      </c>
      <c r="AH18" s="48">
        <f t="shared" si="19"/>
        <v>0.5</v>
      </c>
      <c r="AI18" s="48">
        <f>INPUT_OUTPUTS!$C$16</f>
        <v>140</v>
      </c>
      <c r="AJ18" s="48">
        <f>INPUT_OUTPUTS!$C$17</f>
        <v>100</v>
      </c>
      <c r="AK18" s="48">
        <f t="shared" si="14"/>
        <v>55</v>
      </c>
      <c r="AL18" s="48">
        <f t="shared" si="14"/>
        <v>85</v>
      </c>
      <c r="AM18" s="48">
        <f t="shared" si="12"/>
        <v>0</v>
      </c>
      <c r="AN18" s="49">
        <f t="shared" si="20"/>
        <v>0</v>
      </c>
      <c r="AO18" s="49">
        <f t="shared" si="15"/>
        <v>0.5</v>
      </c>
      <c r="AP18" s="49">
        <f t="shared" si="21"/>
        <v>5</v>
      </c>
      <c r="AQ18" s="49" t="str">
        <f>IFERROR((_xlfn.XLOOKUP(AG18,'DO NOT TOUCH'!$Q$9:$Q$14,'DO NOT TOUCH'!$R$9:$R$14,)),"TBD")</f>
        <v>TBD</v>
      </c>
      <c r="AR18" s="49">
        <f>INPUT_OUTPUTS!$C$19</f>
        <v>0</v>
      </c>
      <c r="AS18" s="51" t="str">
        <f t="shared" si="22"/>
        <v>1, 2</v>
      </c>
    </row>
    <row r="19" spans="2:45" ht="15" customHeight="1">
      <c r="B19" s="124"/>
      <c r="C19" s="125"/>
      <c r="G19" s="110"/>
      <c r="H19" s="126"/>
      <c r="K19" s="127"/>
      <c r="L19" s="128"/>
      <c r="M19" s="128"/>
      <c r="O19" s="109"/>
      <c r="R19" s="129"/>
      <c r="S19" s="129"/>
      <c r="T19" s="109"/>
      <c r="U19" s="109"/>
      <c r="V19" s="109"/>
      <c r="W19" s="109"/>
      <c r="X19" s="129"/>
      <c r="Y19" s="130"/>
      <c r="AC19" s="50" t="s">
        <v>115</v>
      </c>
      <c r="AD19" s="47" t="s">
        <v>82</v>
      </c>
      <c r="AE19" s="47" t="s">
        <v>88</v>
      </c>
      <c r="AF19" s="48">
        <f t="shared" si="11"/>
        <v>0</v>
      </c>
      <c r="AG19" s="48" t="str">
        <f>IFERROR((VLOOKUP(AF19,'DO NOT TOUCH'!$P$9:$Q$14,2,TRUE)),"TBD")</f>
        <v>TBD</v>
      </c>
      <c r="AH19" s="48">
        <f t="shared" si="19"/>
        <v>0.5</v>
      </c>
      <c r="AI19" s="48">
        <f>INPUT_OUTPUTS!$C$16</f>
        <v>140</v>
      </c>
      <c r="AJ19" s="48">
        <f>INPUT_OUTPUTS!$C$17</f>
        <v>100</v>
      </c>
      <c r="AK19" s="48">
        <f t="shared" si="14"/>
        <v>55</v>
      </c>
      <c r="AL19" s="48">
        <f t="shared" si="14"/>
        <v>85</v>
      </c>
      <c r="AM19" s="48">
        <f t="shared" si="12"/>
        <v>0</v>
      </c>
      <c r="AN19" s="49">
        <f t="shared" si="20"/>
        <v>0</v>
      </c>
      <c r="AO19" s="49">
        <f t="shared" si="15"/>
        <v>0.5</v>
      </c>
      <c r="AP19" s="49">
        <f t="shared" si="21"/>
        <v>5</v>
      </c>
      <c r="AQ19" s="49" t="str">
        <f>IFERROR((_xlfn.XLOOKUP(AG19,'DO NOT TOUCH'!$Q$9:$Q$14,'DO NOT TOUCH'!$R$9:$R$14,)),"TBD")</f>
        <v>TBD</v>
      </c>
      <c r="AR19" s="49">
        <f>INPUT_OUTPUTS!$C$19</f>
        <v>0</v>
      </c>
      <c r="AS19" s="51" t="str">
        <f t="shared" si="22"/>
        <v>1, 2</v>
      </c>
    </row>
    <row r="20" spans="2:45" ht="15" customHeight="1">
      <c r="B20" s="131"/>
      <c r="C20" s="125"/>
      <c r="G20" s="110"/>
      <c r="H20" s="126"/>
      <c r="K20" s="127"/>
      <c r="L20" s="128"/>
      <c r="M20" s="128"/>
      <c r="O20" s="109"/>
      <c r="T20" s="109"/>
      <c r="U20" s="109"/>
      <c r="V20" s="109"/>
      <c r="W20" s="109"/>
      <c r="X20" s="110"/>
      <c r="Y20" s="130"/>
      <c r="AC20" s="50" t="s">
        <v>116</v>
      </c>
      <c r="AD20" s="47" t="s">
        <v>82</v>
      </c>
      <c r="AE20" s="47" t="s">
        <v>88</v>
      </c>
      <c r="AF20" s="48">
        <f t="shared" si="11"/>
        <v>0</v>
      </c>
      <c r="AG20" s="48" t="str">
        <f>IFERROR((VLOOKUP(AF20,'DO NOT TOUCH'!$P$9:$Q$14,2,TRUE)),"TBD")</f>
        <v>TBD</v>
      </c>
      <c r="AH20" s="48">
        <f t="shared" si="19"/>
        <v>0.5</v>
      </c>
      <c r="AI20" s="48">
        <f>INPUT_OUTPUTS!$C$16</f>
        <v>140</v>
      </c>
      <c r="AJ20" s="48">
        <f>INPUT_OUTPUTS!$C$17</f>
        <v>100</v>
      </c>
      <c r="AK20" s="48">
        <f t="shared" si="14"/>
        <v>55</v>
      </c>
      <c r="AL20" s="48">
        <f t="shared" si="14"/>
        <v>85</v>
      </c>
      <c r="AM20" s="48">
        <f t="shared" si="12"/>
        <v>0</v>
      </c>
      <c r="AN20" s="49">
        <f t="shared" si="20"/>
        <v>0</v>
      </c>
      <c r="AO20" s="49">
        <f t="shared" si="15"/>
        <v>0.5</v>
      </c>
      <c r="AP20" s="49">
        <f t="shared" si="21"/>
        <v>5</v>
      </c>
      <c r="AQ20" s="49" t="str">
        <f>IFERROR((_xlfn.XLOOKUP(AG20,'DO NOT TOUCH'!$Q$9:$Q$14,'DO NOT TOUCH'!$R$9:$R$14,)),"TBD")</f>
        <v>TBD</v>
      </c>
      <c r="AR20" s="49">
        <f>INPUT_OUTPUTS!$C$19</f>
        <v>0</v>
      </c>
      <c r="AS20" s="51" t="str">
        <f t="shared" si="22"/>
        <v>1, 2</v>
      </c>
    </row>
    <row r="21" spans="2:45" ht="15" customHeight="1">
      <c r="B21" s="124"/>
      <c r="C21" s="125"/>
      <c r="O21" s="132" t="s">
        <v>57</v>
      </c>
      <c r="T21" s="109"/>
      <c r="U21" s="109"/>
      <c r="V21" s="109"/>
      <c r="W21" s="109"/>
      <c r="AC21" s="50" t="s">
        <v>117</v>
      </c>
      <c r="AD21" s="47" t="s">
        <v>82</v>
      </c>
      <c r="AE21" s="47" t="s">
        <v>88</v>
      </c>
      <c r="AF21" s="48">
        <f t="shared" si="11"/>
        <v>0</v>
      </c>
      <c r="AG21" s="48" t="str">
        <f>IFERROR((VLOOKUP(AF21,'DO NOT TOUCH'!$P$9:$Q$14,2,TRUE)),"TBD")</f>
        <v>TBD</v>
      </c>
      <c r="AH21" s="48">
        <f t="shared" si="19"/>
        <v>0.5</v>
      </c>
      <c r="AI21" s="48">
        <f>INPUT_OUTPUTS!$C$16</f>
        <v>140</v>
      </c>
      <c r="AJ21" s="48">
        <f>INPUT_OUTPUTS!$C$17</f>
        <v>100</v>
      </c>
      <c r="AK21" s="48">
        <f t="shared" si="14"/>
        <v>55</v>
      </c>
      <c r="AL21" s="48">
        <f t="shared" si="14"/>
        <v>85</v>
      </c>
      <c r="AM21" s="48">
        <f t="shared" si="12"/>
        <v>0</v>
      </c>
      <c r="AN21" s="49">
        <f t="shared" si="20"/>
        <v>0</v>
      </c>
      <c r="AO21" s="49">
        <f t="shared" si="15"/>
        <v>0.5</v>
      </c>
      <c r="AP21" s="49">
        <f t="shared" si="21"/>
        <v>5</v>
      </c>
      <c r="AQ21" s="49" t="str">
        <f>IFERROR((_xlfn.XLOOKUP(AG21,'DO NOT TOUCH'!$Q$9:$Q$14,'DO NOT TOUCH'!$R$9:$R$14,)),"TBD")</f>
        <v>TBD</v>
      </c>
      <c r="AR21" s="49">
        <f>INPUT_OUTPUTS!$C$19</f>
        <v>0</v>
      </c>
      <c r="AS21" s="51" t="str">
        <f t="shared" si="22"/>
        <v>1, 2</v>
      </c>
    </row>
    <row r="22" spans="2:45" ht="15" customHeight="1">
      <c r="K22" s="109"/>
      <c r="N22" s="109"/>
      <c r="T22" s="109"/>
      <c r="U22" s="109"/>
      <c r="V22" s="109"/>
      <c r="W22" s="109"/>
      <c r="AC22" s="50" t="s">
        <v>118</v>
      </c>
      <c r="AD22" s="47" t="s">
        <v>82</v>
      </c>
      <c r="AE22" s="47" t="s">
        <v>88</v>
      </c>
      <c r="AF22" s="48">
        <f t="shared" si="11"/>
        <v>0</v>
      </c>
      <c r="AG22" s="48" t="str">
        <f>IFERROR((VLOOKUP(AF22,'DO NOT TOUCH'!$P$9:$Q$14,2,TRUE)),"TBD")</f>
        <v>TBD</v>
      </c>
      <c r="AH22" s="48">
        <f t="shared" si="19"/>
        <v>0.5</v>
      </c>
      <c r="AI22" s="48">
        <f>INPUT_OUTPUTS!$C$16</f>
        <v>140</v>
      </c>
      <c r="AJ22" s="48">
        <f>INPUT_OUTPUTS!$C$17</f>
        <v>100</v>
      </c>
      <c r="AK22" s="48">
        <f t="shared" si="14"/>
        <v>55</v>
      </c>
      <c r="AL22" s="48">
        <f t="shared" si="14"/>
        <v>85</v>
      </c>
      <c r="AM22" s="48">
        <f t="shared" si="12"/>
        <v>0</v>
      </c>
      <c r="AN22" s="49">
        <f t="shared" si="20"/>
        <v>0</v>
      </c>
      <c r="AO22" s="49">
        <f t="shared" si="15"/>
        <v>0.5</v>
      </c>
      <c r="AP22" s="49">
        <f t="shared" si="21"/>
        <v>5</v>
      </c>
      <c r="AQ22" s="49" t="str">
        <f>IFERROR((_xlfn.XLOOKUP(AG22,'DO NOT TOUCH'!$Q$9:$Q$14,'DO NOT TOUCH'!$R$9:$R$14,)),"TBD")</f>
        <v>TBD</v>
      </c>
      <c r="AR22" s="49">
        <f>INPUT_OUTPUTS!$C$19</f>
        <v>0</v>
      </c>
      <c r="AS22" s="51" t="str">
        <f t="shared" si="22"/>
        <v>1, 2</v>
      </c>
    </row>
    <row r="23" spans="2:45" ht="15" customHeight="1">
      <c r="T23" s="109"/>
      <c r="U23" s="109"/>
      <c r="V23" s="109"/>
      <c r="W23" s="109"/>
      <c r="AC23" s="50" t="s">
        <v>119</v>
      </c>
      <c r="AD23" s="47" t="s">
        <v>82</v>
      </c>
      <c r="AE23" s="47" t="s">
        <v>88</v>
      </c>
      <c r="AF23" s="48">
        <f t="shared" si="11"/>
        <v>0</v>
      </c>
      <c r="AG23" s="48" t="str">
        <f>IFERROR((VLOOKUP(AF23,'DO NOT TOUCH'!$P$9:$Q$14,2,TRUE)),"TBD")</f>
        <v>TBD</v>
      </c>
      <c r="AH23" s="48">
        <f t="shared" si="19"/>
        <v>0.5</v>
      </c>
      <c r="AI23" s="48">
        <f>INPUT_OUTPUTS!$C$16</f>
        <v>140</v>
      </c>
      <c r="AJ23" s="48">
        <f>INPUT_OUTPUTS!$C$17</f>
        <v>100</v>
      </c>
      <c r="AK23" s="48">
        <f t="shared" si="14"/>
        <v>55</v>
      </c>
      <c r="AL23" s="48">
        <f t="shared" si="14"/>
        <v>85</v>
      </c>
      <c r="AM23" s="48">
        <f t="shared" si="12"/>
        <v>0</v>
      </c>
      <c r="AN23" s="49">
        <f t="shared" si="20"/>
        <v>0</v>
      </c>
      <c r="AO23" s="49">
        <f t="shared" si="15"/>
        <v>0.5</v>
      </c>
      <c r="AP23" s="49">
        <f t="shared" si="21"/>
        <v>5</v>
      </c>
      <c r="AQ23" s="49" t="str">
        <f>IFERROR((_xlfn.XLOOKUP(AG23,'DO NOT TOUCH'!$Q$9:$Q$14,'DO NOT TOUCH'!$R$9:$R$14,)),"TBD")</f>
        <v>TBD</v>
      </c>
      <c r="AR23" s="49">
        <f>INPUT_OUTPUTS!$C$19</f>
        <v>0</v>
      </c>
      <c r="AS23" s="51" t="str">
        <f t="shared" si="22"/>
        <v>1, 2</v>
      </c>
    </row>
    <row r="24" spans="2:45" ht="15" customHeight="1">
      <c r="T24" s="109"/>
      <c r="U24" s="109"/>
      <c r="V24" s="109"/>
      <c r="W24" s="109"/>
      <c r="AC24" s="50" t="s">
        <v>120</v>
      </c>
      <c r="AD24" s="47" t="s">
        <v>82</v>
      </c>
      <c r="AE24" s="47" t="s">
        <v>88</v>
      </c>
      <c r="AF24" s="48">
        <f t="shared" si="11"/>
        <v>0</v>
      </c>
      <c r="AG24" s="48" t="str">
        <f>IFERROR((VLOOKUP(AF24,'DO NOT TOUCH'!$P$9:$Q$14,2,TRUE)),"TBD")</f>
        <v>TBD</v>
      </c>
      <c r="AH24" s="48">
        <f t="shared" si="19"/>
        <v>0.5</v>
      </c>
      <c r="AI24" s="48">
        <f>INPUT_OUTPUTS!$C$16</f>
        <v>140</v>
      </c>
      <c r="AJ24" s="48">
        <f>INPUT_OUTPUTS!$C$17</f>
        <v>100</v>
      </c>
      <c r="AK24" s="48">
        <f t="shared" ref="AK24:AL39" si="23">AK23</f>
        <v>55</v>
      </c>
      <c r="AL24" s="48">
        <f t="shared" si="23"/>
        <v>85</v>
      </c>
      <c r="AM24" s="48">
        <f t="shared" si="12"/>
        <v>0</v>
      </c>
      <c r="AN24" s="49">
        <f t="shared" si="20"/>
        <v>0</v>
      </c>
      <c r="AO24" s="49">
        <f t="shared" si="15"/>
        <v>0.5</v>
      </c>
      <c r="AP24" s="49">
        <f t="shared" si="21"/>
        <v>5</v>
      </c>
      <c r="AQ24" s="49" t="str">
        <f>IFERROR((_xlfn.XLOOKUP(AG24,'DO NOT TOUCH'!$Q$9:$Q$14,'DO NOT TOUCH'!$R$9:$R$14,)),"TBD")</f>
        <v>TBD</v>
      </c>
      <c r="AR24" s="49">
        <f>INPUT_OUTPUTS!$C$19</f>
        <v>0</v>
      </c>
      <c r="AS24" s="51" t="str">
        <f t="shared" si="22"/>
        <v>1, 2</v>
      </c>
    </row>
    <row r="25" spans="2:45" ht="15" customHeight="1">
      <c r="T25" s="109"/>
      <c r="U25" s="109"/>
      <c r="V25" s="109"/>
      <c r="W25" s="109"/>
      <c r="AC25" s="50" t="s">
        <v>121</v>
      </c>
      <c r="AD25" s="47" t="s">
        <v>82</v>
      </c>
      <c r="AE25" s="47" t="s">
        <v>88</v>
      </c>
      <c r="AF25" s="48">
        <f t="shared" si="11"/>
        <v>0</v>
      </c>
      <c r="AG25" s="48" t="str">
        <f>IFERROR((VLOOKUP(AF25,'DO NOT TOUCH'!$P$9:$Q$14,2,TRUE)),"TBD")</f>
        <v>TBD</v>
      </c>
      <c r="AH25" s="48">
        <f t="shared" si="19"/>
        <v>0.5</v>
      </c>
      <c r="AI25" s="48">
        <f>INPUT_OUTPUTS!$C$16</f>
        <v>140</v>
      </c>
      <c r="AJ25" s="48">
        <f>INPUT_OUTPUTS!$C$17</f>
        <v>100</v>
      </c>
      <c r="AK25" s="48">
        <f t="shared" si="23"/>
        <v>55</v>
      </c>
      <c r="AL25" s="48">
        <f t="shared" si="23"/>
        <v>85</v>
      </c>
      <c r="AM25" s="48">
        <f t="shared" si="12"/>
        <v>0</v>
      </c>
      <c r="AN25" s="49">
        <f t="shared" si="20"/>
        <v>0</v>
      </c>
      <c r="AO25" s="49">
        <f t="shared" si="15"/>
        <v>0.5</v>
      </c>
      <c r="AP25" s="49">
        <f t="shared" si="21"/>
        <v>5</v>
      </c>
      <c r="AQ25" s="49" t="str">
        <f>IFERROR((_xlfn.XLOOKUP(AG25,'DO NOT TOUCH'!$Q$9:$Q$14,'DO NOT TOUCH'!$R$9:$R$14,)),"TBD")</f>
        <v>TBD</v>
      </c>
      <c r="AR25" s="49">
        <f>INPUT_OUTPUTS!$C$19</f>
        <v>0</v>
      </c>
      <c r="AS25" s="51" t="str">
        <f t="shared" si="22"/>
        <v>1, 2</v>
      </c>
    </row>
    <row r="26" spans="2:45" ht="15" customHeight="1">
      <c r="T26" s="109"/>
      <c r="U26" s="109"/>
      <c r="V26" s="109"/>
      <c r="W26" s="109"/>
      <c r="AC26" s="50" t="s">
        <v>122</v>
      </c>
      <c r="AD26" s="47" t="s">
        <v>82</v>
      </c>
      <c r="AE26" s="47" t="s">
        <v>88</v>
      </c>
      <c r="AF26" s="48">
        <f t="shared" si="11"/>
        <v>0</v>
      </c>
      <c r="AG26" s="48" t="str">
        <f>IFERROR((VLOOKUP(AF26,'DO NOT TOUCH'!$P$9:$Q$14,2,TRUE)),"TBD")</f>
        <v>TBD</v>
      </c>
      <c r="AH26" s="48">
        <f t="shared" si="19"/>
        <v>0.5</v>
      </c>
      <c r="AI26" s="48">
        <f>INPUT_OUTPUTS!$C$16</f>
        <v>140</v>
      </c>
      <c r="AJ26" s="48">
        <f>INPUT_OUTPUTS!$C$17</f>
        <v>100</v>
      </c>
      <c r="AK26" s="48">
        <f t="shared" si="23"/>
        <v>55</v>
      </c>
      <c r="AL26" s="48">
        <f t="shared" si="23"/>
        <v>85</v>
      </c>
      <c r="AM26" s="48">
        <f t="shared" si="12"/>
        <v>0</v>
      </c>
      <c r="AN26" s="49">
        <f t="shared" si="20"/>
        <v>0</v>
      </c>
      <c r="AO26" s="49">
        <f t="shared" si="15"/>
        <v>0.5</v>
      </c>
      <c r="AP26" s="49">
        <f t="shared" si="21"/>
        <v>5</v>
      </c>
      <c r="AQ26" s="49" t="str">
        <f>IFERROR((_xlfn.XLOOKUP(AG26,'DO NOT TOUCH'!$Q$9:$Q$14,'DO NOT TOUCH'!$R$9:$R$14,)),"TBD")</f>
        <v>TBD</v>
      </c>
      <c r="AR26" s="49">
        <f>INPUT_OUTPUTS!$C$19</f>
        <v>0</v>
      </c>
      <c r="AS26" s="51" t="str">
        <f t="shared" si="22"/>
        <v>1, 2</v>
      </c>
    </row>
    <row r="27" spans="2:45" ht="15" customHeight="1">
      <c r="AC27" s="50" t="s">
        <v>123</v>
      </c>
      <c r="AD27" s="47" t="s">
        <v>82</v>
      </c>
      <c r="AE27" s="47" t="s">
        <v>88</v>
      </c>
      <c r="AF27" s="48">
        <f t="shared" si="11"/>
        <v>0</v>
      </c>
      <c r="AG27" s="48" t="str">
        <f>IFERROR((VLOOKUP(AF27,'DO NOT TOUCH'!$P$9:$Q$14,2,TRUE)),"TBD")</f>
        <v>TBD</v>
      </c>
      <c r="AH27" s="48">
        <f t="shared" si="19"/>
        <v>0.5</v>
      </c>
      <c r="AI27" s="48">
        <f>INPUT_OUTPUTS!$C$16</f>
        <v>140</v>
      </c>
      <c r="AJ27" s="48">
        <f>INPUT_OUTPUTS!$C$17</f>
        <v>100</v>
      </c>
      <c r="AK27" s="48">
        <f t="shared" si="23"/>
        <v>55</v>
      </c>
      <c r="AL27" s="48">
        <f t="shared" si="23"/>
        <v>85</v>
      </c>
      <c r="AM27" s="48">
        <f t="shared" si="12"/>
        <v>0</v>
      </c>
      <c r="AN27" s="49">
        <f t="shared" si="20"/>
        <v>0</v>
      </c>
      <c r="AO27" s="49">
        <f t="shared" si="15"/>
        <v>0.5</v>
      </c>
      <c r="AP27" s="49">
        <f t="shared" si="21"/>
        <v>5</v>
      </c>
      <c r="AQ27" s="49" t="str">
        <f>IFERROR((_xlfn.XLOOKUP(AG27,'DO NOT TOUCH'!$Q$9:$Q$14,'DO NOT TOUCH'!$R$9:$R$14,)),"TBD")</f>
        <v>TBD</v>
      </c>
      <c r="AR27" s="49">
        <f>INPUT_OUTPUTS!$C$19</f>
        <v>0</v>
      </c>
      <c r="AS27" s="51" t="str">
        <f t="shared" si="22"/>
        <v>1, 2</v>
      </c>
    </row>
    <row r="28" spans="2:45" ht="15" customHeight="1">
      <c r="AC28" s="50" t="s">
        <v>124</v>
      </c>
      <c r="AD28" s="47" t="s">
        <v>82</v>
      </c>
      <c r="AE28" s="47" t="s">
        <v>88</v>
      </c>
      <c r="AF28" s="48">
        <f t="shared" si="11"/>
        <v>0</v>
      </c>
      <c r="AG28" s="48" t="str">
        <f>IFERROR((VLOOKUP(AF28,'DO NOT TOUCH'!$P$9:$Q$14,2,TRUE)),"TBD")</f>
        <v>TBD</v>
      </c>
      <c r="AH28" s="48">
        <f t="shared" si="19"/>
        <v>0.5</v>
      </c>
      <c r="AI28" s="48">
        <f>INPUT_OUTPUTS!$C$16</f>
        <v>140</v>
      </c>
      <c r="AJ28" s="48">
        <f>INPUT_OUTPUTS!$C$17</f>
        <v>100</v>
      </c>
      <c r="AK28" s="48">
        <f t="shared" si="23"/>
        <v>55</v>
      </c>
      <c r="AL28" s="48">
        <f t="shared" si="23"/>
        <v>85</v>
      </c>
      <c r="AM28" s="48">
        <f t="shared" si="12"/>
        <v>0</v>
      </c>
      <c r="AN28" s="49">
        <f t="shared" si="20"/>
        <v>0</v>
      </c>
      <c r="AO28" s="49">
        <f t="shared" si="15"/>
        <v>0.5</v>
      </c>
      <c r="AP28" s="49">
        <f t="shared" si="21"/>
        <v>5</v>
      </c>
      <c r="AQ28" s="49" t="str">
        <f>IFERROR((_xlfn.XLOOKUP(AG28,'DO NOT TOUCH'!$Q$9:$Q$14,'DO NOT TOUCH'!$R$9:$R$14,)),"TBD")</f>
        <v>TBD</v>
      </c>
      <c r="AR28" s="49">
        <f>INPUT_OUTPUTS!$C$19</f>
        <v>0</v>
      </c>
      <c r="AS28" s="51" t="str">
        <f t="shared" si="22"/>
        <v>1, 2</v>
      </c>
    </row>
    <row r="29" spans="2:45" ht="15" customHeight="1">
      <c r="AC29" s="50" t="s">
        <v>125</v>
      </c>
      <c r="AD29" s="47" t="s">
        <v>82</v>
      </c>
      <c r="AE29" s="47" t="s">
        <v>88</v>
      </c>
      <c r="AF29" s="48">
        <f t="shared" si="11"/>
        <v>0</v>
      </c>
      <c r="AG29" s="48" t="str">
        <f>IFERROR((VLOOKUP(AF29,'DO NOT TOUCH'!$P$9:$Q$14,2,TRUE)),"TBD")</f>
        <v>TBD</v>
      </c>
      <c r="AH29" s="48">
        <f t="shared" si="19"/>
        <v>0.5</v>
      </c>
      <c r="AI29" s="48">
        <f>INPUT_OUTPUTS!$C$16</f>
        <v>140</v>
      </c>
      <c r="AJ29" s="48">
        <f>INPUT_OUTPUTS!$C$17</f>
        <v>100</v>
      </c>
      <c r="AK29" s="48">
        <f t="shared" si="23"/>
        <v>55</v>
      </c>
      <c r="AL29" s="48">
        <f t="shared" si="23"/>
        <v>85</v>
      </c>
      <c r="AM29" s="48">
        <f t="shared" si="12"/>
        <v>0</v>
      </c>
      <c r="AN29" s="49">
        <f t="shared" si="20"/>
        <v>0</v>
      </c>
      <c r="AO29" s="49">
        <f t="shared" si="15"/>
        <v>0.5</v>
      </c>
      <c r="AP29" s="49">
        <f t="shared" si="21"/>
        <v>5</v>
      </c>
      <c r="AQ29" s="49" t="str">
        <f>IFERROR((_xlfn.XLOOKUP(AG29,'DO NOT TOUCH'!$Q$9:$Q$14,'DO NOT TOUCH'!$R$9:$R$14,)),"TBD")</f>
        <v>TBD</v>
      </c>
      <c r="AR29" s="49">
        <f>INPUT_OUTPUTS!$C$19</f>
        <v>0</v>
      </c>
      <c r="AS29" s="51" t="str">
        <f t="shared" si="22"/>
        <v>1, 2</v>
      </c>
    </row>
    <row r="30" spans="2:45" ht="15" customHeight="1">
      <c r="AC30" s="50" t="s">
        <v>126</v>
      </c>
      <c r="AD30" s="47" t="s">
        <v>82</v>
      </c>
      <c r="AE30" s="47" t="s">
        <v>88</v>
      </c>
      <c r="AF30" s="48">
        <f t="shared" si="11"/>
        <v>0</v>
      </c>
      <c r="AG30" s="48" t="str">
        <f>IFERROR((VLOOKUP(AF30,'DO NOT TOUCH'!$P$9:$Q$14,2,TRUE)),"TBD")</f>
        <v>TBD</v>
      </c>
      <c r="AH30" s="48">
        <f t="shared" si="19"/>
        <v>0.5</v>
      </c>
      <c r="AI30" s="48">
        <f>INPUT_OUTPUTS!$C$16</f>
        <v>140</v>
      </c>
      <c r="AJ30" s="48">
        <f>INPUT_OUTPUTS!$C$17</f>
        <v>100</v>
      </c>
      <c r="AK30" s="48">
        <f t="shared" si="23"/>
        <v>55</v>
      </c>
      <c r="AL30" s="48">
        <f t="shared" si="23"/>
        <v>85</v>
      </c>
      <c r="AM30" s="48">
        <f t="shared" si="12"/>
        <v>0</v>
      </c>
      <c r="AN30" s="49">
        <f t="shared" si="20"/>
        <v>0</v>
      </c>
      <c r="AO30" s="49">
        <f t="shared" si="15"/>
        <v>0.5</v>
      </c>
      <c r="AP30" s="49">
        <f t="shared" si="21"/>
        <v>5</v>
      </c>
      <c r="AQ30" s="49" t="str">
        <f>IFERROR((_xlfn.XLOOKUP(AG30,'DO NOT TOUCH'!$Q$9:$Q$14,'DO NOT TOUCH'!$R$9:$R$14,)),"TBD")</f>
        <v>TBD</v>
      </c>
      <c r="AR30" s="49">
        <f>INPUT_OUTPUTS!$C$19</f>
        <v>0</v>
      </c>
      <c r="AS30" s="51" t="str">
        <f t="shared" si="22"/>
        <v>1, 2</v>
      </c>
    </row>
    <row r="31" spans="2:45" ht="15" customHeight="1">
      <c r="AC31" s="50" t="s">
        <v>127</v>
      </c>
      <c r="AD31" s="47" t="s">
        <v>82</v>
      </c>
      <c r="AE31" s="47" t="s">
        <v>88</v>
      </c>
      <c r="AF31" s="48">
        <f t="shared" si="11"/>
        <v>0</v>
      </c>
      <c r="AG31" s="48" t="str">
        <f>IFERROR((VLOOKUP(AF31,'DO NOT TOUCH'!$P$9:$Q$14,2,TRUE)),"TBD")</f>
        <v>TBD</v>
      </c>
      <c r="AH31" s="48">
        <f t="shared" si="19"/>
        <v>0.5</v>
      </c>
      <c r="AI31" s="48">
        <f>INPUT_OUTPUTS!$C$16</f>
        <v>140</v>
      </c>
      <c r="AJ31" s="48">
        <f>INPUT_OUTPUTS!$C$17</f>
        <v>100</v>
      </c>
      <c r="AK31" s="48">
        <f t="shared" si="23"/>
        <v>55</v>
      </c>
      <c r="AL31" s="48">
        <f t="shared" si="23"/>
        <v>85</v>
      </c>
      <c r="AM31" s="48">
        <f t="shared" si="12"/>
        <v>0</v>
      </c>
      <c r="AN31" s="49">
        <f t="shared" si="20"/>
        <v>0</v>
      </c>
      <c r="AO31" s="49">
        <f t="shared" si="15"/>
        <v>0.5</v>
      </c>
      <c r="AP31" s="49">
        <f t="shared" si="21"/>
        <v>5</v>
      </c>
      <c r="AQ31" s="49" t="str">
        <f>IFERROR((_xlfn.XLOOKUP(AG31,'DO NOT TOUCH'!$Q$9:$Q$14,'DO NOT TOUCH'!$R$9:$R$14,)),"TBD")</f>
        <v>TBD</v>
      </c>
      <c r="AR31" s="49">
        <f>INPUT_OUTPUTS!$C$19</f>
        <v>0</v>
      </c>
      <c r="AS31" s="51" t="str">
        <f t="shared" si="22"/>
        <v>1, 2</v>
      </c>
    </row>
    <row r="32" spans="2:45" ht="15" customHeight="1">
      <c r="AC32" s="50" t="s">
        <v>128</v>
      </c>
      <c r="AD32" s="47" t="s">
        <v>82</v>
      </c>
      <c r="AE32" s="47" t="s">
        <v>88</v>
      </c>
      <c r="AF32" s="48">
        <f t="shared" si="11"/>
        <v>0</v>
      </c>
      <c r="AG32" s="48" t="str">
        <f>IFERROR((VLOOKUP(AF32,'DO NOT TOUCH'!$P$9:$Q$14,2,TRUE)),"TBD")</f>
        <v>TBD</v>
      </c>
      <c r="AH32" s="48">
        <f t="shared" si="19"/>
        <v>0.5</v>
      </c>
      <c r="AI32" s="48">
        <f>INPUT_OUTPUTS!$C$16</f>
        <v>140</v>
      </c>
      <c r="AJ32" s="48">
        <f>INPUT_OUTPUTS!$C$17</f>
        <v>100</v>
      </c>
      <c r="AK32" s="48">
        <f t="shared" si="23"/>
        <v>55</v>
      </c>
      <c r="AL32" s="48">
        <f t="shared" si="23"/>
        <v>85</v>
      </c>
      <c r="AM32" s="48">
        <f t="shared" si="12"/>
        <v>0</v>
      </c>
      <c r="AN32" s="49">
        <f t="shared" si="20"/>
        <v>0</v>
      </c>
      <c r="AO32" s="49">
        <f t="shared" si="15"/>
        <v>0.5</v>
      </c>
      <c r="AP32" s="49">
        <f t="shared" si="21"/>
        <v>5</v>
      </c>
      <c r="AQ32" s="49" t="str">
        <f>IFERROR((_xlfn.XLOOKUP(AG32,'DO NOT TOUCH'!$Q$9:$Q$14,'DO NOT TOUCH'!$R$9:$R$14,)),"TBD")</f>
        <v>TBD</v>
      </c>
      <c r="AR32" s="49">
        <f>INPUT_OUTPUTS!$C$19</f>
        <v>0</v>
      </c>
      <c r="AS32" s="51" t="str">
        <f t="shared" si="22"/>
        <v>1, 2</v>
      </c>
    </row>
    <row r="33" spans="29:46" ht="15" customHeight="1">
      <c r="AC33" s="50" t="s">
        <v>129</v>
      </c>
      <c r="AD33" s="47" t="s">
        <v>82</v>
      </c>
      <c r="AE33" s="47" t="s">
        <v>88</v>
      </c>
      <c r="AF33" s="48">
        <f t="shared" si="11"/>
        <v>0</v>
      </c>
      <c r="AG33" s="48" t="str">
        <f>IFERROR((VLOOKUP(AF33,'DO NOT TOUCH'!$P$9:$Q$14,2,TRUE)),"TBD")</f>
        <v>TBD</v>
      </c>
      <c r="AH33" s="48">
        <f t="shared" si="19"/>
        <v>0.5</v>
      </c>
      <c r="AI33" s="48">
        <f>INPUT_OUTPUTS!$C$16</f>
        <v>140</v>
      </c>
      <c r="AJ33" s="48">
        <f>INPUT_OUTPUTS!$C$17</f>
        <v>100</v>
      </c>
      <c r="AK33" s="48">
        <f t="shared" si="23"/>
        <v>55</v>
      </c>
      <c r="AL33" s="48">
        <f t="shared" si="23"/>
        <v>85</v>
      </c>
      <c r="AM33" s="48">
        <f t="shared" si="12"/>
        <v>0</v>
      </c>
      <c r="AN33" s="49">
        <f t="shared" si="20"/>
        <v>0</v>
      </c>
      <c r="AO33" s="49">
        <f t="shared" si="15"/>
        <v>0.5</v>
      </c>
      <c r="AP33" s="49">
        <f t="shared" si="21"/>
        <v>5</v>
      </c>
      <c r="AQ33" s="49" t="str">
        <f>IFERROR((_xlfn.XLOOKUP(AG33,'DO NOT TOUCH'!$Q$9:$Q$14,'DO NOT TOUCH'!$R$9:$R$14,)),"TBD")</f>
        <v>TBD</v>
      </c>
      <c r="AR33" s="49">
        <f>INPUT_OUTPUTS!$C$19</f>
        <v>0</v>
      </c>
      <c r="AS33" s="51" t="str">
        <f t="shared" si="22"/>
        <v>1, 2</v>
      </c>
    </row>
    <row r="34" spans="29:46" ht="15" customHeight="1">
      <c r="AC34" s="50" t="s">
        <v>130</v>
      </c>
      <c r="AD34" s="47" t="s">
        <v>82</v>
      </c>
      <c r="AE34" s="47" t="s">
        <v>88</v>
      </c>
      <c r="AF34" s="48">
        <f t="shared" si="11"/>
        <v>0</v>
      </c>
      <c r="AG34" s="48" t="str">
        <f>IFERROR((VLOOKUP(AF34,'DO NOT TOUCH'!$P$9:$Q$14,2,TRUE)),"TBD")</f>
        <v>TBD</v>
      </c>
      <c r="AH34" s="48">
        <f t="shared" si="19"/>
        <v>0.5</v>
      </c>
      <c r="AI34" s="48">
        <f>INPUT_OUTPUTS!$C$16</f>
        <v>140</v>
      </c>
      <c r="AJ34" s="48">
        <f>INPUT_OUTPUTS!$C$17</f>
        <v>100</v>
      </c>
      <c r="AK34" s="48">
        <f t="shared" si="23"/>
        <v>55</v>
      </c>
      <c r="AL34" s="48">
        <f t="shared" si="23"/>
        <v>85</v>
      </c>
      <c r="AM34" s="48">
        <f t="shared" si="12"/>
        <v>0</v>
      </c>
      <c r="AN34" s="49">
        <f t="shared" si="20"/>
        <v>0</v>
      </c>
      <c r="AO34" s="49">
        <f t="shared" si="15"/>
        <v>0.5</v>
      </c>
      <c r="AP34" s="49">
        <f t="shared" si="21"/>
        <v>5</v>
      </c>
      <c r="AQ34" s="49" t="str">
        <f>IFERROR((_xlfn.XLOOKUP(AG34,'DO NOT TOUCH'!$Q$9:$Q$14,'DO NOT TOUCH'!$R$9:$R$14,)),"TBD")</f>
        <v>TBD</v>
      </c>
      <c r="AR34" s="49">
        <f>INPUT_OUTPUTS!$C$19</f>
        <v>0</v>
      </c>
      <c r="AS34" s="51" t="str">
        <f t="shared" si="22"/>
        <v>1, 2</v>
      </c>
    </row>
    <row r="35" spans="29:46" ht="15" customHeight="1">
      <c r="AC35" s="50" t="s">
        <v>131</v>
      </c>
      <c r="AD35" s="47" t="s">
        <v>82</v>
      </c>
      <c r="AE35" s="47" t="s">
        <v>88</v>
      </c>
      <c r="AF35" s="48">
        <f t="shared" si="11"/>
        <v>0</v>
      </c>
      <c r="AG35" s="48" t="str">
        <f>IFERROR((VLOOKUP(AF35,'DO NOT TOUCH'!$P$9:$Q$14,2,TRUE)),"TBD")</f>
        <v>TBD</v>
      </c>
      <c r="AH35" s="48">
        <f t="shared" si="19"/>
        <v>0.5</v>
      </c>
      <c r="AI35" s="48">
        <f>INPUT_OUTPUTS!$C$16</f>
        <v>140</v>
      </c>
      <c r="AJ35" s="48">
        <f>INPUT_OUTPUTS!$C$17</f>
        <v>100</v>
      </c>
      <c r="AK35" s="48">
        <f t="shared" si="23"/>
        <v>55</v>
      </c>
      <c r="AL35" s="48">
        <f t="shared" si="23"/>
        <v>85</v>
      </c>
      <c r="AM35" s="48">
        <f t="shared" si="12"/>
        <v>0</v>
      </c>
      <c r="AN35" s="49">
        <f t="shared" si="20"/>
        <v>0</v>
      </c>
      <c r="AO35" s="49">
        <f t="shared" si="15"/>
        <v>0.5</v>
      </c>
      <c r="AP35" s="49">
        <f t="shared" si="21"/>
        <v>5</v>
      </c>
      <c r="AQ35" s="49" t="str">
        <f>IFERROR((_xlfn.XLOOKUP(AG35,'DO NOT TOUCH'!$Q$9:$Q$14,'DO NOT TOUCH'!$R$9:$R$14,)),"TBD")</f>
        <v>TBD</v>
      </c>
      <c r="AR35" s="49">
        <f>INPUT_OUTPUTS!$C$19</f>
        <v>0</v>
      </c>
      <c r="AS35" s="51" t="str">
        <f t="shared" si="22"/>
        <v>1, 2</v>
      </c>
    </row>
    <row r="36" spans="29:46" ht="15" customHeight="1">
      <c r="AC36" s="50" t="s">
        <v>132</v>
      </c>
      <c r="AD36" s="47" t="s">
        <v>82</v>
      </c>
      <c r="AE36" s="47" t="s">
        <v>88</v>
      </c>
      <c r="AF36" s="48">
        <f t="shared" si="11"/>
        <v>0</v>
      </c>
      <c r="AG36" s="48" t="str">
        <f>IFERROR((VLOOKUP(AF36,'DO NOT TOUCH'!$P$9:$Q$14,2,TRUE)),"TBD")</f>
        <v>TBD</v>
      </c>
      <c r="AH36" s="48">
        <f t="shared" si="19"/>
        <v>0.5</v>
      </c>
      <c r="AI36" s="48">
        <f>INPUT_OUTPUTS!$C$16</f>
        <v>140</v>
      </c>
      <c r="AJ36" s="48">
        <f>INPUT_OUTPUTS!$C$17</f>
        <v>100</v>
      </c>
      <c r="AK36" s="48">
        <f t="shared" si="23"/>
        <v>55</v>
      </c>
      <c r="AL36" s="48">
        <f t="shared" si="23"/>
        <v>85</v>
      </c>
      <c r="AM36" s="48">
        <f t="shared" si="12"/>
        <v>0</v>
      </c>
      <c r="AN36" s="49">
        <f t="shared" si="20"/>
        <v>0</v>
      </c>
      <c r="AO36" s="49">
        <f t="shared" si="15"/>
        <v>0.5</v>
      </c>
      <c r="AP36" s="49">
        <f t="shared" si="21"/>
        <v>5</v>
      </c>
      <c r="AQ36" s="49" t="str">
        <f>IFERROR((_xlfn.XLOOKUP(AG36,'DO NOT TOUCH'!$Q$9:$Q$14,'DO NOT TOUCH'!$R$9:$R$14,)),"TBD")</f>
        <v>TBD</v>
      </c>
      <c r="AR36" s="49">
        <f>INPUT_OUTPUTS!$C$19</f>
        <v>0</v>
      </c>
      <c r="AS36" s="51" t="str">
        <f t="shared" si="22"/>
        <v>1, 2</v>
      </c>
    </row>
    <row r="37" spans="29:46" ht="15" customHeight="1">
      <c r="AC37" s="50" t="s">
        <v>133</v>
      </c>
      <c r="AD37" s="47" t="s">
        <v>82</v>
      </c>
      <c r="AE37" s="47" t="s">
        <v>88</v>
      </c>
      <c r="AF37" s="48">
        <f t="shared" si="11"/>
        <v>0</v>
      </c>
      <c r="AG37" s="48" t="str">
        <f>IFERROR((VLOOKUP(AF37,'DO NOT TOUCH'!$P$9:$Q$14,2,TRUE)),"TBD")</f>
        <v>TBD</v>
      </c>
      <c r="AH37" s="48">
        <f t="shared" si="19"/>
        <v>0.5</v>
      </c>
      <c r="AI37" s="48">
        <f>INPUT_OUTPUTS!$C$16</f>
        <v>140</v>
      </c>
      <c r="AJ37" s="48">
        <f>INPUT_OUTPUTS!$C$17</f>
        <v>100</v>
      </c>
      <c r="AK37" s="48">
        <f t="shared" si="23"/>
        <v>55</v>
      </c>
      <c r="AL37" s="48">
        <f t="shared" si="23"/>
        <v>85</v>
      </c>
      <c r="AM37" s="48">
        <f t="shared" si="12"/>
        <v>0</v>
      </c>
      <c r="AN37" s="49">
        <f t="shared" si="20"/>
        <v>0</v>
      </c>
      <c r="AO37" s="49">
        <f t="shared" si="15"/>
        <v>0.5</v>
      </c>
      <c r="AP37" s="49">
        <f t="shared" si="21"/>
        <v>5</v>
      </c>
      <c r="AQ37" s="49" t="str">
        <f>IFERROR((_xlfn.XLOOKUP(AG37,'DO NOT TOUCH'!$Q$9:$Q$14,'DO NOT TOUCH'!$R$9:$R$14,)),"TBD")</f>
        <v>TBD</v>
      </c>
      <c r="AR37" s="49">
        <f>INPUT_OUTPUTS!$C$19</f>
        <v>0</v>
      </c>
      <c r="AS37" s="51" t="str">
        <f t="shared" si="22"/>
        <v>1, 2</v>
      </c>
    </row>
    <row r="38" spans="29:46" ht="15" customHeight="1">
      <c r="AC38" s="50" t="s">
        <v>134</v>
      </c>
      <c r="AD38" s="47" t="s">
        <v>82</v>
      </c>
      <c r="AE38" s="47" t="s">
        <v>88</v>
      </c>
      <c r="AF38" s="48">
        <f t="shared" si="11"/>
        <v>0</v>
      </c>
      <c r="AG38" s="48" t="str">
        <f>IFERROR((VLOOKUP(AF38,'DO NOT TOUCH'!$P$9:$Q$14,2,TRUE)),"TBD")</f>
        <v>TBD</v>
      </c>
      <c r="AH38" s="48">
        <f t="shared" si="19"/>
        <v>0.5</v>
      </c>
      <c r="AI38" s="48">
        <f>INPUT_OUTPUTS!$C$16</f>
        <v>140</v>
      </c>
      <c r="AJ38" s="48">
        <f>INPUT_OUTPUTS!$C$17</f>
        <v>100</v>
      </c>
      <c r="AK38" s="48">
        <f t="shared" si="23"/>
        <v>55</v>
      </c>
      <c r="AL38" s="48">
        <f t="shared" si="23"/>
        <v>85</v>
      </c>
      <c r="AM38" s="48">
        <f t="shared" si="12"/>
        <v>0</v>
      </c>
      <c r="AN38" s="49">
        <f t="shared" si="20"/>
        <v>0</v>
      </c>
      <c r="AO38" s="49">
        <f t="shared" si="15"/>
        <v>0.5</v>
      </c>
      <c r="AP38" s="49">
        <f t="shared" si="21"/>
        <v>5</v>
      </c>
      <c r="AQ38" s="49" t="str">
        <f>IFERROR((_xlfn.XLOOKUP(AG38,'DO NOT TOUCH'!$Q$9:$Q$14,'DO NOT TOUCH'!$R$9:$R$14,)),"TBD")</f>
        <v>TBD</v>
      </c>
      <c r="AR38" s="49">
        <f>INPUT_OUTPUTS!$C$19</f>
        <v>0</v>
      </c>
      <c r="AS38" s="51" t="str">
        <f t="shared" si="22"/>
        <v>1, 2</v>
      </c>
    </row>
    <row r="39" spans="29:46" ht="15" customHeight="1">
      <c r="AC39" s="50" t="s">
        <v>135</v>
      </c>
      <c r="AD39" s="47" t="s">
        <v>82</v>
      </c>
      <c r="AE39" s="47" t="s">
        <v>88</v>
      </c>
      <c r="AF39" s="48">
        <f t="shared" si="11"/>
        <v>0</v>
      </c>
      <c r="AG39" s="48" t="str">
        <f>IFERROR((VLOOKUP(AF39,'DO NOT TOUCH'!$P$9:$Q$14,2,TRUE)),"TBD")</f>
        <v>TBD</v>
      </c>
      <c r="AH39" s="48">
        <f t="shared" si="19"/>
        <v>0.5</v>
      </c>
      <c r="AI39" s="48">
        <f>INPUT_OUTPUTS!$C$16</f>
        <v>140</v>
      </c>
      <c r="AJ39" s="48">
        <f>INPUT_OUTPUTS!$C$17</f>
        <v>100</v>
      </c>
      <c r="AK39" s="48">
        <f t="shared" si="23"/>
        <v>55</v>
      </c>
      <c r="AL39" s="48">
        <f t="shared" si="23"/>
        <v>85</v>
      </c>
      <c r="AM39" s="48">
        <f t="shared" si="12"/>
        <v>0</v>
      </c>
      <c r="AN39" s="49">
        <f t="shared" si="20"/>
        <v>0</v>
      </c>
      <c r="AO39" s="49">
        <f t="shared" si="15"/>
        <v>0.5</v>
      </c>
      <c r="AP39" s="49">
        <f t="shared" si="21"/>
        <v>5</v>
      </c>
      <c r="AQ39" s="49" t="str">
        <f>IFERROR((_xlfn.XLOOKUP(AG39,'DO NOT TOUCH'!$Q$9:$Q$14,'DO NOT TOUCH'!$R$9:$R$14,)),"TBD")</f>
        <v>TBD</v>
      </c>
      <c r="AR39" s="49">
        <f>INPUT_OUTPUTS!$C$19</f>
        <v>0</v>
      </c>
      <c r="AS39" s="51" t="str">
        <f t="shared" si="22"/>
        <v>1, 2</v>
      </c>
    </row>
    <row r="40" spans="29:46" ht="15" customHeight="1">
      <c r="AC40" s="50" t="s">
        <v>136</v>
      </c>
      <c r="AD40" s="47" t="s">
        <v>82</v>
      </c>
      <c r="AE40" s="47" t="s">
        <v>88</v>
      </c>
      <c r="AF40" s="48">
        <f t="shared" si="11"/>
        <v>0</v>
      </c>
      <c r="AG40" s="48" t="str">
        <f>IFERROR((VLOOKUP(AF40,'DO NOT TOUCH'!$P$9:$Q$14,2,TRUE)),"TBD")</f>
        <v>TBD</v>
      </c>
      <c r="AH40" s="48">
        <f t="shared" si="19"/>
        <v>0.5</v>
      </c>
      <c r="AI40" s="48">
        <f>INPUT_OUTPUTS!$C$16</f>
        <v>140</v>
      </c>
      <c r="AJ40" s="48">
        <f>INPUT_OUTPUTS!$C$17</f>
        <v>100</v>
      </c>
      <c r="AK40" s="48">
        <f t="shared" ref="AK40:AL44" si="24">AK39</f>
        <v>55</v>
      </c>
      <c r="AL40" s="48">
        <f t="shared" si="24"/>
        <v>85</v>
      </c>
      <c r="AM40" s="48">
        <f t="shared" si="12"/>
        <v>0</v>
      </c>
      <c r="AN40" s="49">
        <f t="shared" si="20"/>
        <v>0</v>
      </c>
      <c r="AO40" s="49">
        <f t="shared" si="15"/>
        <v>0.5</v>
      </c>
      <c r="AP40" s="49">
        <f t="shared" si="21"/>
        <v>5</v>
      </c>
      <c r="AQ40" s="49" t="str">
        <f>IFERROR((_xlfn.XLOOKUP(AG40,'DO NOT TOUCH'!$Q$9:$Q$14,'DO NOT TOUCH'!$R$9:$R$14,)),"TBD")</f>
        <v>TBD</v>
      </c>
      <c r="AR40" s="49">
        <f>INPUT_OUTPUTS!$C$19</f>
        <v>0</v>
      </c>
      <c r="AS40" s="51" t="str">
        <f t="shared" si="22"/>
        <v>1, 2</v>
      </c>
    </row>
    <row r="41" spans="29:46" ht="15" customHeight="1">
      <c r="AC41" s="50" t="s">
        <v>137</v>
      </c>
      <c r="AD41" s="47" t="s">
        <v>82</v>
      </c>
      <c r="AE41" s="47" t="s">
        <v>88</v>
      </c>
      <c r="AF41" s="48">
        <f t="shared" si="11"/>
        <v>0</v>
      </c>
      <c r="AG41" s="48" t="str">
        <f>IFERROR((VLOOKUP(AF41,'DO NOT TOUCH'!$P$9:$Q$14,2,TRUE)),"TBD")</f>
        <v>TBD</v>
      </c>
      <c r="AH41" s="48">
        <f t="shared" si="19"/>
        <v>0.5</v>
      </c>
      <c r="AI41" s="48">
        <f>INPUT_OUTPUTS!$C$16</f>
        <v>140</v>
      </c>
      <c r="AJ41" s="48">
        <f>INPUT_OUTPUTS!$C$17</f>
        <v>100</v>
      </c>
      <c r="AK41" s="48">
        <f t="shared" si="24"/>
        <v>55</v>
      </c>
      <c r="AL41" s="48">
        <f t="shared" si="24"/>
        <v>85</v>
      </c>
      <c r="AM41" s="48">
        <f t="shared" si="12"/>
        <v>0</v>
      </c>
      <c r="AN41" s="49">
        <f t="shared" si="20"/>
        <v>0</v>
      </c>
      <c r="AO41" s="49">
        <f t="shared" si="15"/>
        <v>0.5</v>
      </c>
      <c r="AP41" s="49">
        <f t="shared" si="21"/>
        <v>5</v>
      </c>
      <c r="AQ41" s="49" t="str">
        <f>IFERROR((_xlfn.XLOOKUP(AG41,'DO NOT TOUCH'!$Q$9:$Q$14,'DO NOT TOUCH'!$R$9:$R$14,)),"TBD")</f>
        <v>TBD</v>
      </c>
      <c r="AR41" s="49">
        <f>INPUT_OUTPUTS!$C$19</f>
        <v>0</v>
      </c>
      <c r="AS41" s="51" t="str">
        <f t="shared" si="22"/>
        <v>1, 2</v>
      </c>
    </row>
    <row r="42" spans="29:46" ht="15" customHeight="1">
      <c r="AC42" s="50" t="s">
        <v>138</v>
      </c>
      <c r="AD42" s="47" t="s">
        <v>82</v>
      </c>
      <c r="AE42" s="47" t="s">
        <v>88</v>
      </c>
      <c r="AF42" s="48">
        <f t="shared" si="11"/>
        <v>0</v>
      </c>
      <c r="AG42" s="48" t="str">
        <f>IFERROR((VLOOKUP(AF42,'DO NOT TOUCH'!$P$9:$Q$14,2,TRUE)),"TBD")</f>
        <v>TBD</v>
      </c>
      <c r="AH42" s="48">
        <f t="shared" si="19"/>
        <v>0.5</v>
      </c>
      <c r="AI42" s="48">
        <f>INPUT_OUTPUTS!$C$16</f>
        <v>140</v>
      </c>
      <c r="AJ42" s="48">
        <f>INPUT_OUTPUTS!$C$17</f>
        <v>100</v>
      </c>
      <c r="AK42" s="48">
        <f t="shared" si="24"/>
        <v>55</v>
      </c>
      <c r="AL42" s="48">
        <f t="shared" si="24"/>
        <v>85</v>
      </c>
      <c r="AM42" s="48">
        <f t="shared" si="12"/>
        <v>0</v>
      </c>
      <c r="AN42" s="49">
        <f t="shared" si="20"/>
        <v>0</v>
      </c>
      <c r="AO42" s="49">
        <f t="shared" si="15"/>
        <v>0.5</v>
      </c>
      <c r="AP42" s="49">
        <f t="shared" si="21"/>
        <v>5</v>
      </c>
      <c r="AQ42" s="49" t="str">
        <f>IFERROR((_xlfn.XLOOKUP(AG42,'DO NOT TOUCH'!$Q$9:$Q$14,'DO NOT TOUCH'!$R$9:$R$14,)),"TBD")</f>
        <v>TBD</v>
      </c>
      <c r="AR42" s="49">
        <f>INPUT_OUTPUTS!$C$19</f>
        <v>0</v>
      </c>
      <c r="AS42" s="51" t="str">
        <f t="shared" si="22"/>
        <v>1, 2</v>
      </c>
    </row>
    <row r="43" spans="29:46" ht="15" customHeight="1">
      <c r="AC43" s="50" t="s">
        <v>139</v>
      </c>
      <c r="AD43" s="47" t="s">
        <v>82</v>
      </c>
      <c r="AE43" s="47" t="s">
        <v>88</v>
      </c>
      <c r="AF43" s="48">
        <f t="shared" si="11"/>
        <v>0</v>
      </c>
      <c r="AG43" s="48" t="str">
        <f>IFERROR((VLOOKUP(AF43,'DO NOT TOUCH'!$P$9:$Q$14,2,TRUE)),"TBD")</f>
        <v>TBD</v>
      </c>
      <c r="AH43" s="48">
        <f t="shared" si="19"/>
        <v>0.5</v>
      </c>
      <c r="AI43" s="48">
        <f>INPUT_OUTPUTS!$C$16</f>
        <v>140</v>
      </c>
      <c r="AJ43" s="48">
        <f>INPUT_OUTPUTS!$C$17</f>
        <v>100</v>
      </c>
      <c r="AK43" s="48">
        <f t="shared" si="24"/>
        <v>55</v>
      </c>
      <c r="AL43" s="48">
        <f t="shared" si="24"/>
        <v>85</v>
      </c>
      <c r="AM43" s="48">
        <f t="shared" si="12"/>
        <v>0</v>
      </c>
      <c r="AN43" s="49">
        <f t="shared" si="20"/>
        <v>0</v>
      </c>
      <c r="AO43" s="49">
        <f t="shared" si="15"/>
        <v>0.5</v>
      </c>
      <c r="AP43" s="49">
        <f t="shared" si="21"/>
        <v>5</v>
      </c>
      <c r="AQ43" s="49" t="str">
        <f>IFERROR((_xlfn.XLOOKUP(AG43,'DO NOT TOUCH'!$Q$9:$Q$14,'DO NOT TOUCH'!$R$9:$R$14,)),"TBD")</f>
        <v>TBD</v>
      </c>
      <c r="AR43" s="49">
        <f>INPUT_OUTPUTS!$C$19</f>
        <v>0</v>
      </c>
      <c r="AS43" s="51" t="str">
        <f t="shared" si="22"/>
        <v>1, 2</v>
      </c>
    </row>
    <row r="44" spans="29:46" ht="15" customHeight="1">
      <c r="AC44" s="52" t="s">
        <v>140</v>
      </c>
      <c r="AD44" s="53" t="s">
        <v>82</v>
      </c>
      <c r="AE44" s="53" t="s">
        <v>88</v>
      </c>
      <c r="AF44" s="54">
        <f t="shared" si="11"/>
        <v>0</v>
      </c>
      <c r="AG44" s="54" t="str">
        <f>IFERROR((VLOOKUP(AF44,'DO NOT TOUCH'!$P$9:$Q$14,2,TRUE)),"TBD")</f>
        <v>TBD</v>
      </c>
      <c r="AH44" s="54">
        <f t="shared" si="19"/>
        <v>0.5</v>
      </c>
      <c r="AI44" s="54">
        <f>INPUT_OUTPUTS!$C$16</f>
        <v>140</v>
      </c>
      <c r="AJ44" s="54">
        <f>INPUT_OUTPUTS!$C$17</f>
        <v>100</v>
      </c>
      <c r="AK44" s="54">
        <f t="shared" si="24"/>
        <v>55</v>
      </c>
      <c r="AL44" s="54">
        <f t="shared" si="24"/>
        <v>85</v>
      </c>
      <c r="AM44" s="54">
        <f t="shared" si="12"/>
        <v>0</v>
      </c>
      <c r="AN44" s="55">
        <f t="shared" si="20"/>
        <v>0</v>
      </c>
      <c r="AO44" s="55">
        <f t="shared" si="15"/>
        <v>0.5</v>
      </c>
      <c r="AP44" s="55">
        <f t="shared" si="21"/>
        <v>5</v>
      </c>
      <c r="AQ44" s="55" t="str">
        <f>IFERROR((_xlfn.XLOOKUP(AG44,'DO NOT TOUCH'!$Q$9:$Q$14,'DO NOT TOUCH'!$R$9:$R$14,)),"TBD")</f>
        <v>TBD</v>
      </c>
      <c r="AR44" s="49">
        <f>INPUT_OUTPUTS!$C$19</f>
        <v>0</v>
      </c>
      <c r="AS44" s="56" t="str">
        <f t="shared" si="22"/>
        <v>1, 2</v>
      </c>
      <c r="AT44" s="110"/>
    </row>
    <row r="45" spans="29:46" ht="15" customHeight="1">
      <c r="AC45" s="69" t="s">
        <v>158</v>
      </c>
      <c r="AD45" s="70"/>
      <c r="AE45" s="70"/>
      <c r="AF45" s="71"/>
      <c r="AG45" s="71"/>
      <c r="AH45" s="71"/>
      <c r="AI45" s="71"/>
      <c r="AJ45" s="71"/>
      <c r="AK45" s="71"/>
      <c r="AL45" s="71"/>
      <c r="AM45" s="71">
        <f>SUBTOTAL(109,AHU1_CAV_SCHEDULE44[MIN MBH])</f>
        <v>0</v>
      </c>
      <c r="AN45" s="71"/>
      <c r="AO45" s="73">
        <f>SUBTOTAL(109,AHU1_CAV_SCHEDULE44[GPM])</f>
        <v>19</v>
      </c>
      <c r="AP45" s="71"/>
      <c r="AQ45" s="71"/>
      <c r="AR45" s="71"/>
      <c r="AS45" s="72"/>
      <c r="AT45" s="110"/>
    </row>
    <row r="46" spans="29:46" ht="15" customHeight="1">
      <c r="AC46" s="351" t="s">
        <v>86</v>
      </c>
      <c r="AD46" s="352"/>
      <c r="AE46" s="352"/>
      <c r="AF46" s="352"/>
      <c r="AG46" s="352"/>
      <c r="AH46" s="352"/>
      <c r="AI46" s="352"/>
      <c r="AJ46" s="352"/>
      <c r="AK46" s="352"/>
      <c r="AL46" s="352"/>
      <c r="AM46" s="352"/>
      <c r="AN46" s="352"/>
      <c r="AO46" s="352"/>
      <c r="AP46" s="352"/>
      <c r="AQ46" s="352"/>
      <c r="AR46" s="352"/>
      <c r="AS46" s="353"/>
      <c r="AT46" s="110"/>
    </row>
    <row r="47" spans="29:46" ht="15" customHeight="1">
      <c r="AC47" s="354"/>
      <c r="AD47" s="355"/>
      <c r="AE47" s="355"/>
      <c r="AF47" s="355"/>
      <c r="AG47" s="355"/>
      <c r="AH47" s="355"/>
      <c r="AI47" s="355"/>
      <c r="AJ47" s="355"/>
      <c r="AK47" s="355"/>
      <c r="AL47" s="355"/>
      <c r="AM47" s="355"/>
      <c r="AN47" s="355"/>
      <c r="AO47" s="355"/>
      <c r="AP47" s="355"/>
      <c r="AQ47" s="355"/>
      <c r="AR47" s="355"/>
      <c r="AS47" s="356"/>
      <c r="AT47" s="110"/>
    </row>
    <row r="48" spans="29:46" ht="15" customHeight="1">
      <c r="AC48" s="354"/>
      <c r="AD48" s="355"/>
      <c r="AE48" s="355"/>
      <c r="AF48" s="355"/>
      <c r="AG48" s="355"/>
      <c r="AH48" s="355"/>
      <c r="AI48" s="355"/>
      <c r="AJ48" s="355"/>
      <c r="AK48" s="355"/>
      <c r="AL48" s="355"/>
      <c r="AM48" s="355"/>
      <c r="AN48" s="355"/>
      <c r="AO48" s="355"/>
      <c r="AP48" s="355"/>
      <c r="AQ48" s="355"/>
      <c r="AR48" s="355"/>
      <c r="AS48" s="356"/>
      <c r="AT48" s="110"/>
    </row>
    <row r="49" spans="29:46" ht="15" customHeight="1">
      <c r="AC49" s="357"/>
      <c r="AD49" s="358"/>
      <c r="AE49" s="358"/>
      <c r="AF49" s="358"/>
      <c r="AG49" s="358"/>
      <c r="AH49" s="358"/>
      <c r="AI49" s="358"/>
      <c r="AJ49" s="358"/>
      <c r="AK49" s="358"/>
      <c r="AL49" s="358"/>
      <c r="AM49" s="358"/>
      <c r="AN49" s="358"/>
      <c r="AO49" s="358"/>
      <c r="AP49" s="358"/>
      <c r="AQ49" s="358"/>
      <c r="AR49" s="358"/>
      <c r="AS49" s="359"/>
      <c r="AT49" s="110"/>
    </row>
    <row r="50" spans="29:46" ht="15" customHeight="1"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</row>
    <row r="51" spans="29:46" ht="15" customHeight="1"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</row>
    <row r="52" spans="29:46" ht="15" customHeight="1"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</row>
    <row r="53" spans="29:46" ht="15" customHeight="1"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</row>
    <row r="54" spans="29:46" ht="15" customHeight="1"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</row>
    <row r="55" spans="29:46" ht="15" customHeight="1">
      <c r="AC55" s="114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T55" s="110"/>
    </row>
    <row r="56" spans="29:46" ht="15" customHeight="1">
      <c r="AC56" s="114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T56" s="110"/>
    </row>
    <row r="57" spans="29:46" ht="15" customHeight="1">
      <c r="AC57" s="114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T57" s="110"/>
    </row>
    <row r="58" spans="29:46" ht="15" customHeight="1">
      <c r="AC58" s="114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T58" s="110"/>
    </row>
    <row r="59" spans="29:46" ht="15" customHeight="1">
      <c r="AC59" s="114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T59" s="110"/>
    </row>
    <row r="60" spans="29:46" ht="15" customHeight="1">
      <c r="AC60" s="114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T60" s="110"/>
    </row>
    <row r="61" spans="29:46" ht="15" customHeight="1">
      <c r="AC61" s="114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T61" s="110"/>
    </row>
    <row r="62" spans="29:46" ht="15" customHeight="1">
      <c r="AC62" s="114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T62" s="110"/>
    </row>
    <row r="63" spans="29:46" ht="15" customHeight="1">
      <c r="AC63" s="114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T63" s="110"/>
    </row>
    <row r="64" spans="29:46" ht="15" customHeight="1">
      <c r="AC64" s="114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T64" s="110"/>
    </row>
    <row r="65" spans="27:47" ht="15" customHeight="1">
      <c r="AC65" s="114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T65" s="110"/>
    </row>
    <row r="66" spans="27:47" ht="15" customHeight="1">
      <c r="AC66" s="114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T66" s="110"/>
    </row>
    <row r="67" spans="27:47" ht="15" customHeight="1">
      <c r="AC67" s="114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T67" s="110"/>
    </row>
    <row r="68" spans="27:47" ht="15" customHeight="1">
      <c r="AC68" s="114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T68" s="110"/>
    </row>
    <row r="69" spans="27:47" ht="15" customHeight="1">
      <c r="AC69" s="114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T69" s="110"/>
    </row>
    <row r="70" spans="27:47" ht="15" customHeight="1">
      <c r="AC70" s="114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T70" s="110"/>
    </row>
    <row r="71" spans="27:47" ht="15" customHeight="1">
      <c r="AC71" s="114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T71" s="110"/>
    </row>
    <row r="72" spans="27:47" ht="15" customHeight="1">
      <c r="AC72" s="114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T72" s="110"/>
    </row>
    <row r="73" spans="27:47" ht="15" customHeight="1">
      <c r="AC73" s="114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T73" s="110"/>
    </row>
    <row r="74" spans="27:47" ht="15" customHeight="1">
      <c r="AC74" s="114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T74" s="110"/>
    </row>
    <row r="75" spans="27:47" ht="15" customHeight="1">
      <c r="AC75" s="114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T75" s="110"/>
    </row>
    <row r="76" spans="27:47" ht="15" customHeight="1">
      <c r="AC76" s="114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T76" s="110"/>
    </row>
    <row r="77" spans="27:47" ht="15" customHeight="1">
      <c r="AC77" s="114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T77" s="110"/>
    </row>
    <row r="78" spans="27:47" ht="15" customHeight="1">
      <c r="AC78" s="114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T78" s="110"/>
    </row>
    <row r="79" spans="27:47" ht="15" customHeight="1">
      <c r="AC79" s="114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T79" s="110"/>
    </row>
    <row r="80" spans="27:47">
      <c r="AA80" s="129"/>
      <c r="AC80" s="114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U80" s="110"/>
    </row>
    <row r="81" spans="27:47" ht="15" customHeight="1">
      <c r="AA81" s="129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U81" s="110"/>
    </row>
    <row r="82" spans="27:47" ht="15" customHeight="1">
      <c r="AA82" s="13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U82" s="110"/>
    </row>
    <row r="83" spans="27:47" ht="15" customHeight="1"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U83" s="110"/>
    </row>
    <row r="84" spans="27:47" ht="15" customHeight="1"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U84" s="110"/>
    </row>
    <row r="85" spans="27:47" ht="15" customHeight="1"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U85" s="110"/>
    </row>
    <row r="86" spans="27:47" ht="15" customHeight="1"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U86" s="110"/>
    </row>
    <row r="87" spans="27:47" ht="15" customHeight="1"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U87" s="110"/>
    </row>
    <row r="88" spans="27:47" ht="15" customHeight="1"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U88" s="110"/>
    </row>
    <row r="89" spans="27:47" ht="15" customHeight="1"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U89" s="110"/>
    </row>
    <row r="90" spans="27:47" ht="15" customHeight="1"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U90" s="110"/>
    </row>
    <row r="91" spans="27:47" ht="15" customHeight="1"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U91" s="110"/>
    </row>
    <row r="92" spans="27:47" ht="15" customHeight="1">
      <c r="AG92" s="110"/>
      <c r="AH92" s="110"/>
      <c r="AI92" s="110"/>
      <c r="AJ92" s="110"/>
      <c r="AK92" s="110"/>
      <c r="AL92" s="110"/>
      <c r="AM92" s="110"/>
      <c r="AN92" s="110"/>
      <c r="AO92" s="110"/>
      <c r="AP92" s="110"/>
      <c r="AQ92" s="110"/>
      <c r="AR92" s="110"/>
      <c r="AS92" s="110"/>
      <c r="AU92" s="110"/>
    </row>
    <row r="93" spans="27:47" ht="15" customHeight="1">
      <c r="AG93" s="110"/>
      <c r="AH93" s="110"/>
      <c r="AI93" s="110"/>
      <c r="AJ93" s="110"/>
      <c r="AK93" s="110"/>
      <c r="AL93" s="110"/>
      <c r="AM93" s="110"/>
      <c r="AN93" s="110"/>
      <c r="AO93" s="110"/>
      <c r="AP93" s="110"/>
      <c r="AQ93" s="110"/>
      <c r="AR93" s="110"/>
      <c r="AS93" s="110"/>
      <c r="AU93" s="110"/>
    </row>
    <row r="94" spans="27:47" ht="15" customHeight="1">
      <c r="AG94" s="110"/>
      <c r="AH94" s="110"/>
      <c r="AI94" s="110"/>
      <c r="AJ94" s="110"/>
      <c r="AK94" s="110"/>
      <c r="AL94" s="110"/>
      <c r="AM94" s="110"/>
      <c r="AN94" s="110"/>
      <c r="AO94" s="110"/>
      <c r="AP94" s="110"/>
      <c r="AQ94" s="110"/>
      <c r="AR94" s="110"/>
      <c r="AS94" s="110"/>
      <c r="AU94" s="110"/>
    </row>
    <row r="95" spans="27:47" ht="15" customHeight="1">
      <c r="AG95" s="110"/>
      <c r="AH95" s="110"/>
      <c r="AI95" s="110"/>
      <c r="AJ95" s="110"/>
      <c r="AK95" s="110"/>
      <c r="AL95" s="110"/>
      <c r="AM95" s="110"/>
      <c r="AN95" s="110"/>
      <c r="AO95" s="110"/>
      <c r="AP95" s="110"/>
      <c r="AQ95" s="110"/>
      <c r="AR95" s="110"/>
      <c r="AS95" s="110"/>
      <c r="AU95" s="110"/>
    </row>
    <row r="96" spans="27:47" ht="15" customHeight="1">
      <c r="AG96" s="110"/>
      <c r="AH96" s="110"/>
      <c r="AI96" s="110"/>
      <c r="AJ96" s="110"/>
      <c r="AK96" s="110"/>
      <c r="AL96" s="110"/>
      <c r="AM96" s="110"/>
      <c r="AN96" s="110"/>
      <c r="AO96" s="110"/>
      <c r="AP96" s="110"/>
      <c r="AQ96" s="110"/>
      <c r="AR96" s="110"/>
      <c r="AS96" s="110"/>
      <c r="AU96" s="110"/>
    </row>
    <row r="97" spans="33:47" ht="15" customHeight="1"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U97" s="110"/>
    </row>
    <row r="98" spans="33:47" ht="15.75" customHeight="1"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U98" s="110"/>
    </row>
    <row r="99" spans="33:47"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U99" s="110"/>
    </row>
    <row r="100" spans="33:47">
      <c r="AG100" s="110"/>
      <c r="AH100" s="110"/>
      <c r="AI100" s="110"/>
      <c r="AJ100" s="110"/>
      <c r="AK100" s="110"/>
      <c r="AL100" s="110"/>
      <c r="AM100" s="110"/>
      <c r="AN100" s="110"/>
      <c r="AO100" s="110"/>
      <c r="AP100" s="110"/>
      <c r="AQ100" s="110"/>
      <c r="AR100" s="110"/>
      <c r="AS100" s="110"/>
      <c r="AU100" s="110"/>
    </row>
    <row r="101" spans="33:47">
      <c r="AG101" s="110"/>
      <c r="AH101" s="110"/>
      <c r="AI101" s="110"/>
      <c r="AJ101" s="110"/>
      <c r="AK101" s="110"/>
      <c r="AL101" s="110"/>
      <c r="AM101" s="110"/>
      <c r="AN101" s="110"/>
      <c r="AO101" s="110"/>
      <c r="AP101" s="110"/>
      <c r="AQ101" s="110"/>
      <c r="AR101" s="110"/>
      <c r="AS101" s="110"/>
      <c r="AU101" s="110"/>
    </row>
    <row r="102" spans="33:47" ht="15" customHeight="1">
      <c r="AG102" s="110"/>
      <c r="AH102" s="110"/>
      <c r="AI102" s="110"/>
      <c r="AJ102" s="110"/>
      <c r="AK102" s="110"/>
      <c r="AL102" s="110"/>
      <c r="AM102" s="110"/>
      <c r="AN102" s="110"/>
      <c r="AO102" s="110"/>
      <c r="AP102" s="110"/>
      <c r="AQ102" s="110"/>
      <c r="AR102" s="110"/>
      <c r="AS102" s="110"/>
      <c r="AU102" s="110"/>
    </row>
    <row r="103" spans="33:47">
      <c r="AG103" s="110"/>
      <c r="AH103" s="110"/>
      <c r="AI103" s="110"/>
      <c r="AJ103" s="110"/>
      <c r="AK103" s="110"/>
      <c r="AL103" s="110"/>
      <c r="AM103" s="110"/>
      <c r="AN103" s="110"/>
      <c r="AO103" s="110"/>
      <c r="AP103" s="110"/>
      <c r="AQ103" s="110"/>
      <c r="AR103" s="110"/>
      <c r="AS103" s="110"/>
    </row>
    <row r="104" spans="33:47">
      <c r="AP104" s="133"/>
      <c r="AQ104" s="133"/>
      <c r="AR104" s="133"/>
      <c r="AS104" s="133"/>
    </row>
  </sheetData>
  <dataConsolidate topLabels="1">
    <dataRefs count="1">
      <dataRef ref="C8:D86" sheet="AHU 1"/>
    </dataRefs>
  </dataConsolidate>
  <mergeCells count="6">
    <mergeCell ref="AC46:AS49"/>
    <mergeCell ref="D5:G5"/>
    <mergeCell ref="H5:R5"/>
    <mergeCell ref="S5:V5"/>
    <mergeCell ref="X5:Z5"/>
    <mergeCell ref="AC5:AS5"/>
  </mergeCells>
  <conditionalFormatting sqref="Y7:Y17">
    <cfRule type="cellIs" dxfId="1" priority="326" operator="greaterThan">
      <formula>$Y$4</formula>
    </cfRule>
  </conditionalFormatting>
  <dataValidations disablePrompts="1" count="3">
    <dataValidation type="whole" operator="greaterThan" allowBlank="1" showInputMessage="1" showErrorMessage="1" sqref="E7:E17" xr:uid="{2F2D2EC7-6AFE-904F-B512-0CC9A417255E}">
      <formula1>1</formula1>
    </dataValidation>
    <dataValidation type="decimal" operator="greaterThan" allowBlank="1" showInputMessage="1" showErrorMessage="1" sqref="F7:F17" xr:uid="{1B317C93-78B3-6846-8ADC-FA5D45124E5F}">
      <formula1>1</formula1>
    </dataValidation>
    <dataValidation type="whole" operator="greaterThan" allowBlank="1" showInputMessage="1" showErrorMessage="1" sqref="S7:U17" xr:uid="{8C8A5046-B0AA-A045-89C9-D5331CBB455F}">
      <formula1>0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promptTitle="Title" prompt="Input message" xr:uid="{3315F8CC-E640-E44F-8FD0-662DFDADC281}">
          <x14:formula1>
            <xm:f>'UMC Table 4-A'!$A$2:$A$132</xm:f>
          </x14:formula1>
          <xm:sqref>M7:M9 M11:M17</xm:sqref>
        </x14:dataValidation>
        <x14:dataValidation type="list" allowBlank="1" showInputMessage="1" showErrorMessage="1" promptTitle="Title" prompt="Input message" xr:uid="{5D92F936-202C-1D45-B318-356AAEB5D1DA}">
          <x14:formula1>
            <xm:f>'UMC Table 4-A'!$A$1:$A$127</xm:f>
          </x14:formula1>
          <xm:sqref>M10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4A121-3860-452A-992E-F363EBA6A5F1}">
  <sheetPr codeName="Sheet4"/>
  <dimension ref="A1:AA15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J21" sqref="F21:J41"/>
    </sheetView>
  </sheetViews>
  <sheetFormatPr defaultRowHeight="12.75"/>
  <cols>
    <col min="1" max="1" width="10.28515625" bestFit="1" customWidth="1"/>
    <col min="2" max="2" width="19.5703125" bestFit="1" customWidth="1"/>
    <col min="3" max="3" width="19.28515625" bestFit="1" customWidth="1"/>
    <col min="4" max="4" width="11.140625" bestFit="1" customWidth="1"/>
    <col min="5" max="5" width="15.7109375" customWidth="1"/>
    <col min="6" max="6" width="16.7109375" customWidth="1"/>
    <col min="7" max="7" width="13.5703125" bestFit="1" customWidth="1"/>
    <col min="8" max="8" width="21.85546875" bestFit="1" customWidth="1"/>
    <col min="9" max="9" width="23.425781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16.85546875" bestFit="1" customWidth="1"/>
    <col min="16" max="17" width="15.4257812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18.5703125" bestFit="1" customWidth="1"/>
    <col min="26" max="26" width="21.42578125" customWidth="1"/>
    <col min="27" max="27" width="15.140625" customWidth="1"/>
  </cols>
  <sheetData>
    <row r="1" spans="1:27">
      <c r="A1" s="368" t="s">
        <v>481</v>
      </c>
      <c r="B1" s="369"/>
      <c r="C1" s="369"/>
      <c r="D1" s="369"/>
      <c r="E1" s="369"/>
      <c r="F1" s="369"/>
      <c r="G1" s="369"/>
      <c r="H1" s="368" t="s">
        <v>480</v>
      </c>
      <c r="I1" s="369"/>
      <c r="J1" s="369"/>
      <c r="K1" s="369"/>
      <c r="L1" s="369"/>
      <c r="M1" s="369"/>
      <c r="N1" s="369"/>
      <c r="O1" s="369"/>
      <c r="P1" s="369"/>
      <c r="Q1" s="369"/>
      <c r="R1" s="369"/>
      <c r="S1" s="369"/>
      <c r="T1" s="369"/>
      <c r="U1" s="369"/>
      <c r="V1" s="369"/>
      <c r="W1" s="368" t="s">
        <v>479</v>
      </c>
      <c r="X1" s="369"/>
      <c r="Y1" s="369"/>
    </row>
    <row r="2" spans="1:27" s="16" customFormat="1" ht="47.25">
      <c r="A2" s="293" t="s">
        <v>613</v>
      </c>
      <c r="B2" s="294" t="s">
        <v>456</v>
      </c>
      <c r="C2" s="294" t="s">
        <v>457</v>
      </c>
      <c r="D2" s="295" t="s">
        <v>467</v>
      </c>
      <c r="E2" s="295" t="s">
        <v>472</v>
      </c>
      <c r="F2" s="295" t="s">
        <v>466</v>
      </c>
      <c r="G2" s="296" t="s">
        <v>279</v>
      </c>
      <c r="H2" s="296" t="s">
        <v>471</v>
      </c>
      <c r="I2" s="295" t="s">
        <v>475</v>
      </c>
      <c r="J2" s="295" t="s">
        <v>464</v>
      </c>
      <c r="K2" s="295" t="s">
        <v>468</v>
      </c>
      <c r="L2" s="295" t="s">
        <v>469</v>
      </c>
      <c r="M2" s="295" t="s">
        <v>477</v>
      </c>
      <c r="N2" s="295" t="s">
        <v>476</v>
      </c>
      <c r="O2" s="296" t="s">
        <v>458</v>
      </c>
      <c r="P2" s="297" t="s">
        <v>461</v>
      </c>
      <c r="Q2" s="297" t="s">
        <v>462</v>
      </c>
      <c r="R2" s="297" t="s">
        <v>463</v>
      </c>
      <c r="S2" s="297" t="s">
        <v>478</v>
      </c>
      <c r="T2" s="296" t="s">
        <v>484</v>
      </c>
      <c r="U2" s="296" t="s">
        <v>483</v>
      </c>
      <c r="V2" s="295" t="s">
        <v>482</v>
      </c>
      <c r="W2" s="297" t="s">
        <v>657</v>
      </c>
      <c r="X2" s="297" t="s">
        <v>659</v>
      </c>
      <c r="Y2" s="295" t="s">
        <v>660</v>
      </c>
      <c r="Z2" s="298" t="s">
        <v>9</v>
      </c>
      <c r="AA2" s="299" t="s">
        <v>459</v>
      </c>
    </row>
    <row r="3" spans="1:27" ht="17.25">
      <c r="A3" s="142" t="s">
        <v>697</v>
      </c>
      <c r="B3" s="142">
        <v>101</v>
      </c>
      <c r="C3" s="142" t="s">
        <v>698</v>
      </c>
      <c r="D3" s="142">
        <v>1500</v>
      </c>
      <c r="E3" s="142">
        <v>0</v>
      </c>
      <c r="F3" s="291">
        <f>IF((AHU_1_Ashrae[[#This Row],[Occupancy Subcategory]] = "TOILET"),MROUND(D3/2,5),MROUND(D3,5))</f>
        <v>1500</v>
      </c>
      <c r="G3" s="142">
        <v>1500</v>
      </c>
      <c r="H3" s="142" t="s">
        <v>612</v>
      </c>
      <c r="I3" s="142" t="s">
        <v>548</v>
      </c>
      <c r="J3" s="142" t="s">
        <v>552</v>
      </c>
      <c r="K3" s="18" cm="1">
        <f t="array" ref="K3">INDEX(Ashrae90.1Vent[RP],MATCH(AHU_1_Ashrae[[#This Row],[Occupancy Category]]&amp;AHU_1_Ashrae[[#This Row],[Occupancy Subcategory]],Ashrae90.1Vent[OCCUPANCY CATEGORY]&amp;Ashrae90.1Vent[OCCUPANCY SUBCATEGORY],0))</f>
        <v>5</v>
      </c>
      <c r="L3" s="18" cm="1">
        <f t="array" ref="L3">INDEX(Ashrae90.1Vent[RA],MATCH(AHU_1_Ashrae[[#This Row],[Occupancy Category]]&amp;AHU_1_Ashrae[[#This Row],[Occupancy Subcategory]],Ashrae90.1Vent[OCCUPANCY CATEGORY]&amp;Ashrae90.1Vent[OCCUPANCY SUBCATEGORY],))</f>
        <v>0.06</v>
      </c>
      <c r="M3" s="18" cm="1">
        <f t="array" ref="M3">INDEX(Ashrae90.1Vent[OCCUPANT DENSITY],MATCH(AHU_1_Ashrae[[#This Row],[Occupancy Category]]&amp;AHU_1_Ashrae[[#This Row],[Occupancy Subcategory]],Ashrae90.1Vent[OCCUPANCY CATEGORY]&amp;Ashrae90.1Vent[OCCUPANCY SUBCATEGORY],))</f>
        <v>5</v>
      </c>
      <c r="N3" s="18" cm="1">
        <f t="array" ref="N3">INDEX(Ashrae90.1Vent[AIR CLASS],MATCH(AHU_1_Ashrae[[#This Row],[Occupancy Category]]&amp;AHU_1_Ashrae[[#This Row],[Occupancy Subcategory]],Ashrae90.1Vent[OCCUPANCY CATEGORY]&amp;Ashrae90.1Vent[OCCUPANCY SUBCATEGORY],))</f>
        <v>1</v>
      </c>
      <c r="O3" s="18">
        <f>CEILING((M3/1000)*D3,1)</f>
        <v>8</v>
      </c>
      <c r="P3" s="106">
        <f>(AHU_1_Ashrae[[#This Row],[RP
(CFM/PER PERSON)]]*AHU_1_Ashrae[[#This Row],[Occupants]])+(AHU_1_Ashrae[[#This Row],[RA
(CFM/FT²)]]*AHU_1_Ashrae[[#This Row],[AREA 
(FT²)]])</f>
        <v>130</v>
      </c>
      <c r="Q3" s="292">
        <v>0.8</v>
      </c>
      <c r="R3" s="106">
        <f>P3/Q3</f>
        <v>162.5</v>
      </c>
      <c r="S3" s="106">
        <f>AHU_1_Ashrae[[#This Row],[Voz]]</f>
        <v>162.5</v>
      </c>
      <c r="T3" s="106">
        <f>IF(AHU_1_Ashrae[[#This Row],[Exhaust Category]]="NA","NA",VLOOKUP(AHU_1_Ashrae[[#This Row],[Exhaust Category]],ASHRAE_EA_Table[#All],3,FALSE))</f>
        <v>0</v>
      </c>
      <c r="U3" s="106">
        <f>IF(AHU_1_Ashrae[[#This Row],[Exhaust Category]]="NA","NA",VLOOKUP(AHU_1_Ashrae[[#This Row],[Exhaust Category]],ASHRAE_EA_Table[#All],4,FALSE))</f>
        <v>0</v>
      </c>
      <c r="V3" s="18">
        <f>IF(AHU_1_Ashrae[[#This Row],[EA RATE
(CFM/UNIT)]]=0&amp;AHU_1_Ashrae[[#This Row],[EA RATE
(CFM/FT²)]]=0,0,IF(AHU_1_Ashrae[[#This Row],[EA RATE
(CFM/UNIT)]]=0,AHU_1_Ashrae[[#This Row],[EA RATE
(CFM/FT²)]]*AHU_1_Ashrae[[#This Row],[AREA 
(FT²)]],AHU_1_Ashrae[[#This Row],[Exhaust Units]]*AHU_1_Ashrae[[#This Row],[EA RATE
(CFM/UNIT)]]))</f>
        <v>0</v>
      </c>
      <c r="W3" s="320">
        <f>IF(AHU_1_Ashrae[[#This Row],[MIN ASHRAE EA
(CFM)]]=0,MAX(AHU_1_Ashrae[[#This Row],[LOAD (CFM)]],AHU_1_Ashrae[[#This Row],[OFFICE STANDARD 
(CFM)]]),AHU_1_Ashrae[[#This Row],[DESIGN EA(CFM)]]-100)</f>
        <v>1500</v>
      </c>
      <c r="X3" s="320">
        <f>IF(AHU_1_Ashrae[[#This Row],[MIN ASHRAE EA
(CFM)]]=0,AHU_1_Ashrae[[#This Row],[DESIGN SA(CFM)]],0)</f>
        <v>1500</v>
      </c>
      <c r="Y3" s="320">
        <f>IF(AHU_1_Ashrae[[#This Row],[MIN ASHRAE EA
(CFM)]]=0,0,IF(AHU_1_Ashrae[[#This Row],[MIN ASHRAE EA
(CFM)]]&lt;AHU_1_Ashrae[[#This Row],[LOAD (CFM)]],AHU_1_Ashrae[[#This Row],[LOAD (CFM)]]+100,AHU_1_Ashrae[[#This Row],[MIN ASHRAE EA
(CFM)]]))</f>
        <v>0</v>
      </c>
      <c r="Z3" s="106">
        <f>AHU_1_Ashrae[[#This Row],[DESIGN SA(CFM)]]-AHU_1_Ashrae[[#This Row],[DESIGN RA(CFM)]]-AHU_1_Ashrae[[#This Row],[DESIGN EA(CFM)]]</f>
        <v>0</v>
      </c>
      <c r="AA3" s="300">
        <f>AHU_1_Ashrae[[#This Row],[OUTSIDE AIRFLOW (CFM) (Vot)]]/AHU_1_Ashrae[[#This Row],[DESIGN SA(CFM)]]</f>
        <v>0.10833333333333334</v>
      </c>
    </row>
    <row r="4" spans="1:27" ht="15.75">
      <c r="A4" s="294" t="s">
        <v>485</v>
      </c>
      <c r="B4" s="294"/>
      <c r="C4" s="313">
        <f>SUBTOTAL(103,AHU_1_Ashrae[Room])</f>
        <v>1</v>
      </c>
      <c r="D4" s="312">
        <f>SUBTOTAL(109,AHU_1_Ashrae[AREA 
(FT²)])</f>
        <v>1500</v>
      </c>
      <c r="E4" s="314"/>
      <c r="F4" s="315"/>
      <c r="G4" s="311">
        <f>SUBTOTAL(109,AHU_1_Ashrae[LOAD (CFM)])</f>
        <v>1500</v>
      </c>
      <c r="H4" s="294"/>
      <c r="I4" s="294"/>
      <c r="J4" s="294"/>
      <c r="K4" s="316"/>
      <c r="L4" s="316"/>
      <c r="M4" s="316"/>
      <c r="N4" s="316"/>
      <c r="O4" s="317">
        <f>SUBTOTAL(109,AHU_1_Ashrae[Occupants])</f>
        <v>8</v>
      </c>
      <c r="P4" s="316"/>
      <c r="Q4" s="316"/>
      <c r="R4" s="316"/>
      <c r="S4" s="318">
        <f>SUBTOTAL(109,AHU_1_Ashrae[OUTSIDE AIRFLOW (CFM) (Vot)])</f>
        <v>162.5</v>
      </c>
      <c r="T4" s="316"/>
      <c r="U4" s="316"/>
      <c r="V4" s="316"/>
      <c r="W4" s="318">
        <f>SUBTOTAL(109,AHU_1_Ashrae[DESIGN SA(CFM)])</f>
        <v>1500</v>
      </c>
      <c r="X4" s="318">
        <f>SUBTOTAL(109,AHU_1_Ashrae[DESIGN RA(CFM)])</f>
        <v>1500</v>
      </c>
      <c r="Y4" s="318">
        <f>SUBTOTAL(109,AHU_1_Ashrae[DESIGN EA(CFM)])</f>
        <v>0</v>
      </c>
      <c r="Z4" s="316"/>
      <c r="AA4" s="319"/>
    </row>
    <row r="15" spans="1:27">
      <c r="T15" s="89"/>
    </row>
  </sheetData>
  <mergeCells count="3">
    <mergeCell ref="A1:G1"/>
    <mergeCell ref="H1:V1"/>
    <mergeCell ref="W1:Y1"/>
  </mergeCells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2419C7A8-2592-4E08-83B1-E9BD4893D9DD}">
          <x14:formula1>
            <xm:f>'ASHRAE Table'!$J$2:$J$37</xm:f>
          </x14:formula1>
          <xm:sqref>H3</xm:sqref>
        </x14:dataValidation>
        <x14:dataValidation type="list" allowBlank="1" showInputMessage="1" showErrorMessage="1" xr:uid="{7E2C388A-D201-46D0-904F-B76BD9905F1C}">
          <x14:formula1>
            <xm:f>'ASHRAE Table'!$R$3:$R$13</xm:f>
          </x14:formula1>
          <xm:sqref>Q3</xm:sqref>
        </x14:dataValidation>
        <x14:dataValidation type="list" allowBlank="1" showInputMessage="1" showErrorMessage="1" xr:uid="{3C0AD193-8369-4DE4-9035-C96CFEA2100C}">
          <x14:formula1>
            <xm:f>'ASHRAE Table'!$A$2:$A$91</xm:f>
          </x14:formula1>
          <xm:sqref>I3</xm:sqref>
        </x14:dataValidation>
        <x14:dataValidation type="list" allowBlank="1" showInputMessage="1" showErrorMessage="1" xr:uid="{C2CBAE18-0105-4F18-954F-88660BFD2CBC}">
          <x14:formula1>
            <xm:f>'ASHRAE Table'!$B$2:$B$91</xm:f>
          </x14:formula1>
          <xm:sqref>J3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7DF58-4E2B-4F14-8526-62543F7A20F2}">
  <sheetPr codeName="Sheet12"/>
  <dimension ref="A1:BE41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G27" sqref="G27"/>
    </sheetView>
  </sheetViews>
  <sheetFormatPr defaultRowHeight="12.75"/>
  <cols>
    <col min="1" max="1" width="13.5703125" bestFit="1" customWidth="1"/>
    <col min="2" max="2" width="19.5703125" bestFit="1" customWidth="1"/>
    <col min="3" max="3" width="19.28515625" bestFit="1" customWidth="1"/>
    <col min="4" max="4" width="20.85546875" bestFit="1" customWidth="1"/>
    <col min="5" max="5" width="15.7109375" customWidth="1"/>
    <col min="6" max="6" width="16.7109375" hidden="1" customWidth="1"/>
    <col min="7" max="7" width="13.5703125" bestFit="1" customWidth="1"/>
    <col min="8" max="8" width="21.85546875" bestFit="1" customWidth="1"/>
    <col min="9" max="9" width="23.425781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27.140625" bestFit="1" customWidth="1"/>
    <col min="16" max="17" width="15.42578125" bestFit="1" customWidth="1"/>
    <col min="18" max="18" width="15.710937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27.85546875" bestFit="1" customWidth="1"/>
    <col min="26" max="26" width="18.5703125" customWidth="1"/>
    <col min="27" max="27" width="21.42578125" customWidth="1"/>
    <col min="28" max="28" width="15.140625" customWidth="1"/>
    <col min="29" max="29" width="18" bestFit="1" customWidth="1"/>
    <col min="30" max="30" width="21.28515625" bestFit="1" customWidth="1"/>
    <col min="31" max="32" width="20.85546875" bestFit="1" customWidth="1"/>
    <col min="33" max="33" width="19.5703125" bestFit="1" customWidth="1"/>
    <col min="34" max="34" width="26.7109375" bestFit="1" customWidth="1"/>
    <col min="35" max="35" width="33.42578125" bestFit="1" customWidth="1"/>
    <col min="36" max="36" width="17.42578125" bestFit="1" customWidth="1"/>
    <col min="37" max="37" width="18.5703125" bestFit="1" customWidth="1"/>
    <col min="38" max="38" width="25.28515625" bestFit="1" customWidth="1"/>
    <col min="39" max="39" width="13.5703125" bestFit="1" customWidth="1"/>
    <col min="40" max="40" width="26.7109375" bestFit="1" customWidth="1"/>
    <col min="41" max="41" width="33.42578125" bestFit="1" customWidth="1"/>
    <col min="42" max="43" width="17.42578125" bestFit="1" customWidth="1"/>
    <col min="44" max="44" width="18.5703125" bestFit="1" customWidth="1"/>
    <col min="45" max="45" width="19.5703125" bestFit="1" customWidth="1"/>
    <col min="46" max="46" width="14.5703125" bestFit="1" customWidth="1"/>
    <col min="47" max="47" width="17.85546875" bestFit="1" customWidth="1"/>
    <col min="48" max="48" width="12.5703125" bestFit="1" customWidth="1"/>
    <col min="49" max="49" width="15.7109375" bestFit="1" customWidth="1"/>
    <col min="50" max="50" width="12.140625" bestFit="1" customWidth="1"/>
    <col min="51" max="51" width="18.42578125" customWidth="1"/>
    <col min="52" max="52" width="12.85546875" bestFit="1" customWidth="1"/>
    <col min="53" max="53" width="14.5703125" bestFit="1" customWidth="1"/>
    <col min="54" max="54" width="13" bestFit="1" customWidth="1"/>
    <col min="55" max="55" width="15.7109375" bestFit="1" customWidth="1"/>
    <col min="56" max="56" width="14.85546875" bestFit="1" customWidth="1"/>
    <col min="57" max="57" width="15.7109375" bestFit="1" customWidth="1"/>
    <col min="58" max="58" width="18.5703125" bestFit="1" customWidth="1"/>
  </cols>
  <sheetData>
    <row r="1" spans="1:57">
      <c r="A1" s="368" t="s">
        <v>481</v>
      </c>
      <c r="B1" s="369"/>
      <c r="C1" s="369"/>
      <c r="D1" s="369"/>
      <c r="E1" s="369"/>
      <c r="F1" s="369"/>
      <c r="G1" s="369"/>
      <c r="H1" s="378" t="s">
        <v>480</v>
      </c>
      <c r="I1" s="379"/>
      <c r="J1" s="379"/>
      <c r="K1" s="379"/>
      <c r="L1" s="379"/>
      <c r="M1" s="379"/>
      <c r="N1" s="379"/>
      <c r="O1" s="379"/>
      <c r="P1" s="379"/>
      <c r="Q1" s="379"/>
      <c r="R1" s="379"/>
      <c r="S1" s="379"/>
      <c r="T1" s="379"/>
      <c r="U1" s="379"/>
      <c r="V1" s="379"/>
      <c r="W1" s="379"/>
      <c r="X1" s="379"/>
      <c r="Y1" s="379"/>
      <c r="Z1" s="379"/>
      <c r="AA1" s="379"/>
      <c r="AB1" s="379"/>
      <c r="AC1" s="379"/>
    </row>
    <row r="2" spans="1:57" s="16" customFormat="1" ht="47.25">
      <c r="A2" s="293" t="s">
        <v>613</v>
      </c>
      <c r="B2" s="294" t="s">
        <v>456</v>
      </c>
      <c r="C2" s="294" t="s">
        <v>457</v>
      </c>
      <c r="D2" s="295" t="s">
        <v>690</v>
      </c>
      <c r="E2" s="295" t="s">
        <v>472</v>
      </c>
      <c r="F2" s="295" t="s">
        <v>466</v>
      </c>
      <c r="G2" s="296" t="s">
        <v>279</v>
      </c>
      <c r="H2" s="296" t="s">
        <v>471</v>
      </c>
      <c r="I2" s="295" t="s">
        <v>475</v>
      </c>
      <c r="J2" s="295" t="s">
        <v>464</v>
      </c>
      <c r="K2" s="295" t="s">
        <v>468</v>
      </c>
      <c r="L2" s="295" t="s">
        <v>469</v>
      </c>
      <c r="M2" s="295" t="s">
        <v>477</v>
      </c>
      <c r="N2" s="295" t="s">
        <v>476</v>
      </c>
      <c r="O2" s="296" t="s">
        <v>661</v>
      </c>
      <c r="P2" s="296" t="s">
        <v>662</v>
      </c>
      <c r="Q2" s="296" t="s">
        <v>663</v>
      </c>
      <c r="R2" s="297" t="s">
        <v>665</v>
      </c>
      <c r="S2" s="297" t="s">
        <v>666</v>
      </c>
      <c r="T2" s="297" t="s">
        <v>478</v>
      </c>
      <c r="U2" s="322" t="s">
        <v>669</v>
      </c>
      <c r="V2" s="322" t="s">
        <v>668</v>
      </c>
      <c r="W2" s="322" t="s">
        <v>667</v>
      </c>
      <c r="X2" s="322" t="s">
        <v>689</v>
      </c>
      <c r="Y2" s="322" t="s">
        <v>694</v>
      </c>
      <c r="Z2" s="322" t="s">
        <v>451</v>
      </c>
      <c r="AA2" s="322" t="s">
        <v>691</v>
      </c>
      <c r="AB2" s="296" t="s">
        <v>484</v>
      </c>
      <c r="AC2" s="296" t="s">
        <v>483</v>
      </c>
      <c r="AD2" s="295" t="s">
        <v>482</v>
      </c>
      <c r="AE2" s="297" t="s">
        <v>692</v>
      </c>
      <c r="AF2" s="297" t="s">
        <v>693</v>
      </c>
      <c r="AG2" s="297" t="s">
        <v>664</v>
      </c>
      <c r="AH2" s="295" t="s">
        <v>660</v>
      </c>
      <c r="AI2" s="298" t="s">
        <v>9</v>
      </c>
      <c r="AJ2" s="299" t="s">
        <v>459</v>
      </c>
      <c r="AM2" s="122" t="s">
        <v>91</v>
      </c>
      <c r="AN2" s="122" t="s">
        <v>79</v>
      </c>
      <c r="AO2" s="122" t="s">
        <v>80</v>
      </c>
      <c r="AP2" s="122" t="s">
        <v>652</v>
      </c>
      <c r="AQ2" s="122" t="s">
        <v>653</v>
      </c>
      <c r="AR2" s="122" t="s">
        <v>654</v>
      </c>
      <c r="AS2" s="122" t="s">
        <v>655</v>
      </c>
      <c r="AT2" s="122" t="s">
        <v>656</v>
      </c>
      <c r="AU2" s="122" t="s">
        <v>35</v>
      </c>
      <c r="AV2" s="122" t="s">
        <v>72</v>
      </c>
      <c r="AW2" s="122" t="s">
        <v>36</v>
      </c>
      <c r="AX2" s="122" t="s">
        <v>71</v>
      </c>
      <c r="AY2" s="122" t="s">
        <v>70</v>
      </c>
      <c r="AZ2" s="122" t="s">
        <v>160</v>
      </c>
      <c r="BA2" s="122" t="s">
        <v>34</v>
      </c>
      <c r="BB2" s="122" t="s">
        <v>75</v>
      </c>
      <c r="BC2" s="122" t="s">
        <v>76</v>
      </c>
      <c r="BD2" s="122" t="s">
        <v>77</v>
      </c>
      <c r="BE2" s="122" t="s">
        <v>65</v>
      </c>
    </row>
    <row r="3" spans="1:57" ht="17.25">
      <c r="A3" s="142" t="s">
        <v>614</v>
      </c>
      <c r="B3" s="142">
        <v>102</v>
      </c>
      <c r="C3" s="142" t="s">
        <v>460</v>
      </c>
      <c r="D3" s="142">
        <v>900</v>
      </c>
      <c r="E3" s="142">
        <v>0</v>
      </c>
      <c r="F3" s="291">
        <f>IF((AHU_2_Ashrae[[#This Row],[Occupancy Subcategory]] = "TOILET"),MROUND(D3/2,5),MROUND(D3,5))</f>
        <v>900</v>
      </c>
      <c r="G3" s="142">
        <v>650</v>
      </c>
      <c r="H3" s="142" t="s">
        <v>612</v>
      </c>
      <c r="I3" s="142" t="s">
        <v>473</v>
      </c>
      <c r="J3" s="142" t="s">
        <v>474</v>
      </c>
      <c r="K3" s="18" cm="1">
        <f t="array" ref="K3">INDEX(Ashrae90.1Vent[RP],MATCH(AHU_2_Ashrae[[#This Row],[Occupancy Category]]&amp;AHU_2_Ashrae[[#This Row],[Occupancy Subcategory]],Ashrae90.1Vent[OCCUPANCY CATEGORY]&amp;Ashrae90.1Vent[OCCUPANCY SUBCATEGORY],0))</f>
        <v>10</v>
      </c>
      <c r="L3" s="18" cm="1">
        <f t="array" ref="L3">INDEX(Ashrae90.1Vent[RA],MATCH(AHU_2_Ashrae[[#This Row],[Occupancy Category]]&amp;AHU_2_Ashrae[[#This Row],[Occupancy Subcategory]],Ashrae90.1Vent[OCCUPANCY CATEGORY]&amp;Ashrae90.1Vent[OCCUPANCY SUBCATEGORY],))</f>
        <v>0.12</v>
      </c>
      <c r="M3" s="18" cm="1">
        <f t="array" ref="M3">INDEX(Ashrae90.1Vent[OCCUPANT DENSITY],MATCH(AHU_2_Ashrae[[#This Row],[Occupancy Category]]&amp;AHU_2_Ashrae[[#This Row],[Occupancy Subcategory]],Ashrae90.1Vent[OCCUPANCY CATEGORY]&amp;Ashrae90.1Vent[OCCUPANCY SUBCATEGORY],))</f>
        <v>20</v>
      </c>
      <c r="N3" s="18" cm="1">
        <f t="array" ref="N3">INDEX(Ashrae90.1Vent[AIR CLASS],MATCH(AHU_2_Ashrae[[#This Row],[Occupancy Category]]&amp;AHU_2_Ashrae[[#This Row],[Occupancy Subcategory]],Ashrae90.1Vent[OCCUPANCY CATEGORY]&amp;Ashrae90.1Vent[OCCUPANCY SUBCATEGORY],))</f>
        <v>2</v>
      </c>
      <c r="O3" s="142">
        <v>10</v>
      </c>
      <c r="P3" s="18">
        <f>CEILING((M3/1000)*D3,1)</f>
        <v>18</v>
      </c>
      <c r="Q3" s="18">
        <f>IF((AHU_2_Ashrae[[#Totals],[Actual Number of  Occupants (Ps)]]/AHU_2_Ashrae[[#Totals],[Occupants (Pz)]])&gt;1,1,AHU_2_Ashrae[[#Totals],[Actual Number of  Occupants (Ps)]]/AHU_2_Ashrae[[#Totals],[Occupants (Pz)]])</f>
        <v>0.72413793103448276</v>
      </c>
      <c r="R3" s="106">
        <f>(AHU_2_Ashrae[[#This Row],[DIVERSITY (D)]]*AHU_2_Ashrae[[#This Row],[RP
(CFM/PER PERSON)]]*AHU_2_Ashrae[[#This Row],[Occupants (Pz)]])+(AHU_2_Ashrae[[#This Row],[RA
(CFM/FT²)]]*AHU_2_Ashrae[[#This Row],[AREA (FT²)]])</f>
        <v>238.34482758620689</v>
      </c>
      <c r="S3" s="321">
        <f>IF(AHU_2_Ashrae[[#This Row],[DIVERSITY (D)]]&lt;0.6,(0.88*AHU_2_Ashrae[[#This Row],[DIVERSITY (D)]]+0.22),0.75)</f>
        <v>0.75</v>
      </c>
      <c r="T3" s="106">
        <f>AHU_2_Ashrae[[#This Row],[Uncorrected OA (Vou)]]/AHU_2_Ashrae[[#This Row],[System Efficiency (Ev)]]</f>
        <v>317.79310344827587</v>
      </c>
      <c r="U3" s="106">
        <f>(AHU_2_Ashrae[[#This Row],[RP
(CFM/PER PERSON)]]*AHU_2_Ashrae[[#This Row],[Occupants (Pz)]])+(AHU_2_Ashrae[[#This Row],[RA
(CFM/FT²)]]*AHU_2_Ashrae[[#This Row],[AREA (FT²)]])</f>
        <v>288</v>
      </c>
      <c r="V3" s="142">
        <v>0.8</v>
      </c>
      <c r="W3" s="106">
        <f>AHU_2_Ashrae[[#This Row],[Breathing Zone OA (Vbz)]]/AHU_2_Ashrae[[#This Row],[Zone Efficiency (Ez)]]</f>
        <v>360</v>
      </c>
      <c r="X3" s="142" t="s">
        <v>244</v>
      </c>
      <c r="Y3" s="106" t="str">
        <f>IF(AHU_2_Ashrae[[#This Row],[EXHAUST RECOVERY]]="YES",(IF(AHU_2_Ashrae[[#This Row],[AREA (FT²)]]&lt;(VLOOKUP(INPUT_OUTPUTS!$C$6,'ASHRAE Table'!Z2:AC21,MATCH((AHU_2_Ashrae[[#This Row],[OCCUPANT DENSITY
('#/1000 FT²)]]*AHU_2_Ashrae[[#This Row],[RP
(CFM/PER PERSON)]]),'ASHRAE Table'!Z2:AC2,1),FALSE)), "NO","PROVIDE CO2 SENSOR")),(IF(AHU_2_Ashrae[[#This Row],[AREA (FT²)]]&lt;(VLOOKUP(INPUT_OUTPUTS!$C$6,'ASHRAE Table'!V2:Y21,MATCH((AHU_2_Ashrae[[#This Row],[OCCUPANT DENSITY
('#/1000 FT²)]]*AHU_2_Ashrae[[#This Row],[RP
(CFM/PER PERSON)]]),'ASHRAE Table'!V2:Y2,1),FALSE)), "NOT REQUIRED","PROVIDE CO2 SENSOR")))</f>
        <v>NOT REQUIRED</v>
      </c>
      <c r="Z3" s="106" t="str" cm="1">
        <f t="array" ref="Z3">INDEX(Ashrae90.1Vent[OS],MATCH(AHU_2_Ashrae[[#This Row],[Occupancy Category]]&amp;AHU_2_Ashrae[[#This Row],[Occupancy Subcategory]],Ashrae90.1Vent[OCCUPANCY CATEGORY]&amp;Ashrae90.1Vent[OCCUPANCY SUBCATEGORY],0))</f>
        <v>NO</v>
      </c>
      <c r="AA3" s="106">
        <f>IF(AHU_2_Ashrae[[#This Row],[OS]]="YES",0,AHU_2_Ashrae[[#This Row],[RA
(CFM/FT²)]]*AHU_2_Ashrae[[#This Row],[AREA (FT²)]])</f>
        <v>108</v>
      </c>
      <c r="AB3" s="106">
        <f>IF(AHU_2_Ashrae[[#This Row],[Exhaust Category]]="NA","NA",VLOOKUP(AHU_2_Ashrae[[#This Row],[Exhaust Category]],ASHRAE_EA_Table[[#All],[OCCUPANCY SUBCATEGORY]:[EXHAUST RATE PER AREA]],2))</f>
        <v>0</v>
      </c>
      <c r="AC3" s="106">
        <f>IF(AHU_2_Ashrae[[#This Row],[Exhaust Category]]="NA","NA",VLOOKUP(AHU_2_Ashrae[[#This Row],[Exhaust Category]],ASHRAE_EA_Table[[#All],[OCCUPANCY SUBCATEGORY]:[EXHAUST RATE PER AREA]],3))</f>
        <v>0.25</v>
      </c>
      <c r="AD3" s="18">
        <f>IF(AHU_2_Ashrae[[#This Row],[EA RATE
(CFM/UNIT)]]="NA"&amp;AHU_2_Ashrae[[#This Row],[EA RATE
(CFM/FT²)]]="NA",0,IF(AHU_2_Ashrae[[#This Row],[EA RATE
(CFM/UNIT)]]="NA",AHU_2_Ashrae[[#This Row],[EA RATE
(CFM/FT²)]]*AHU_2_Ashrae[[#This Row],[AREA (FT²)]],AHU_2_Ashrae[[#This Row],[Exhaust Units]]*AHU_2_Ashrae[[#This Row],[EA RATE
(CFM/UNIT)]]))</f>
        <v>0</v>
      </c>
      <c r="AE3" s="106">
        <f>IF((AHU_2_Ashrae[[#This Row],[DESIGN VAV MAX SA(CFM)]]*0.3)&lt;(AHU_2_Ashrae[[#This Row],[Zone OA (Voz)]]*1.5),(AHU_2_Ashrae[[#This Row],[Zone OA (Voz)]]*1.5),(AHU_2_Ashrae[[#This Row],[DESIGN VAV MAX SA(CFM)]]*0.3))</f>
        <v>540</v>
      </c>
      <c r="AF3" s="142">
        <f>IF(AHU_2_Ashrae[[#This Row],[MIN ASHRAE EA
(CFM)]]=0,MAX(AHU_2_Ashrae[[#This Row],[LOAD (CFM)]],AHU_2_Ashrae[[#This Row],[OFFICE STANDARD 
(CFM)]]),AHU_2_Ashrae[[#This Row],[DESIGN EA(CFM)]]-100)</f>
        <v>900</v>
      </c>
      <c r="AG3" s="142">
        <f>IF(AHU_2_Ashrae[[#This Row],[MIN ASHRAE EA
(CFM)]]=0,AHU_2_Ashrae[[#This Row],[DESIGN VAV MAX SA(CFM)]],0)</f>
        <v>900</v>
      </c>
      <c r="AH3" s="142">
        <f>IF(AHU_2_Ashrae[[#This Row],[MIN ASHRAE EA
(CFM)]]=0,0,IF(AHU_2_Ashrae[[#This Row],[MIN ASHRAE EA
(CFM)]]&lt;AHU_2_Ashrae[[#This Row],[LOAD (CFM)]],AHU_2_Ashrae[[#This Row],[LOAD (CFM)]]+100,AHU_2_Ashrae[[#This Row],[MIN ASHRAE EA
(CFM)]]))</f>
        <v>0</v>
      </c>
      <c r="AI3" s="106">
        <f>AHU_2_Ashrae[[#This Row],[DESIGN VAV MAX SA(CFM)]]-AHU_2_Ashrae[[#This Row],[DESIGN RA (CFM)]]-AHU_2_Ashrae[[#This Row],[DESIGN EA(CFM)]]</f>
        <v>0</v>
      </c>
      <c r="AJ3" s="300">
        <f>AHU_2_Ashrae[[#This Row],[OUTSIDE AIRFLOW (CFM) (Vot)]]/AHU_2_Ashrae[[#This Row],[DESIGN VAV MAX SA(CFM)]]</f>
        <v>0.3531034482758621</v>
      </c>
      <c r="AM3" s="323" t="s">
        <v>614</v>
      </c>
      <c r="AN3" s="323" t="s">
        <v>82</v>
      </c>
      <c r="AO3" s="323" t="s">
        <v>88</v>
      </c>
      <c r="AP3" s="325">
        <f>SUMIF(AHU_2_Ashrae[Zone],AHU1_CAV_SCHEDULE44514167[[#This Row],[ZONE]],AHU_2_Ashrae[DESIGN VAV MIN SA(CFM)])</f>
        <v>677.8125</v>
      </c>
      <c r="AQ3" s="323">
        <f>SUMIF(AHU_2_Ashrae[Zone],AHU1_CAV_SCHEDULE44514167[[#This Row],[ZONE]],AHU_2_Ashrae[DESIGN VAV MAX SA(CFM)])</f>
        <v>1200</v>
      </c>
      <c r="AR3" s="48">
        <f>IFERROR((VLOOKUP(AHU1_CAV_SCHEDULE44514167[[#This Row],[MAX VAV
(CFM)]],'DO NOT TOUCH'!$P$9:$Q$14,2,TRUE)),"TBD")</f>
        <v>12</v>
      </c>
      <c r="AS3" s="48">
        <v>0.5</v>
      </c>
      <c r="AT3" s="48">
        <f>AHU1_CAV_SCHEDULE44514167[[#This Row],[MIN VAV
(CFM)]]</f>
        <v>677.8125</v>
      </c>
      <c r="AU3" s="48">
        <f>INPUT_OUTPUTS!$C$16</f>
        <v>140</v>
      </c>
      <c r="AV3" s="48">
        <f>INPUT_OUTPUTS!$C$17</f>
        <v>100</v>
      </c>
      <c r="AW3" s="48">
        <v>55</v>
      </c>
      <c r="AX3" s="48">
        <v>85</v>
      </c>
      <c r="AY3" s="48">
        <f>MROUND((1.08*(AX3-AW3)*AHU1_CAV_SCHEDULE44514167[[#This Row],[HEATING AIRFLOW 
(CFM)]])/1000,0.1)</f>
        <v>22</v>
      </c>
      <c r="AZ3" s="49">
        <f>(AY3*1000)/(500*(AU3-AV3))</f>
        <v>1.1000000000000001</v>
      </c>
      <c r="BA3" s="49">
        <f>IF(AZ3&lt;0.5,0.5,AZ3)</f>
        <v>1.1000000000000001</v>
      </c>
      <c r="BB3" s="49">
        <v>5</v>
      </c>
      <c r="BC3" s="49">
        <f>IFERROR((_xlfn.XLOOKUP(AR3,'DO NOT TOUCH'!$Q$9:$Q$14,'DO NOT TOUCH'!$R$9:$R$14,)),"TBD")</f>
        <v>45</v>
      </c>
      <c r="BD3" s="49">
        <f>INPUT_OUTPUTS!$C$19</f>
        <v>0</v>
      </c>
      <c r="BE3" s="48" t="s">
        <v>83</v>
      </c>
    </row>
    <row r="4" spans="1:57" ht="17.25">
      <c r="A4" s="142" t="s">
        <v>614</v>
      </c>
      <c r="B4" s="142">
        <v>103</v>
      </c>
      <c r="C4" s="142" t="s">
        <v>565</v>
      </c>
      <c r="D4" s="142">
        <v>300</v>
      </c>
      <c r="E4" s="142">
        <v>0</v>
      </c>
      <c r="F4" s="291">
        <f>IF((AHU_2_Ashrae[[#This Row],[Occupancy Subcategory]] = "TOILET"),MROUND(D4/2,5),MROUND(D4,5))</f>
        <v>300</v>
      </c>
      <c r="G4" s="142">
        <v>280</v>
      </c>
      <c r="H4" s="142" t="s">
        <v>612</v>
      </c>
      <c r="I4" s="142" t="s">
        <v>565</v>
      </c>
      <c r="J4" s="142" t="s">
        <v>566</v>
      </c>
      <c r="K4" s="18" cm="1">
        <f t="array" ref="K4">INDEX(Ashrae90.1Vent[RP],MATCH(AHU_2_Ashrae[[#This Row],[Occupancy Category]]&amp;AHU_2_Ashrae[[#This Row],[Occupancy Subcategory]],Ashrae90.1Vent[OCCUPANCY CATEGORY]&amp;Ashrae90.1Vent[OCCUPANCY SUBCATEGORY],0))</f>
        <v>7.5</v>
      </c>
      <c r="L4" s="18" cm="1">
        <f t="array" ref="L4">INDEX(Ashrae90.1Vent[RA],MATCH(AHU_2_Ashrae[[#This Row],[Occupancy Category]]&amp;AHU_2_Ashrae[[#This Row],[Occupancy Subcategory]],Ashrae90.1Vent[OCCUPANCY CATEGORY]&amp;Ashrae90.1Vent[OCCUPANCY SUBCATEGORY],))</f>
        <v>0.12</v>
      </c>
      <c r="M4" s="18" cm="1">
        <f t="array" ref="M4">INDEX(Ashrae90.1Vent[OCCUPANT DENSITY],MATCH(AHU_2_Ashrae[[#This Row],[Occupancy Category]]&amp;AHU_2_Ashrae[[#This Row],[Occupancy Subcategory]],Ashrae90.1Vent[OCCUPANCY CATEGORY]&amp;Ashrae90.1Vent[OCCUPANCY SUBCATEGORY],))</f>
        <v>15</v>
      </c>
      <c r="N4" s="18" cm="1">
        <f t="array" ref="N4">INDEX(Ashrae90.1Vent[AIR CLASS],MATCH(AHU_2_Ashrae[[#This Row],[Occupancy Category]]&amp;AHU_2_Ashrae[[#This Row],[Occupancy Subcategory]],Ashrae90.1Vent[OCCUPANCY CATEGORY]&amp;Ashrae90.1Vent[OCCUPANCY SUBCATEGORY],))</f>
        <v>2</v>
      </c>
      <c r="O4" s="142">
        <v>5</v>
      </c>
      <c r="P4" s="18">
        <f t="shared" ref="P4:P5" si="0">CEILING((M4/1000)*D4,1)</f>
        <v>5</v>
      </c>
      <c r="Q4" s="18">
        <f>IF((AHU_2_Ashrae[[#Totals],[Actual Number of  Occupants (Ps)]]/AHU_2_Ashrae[[#Totals],[Occupants (Pz)]])&gt;1,1,AHU_2_Ashrae[[#Totals],[Actual Number of  Occupants (Ps)]]/AHU_2_Ashrae[[#Totals],[Occupants (Pz)]])</f>
        <v>0.72413793103448276</v>
      </c>
      <c r="R4" s="106">
        <f>(AHU_2_Ashrae[[#This Row],[DIVERSITY (D)]]*AHU_2_Ashrae[[#This Row],[RP
(CFM/PER PERSON)]]*AHU_2_Ashrae[[#This Row],[Occupants (Pz)]])+(AHU_2_Ashrae[[#This Row],[RA
(CFM/FT²)]]*AHU_2_Ashrae[[#This Row],[AREA (FT²)]])</f>
        <v>63.155172413793103</v>
      </c>
      <c r="S4" s="321">
        <f>IF(AHU_2_Ashrae[[#This Row],[DIVERSITY (D)]]&lt;0.6,(0.88*AHU_2_Ashrae[[#This Row],[DIVERSITY (D)]]+0.22),0.75)</f>
        <v>0.75</v>
      </c>
      <c r="T4" s="106">
        <f>AHU_2_Ashrae[[#This Row],[Uncorrected OA (Vou)]]/AHU_2_Ashrae[[#This Row],[System Efficiency (Ev)]]</f>
        <v>84.206896551724142</v>
      </c>
      <c r="U4" s="106">
        <f>(AHU_2_Ashrae[[#This Row],[RP
(CFM/PER PERSON)]]*AHU_2_Ashrae[[#This Row],[Occupants (Pz)]])+(AHU_2_Ashrae[[#This Row],[RA
(CFM/FT²)]]*AHU_2_Ashrae[[#This Row],[AREA (FT²)]])</f>
        <v>73.5</v>
      </c>
      <c r="V4" s="142">
        <v>0.8</v>
      </c>
      <c r="W4" s="106">
        <f>AHU_2_Ashrae[[#This Row],[Breathing Zone OA (Vbz)]]/AHU_2_Ashrae[[#This Row],[Zone Efficiency (Ez)]]</f>
        <v>91.875</v>
      </c>
      <c r="X4" s="142" t="s">
        <v>244</v>
      </c>
      <c r="Y4" s="106" t="str">
        <f>IF(AHU_2_Ashrae[[#This Row],[EXHAUST RECOVERY]]="YES",(IF(AHU_2_Ashrae[[#This Row],[AREA (FT²)]]&lt;(VLOOKUP(INPUT_OUTPUTS!$C$6,'ASHRAE Table'!Z3:AC22,MATCH((AHU_2_Ashrae[[#This Row],[OCCUPANT DENSITY
('#/1000 FT²)]]*AHU_2_Ashrae[[#This Row],[RP
(CFM/PER PERSON)]]),'ASHRAE Table'!Z3:AC3,1),FALSE)), "NO","PROVIDE CO2 SENSOR")),(IF(AHU_2_Ashrae[[#This Row],[AREA (FT²)]]&lt;(VLOOKUP(INPUT_OUTPUTS!$C$6,'ASHRAE Table'!V3:Y22,MATCH((AHU_2_Ashrae[[#This Row],[OCCUPANT DENSITY
('#/1000 FT²)]]*AHU_2_Ashrae[[#This Row],[RP
(CFM/PER PERSON)]]),'ASHRAE Table'!V3:Y3,1),FALSE)), "NOT REQUIRED","PROVIDE CO2 SENSOR")))</f>
        <v>NOT REQUIRED</v>
      </c>
      <c r="Z4" s="106" t="str" cm="1">
        <f t="array" ref="Z4">INDEX(Ashrae90.1Vent[OS],MATCH(AHU_2_Ashrae[[#This Row],[Occupancy Category]]&amp;AHU_2_Ashrae[[#This Row],[Occupancy Subcategory]],Ashrae90.1Vent[OCCUPANCY CATEGORY]&amp;Ashrae90.1Vent[OCCUPANCY SUBCATEGORY],0))</f>
        <v>NO</v>
      </c>
      <c r="AA4" s="106">
        <f>IF(AHU_2_Ashrae[[#This Row],[OS]]="YES",0,AHU_2_Ashrae[[#This Row],[RA
(CFM/FT²)]]*AHU_2_Ashrae[[#This Row],[AREA (FT²)]])</f>
        <v>36</v>
      </c>
      <c r="AB4" s="106">
        <f>IF(AHU_2_Ashrae[[#This Row],[Exhaust Category]]="NA","NA",VLOOKUP(AHU_2_Ashrae[[#This Row],[Exhaust Category]],ASHRAE_EA_Table[[#All],[OCCUPANCY SUBCATEGORY]:[EXHAUST RATE PER AREA]],2))</f>
        <v>0</v>
      </c>
      <c r="AC4" s="106">
        <f>IF(AHU_2_Ashrae[[#This Row],[Exhaust Category]]="NA","NA",VLOOKUP(AHU_2_Ashrae[[#This Row],[Exhaust Category]],ASHRAE_EA_Table[[#All],[OCCUPANCY SUBCATEGORY]:[EXHAUST RATE PER AREA]],3))</f>
        <v>0.25</v>
      </c>
      <c r="AD4" s="18">
        <f>IF(AHU_2_Ashrae[[#This Row],[EA RATE
(CFM/UNIT)]]="NA",AHU_2_Ashrae[[#This Row],[EA RATE
(CFM/FT²)]]*AHU_2_Ashrae[[#This Row],[AREA (FT²)]],AHU_2_Ashrae[[#This Row],[Exhaust Units]]*AHU_2_Ashrae[[#This Row],[EA RATE
(CFM/UNIT)]])</f>
        <v>0</v>
      </c>
      <c r="AE4" s="106">
        <f>IF((AHU_2_Ashrae[[#This Row],[DESIGN VAV MAX SA(CFM)]]*0.3)&lt;(AHU_2_Ashrae[[#This Row],[Zone OA (Voz)]]*1.5),(AHU_2_Ashrae[[#This Row],[Zone OA (Voz)]]*1.5),(AHU_2_Ashrae[[#This Row],[DESIGN VAV MAX SA(CFM)]]*0.3))</f>
        <v>137.8125</v>
      </c>
      <c r="AF4" s="142">
        <f>IF(AHU_2_Ashrae[[#This Row],[MIN ASHRAE EA
(CFM)]]=0,MAX(AHU_2_Ashrae[[#This Row],[LOAD (CFM)]],AHU_2_Ashrae[[#This Row],[OFFICE STANDARD 
(CFM)]]),AHU_2_Ashrae[[#This Row],[DESIGN EA(CFM)]]-100)</f>
        <v>300</v>
      </c>
      <c r="AG4" s="142">
        <f>IF(AHU_2_Ashrae[[#This Row],[MIN ASHRAE EA
(CFM)]]=0,AHU_2_Ashrae[[#This Row],[DESIGN VAV MAX SA(CFM)]],0)</f>
        <v>300</v>
      </c>
      <c r="AH4" s="142">
        <f>IF(AHU_2_Ashrae[[#This Row],[MIN ASHRAE EA
(CFM)]]=0,0,IF(AHU_2_Ashrae[[#This Row],[MIN ASHRAE EA
(CFM)]]&lt;AHU_2_Ashrae[[#This Row],[LOAD (CFM)]],AHU_2_Ashrae[[#This Row],[LOAD (CFM)]]+100,AHU_2_Ashrae[[#This Row],[MIN ASHRAE EA
(CFM)]]))</f>
        <v>0</v>
      </c>
      <c r="AI4" s="106">
        <f>AHU_2_Ashrae[[#This Row],[DESIGN VAV MAX SA(CFM)]]-AHU_2_Ashrae[[#This Row],[DESIGN RA (CFM)]]-AHU_2_Ashrae[[#This Row],[DESIGN EA(CFM)]]</f>
        <v>0</v>
      </c>
      <c r="AJ4" s="300">
        <f>AHU_2_Ashrae[[#This Row],[OUTSIDE AIRFLOW (CFM) (Vot)]]/AHU_2_Ashrae[[#This Row],[DESIGN VAV MAX SA(CFM)]]</f>
        <v>0.28068965517241379</v>
      </c>
      <c r="AM4" s="323" t="s">
        <v>615</v>
      </c>
      <c r="AN4" s="323" t="s">
        <v>82</v>
      </c>
      <c r="AO4" s="323" t="s">
        <v>88</v>
      </c>
      <c r="AP4" s="323">
        <f>SUMIF(AHU_2_Ashrae[Zone],AHU1_CAV_SCHEDULE44514167[[#This Row],[ZONE]],AHU_2_Ashrae[DESIGN VAV MIN SA(CFM)])</f>
        <v>0</v>
      </c>
      <c r="AQ4" s="323">
        <f>SUMIF(AHU_2_Ashrae[Zone],AHU1_CAV_SCHEDULE44514167[[#This Row],[ZONE]],AHU_2_Ashrae[DESIGN VAV MAX SA(CFM)])</f>
        <v>0</v>
      </c>
      <c r="AR4" s="48" t="str">
        <f>IFERROR((VLOOKUP(AHU1_CAV_SCHEDULE44514167[[#This Row],[MAX VAV
(CFM)]],'DO NOT TOUCH'!$P$9:$Q$14,2,TRUE)),"TBD")</f>
        <v>TBD</v>
      </c>
      <c r="AS4" s="48">
        <f>AS3</f>
        <v>0.5</v>
      </c>
      <c r="AT4" s="48">
        <f>AHU1_CAV_SCHEDULE44514167[[#This Row],[MIN VAV
(CFM)]]</f>
        <v>0</v>
      </c>
      <c r="AU4" s="48">
        <f>INPUT_OUTPUTS!$C$16</f>
        <v>140</v>
      </c>
      <c r="AV4" s="48">
        <f>INPUT_OUTPUTS!$C$17</f>
        <v>100</v>
      </c>
      <c r="AW4" s="48">
        <f t="shared" ref="AW4:AX19" si="1">AW3</f>
        <v>55</v>
      </c>
      <c r="AX4" s="48">
        <f t="shared" si="1"/>
        <v>85</v>
      </c>
      <c r="AY4" s="48">
        <f>MROUND((1.08*(AX4-AW4)*AHU1_CAV_SCHEDULE44514167[[#This Row],[HEATING AIRFLOW 
(CFM)]])/1000,0.1)</f>
        <v>0</v>
      </c>
      <c r="AZ4" s="49">
        <f>(AY4*1000)/(500*(AU4-AV4))</f>
        <v>0</v>
      </c>
      <c r="BA4" s="49">
        <f t="shared" ref="BA4:BA40" si="2">IF(AZ4&lt;0.5,0.5,AZ4)</f>
        <v>0.5</v>
      </c>
      <c r="BB4" s="49">
        <f>BB3</f>
        <v>5</v>
      </c>
      <c r="BC4" s="49" t="str">
        <f>IFERROR((_xlfn.XLOOKUP(AR4,'DO NOT TOUCH'!$Q$9:$Q$14,'DO NOT TOUCH'!$R$9:$R$14,)),"TBD")</f>
        <v>TBD</v>
      </c>
      <c r="BD4" s="49">
        <f>INPUT_OUTPUTS!$C$19</f>
        <v>0</v>
      </c>
      <c r="BE4" s="48" t="str">
        <f>BE3</f>
        <v>1, 2</v>
      </c>
    </row>
    <row r="5" spans="1:57" ht="17.25">
      <c r="A5" s="142" t="s">
        <v>616</v>
      </c>
      <c r="B5" s="142">
        <v>104</v>
      </c>
      <c r="C5" s="142" t="s">
        <v>552</v>
      </c>
      <c r="D5" s="142">
        <v>1200</v>
      </c>
      <c r="E5" s="142">
        <v>0</v>
      </c>
      <c r="F5" s="291">
        <f>IF((AHU_2_Ashrae[[#This Row],[Occupancy Subcategory]] = "TOILET"),MROUND(D5/2,5),MROUND(D5,5))</f>
        <v>1200</v>
      </c>
      <c r="G5" s="142">
        <v>150</v>
      </c>
      <c r="H5" s="142" t="s">
        <v>612</v>
      </c>
      <c r="I5" s="142" t="s">
        <v>548</v>
      </c>
      <c r="J5" s="142" t="s">
        <v>552</v>
      </c>
      <c r="K5" s="18" cm="1">
        <f t="array" ref="K5">INDEX(Ashrae90.1Vent[RP],MATCH(AHU_2_Ashrae[[#This Row],[Occupancy Category]]&amp;AHU_2_Ashrae[[#This Row],[Occupancy Subcategory]],Ashrae90.1Vent[OCCUPANCY CATEGORY]&amp;Ashrae90.1Vent[OCCUPANCY SUBCATEGORY],0))</f>
        <v>5</v>
      </c>
      <c r="L5" s="18" cm="1">
        <f t="array" ref="L5">INDEX(Ashrae90.1Vent[RA],MATCH(AHU_2_Ashrae[[#This Row],[Occupancy Category]]&amp;AHU_2_Ashrae[[#This Row],[Occupancy Subcategory]],Ashrae90.1Vent[OCCUPANCY CATEGORY]&amp;Ashrae90.1Vent[OCCUPANCY SUBCATEGORY],))</f>
        <v>0.06</v>
      </c>
      <c r="M5" s="18" cm="1">
        <f t="array" ref="M5">INDEX(Ashrae90.1Vent[OCCUPANT DENSITY],MATCH(AHU_2_Ashrae[[#This Row],[Occupancy Category]]&amp;AHU_2_Ashrae[[#This Row],[Occupancy Subcategory]],Ashrae90.1Vent[OCCUPANCY CATEGORY]&amp;Ashrae90.1Vent[OCCUPANCY SUBCATEGORY],))</f>
        <v>5</v>
      </c>
      <c r="N5" s="18" cm="1">
        <f t="array" ref="N5">INDEX(Ashrae90.1Vent[AIR CLASS],MATCH(AHU_2_Ashrae[[#This Row],[Occupancy Category]]&amp;AHU_2_Ashrae[[#This Row],[Occupancy Subcategory]],Ashrae90.1Vent[OCCUPANCY CATEGORY]&amp;Ashrae90.1Vent[OCCUPANCY SUBCATEGORY],))</f>
        <v>1</v>
      </c>
      <c r="O5" s="142">
        <v>6</v>
      </c>
      <c r="P5" s="18">
        <f t="shared" si="0"/>
        <v>6</v>
      </c>
      <c r="Q5" s="18">
        <f>IF((AHU_2_Ashrae[[#Totals],[Actual Number of  Occupants (Ps)]]/AHU_2_Ashrae[[#Totals],[Occupants (Pz)]])&gt;1,1,AHU_2_Ashrae[[#Totals],[Actual Number of  Occupants (Ps)]]/AHU_2_Ashrae[[#Totals],[Occupants (Pz)]])</f>
        <v>0.72413793103448276</v>
      </c>
      <c r="R5" s="106">
        <f>(AHU_2_Ashrae[[#This Row],[DIVERSITY (D)]]*AHU_2_Ashrae[[#This Row],[RP
(CFM/PER PERSON)]]*AHU_2_Ashrae[[#This Row],[Occupants (Pz)]])+(AHU_2_Ashrae[[#This Row],[RA
(CFM/FT²)]]*AHU_2_Ashrae[[#This Row],[AREA (FT²)]])</f>
        <v>93.724137931034477</v>
      </c>
      <c r="S5" s="321">
        <f>IF(AHU_2_Ashrae[[#This Row],[DIVERSITY (D)]]&lt;0.6,(0.88*AHU_2_Ashrae[[#This Row],[DIVERSITY (D)]]+0.22),0.75)</f>
        <v>0.75</v>
      </c>
      <c r="T5" s="106">
        <f>AHU_2_Ashrae[[#This Row],[Uncorrected OA (Vou)]]/AHU_2_Ashrae[[#This Row],[System Efficiency (Ev)]]</f>
        <v>124.9655172413793</v>
      </c>
      <c r="U5" s="106">
        <f>(AHU_2_Ashrae[[#This Row],[RP
(CFM/PER PERSON)]]*AHU_2_Ashrae[[#This Row],[Occupants (Pz)]])+(AHU_2_Ashrae[[#This Row],[RA
(CFM/FT²)]]*AHU_2_Ashrae[[#This Row],[AREA (FT²)]])</f>
        <v>102</v>
      </c>
      <c r="V5" s="142">
        <v>0.8</v>
      </c>
      <c r="W5" s="106">
        <f>AHU_2_Ashrae[[#This Row],[Breathing Zone OA (Vbz)]]/AHU_2_Ashrae[[#This Row],[Zone Efficiency (Ez)]]</f>
        <v>127.5</v>
      </c>
      <c r="X5" s="142" t="s">
        <v>244</v>
      </c>
      <c r="Y5" s="106" t="str">
        <f>IF(AHU_2_Ashrae[[#This Row],[EXHAUST RECOVERY]]="YES",(IF(AHU_2_Ashrae[[#This Row],[AREA (FT²)]]&lt;(VLOOKUP(INPUT_OUTPUTS!$C$6,'ASHRAE Table'!Z4:AC23,MATCH((AHU_2_Ashrae[[#This Row],[OCCUPANT DENSITY
('#/1000 FT²)]]*AHU_2_Ashrae[[#This Row],[RP
(CFM/PER PERSON)]]),'ASHRAE Table'!Z4:AC4,1),FALSE)), "NO","PROVIDE CO2 SENSOR")),(IF(AHU_2_Ashrae[[#This Row],[AREA (FT²)]]&lt;(VLOOKUP(INPUT_OUTPUTS!$C$6,'ASHRAE Table'!V4:Y23,MATCH((AHU_2_Ashrae[[#This Row],[OCCUPANT DENSITY
('#/1000 FT²)]]*AHU_2_Ashrae[[#This Row],[RP
(CFM/PER PERSON)]]),'ASHRAE Table'!V4:Y4,1),FALSE)), "NOT REQUIRED","PROVIDE CO2 SENSOR")))</f>
        <v>NOT REQUIRED</v>
      </c>
      <c r="Z5" s="106" t="str" cm="1">
        <f t="array" ref="Z5">INDEX(Ashrae90.1Vent[OS],MATCH(AHU_2_Ashrae[[#This Row],[Occupancy Category]]&amp;AHU_2_Ashrae[[#This Row],[Occupancy Subcategory]],Ashrae90.1Vent[OCCUPANCY CATEGORY]&amp;Ashrae90.1Vent[OCCUPANCY SUBCATEGORY],0))</f>
        <v>YES</v>
      </c>
      <c r="AA5" s="106">
        <f>IF(AHU_2_Ashrae[[#This Row],[OS]]="YES",0,AHU_2_Ashrae[[#This Row],[RA
(CFM/FT²)]]*AHU_2_Ashrae[[#This Row],[AREA (FT²)]])</f>
        <v>0</v>
      </c>
      <c r="AB5" s="106">
        <f>IF(AHU_2_Ashrae[[#This Row],[Exhaust Category]]="NA","NA",VLOOKUP(AHU_2_Ashrae[[#This Row],[Exhaust Category]],ASHRAE_EA_Table[[#All],[OCCUPANCY SUBCATEGORY]:[EXHAUST RATE PER AREA]],2))</f>
        <v>0</v>
      </c>
      <c r="AC5" s="106">
        <f>IF(AHU_2_Ashrae[[#This Row],[Exhaust Category]]="NA","NA",VLOOKUP(AHU_2_Ashrae[[#This Row],[Exhaust Category]],ASHRAE_EA_Table[[#All],[OCCUPANCY SUBCATEGORY]:[EXHAUST RATE PER AREA]],3))</f>
        <v>0.25</v>
      </c>
      <c r="AD5" s="18">
        <f>IF(AHU_2_Ashrae[[#This Row],[EA RATE
(CFM/UNIT)]]="NA",AHU_2_Ashrae[[#This Row],[EA RATE
(CFM/FT²)]]*AHU_2_Ashrae[[#This Row],[AREA (FT²)]],AHU_2_Ashrae[[#This Row],[Exhaust Units]]*AHU_2_Ashrae[[#This Row],[EA RATE
(CFM/UNIT)]])</f>
        <v>0</v>
      </c>
      <c r="AE5" s="106">
        <f>IF((AHU_2_Ashrae[[#This Row],[DESIGN VAV MAX SA(CFM)]]*0.3)&lt;(AHU_2_Ashrae[[#This Row],[Zone OA (Voz)]]*1.5),(AHU_2_Ashrae[[#This Row],[Zone OA (Voz)]]*1.5),(AHU_2_Ashrae[[#This Row],[DESIGN VAV MAX SA(CFM)]]*0.3))</f>
        <v>360</v>
      </c>
      <c r="AF5" s="142">
        <f>IF(AHU_2_Ashrae[[#This Row],[MIN ASHRAE EA
(CFM)]]=0,MAX(AHU_2_Ashrae[[#This Row],[LOAD (CFM)]],AHU_2_Ashrae[[#This Row],[OFFICE STANDARD 
(CFM)]]),AHU_2_Ashrae[[#This Row],[DESIGN EA(CFM)]]-100)</f>
        <v>1200</v>
      </c>
      <c r="AG5" s="142">
        <f>IF(AHU_2_Ashrae[[#This Row],[MIN ASHRAE EA
(CFM)]]=0,AHU_2_Ashrae[[#This Row],[DESIGN VAV MAX SA(CFM)]],0)</f>
        <v>1200</v>
      </c>
      <c r="AH5" s="142">
        <f>IF(AHU_2_Ashrae[[#This Row],[MIN ASHRAE EA
(CFM)]]=0,0,IF(AHU_2_Ashrae[[#This Row],[MIN ASHRAE EA
(CFM)]]&lt;AHU_2_Ashrae[[#This Row],[LOAD (CFM)]],AHU_2_Ashrae[[#This Row],[LOAD (CFM)]]+100,AHU_2_Ashrae[[#This Row],[MIN ASHRAE EA
(CFM)]]))</f>
        <v>0</v>
      </c>
      <c r="AI5" s="106">
        <f>AHU_2_Ashrae[[#This Row],[DESIGN VAV MAX SA(CFM)]]-AHU_2_Ashrae[[#This Row],[DESIGN RA (CFM)]]-AHU_2_Ashrae[[#This Row],[DESIGN EA(CFM)]]</f>
        <v>0</v>
      </c>
      <c r="AJ5" s="300">
        <f>AHU_2_Ashrae[[#This Row],[OUTSIDE AIRFLOW (CFM) (Vot)]]/AHU_2_Ashrae[[#This Row],[DESIGN VAV MAX SA(CFM)]]</f>
        <v>0.10413793103448275</v>
      </c>
      <c r="AM5" s="323" t="s">
        <v>616</v>
      </c>
      <c r="AN5" s="323" t="s">
        <v>82</v>
      </c>
      <c r="AO5" s="323" t="s">
        <v>88</v>
      </c>
      <c r="AP5" s="323">
        <f>SUMIF(AHU_2_Ashrae[Zone],AHU1_CAV_SCHEDULE44514167[[#This Row],[ZONE]],AHU_2_Ashrae[DESIGN VAV MIN SA(CFM)])</f>
        <v>360</v>
      </c>
      <c r="AQ5" s="323">
        <f>SUMIF(AHU_2_Ashrae[Zone],AHU1_CAV_SCHEDULE44514167[[#This Row],[ZONE]],AHU_2_Ashrae[DESIGN VAV MAX SA(CFM)])</f>
        <v>1200</v>
      </c>
      <c r="AR5" s="48">
        <f>IFERROR((VLOOKUP(AHU1_CAV_SCHEDULE44514167[[#This Row],[MAX VAV
(CFM)]],'DO NOT TOUCH'!$P$9:$Q$14,2,TRUE)),"TBD")</f>
        <v>12</v>
      </c>
      <c r="AS5" s="48">
        <f t="shared" ref="AS5:AS40" si="3">AS4</f>
        <v>0.5</v>
      </c>
      <c r="AT5" s="48">
        <f>AHU1_CAV_SCHEDULE44514167[[#This Row],[MIN VAV
(CFM)]]</f>
        <v>360</v>
      </c>
      <c r="AU5" s="48">
        <f>INPUT_OUTPUTS!$C$16</f>
        <v>140</v>
      </c>
      <c r="AV5" s="48">
        <f>INPUT_OUTPUTS!$C$17</f>
        <v>100</v>
      </c>
      <c r="AW5" s="48">
        <f t="shared" si="1"/>
        <v>55</v>
      </c>
      <c r="AX5" s="48">
        <f t="shared" si="1"/>
        <v>85</v>
      </c>
      <c r="AY5" s="48">
        <f>MROUND((1.08*(AX5-AW5)*AHU1_CAV_SCHEDULE44514167[[#This Row],[HEATING AIRFLOW 
(CFM)]])/1000,0.1)</f>
        <v>11.700000000000001</v>
      </c>
      <c r="AZ5" s="49">
        <f t="shared" ref="AZ5:AZ40" si="4">(AY5*1000)/(500*(AU5-AV5))</f>
        <v>0.58500000000000008</v>
      </c>
      <c r="BA5" s="49">
        <f t="shared" si="2"/>
        <v>0.58500000000000008</v>
      </c>
      <c r="BB5" s="49">
        <f t="shared" ref="BB5:BB40" si="5">BB4</f>
        <v>5</v>
      </c>
      <c r="BC5" s="49">
        <f>IFERROR((_xlfn.XLOOKUP(AR5,'DO NOT TOUCH'!$Q$9:$Q$14,'DO NOT TOUCH'!$R$9:$R$14,)),"TBD")</f>
        <v>45</v>
      </c>
      <c r="BD5" s="49">
        <f>INPUT_OUTPUTS!$C$19</f>
        <v>0</v>
      </c>
      <c r="BE5" s="48" t="str">
        <f t="shared" ref="BE5:BE40" si="6">BE4</f>
        <v>1, 2</v>
      </c>
    </row>
    <row r="6" spans="1:57" ht="15.75">
      <c r="A6" s="294" t="s">
        <v>485</v>
      </c>
      <c r="B6" s="294"/>
      <c r="C6" s="313">
        <f>SUBTOTAL(103,AHU_2_Ashrae[Room])</f>
        <v>3</v>
      </c>
      <c r="D6" s="312">
        <f>SUBTOTAL(109,AHU_2_Ashrae[AREA (FT²)])</f>
        <v>2400</v>
      </c>
      <c r="E6" s="314"/>
      <c r="F6" s="315"/>
      <c r="G6" s="311">
        <f>SUBTOTAL(109,AHU_2_Ashrae[LOAD (CFM)])</f>
        <v>1080</v>
      </c>
      <c r="H6" s="294"/>
      <c r="I6" s="294"/>
      <c r="J6" s="294"/>
      <c r="K6" s="316"/>
      <c r="L6" s="316"/>
      <c r="M6" s="316"/>
      <c r="N6" s="316"/>
      <c r="O6" s="317">
        <f>SUBTOTAL(109,AHU_2_Ashrae[Actual Number of  Occupants (Ps)])</f>
        <v>21</v>
      </c>
      <c r="P6" s="317">
        <f>SUBTOTAL(109,AHU_2_Ashrae[Occupants (Pz)])</f>
        <v>29</v>
      </c>
      <c r="Q6" s="317"/>
      <c r="R6" s="318">
        <f>SUBTOTAL(109,AHU_2_Ashrae[Uncorrected OA (Vou)])</f>
        <v>395.22413793103448</v>
      </c>
      <c r="S6" s="316"/>
      <c r="T6" s="318">
        <f>SUBTOTAL(109,AHU_2_Ashrae[OUTSIDE AIRFLOW (CFM) (Vot)])</f>
        <v>526.9655172413793</v>
      </c>
      <c r="U6" s="318"/>
      <c r="V6" s="318"/>
      <c r="W6" s="318"/>
      <c r="X6" s="318"/>
      <c r="Y6" s="318"/>
      <c r="Z6" s="318"/>
      <c r="AA6" s="318">
        <f>SUBTOTAL(109,AHU_2_Ashrae[MIN OA ALLOWABLE (WITH DCV)])</f>
        <v>144</v>
      </c>
      <c r="AB6" s="316"/>
      <c r="AC6" s="316"/>
      <c r="AD6" s="316"/>
      <c r="AE6" s="316"/>
      <c r="AF6" s="318">
        <f>SUBTOTAL(109,AHU_2_Ashrae[DESIGN VAV MAX SA(CFM)])</f>
        <v>2400</v>
      </c>
      <c r="AG6" s="318">
        <f>SUBTOTAL(109,AHU_2_Ashrae[DESIGN RA (CFM)])</f>
        <v>2400</v>
      </c>
      <c r="AH6" s="318">
        <f>SUBTOTAL(109,AHU_2_Ashrae[DESIGN EA(CFM)])</f>
        <v>0</v>
      </c>
      <c r="AI6" s="316"/>
      <c r="AJ6" s="319"/>
      <c r="AM6" s="323" t="s">
        <v>617</v>
      </c>
      <c r="AN6" s="323" t="s">
        <v>82</v>
      </c>
      <c r="AO6" s="323" t="s">
        <v>88</v>
      </c>
      <c r="AP6" s="323">
        <f>SUMIF(AHU_2_Ashrae[Zone],AHU1_CAV_SCHEDULE44514167[[#This Row],[ZONE]],AHU_2_Ashrae[DESIGN VAV MIN SA(CFM)])</f>
        <v>0</v>
      </c>
      <c r="AQ6" s="323">
        <f>SUMIF(AHU_2_Ashrae[Zone],AHU1_CAV_SCHEDULE44514167[[#This Row],[ZONE]],AHU_2_Ashrae[DESIGN VAV MAX SA(CFM)])</f>
        <v>0</v>
      </c>
      <c r="AR6" s="48" t="str">
        <f>IFERROR((VLOOKUP(AHU1_CAV_SCHEDULE44514167[[#This Row],[MAX VAV
(CFM)]],'DO NOT TOUCH'!$P$9:$Q$14,2,TRUE)),"TBD")</f>
        <v>TBD</v>
      </c>
      <c r="AS6" s="48">
        <f t="shared" si="3"/>
        <v>0.5</v>
      </c>
      <c r="AT6" s="48">
        <f>AHU1_CAV_SCHEDULE44514167[[#This Row],[MIN VAV
(CFM)]]</f>
        <v>0</v>
      </c>
      <c r="AU6" s="48">
        <f>INPUT_OUTPUTS!$C$16</f>
        <v>140</v>
      </c>
      <c r="AV6" s="48">
        <f>INPUT_OUTPUTS!$C$17</f>
        <v>100</v>
      </c>
      <c r="AW6" s="48">
        <f t="shared" si="1"/>
        <v>55</v>
      </c>
      <c r="AX6" s="48">
        <f t="shared" si="1"/>
        <v>85</v>
      </c>
      <c r="AY6" s="48">
        <f>MROUND((1.08*(AX6-AW6)*AHU1_CAV_SCHEDULE44514167[[#This Row],[HEATING AIRFLOW 
(CFM)]])/1000,0.1)</f>
        <v>0</v>
      </c>
      <c r="AZ6" s="49">
        <f t="shared" si="4"/>
        <v>0</v>
      </c>
      <c r="BA6" s="49">
        <f t="shared" si="2"/>
        <v>0.5</v>
      </c>
      <c r="BB6" s="49">
        <f t="shared" si="5"/>
        <v>5</v>
      </c>
      <c r="BC6" s="49" t="str">
        <f>IFERROR((_xlfn.XLOOKUP(AR6,'DO NOT TOUCH'!$Q$9:$Q$14,'DO NOT TOUCH'!$R$9:$R$14,)),"TBD")</f>
        <v>TBD</v>
      </c>
      <c r="BD6" s="49">
        <f>INPUT_OUTPUTS!$C$19</f>
        <v>0</v>
      </c>
      <c r="BE6" s="48" t="str">
        <f t="shared" si="6"/>
        <v>1, 2</v>
      </c>
    </row>
    <row r="7" spans="1:57" ht="15">
      <c r="AM7" s="323" t="s">
        <v>618</v>
      </c>
      <c r="AN7" s="323" t="s">
        <v>82</v>
      </c>
      <c r="AO7" s="323" t="s">
        <v>88</v>
      </c>
      <c r="AP7" s="323">
        <f>SUMIF(AHU_2_Ashrae[Zone],AHU1_CAV_SCHEDULE44514167[[#This Row],[ZONE]],AHU_2_Ashrae[DESIGN VAV MIN SA(CFM)])</f>
        <v>0</v>
      </c>
      <c r="AQ7" s="323">
        <f>SUMIF(AHU_2_Ashrae[Zone],AHU1_CAV_SCHEDULE44514167[[#This Row],[ZONE]],AHU_2_Ashrae[DESIGN VAV MAX SA(CFM)])</f>
        <v>0</v>
      </c>
      <c r="AR7" s="48" t="str">
        <f>IFERROR((VLOOKUP(AHU1_CAV_SCHEDULE44514167[[#This Row],[MAX VAV
(CFM)]],'DO NOT TOUCH'!$P$9:$Q$14,2,TRUE)),"TBD")</f>
        <v>TBD</v>
      </c>
      <c r="AS7" s="48">
        <f t="shared" si="3"/>
        <v>0.5</v>
      </c>
      <c r="AT7" s="48">
        <f>AHU1_CAV_SCHEDULE44514167[[#This Row],[MIN VAV
(CFM)]]</f>
        <v>0</v>
      </c>
      <c r="AU7" s="48">
        <f>INPUT_OUTPUTS!$C$16</f>
        <v>140</v>
      </c>
      <c r="AV7" s="48">
        <f>INPUT_OUTPUTS!$C$17</f>
        <v>100</v>
      </c>
      <c r="AW7" s="48">
        <f t="shared" si="1"/>
        <v>55</v>
      </c>
      <c r="AX7" s="48">
        <f t="shared" si="1"/>
        <v>85</v>
      </c>
      <c r="AY7" s="48">
        <f>MROUND((1.08*(AX7-AW7)*AHU1_CAV_SCHEDULE44514167[[#This Row],[HEATING AIRFLOW 
(CFM)]])/1000,0.1)</f>
        <v>0</v>
      </c>
      <c r="AZ7" s="49">
        <f t="shared" si="4"/>
        <v>0</v>
      </c>
      <c r="BA7" s="49">
        <f t="shared" si="2"/>
        <v>0.5</v>
      </c>
      <c r="BB7" s="49">
        <f t="shared" si="5"/>
        <v>5</v>
      </c>
      <c r="BC7" s="49" t="str">
        <f>IFERROR((_xlfn.XLOOKUP(AR7,'DO NOT TOUCH'!$Q$9:$Q$14,'DO NOT TOUCH'!$R$9:$R$14,)),"TBD")</f>
        <v>TBD</v>
      </c>
      <c r="BD7" s="49">
        <f>INPUT_OUTPUTS!$C$19</f>
        <v>0</v>
      </c>
      <c r="BE7" s="48" t="str">
        <f t="shared" si="6"/>
        <v>1, 2</v>
      </c>
    </row>
    <row r="8" spans="1:57" ht="15">
      <c r="AM8" s="323" t="s">
        <v>619</v>
      </c>
      <c r="AN8" s="323" t="s">
        <v>82</v>
      </c>
      <c r="AO8" s="323" t="s">
        <v>88</v>
      </c>
      <c r="AP8" s="323">
        <f>SUMIF(AHU_2_Ashrae[Zone],AHU1_CAV_SCHEDULE44514167[[#This Row],[ZONE]],AHU_2_Ashrae[DESIGN VAV MIN SA(CFM)])</f>
        <v>0</v>
      </c>
      <c r="AQ8" s="323">
        <f>SUMIF(AHU_2_Ashrae[Zone],AHU1_CAV_SCHEDULE44514167[[#This Row],[ZONE]],AHU_2_Ashrae[DESIGN VAV MAX SA(CFM)])</f>
        <v>0</v>
      </c>
      <c r="AR8" s="48" t="str">
        <f>IFERROR((VLOOKUP(AHU1_CAV_SCHEDULE44514167[[#This Row],[MAX VAV
(CFM)]],'DO NOT TOUCH'!$P$9:$Q$14,2,TRUE)),"TBD")</f>
        <v>TBD</v>
      </c>
      <c r="AS8" s="48">
        <f t="shared" si="3"/>
        <v>0.5</v>
      </c>
      <c r="AT8" s="48">
        <f>AHU1_CAV_SCHEDULE44514167[[#This Row],[MIN VAV
(CFM)]]</f>
        <v>0</v>
      </c>
      <c r="AU8" s="48">
        <f>INPUT_OUTPUTS!$C$16</f>
        <v>140</v>
      </c>
      <c r="AV8" s="48">
        <f>INPUT_OUTPUTS!$C$17</f>
        <v>100</v>
      </c>
      <c r="AW8" s="48">
        <f t="shared" si="1"/>
        <v>55</v>
      </c>
      <c r="AX8" s="48">
        <f t="shared" si="1"/>
        <v>85</v>
      </c>
      <c r="AY8" s="48">
        <f>MROUND((1.08*(AX8-AW8)*AHU1_CAV_SCHEDULE44514167[[#This Row],[HEATING AIRFLOW 
(CFM)]])/1000,0.1)</f>
        <v>0</v>
      </c>
      <c r="AZ8" s="49">
        <f t="shared" si="4"/>
        <v>0</v>
      </c>
      <c r="BA8" s="49">
        <f t="shared" si="2"/>
        <v>0.5</v>
      </c>
      <c r="BB8" s="49">
        <f t="shared" si="5"/>
        <v>5</v>
      </c>
      <c r="BC8" s="49" t="str">
        <f>IFERROR((_xlfn.XLOOKUP(AR8,'DO NOT TOUCH'!$Q$9:$Q$14,'DO NOT TOUCH'!$R$9:$R$14,)),"TBD")</f>
        <v>TBD</v>
      </c>
      <c r="BD8" s="49">
        <f>INPUT_OUTPUTS!$C$19</f>
        <v>0</v>
      </c>
      <c r="BE8" s="48" t="str">
        <f t="shared" si="6"/>
        <v>1, 2</v>
      </c>
    </row>
    <row r="9" spans="1:57" ht="15">
      <c r="AM9" s="323" t="s">
        <v>620</v>
      </c>
      <c r="AN9" s="323" t="s">
        <v>82</v>
      </c>
      <c r="AO9" s="323" t="s">
        <v>88</v>
      </c>
      <c r="AP9" s="323">
        <f>SUMIF(AHU_2_Ashrae[Zone],AHU1_CAV_SCHEDULE44514167[[#This Row],[ZONE]],AHU_2_Ashrae[DESIGN VAV MIN SA(CFM)])</f>
        <v>0</v>
      </c>
      <c r="AQ9" s="323">
        <f>SUMIF(AHU_2_Ashrae[Zone],AHU1_CAV_SCHEDULE44514167[[#This Row],[ZONE]],AHU_2_Ashrae[DESIGN VAV MAX SA(CFM)])</f>
        <v>0</v>
      </c>
      <c r="AR9" s="48" t="str">
        <f>IFERROR((VLOOKUP(AHU1_CAV_SCHEDULE44514167[[#This Row],[MAX VAV
(CFM)]],'DO NOT TOUCH'!$P$9:$Q$14,2,TRUE)),"TBD")</f>
        <v>TBD</v>
      </c>
      <c r="AS9" s="48">
        <f>AS8</f>
        <v>0.5</v>
      </c>
      <c r="AT9" s="48">
        <f>AHU1_CAV_SCHEDULE44514167[[#This Row],[MIN VAV
(CFM)]]</f>
        <v>0</v>
      </c>
      <c r="AU9" s="48">
        <f>INPUT_OUTPUTS!$C$16</f>
        <v>140</v>
      </c>
      <c r="AV9" s="48">
        <f>INPUT_OUTPUTS!$C$17</f>
        <v>100</v>
      </c>
      <c r="AW9" s="48">
        <f>AW8</f>
        <v>55</v>
      </c>
      <c r="AX9" s="48">
        <f t="shared" si="1"/>
        <v>85</v>
      </c>
      <c r="AY9" s="48">
        <f>MROUND((1.08*(AX9-AW9)*AHU1_CAV_SCHEDULE44514167[[#This Row],[HEATING AIRFLOW 
(CFM)]])/1000,0.1)</f>
        <v>0</v>
      </c>
      <c r="AZ9" s="49">
        <f>(AY9*1000)/(500*(AU9-AV9))</f>
        <v>0</v>
      </c>
      <c r="BA9" s="49">
        <f t="shared" si="2"/>
        <v>0.5</v>
      </c>
      <c r="BB9" s="49">
        <f t="shared" si="5"/>
        <v>5</v>
      </c>
      <c r="BC9" s="49" t="str">
        <f>IFERROR((_xlfn.XLOOKUP(AR9,'DO NOT TOUCH'!$Q$9:$Q$14,'DO NOT TOUCH'!$R$9:$R$14,)),"TBD")</f>
        <v>TBD</v>
      </c>
      <c r="BD9" s="49">
        <f>INPUT_OUTPUTS!$C$19</f>
        <v>0</v>
      </c>
      <c r="BE9" s="51" t="str">
        <f t="shared" si="6"/>
        <v>1, 2</v>
      </c>
    </row>
    <row r="10" spans="1:57" ht="15">
      <c r="AM10" s="323" t="s">
        <v>621</v>
      </c>
      <c r="AN10" s="323" t="s">
        <v>82</v>
      </c>
      <c r="AO10" s="323" t="s">
        <v>88</v>
      </c>
      <c r="AP10" s="323">
        <f>SUMIF(AHU_2_Ashrae[Zone],AHU1_CAV_SCHEDULE44514167[[#This Row],[ZONE]],AHU_2_Ashrae[DESIGN VAV MIN SA(CFM)])</f>
        <v>0</v>
      </c>
      <c r="AQ10" s="323">
        <f>SUMIF(AHU_2_Ashrae[Zone],AHU1_CAV_SCHEDULE44514167[[#This Row],[ZONE]],AHU_2_Ashrae[DESIGN VAV MAX SA(CFM)])</f>
        <v>0</v>
      </c>
      <c r="AR10" s="48" t="str">
        <f>IFERROR((VLOOKUP(AHU1_CAV_SCHEDULE44514167[[#This Row],[MAX VAV
(CFM)]],'DO NOT TOUCH'!$P$9:$Q$14,2,TRUE)),"TBD")</f>
        <v>TBD</v>
      </c>
      <c r="AS10" s="48">
        <f>AS9</f>
        <v>0.5</v>
      </c>
      <c r="AT10" s="48">
        <f>AHU1_CAV_SCHEDULE44514167[[#This Row],[MIN VAV
(CFM)]]</f>
        <v>0</v>
      </c>
      <c r="AU10" s="48">
        <f>INPUT_OUTPUTS!$C$16</f>
        <v>140</v>
      </c>
      <c r="AV10" s="48">
        <f>INPUT_OUTPUTS!$C$17</f>
        <v>100</v>
      </c>
      <c r="AW10" s="48">
        <f>AW9</f>
        <v>55</v>
      </c>
      <c r="AX10" s="48">
        <f t="shared" si="1"/>
        <v>85</v>
      </c>
      <c r="AY10" s="48">
        <f>MROUND((1.08*(AX10-AW10)*AHU1_CAV_SCHEDULE44514167[[#This Row],[HEATING AIRFLOW 
(CFM)]])/1000,0.1)</f>
        <v>0</v>
      </c>
      <c r="AZ10" s="49">
        <f>(AY10*1000)/(500*(AU10-AV10))</f>
        <v>0</v>
      </c>
      <c r="BA10" s="49">
        <f t="shared" si="2"/>
        <v>0.5</v>
      </c>
      <c r="BB10" s="49">
        <f t="shared" si="5"/>
        <v>5</v>
      </c>
      <c r="BC10" s="49" t="str">
        <f>IFERROR((_xlfn.XLOOKUP(AR10,'DO NOT TOUCH'!$Q$9:$Q$14,'DO NOT TOUCH'!$R$9:$R$14,)),"TBD")</f>
        <v>TBD</v>
      </c>
      <c r="BD10" s="49">
        <f>INPUT_OUTPUTS!$C$19</f>
        <v>0</v>
      </c>
      <c r="BE10" s="51" t="str">
        <f t="shared" si="6"/>
        <v>1, 2</v>
      </c>
    </row>
    <row r="11" spans="1:57" ht="15">
      <c r="AM11" s="323" t="s">
        <v>622</v>
      </c>
      <c r="AN11" s="323" t="s">
        <v>82</v>
      </c>
      <c r="AO11" s="323" t="s">
        <v>88</v>
      </c>
      <c r="AP11" s="323">
        <f>SUMIF(AHU_2_Ashrae[Zone],AHU1_CAV_SCHEDULE44514167[[#This Row],[ZONE]],AHU_2_Ashrae[DESIGN VAV MIN SA(CFM)])</f>
        <v>0</v>
      </c>
      <c r="AQ11" s="323">
        <f>SUMIF(AHU_2_Ashrae[Zone],AHU1_CAV_SCHEDULE44514167[[#This Row],[ZONE]],AHU_2_Ashrae[DESIGN VAV MAX SA(CFM)])</f>
        <v>0</v>
      </c>
      <c r="AR11" s="48" t="str">
        <f>IFERROR((VLOOKUP(AHU1_CAV_SCHEDULE44514167[[#This Row],[MAX VAV
(CFM)]],'DO NOT TOUCH'!$P$9:$Q$14,2,TRUE)),"TBD")</f>
        <v>TBD</v>
      </c>
      <c r="AS11" s="48">
        <f>AS10</f>
        <v>0.5</v>
      </c>
      <c r="AT11" s="48">
        <f>AHU1_CAV_SCHEDULE44514167[[#This Row],[MIN VAV
(CFM)]]</f>
        <v>0</v>
      </c>
      <c r="AU11" s="48">
        <f>INPUT_OUTPUTS!$C$16</f>
        <v>140</v>
      </c>
      <c r="AV11" s="48">
        <f>INPUT_OUTPUTS!$C$17</f>
        <v>100</v>
      </c>
      <c r="AW11" s="48">
        <f>AW10</f>
        <v>55</v>
      </c>
      <c r="AX11" s="48">
        <f t="shared" si="1"/>
        <v>85</v>
      </c>
      <c r="AY11" s="48">
        <f>MROUND((1.08*(AX11-AW11)*AHU1_CAV_SCHEDULE44514167[[#This Row],[HEATING AIRFLOW 
(CFM)]])/1000,0.1)</f>
        <v>0</v>
      </c>
      <c r="AZ11" s="49">
        <f>(AY11*1000)/(500*(AU11-AV11))</f>
        <v>0</v>
      </c>
      <c r="BA11" s="49">
        <f t="shared" si="2"/>
        <v>0.5</v>
      </c>
      <c r="BB11" s="49">
        <f t="shared" si="5"/>
        <v>5</v>
      </c>
      <c r="BC11" s="49" t="str">
        <f>IFERROR((_xlfn.XLOOKUP(AR11,'DO NOT TOUCH'!$Q$9:$Q$14,'DO NOT TOUCH'!$R$9:$R$14,)),"TBD")</f>
        <v>TBD</v>
      </c>
      <c r="BD11" s="49">
        <f>INPUT_OUTPUTS!$C$19</f>
        <v>0</v>
      </c>
      <c r="BE11" s="51" t="str">
        <f t="shared" si="6"/>
        <v>1, 2</v>
      </c>
    </row>
    <row r="12" spans="1:57" ht="15">
      <c r="AM12" s="323" t="s">
        <v>623</v>
      </c>
      <c r="AN12" s="323" t="s">
        <v>82</v>
      </c>
      <c r="AO12" s="323" t="s">
        <v>88</v>
      </c>
      <c r="AP12" s="323">
        <f>SUMIF(AHU_2_Ashrae[Zone],AHU1_CAV_SCHEDULE44514167[[#This Row],[ZONE]],AHU_2_Ashrae[DESIGN VAV MIN SA(CFM)])</f>
        <v>0</v>
      </c>
      <c r="AQ12" s="323">
        <f>SUMIF(AHU_2_Ashrae[Zone],AHU1_CAV_SCHEDULE44514167[[#This Row],[ZONE]],AHU_2_Ashrae[DESIGN VAV MAX SA(CFM)])</f>
        <v>0</v>
      </c>
      <c r="AR12" s="48" t="str">
        <f>IFERROR((VLOOKUP(AHU1_CAV_SCHEDULE44514167[[#This Row],[MAX VAV
(CFM)]],'DO NOT TOUCH'!$P$9:$Q$14,2,TRUE)),"TBD")</f>
        <v>TBD</v>
      </c>
      <c r="AS12" s="48">
        <f>AS11</f>
        <v>0.5</v>
      </c>
      <c r="AT12" s="48">
        <f>AHU1_CAV_SCHEDULE44514167[[#This Row],[MIN VAV
(CFM)]]</f>
        <v>0</v>
      </c>
      <c r="AU12" s="48">
        <f>INPUT_OUTPUTS!$C$16</f>
        <v>140</v>
      </c>
      <c r="AV12" s="48">
        <f>INPUT_OUTPUTS!$C$17</f>
        <v>100</v>
      </c>
      <c r="AW12" s="48">
        <f>AW11</f>
        <v>55</v>
      </c>
      <c r="AX12" s="48">
        <f t="shared" si="1"/>
        <v>85</v>
      </c>
      <c r="AY12" s="48">
        <f>MROUND((1.08*(AX12-AW12)*AHU1_CAV_SCHEDULE44514167[[#This Row],[HEATING AIRFLOW 
(CFM)]])/1000,0.1)</f>
        <v>0</v>
      </c>
      <c r="AZ12" s="49">
        <f>(AY12*1000)/(500*(AU12-AV12))</f>
        <v>0</v>
      </c>
      <c r="BA12" s="49">
        <f t="shared" si="2"/>
        <v>0.5</v>
      </c>
      <c r="BB12" s="49">
        <f t="shared" si="5"/>
        <v>5</v>
      </c>
      <c r="BC12" s="49" t="str">
        <f>IFERROR((_xlfn.XLOOKUP(AR12,'DO NOT TOUCH'!$Q$9:$Q$14,'DO NOT TOUCH'!$R$9:$R$14,)),"TBD")</f>
        <v>TBD</v>
      </c>
      <c r="BD12" s="49">
        <f>INPUT_OUTPUTS!$C$19</f>
        <v>0</v>
      </c>
      <c r="BE12" s="51" t="str">
        <f t="shared" si="6"/>
        <v>1, 2</v>
      </c>
    </row>
    <row r="13" spans="1:57" ht="15">
      <c r="AM13" s="323" t="s">
        <v>624</v>
      </c>
      <c r="AN13" s="323" t="s">
        <v>82</v>
      </c>
      <c r="AO13" s="323" t="s">
        <v>88</v>
      </c>
      <c r="AP13" s="323">
        <f>SUMIF(AHU_2_Ashrae[Zone],AHU1_CAV_SCHEDULE44514167[[#This Row],[ZONE]],AHU_2_Ashrae[DESIGN VAV MIN SA(CFM)])</f>
        <v>0</v>
      </c>
      <c r="AQ13" s="323">
        <f>SUMIF(AHU_2_Ashrae[Zone],AHU1_CAV_SCHEDULE44514167[[#This Row],[ZONE]],AHU_2_Ashrae[DESIGN VAV MAX SA(CFM)])</f>
        <v>0</v>
      </c>
      <c r="AR13" s="48" t="str">
        <f>IFERROR((VLOOKUP(AHU1_CAV_SCHEDULE44514167[[#This Row],[MAX VAV
(CFM)]],'DO NOT TOUCH'!$P$9:$Q$14,2,TRUE)),"TBD")</f>
        <v>TBD</v>
      </c>
      <c r="AS13" s="48">
        <f>AS12</f>
        <v>0.5</v>
      </c>
      <c r="AT13" s="48">
        <f>AHU1_CAV_SCHEDULE44514167[[#This Row],[MIN VAV
(CFM)]]</f>
        <v>0</v>
      </c>
      <c r="AU13" s="48">
        <f>INPUT_OUTPUTS!$C$16</f>
        <v>140</v>
      </c>
      <c r="AV13" s="48">
        <f>INPUT_OUTPUTS!$C$17</f>
        <v>100</v>
      </c>
      <c r="AW13" s="48">
        <f>AW12</f>
        <v>55</v>
      </c>
      <c r="AX13" s="48">
        <f t="shared" si="1"/>
        <v>85</v>
      </c>
      <c r="AY13" s="48">
        <f>MROUND((1.08*(AX13-AW13)*AHU1_CAV_SCHEDULE44514167[[#This Row],[HEATING AIRFLOW 
(CFM)]])/1000,0.1)</f>
        <v>0</v>
      </c>
      <c r="AZ13" s="49">
        <f t="shared" si="4"/>
        <v>0</v>
      </c>
      <c r="BA13" s="49">
        <f t="shared" si="2"/>
        <v>0.5</v>
      </c>
      <c r="BB13" s="49">
        <f t="shared" si="5"/>
        <v>5</v>
      </c>
      <c r="BC13" s="49" t="str">
        <f>IFERROR((_xlfn.XLOOKUP(AR13,'DO NOT TOUCH'!$Q$9:$Q$14,'DO NOT TOUCH'!$R$9:$R$14,)),"TBD")</f>
        <v>TBD</v>
      </c>
      <c r="BD13" s="49">
        <f>INPUT_OUTPUTS!$C$19</f>
        <v>0</v>
      </c>
      <c r="BE13" s="51" t="str">
        <f t="shared" si="6"/>
        <v>1, 2</v>
      </c>
    </row>
    <row r="14" spans="1:57" ht="15">
      <c r="AM14" s="323" t="s">
        <v>625</v>
      </c>
      <c r="AN14" s="323" t="s">
        <v>82</v>
      </c>
      <c r="AO14" s="323" t="s">
        <v>88</v>
      </c>
      <c r="AP14" s="323">
        <f>SUMIF(AHU_2_Ashrae[Zone],AHU1_CAV_SCHEDULE44514167[[#This Row],[ZONE]],AHU_2_Ashrae[DESIGN VAV MIN SA(CFM)])</f>
        <v>0</v>
      </c>
      <c r="AQ14" s="323">
        <f>SUMIF(AHU_2_Ashrae[Zone],AHU1_CAV_SCHEDULE44514167[[#This Row],[ZONE]],AHU_2_Ashrae[DESIGN VAV MAX SA(CFM)])</f>
        <v>0</v>
      </c>
      <c r="AR14" s="48" t="str">
        <f>IFERROR((VLOOKUP(AHU1_CAV_SCHEDULE44514167[[#This Row],[MAX VAV
(CFM)]],'DO NOT TOUCH'!$P$9:$Q$14,2,TRUE)),"TBD")</f>
        <v>TBD</v>
      </c>
      <c r="AS14" s="48">
        <f t="shared" si="3"/>
        <v>0.5</v>
      </c>
      <c r="AT14" s="48">
        <f>AHU1_CAV_SCHEDULE44514167[[#This Row],[MIN VAV
(CFM)]]</f>
        <v>0</v>
      </c>
      <c r="AU14" s="48">
        <f>INPUT_OUTPUTS!$C$16</f>
        <v>140</v>
      </c>
      <c r="AV14" s="48">
        <f>INPUT_OUTPUTS!$C$17</f>
        <v>100</v>
      </c>
      <c r="AW14" s="48">
        <f t="shared" si="1"/>
        <v>55</v>
      </c>
      <c r="AX14" s="48">
        <f t="shared" si="1"/>
        <v>85</v>
      </c>
      <c r="AY14" s="48">
        <f>MROUND((1.08*(AX14-AW14)*AHU1_CAV_SCHEDULE44514167[[#This Row],[HEATING AIRFLOW 
(CFM)]])/1000,0.1)</f>
        <v>0</v>
      </c>
      <c r="AZ14" s="49">
        <f t="shared" si="4"/>
        <v>0</v>
      </c>
      <c r="BA14" s="49">
        <f t="shared" si="2"/>
        <v>0.5</v>
      </c>
      <c r="BB14" s="49">
        <f t="shared" si="5"/>
        <v>5</v>
      </c>
      <c r="BC14" s="49" t="str">
        <f>IFERROR((_xlfn.XLOOKUP(AR14,'DO NOT TOUCH'!$Q$9:$Q$14,'DO NOT TOUCH'!$R$9:$R$14,)),"TBD")</f>
        <v>TBD</v>
      </c>
      <c r="BD14" s="49">
        <f>INPUT_OUTPUTS!$C$19</f>
        <v>0</v>
      </c>
      <c r="BE14" s="51" t="str">
        <f t="shared" si="6"/>
        <v>1, 2</v>
      </c>
    </row>
    <row r="15" spans="1:57" ht="15">
      <c r="AM15" s="323" t="s">
        <v>626</v>
      </c>
      <c r="AN15" s="323" t="s">
        <v>82</v>
      </c>
      <c r="AO15" s="323" t="s">
        <v>88</v>
      </c>
      <c r="AP15" s="323">
        <f>SUMIF(AHU_2_Ashrae[Zone],AHU1_CAV_SCHEDULE44514167[[#This Row],[ZONE]],AHU_2_Ashrae[DESIGN VAV MIN SA(CFM)])</f>
        <v>0</v>
      </c>
      <c r="AQ15" s="323">
        <f>SUMIF(AHU_2_Ashrae[Zone],AHU1_CAV_SCHEDULE44514167[[#This Row],[ZONE]],AHU_2_Ashrae[DESIGN VAV MAX SA(CFM)])</f>
        <v>0</v>
      </c>
      <c r="AR15" s="48" t="str">
        <f>IFERROR((VLOOKUP(AHU1_CAV_SCHEDULE44514167[[#This Row],[MAX VAV
(CFM)]],'DO NOT TOUCH'!$P$9:$Q$14,2,TRUE)),"TBD")</f>
        <v>TBD</v>
      </c>
      <c r="AS15" s="48">
        <f t="shared" si="3"/>
        <v>0.5</v>
      </c>
      <c r="AT15" s="48">
        <f>AHU1_CAV_SCHEDULE44514167[[#This Row],[MIN VAV
(CFM)]]</f>
        <v>0</v>
      </c>
      <c r="AU15" s="48">
        <f>INPUT_OUTPUTS!$C$16</f>
        <v>140</v>
      </c>
      <c r="AV15" s="48">
        <f>INPUT_OUTPUTS!$C$17</f>
        <v>100</v>
      </c>
      <c r="AW15" s="48">
        <f t="shared" si="1"/>
        <v>55</v>
      </c>
      <c r="AX15" s="48">
        <f t="shared" si="1"/>
        <v>85</v>
      </c>
      <c r="AY15" s="48">
        <f>MROUND((1.08*(AX15-AW15)*AHU1_CAV_SCHEDULE44514167[[#This Row],[HEATING AIRFLOW 
(CFM)]])/1000,0.1)</f>
        <v>0</v>
      </c>
      <c r="AZ15" s="49">
        <f t="shared" si="4"/>
        <v>0</v>
      </c>
      <c r="BA15" s="49">
        <f t="shared" si="2"/>
        <v>0.5</v>
      </c>
      <c r="BB15" s="49">
        <f t="shared" si="5"/>
        <v>5</v>
      </c>
      <c r="BC15" s="49" t="str">
        <f>IFERROR((_xlfn.XLOOKUP(AR15,'DO NOT TOUCH'!$Q$9:$Q$14,'DO NOT TOUCH'!$R$9:$R$14,)),"TBD")</f>
        <v>TBD</v>
      </c>
      <c r="BD15" s="49">
        <f>INPUT_OUTPUTS!$C$19</f>
        <v>0</v>
      </c>
      <c r="BE15" s="51" t="str">
        <f t="shared" si="6"/>
        <v>1, 2</v>
      </c>
    </row>
    <row r="16" spans="1:57" ht="15">
      <c r="AM16" s="323" t="s">
        <v>627</v>
      </c>
      <c r="AN16" s="323" t="s">
        <v>82</v>
      </c>
      <c r="AO16" s="323" t="s">
        <v>88</v>
      </c>
      <c r="AP16" s="323">
        <f>SUMIF(AHU_2_Ashrae[Zone],AHU1_CAV_SCHEDULE44514167[[#This Row],[ZONE]],AHU_2_Ashrae[DESIGN VAV MIN SA(CFM)])</f>
        <v>0</v>
      </c>
      <c r="AQ16" s="323">
        <f>SUMIF(AHU_2_Ashrae[Zone],AHU1_CAV_SCHEDULE44514167[[#This Row],[ZONE]],AHU_2_Ashrae[DESIGN VAV MAX SA(CFM)])</f>
        <v>0</v>
      </c>
      <c r="AR16" s="48" t="str">
        <f>IFERROR((VLOOKUP(AHU1_CAV_SCHEDULE44514167[[#This Row],[MAX VAV
(CFM)]],'DO NOT TOUCH'!$P$9:$Q$14,2,TRUE)),"TBD")</f>
        <v>TBD</v>
      </c>
      <c r="AS16" s="48">
        <f t="shared" si="3"/>
        <v>0.5</v>
      </c>
      <c r="AT16" s="48">
        <f>AHU1_CAV_SCHEDULE44514167[[#This Row],[MIN VAV
(CFM)]]</f>
        <v>0</v>
      </c>
      <c r="AU16" s="48">
        <f>INPUT_OUTPUTS!$C$16</f>
        <v>140</v>
      </c>
      <c r="AV16" s="48">
        <f>INPUT_OUTPUTS!$C$17</f>
        <v>100</v>
      </c>
      <c r="AW16" s="48">
        <f t="shared" si="1"/>
        <v>55</v>
      </c>
      <c r="AX16" s="48">
        <f t="shared" si="1"/>
        <v>85</v>
      </c>
      <c r="AY16" s="48">
        <f>MROUND((1.08*(AX16-AW16)*AHU1_CAV_SCHEDULE44514167[[#This Row],[HEATING AIRFLOW 
(CFM)]])/1000,0.1)</f>
        <v>0</v>
      </c>
      <c r="AZ16" s="49">
        <f t="shared" si="4"/>
        <v>0</v>
      </c>
      <c r="BA16" s="49">
        <f t="shared" si="2"/>
        <v>0.5</v>
      </c>
      <c r="BB16" s="49">
        <f t="shared" si="5"/>
        <v>5</v>
      </c>
      <c r="BC16" s="49" t="str">
        <f>IFERROR((_xlfn.XLOOKUP(AR16,'DO NOT TOUCH'!$Q$9:$Q$14,'DO NOT TOUCH'!$R$9:$R$14,)),"TBD")</f>
        <v>TBD</v>
      </c>
      <c r="BD16" s="49">
        <f>INPUT_OUTPUTS!$C$19</f>
        <v>0</v>
      </c>
      <c r="BE16" s="51" t="str">
        <f t="shared" si="6"/>
        <v>1, 2</v>
      </c>
    </row>
    <row r="17" spans="39:57" ht="15">
      <c r="AM17" s="323" t="s">
        <v>628</v>
      </c>
      <c r="AN17" s="323" t="s">
        <v>82</v>
      </c>
      <c r="AO17" s="323" t="s">
        <v>88</v>
      </c>
      <c r="AP17" s="323">
        <f>SUMIF(AHU_2_Ashrae[Zone],AHU1_CAV_SCHEDULE44514167[[#This Row],[ZONE]],AHU_2_Ashrae[DESIGN VAV MIN SA(CFM)])</f>
        <v>0</v>
      </c>
      <c r="AQ17" s="323">
        <f>SUMIF(AHU_2_Ashrae[Zone],AHU1_CAV_SCHEDULE44514167[[#This Row],[ZONE]],AHU_2_Ashrae[DESIGN VAV MAX SA(CFM)])</f>
        <v>0</v>
      </c>
      <c r="AR17" s="48" t="str">
        <f>IFERROR((VLOOKUP(AHU1_CAV_SCHEDULE44514167[[#This Row],[MAX VAV
(CFM)]],'DO NOT TOUCH'!$P$9:$Q$14,2,TRUE)),"TBD")</f>
        <v>TBD</v>
      </c>
      <c r="AS17" s="48">
        <f t="shared" si="3"/>
        <v>0.5</v>
      </c>
      <c r="AT17" s="48">
        <f>AHU1_CAV_SCHEDULE44514167[[#This Row],[MIN VAV
(CFM)]]</f>
        <v>0</v>
      </c>
      <c r="AU17" s="48">
        <f>INPUT_OUTPUTS!$C$16</f>
        <v>140</v>
      </c>
      <c r="AV17" s="48">
        <f>INPUT_OUTPUTS!$C$17</f>
        <v>100</v>
      </c>
      <c r="AW17" s="48">
        <f t="shared" si="1"/>
        <v>55</v>
      </c>
      <c r="AX17" s="48">
        <f t="shared" si="1"/>
        <v>85</v>
      </c>
      <c r="AY17" s="48">
        <f>MROUND((1.08*(AX17-AW17)*AHU1_CAV_SCHEDULE44514167[[#This Row],[HEATING AIRFLOW 
(CFM)]])/1000,0.1)</f>
        <v>0</v>
      </c>
      <c r="AZ17" s="49">
        <f t="shared" si="4"/>
        <v>0</v>
      </c>
      <c r="BA17" s="49">
        <f t="shared" si="2"/>
        <v>0.5</v>
      </c>
      <c r="BB17" s="49">
        <f t="shared" si="5"/>
        <v>5</v>
      </c>
      <c r="BC17" s="49" t="str">
        <f>IFERROR((_xlfn.XLOOKUP(AR17,'DO NOT TOUCH'!$Q$9:$Q$14,'DO NOT TOUCH'!$R$9:$R$14,)),"TBD")</f>
        <v>TBD</v>
      </c>
      <c r="BD17" s="49">
        <f>INPUT_OUTPUTS!$C$19</f>
        <v>0</v>
      </c>
      <c r="BE17" s="51" t="str">
        <f t="shared" si="6"/>
        <v>1, 2</v>
      </c>
    </row>
    <row r="18" spans="39:57" ht="15">
      <c r="AM18" s="323" t="s">
        <v>629</v>
      </c>
      <c r="AN18" s="323" t="s">
        <v>82</v>
      </c>
      <c r="AO18" s="323" t="s">
        <v>88</v>
      </c>
      <c r="AP18" s="323">
        <f>SUMIF(AHU_2_Ashrae[Zone],AHU1_CAV_SCHEDULE44514167[[#This Row],[ZONE]],AHU_2_Ashrae[DESIGN VAV MIN SA(CFM)])</f>
        <v>0</v>
      </c>
      <c r="AQ18" s="323">
        <f>SUMIF(AHU_2_Ashrae[Zone],AHU1_CAV_SCHEDULE44514167[[#This Row],[ZONE]],AHU_2_Ashrae[DESIGN VAV MAX SA(CFM)])</f>
        <v>0</v>
      </c>
      <c r="AR18" s="48" t="str">
        <f>IFERROR((VLOOKUP(AHU1_CAV_SCHEDULE44514167[[#This Row],[MAX VAV
(CFM)]],'DO NOT TOUCH'!$P$9:$Q$14,2,TRUE)),"TBD")</f>
        <v>TBD</v>
      </c>
      <c r="AS18" s="48">
        <f t="shared" si="3"/>
        <v>0.5</v>
      </c>
      <c r="AT18" s="48">
        <f>AHU1_CAV_SCHEDULE44514167[[#This Row],[MIN VAV
(CFM)]]</f>
        <v>0</v>
      </c>
      <c r="AU18" s="48">
        <f>INPUT_OUTPUTS!$C$16</f>
        <v>140</v>
      </c>
      <c r="AV18" s="48">
        <f>INPUT_OUTPUTS!$C$17</f>
        <v>100</v>
      </c>
      <c r="AW18" s="48">
        <f t="shared" si="1"/>
        <v>55</v>
      </c>
      <c r="AX18" s="48">
        <f t="shared" si="1"/>
        <v>85</v>
      </c>
      <c r="AY18" s="48">
        <f>MROUND((1.08*(AX18-AW18)*AHU1_CAV_SCHEDULE44514167[[#This Row],[HEATING AIRFLOW 
(CFM)]])/1000,0.1)</f>
        <v>0</v>
      </c>
      <c r="AZ18" s="49">
        <f t="shared" si="4"/>
        <v>0</v>
      </c>
      <c r="BA18" s="49">
        <f t="shared" si="2"/>
        <v>0.5</v>
      </c>
      <c r="BB18" s="49">
        <f t="shared" si="5"/>
        <v>5</v>
      </c>
      <c r="BC18" s="49" t="str">
        <f>IFERROR((_xlfn.XLOOKUP(AR18,'DO NOT TOUCH'!$Q$9:$Q$14,'DO NOT TOUCH'!$R$9:$R$14,)),"TBD")</f>
        <v>TBD</v>
      </c>
      <c r="BD18" s="49">
        <f>INPUT_OUTPUTS!$C$19</f>
        <v>0</v>
      </c>
      <c r="BE18" s="51" t="str">
        <f t="shared" si="6"/>
        <v>1, 2</v>
      </c>
    </row>
    <row r="19" spans="39:57" ht="15">
      <c r="AM19" s="323" t="s">
        <v>630</v>
      </c>
      <c r="AN19" s="323" t="s">
        <v>82</v>
      </c>
      <c r="AO19" s="323" t="s">
        <v>88</v>
      </c>
      <c r="AP19" s="323">
        <f>SUMIF(AHU_2_Ashrae[Zone],AHU1_CAV_SCHEDULE44514167[[#This Row],[ZONE]],AHU_2_Ashrae[DESIGN VAV MIN SA(CFM)])</f>
        <v>0</v>
      </c>
      <c r="AQ19" s="323">
        <f>SUMIF(AHU_2_Ashrae[Zone],AHU1_CAV_SCHEDULE44514167[[#This Row],[ZONE]],AHU_2_Ashrae[DESIGN VAV MAX SA(CFM)])</f>
        <v>0</v>
      </c>
      <c r="AR19" s="48" t="str">
        <f>IFERROR((VLOOKUP(AHU1_CAV_SCHEDULE44514167[[#This Row],[MAX VAV
(CFM)]],'DO NOT TOUCH'!$P$9:$Q$14,2,TRUE)),"TBD")</f>
        <v>TBD</v>
      </c>
      <c r="AS19" s="48">
        <f t="shared" si="3"/>
        <v>0.5</v>
      </c>
      <c r="AT19" s="48">
        <f>AHU1_CAV_SCHEDULE44514167[[#This Row],[MIN VAV
(CFM)]]</f>
        <v>0</v>
      </c>
      <c r="AU19" s="48">
        <f>INPUT_OUTPUTS!$C$16</f>
        <v>140</v>
      </c>
      <c r="AV19" s="48">
        <f>INPUT_OUTPUTS!$C$17</f>
        <v>100</v>
      </c>
      <c r="AW19" s="48">
        <f t="shared" si="1"/>
        <v>55</v>
      </c>
      <c r="AX19" s="48">
        <f t="shared" si="1"/>
        <v>85</v>
      </c>
      <c r="AY19" s="48">
        <f>MROUND((1.08*(AX19-AW19)*AHU1_CAV_SCHEDULE44514167[[#This Row],[HEATING AIRFLOW 
(CFM)]])/1000,0.1)</f>
        <v>0</v>
      </c>
      <c r="AZ19" s="49">
        <f t="shared" si="4"/>
        <v>0</v>
      </c>
      <c r="BA19" s="49">
        <f t="shared" si="2"/>
        <v>0.5</v>
      </c>
      <c r="BB19" s="49">
        <f t="shared" si="5"/>
        <v>5</v>
      </c>
      <c r="BC19" s="49" t="str">
        <f>IFERROR((_xlfn.XLOOKUP(AR19,'DO NOT TOUCH'!$Q$9:$Q$14,'DO NOT TOUCH'!$R$9:$R$14,)),"TBD")</f>
        <v>TBD</v>
      </c>
      <c r="BD19" s="49">
        <f>INPUT_OUTPUTS!$C$19</f>
        <v>0</v>
      </c>
      <c r="BE19" s="51" t="str">
        <f t="shared" si="6"/>
        <v>1, 2</v>
      </c>
    </row>
    <row r="20" spans="39:57" ht="15">
      <c r="AM20" s="323" t="s">
        <v>631</v>
      </c>
      <c r="AN20" s="323" t="s">
        <v>82</v>
      </c>
      <c r="AO20" s="323" t="s">
        <v>88</v>
      </c>
      <c r="AP20" s="323">
        <f>SUMIF(AHU_2_Ashrae[Zone],AHU1_CAV_SCHEDULE44514167[[#This Row],[ZONE]],AHU_2_Ashrae[DESIGN VAV MIN SA(CFM)])</f>
        <v>0</v>
      </c>
      <c r="AQ20" s="323">
        <f>SUMIF(AHU_2_Ashrae[Zone],AHU1_CAV_SCHEDULE44514167[[#This Row],[ZONE]],AHU_2_Ashrae[DESIGN VAV MAX SA(CFM)])</f>
        <v>0</v>
      </c>
      <c r="AR20" s="48" t="str">
        <f>IFERROR((VLOOKUP(AHU1_CAV_SCHEDULE44514167[[#This Row],[MAX VAV
(CFM)]],'DO NOT TOUCH'!$P$9:$Q$14,2,TRUE)),"TBD")</f>
        <v>TBD</v>
      </c>
      <c r="AS20" s="48">
        <f t="shared" si="3"/>
        <v>0.5</v>
      </c>
      <c r="AT20" s="48">
        <f>AHU1_CAV_SCHEDULE44514167[[#This Row],[MIN VAV
(CFM)]]</f>
        <v>0</v>
      </c>
      <c r="AU20" s="48">
        <f>INPUT_OUTPUTS!$C$16</f>
        <v>140</v>
      </c>
      <c r="AV20" s="48">
        <f>INPUT_OUTPUTS!$C$17</f>
        <v>100</v>
      </c>
      <c r="AW20" s="48">
        <f t="shared" ref="AW20:AX35" si="7">AW19</f>
        <v>55</v>
      </c>
      <c r="AX20" s="48">
        <f t="shared" si="7"/>
        <v>85</v>
      </c>
      <c r="AY20" s="48">
        <f>MROUND((1.08*(AX20-AW20)*AHU1_CAV_SCHEDULE44514167[[#This Row],[HEATING AIRFLOW 
(CFM)]])/1000,0.1)</f>
        <v>0</v>
      </c>
      <c r="AZ20" s="49">
        <f t="shared" si="4"/>
        <v>0</v>
      </c>
      <c r="BA20" s="49">
        <f t="shared" si="2"/>
        <v>0.5</v>
      </c>
      <c r="BB20" s="49">
        <f t="shared" si="5"/>
        <v>5</v>
      </c>
      <c r="BC20" s="49" t="str">
        <f>IFERROR((_xlfn.XLOOKUP(AR20,'DO NOT TOUCH'!$Q$9:$Q$14,'DO NOT TOUCH'!$R$9:$R$14,)),"TBD")</f>
        <v>TBD</v>
      </c>
      <c r="BD20" s="49">
        <f>INPUT_OUTPUTS!$C$19</f>
        <v>0</v>
      </c>
      <c r="BE20" s="51" t="str">
        <f t="shared" si="6"/>
        <v>1, 2</v>
      </c>
    </row>
    <row r="21" spans="39:57" ht="15">
      <c r="AM21" s="323" t="s">
        <v>632</v>
      </c>
      <c r="AN21" s="323" t="s">
        <v>82</v>
      </c>
      <c r="AO21" s="323" t="s">
        <v>88</v>
      </c>
      <c r="AP21" s="323">
        <f>SUMIF(AHU_2_Ashrae[Zone],AHU1_CAV_SCHEDULE44514167[[#This Row],[ZONE]],AHU_2_Ashrae[DESIGN VAV MIN SA(CFM)])</f>
        <v>0</v>
      </c>
      <c r="AQ21" s="323">
        <f>SUMIF(AHU_2_Ashrae[Zone],AHU1_CAV_SCHEDULE44514167[[#This Row],[ZONE]],AHU_2_Ashrae[DESIGN VAV MAX SA(CFM)])</f>
        <v>0</v>
      </c>
      <c r="AR21" s="48" t="str">
        <f>IFERROR((VLOOKUP(AHU1_CAV_SCHEDULE44514167[[#This Row],[MAX VAV
(CFM)]],'DO NOT TOUCH'!$P$9:$Q$14,2,TRUE)),"TBD")</f>
        <v>TBD</v>
      </c>
      <c r="AS21" s="48">
        <f t="shared" si="3"/>
        <v>0.5</v>
      </c>
      <c r="AT21" s="48">
        <f>AHU1_CAV_SCHEDULE44514167[[#This Row],[MIN VAV
(CFM)]]</f>
        <v>0</v>
      </c>
      <c r="AU21" s="48">
        <f>INPUT_OUTPUTS!$C$16</f>
        <v>140</v>
      </c>
      <c r="AV21" s="48">
        <f>INPUT_OUTPUTS!$C$17</f>
        <v>100</v>
      </c>
      <c r="AW21" s="48">
        <f t="shared" si="7"/>
        <v>55</v>
      </c>
      <c r="AX21" s="48">
        <f t="shared" si="7"/>
        <v>85</v>
      </c>
      <c r="AY21" s="48">
        <f>MROUND((1.08*(AX21-AW21)*AHU1_CAV_SCHEDULE44514167[[#This Row],[HEATING AIRFLOW 
(CFM)]])/1000,0.1)</f>
        <v>0</v>
      </c>
      <c r="AZ21" s="49">
        <f t="shared" si="4"/>
        <v>0</v>
      </c>
      <c r="BA21" s="49">
        <f t="shared" si="2"/>
        <v>0.5</v>
      </c>
      <c r="BB21" s="49">
        <f t="shared" si="5"/>
        <v>5</v>
      </c>
      <c r="BC21" s="49" t="str">
        <f>IFERROR((_xlfn.XLOOKUP(AR21,'DO NOT TOUCH'!$Q$9:$Q$14,'DO NOT TOUCH'!$R$9:$R$14,)),"TBD")</f>
        <v>TBD</v>
      </c>
      <c r="BD21" s="49">
        <f>INPUT_OUTPUTS!$C$19</f>
        <v>0</v>
      </c>
      <c r="BE21" s="51" t="str">
        <f t="shared" si="6"/>
        <v>1, 2</v>
      </c>
    </row>
    <row r="22" spans="39:57" ht="15">
      <c r="AM22" s="323" t="s">
        <v>633</v>
      </c>
      <c r="AN22" s="323" t="s">
        <v>82</v>
      </c>
      <c r="AO22" s="323" t="s">
        <v>88</v>
      </c>
      <c r="AP22" s="323">
        <f>SUMIF(AHU_2_Ashrae[Zone],AHU1_CAV_SCHEDULE44514167[[#This Row],[ZONE]],AHU_2_Ashrae[DESIGN VAV MIN SA(CFM)])</f>
        <v>0</v>
      </c>
      <c r="AQ22" s="323">
        <f>SUMIF(AHU_2_Ashrae[Zone],AHU1_CAV_SCHEDULE44514167[[#This Row],[ZONE]],AHU_2_Ashrae[DESIGN VAV MAX SA(CFM)])</f>
        <v>0</v>
      </c>
      <c r="AR22" s="48" t="str">
        <f>IFERROR((VLOOKUP(AHU1_CAV_SCHEDULE44514167[[#This Row],[MAX VAV
(CFM)]],'DO NOT TOUCH'!$P$9:$Q$14,2,TRUE)),"TBD")</f>
        <v>TBD</v>
      </c>
      <c r="AS22" s="48">
        <f t="shared" si="3"/>
        <v>0.5</v>
      </c>
      <c r="AT22" s="48">
        <f>AHU1_CAV_SCHEDULE44514167[[#This Row],[MIN VAV
(CFM)]]</f>
        <v>0</v>
      </c>
      <c r="AU22" s="48">
        <f>INPUT_OUTPUTS!$C$16</f>
        <v>140</v>
      </c>
      <c r="AV22" s="48">
        <f>INPUT_OUTPUTS!$C$17</f>
        <v>100</v>
      </c>
      <c r="AW22" s="48">
        <f t="shared" si="7"/>
        <v>55</v>
      </c>
      <c r="AX22" s="48">
        <f t="shared" si="7"/>
        <v>85</v>
      </c>
      <c r="AY22" s="48">
        <f>MROUND((1.08*(AX22-AW22)*AHU1_CAV_SCHEDULE44514167[[#This Row],[HEATING AIRFLOW 
(CFM)]])/1000,0.1)</f>
        <v>0</v>
      </c>
      <c r="AZ22" s="49">
        <f t="shared" si="4"/>
        <v>0</v>
      </c>
      <c r="BA22" s="49">
        <f t="shared" si="2"/>
        <v>0.5</v>
      </c>
      <c r="BB22" s="49">
        <f t="shared" si="5"/>
        <v>5</v>
      </c>
      <c r="BC22" s="49" t="str">
        <f>IFERROR((_xlfn.XLOOKUP(AR22,'DO NOT TOUCH'!$Q$9:$Q$14,'DO NOT TOUCH'!$R$9:$R$14,)),"TBD")</f>
        <v>TBD</v>
      </c>
      <c r="BD22" s="49">
        <f>INPUT_OUTPUTS!$C$19</f>
        <v>0</v>
      </c>
      <c r="BE22" s="51" t="str">
        <f t="shared" si="6"/>
        <v>1, 2</v>
      </c>
    </row>
    <row r="23" spans="39:57" ht="15">
      <c r="AM23" s="323" t="s">
        <v>634</v>
      </c>
      <c r="AN23" s="323" t="s">
        <v>82</v>
      </c>
      <c r="AO23" s="323" t="s">
        <v>88</v>
      </c>
      <c r="AP23" s="323">
        <f>SUMIF(AHU_2_Ashrae[Zone],AHU1_CAV_SCHEDULE44514167[[#This Row],[ZONE]],AHU_2_Ashrae[DESIGN VAV MIN SA(CFM)])</f>
        <v>0</v>
      </c>
      <c r="AQ23" s="323">
        <f>SUMIF(AHU_2_Ashrae[Zone],AHU1_CAV_SCHEDULE44514167[[#This Row],[ZONE]],AHU_2_Ashrae[DESIGN VAV MAX SA(CFM)])</f>
        <v>0</v>
      </c>
      <c r="AR23" s="48" t="str">
        <f>IFERROR((VLOOKUP(AHU1_CAV_SCHEDULE44514167[[#This Row],[MAX VAV
(CFM)]],'DO NOT TOUCH'!$P$9:$Q$14,2,TRUE)),"TBD")</f>
        <v>TBD</v>
      </c>
      <c r="AS23" s="48">
        <f t="shared" si="3"/>
        <v>0.5</v>
      </c>
      <c r="AT23" s="48">
        <f>AHU1_CAV_SCHEDULE44514167[[#This Row],[MIN VAV
(CFM)]]</f>
        <v>0</v>
      </c>
      <c r="AU23" s="48">
        <f>INPUT_OUTPUTS!$C$16</f>
        <v>140</v>
      </c>
      <c r="AV23" s="48">
        <f>INPUT_OUTPUTS!$C$17</f>
        <v>100</v>
      </c>
      <c r="AW23" s="48">
        <f t="shared" si="7"/>
        <v>55</v>
      </c>
      <c r="AX23" s="48">
        <f t="shared" si="7"/>
        <v>85</v>
      </c>
      <c r="AY23" s="48">
        <f>MROUND((1.08*(AX23-AW23)*AHU1_CAV_SCHEDULE44514167[[#This Row],[HEATING AIRFLOW 
(CFM)]])/1000,0.1)</f>
        <v>0</v>
      </c>
      <c r="AZ23" s="49">
        <f t="shared" si="4"/>
        <v>0</v>
      </c>
      <c r="BA23" s="49">
        <f t="shared" si="2"/>
        <v>0.5</v>
      </c>
      <c r="BB23" s="49">
        <f t="shared" si="5"/>
        <v>5</v>
      </c>
      <c r="BC23" s="49" t="str">
        <f>IFERROR((_xlfn.XLOOKUP(AR23,'DO NOT TOUCH'!$Q$9:$Q$14,'DO NOT TOUCH'!$R$9:$R$14,)),"TBD")</f>
        <v>TBD</v>
      </c>
      <c r="BD23" s="49">
        <f>INPUT_OUTPUTS!$C$19</f>
        <v>0</v>
      </c>
      <c r="BE23" s="51" t="str">
        <f t="shared" si="6"/>
        <v>1, 2</v>
      </c>
    </row>
    <row r="24" spans="39:57" ht="15">
      <c r="AM24" s="323" t="s">
        <v>635</v>
      </c>
      <c r="AN24" s="323" t="s">
        <v>82</v>
      </c>
      <c r="AO24" s="323" t="s">
        <v>88</v>
      </c>
      <c r="AP24" s="323">
        <f>SUMIF(AHU_2_Ashrae[Zone],AHU1_CAV_SCHEDULE44514167[[#This Row],[ZONE]],AHU_2_Ashrae[DESIGN VAV MIN SA(CFM)])</f>
        <v>0</v>
      </c>
      <c r="AQ24" s="323">
        <f>SUMIF(AHU_2_Ashrae[Zone],AHU1_CAV_SCHEDULE44514167[[#This Row],[ZONE]],AHU_2_Ashrae[DESIGN VAV MAX SA(CFM)])</f>
        <v>0</v>
      </c>
      <c r="AR24" s="48" t="str">
        <f>IFERROR((VLOOKUP(AHU1_CAV_SCHEDULE44514167[[#This Row],[MAX VAV
(CFM)]],'DO NOT TOUCH'!$P$9:$Q$14,2,TRUE)),"TBD")</f>
        <v>TBD</v>
      </c>
      <c r="AS24" s="48">
        <f t="shared" si="3"/>
        <v>0.5</v>
      </c>
      <c r="AT24" s="48">
        <f>AHU1_CAV_SCHEDULE44514167[[#This Row],[MIN VAV
(CFM)]]</f>
        <v>0</v>
      </c>
      <c r="AU24" s="48">
        <f>INPUT_OUTPUTS!$C$16</f>
        <v>140</v>
      </c>
      <c r="AV24" s="48">
        <f>INPUT_OUTPUTS!$C$17</f>
        <v>100</v>
      </c>
      <c r="AW24" s="48">
        <f t="shared" si="7"/>
        <v>55</v>
      </c>
      <c r="AX24" s="48">
        <f t="shared" si="7"/>
        <v>85</v>
      </c>
      <c r="AY24" s="48">
        <f>MROUND((1.08*(AX24-AW24)*AHU1_CAV_SCHEDULE44514167[[#This Row],[HEATING AIRFLOW 
(CFM)]])/1000,0.1)</f>
        <v>0</v>
      </c>
      <c r="AZ24" s="49">
        <f t="shared" si="4"/>
        <v>0</v>
      </c>
      <c r="BA24" s="49">
        <f t="shared" si="2"/>
        <v>0.5</v>
      </c>
      <c r="BB24" s="49">
        <f t="shared" si="5"/>
        <v>5</v>
      </c>
      <c r="BC24" s="49" t="str">
        <f>IFERROR((_xlfn.XLOOKUP(AR24,'DO NOT TOUCH'!$Q$9:$Q$14,'DO NOT TOUCH'!$R$9:$R$14,)),"TBD")</f>
        <v>TBD</v>
      </c>
      <c r="BD24" s="49">
        <f>INPUT_OUTPUTS!$C$19</f>
        <v>0</v>
      </c>
      <c r="BE24" s="51" t="str">
        <f t="shared" si="6"/>
        <v>1, 2</v>
      </c>
    </row>
    <row r="25" spans="39:57" ht="15">
      <c r="AM25" s="323" t="s">
        <v>636</v>
      </c>
      <c r="AN25" s="323" t="s">
        <v>82</v>
      </c>
      <c r="AO25" s="323" t="s">
        <v>88</v>
      </c>
      <c r="AP25" s="323">
        <f>SUMIF(AHU_2_Ashrae[Zone],AHU1_CAV_SCHEDULE44514167[[#This Row],[ZONE]],AHU_2_Ashrae[DESIGN VAV MIN SA(CFM)])</f>
        <v>0</v>
      </c>
      <c r="AQ25" s="323">
        <f>SUMIF(AHU_2_Ashrae[Zone],AHU1_CAV_SCHEDULE44514167[[#This Row],[ZONE]],AHU_2_Ashrae[DESIGN VAV MAX SA(CFM)])</f>
        <v>0</v>
      </c>
      <c r="AR25" s="48" t="str">
        <f>IFERROR((VLOOKUP(AHU1_CAV_SCHEDULE44514167[[#This Row],[MAX VAV
(CFM)]],'DO NOT TOUCH'!$P$9:$Q$14,2,TRUE)),"TBD")</f>
        <v>TBD</v>
      </c>
      <c r="AS25" s="48">
        <f t="shared" si="3"/>
        <v>0.5</v>
      </c>
      <c r="AT25" s="48">
        <f>AHU1_CAV_SCHEDULE44514167[[#This Row],[MIN VAV
(CFM)]]</f>
        <v>0</v>
      </c>
      <c r="AU25" s="48">
        <f>INPUT_OUTPUTS!$C$16</f>
        <v>140</v>
      </c>
      <c r="AV25" s="48">
        <f>INPUT_OUTPUTS!$C$17</f>
        <v>100</v>
      </c>
      <c r="AW25" s="48">
        <f t="shared" si="7"/>
        <v>55</v>
      </c>
      <c r="AX25" s="48">
        <f t="shared" si="7"/>
        <v>85</v>
      </c>
      <c r="AY25" s="48">
        <f>MROUND((1.08*(AX25-AW25)*AHU1_CAV_SCHEDULE44514167[[#This Row],[HEATING AIRFLOW 
(CFM)]])/1000,0.1)</f>
        <v>0</v>
      </c>
      <c r="AZ25" s="49">
        <f t="shared" si="4"/>
        <v>0</v>
      </c>
      <c r="BA25" s="49">
        <f t="shared" si="2"/>
        <v>0.5</v>
      </c>
      <c r="BB25" s="49">
        <f t="shared" si="5"/>
        <v>5</v>
      </c>
      <c r="BC25" s="49" t="str">
        <f>IFERROR((_xlfn.XLOOKUP(AR25,'DO NOT TOUCH'!$Q$9:$Q$14,'DO NOT TOUCH'!$R$9:$R$14,)),"TBD")</f>
        <v>TBD</v>
      </c>
      <c r="BD25" s="49">
        <f>INPUT_OUTPUTS!$C$19</f>
        <v>0</v>
      </c>
      <c r="BE25" s="51" t="str">
        <f t="shared" si="6"/>
        <v>1, 2</v>
      </c>
    </row>
    <row r="26" spans="39:57" ht="15">
      <c r="AM26" s="323" t="s">
        <v>637</v>
      </c>
      <c r="AN26" s="323" t="s">
        <v>82</v>
      </c>
      <c r="AO26" s="323" t="s">
        <v>88</v>
      </c>
      <c r="AP26" s="323">
        <f>SUMIF(AHU_2_Ashrae[Zone],AHU1_CAV_SCHEDULE44514167[[#This Row],[ZONE]],AHU_2_Ashrae[DESIGN VAV MIN SA(CFM)])</f>
        <v>0</v>
      </c>
      <c r="AQ26" s="323">
        <f>SUMIF(AHU_2_Ashrae[Zone],AHU1_CAV_SCHEDULE44514167[[#This Row],[ZONE]],AHU_2_Ashrae[DESIGN VAV MAX SA(CFM)])</f>
        <v>0</v>
      </c>
      <c r="AR26" s="48" t="str">
        <f>IFERROR((VLOOKUP(AHU1_CAV_SCHEDULE44514167[[#This Row],[MAX VAV
(CFM)]],'DO NOT TOUCH'!$P$9:$Q$14,2,TRUE)),"TBD")</f>
        <v>TBD</v>
      </c>
      <c r="AS26" s="48">
        <f t="shared" si="3"/>
        <v>0.5</v>
      </c>
      <c r="AT26" s="48">
        <f>AHU1_CAV_SCHEDULE44514167[[#This Row],[MIN VAV
(CFM)]]</f>
        <v>0</v>
      </c>
      <c r="AU26" s="48">
        <f>INPUT_OUTPUTS!$C$16</f>
        <v>140</v>
      </c>
      <c r="AV26" s="48">
        <f>INPUT_OUTPUTS!$C$17</f>
        <v>100</v>
      </c>
      <c r="AW26" s="48">
        <f t="shared" si="7"/>
        <v>55</v>
      </c>
      <c r="AX26" s="48">
        <f t="shared" si="7"/>
        <v>85</v>
      </c>
      <c r="AY26" s="48">
        <f>MROUND((1.08*(AX26-AW26)*AHU1_CAV_SCHEDULE44514167[[#This Row],[HEATING AIRFLOW 
(CFM)]])/1000,0.1)</f>
        <v>0</v>
      </c>
      <c r="AZ26" s="49">
        <f t="shared" si="4"/>
        <v>0</v>
      </c>
      <c r="BA26" s="49">
        <f t="shared" si="2"/>
        <v>0.5</v>
      </c>
      <c r="BB26" s="49">
        <f t="shared" si="5"/>
        <v>5</v>
      </c>
      <c r="BC26" s="49" t="str">
        <f>IFERROR((_xlfn.XLOOKUP(AR26,'DO NOT TOUCH'!$Q$9:$Q$14,'DO NOT TOUCH'!$R$9:$R$14,)),"TBD")</f>
        <v>TBD</v>
      </c>
      <c r="BD26" s="49">
        <f>INPUT_OUTPUTS!$C$19</f>
        <v>0</v>
      </c>
      <c r="BE26" s="51" t="str">
        <f t="shared" si="6"/>
        <v>1, 2</v>
      </c>
    </row>
    <row r="27" spans="39:57" ht="15">
      <c r="AM27" s="323" t="s">
        <v>638</v>
      </c>
      <c r="AN27" s="323" t="s">
        <v>82</v>
      </c>
      <c r="AO27" s="323" t="s">
        <v>88</v>
      </c>
      <c r="AP27" s="323">
        <f>SUMIF(AHU_2_Ashrae[Zone],AHU1_CAV_SCHEDULE44514167[[#This Row],[ZONE]],AHU_2_Ashrae[DESIGN VAV MIN SA(CFM)])</f>
        <v>0</v>
      </c>
      <c r="AQ27" s="323">
        <f>SUMIF(AHU_2_Ashrae[Zone],AHU1_CAV_SCHEDULE44514167[[#This Row],[ZONE]],AHU_2_Ashrae[DESIGN VAV MAX SA(CFM)])</f>
        <v>0</v>
      </c>
      <c r="AR27" s="48" t="str">
        <f>IFERROR((VLOOKUP(AHU1_CAV_SCHEDULE44514167[[#This Row],[MAX VAV
(CFM)]],'DO NOT TOUCH'!$P$9:$Q$14,2,TRUE)),"TBD")</f>
        <v>TBD</v>
      </c>
      <c r="AS27" s="48">
        <f t="shared" si="3"/>
        <v>0.5</v>
      </c>
      <c r="AT27" s="48">
        <f>AHU1_CAV_SCHEDULE44514167[[#This Row],[MIN VAV
(CFM)]]</f>
        <v>0</v>
      </c>
      <c r="AU27" s="48">
        <f>INPUT_OUTPUTS!$C$16</f>
        <v>140</v>
      </c>
      <c r="AV27" s="48">
        <f>INPUT_OUTPUTS!$C$17</f>
        <v>100</v>
      </c>
      <c r="AW27" s="48">
        <f t="shared" si="7"/>
        <v>55</v>
      </c>
      <c r="AX27" s="48">
        <f t="shared" si="7"/>
        <v>85</v>
      </c>
      <c r="AY27" s="48">
        <f>MROUND((1.08*(AX27-AW27)*AHU1_CAV_SCHEDULE44514167[[#This Row],[HEATING AIRFLOW 
(CFM)]])/1000,0.1)</f>
        <v>0</v>
      </c>
      <c r="AZ27" s="49">
        <f t="shared" si="4"/>
        <v>0</v>
      </c>
      <c r="BA27" s="49">
        <f t="shared" si="2"/>
        <v>0.5</v>
      </c>
      <c r="BB27" s="49">
        <f t="shared" si="5"/>
        <v>5</v>
      </c>
      <c r="BC27" s="49" t="str">
        <f>IFERROR((_xlfn.XLOOKUP(AR27,'DO NOT TOUCH'!$Q$9:$Q$14,'DO NOT TOUCH'!$R$9:$R$14,)),"TBD")</f>
        <v>TBD</v>
      </c>
      <c r="BD27" s="49">
        <f>INPUT_OUTPUTS!$C$19</f>
        <v>0</v>
      </c>
      <c r="BE27" s="51" t="str">
        <f t="shared" si="6"/>
        <v>1, 2</v>
      </c>
    </row>
    <row r="28" spans="39:57" ht="15">
      <c r="AM28" s="323" t="s">
        <v>639</v>
      </c>
      <c r="AN28" s="323" t="s">
        <v>82</v>
      </c>
      <c r="AO28" s="323" t="s">
        <v>88</v>
      </c>
      <c r="AP28" s="323">
        <f>SUMIF(AHU_2_Ashrae[Zone],AHU1_CAV_SCHEDULE44514167[[#This Row],[ZONE]],AHU_2_Ashrae[DESIGN VAV MIN SA(CFM)])</f>
        <v>0</v>
      </c>
      <c r="AQ28" s="323">
        <f>SUMIF(AHU_2_Ashrae[Zone],AHU1_CAV_SCHEDULE44514167[[#This Row],[ZONE]],AHU_2_Ashrae[DESIGN VAV MAX SA(CFM)])</f>
        <v>0</v>
      </c>
      <c r="AR28" s="48" t="str">
        <f>IFERROR((VLOOKUP(AHU1_CAV_SCHEDULE44514167[[#This Row],[MAX VAV
(CFM)]],'DO NOT TOUCH'!$P$9:$Q$14,2,TRUE)),"TBD")</f>
        <v>TBD</v>
      </c>
      <c r="AS28" s="48">
        <f t="shared" si="3"/>
        <v>0.5</v>
      </c>
      <c r="AT28" s="48">
        <f>AHU1_CAV_SCHEDULE44514167[[#This Row],[MIN VAV
(CFM)]]</f>
        <v>0</v>
      </c>
      <c r="AU28" s="48">
        <f>INPUT_OUTPUTS!$C$16</f>
        <v>140</v>
      </c>
      <c r="AV28" s="48">
        <f>INPUT_OUTPUTS!$C$17</f>
        <v>100</v>
      </c>
      <c r="AW28" s="48">
        <f t="shared" si="7"/>
        <v>55</v>
      </c>
      <c r="AX28" s="48">
        <f t="shared" si="7"/>
        <v>85</v>
      </c>
      <c r="AY28" s="48">
        <f>MROUND((1.08*(AX28-AW28)*AHU1_CAV_SCHEDULE44514167[[#This Row],[HEATING AIRFLOW 
(CFM)]])/1000,0.1)</f>
        <v>0</v>
      </c>
      <c r="AZ28" s="49">
        <f t="shared" si="4"/>
        <v>0</v>
      </c>
      <c r="BA28" s="49">
        <f t="shared" si="2"/>
        <v>0.5</v>
      </c>
      <c r="BB28" s="49">
        <f t="shared" si="5"/>
        <v>5</v>
      </c>
      <c r="BC28" s="49" t="str">
        <f>IFERROR((_xlfn.XLOOKUP(AR28,'DO NOT TOUCH'!$Q$9:$Q$14,'DO NOT TOUCH'!$R$9:$R$14,)),"TBD")</f>
        <v>TBD</v>
      </c>
      <c r="BD28" s="49">
        <f>INPUT_OUTPUTS!$C$19</f>
        <v>0</v>
      </c>
      <c r="BE28" s="51" t="str">
        <f t="shared" si="6"/>
        <v>1, 2</v>
      </c>
    </row>
    <row r="29" spans="39:57" ht="15">
      <c r="AM29" s="323" t="s">
        <v>640</v>
      </c>
      <c r="AN29" s="323" t="s">
        <v>82</v>
      </c>
      <c r="AO29" s="323" t="s">
        <v>88</v>
      </c>
      <c r="AP29" s="323">
        <f>SUMIF(AHU_2_Ashrae[Zone],AHU1_CAV_SCHEDULE44514167[[#This Row],[ZONE]],AHU_2_Ashrae[DESIGN VAV MIN SA(CFM)])</f>
        <v>0</v>
      </c>
      <c r="AQ29" s="323">
        <f>SUMIF(AHU_2_Ashrae[Zone],AHU1_CAV_SCHEDULE44514167[[#This Row],[ZONE]],AHU_2_Ashrae[DESIGN VAV MAX SA(CFM)])</f>
        <v>0</v>
      </c>
      <c r="AR29" s="48" t="str">
        <f>IFERROR((VLOOKUP(AHU1_CAV_SCHEDULE44514167[[#This Row],[MAX VAV
(CFM)]],'DO NOT TOUCH'!$P$9:$Q$14,2,TRUE)),"TBD")</f>
        <v>TBD</v>
      </c>
      <c r="AS29" s="48">
        <f t="shared" si="3"/>
        <v>0.5</v>
      </c>
      <c r="AT29" s="48">
        <f>AHU1_CAV_SCHEDULE44514167[[#This Row],[MIN VAV
(CFM)]]</f>
        <v>0</v>
      </c>
      <c r="AU29" s="48">
        <f>INPUT_OUTPUTS!$C$16</f>
        <v>140</v>
      </c>
      <c r="AV29" s="48">
        <f>INPUT_OUTPUTS!$C$17</f>
        <v>100</v>
      </c>
      <c r="AW29" s="48">
        <f t="shared" si="7"/>
        <v>55</v>
      </c>
      <c r="AX29" s="48">
        <f t="shared" si="7"/>
        <v>85</v>
      </c>
      <c r="AY29" s="48">
        <f>MROUND((1.08*(AX29-AW29)*AHU1_CAV_SCHEDULE44514167[[#This Row],[HEATING AIRFLOW 
(CFM)]])/1000,0.1)</f>
        <v>0</v>
      </c>
      <c r="AZ29" s="49">
        <f t="shared" si="4"/>
        <v>0</v>
      </c>
      <c r="BA29" s="49">
        <f t="shared" si="2"/>
        <v>0.5</v>
      </c>
      <c r="BB29" s="49">
        <f t="shared" si="5"/>
        <v>5</v>
      </c>
      <c r="BC29" s="49" t="str">
        <f>IFERROR((_xlfn.XLOOKUP(AR29,'DO NOT TOUCH'!$Q$9:$Q$14,'DO NOT TOUCH'!$R$9:$R$14,)),"TBD")</f>
        <v>TBD</v>
      </c>
      <c r="BD29" s="49">
        <f>INPUT_OUTPUTS!$C$19</f>
        <v>0</v>
      </c>
      <c r="BE29" s="51" t="str">
        <f t="shared" si="6"/>
        <v>1, 2</v>
      </c>
    </row>
    <row r="30" spans="39:57" ht="15">
      <c r="AM30" s="323" t="s">
        <v>641</v>
      </c>
      <c r="AN30" s="323" t="s">
        <v>82</v>
      </c>
      <c r="AO30" s="323" t="s">
        <v>88</v>
      </c>
      <c r="AP30" s="323">
        <f>SUMIF(AHU_2_Ashrae[Zone],AHU1_CAV_SCHEDULE44514167[[#This Row],[ZONE]],AHU_2_Ashrae[DESIGN VAV MIN SA(CFM)])</f>
        <v>0</v>
      </c>
      <c r="AQ30" s="323">
        <f>SUMIF(AHU_2_Ashrae[Zone],AHU1_CAV_SCHEDULE44514167[[#This Row],[ZONE]],AHU_2_Ashrae[DESIGN VAV MAX SA(CFM)])</f>
        <v>0</v>
      </c>
      <c r="AR30" s="48" t="str">
        <f>IFERROR((VLOOKUP(AHU1_CAV_SCHEDULE44514167[[#This Row],[MAX VAV
(CFM)]],'DO NOT TOUCH'!$P$9:$Q$14,2,TRUE)),"TBD")</f>
        <v>TBD</v>
      </c>
      <c r="AS30" s="48">
        <f t="shared" si="3"/>
        <v>0.5</v>
      </c>
      <c r="AT30" s="48">
        <f>AHU1_CAV_SCHEDULE44514167[[#This Row],[MIN VAV
(CFM)]]</f>
        <v>0</v>
      </c>
      <c r="AU30" s="48">
        <f>INPUT_OUTPUTS!$C$16</f>
        <v>140</v>
      </c>
      <c r="AV30" s="48">
        <f>INPUT_OUTPUTS!$C$17</f>
        <v>100</v>
      </c>
      <c r="AW30" s="48">
        <f t="shared" si="7"/>
        <v>55</v>
      </c>
      <c r="AX30" s="48">
        <f t="shared" si="7"/>
        <v>85</v>
      </c>
      <c r="AY30" s="48">
        <f>MROUND((1.08*(AX30-AW30)*AHU1_CAV_SCHEDULE44514167[[#This Row],[HEATING AIRFLOW 
(CFM)]])/1000,0.1)</f>
        <v>0</v>
      </c>
      <c r="AZ30" s="49">
        <f t="shared" si="4"/>
        <v>0</v>
      </c>
      <c r="BA30" s="49">
        <f t="shared" si="2"/>
        <v>0.5</v>
      </c>
      <c r="BB30" s="49">
        <f t="shared" si="5"/>
        <v>5</v>
      </c>
      <c r="BC30" s="49" t="str">
        <f>IFERROR((_xlfn.XLOOKUP(AR30,'DO NOT TOUCH'!$Q$9:$Q$14,'DO NOT TOUCH'!$R$9:$R$14,)),"TBD")</f>
        <v>TBD</v>
      </c>
      <c r="BD30" s="49">
        <f>INPUT_OUTPUTS!$C$19</f>
        <v>0</v>
      </c>
      <c r="BE30" s="51" t="str">
        <f t="shared" si="6"/>
        <v>1, 2</v>
      </c>
    </row>
    <row r="31" spans="39:57" ht="15">
      <c r="AM31" s="323" t="s">
        <v>642</v>
      </c>
      <c r="AN31" s="323" t="s">
        <v>82</v>
      </c>
      <c r="AO31" s="323" t="s">
        <v>88</v>
      </c>
      <c r="AP31" s="323">
        <f>SUMIF(AHU_2_Ashrae[Zone],AHU1_CAV_SCHEDULE44514167[[#This Row],[ZONE]],AHU_2_Ashrae[DESIGN VAV MIN SA(CFM)])</f>
        <v>0</v>
      </c>
      <c r="AQ31" s="323">
        <f>SUMIF(AHU_2_Ashrae[Zone],AHU1_CAV_SCHEDULE44514167[[#This Row],[ZONE]],AHU_2_Ashrae[DESIGN VAV MAX SA(CFM)])</f>
        <v>0</v>
      </c>
      <c r="AR31" s="48" t="str">
        <f>IFERROR((VLOOKUP(AHU1_CAV_SCHEDULE44514167[[#This Row],[MAX VAV
(CFM)]],'DO NOT TOUCH'!$P$9:$Q$14,2,TRUE)),"TBD")</f>
        <v>TBD</v>
      </c>
      <c r="AS31" s="48">
        <f t="shared" si="3"/>
        <v>0.5</v>
      </c>
      <c r="AT31" s="48">
        <f>AHU1_CAV_SCHEDULE44514167[[#This Row],[MIN VAV
(CFM)]]</f>
        <v>0</v>
      </c>
      <c r="AU31" s="48">
        <f>INPUT_OUTPUTS!$C$16</f>
        <v>140</v>
      </c>
      <c r="AV31" s="48">
        <f>INPUT_OUTPUTS!$C$17</f>
        <v>100</v>
      </c>
      <c r="AW31" s="48">
        <f t="shared" si="7"/>
        <v>55</v>
      </c>
      <c r="AX31" s="48">
        <f t="shared" si="7"/>
        <v>85</v>
      </c>
      <c r="AY31" s="48">
        <f>MROUND((1.08*(AX31-AW31)*AHU1_CAV_SCHEDULE44514167[[#This Row],[HEATING AIRFLOW 
(CFM)]])/1000,0.1)</f>
        <v>0</v>
      </c>
      <c r="AZ31" s="49">
        <f t="shared" si="4"/>
        <v>0</v>
      </c>
      <c r="BA31" s="49">
        <f t="shared" si="2"/>
        <v>0.5</v>
      </c>
      <c r="BB31" s="49">
        <f t="shared" si="5"/>
        <v>5</v>
      </c>
      <c r="BC31" s="49" t="str">
        <f>IFERROR((_xlfn.XLOOKUP(AR31,'DO NOT TOUCH'!$Q$9:$Q$14,'DO NOT TOUCH'!$R$9:$R$14,)),"TBD")</f>
        <v>TBD</v>
      </c>
      <c r="BD31" s="49">
        <f>INPUT_OUTPUTS!$C$19</f>
        <v>0</v>
      </c>
      <c r="BE31" s="51" t="str">
        <f t="shared" si="6"/>
        <v>1, 2</v>
      </c>
    </row>
    <row r="32" spans="39:57" ht="15">
      <c r="AM32" s="323" t="s">
        <v>643</v>
      </c>
      <c r="AN32" s="323" t="s">
        <v>82</v>
      </c>
      <c r="AO32" s="323" t="s">
        <v>88</v>
      </c>
      <c r="AP32" s="323">
        <f>SUMIF(AHU_2_Ashrae[Zone],AHU1_CAV_SCHEDULE44514167[[#This Row],[ZONE]],AHU_2_Ashrae[DESIGN VAV MIN SA(CFM)])</f>
        <v>0</v>
      </c>
      <c r="AQ32" s="323">
        <f>SUMIF(AHU_2_Ashrae[Zone],AHU1_CAV_SCHEDULE44514167[[#This Row],[ZONE]],AHU_2_Ashrae[DESIGN VAV MAX SA(CFM)])</f>
        <v>0</v>
      </c>
      <c r="AR32" s="48" t="str">
        <f>IFERROR((VLOOKUP(AHU1_CAV_SCHEDULE44514167[[#This Row],[MAX VAV
(CFM)]],'DO NOT TOUCH'!$P$9:$Q$14,2,TRUE)),"TBD")</f>
        <v>TBD</v>
      </c>
      <c r="AS32" s="48">
        <f t="shared" si="3"/>
        <v>0.5</v>
      </c>
      <c r="AT32" s="48">
        <f>AHU1_CAV_SCHEDULE44514167[[#This Row],[MIN VAV
(CFM)]]</f>
        <v>0</v>
      </c>
      <c r="AU32" s="48">
        <f>INPUT_OUTPUTS!$C$16</f>
        <v>140</v>
      </c>
      <c r="AV32" s="48">
        <f>INPUT_OUTPUTS!$C$17</f>
        <v>100</v>
      </c>
      <c r="AW32" s="48">
        <f t="shared" si="7"/>
        <v>55</v>
      </c>
      <c r="AX32" s="48">
        <f t="shared" si="7"/>
        <v>85</v>
      </c>
      <c r="AY32" s="48">
        <f>MROUND((1.08*(AX32-AW32)*AHU1_CAV_SCHEDULE44514167[[#This Row],[HEATING AIRFLOW 
(CFM)]])/1000,0.1)</f>
        <v>0</v>
      </c>
      <c r="AZ32" s="49">
        <f t="shared" si="4"/>
        <v>0</v>
      </c>
      <c r="BA32" s="49">
        <f t="shared" si="2"/>
        <v>0.5</v>
      </c>
      <c r="BB32" s="49">
        <f t="shared" si="5"/>
        <v>5</v>
      </c>
      <c r="BC32" s="49" t="str">
        <f>IFERROR((_xlfn.XLOOKUP(AR32,'DO NOT TOUCH'!$Q$9:$Q$14,'DO NOT TOUCH'!$R$9:$R$14,)),"TBD")</f>
        <v>TBD</v>
      </c>
      <c r="BD32" s="49">
        <f>INPUT_OUTPUTS!$C$19</f>
        <v>0</v>
      </c>
      <c r="BE32" s="51" t="str">
        <f t="shared" si="6"/>
        <v>1, 2</v>
      </c>
    </row>
    <row r="33" spans="39:57" ht="15">
      <c r="AM33" s="323" t="s">
        <v>644</v>
      </c>
      <c r="AN33" s="323" t="s">
        <v>82</v>
      </c>
      <c r="AO33" s="323" t="s">
        <v>88</v>
      </c>
      <c r="AP33" s="323">
        <f>SUMIF(AHU_2_Ashrae[Zone],AHU1_CAV_SCHEDULE44514167[[#This Row],[ZONE]],AHU_2_Ashrae[DESIGN VAV MIN SA(CFM)])</f>
        <v>0</v>
      </c>
      <c r="AQ33" s="323">
        <f>SUMIF(AHU_2_Ashrae[Zone],AHU1_CAV_SCHEDULE44514167[[#This Row],[ZONE]],AHU_2_Ashrae[DESIGN VAV MAX SA(CFM)])</f>
        <v>0</v>
      </c>
      <c r="AR33" s="48" t="str">
        <f>IFERROR((VLOOKUP(AHU1_CAV_SCHEDULE44514167[[#This Row],[MAX VAV
(CFM)]],'DO NOT TOUCH'!$P$9:$Q$14,2,TRUE)),"TBD")</f>
        <v>TBD</v>
      </c>
      <c r="AS33" s="48">
        <f t="shared" si="3"/>
        <v>0.5</v>
      </c>
      <c r="AT33" s="48">
        <f>AHU1_CAV_SCHEDULE44514167[[#This Row],[MIN VAV
(CFM)]]</f>
        <v>0</v>
      </c>
      <c r="AU33" s="48">
        <f>INPUT_OUTPUTS!$C$16</f>
        <v>140</v>
      </c>
      <c r="AV33" s="48">
        <f>INPUT_OUTPUTS!$C$17</f>
        <v>100</v>
      </c>
      <c r="AW33" s="48">
        <f t="shared" si="7"/>
        <v>55</v>
      </c>
      <c r="AX33" s="48">
        <f t="shared" si="7"/>
        <v>85</v>
      </c>
      <c r="AY33" s="48">
        <f>MROUND((1.08*(AX33-AW33)*AHU1_CAV_SCHEDULE44514167[[#This Row],[HEATING AIRFLOW 
(CFM)]])/1000,0.1)</f>
        <v>0</v>
      </c>
      <c r="AZ33" s="49">
        <f t="shared" si="4"/>
        <v>0</v>
      </c>
      <c r="BA33" s="49">
        <f t="shared" si="2"/>
        <v>0.5</v>
      </c>
      <c r="BB33" s="49">
        <f t="shared" si="5"/>
        <v>5</v>
      </c>
      <c r="BC33" s="49" t="str">
        <f>IFERROR((_xlfn.XLOOKUP(AR33,'DO NOT TOUCH'!$Q$9:$Q$14,'DO NOT TOUCH'!$R$9:$R$14,)),"TBD")</f>
        <v>TBD</v>
      </c>
      <c r="BD33" s="49">
        <f>INPUT_OUTPUTS!$C$19</f>
        <v>0</v>
      </c>
      <c r="BE33" s="51" t="str">
        <f t="shared" si="6"/>
        <v>1, 2</v>
      </c>
    </row>
    <row r="34" spans="39:57" ht="15">
      <c r="AM34" s="323" t="s">
        <v>645</v>
      </c>
      <c r="AN34" s="323" t="s">
        <v>82</v>
      </c>
      <c r="AO34" s="323" t="s">
        <v>88</v>
      </c>
      <c r="AP34" s="323">
        <f>SUMIF(AHU_2_Ashrae[Zone],AHU1_CAV_SCHEDULE44514167[[#This Row],[ZONE]],AHU_2_Ashrae[DESIGN VAV MIN SA(CFM)])</f>
        <v>0</v>
      </c>
      <c r="AQ34" s="323">
        <f>SUMIF(AHU_2_Ashrae[Zone],AHU1_CAV_SCHEDULE44514167[[#This Row],[ZONE]],AHU_2_Ashrae[DESIGN VAV MAX SA(CFM)])</f>
        <v>0</v>
      </c>
      <c r="AR34" s="48" t="str">
        <f>IFERROR((VLOOKUP(AHU1_CAV_SCHEDULE44514167[[#This Row],[MAX VAV
(CFM)]],'DO NOT TOUCH'!$P$9:$Q$14,2,TRUE)),"TBD")</f>
        <v>TBD</v>
      </c>
      <c r="AS34" s="48">
        <f t="shared" si="3"/>
        <v>0.5</v>
      </c>
      <c r="AT34" s="48">
        <f>AHU1_CAV_SCHEDULE44514167[[#This Row],[MIN VAV
(CFM)]]</f>
        <v>0</v>
      </c>
      <c r="AU34" s="48">
        <f>INPUT_OUTPUTS!$C$16</f>
        <v>140</v>
      </c>
      <c r="AV34" s="48">
        <f>INPUT_OUTPUTS!$C$17</f>
        <v>100</v>
      </c>
      <c r="AW34" s="48">
        <f t="shared" si="7"/>
        <v>55</v>
      </c>
      <c r="AX34" s="48">
        <f t="shared" si="7"/>
        <v>85</v>
      </c>
      <c r="AY34" s="48">
        <f>MROUND((1.08*(AX34-AW34)*AHU1_CAV_SCHEDULE44514167[[#This Row],[HEATING AIRFLOW 
(CFM)]])/1000,0.1)</f>
        <v>0</v>
      </c>
      <c r="AZ34" s="49">
        <f t="shared" si="4"/>
        <v>0</v>
      </c>
      <c r="BA34" s="49">
        <f t="shared" si="2"/>
        <v>0.5</v>
      </c>
      <c r="BB34" s="49">
        <f t="shared" si="5"/>
        <v>5</v>
      </c>
      <c r="BC34" s="49" t="str">
        <f>IFERROR((_xlfn.XLOOKUP(AR34,'DO NOT TOUCH'!$Q$9:$Q$14,'DO NOT TOUCH'!$R$9:$R$14,)),"TBD")</f>
        <v>TBD</v>
      </c>
      <c r="BD34" s="49">
        <f>INPUT_OUTPUTS!$C$19</f>
        <v>0</v>
      </c>
      <c r="BE34" s="51" t="str">
        <f t="shared" si="6"/>
        <v>1, 2</v>
      </c>
    </row>
    <row r="35" spans="39:57" ht="15">
      <c r="AM35" s="323" t="s">
        <v>646</v>
      </c>
      <c r="AN35" s="323" t="s">
        <v>82</v>
      </c>
      <c r="AO35" s="323" t="s">
        <v>88</v>
      </c>
      <c r="AP35" s="323">
        <f>SUMIF(AHU_2_Ashrae[Zone],AHU1_CAV_SCHEDULE44514167[[#This Row],[ZONE]],AHU_2_Ashrae[DESIGN VAV MIN SA(CFM)])</f>
        <v>0</v>
      </c>
      <c r="AQ35" s="323">
        <f>SUMIF(AHU_2_Ashrae[Zone],AHU1_CAV_SCHEDULE44514167[[#This Row],[ZONE]],AHU_2_Ashrae[DESIGN VAV MAX SA(CFM)])</f>
        <v>0</v>
      </c>
      <c r="AR35" s="48" t="str">
        <f>IFERROR((VLOOKUP(AHU1_CAV_SCHEDULE44514167[[#This Row],[MAX VAV
(CFM)]],'DO NOT TOUCH'!$P$9:$Q$14,2,TRUE)),"TBD")</f>
        <v>TBD</v>
      </c>
      <c r="AS35" s="48">
        <f t="shared" si="3"/>
        <v>0.5</v>
      </c>
      <c r="AT35" s="48">
        <f>AHU1_CAV_SCHEDULE44514167[[#This Row],[MIN VAV
(CFM)]]</f>
        <v>0</v>
      </c>
      <c r="AU35" s="48">
        <f>INPUT_OUTPUTS!$C$16</f>
        <v>140</v>
      </c>
      <c r="AV35" s="48">
        <f>INPUT_OUTPUTS!$C$17</f>
        <v>100</v>
      </c>
      <c r="AW35" s="48">
        <f t="shared" si="7"/>
        <v>55</v>
      </c>
      <c r="AX35" s="48">
        <f t="shared" si="7"/>
        <v>85</v>
      </c>
      <c r="AY35" s="48">
        <f>MROUND((1.08*(AX35-AW35)*AHU1_CAV_SCHEDULE44514167[[#This Row],[HEATING AIRFLOW 
(CFM)]])/1000,0.1)</f>
        <v>0</v>
      </c>
      <c r="AZ35" s="49">
        <f t="shared" si="4"/>
        <v>0</v>
      </c>
      <c r="BA35" s="49">
        <f t="shared" si="2"/>
        <v>0.5</v>
      </c>
      <c r="BB35" s="49">
        <f t="shared" si="5"/>
        <v>5</v>
      </c>
      <c r="BC35" s="49" t="str">
        <f>IFERROR((_xlfn.XLOOKUP(AR35,'DO NOT TOUCH'!$Q$9:$Q$14,'DO NOT TOUCH'!$R$9:$R$14,)),"TBD")</f>
        <v>TBD</v>
      </c>
      <c r="BD35" s="49">
        <f>INPUT_OUTPUTS!$C$19</f>
        <v>0</v>
      </c>
      <c r="BE35" s="51" t="str">
        <f t="shared" si="6"/>
        <v>1, 2</v>
      </c>
    </row>
    <row r="36" spans="39:57" ht="15">
      <c r="AM36" s="323" t="s">
        <v>647</v>
      </c>
      <c r="AN36" s="323" t="s">
        <v>82</v>
      </c>
      <c r="AO36" s="323" t="s">
        <v>88</v>
      </c>
      <c r="AP36" s="323">
        <f>SUMIF(AHU_2_Ashrae[Zone],AHU1_CAV_SCHEDULE44514167[[#This Row],[ZONE]],AHU_2_Ashrae[DESIGN VAV MIN SA(CFM)])</f>
        <v>0</v>
      </c>
      <c r="AQ36" s="323">
        <f>SUMIF(AHU_2_Ashrae[Zone],AHU1_CAV_SCHEDULE44514167[[#This Row],[ZONE]],AHU_2_Ashrae[DESIGN VAV MAX SA(CFM)])</f>
        <v>0</v>
      </c>
      <c r="AR36" s="48" t="str">
        <f>IFERROR((VLOOKUP(AHU1_CAV_SCHEDULE44514167[[#This Row],[MAX VAV
(CFM)]],'DO NOT TOUCH'!$P$9:$Q$14,2,TRUE)),"TBD")</f>
        <v>TBD</v>
      </c>
      <c r="AS36" s="48">
        <f t="shared" si="3"/>
        <v>0.5</v>
      </c>
      <c r="AT36" s="48">
        <f>AHU1_CAV_SCHEDULE44514167[[#This Row],[MIN VAV
(CFM)]]</f>
        <v>0</v>
      </c>
      <c r="AU36" s="48">
        <f>INPUT_OUTPUTS!$C$16</f>
        <v>140</v>
      </c>
      <c r="AV36" s="48">
        <f>INPUT_OUTPUTS!$C$17</f>
        <v>100</v>
      </c>
      <c r="AW36" s="48">
        <f t="shared" ref="AW36:AX40" si="8">AW35</f>
        <v>55</v>
      </c>
      <c r="AX36" s="48">
        <f t="shared" si="8"/>
        <v>85</v>
      </c>
      <c r="AY36" s="48">
        <f>MROUND((1.08*(AX36-AW36)*AHU1_CAV_SCHEDULE44514167[[#This Row],[HEATING AIRFLOW 
(CFM)]])/1000,0.1)</f>
        <v>0</v>
      </c>
      <c r="AZ36" s="49">
        <f t="shared" si="4"/>
        <v>0</v>
      </c>
      <c r="BA36" s="49">
        <f t="shared" si="2"/>
        <v>0.5</v>
      </c>
      <c r="BB36" s="49">
        <f t="shared" si="5"/>
        <v>5</v>
      </c>
      <c r="BC36" s="49" t="str">
        <f>IFERROR((_xlfn.XLOOKUP(AR36,'DO NOT TOUCH'!$Q$9:$Q$14,'DO NOT TOUCH'!$R$9:$R$14,)),"TBD")</f>
        <v>TBD</v>
      </c>
      <c r="BD36" s="49">
        <f>INPUT_OUTPUTS!$C$19</f>
        <v>0</v>
      </c>
      <c r="BE36" s="51" t="str">
        <f t="shared" si="6"/>
        <v>1, 2</v>
      </c>
    </row>
    <row r="37" spans="39:57" ht="15">
      <c r="AM37" s="323" t="s">
        <v>648</v>
      </c>
      <c r="AN37" s="323" t="s">
        <v>82</v>
      </c>
      <c r="AO37" s="323" t="s">
        <v>88</v>
      </c>
      <c r="AP37" s="323">
        <f>SUMIF(AHU_2_Ashrae[Zone],AHU1_CAV_SCHEDULE44514167[[#This Row],[ZONE]],AHU_2_Ashrae[DESIGN VAV MIN SA(CFM)])</f>
        <v>0</v>
      </c>
      <c r="AQ37" s="323">
        <f>SUMIF(AHU_2_Ashrae[Zone],AHU1_CAV_SCHEDULE44514167[[#This Row],[ZONE]],AHU_2_Ashrae[DESIGN VAV MAX SA(CFM)])</f>
        <v>0</v>
      </c>
      <c r="AR37" s="48" t="str">
        <f>IFERROR((VLOOKUP(AHU1_CAV_SCHEDULE44514167[[#This Row],[MAX VAV
(CFM)]],'DO NOT TOUCH'!$P$9:$Q$14,2,TRUE)),"TBD")</f>
        <v>TBD</v>
      </c>
      <c r="AS37" s="48">
        <f t="shared" si="3"/>
        <v>0.5</v>
      </c>
      <c r="AT37" s="48">
        <f>AHU1_CAV_SCHEDULE44514167[[#This Row],[MIN VAV
(CFM)]]</f>
        <v>0</v>
      </c>
      <c r="AU37" s="48">
        <f>INPUT_OUTPUTS!$C$16</f>
        <v>140</v>
      </c>
      <c r="AV37" s="48">
        <f>INPUT_OUTPUTS!$C$17</f>
        <v>100</v>
      </c>
      <c r="AW37" s="48">
        <f t="shared" si="8"/>
        <v>55</v>
      </c>
      <c r="AX37" s="48">
        <f t="shared" si="8"/>
        <v>85</v>
      </c>
      <c r="AY37" s="48">
        <f>MROUND((1.08*(AX37-AW37)*AHU1_CAV_SCHEDULE44514167[[#This Row],[HEATING AIRFLOW 
(CFM)]])/1000,0.1)</f>
        <v>0</v>
      </c>
      <c r="AZ37" s="49">
        <f t="shared" si="4"/>
        <v>0</v>
      </c>
      <c r="BA37" s="49">
        <f t="shared" si="2"/>
        <v>0.5</v>
      </c>
      <c r="BB37" s="49">
        <f t="shared" si="5"/>
        <v>5</v>
      </c>
      <c r="BC37" s="49" t="str">
        <f>IFERROR((_xlfn.XLOOKUP(AR37,'DO NOT TOUCH'!$Q$9:$Q$14,'DO NOT TOUCH'!$R$9:$R$14,)),"TBD")</f>
        <v>TBD</v>
      </c>
      <c r="BD37" s="49">
        <f>INPUT_OUTPUTS!$C$19</f>
        <v>0</v>
      </c>
      <c r="BE37" s="51" t="str">
        <f t="shared" si="6"/>
        <v>1, 2</v>
      </c>
    </row>
    <row r="38" spans="39:57" ht="15">
      <c r="AM38" s="323" t="s">
        <v>649</v>
      </c>
      <c r="AN38" s="323" t="s">
        <v>82</v>
      </c>
      <c r="AO38" s="323" t="s">
        <v>88</v>
      </c>
      <c r="AP38" s="323">
        <f>SUMIF(AHU_2_Ashrae[Zone],AHU1_CAV_SCHEDULE44514167[[#This Row],[ZONE]],AHU_2_Ashrae[DESIGN VAV MIN SA(CFM)])</f>
        <v>0</v>
      </c>
      <c r="AQ38" s="323">
        <f>SUMIF(AHU_2_Ashrae[Zone],AHU1_CAV_SCHEDULE44514167[[#This Row],[ZONE]],AHU_2_Ashrae[DESIGN VAV MAX SA(CFM)])</f>
        <v>0</v>
      </c>
      <c r="AR38" s="48" t="str">
        <f>IFERROR((VLOOKUP(AHU1_CAV_SCHEDULE44514167[[#This Row],[MAX VAV
(CFM)]],'DO NOT TOUCH'!$P$9:$Q$14,2,TRUE)),"TBD")</f>
        <v>TBD</v>
      </c>
      <c r="AS38" s="48">
        <f t="shared" si="3"/>
        <v>0.5</v>
      </c>
      <c r="AT38" s="48">
        <f>AHU1_CAV_SCHEDULE44514167[[#This Row],[MIN VAV
(CFM)]]</f>
        <v>0</v>
      </c>
      <c r="AU38" s="48">
        <f>INPUT_OUTPUTS!$C$16</f>
        <v>140</v>
      </c>
      <c r="AV38" s="48">
        <f>INPUT_OUTPUTS!$C$17</f>
        <v>100</v>
      </c>
      <c r="AW38" s="48">
        <f t="shared" si="8"/>
        <v>55</v>
      </c>
      <c r="AX38" s="48">
        <f t="shared" si="8"/>
        <v>85</v>
      </c>
      <c r="AY38" s="48">
        <f>MROUND((1.08*(AX38-AW38)*AHU1_CAV_SCHEDULE44514167[[#This Row],[HEATING AIRFLOW 
(CFM)]])/1000,0.1)</f>
        <v>0</v>
      </c>
      <c r="AZ38" s="49">
        <f t="shared" si="4"/>
        <v>0</v>
      </c>
      <c r="BA38" s="49">
        <f t="shared" si="2"/>
        <v>0.5</v>
      </c>
      <c r="BB38" s="49">
        <f t="shared" si="5"/>
        <v>5</v>
      </c>
      <c r="BC38" s="49" t="str">
        <f>IFERROR((_xlfn.XLOOKUP(AR38,'DO NOT TOUCH'!$Q$9:$Q$14,'DO NOT TOUCH'!$R$9:$R$14,)),"TBD")</f>
        <v>TBD</v>
      </c>
      <c r="BD38" s="49">
        <f>INPUT_OUTPUTS!$C$19</f>
        <v>0</v>
      </c>
      <c r="BE38" s="51" t="str">
        <f t="shared" si="6"/>
        <v>1, 2</v>
      </c>
    </row>
    <row r="39" spans="39:57" ht="15">
      <c r="AM39" s="323" t="s">
        <v>650</v>
      </c>
      <c r="AN39" s="323" t="s">
        <v>82</v>
      </c>
      <c r="AO39" s="323" t="s">
        <v>88</v>
      </c>
      <c r="AP39" s="323">
        <f>SUMIF(AHU_2_Ashrae[Zone],AHU1_CAV_SCHEDULE44514167[[#This Row],[ZONE]],AHU_2_Ashrae[DESIGN VAV MIN SA(CFM)])</f>
        <v>0</v>
      </c>
      <c r="AQ39" s="323">
        <f>SUMIF(AHU_2_Ashrae[Zone],AHU1_CAV_SCHEDULE44514167[[#This Row],[ZONE]],AHU_2_Ashrae[DESIGN VAV MAX SA(CFM)])</f>
        <v>0</v>
      </c>
      <c r="AR39" s="48" t="str">
        <f>IFERROR((VLOOKUP(AHU1_CAV_SCHEDULE44514167[[#This Row],[MAX VAV
(CFM)]],'DO NOT TOUCH'!$P$9:$Q$14,2,TRUE)),"TBD")</f>
        <v>TBD</v>
      </c>
      <c r="AS39" s="48">
        <f t="shared" si="3"/>
        <v>0.5</v>
      </c>
      <c r="AT39" s="48">
        <f>AHU1_CAV_SCHEDULE44514167[[#This Row],[MIN VAV
(CFM)]]</f>
        <v>0</v>
      </c>
      <c r="AU39" s="48">
        <f>INPUT_OUTPUTS!$C$16</f>
        <v>140</v>
      </c>
      <c r="AV39" s="48">
        <f>INPUT_OUTPUTS!$C$17</f>
        <v>100</v>
      </c>
      <c r="AW39" s="48">
        <f t="shared" si="8"/>
        <v>55</v>
      </c>
      <c r="AX39" s="48">
        <f t="shared" si="8"/>
        <v>85</v>
      </c>
      <c r="AY39" s="48">
        <f>MROUND((1.08*(AX39-AW39)*AHU1_CAV_SCHEDULE44514167[[#This Row],[HEATING AIRFLOW 
(CFM)]])/1000,0.1)</f>
        <v>0</v>
      </c>
      <c r="AZ39" s="49">
        <f t="shared" si="4"/>
        <v>0</v>
      </c>
      <c r="BA39" s="49">
        <f t="shared" si="2"/>
        <v>0.5</v>
      </c>
      <c r="BB39" s="49">
        <f t="shared" si="5"/>
        <v>5</v>
      </c>
      <c r="BC39" s="49" t="str">
        <f>IFERROR((_xlfn.XLOOKUP(AR39,'DO NOT TOUCH'!$Q$9:$Q$14,'DO NOT TOUCH'!$R$9:$R$14,)),"TBD")</f>
        <v>TBD</v>
      </c>
      <c r="BD39" s="49">
        <f>INPUT_OUTPUTS!$C$19</f>
        <v>0</v>
      </c>
      <c r="BE39" s="51" t="str">
        <f t="shared" si="6"/>
        <v>1, 2</v>
      </c>
    </row>
    <row r="40" spans="39:57" ht="15">
      <c r="AM40" s="323" t="s">
        <v>651</v>
      </c>
      <c r="AN40" s="324" t="s">
        <v>82</v>
      </c>
      <c r="AO40" s="324" t="s">
        <v>88</v>
      </c>
      <c r="AP40" s="323">
        <f>SUMIF(AHU_2_Ashrae[Zone],AHU1_CAV_SCHEDULE44514167[[#This Row],[ZONE]],AHU_2_Ashrae[DESIGN VAV MIN SA(CFM)])</f>
        <v>0</v>
      </c>
      <c r="AQ40" s="323">
        <f>SUMIF(AHU_2_Ashrae[Zone],AHU1_CAV_SCHEDULE44514167[[#This Row],[ZONE]],AHU_2_Ashrae[DESIGN VAV MAX SA(CFM)])</f>
        <v>0</v>
      </c>
      <c r="AR40" s="48" t="str">
        <f>IFERROR((VLOOKUP(AHU1_CAV_SCHEDULE44514167[[#This Row],[MAX VAV
(CFM)]],'DO NOT TOUCH'!$P$9:$Q$14,2,TRUE)),"TBD")</f>
        <v>TBD</v>
      </c>
      <c r="AS40" s="54">
        <f t="shared" si="3"/>
        <v>0.5</v>
      </c>
      <c r="AT40" s="48">
        <f>AHU1_CAV_SCHEDULE44514167[[#This Row],[MIN VAV
(CFM)]]</f>
        <v>0</v>
      </c>
      <c r="AU40" s="48">
        <f>INPUT_OUTPUTS!$C$16</f>
        <v>140</v>
      </c>
      <c r="AV40" s="48">
        <f>INPUT_OUTPUTS!$C$17</f>
        <v>100</v>
      </c>
      <c r="AW40" s="54">
        <f t="shared" si="8"/>
        <v>55</v>
      </c>
      <c r="AX40" s="54">
        <f t="shared" si="8"/>
        <v>85</v>
      </c>
      <c r="AY40" s="54">
        <f>MROUND((1.08*(AX40-AW40)*AHU1_CAV_SCHEDULE44514167[[#This Row],[HEATING AIRFLOW 
(CFM)]])/1000,0.1)</f>
        <v>0</v>
      </c>
      <c r="AZ40" s="55">
        <f t="shared" si="4"/>
        <v>0</v>
      </c>
      <c r="BA40" s="55">
        <f t="shared" si="2"/>
        <v>0.5</v>
      </c>
      <c r="BB40" s="55">
        <f t="shared" si="5"/>
        <v>5</v>
      </c>
      <c r="BC40" s="55" t="str">
        <f>IFERROR((_xlfn.XLOOKUP(AR40,'DO NOT TOUCH'!$Q$9:$Q$14,'DO NOT TOUCH'!$R$9:$R$14,)),"TBD")</f>
        <v>TBD</v>
      </c>
      <c r="BD40" s="49">
        <f>INPUT_OUTPUTS!$C$19</f>
        <v>0</v>
      </c>
      <c r="BE40" s="56" t="str">
        <f t="shared" si="6"/>
        <v>1, 2</v>
      </c>
    </row>
    <row r="41" spans="39:57" ht="15">
      <c r="AM41" s="69" t="s">
        <v>158</v>
      </c>
      <c r="AN41" s="70"/>
      <c r="AO41" s="70"/>
      <c r="AP41" s="70"/>
      <c r="AQ41" s="71"/>
      <c r="AR41" s="71"/>
      <c r="AS41" s="71"/>
      <c r="AT41" s="71"/>
      <c r="AU41" s="71"/>
      <c r="AV41" s="71"/>
      <c r="AW41" s="71"/>
      <c r="AX41" s="71"/>
      <c r="AY41" s="71">
        <f>SUBTOTAL(109,AHU1_CAV_SCHEDULE44514167[MIN MBH])</f>
        <v>33.700000000000003</v>
      </c>
      <c r="AZ41" s="71"/>
      <c r="BA41" s="73">
        <f>SUBTOTAL(109,AHU1_CAV_SCHEDULE44514167[GPM])</f>
        <v>19.685000000000002</v>
      </c>
      <c r="BB41" s="71"/>
      <c r="BC41" s="71"/>
      <c r="BD41" s="71"/>
      <c r="BE41" s="72"/>
    </row>
  </sheetData>
  <mergeCells count="2">
    <mergeCell ref="A1:G1"/>
    <mergeCell ref="H1:AC1"/>
  </mergeCells>
  <pageMargins left="0.7" right="0.7" top="0.75" bottom="0.75" header="0.3" footer="0.3"/>
  <pageSetup orientation="portrait" r:id="rId1"/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84638FF-5A91-4258-9FFF-9A7FB88F8C27}">
          <x14:formula1>
            <xm:f>'ASHRAE Table'!$R$3:$R$13</xm:f>
          </x14:formula1>
          <xm:sqref>V3:V5</xm:sqref>
        </x14:dataValidation>
        <x14:dataValidation type="list" allowBlank="1" showInputMessage="1" showErrorMessage="1" xr:uid="{89FE8D40-218F-4486-B750-A0AC319BBB3C}">
          <x14:formula1>
            <xm:f>'ASHRAE Table'!$B$2:$B$91</xm:f>
          </x14:formula1>
          <xm:sqref>J3:J5</xm:sqref>
        </x14:dataValidation>
        <x14:dataValidation type="list" allowBlank="1" showInputMessage="1" showErrorMessage="1" xr:uid="{669AC1AB-75F8-4DD4-86CE-0429BFF3D485}">
          <x14:formula1>
            <xm:f>'ASHRAE Table'!$A$2:$A$91</xm:f>
          </x14:formula1>
          <xm:sqref>I3:I5</xm:sqref>
        </x14:dataValidation>
        <x14:dataValidation type="list" allowBlank="1" showInputMessage="1" showErrorMessage="1" xr:uid="{94362D22-9007-49F8-BA50-41EDE9D9FC25}">
          <x14:formula1>
            <xm:f>'ASHRAE Table'!$J$2:$J$37</xm:f>
          </x14:formula1>
          <xm:sqref>H3:H5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50F45-1D7D-49ED-AAE5-0E3F28901554}">
  <sheetPr codeName="Sheet8">
    <tabColor indexed="43"/>
    <pageSetUpPr fitToPage="1"/>
  </sheetPr>
  <dimension ref="A1:BB104"/>
  <sheetViews>
    <sheetView showGridLines="0" zoomScale="85" zoomScaleNormal="85" zoomScaleSheetLayoutView="50" zoomScalePageLayoutView="80" workbookViewId="0">
      <pane ySplit="6" topLeftCell="A7" activePane="bottomLeft" state="frozen"/>
      <selection pane="bottomLeft" activeCell="L26" sqref="L26"/>
    </sheetView>
  </sheetViews>
  <sheetFormatPr defaultColWidth="8.85546875" defaultRowHeight="15"/>
  <cols>
    <col min="1" max="1" width="2.85546875" style="109" customWidth="1"/>
    <col min="2" max="2" width="12.7109375" style="109" customWidth="1"/>
    <col min="3" max="3" width="9.85546875" style="110" bestFit="1" customWidth="1"/>
    <col min="4" max="4" width="14" style="111" bestFit="1" customWidth="1"/>
    <col min="5" max="5" width="16" style="110" bestFit="1" customWidth="1"/>
    <col min="6" max="6" width="9.85546875" style="110" bestFit="1" customWidth="1"/>
    <col min="7" max="7" width="12.7109375" style="109" customWidth="1"/>
    <col min="8" max="8" width="11.42578125" style="112" customWidth="1"/>
    <col min="9" max="9" width="7.7109375" style="109" customWidth="1"/>
    <col min="10" max="10" width="12.85546875" style="109" bestFit="1" customWidth="1"/>
    <col min="11" max="11" width="11.85546875" style="112" customWidth="1"/>
    <col min="12" max="12" width="12.7109375" style="109" customWidth="1"/>
    <col min="13" max="13" width="39" style="109" bestFit="1" customWidth="1"/>
    <col min="14" max="14" width="64.28515625" style="112" customWidth="1"/>
    <col min="15" max="15" width="25.42578125" style="112" hidden="1" customWidth="1"/>
    <col min="16" max="16" width="12.85546875" style="109" customWidth="1"/>
    <col min="17" max="17" width="13" style="109" hidden="1" customWidth="1"/>
    <col min="18" max="18" width="18" style="109" customWidth="1"/>
    <col min="19" max="19" width="22.85546875" style="112" customWidth="1"/>
    <col min="20" max="20" width="16.42578125" style="112" customWidth="1"/>
    <col min="21" max="21" width="10.140625" style="110" customWidth="1"/>
    <col min="22" max="22" width="16.7109375" style="112" bestFit="1" customWidth="1"/>
    <col min="23" max="23" width="18" style="113" customWidth="1"/>
    <col min="24" max="24" width="19.140625" style="109" bestFit="1" customWidth="1"/>
    <col min="25" max="25" width="15.85546875" style="110" bestFit="1" customWidth="1"/>
    <col min="26" max="26" width="15.85546875" style="110" customWidth="1"/>
    <col min="27" max="27" width="9.42578125" style="110" customWidth="1"/>
    <col min="28" max="28" width="22.42578125" style="110" bestFit="1" customWidth="1"/>
    <col min="29" max="29" width="13.28515625" style="110" bestFit="1" customWidth="1"/>
    <col min="30" max="30" width="18.42578125" style="114" bestFit="1" customWidth="1"/>
    <col min="31" max="31" width="22" style="114" bestFit="1" customWidth="1"/>
    <col min="32" max="32" width="7.28515625" style="114" customWidth="1"/>
    <col min="33" max="33" width="18" style="115" customWidth="1"/>
    <col min="34" max="34" width="9.85546875" style="115" customWidth="1"/>
    <col min="35" max="35" width="14.140625" style="115" bestFit="1" customWidth="1"/>
    <col min="36" max="36" width="8.42578125" style="109" hidden="1" customWidth="1"/>
    <col min="37" max="37" width="9.28515625" style="109" customWidth="1"/>
    <col min="38" max="38" width="12.28515625" style="109" bestFit="1" customWidth="1"/>
    <col min="39" max="39" width="11.42578125" style="109" bestFit="1" customWidth="1"/>
    <col min="40" max="40" width="5.85546875" style="109" hidden="1" customWidth="1"/>
    <col min="41" max="41" width="8.85546875" style="109" customWidth="1"/>
    <col min="42" max="42" width="8.28515625" style="109" bestFit="1" customWidth="1"/>
    <col min="43" max="43" width="9.7109375" style="109" bestFit="1" customWidth="1"/>
    <col min="44" max="44" width="10.42578125" style="109" bestFit="1" customWidth="1"/>
    <col min="45" max="45" width="12.42578125" style="109" customWidth="1"/>
    <col min="46" max="46" width="12.85546875" style="109" bestFit="1" customWidth="1"/>
    <col min="47" max="48" width="8.85546875" style="109"/>
    <col min="49" max="51" width="9.28515625" style="109" bestFit="1" customWidth="1"/>
    <col min="52" max="16384" width="8.85546875" style="109"/>
  </cols>
  <sheetData>
    <row r="1" spans="1:54">
      <c r="AW1" s="109" t="s">
        <v>230</v>
      </c>
      <c r="AX1" s="109" t="s">
        <v>231</v>
      </c>
      <c r="AY1" s="109" t="s">
        <v>232</v>
      </c>
      <c r="BA1" s="109" t="s">
        <v>34</v>
      </c>
      <c r="BB1" s="109" t="s">
        <v>233</v>
      </c>
    </row>
    <row r="2" spans="1:54" ht="18" thickBot="1">
      <c r="AW2" s="14">
        <f>ROUNDUP(S18*INPUT_OUTPUTS!$C$18,-2)</f>
        <v>5100</v>
      </c>
      <c r="AX2" s="14">
        <f>ROUNDUP(T18*INPUT_OUTPUTS!$C$18,-2)</f>
        <v>4500</v>
      </c>
      <c r="AY2" s="13">
        <f>ROUNDUP((P18*INPUT_OUTPUTS!C18)+Z4,-2)</f>
        <v>1600</v>
      </c>
      <c r="BA2" s="116">
        <f>AHU1_CAV_SCHEDULE4411[[#Totals],[GPM]]</f>
        <v>19</v>
      </c>
      <c r="BB2" s="117">
        <f>AHU1_CAV_SCHEDULE4411[[#Totals],[MIN MBH]]</f>
        <v>0</v>
      </c>
    </row>
    <row r="3" spans="1:54" ht="15.75" customHeight="1">
      <c r="C3" s="109"/>
      <c r="H3" s="109"/>
      <c r="K3" s="109"/>
      <c r="N3" s="109"/>
      <c r="O3" s="109"/>
      <c r="S3" s="109"/>
      <c r="T3" s="109"/>
      <c r="U3" s="109"/>
      <c r="V3" s="109"/>
      <c r="W3" s="118"/>
      <c r="Y3" s="109"/>
      <c r="Z3" s="109"/>
      <c r="AA3" s="109"/>
    </row>
    <row r="4" spans="1:54" ht="15.75">
      <c r="B4" s="112"/>
      <c r="C4" s="112"/>
      <c r="D4" s="112"/>
      <c r="E4" s="112"/>
      <c r="F4" s="112"/>
      <c r="G4" s="112"/>
      <c r="I4" s="112"/>
      <c r="J4" s="112"/>
      <c r="L4" s="112"/>
      <c r="M4" s="112"/>
      <c r="P4" s="112"/>
      <c r="Q4" s="112"/>
      <c r="R4" s="112"/>
      <c r="U4" s="112"/>
      <c r="W4" s="112"/>
      <c r="X4" s="19" t="s">
        <v>272</v>
      </c>
      <c r="Y4" s="145">
        <f>(AY2/AX2)*100</f>
        <v>35.555555555555557</v>
      </c>
      <c r="Z4" s="19">
        <v>0</v>
      </c>
      <c r="AA4" s="109"/>
    </row>
    <row r="5" spans="1:54">
      <c r="B5" s="119"/>
      <c r="C5" s="119"/>
      <c r="D5" s="360" t="s">
        <v>63</v>
      </c>
      <c r="E5" s="361"/>
      <c r="F5" s="361"/>
      <c r="G5" s="362"/>
      <c r="H5" s="363" t="s">
        <v>64</v>
      </c>
      <c r="I5" s="363"/>
      <c r="J5" s="363"/>
      <c r="K5" s="363"/>
      <c r="L5" s="363"/>
      <c r="M5" s="363"/>
      <c r="N5" s="363"/>
      <c r="O5" s="363"/>
      <c r="P5" s="363"/>
      <c r="Q5" s="363"/>
      <c r="R5" s="363"/>
      <c r="S5" s="360" t="s">
        <v>62</v>
      </c>
      <c r="T5" s="361"/>
      <c r="U5" s="361"/>
      <c r="V5" s="362"/>
      <c r="W5" s="119"/>
      <c r="X5" s="364" t="s">
        <v>61</v>
      </c>
      <c r="Y5" s="365"/>
      <c r="Z5" s="366"/>
      <c r="AC5" s="367" t="s">
        <v>84</v>
      </c>
      <c r="AD5" s="367"/>
      <c r="AE5" s="367"/>
      <c r="AF5" s="367"/>
      <c r="AG5" s="367"/>
      <c r="AH5" s="367"/>
      <c r="AI5" s="367"/>
      <c r="AJ5" s="367"/>
      <c r="AK5" s="367"/>
      <c r="AL5" s="367"/>
      <c r="AM5" s="367"/>
      <c r="AN5" s="367"/>
      <c r="AO5" s="367"/>
      <c r="AP5" s="367"/>
      <c r="AQ5" s="367"/>
      <c r="AR5" s="367"/>
      <c r="AS5" s="367"/>
    </row>
    <row r="6" spans="1:54" s="123" customFormat="1" ht="53.1" customHeight="1" thickBot="1">
      <c r="A6" s="120"/>
      <c r="B6" s="101" t="s">
        <v>91</v>
      </c>
      <c r="C6" s="57" t="s">
        <v>6</v>
      </c>
      <c r="D6" s="58" t="s">
        <v>31</v>
      </c>
      <c r="E6" s="59" t="s">
        <v>85</v>
      </c>
      <c r="F6" s="60" t="s">
        <v>0</v>
      </c>
      <c r="G6" s="61" t="s">
        <v>92</v>
      </c>
      <c r="H6" s="62" t="s">
        <v>32</v>
      </c>
      <c r="I6" s="63" t="s">
        <v>278</v>
      </c>
      <c r="J6" s="61" t="s">
        <v>279</v>
      </c>
      <c r="K6" s="61" t="s">
        <v>93</v>
      </c>
      <c r="L6" s="61" t="s">
        <v>443</v>
      </c>
      <c r="M6" s="64" t="s">
        <v>94</v>
      </c>
      <c r="N6" s="59" t="s">
        <v>95</v>
      </c>
      <c r="O6" s="59" t="s">
        <v>96</v>
      </c>
      <c r="P6" s="59" t="s">
        <v>11</v>
      </c>
      <c r="Q6" s="60" t="s">
        <v>97</v>
      </c>
      <c r="R6" s="64" t="s">
        <v>60</v>
      </c>
      <c r="S6" s="64" t="s">
        <v>98</v>
      </c>
      <c r="T6" s="59" t="s">
        <v>7</v>
      </c>
      <c r="U6" s="60" t="s">
        <v>8</v>
      </c>
      <c r="V6" s="61" t="s">
        <v>9</v>
      </c>
      <c r="W6" s="61" t="s">
        <v>10</v>
      </c>
      <c r="X6" s="64" t="s">
        <v>27</v>
      </c>
      <c r="Y6" s="64" t="s">
        <v>56</v>
      </c>
      <c r="Z6" s="60" t="s">
        <v>28</v>
      </c>
      <c r="AA6" s="121"/>
      <c r="AB6" s="121"/>
      <c r="AC6" s="122" t="s">
        <v>91</v>
      </c>
      <c r="AD6" s="122" t="s">
        <v>79</v>
      </c>
      <c r="AE6" s="122" t="s">
        <v>80</v>
      </c>
      <c r="AF6" s="122" t="s">
        <v>37</v>
      </c>
      <c r="AG6" s="122" t="s">
        <v>87</v>
      </c>
      <c r="AH6" s="122" t="s">
        <v>78</v>
      </c>
      <c r="AI6" s="122" t="s">
        <v>35</v>
      </c>
      <c r="AJ6" s="122" t="s">
        <v>72</v>
      </c>
      <c r="AK6" s="122" t="s">
        <v>36</v>
      </c>
      <c r="AL6" s="122" t="s">
        <v>71</v>
      </c>
      <c r="AM6" s="122" t="s">
        <v>70</v>
      </c>
      <c r="AN6" s="122" t="s">
        <v>160</v>
      </c>
      <c r="AO6" s="122" t="s">
        <v>34</v>
      </c>
      <c r="AP6" s="122" t="s">
        <v>75</v>
      </c>
      <c r="AQ6" s="122" t="s">
        <v>76</v>
      </c>
      <c r="AR6" s="122" t="s">
        <v>77</v>
      </c>
      <c r="AS6" s="122" t="s">
        <v>65</v>
      </c>
    </row>
    <row r="7" spans="1:54" ht="15" customHeight="1">
      <c r="B7" s="142" t="s">
        <v>156</v>
      </c>
      <c r="C7" s="142" t="s">
        <v>156</v>
      </c>
      <c r="D7" s="142">
        <v>1234</v>
      </c>
      <c r="E7" s="142">
        <v>100</v>
      </c>
      <c r="F7" s="142">
        <v>10</v>
      </c>
      <c r="G7" s="17">
        <f>VLOOKUP($M7,'UMC Table 4-A'!$A$2:$E$132,4,FALSE)</f>
        <v>2</v>
      </c>
      <c r="H7" s="17" t="str">
        <f>VLOOKUP($M7,'UMC Table 4-A'!$A$2:$E$132,5,FALSE)</f>
        <v>NR</v>
      </c>
      <c r="I7" s="17" t="str">
        <f t="shared" ref="I7:I17" si="0">IF(H7="Yes",K7,"-")</f>
        <v>-</v>
      </c>
      <c r="J7" s="17">
        <v>0</v>
      </c>
      <c r="K7" s="17">
        <f t="shared" ref="K7:K17" si="1">IF(G7&lt;&gt;"NR",ROUNDUP((E7*F7*G7)/60,-1),0)</f>
        <v>40</v>
      </c>
      <c r="L7" s="17">
        <f>IF((M7="PATIENT CORRIDOR"),(E7*0.5),E7)</f>
        <v>50</v>
      </c>
      <c r="M7" s="142" t="s">
        <v>382</v>
      </c>
      <c r="N7" s="21" t="str">
        <f>VLOOKUP($M7,'UMC Table 4-A'!$A$2:$E$132,2,FALSE)</f>
        <v>NR</v>
      </c>
      <c r="O7" s="23" t="str">
        <f>VLOOKUP($M7,'UMC Table 4-A'!$A$2:$E$132,3,FALSE)</f>
        <v>NR</v>
      </c>
      <c r="P7" s="24">
        <f t="shared" ref="P7:P17" si="2">IF(O7&lt;&gt;"NR",ROUNDUP((E7*F7*O7)/60,-1),0)</f>
        <v>0</v>
      </c>
      <c r="Q7" s="23" t="str">
        <f>VLOOKUP($M7,'UMC Table 4-A'!$A$2:$E$132,5,FALSE)</f>
        <v>NR</v>
      </c>
      <c r="R7" s="22">
        <f t="shared" ref="R7:R17" si="3">IF(N7="Negative",IF(OR(M7="Toilet room",M7="Janitor's closet, housekeeping"),0,IF(0.1*U7&gt;50,220-0.1*U7,U7-50)),IF(Q7="Yes",0,CEILING(MAX(J7:L7),5)))</f>
        <v>50</v>
      </c>
      <c r="S7" s="143">
        <f t="shared" ref="S7:S17" si="4">R7</f>
        <v>50</v>
      </c>
      <c r="T7" s="144">
        <f t="shared" ref="T7:T17" si="5">IF(Q7="Yes",0,IF(N7="Positive",IF(0.1*R7&gt;50,R7-0.1*R7,R7-50),IF(N7="Negative",IF(0.1*R7&gt;50,R7+0.1*R7,R7+50),R7)))</f>
        <v>50</v>
      </c>
      <c r="U7" s="143">
        <f t="shared" ref="U7:U17" si="6">IF(Q7="Yes",I7,0)</f>
        <v>0</v>
      </c>
      <c r="V7" s="102">
        <f t="shared" ref="V7:V17" si="7">S7-T7-U7</f>
        <v>0</v>
      </c>
      <c r="W7" s="23" t="str">
        <f t="shared" ref="W7:W17" si="8">IF(R7-T7-U7+V7=0,"Yes","No")</f>
        <v>Yes</v>
      </c>
      <c r="X7" s="103">
        <f>IFERROR(R7/E7,"-")</f>
        <v>0.5</v>
      </c>
      <c r="Y7" s="104">
        <f t="shared" ref="Y7" si="9">(P7/S7)*100</f>
        <v>0</v>
      </c>
      <c r="Z7" s="105">
        <f t="shared" ref="Z7" si="10">R7/E7/F7*60</f>
        <v>3</v>
      </c>
      <c r="AC7" s="47" t="s">
        <v>103</v>
      </c>
      <c r="AD7" s="47" t="s">
        <v>82</v>
      </c>
      <c r="AE7" s="47" t="s">
        <v>88</v>
      </c>
      <c r="AF7" s="48">
        <f t="shared" ref="AF7:AF44" si="11">SUMIF($B$7:$B$17,AC7,$S$7:$S$17)</f>
        <v>0</v>
      </c>
      <c r="AG7" s="48" t="str">
        <f>IFERROR((VLOOKUP(AF7,'DO NOT TOUCH'!$P$9:$Q$14,2,TRUE)),"TBD")</f>
        <v>TBD</v>
      </c>
      <c r="AH7" s="48">
        <v>0.5</v>
      </c>
      <c r="AI7" s="48">
        <f>INPUT_OUTPUTS!$C$16</f>
        <v>140</v>
      </c>
      <c r="AJ7" s="48">
        <f>INPUT_OUTPUTS!$C$17</f>
        <v>100</v>
      </c>
      <c r="AK7" s="48">
        <v>55</v>
      </c>
      <c r="AL7" s="48">
        <v>85</v>
      </c>
      <c r="AM7" s="48">
        <f t="shared" ref="AM7:AM44" si="12">MROUND((1.08*(AL7-AK7)*AF7)/1000,0.1)</f>
        <v>0</v>
      </c>
      <c r="AN7" s="49">
        <f>(AM7*1000)/(500*(AI7-AJ7))</f>
        <v>0</v>
      </c>
      <c r="AO7" s="49">
        <f>IF(AN7&lt;0.5,0.5,AN7)</f>
        <v>0.5</v>
      </c>
      <c r="AP7" s="49">
        <v>5</v>
      </c>
      <c r="AQ7" s="49" t="str">
        <f>IFERROR((_xlfn.XLOOKUP(AG7,'DO NOT TOUCH'!$Q$9:$Q$14,'DO NOT TOUCH'!$R$9:$R$14,)),"TBD")</f>
        <v>TBD</v>
      </c>
      <c r="AR7" s="49">
        <f>INPUT_OUTPUTS!$C$19</f>
        <v>0</v>
      </c>
      <c r="AS7" s="48" t="s">
        <v>83</v>
      </c>
    </row>
    <row r="8" spans="1:54" ht="15" customHeight="1">
      <c r="B8" s="142" t="s">
        <v>156</v>
      </c>
      <c r="C8" s="142" t="s">
        <v>156</v>
      </c>
      <c r="D8" s="142">
        <v>1234</v>
      </c>
      <c r="E8" s="142">
        <v>200</v>
      </c>
      <c r="F8" s="142">
        <v>9.5</v>
      </c>
      <c r="G8" s="17">
        <f>VLOOKUP($M8,'UMC Table 4-A'!$A$2:$E$132,4,FALSE)</f>
        <v>4</v>
      </c>
      <c r="H8" s="17" t="str">
        <f>VLOOKUP($M8,'UMC Table 4-A'!$A$2:$E$132,5,FALSE)</f>
        <v>NR</v>
      </c>
      <c r="I8" s="17" t="str">
        <f t="shared" si="0"/>
        <v>-</v>
      </c>
      <c r="J8" s="17">
        <v>0</v>
      </c>
      <c r="K8" s="17">
        <f t="shared" si="1"/>
        <v>130</v>
      </c>
      <c r="L8" s="17">
        <f t="shared" ref="L8:L17" si="13">IF((M8="PATIENT CORRIDOR"),(E8*0.5),E8)</f>
        <v>200</v>
      </c>
      <c r="M8" s="142" t="s">
        <v>73</v>
      </c>
      <c r="N8" s="19" t="str">
        <f>VLOOKUP($M8,'UMC Table 4-A'!$A$2:$E$132,2,FALSE)</f>
        <v>NR</v>
      </c>
      <c r="O8" s="17">
        <f>VLOOKUP($M8,'UMC Table 4-A'!$A$2:$E$132,3,FALSE)</f>
        <v>2</v>
      </c>
      <c r="P8" s="25">
        <f t="shared" si="2"/>
        <v>70</v>
      </c>
      <c r="Q8" s="17" t="str">
        <f>VLOOKUP($M8,'UMC Table 4-A'!$A$2:$E$132,5,FALSE)</f>
        <v>NR</v>
      </c>
      <c r="R8" s="18">
        <f t="shared" si="3"/>
        <v>200</v>
      </c>
      <c r="S8" s="143">
        <f t="shared" si="4"/>
        <v>200</v>
      </c>
      <c r="T8" s="143">
        <f t="shared" si="5"/>
        <v>200</v>
      </c>
      <c r="U8" s="143">
        <f t="shared" si="6"/>
        <v>0</v>
      </c>
      <c r="V8" s="106">
        <f t="shared" si="7"/>
        <v>0</v>
      </c>
      <c r="W8" s="17" t="str">
        <f t="shared" si="8"/>
        <v>Yes</v>
      </c>
      <c r="X8" s="105">
        <f>IFERROR(R8/E8,"-")</f>
        <v>1</v>
      </c>
      <c r="Y8" s="104">
        <f>IFERROR(((P8/S8)*100),"-")</f>
        <v>35</v>
      </c>
      <c r="Z8" s="105">
        <f>IFERROR((R8/E8/F8*60),"-")</f>
        <v>6.3157894736842106</v>
      </c>
      <c r="AC8" s="47" t="s">
        <v>104</v>
      </c>
      <c r="AD8" s="47" t="s">
        <v>82</v>
      </c>
      <c r="AE8" s="47" t="s">
        <v>88</v>
      </c>
      <c r="AF8" s="48">
        <f t="shared" si="11"/>
        <v>0</v>
      </c>
      <c r="AG8" s="48" t="str">
        <f>IFERROR((VLOOKUP(AF8,'DO NOT TOUCH'!$P$9:$Q$14,2,TRUE)),"TBD")</f>
        <v>TBD</v>
      </c>
      <c r="AH8" s="48">
        <f>AH7</f>
        <v>0.5</v>
      </c>
      <c r="AI8" s="48">
        <f>INPUT_OUTPUTS!$C$16</f>
        <v>140</v>
      </c>
      <c r="AJ8" s="48">
        <f>INPUT_OUTPUTS!$C$17</f>
        <v>100</v>
      </c>
      <c r="AK8" s="48">
        <f t="shared" ref="AK8:AL23" si="14">AK7</f>
        <v>55</v>
      </c>
      <c r="AL8" s="48">
        <f t="shared" si="14"/>
        <v>85</v>
      </c>
      <c r="AM8" s="48">
        <f t="shared" si="12"/>
        <v>0</v>
      </c>
      <c r="AN8" s="49">
        <f>(AM8*1000)/(500*(AI8-AJ8))</f>
        <v>0</v>
      </c>
      <c r="AO8" s="49">
        <f t="shared" ref="AO8:AO44" si="15">IF(AN8&lt;0.5,0.5,AN8)</f>
        <v>0.5</v>
      </c>
      <c r="AP8" s="49">
        <f>AP7</f>
        <v>5</v>
      </c>
      <c r="AQ8" s="49" t="str">
        <f>IFERROR((_xlfn.XLOOKUP(AG8,'DO NOT TOUCH'!$Q$9:$Q$14,'DO NOT TOUCH'!$R$9:$R$14,)),"TBD")</f>
        <v>TBD</v>
      </c>
      <c r="AR8" s="49">
        <f>INPUT_OUTPUTS!$C$19</f>
        <v>0</v>
      </c>
      <c r="AS8" s="48" t="str">
        <f>AS7</f>
        <v>1, 2</v>
      </c>
    </row>
    <row r="9" spans="1:54" ht="15" customHeight="1">
      <c r="B9" s="142" t="s">
        <v>161</v>
      </c>
      <c r="C9" s="142" t="s">
        <v>156</v>
      </c>
      <c r="D9" s="142">
        <v>1234</v>
      </c>
      <c r="E9" s="142">
        <v>300</v>
      </c>
      <c r="F9" s="142">
        <v>10</v>
      </c>
      <c r="G9" s="17">
        <f>VLOOKUP($M9,'UMC Table 4-A'!$A$2:$E$132,4,FALSE)</f>
        <v>10</v>
      </c>
      <c r="H9" s="17" t="str">
        <f>VLOOKUP($M9,'UMC Table 4-A'!$A$2:$E$132,5,FALSE)</f>
        <v>Yes</v>
      </c>
      <c r="I9" s="17">
        <f t="shared" si="0"/>
        <v>500</v>
      </c>
      <c r="J9" s="17">
        <v>0</v>
      </c>
      <c r="K9" s="17">
        <f t="shared" si="1"/>
        <v>500</v>
      </c>
      <c r="L9" s="17">
        <f t="shared" si="13"/>
        <v>300</v>
      </c>
      <c r="M9" s="142" t="s">
        <v>298</v>
      </c>
      <c r="N9" s="19" t="str">
        <f>VLOOKUP($M9,'UMC Table 4-A'!$A$2:$E$132,2,FALSE)</f>
        <v>Negative</v>
      </c>
      <c r="O9" s="17" t="str">
        <f>VLOOKUP($M9,'UMC Table 4-A'!$A$2:$E$132,3,FALSE)</f>
        <v>NR</v>
      </c>
      <c r="P9" s="25">
        <f t="shared" si="2"/>
        <v>0</v>
      </c>
      <c r="Q9" s="17" t="str">
        <f>VLOOKUP($M9,'UMC Table 4-A'!$A$2:$E$132,5,FALSE)</f>
        <v>Yes</v>
      </c>
      <c r="R9" s="18">
        <f t="shared" si="3"/>
        <v>450</v>
      </c>
      <c r="S9" s="143">
        <f t="shared" si="4"/>
        <v>450</v>
      </c>
      <c r="T9" s="143">
        <f t="shared" si="5"/>
        <v>0</v>
      </c>
      <c r="U9" s="143">
        <f t="shared" si="6"/>
        <v>500</v>
      </c>
      <c r="V9" s="106">
        <f t="shared" si="7"/>
        <v>-50</v>
      </c>
      <c r="W9" s="17" t="str">
        <f t="shared" si="8"/>
        <v>No</v>
      </c>
      <c r="X9" s="105">
        <f t="shared" ref="X9:X17" si="16">IFERROR(R9/E9,"-")</f>
        <v>1.5</v>
      </c>
      <c r="Y9" s="104">
        <f t="shared" ref="Y9:Y17" si="17">IFERROR(((P9/S9)*100),"-")</f>
        <v>0</v>
      </c>
      <c r="Z9" s="105">
        <f t="shared" ref="Z9:Z17" si="18">IFERROR((R9/E9/F9*60),"-")</f>
        <v>9</v>
      </c>
      <c r="AC9" s="47" t="s">
        <v>105</v>
      </c>
      <c r="AD9" s="47" t="s">
        <v>82</v>
      </c>
      <c r="AE9" s="47" t="s">
        <v>88</v>
      </c>
      <c r="AF9" s="48">
        <f t="shared" si="11"/>
        <v>0</v>
      </c>
      <c r="AG9" s="48" t="str">
        <f>IFERROR((VLOOKUP(AF9,'DO NOT TOUCH'!$P$9:$Q$14,2,TRUE)),"TBD")</f>
        <v>TBD</v>
      </c>
      <c r="AH9" s="48">
        <f t="shared" ref="AH9:AH44" si="19">AH8</f>
        <v>0.5</v>
      </c>
      <c r="AI9" s="48">
        <f>INPUT_OUTPUTS!$C$16</f>
        <v>140</v>
      </c>
      <c r="AJ9" s="48">
        <f>INPUT_OUTPUTS!$C$17</f>
        <v>100</v>
      </c>
      <c r="AK9" s="48">
        <f t="shared" si="14"/>
        <v>55</v>
      </c>
      <c r="AL9" s="48">
        <f t="shared" si="14"/>
        <v>85</v>
      </c>
      <c r="AM9" s="48">
        <f t="shared" si="12"/>
        <v>0</v>
      </c>
      <c r="AN9" s="49">
        <f t="shared" ref="AN9:AN44" si="20">(AM9*1000)/(500*(AI9-AJ9))</f>
        <v>0</v>
      </c>
      <c r="AO9" s="49">
        <f t="shared" si="15"/>
        <v>0.5</v>
      </c>
      <c r="AP9" s="49">
        <f t="shared" ref="AP9:AP44" si="21">AP8</f>
        <v>5</v>
      </c>
      <c r="AQ9" s="49" t="str">
        <f>IFERROR((_xlfn.XLOOKUP(AG9,'DO NOT TOUCH'!$Q$9:$Q$14,'DO NOT TOUCH'!$R$9:$R$14,)),"TBD")</f>
        <v>TBD</v>
      </c>
      <c r="AR9" s="49">
        <f>INPUT_OUTPUTS!$C$19</f>
        <v>0</v>
      </c>
      <c r="AS9" s="48" t="str">
        <f t="shared" ref="AS9:AS44" si="22">AS8</f>
        <v>1, 2</v>
      </c>
    </row>
    <row r="10" spans="1:54" ht="15" customHeight="1">
      <c r="B10" s="142" t="s">
        <v>162</v>
      </c>
      <c r="C10" s="142" t="s">
        <v>156</v>
      </c>
      <c r="D10" s="142">
        <v>1234</v>
      </c>
      <c r="E10" s="142">
        <v>20</v>
      </c>
      <c r="F10" s="142">
        <v>10</v>
      </c>
      <c r="G10" s="17">
        <f>VLOOKUP($M10,'UMC Table 4-A'!$A$2:$E$132,4,FALSE)</f>
        <v>6</v>
      </c>
      <c r="H10" s="17" t="str">
        <f>VLOOKUP($M10,'UMC Table 4-A'!$A$2:$E$132,5,FALSE)</f>
        <v>NR</v>
      </c>
      <c r="I10" s="17" t="str">
        <f t="shared" si="0"/>
        <v>-</v>
      </c>
      <c r="J10" s="17">
        <v>0</v>
      </c>
      <c r="K10" s="17">
        <f t="shared" si="1"/>
        <v>20</v>
      </c>
      <c r="L10" s="17">
        <f t="shared" si="13"/>
        <v>20</v>
      </c>
      <c r="M10" s="142" t="s">
        <v>301</v>
      </c>
      <c r="N10" s="19" t="str">
        <f>VLOOKUP($M10,'UMC Table 4-A'!$A$2:$E$132,2,FALSE)</f>
        <v>NR</v>
      </c>
      <c r="O10" s="17">
        <f>VLOOKUP($M10,'UMC Table 4-A'!$A$2:$E$132,3,FALSE)</f>
        <v>2</v>
      </c>
      <c r="P10" s="25">
        <f t="shared" si="2"/>
        <v>10</v>
      </c>
      <c r="Q10" s="17" t="str">
        <f>VLOOKUP($M10,'UMC Table 4-A'!$A$2:$E$132,5,FALSE)</f>
        <v>NR</v>
      </c>
      <c r="R10" s="18">
        <f t="shared" si="3"/>
        <v>20</v>
      </c>
      <c r="S10" s="143">
        <f t="shared" si="4"/>
        <v>20</v>
      </c>
      <c r="T10" s="143">
        <f t="shared" si="5"/>
        <v>20</v>
      </c>
      <c r="U10" s="143">
        <f t="shared" si="6"/>
        <v>0</v>
      </c>
      <c r="V10" s="106">
        <f t="shared" si="7"/>
        <v>0</v>
      </c>
      <c r="W10" s="17" t="str">
        <f t="shared" si="8"/>
        <v>Yes</v>
      </c>
      <c r="X10" s="105">
        <f t="shared" si="16"/>
        <v>1</v>
      </c>
      <c r="Y10" s="104">
        <f t="shared" si="17"/>
        <v>50</v>
      </c>
      <c r="Z10" s="105">
        <f t="shared" si="18"/>
        <v>6</v>
      </c>
      <c r="AC10" s="47" t="s">
        <v>106</v>
      </c>
      <c r="AD10" s="47" t="s">
        <v>82</v>
      </c>
      <c r="AE10" s="47" t="s">
        <v>88</v>
      </c>
      <c r="AF10" s="48">
        <f t="shared" si="11"/>
        <v>0</v>
      </c>
      <c r="AG10" s="48" t="str">
        <f>IFERROR((VLOOKUP(AF10,'DO NOT TOUCH'!$P$9:$Q$14,2,TRUE)),"TBD")</f>
        <v>TBD</v>
      </c>
      <c r="AH10" s="48">
        <f t="shared" si="19"/>
        <v>0.5</v>
      </c>
      <c r="AI10" s="48">
        <f>INPUT_OUTPUTS!$C$16</f>
        <v>140</v>
      </c>
      <c r="AJ10" s="48">
        <f>INPUT_OUTPUTS!$C$17</f>
        <v>100</v>
      </c>
      <c r="AK10" s="48">
        <f t="shared" si="14"/>
        <v>55</v>
      </c>
      <c r="AL10" s="48">
        <f t="shared" si="14"/>
        <v>85</v>
      </c>
      <c r="AM10" s="48">
        <f t="shared" si="12"/>
        <v>0</v>
      </c>
      <c r="AN10" s="49">
        <f t="shared" si="20"/>
        <v>0</v>
      </c>
      <c r="AO10" s="49">
        <f t="shared" si="15"/>
        <v>0.5</v>
      </c>
      <c r="AP10" s="49">
        <f t="shared" si="21"/>
        <v>5</v>
      </c>
      <c r="AQ10" s="49" t="str">
        <f>IFERROR((_xlfn.XLOOKUP(AG10,'DO NOT TOUCH'!$Q$9:$Q$14,'DO NOT TOUCH'!$R$9:$R$14,)),"TBD")</f>
        <v>TBD</v>
      </c>
      <c r="AR10" s="49">
        <f>INPUT_OUTPUTS!$C$19</f>
        <v>0</v>
      </c>
      <c r="AS10" s="48" t="str">
        <f t="shared" si="22"/>
        <v>1, 2</v>
      </c>
    </row>
    <row r="11" spans="1:54" ht="15" customHeight="1">
      <c r="B11" s="142" t="s">
        <v>163</v>
      </c>
      <c r="C11" s="142" t="s">
        <v>156</v>
      </c>
      <c r="D11" s="142">
        <v>1234</v>
      </c>
      <c r="E11" s="142">
        <v>36</v>
      </c>
      <c r="F11" s="142">
        <v>10</v>
      </c>
      <c r="G11" s="17">
        <f>VLOOKUP($M11,'UMC Table 4-A'!$A$2:$E$132,4,FALSE)</f>
        <v>4</v>
      </c>
      <c r="H11" s="17" t="str">
        <f>VLOOKUP($M11,'UMC Table 4-A'!$A$2:$E$132,5,FALSE)</f>
        <v>NR</v>
      </c>
      <c r="I11" s="17" t="str">
        <f t="shared" si="0"/>
        <v>-</v>
      </c>
      <c r="J11" s="17">
        <v>0</v>
      </c>
      <c r="K11" s="17">
        <f t="shared" si="1"/>
        <v>30</v>
      </c>
      <c r="L11" s="17">
        <f t="shared" si="13"/>
        <v>36</v>
      </c>
      <c r="M11" s="142" t="s">
        <v>73</v>
      </c>
      <c r="N11" s="19" t="str">
        <f>VLOOKUP($M11,'UMC Table 4-A'!$A$2:$E$132,2,FALSE)</f>
        <v>NR</v>
      </c>
      <c r="O11" s="17">
        <f>VLOOKUP($M11,'UMC Table 4-A'!$A$2:$E$132,3,FALSE)</f>
        <v>2</v>
      </c>
      <c r="P11" s="25">
        <f t="shared" si="2"/>
        <v>20</v>
      </c>
      <c r="Q11" s="17" t="str">
        <f>VLOOKUP($M11,'UMC Table 4-A'!$A$2:$E$132,5,FALSE)</f>
        <v>NR</v>
      </c>
      <c r="R11" s="18">
        <f t="shared" si="3"/>
        <v>40</v>
      </c>
      <c r="S11" s="143">
        <f t="shared" si="4"/>
        <v>40</v>
      </c>
      <c r="T11" s="143">
        <f t="shared" si="5"/>
        <v>40</v>
      </c>
      <c r="U11" s="143">
        <f t="shared" si="6"/>
        <v>0</v>
      </c>
      <c r="V11" s="106">
        <f t="shared" si="7"/>
        <v>0</v>
      </c>
      <c r="W11" s="17" t="str">
        <f t="shared" si="8"/>
        <v>Yes</v>
      </c>
      <c r="X11" s="105">
        <f t="shared" si="16"/>
        <v>1.1111111111111112</v>
      </c>
      <c r="Y11" s="104">
        <f t="shared" si="17"/>
        <v>50</v>
      </c>
      <c r="Z11" s="105">
        <f t="shared" si="18"/>
        <v>6.666666666666667</v>
      </c>
      <c r="AC11" s="47" t="s">
        <v>107</v>
      </c>
      <c r="AD11" s="47" t="s">
        <v>82</v>
      </c>
      <c r="AE11" s="47" t="s">
        <v>88</v>
      </c>
      <c r="AF11" s="48">
        <f t="shared" si="11"/>
        <v>0</v>
      </c>
      <c r="AG11" s="48" t="str">
        <f>IFERROR((VLOOKUP(AF11,'DO NOT TOUCH'!$P$9:$Q$14,2,TRUE)),"TBD")</f>
        <v>TBD</v>
      </c>
      <c r="AH11" s="48">
        <f t="shared" si="19"/>
        <v>0.5</v>
      </c>
      <c r="AI11" s="48">
        <f>INPUT_OUTPUTS!$C$16</f>
        <v>140</v>
      </c>
      <c r="AJ11" s="48">
        <f>INPUT_OUTPUTS!$C$17</f>
        <v>100</v>
      </c>
      <c r="AK11" s="48">
        <f t="shared" si="14"/>
        <v>55</v>
      </c>
      <c r="AL11" s="48">
        <f t="shared" si="14"/>
        <v>85</v>
      </c>
      <c r="AM11" s="48">
        <f t="shared" si="12"/>
        <v>0</v>
      </c>
      <c r="AN11" s="49">
        <f t="shared" si="20"/>
        <v>0</v>
      </c>
      <c r="AO11" s="49">
        <f t="shared" si="15"/>
        <v>0.5</v>
      </c>
      <c r="AP11" s="49">
        <f t="shared" si="21"/>
        <v>5</v>
      </c>
      <c r="AQ11" s="49" t="str">
        <f>IFERROR((_xlfn.XLOOKUP(AG11,'DO NOT TOUCH'!$Q$9:$Q$14,'DO NOT TOUCH'!$R$9:$R$14,)),"TBD")</f>
        <v>TBD</v>
      </c>
      <c r="AR11" s="49">
        <f>INPUT_OUTPUTS!$C$19</f>
        <v>0</v>
      </c>
      <c r="AS11" s="48" t="str">
        <f t="shared" si="22"/>
        <v>1, 2</v>
      </c>
    </row>
    <row r="12" spans="1:54" ht="15" customHeight="1">
      <c r="B12" s="142" t="s">
        <v>163</v>
      </c>
      <c r="C12" s="142" t="s">
        <v>156</v>
      </c>
      <c r="D12" s="142">
        <v>1234</v>
      </c>
      <c r="E12" s="142">
        <v>212</v>
      </c>
      <c r="F12" s="142">
        <v>10</v>
      </c>
      <c r="G12" s="17">
        <f>VLOOKUP($M12,'UMC Table 4-A'!$A$2:$E$132,4,FALSE)</f>
        <v>4</v>
      </c>
      <c r="H12" s="17" t="str">
        <f>VLOOKUP($M12,'UMC Table 4-A'!$A$2:$E$132,5,FALSE)</f>
        <v>NR</v>
      </c>
      <c r="I12" s="17" t="str">
        <f t="shared" si="0"/>
        <v>-</v>
      </c>
      <c r="J12" s="17">
        <v>0</v>
      </c>
      <c r="K12" s="17">
        <f t="shared" si="1"/>
        <v>150</v>
      </c>
      <c r="L12" s="17">
        <f t="shared" si="13"/>
        <v>212</v>
      </c>
      <c r="M12" s="142" t="s">
        <v>73</v>
      </c>
      <c r="N12" s="19" t="str">
        <f>VLOOKUP($M12,'UMC Table 4-A'!$A$2:$E$132,2,FALSE)</f>
        <v>NR</v>
      </c>
      <c r="O12" s="17">
        <f>VLOOKUP($M12,'UMC Table 4-A'!$A$2:$E$132,3,FALSE)</f>
        <v>2</v>
      </c>
      <c r="P12" s="25">
        <f t="shared" si="2"/>
        <v>80</v>
      </c>
      <c r="Q12" s="17" t="str">
        <f>VLOOKUP($M12,'UMC Table 4-A'!$A$2:$E$132,5,FALSE)</f>
        <v>NR</v>
      </c>
      <c r="R12" s="18">
        <f t="shared" si="3"/>
        <v>215</v>
      </c>
      <c r="S12" s="143">
        <f t="shared" si="4"/>
        <v>215</v>
      </c>
      <c r="T12" s="143">
        <f t="shared" si="5"/>
        <v>215</v>
      </c>
      <c r="U12" s="143">
        <f t="shared" si="6"/>
        <v>0</v>
      </c>
      <c r="V12" s="106">
        <f t="shared" si="7"/>
        <v>0</v>
      </c>
      <c r="W12" s="17" t="str">
        <f t="shared" si="8"/>
        <v>Yes</v>
      </c>
      <c r="X12" s="105">
        <f t="shared" si="16"/>
        <v>1.0141509433962264</v>
      </c>
      <c r="Y12" s="104">
        <f t="shared" si="17"/>
        <v>37.209302325581397</v>
      </c>
      <c r="Z12" s="105">
        <f t="shared" si="18"/>
        <v>6.0849056603773581</v>
      </c>
      <c r="AC12" s="47" t="s">
        <v>108</v>
      </c>
      <c r="AD12" s="47" t="s">
        <v>82</v>
      </c>
      <c r="AE12" s="47" t="s">
        <v>88</v>
      </c>
      <c r="AF12" s="48">
        <f t="shared" si="11"/>
        <v>0</v>
      </c>
      <c r="AG12" s="48" t="str">
        <f>IFERROR((VLOOKUP(AF12,'DO NOT TOUCH'!$P$9:$Q$14,2,TRUE)),"TBD")</f>
        <v>TBD</v>
      </c>
      <c r="AH12" s="48">
        <f t="shared" si="19"/>
        <v>0.5</v>
      </c>
      <c r="AI12" s="48">
        <f>INPUT_OUTPUTS!$C$16</f>
        <v>140</v>
      </c>
      <c r="AJ12" s="48">
        <f>INPUT_OUTPUTS!$C$17</f>
        <v>100</v>
      </c>
      <c r="AK12" s="48">
        <f t="shared" si="14"/>
        <v>55</v>
      </c>
      <c r="AL12" s="48">
        <f t="shared" si="14"/>
        <v>85</v>
      </c>
      <c r="AM12" s="48">
        <f t="shared" si="12"/>
        <v>0</v>
      </c>
      <c r="AN12" s="49">
        <f t="shared" si="20"/>
        <v>0</v>
      </c>
      <c r="AO12" s="49">
        <f t="shared" si="15"/>
        <v>0.5</v>
      </c>
      <c r="AP12" s="49">
        <f t="shared" si="21"/>
        <v>5</v>
      </c>
      <c r="AQ12" s="49" t="str">
        <f>IFERROR((_xlfn.XLOOKUP(AG12,'DO NOT TOUCH'!$Q$9:$Q$14,'DO NOT TOUCH'!$R$9:$R$14,)),"TBD")</f>
        <v>TBD</v>
      </c>
      <c r="AR12" s="49">
        <f>INPUT_OUTPUTS!$C$19</f>
        <v>0</v>
      </c>
      <c r="AS12" s="48" t="str">
        <f t="shared" si="22"/>
        <v>1, 2</v>
      </c>
    </row>
    <row r="13" spans="1:54" ht="15" customHeight="1">
      <c r="B13" s="142" t="s">
        <v>164</v>
      </c>
      <c r="C13" s="142" t="s">
        <v>156</v>
      </c>
      <c r="D13" s="142">
        <v>1234</v>
      </c>
      <c r="E13" s="142">
        <v>27</v>
      </c>
      <c r="F13" s="142">
        <v>10</v>
      </c>
      <c r="G13" s="17">
        <f>VLOOKUP($M13,'UMC Table 4-A'!$A$2:$E$132,4,FALSE)</f>
        <v>6</v>
      </c>
      <c r="H13" s="17" t="str">
        <f>VLOOKUP($M13,'UMC Table 4-A'!$A$2:$E$132,5,FALSE)</f>
        <v>NR</v>
      </c>
      <c r="I13" s="17" t="str">
        <f t="shared" si="0"/>
        <v>-</v>
      </c>
      <c r="J13" s="17">
        <v>0</v>
      </c>
      <c r="K13" s="17">
        <f t="shared" si="1"/>
        <v>30</v>
      </c>
      <c r="L13" s="17">
        <f t="shared" si="13"/>
        <v>27</v>
      </c>
      <c r="M13" s="142" t="s">
        <v>89</v>
      </c>
      <c r="N13" s="19" t="str">
        <f>VLOOKUP($M13,'UMC Table 4-A'!$A$2:$E$132,2,FALSE)</f>
        <v>NR</v>
      </c>
      <c r="O13" s="17">
        <f>VLOOKUP($M13,'UMC Table 4-A'!$A$2:$E$132,3,FALSE)</f>
        <v>2</v>
      </c>
      <c r="P13" s="25">
        <f t="shared" si="2"/>
        <v>10</v>
      </c>
      <c r="Q13" s="17" t="str">
        <f>VLOOKUP($M13,'UMC Table 4-A'!$A$2:$E$132,5,FALSE)</f>
        <v>NR</v>
      </c>
      <c r="R13" s="18">
        <f t="shared" si="3"/>
        <v>30</v>
      </c>
      <c r="S13" s="143">
        <f t="shared" si="4"/>
        <v>30</v>
      </c>
      <c r="T13" s="143">
        <f t="shared" si="5"/>
        <v>30</v>
      </c>
      <c r="U13" s="143">
        <f t="shared" si="6"/>
        <v>0</v>
      </c>
      <c r="V13" s="106">
        <f t="shared" si="7"/>
        <v>0</v>
      </c>
      <c r="W13" s="17" t="str">
        <f t="shared" si="8"/>
        <v>Yes</v>
      </c>
      <c r="X13" s="105">
        <f t="shared" si="16"/>
        <v>1.1111111111111112</v>
      </c>
      <c r="Y13" s="104">
        <f t="shared" si="17"/>
        <v>33.333333333333329</v>
      </c>
      <c r="Z13" s="105">
        <f t="shared" si="18"/>
        <v>6.666666666666667</v>
      </c>
      <c r="AC13" s="50" t="s">
        <v>109</v>
      </c>
      <c r="AD13" s="47" t="s">
        <v>82</v>
      </c>
      <c r="AE13" s="47" t="s">
        <v>88</v>
      </c>
      <c r="AF13" s="48">
        <f t="shared" si="11"/>
        <v>0</v>
      </c>
      <c r="AG13" s="48" t="str">
        <f>IFERROR((VLOOKUP(AF13,'DO NOT TOUCH'!$P$9:$Q$14,2,TRUE)),"TBD")</f>
        <v>TBD</v>
      </c>
      <c r="AH13" s="48">
        <f t="shared" si="19"/>
        <v>0.5</v>
      </c>
      <c r="AI13" s="48">
        <f>INPUT_OUTPUTS!$C$16</f>
        <v>140</v>
      </c>
      <c r="AJ13" s="48">
        <f>INPUT_OUTPUTS!$C$17</f>
        <v>100</v>
      </c>
      <c r="AK13" s="48">
        <f t="shared" si="14"/>
        <v>55</v>
      </c>
      <c r="AL13" s="48">
        <f t="shared" si="14"/>
        <v>85</v>
      </c>
      <c r="AM13" s="48">
        <f t="shared" si="12"/>
        <v>0</v>
      </c>
      <c r="AN13" s="49">
        <f t="shared" si="20"/>
        <v>0</v>
      </c>
      <c r="AO13" s="49">
        <f t="shared" si="15"/>
        <v>0.5</v>
      </c>
      <c r="AP13" s="49">
        <f t="shared" si="21"/>
        <v>5</v>
      </c>
      <c r="AQ13" s="49" t="str">
        <f>IFERROR((_xlfn.XLOOKUP(AG13,'DO NOT TOUCH'!$Q$9:$Q$14,'DO NOT TOUCH'!$R$9:$R$14,)),"TBD")</f>
        <v>TBD</v>
      </c>
      <c r="AR13" s="49">
        <f>INPUT_OUTPUTS!$C$19</f>
        <v>0</v>
      </c>
      <c r="AS13" s="51" t="str">
        <f t="shared" si="22"/>
        <v>1, 2</v>
      </c>
    </row>
    <row r="14" spans="1:54" ht="15" customHeight="1">
      <c r="B14" s="142" t="s">
        <v>165</v>
      </c>
      <c r="C14" s="142" t="s">
        <v>156</v>
      </c>
      <c r="D14" s="142">
        <v>1234</v>
      </c>
      <c r="E14" s="142">
        <v>111</v>
      </c>
      <c r="F14" s="142">
        <v>10</v>
      </c>
      <c r="G14" s="17">
        <f>VLOOKUP($M14,'UMC Table 4-A'!$A$2:$E$132,4,FALSE)</f>
        <v>4</v>
      </c>
      <c r="H14" s="17" t="str">
        <f>VLOOKUP($M14,'UMC Table 4-A'!$A$2:$E$132,5,FALSE)</f>
        <v>NR</v>
      </c>
      <c r="I14" s="17" t="str">
        <f t="shared" si="0"/>
        <v>-</v>
      </c>
      <c r="J14" s="17">
        <v>0</v>
      </c>
      <c r="K14" s="17">
        <f t="shared" si="1"/>
        <v>80</v>
      </c>
      <c r="L14" s="17">
        <f t="shared" si="13"/>
        <v>111</v>
      </c>
      <c r="M14" s="142" t="s">
        <v>73</v>
      </c>
      <c r="N14" s="19" t="str">
        <f>VLOOKUP($M14,'UMC Table 4-A'!$A$2:$E$132,2,FALSE)</f>
        <v>NR</v>
      </c>
      <c r="O14" s="17">
        <f>VLOOKUP($M14,'UMC Table 4-A'!$A$2:$E$132,3,FALSE)</f>
        <v>2</v>
      </c>
      <c r="P14" s="25">
        <f t="shared" si="2"/>
        <v>40</v>
      </c>
      <c r="Q14" s="17" t="str">
        <f>VLOOKUP($M14,'UMC Table 4-A'!$A$2:$E$132,5,FALSE)</f>
        <v>NR</v>
      </c>
      <c r="R14" s="18">
        <f t="shared" si="3"/>
        <v>115</v>
      </c>
      <c r="S14" s="143">
        <f t="shared" si="4"/>
        <v>115</v>
      </c>
      <c r="T14" s="143">
        <f t="shared" si="5"/>
        <v>115</v>
      </c>
      <c r="U14" s="143">
        <f t="shared" si="6"/>
        <v>0</v>
      </c>
      <c r="V14" s="106">
        <f t="shared" si="7"/>
        <v>0</v>
      </c>
      <c r="W14" s="17" t="str">
        <f t="shared" si="8"/>
        <v>Yes</v>
      </c>
      <c r="X14" s="105">
        <f t="shared" si="16"/>
        <v>1.0360360360360361</v>
      </c>
      <c r="Y14" s="104">
        <f t="shared" si="17"/>
        <v>34.782608695652172</v>
      </c>
      <c r="Z14" s="105">
        <f t="shared" si="18"/>
        <v>6.2162162162162167</v>
      </c>
      <c r="AC14" s="50" t="s">
        <v>110</v>
      </c>
      <c r="AD14" s="47" t="s">
        <v>82</v>
      </c>
      <c r="AE14" s="47" t="s">
        <v>88</v>
      </c>
      <c r="AF14" s="48">
        <f t="shared" si="11"/>
        <v>0</v>
      </c>
      <c r="AG14" s="48" t="str">
        <f>IFERROR((VLOOKUP(AF14,'DO NOT TOUCH'!$P$9:$Q$14,2,TRUE)),"TBD")</f>
        <v>TBD</v>
      </c>
      <c r="AH14" s="48">
        <f t="shared" si="19"/>
        <v>0.5</v>
      </c>
      <c r="AI14" s="48">
        <f>INPUT_OUTPUTS!$C$16</f>
        <v>140</v>
      </c>
      <c r="AJ14" s="48">
        <f>INPUT_OUTPUTS!$C$17</f>
        <v>100</v>
      </c>
      <c r="AK14" s="48">
        <f t="shared" si="14"/>
        <v>55</v>
      </c>
      <c r="AL14" s="48">
        <f t="shared" si="14"/>
        <v>85</v>
      </c>
      <c r="AM14" s="48">
        <f t="shared" si="12"/>
        <v>0</v>
      </c>
      <c r="AN14" s="49">
        <f t="shared" si="20"/>
        <v>0</v>
      </c>
      <c r="AO14" s="49">
        <f t="shared" si="15"/>
        <v>0.5</v>
      </c>
      <c r="AP14" s="49">
        <f t="shared" si="21"/>
        <v>5</v>
      </c>
      <c r="AQ14" s="49" t="str">
        <f>IFERROR((_xlfn.XLOOKUP(AG14,'DO NOT TOUCH'!$Q$9:$Q$14,'DO NOT TOUCH'!$R$9:$R$14,)),"TBD")</f>
        <v>TBD</v>
      </c>
      <c r="AR14" s="49">
        <f>INPUT_OUTPUTS!$C$19</f>
        <v>0</v>
      </c>
      <c r="AS14" s="51" t="str">
        <f t="shared" si="22"/>
        <v>1, 2</v>
      </c>
    </row>
    <row r="15" spans="1:54" ht="15" customHeight="1">
      <c r="B15" s="142" t="s">
        <v>165</v>
      </c>
      <c r="C15" s="142" t="s">
        <v>156</v>
      </c>
      <c r="D15" s="142">
        <v>1234</v>
      </c>
      <c r="E15" s="142">
        <v>256</v>
      </c>
      <c r="F15" s="142">
        <v>10</v>
      </c>
      <c r="G15" s="17">
        <f>VLOOKUP($M15,'UMC Table 4-A'!$A$2:$E$132,4,FALSE)</f>
        <v>4</v>
      </c>
      <c r="H15" s="17" t="str">
        <f>VLOOKUP($M15,'UMC Table 4-A'!$A$2:$E$132,5,FALSE)</f>
        <v>NR</v>
      </c>
      <c r="I15" s="17" t="str">
        <f t="shared" si="0"/>
        <v>-</v>
      </c>
      <c r="J15" s="17">
        <v>0</v>
      </c>
      <c r="K15" s="17">
        <f t="shared" si="1"/>
        <v>180</v>
      </c>
      <c r="L15" s="17">
        <f t="shared" si="13"/>
        <v>256</v>
      </c>
      <c r="M15" s="142" t="s">
        <v>73</v>
      </c>
      <c r="N15" s="19" t="str">
        <f>VLOOKUP($M15,'UMC Table 4-A'!$A$2:$E$132,2,FALSE)</f>
        <v>NR</v>
      </c>
      <c r="O15" s="17">
        <f>VLOOKUP($M15,'UMC Table 4-A'!$A$2:$E$132,3,FALSE)</f>
        <v>2</v>
      </c>
      <c r="P15" s="25">
        <f t="shared" si="2"/>
        <v>90</v>
      </c>
      <c r="Q15" s="17" t="str">
        <f>VLOOKUP($M15,'UMC Table 4-A'!$A$2:$E$132,5,FALSE)</f>
        <v>NR</v>
      </c>
      <c r="R15" s="18">
        <f t="shared" si="3"/>
        <v>260</v>
      </c>
      <c r="S15" s="143">
        <f t="shared" si="4"/>
        <v>260</v>
      </c>
      <c r="T15" s="143">
        <f t="shared" si="5"/>
        <v>260</v>
      </c>
      <c r="U15" s="143">
        <f t="shared" si="6"/>
        <v>0</v>
      </c>
      <c r="V15" s="106">
        <f t="shared" si="7"/>
        <v>0</v>
      </c>
      <c r="W15" s="17" t="str">
        <f t="shared" si="8"/>
        <v>Yes</v>
      </c>
      <c r="X15" s="105">
        <f t="shared" si="16"/>
        <v>1.015625</v>
      </c>
      <c r="Y15" s="104">
        <f t="shared" si="17"/>
        <v>34.615384615384613</v>
      </c>
      <c r="Z15" s="105">
        <f t="shared" si="18"/>
        <v>6.09375</v>
      </c>
      <c r="AC15" s="50" t="s">
        <v>111</v>
      </c>
      <c r="AD15" s="47" t="s">
        <v>82</v>
      </c>
      <c r="AE15" s="47" t="s">
        <v>88</v>
      </c>
      <c r="AF15" s="48">
        <f t="shared" si="11"/>
        <v>0</v>
      </c>
      <c r="AG15" s="48" t="str">
        <f>IFERROR((VLOOKUP(AF15,'DO NOT TOUCH'!$P$9:$Q$14,2,TRUE)),"TBD")</f>
        <v>TBD</v>
      </c>
      <c r="AH15" s="48">
        <f t="shared" si="19"/>
        <v>0.5</v>
      </c>
      <c r="AI15" s="48">
        <f>INPUT_OUTPUTS!$C$16</f>
        <v>140</v>
      </c>
      <c r="AJ15" s="48">
        <f>INPUT_OUTPUTS!$C$17</f>
        <v>100</v>
      </c>
      <c r="AK15" s="48">
        <f t="shared" si="14"/>
        <v>55</v>
      </c>
      <c r="AL15" s="48">
        <f t="shared" si="14"/>
        <v>85</v>
      </c>
      <c r="AM15" s="48">
        <f t="shared" si="12"/>
        <v>0</v>
      </c>
      <c r="AN15" s="49">
        <f t="shared" si="20"/>
        <v>0</v>
      </c>
      <c r="AO15" s="49">
        <f t="shared" si="15"/>
        <v>0.5</v>
      </c>
      <c r="AP15" s="49">
        <f t="shared" si="21"/>
        <v>5</v>
      </c>
      <c r="AQ15" s="49" t="str">
        <f>IFERROR((_xlfn.XLOOKUP(AG15,'DO NOT TOUCH'!$Q$9:$Q$14,'DO NOT TOUCH'!$R$9:$R$14,)),"TBD")</f>
        <v>TBD</v>
      </c>
      <c r="AR15" s="49">
        <f>INPUT_OUTPUTS!$C$19</f>
        <v>0</v>
      </c>
      <c r="AS15" s="51" t="str">
        <f t="shared" si="22"/>
        <v>1, 2</v>
      </c>
    </row>
    <row r="16" spans="1:54" ht="15" customHeight="1">
      <c r="B16" s="142" t="s">
        <v>166</v>
      </c>
      <c r="C16" s="142" t="s">
        <v>156</v>
      </c>
      <c r="D16" s="142">
        <v>1234</v>
      </c>
      <c r="E16" s="142">
        <v>2347</v>
      </c>
      <c r="F16" s="142">
        <v>10</v>
      </c>
      <c r="G16" s="17">
        <f>VLOOKUP($M16,'UMC Table 4-A'!$A$2:$E$132,4,FALSE)</f>
        <v>4</v>
      </c>
      <c r="H16" s="17" t="str">
        <f>VLOOKUP($M16,'UMC Table 4-A'!$A$2:$E$132,5,FALSE)</f>
        <v>NR</v>
      </c>
      <c r="I16" s="17" t="str">
        <f t="shared" si="0"/>
        <v>-</v>
      </c>
      <c r="J16" s="17">
        <v>0</v>
      </c>
      <c r="K16" s="17">
        <f t="shared" si="1"/>
        <v>1570</v>
      </c>
      <c r="L16" s="17">
        <f t="shared" si="13"/>
        <v>2347</v>
      </c>
      <c r="M16" s="142" t="s">
        <v>73</v>
      </c>
      <c r="N16" s="19" t="str">
        <f>VLOOKUP($M16,'UMC Table 4-A'!$A$2:$E$132,2,FALSE)</f>
        <v>NR</v>
      </c>
      <c r="O16" s="17">
        <f>VLOOKUP($M16,'UMC Table 4-A'!$A$2:$E$132,3,FALSE)</f>
        <v>2</v>
      </c>
      <c r="P16" s="25">
        <f t="shared" si="2"/>
        <v>790</v>
      </c>
      <c r="Q16" s="17" t="str">
        <f>VLOOKUP($M16,'UMC Table 4-A'!$A$2:$E$132,5,FALSE)</f>
        <v>NR</v>
      </c>
      <c r="R16" s="18">
        <f t="shared" si="3"/>
        <v>2350</v>
      </c>
      <c r="S16" s="143">
        <f t="shared" si="4"/>
        <v>2350</v>
      </c>
      <c r="T16" s="143">
        <f t="shared" si="5"/>
        <v>2350</v>
      </c>
      <c r="U16" s="143">
        <f t="shared" si="6"/>
        <v>0</v>
      </c>
      <c r="V16" s="106">
        <f t="shared" si="7"/>
        <v>0</v>
      </c>
      <c r="W16" s="17" t="str">
        <f t="shared" si="8"/>
        <v>Yes</v>
      </c>
      <c r="X16" s="105">
        <f t="shared" si="16"/>
        <v>1.0012782275244994</v>
      </c>
      <c r="Y16" s="104">
        <f t="shared" si="17"/>
        <v>33.617021276595743</v>
      </c>
      <c r="Z16" s="105">
        <f t="shared" si="18"/>
        <v>6.0076693651469961</v>
      </c>
      <c r="AC16" s="50" t="s">
        <v>112</v>
      </c>
      <c r="AD16" s="47" t="s">
        <v>82</v>
      </c>
      <c r="AE16" s="47" t="s">
        <v>88</v>
      </c>
      <c r="AF16" s="48">
        <f t="shared" si="11"/>
        <v>0</v>
      </c>
      <c r="AG16" s="48" t="str">
        <f>IFERROR((VLOOKUP(AF16,'DO NOT TOUCH'!$P$9:$Q$14,2,TRUE)),"TBD")</f>
        <v>TBD</v>
      </c>
      <c r="AH16" s="48">
        <f t="shared" si="19"/>
        <v>0.5</v>
      </c>
      <c r="AI16" s="48">
        <f>INPUT_OUTPUTS!$C$16</f>
        <v>140</v>
      </c>
      <c r="AJ16" s="48">
        <f>INPUT_OUTPUTS!$C$17</f>
        <v>100</v>
      </c>
      <c r="AK16" s="48">
        <f t="shared" si="14"/>
        <v>55</v>
      </c>
      <c r="AL16" s="48">
        <f t="shared" si="14"/>
        <v>85</v>
      </c>
      <c r="AM16" s="48">
        <f t="shared" si="12"/>
        <v>0</v>
      </c>
      <c r="AN16" s="49">
        <f t="shared" si="20"/>
        <v>0</v>
      </c>
      <c r="AO16" s="49">
        <f t="shared" si="15"/>
        <v>0.5</v>
      </c>
      <c r="AP16" s="49">
        <f t="shared" si="21"/>
        <v>5</v>
      </c>
      <c r="AQ16" s="49" t="str">
        <f>IFERROR((_xlfn.XLOOKUP(AG16,'DO NOT TOUCH'!$Q$9:$Q$14,'DO NOT TOUCH'!$R$9:$R$14,)),"TBD")</f>
        <v>TBD</v>
      </c>
      <c r="AR16" s="49">
        <f>INPUT_OUTPUTS!$C$19</f>
        <v>0</v>
      </c>
      <c r="AS16" s="51" t="str">
        <f t="shared" si="22"/>
        <v>1, 2</v>
      </c>
    </row>
    <row r="17" spans="2:45" ht="15" customHeight="1">
      <c r="B17" s="142" t="s">
        <v>167</v>
      </c>
      <c r="C17" s="142" t="s">
        <v>156</v>
      </c>
      <c r="D17" s="142">
        <v>1234</v>
      </c>
      <c r="E17" s="142">
        <v>454</v>
      </c>
      <c r="F17" s="142">
        <v>10</v>
      </c>
      <c r="G17" s="17">
        <f>VLOOKUP($M17,'UMC Table 4-A'!$A$2:$E$132,4,FALSE)</f>
        <v>4</v>
      </c>
      <c r="H17" s="17" t="str">
        <f>VLOOKUP($M17,'UMC Table 4-A'!$A$2:$E$132,5,FALSE)</f>
        <v>NR</v>
      </c>
      <c r="I17" s="17" t="str">
        <f t="shared" si="0"/>
        <v>-</v>
      </c>
      <c r="J17" s="17">
        <v>0</v>
      </c>
      <c r="K17" s="17">
        <f t="shared" si="1"/>
        <v>310</v>
      </c>
      <c r="L17" s="17">
        <f t="shared" si="13"/>
        <v>454</v>
      </c>
      <c r="M17" s="142" t="s">
        <v>73</v>
      </c>
      <c r="N17" s="19" t="str">
        <f>VLOOKUP($M17,'UMC Table 4-A'!$A$2:$E$132,2,FALSE)</f>
        <v>NR</v>
      </c>
      <c r="O17" s="17">
        <f>VLOOKUP($M17,'UMC Table 4-A'!$A$2:$E$132,3,FALSE)</f>
        <v>2</v>
      </c>
      <c r="P17" s="25">
        <f t="shared" si="2"/>
        <v>160</v>
      </c>
      <c r="Q17" s="17" t="str">
        <f>VLOOKUP($M17,'UMC Table 4-A'!$A$2:$E$132,5,FALSE)</f>
        <v>NR</v>
      </c>
      <c r="R17" s="18">
        <f t="shared" si="3"/>
        <v>455</v>
      </c>
      <c r="S17" s="143">
        <f t="shared" si="4"/>
        <v>455</v>
      </c>
      <c r="T17" s="143">
        <f t="shared" si="5"/>
        <v>455</v>
      </c>
      <c r="U17" s="143">
        <f t="shared" si="6"/>
        <v>0</v>
      </c>
      <c r="V17" s="106">
        <f t="shared" si="7"/>
        <v>0</v>
      </c>
      <c r="W17" s="17" t="str">
        <f t="shared" si="8"/>
        <v>Yes</v>
      </c>
      <c r="X17" s="105">
        <f t="shared" si="16"/>
        <v>1.0022026431718061</v>
      </c>
      <c r="Y17" s="104">
        <f t="shared" si="17"/>
        <v>35.164835164835168</v>
      </c>
      <c r="Z17" s="105">
        <f t="shared" si="18"/>
        <v>6.0132158590308364</v>
      </c>
      <c r="AC17" s="50" t="s">
        <v>113</v>
      </c>
      <c r="AD17" s="47" t="s">
        <v>82</v>
      </c>
      <c r="AE17" s="47" t="s">
        <v>88</v>
      </c>
      <c r="AF17" s="48">
        <f t="shared" si="11"/>
        <v>0</v>
      </c>
      <c r="AG17" s="48" t="str">
        <f>IFERROR((VLOOKUP(AF17,'DO NOT TOUCH'!$P$9:$Q$14,2,TRUE)),"TBD")</f>
        <v>TBD</v>
      </c>
      <c r="AH17" s="48">
        <f t="shared" si="19"/>
        <v>0.5</v>
      </c>
      <c r="AI17" s="48">
        <f>INPUT_OUTPUTS!$C$16</f>
        <v>140</v>
      </c>
      <c r="AJ17" s="48">
        <f>INPUT_OUTPUTS!$C$17</f>
        <v>100</v>
      </c>
      <c r="AK17" s="48">
        <f t="shared" si="14"/>
        <v>55</v>
      </c>
      <c r="AL17" s="48">
        <f t="shared" si="14"/>
        <v>85</v>
      </c>
      <c r="AM17" s="48">
        <f t="shared" si="12"/>
        <v>0</v>
      </c>
      <c r="AN17" s="49">
        <f t="shared" si="20"/>
        <v>0</v>
      </c>
      <c r="AO17" s="49">
        <f t="shared" si="15"/>
        <v>0.5</v>
      </c>
      <c r="AP17" s="49">
        <f t="shared" si="21"/>
        <v>5</v>
      </c>
      <c r="AQ17" s="49" t="str">
        <f>IFERROR((_xlfn.XLOOKUP(AG17,'DO NOT TOUCH'!$Q$9:$Q$14,'DO NOT TOUCH'!$R$9:$R$14,)),"TBD")</f>
        <v>TBD</v>
      </c>
      <c r="AR17" s="49">
        <f>INPUT_OUTPUTS!$C$19</f>
        <v>0</v>
      </c>
      <c r="AS17" s="51" t="str">
        <f t="shared" si="22"/>
        <v>1, 2</v>
      </c>
    </row>
    <row r="18" spans="2:45" ht="15" customHeight="1">
      <c r="B18" s="107"/>
      <c r="C18" s="46"/>
      <c r="D18" s="46"/>
      <c r="E18" s="87">
        <f>SUBTOTAL(109,TABLE4A439[AREA (FT²)])</f>
        <v>4063</v>
      </c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>
        <f>SUBTOTAL(109,TABLE4A439[OSA CFM])</f>
        <v>1270</v>
      </c>
      <c r="Q18" s="87"/>
      <c r="R18" s="87">
        <f>SUBTOTAL(109,TABLE4A439[CALCULATED SA CFM])</f>
        <v>4185</v>
      </c>
      <c r="S18" s="87">
        <f>SUBTOTAL(109,TABLE4A439[DESIGN SA CFM])</f>
        <v>4185</v>
      </c>
      <c r="T18" s="87">
        <f>SUBTOTAL(109,TABLE4A439[RA CFM])</f>
        <v>3735</v>
      </c>
      <c r="U18" s="87">
        <f>SUBTOTAL(109,TABLE4A439[EA CFM])</f>
        <v>500</v>
      </c>
      <c r="V18" s="87">
        <f>SUBTOTAL(109,TABLE4A439[Transfer Air CFM])</f>
        <v>-50</v>
      </c>
      <c r="W18" s="87"/>
      <c r="X18" s="87"/>
      <c r="Y18" s="108"/>
      <c r="Z18" s="108"/>
      <c r="AC18" s="50" t="s">
        <v>114</v>
      </c>
      <c r="AD18" s="47" t="s">
        <v>82</v>
      </c>
      <c r="AE18" s="47" t="s">
        <v>88</v>
      </c>
      <c r="AF18" s="48">
        <f t="shared" si="11"/>
        <v>0</v>
      </c>
      <c r="AG18" s="48" t="str">
        <f>IFERROR((VLOOKUP(AF18,'DO NOT TOUCH'!$P$9:$Q$14,2,TRUE)),"TBD")</f>
        <v>TBD</v>
      </c>
      <c r="AH18" s="48">
        <f t="shared" si="19"/>
        <v>0.5</v>
      </c>
      <c r="AI18" s="48">
        <f>INPUT_OUTPUTS!$C$16</f>
        <v>140</v>
      </c>
      <c r="AJ18" s="48">
        <f>INPUT_OUTPUTS!$C$17</f>
        <v>100</v>
      </c>
      <c r="AK18" s="48">
        <f t="shared" si="14"/>
        <v>55</v>
      </c>
      <c r="AL18" s="48">
        <f t="shared" si="14"/>
        <v>85</v>
      </c>
      <c r="AM18" s="48">
        <f t="shared" si="12"/>
        <v>0</v>
      </c>
      <c r="AN18" s="49">
        <f t="shared" si="20"/>
        <v>0</v>
      </c>
      <c r="AO18" s="49">
        <f t="shared" si="15"/>
        <v>0.5</v>
      </c>
      <c r="AP18" s="49">
        <f t="shared" si="21"/>
        <v>5</v>
      </c>
      <c r="AQ18" s="49" t="str">
        <f>IFERROR((_xlfn.XLOOKUP(AG18,'DO NOT TOUCH'!$Q$9:$Q$14,'DO NOT TOUCH'!$R$9:$R$14,)),"TBD")</f>
        <v>TBD</v>
      </c>
      <c r="AR18" s="49">
        <f>INPUT_OUTPUTS!$C$19</f>
        <v>0</v>
      </c>
      <c r="AS18" s="51" t="str">
        <f t="shared" si="22"/>
        <v>1, 2</v>
      </c>
    </row>
    <row r="19" spans="2:45" ht="15" customHeight="1">
      <c r="B19" s="124"/>
      <c r="C19" s="125"/>
      <c r="G19" s="110"/>
      <c r="H19" s="126"/>
      <c r="K19" s="127"/>
      <c r="L19" s="128"/>
      <c r="M19" s="128"/>
      <c r="O19" s="109"/>
      <c r="R19" s="129"/>
      <c r="S19" s="129"/>
      <c r="T19" s="109"/>
      <c r="U19" s="109"/>
      <c r="V19" s="109"/>
      <c r="W19" s="109"/>
      <c r="X19" s="129"/>
      <c r="Y19" s="130"/>
      <c r="AC19" s="50" t="s">
        <v>115</v>
      </c>
      <c r="AD19" s="47" t="s">
        <v>82</v>
      </c>
      <c r="AE19" s="47" t="s">
        <v>88</v>
      </c>
      <c r="AF19" s="48">
        <f t="shared" si="11"/>
        <v>0</v>
      </c>
      <c r="AG19" s="48" t="str">
        <f>IFERROR((VLOOKUP(AF19,'DO NOT TOUCH'!$P$9:$Q$14,2,TRUE)),"TBD")</f>
        <v>TBD</v>
      </c>
      <c r="AH19" s="48">
        <f t="shared" si="19"/>
        <v>0.5</v>
      </c>
      <c r="AI19" s="48">
        <f>INPUT_OUTPUTS!$C$16</f>
        <v>140</v>
      </c>
      <c r="AJ19" s="48">
        <f>INPUT_OUTPUTS!$C$17</f>
        <v>100</v>
      </c>
      <c r="AK19" s="48">
        <f t="shared" si="14"/>
        <v>55</v>
      </c>
      <c r="AL19" s="48">
        <f t="shared" si="14"/>
        <v>85</v>
      </c>
      <c r="AM19" s="48">
        <f t="shared" si="12"/>
        <v>0</v>
      </c>
      <c r="AN19" s="49">
        <f t="shared" si="20"/>
        <v>0</v>
      </c>
      <c r="AO19" s="49">
        <f t="shared" si="15"/>
        <v>0.5</v>
      </c>
      <c r="AP19" s="49">
        <f t="shared" si="21"/>
        <v>5</v>
      </c>
      <c r="AQ19" s="49" t="str">
        <f>IFERROR((_xlfn.XLOOKUP(AG19,'DO NOT TOUCH'!$Q$9:$Q$14,'DO NOT TOUCH'!$R$9:$R$14,)),"TBD")</f>
        <v>TBD</v>
      </c>
      <c r="AR19" s="49">
        <f>INPUT_OUTPUTS!$C$19</f>
        <v>0</v>
      </c>
      <c r="AS19" s="51" t="str">
        <f t="shared" si="22"/>
        <v>1, 2</v>
      </c>
    </row>
    <row r="20" spans="2:45" ht="15" customHeight="1">
      <c r="B20" s="131"/>
      <c r="C20" s="125"/>
      <c r="G20" s="110"/>
      <c r="H20" s="126"/>
      <c r="K20" s="127"/>
      <c r="L20" s="128"/>
      <c r="M20" s="128"/>
      <c r="O20" s="109"/>
      <c r="T20" s="109"/>
      <c r="U20" s="109"/>
      <c r="V20" s="109"/>
      <c r="W20" s="109"/>
      <c r="X20" s="110"/>
      <c r="Y20" s="130"/>
      <c r="AC20" s="50" t="s">
        <v>116</v>
      </c>
      <c r="AD20" s="47" t="s">
        <v>82</v>
      </c>
      <c r="AE20" s="47" t="s">
        <v>88</v>
      </c>
      <c r="AF20" s="48">
        <f t="shared" si="11"/>
        <v>0</v>
      </c>
      <c r="AG20" s="48" t="str">
        <f>IFERROR((VLOOKUP(AF20,'DO NOT TOUCH'!$P$9:$Q$14,2,TRUE)),"TBD")</f>
        <v>TBD</v>
      </c>
      <c r="AH20" s="48">
        <f t="shared" si="19"/>
        <v>0.5</v>
      </c>
      <c r="AI20" s="48">
        <f>INPUT_OUTPUTS!$C$16</f>
        <v>140</v>
      </c>
      <c r="AJ20" s="48">
        <f>INPUT_OUTPUTS!$C$17</f>
        <v>100</v>
      </c>
      <c r="AK20" s="48">
        <f t="shared" si="14"/>
        <v>55</v>
      </c>
      <c r="AL20" s="48">
        <f t="shared" si="14"/>
        <v>85</v>
      </c>
      <c r="AM20" s="48">
        <f t="shared" si="12"/>
        <v>0</v>
      </c>
      <c r="AN20" s="49">
        <f t="shared" si="20"/>
        <v>0</v>
      </c>
      <c r="AO20" s="49">
        <f t="shared" si="15"/>
        <v>0.5</v>
      </c>
      <c r="AP20" s="49">
        <f t="shared" si="21"/>
        <v>5</v>
      </c>
      <c r="AQ20" s="49" t="str">
        <f>IFERROR((_xlfn.XLOOKUP(AG20,'DO NOT TOUCH'!$Q$9:$Q$14,'DO NOT TOUCH'!$R$9:$R$14,)),"TBD")</f>
        <v>TBD</v>
      </c>
      <c r="AR20" s="49">
        <f>INPUT_OUTPUTS!$C$19</f>
        <v>0</v>
      </c>
      <c r="AS20" s="51" t="str">
        <f t="shared" si="22"/>
        <v>1, 2</v>
      </c>
    </row>
    <row r="21" spans="2:45" ht="15" customHeight="1">
      <c r="B21" s="124"/>
      <c r="C21" s="125"/>
      <c r="O21" s="132" t="s">
        <v>57</v>
      </c>
      <c r="T21" s="109"/>
      <c r="U21" s="109"/>
      <c r="V21" s="109"/>
      <c r="W21" s="109"/>
      <c r="AC21" s="50" t="s">
        <v>117</v>
      </c>
      <c r="AD21" s="47" t="s">
        <v>82</v>
      </c>
      <c r="AE21" s="47" t="s">
        <v>88</v>
      </c>
      <c r="AF21" s="48">
        <f t="shared" si="11"/>
        <v>0</v>
      </c>
      <c r="AG21" s="48" t="str">
        <f>IFERROR((VLOOKUP(AF21,'DO NOT TOUCH'!$P$9:$Q$14,2,TRUE)),"TBD")</f>
        <v>TBD</v>
      </c>
      <c r="AH21" s="48">
        <f t="shared" si="19"/>
        <v>0.5</v>
      </c>
      <c r="AI21" s="48">
        <f>INPUT_OUTPUTS!$C$16</f>
        <v>140</v>
      </c>
      <c r="AJ21" s="48">
        <f>INPUT_OUTPUTS!$C$17</f>
        <v>100</v>
      </c>
      <c r="AK21" s="48">
        <f t="shared" si="14"/>
        <v>55</v>
      </c>
      <c r="AL21" s="48">
        <f t="shared" si="14"/>
        <v>85</v>
      </c>
      <c r="AM21" s="48">
        <f t="shared" si="12"/>
        <v>0</v>
      </c>
      <c r="AN21" s="49">
        <f t="shared" si="20"/>
        <v>0</v>
      </c>
      <c r="AO21" s="49">
        <f t="shared" si="15"/>
        <v>0.5</v>
      </c>
      <c r="AP21" s="49">
        <f t="shared" si="21"/>
        <v>5</v>
      </c>
      <c r="AQ21" s="49" t="str">
        <f>IFERROR((_xlfn.XLOOKUP(AG21,'DO NOT TOUCH'!$Q$9:$Q$14,'DO NOT TOUCH'!$R$9:$R$14,)),"TBD")</f>
        <v>TBD</v>
      </c>
      <c r="AR21" s="49">
        <f>INPUT_OUTPUTS!$C$19</f>
        <v>0</v>
      </c>
      <c r="AS21" s="51" t="str">
        <f t="shared" si="22"/>
        <v>1, 2</v>
      </c>
    </row>
    <row r="22" spans="2:45" ht="15" customHeight="1">
      <c r="K22" s="109"/>
      <c r="N22" s="109"/>
      <c r="T22" s="109"/>
      <c r="U22" s="109"/>
      <c r="V22" s="109"/>
      <c r="W22" s="109"/>
      <c r="AC22" s="50" t="s">
        <v>118</v>
      </c>
      <c r="AD22" s="47" t="s">
        <v>82</v>
      </c>
      <c r="AE22" s="47" t="s">
        <v>88</v>
      </c>
      <c r="AF22" s="48">
        <f t="shared" si="11"/>
        <v>0</v>
      </c>
      <c r="AG22" s="48" t="str">
        <f>IFERROR((VLOOKUP(AF22,'DO NOT TOUCH'!$P$9:$Q$14,2,TRUE)),"TBD")</f>
        <v>TBD</v>
      </c>
      <c r="AH22" s="48">
        <f t="shared" si="19"/>
        <v>0.5</v>
      </c>
      <c r="AI22" s="48">
        <f>INPUT_OUTPUTS!$C$16</f>
        <v>140</v>
      </c>
      <c r="AJ22" s="48">
        <f>INPUT_OUTPUTS!$C$17</f>
        <v>100</v>
      </c>
      <c r="AK22" s="48">
        <f t="shared" si="14"/>
        <v>55</v>
      </c>
      <c r="AL22" s="48">
        <f t="shared" si="14"/>
        <v>85</v>
      </c>
      <c r="AM22" s="48">
        <f t="shared" si="12"/>
        <v>0</v>
      </c>
      <c r="AN22" s="49">
        <f t="shared" si="20"/>
        <v>0</v>
      </c>
      <c r="AO22" s="49">
        <f t="shared" si="15"/>
        <v>0.5</v>
      </c>
      <c r="AP22" s="49">
        <f t="shared" si="21"/>
        <v>5</v>
      </c>
      <c r="AQ22" s="49" t="str">
        <f>IFERROR((_xlfn.XLOOKUP(AG22,'DO NOT TOUCH'!$Q$9:$Q$14,'DO NOT TOUCH'!$R$9:$R$14,)),"TBD")</f>
        <v>TBD</v>
      </c>
      <c r="AR22" s="49">
        <f>INPUT_OUTPUTS!$C$19</f>
        <v>0</v>
      </c>
      <c r="AS22" s="51" t="str">
        <f t="shared" si="22"/>
        <v>1, 2</v>
      </c>
    </row>
    <row r="23" spans="2:45" ht="15" customHeight="1">
      <c r="T23" s="109"/>
      <c r="U23" s="109"/>
      <c r="V23" s="109"/>
      <c r="W23" s="109"/>
      <c r="AC23" s="50" t="s">
        <v>119</v>
      </c>
      <c r="AD23" s="47" t="s">
        <v>82</v>
      </c>
      <c r="AE23" s="47" t="s">
        <v>88</v>
      </c>
      <c r="AF23" s="48">
        <f t="shared" si="11"/>
        <v>0</v>
      </c>
      <c r="AG23" s="48" t="str">
        <f>IFERROR((VLOOKUP(AF23,'DO NOT TOUCH'!$P$9:$Q$14,2,TRUE)),"TBD")</f>
        <v>TBD</v>
      </c>
      <c r="AH23" s="48">
        <f t="shared" si="19"/>
        <v>0.5</v>
      </c>
      <c r="AI23" s="48">
        <f>INPUT_OUTPUTS!$C$16</f>
        <v>140</v>
      </c>
      <c r="AJ23" s="48">
        <f>INPUT_OUTPUTS!$C$17</f>
        <v>100</v>
      </c>
      <c r="AK23" s="48">
        <f t="shared" si="14"/>
        <v>55</v>
      </c>
      <c r="AL23" s="48">
        <f t="shared" si="14"/>
        <v>85</v>
      </c>
      <c r="AM23" s="48">
        <f t="shared" si="12"/>
        <v>0</v>
      </c>
      <c r="AN23" s="49">
        <f t="shared" si="20"/>
        <v>0</v>
      </c>
      <c r="AO23" s="49">
        <f t="shared" si="15"/>
        <v>0.5</v>
      </c>
      <c r="AP23" s="49">
        <f t="shared" si="21"/>
        <v>5</v>
      </c>
      <c r="AQ23" s="49" t="str">
        <f>IFERROR((_xlfn.XLOOKUP(AG23,'DO NOT TOUCH'!$Q$9:$Q$14,'DO NOT TOUCH'!$R$9:$R$14,)),"TBD")</f>
        <v>TBD</v>
      </c>
      <c r="AR23" s="49">
        <f>INPUT_OUTPUTS!$C$19</f>
        <v>0</v>
      </c>
      <c r="AS23" s="51" t="str">
        <f t="shared" si="22"/>
        <v>1, 2</v>
      </c>
    </row>
    <row r="24" spans="2:45" ht="15" customHeight="1">
      <c r="T24" s="109"/>
      <c r="U24" s="109"/>
      <c r="V24" s="109"/>
      <c r="W24" s="109"/>
      <c r="AC24" s="50" t="s">
        <v>120</v>
      </c>
      <c r="AD24" s="47" t="s">
        <v>82</v>
      </c>
      <c r="AE24" s="47" t="s">
        <v>88</v>
      </c>
      <c r="AF24" s="48">
        <f t="shared" si="11"/>
        <v>0</v>
      </c>
      <c r="AG24" s="48" t="str">
        <f>IFERROR((VLOOKUP(AF24,'DO NOT TOUCH'!$P$9:$Q$14,2,TRUE)),"TBD")</f>
        <v>TBD</v>
      </c>
      <c r="AH24" s="48">
        <f t="shared" si="19"/>
        <v>0.5</v>
      </c>
      <c r="AI24" s="48">
        <f>INPUT_OUTPUTS!$C$16</f>
        <v>140</v>
      </c>
      <c r="AJ24" s="48">
        <f>INPUT_OUTPUTS!$C$17</f>
        <v>100</v>
      </c>
      <c r="AK24" s="48">
        <f t="shared" ref="AK24:AL39" si="23">AK23</f>
        <v>55</v>
      </c>
      <c r="AL24" s="48">
        <f t="shared" si="23"/>
        <v>85</v>
      </c>
      <c r="AM24" s="48">
        <f t="shared" si="12"/>
        <v>0</v>
      </c>
      <c r="AN24" s="49">
        <f t="shared" si="20"/>
        <v>0</v>
      </c>
      <c r="AO24" s="49">
        <f t="shared" si="15"/>
        <v>0.5</v>
      </c>
      <c r="AP24" s="49">
        <f t="shared" si="21"/>
        <v>5</v>
      </c>
      <c r="AQ24" s="49" t="str">
        <f>IFERROR((_xlfn.XLOOKUP(AG24,'DO NOT TOUCH'!$Q$9:$Q$14,'DO NOT TOUCH'!$R$9:$R$14,)),"TBD")</f>
        <v>TBD</v>
      </c>
      <c r="AR24" s="49">
        <f>INPUT_OUTPUTS!$C$19</f>
        <v>0</v>
      </c>
      <c r="AS24" s="51" t="str">
        <f t="shared" si="22"/>
        <v>1, 2</v>
      </c>
    </row>
    <row r="25" spans="2:45" ht="15" customHeight="1">
      <c r="T25" s="109"/>
      <c r="U25" s="109"/>
      <c r="V25" s="109"/>
      <c r="W25" s="109"/>
      <c r="AC25" s="50" t="s">
        <v>121</v>
      </c>
      <c r="AD25" s="47" t="s">
        <v>82</v>
      </c>
      <c r="AE25" s="47" t="s">
        <v>88</v>
      </c>
      <c r="AF25" s="48">
        <f t="shared" si="11"/>
        <v>0</v>
      </c>
      <c r="AG25" s="48" t="str">
        <f>IFERROR((VLOOKUP(AF25,'DO NOT TOUCH'!$P$9:$Q$14,2,TRUE)),"TBD")</f>
        <v>TBD</v>
      </c>
      <c r="AH25" s="48">
        <f t="shared" si="19"/>
        <v>0.5</v>
      </c>
      <c r="AI25" s="48">
        <f>INPUT_OUTPUTS!$C$16</f>
        <v>140</v>
      </c>
      <c r="AJ25" s="48">
        <f>INPUT_OUTPUTS!$C$17</f>
        <v>100</v>
      </c>
      <c r="AK25" s="48">
        <f t="shared" si="23"/>
        <v>55</v>
      </c>
      <c r="AL25" s="48">
        <f t="shared" si="23"/>
        <v>85</v>
      </c>
      <c r="AM25" s="48">
        <f t="shared" si="12"/>
        <v>0</v>
      </c>
      <c r="AN25" s="49">
        <f t="shared" si="20"/>
        <v>0</v>
      </c>
      <c r="AO25" s="49">
        <f t="shared" si="15"/>
        <v>0.5</v>
      </c>
      <c r="AP25" s="49">
        <f t="shared" si="21"/>
        <v>5</v>
      </c>
      <c r="AQ25" s="49" t="str">
        <f>IFERROR((_xlfn.XLOOKUP(AG25,'DO NOT TOUCH'!$Q$9:$Q$14,'DO NOT TOUCH'!$R$9:$R$14,)),"TBD")</f>
        <v>TBD</v>
      </c>
      <c r="AR25" s="49">
        <f>INPUT_OUTPUTS!$C$19</f>
        <v>0</v>
      </c>
      <c r="AS25" s="51" t="str">
        <f t="shared" si="22"/>
        <v>1, 2</v>
      </c>
    </row>
    <row r="26" spans="2:45" ht="15" customHeight="1">
      <c r="T26" s="109"/>
      <c r="U26" s="109"/>
      <c r="V26" s="109"/>
      <c r="W26" s="109"/>
      <c r="AC26" s="50" t="s">
        <v>122</v>
      </c>
      <c r="AD26" s="47" t="s">
        <v>82</v>
      </c>
      <c r="AE26" s="47" t="s">
        <v>88</v>
      </c>
      <c r="AF26" s="48">
        <f t="shared" si="11"/>
        <v>0</v>
      </c>
      <c r="AG26" s="48" t="str">
        <f>IFERROR((VLOOKUP(AF26,'DO NOT TOUCH'!$P$9:$Q$14,2,TRUE)),"TBD")</f>
        <v>TBD</v>
      </c>
      <c r="AH26" s="48">
        <f t="shared" si="19"/>
        <v>0.5</v>
      </c>
      <c r="AI26" s="48">
        <f>INPUT_OUTPUTS!$C$16</f>
        <v>140</v>
      </c>
      <c r="AJ26" s="48">
        <f>INPUT_OUTPUTS!$C$17</f>
        <v>100</v>
      </c>
      <c r="AK26" s="48">
        <f t="shared" si="23"/>
        <v>55</v>
      </c>
      <c r="AL26" s="48">
        <f t="shared" si="23"/>
        <v>85</v>
      </c>
      <c r="AM26" s="48">
        <f t="shared" si="12"/>
        <v>0</v>
      </c>
      <c r="AN26" s="49">
        <f t="shared" si="20"/>
        <v>0</v>
      </c>
      <c r="AO26" s="49">
        <f t="shared" si="15"/>
        <v>0.5</v>
      </c>
      <c r="AP26" s="49">
        <f t="shared" si="21"/>
        <v>5</v>
      </c>
      <c r="AQ26" s="49" t="str">
        <f>IFERROR((_xlfn.XLOOKUP(AG26,'DO NOT TOUCH'!$Q$9:$Q$14,'DO NOT TOUCH'!$R$9:$R$14,)),"TBD")</f>
        <v>TBD</v>
      </c>
      <c r="AR26" s="49">
        <f>INPUT_OUTPUTS!$C$19</f>
        <v>0</v>
      </c>
      <c r="AS26" s="51" t="str">
        <f t="shared" si="22"/>
        <v>1, 2</v>
      </c>
    </row>
    <row r="27" spans="2:45" ht="15" customHeight="1">
      <c r="AC27" s="50" t="s">
        <v>123</v>
      </c>
      <c r="AD27" s="47" t="s">
        <v>82</v>
      </c>
      <c r="AE27" s="47" t="s">
        <v>88</v>
      </c>
      <c r="AF27" s="48">
        <f t="shared" si="11"/>
        <v>0</v>
      </c>
      <c r="AG27" s="48" t="str">
        <f>IFERROR((VLOOKUP(AF27,'DO NOT TOUCH'!$P$9:$Q$14,2,TRUE)),"TBD")</f>
        <v>TBD</v>
      </c>
      <c r="AH27" s="48">
        <f t="shared" si="19"/>
        <v>0.5</v>
      </c>
      <c r="AI27" s="48">
        <f>INPUT_OUTPUTS!$C$16</f>
        <v>140</v>
      </c>
      <c r="AJ27" s="48">
        <f>INPUT_OUTPUTS!$C$17</f>
        <v>100</v>
      </c>
      <c r="AK27" s="48">
        <f t="shared" si="23"/>
        <v>55</v>
      </c>
      <c r="AL27" s="48">
        <f t="shared" si="23"/>
        <v>85</v>
      </c>
      <c r="AM27" s="48">
        <f t="shared" si="12"/>
        <v>0</v>
      </c>
      <c r="AN27" s="49">
        <f t="shared" si="20"/>
        <v>0</v>
      </c>
      <c r="AO27" s="49">
        <f t="shared" si="15"/>
        <v>0.5</v>
      </c>
      <c r="AP27" s="49">
        <f t="shared" si="21"/>
        <v>5</v>
      </c>
      <c r="AQ27" s="49" t="str">
        <f>IFERROR((_xlfn.XLOOKUP(AG27,'DO NOT TOUCH'!$Q$9:$Q$14,'DO NOT TOUCH'!$R$9:$R$14,)),"TBD")</f>
        <v>TBD</v>
      </c>
      <c r="AR27" s="49">
        <f>INPUT_OUTPUTS!$C$19</f>
        <v>0</v>
      </c>
      <c r="AS27" s="51" t="str">
        <f t="shared" si="22"/>
        <v>1, 2</v>
      </c>
    </row>
    <row r="28" spans="2:45" ht="15" customHeight="1">
      <c r="AC28" s="50" t="s">
        <v>124</v>
      </c>
      <c r="AD28" s="47" t="s">
        <v>82</v>
      </c>
      <c r="AE28" s="47" t="s">
        <v>88</v>
      </c>
      <c r="AF28" s="48">
        <f t="shared" si="11"/>
        <v>0</v>
      </c>
      <c r="AG28" s="48" t="str">
        <f>IFERROR((VLOOKUP(AF28,'DO NOT TOUCH'!$P$9:$Q$14,2,TRUE)),"TBD")</f>
        <v>TBD</v>
      </c>
      <c r="AH28" s="48">
        <f t="shared" si="19"/>
        <v>0.5</v>
      </c>
      <c r="AI28" s="48">
        <f>INPUT_OUTPUTS!$C$16</f>
        <v>140</v>
      </c>
      <c r="AJ28" s="48">
        <f>INPUT_OUTPUTS!$C$17</f>
        <v>100</v>
      </c>
      <c r="AK28" s="48">
        <f t="shared" si="23"/>
        <v>55</v>
      </c>
      <c r="AL28" s="48">
        <f t="shared" si="23"/>
        <v>85</v>
      </c>
      <c r="AM28" s="48">
        <f t="shared" si="12"/>
        <v>0</v>
      </c>
      <c r="AN28" s="49">
        <f t="shared" si="20"/>
        <v>0</v>
      </c>
      <c r="AO28" s="49">
        <f t="shared" si="15"/>
        <v>0.5</v>
      </c>
      <c r="AP28" s="49">
        <f t="shared" si="21"/>
        <v>5</v>
      </c>
      <c r="AQ28" s="49" t="str">
        <f>IFERROR((_xlfn.XLOOKUP(AG28,'DO NOT TOUCH'!$Q$9:$Q$14,'DO NOT TOUCH'!$R$9:$R$14,)),"TBD")</f>
        <v>TBD</v>
      </c>
      <c r="AR28" s="49">
        <f>INPUT_OUTPUTS!$C$19</f>
        <v>0</v>
      </c>
      <c r="AS28" s="51" t="str">
        <f t="shared" si="22"/>
        <v>1, 2</v>
      </c>
    </row>
    <row r="29" spans="2:45" ht="15" customHeight="1">
      <c r="AC29" s="50" t="s">
        <v>125</v>
      </c>
      <c r="AD29" s="47" t="s">
        <v>82</v>
      </c>
      <c r="AE29" s="47" t="s">
        <v>88</v>
      </c>
      <c r="AF29" s="48">
        <f t="shared" si="11"/>
        <v>0</v>
      </c>
      <c r="AG29" s="48" t="str">
        <f>IFERROR((VLOOKUP(AF29,'DO NOT TOUCH'!$P$9:$Q$14,2,TRUE)),"TBD")</f>
        <v>TBD</v>
      </c>
      <c r="AH29" s="48">
        <f t="shared" si="19"/>
        <v>0.5</v>
      </c>
      <c r="AI29" s="48">
        <f>INPUT_OUTPUTS!$C$16</f>
        <v>140</v>
      </c>
      <c r="AJ29" s="48">
        <f>INPUT_OUTPUTS!$C$17</f>
        <v>100</v>
      </c>
      <c r="AK29" s="48">
        <f t="shared" si="23"/>
        <v>55</v>
      </c>
      <c r="AL29" s="48">
        <f t="shared" si="23"/>
        <v>85</v>
      </c>
      <c r="AM29" s="48">
        <f t="shared" si="12"/>
        <v>0</v>
      </c>
      <c r="AN29" s="49">
        <f t="shared" si="20"/>
        <v>0</v>
      </c>
      <c r="AO29" s="49">
        <f t="shared" si="15"/>
        <v>0.5</v>
      </c>
      <c r="AP29" s="49">
        <f t="shared" si="21"/>
        <v>5</v>
      </c>
      <c r="AQ29" s="49" t="str">
        <f>IFERROR((_xlfn.XLOOKUP(AG29,'DO NOT TOUCH'!$Q$9:$Q$14,'DO NOT TOUCH'!$R$9:$R$14,)),"TBD")</f>
        <v>TBD</v>
      </c>
      <c r="AR29" s="49">
        <f>INPUT_OUTPUTS!$C$19</f>
        <v>0</v>
      </c>
      <c r="AS29" s="51" t="str">
        <f t="shared" si="22"/>
        <v>1, 2</v>
      </c>
    </row>
    <row r="30" spans="2:45" ht="15" customHeight="1">
      <c r="AC30" s="50" t="s">
        <v>126</v>
      </c>
      <c r="AD30" s="47" t="s">
        <v>82</v>
      </c>
      <c r="AE30" s="47" t="s">
        <v>88</v>
      </c>
      <c r="AF30" s="48">
        <f t="shared" si="11"/>
        <v>0</v>
      </c>
      <c r="AG30" s="48" t="str">
        <f>IFERROR((VLOOKUP(AF30,'DO NOT TOUCH'!$P$9:$Q$14,2,TRUE)),"TBD")</f>
        <v>TBD</v>
      </c>
      <c r="AH30" s="48">
        <f t="shared" si="19"/>
        <v>0.5</v>
      </c>
      <c r="AI30" s="48">
        <f>INPUT_OUTPUTS!$C$16</f>
        <v>140</v>
      </c>
      <c r="AJ30" s="48">
        <f>INPUT_OUTPUTS!$C$17</f>
        <v>100</v>
      </c>
      <c r="AK30" s="48">
        <f t="shared" si="23"/>
        <v>55</v>
      </c>
      <c r="AL30" s="48">
        <f t="shared" si="23"/>
        <v>85</v>
      </c>
      <c r="AM30" s="48">
        <f t="shared" si="12"/>
        <v>0</v>
      </c>
      <c r="AN30" s="49">
        <f t="shared" si="20"/>
        <v>0</v>
      </c>
      <c r="AO30" s="49">
        <f t="shared" si="15"/>
        <v>0.5</v>
      </c>
      <c r="AP30" s="49">
        <f t="shared" si="21"/>
        <v>5</v>
      </c>
      <c r="AQ30" s="49" t="str">
        <f>IFERROR((_xlfn.XLOOKUP(AG30,'DO NOT TOUCH'!$Q$9:$Q$14,'DO NOT TOUCH'!$R$9:$R$14,)),"TBD")</f>
        <v>TBD</v>
      </c>
      <c r="AR30" s="49">
        <f>INPUT_OUTPUTS!$C$19</f>
        <v>0</v>
      </c>
      <c r="AS30" s="51" t="str">
        <f t="shared" si="22"/>
        <v>1, 2</v>
      </c>
    </row>
    <row r="31" spans="2:45" ht="15" customHeight="1">
      <c r="AC31" s="50" t="s">
        <v>127</v>
      </c>
      <c r="AD31" s="47" t="s">
        <v>82</v>
      </c>
      <c r="AE31" s="47" t="s">
        <v>88</v>
      </c>
      <c r="AF31" s="48">
        <f t="shared" si="11"/>
        <v>0</v>
      </c>
      <c r="AG31" s="48" t="str">
        <f>IFERROR((VLOOKUP(AF31,'DO NOT TOUCH'!$P$9:$Q$14,2,TRUE)),"TBD")</f>
        <v>TBD</v>
      </c>
      <c r="AH31" s="48">
        <f t="shared" si="19"/>
        <v>0.5</v>
      </c>
      <c r="AI31" s="48">
        <f>INPUT_OUTPUTS!$C$16</f>
        <v>140</v>
      </c>
      <c r="AJ31" s="48">
        <f>INPUT_OUTPUTS!$C$17</f>
        <v>100</v>
      </c>
      <c r="AK31" s="48">
        <f t="shared" si="23"/>
        <v>55</v>
      </c>
      <c r="AL31" s="48">
        <f t="shared" si="23"/>
        <v>85</v>
      </c>
      <c r="AM31" s="48">
        <f t="shared" si="12"/>
        <v>0</v>
      </c>
      <c r="AN31" s="49">
        <f t="shared" si="20"/>
        <v>0</v>
      </c>
      <c r="AO31" s="49">
        <f t="shared" si="15"/>
        <v>0.5</v>
      </c>
      <c r="AP31" s="49">
        <f t="shared" si="21"/>
        <v>5</v>
      </c>
      <c r="AQ31" s="49" t="str">
        <f>IFERROR((_xlfn.XLOOKUP(AG31,'DO NOT TOUCH'!$Q$9:$Q$14,'DO NOT TOUCH'!$R$9:$R$14,)),"TBD")</f>
        <v>TBD</v>
      </c>
      <c r="AR31" s="49">
        <f>INPUT_OUTPUTS!$C$19</f>
        <v>0</v>
      </c>
      <c r="AS31" s="51" t="str">
        <f t="shared" si="22"/>
        <v>1, 2</v>
      </c>
    </row>
    <row r="32" spans="2:45" ht="15" customHeight="1">
      <c r="AC32" s="50" t="s">
        <v>128</v>
      </c>
      <c r="AD32" s="47" t="s">
        <v>82</v>
      </c>
      <c r="AE32" s="47" t="s">
        <v>88</v>
      </c>
      <c r="AF32" s="48">
        <f t="shared" si="11"/>
        <v>0</v>
      </c>
      <c r="AG32" s="48" t="str">
        <f>IFERROR((VLOOKUP(AF32,'DO NOT TOUCH'!$P$9:$Q$14,2,TRUE)),"TBD")</f>
        <v>TBD</v>
      </c>
      <c r="AH32" s="48">
        <f t="shared" si="19"/>
        <v>0.5</v>
      </c>
      <c r="AI32" s="48">
        <f>INPUT_OUTPUTS!$C$16</f>
        <v>140</v>
      </c>
      <c r="AJ32" s="48">
        <f>INPUT_OUTPUTS!$C$17</f>
        <v>100</v>
      </c>
      <c r="AK32" s="48">
        <f t="shared" si="23"/>
        <v>55</v>
      </c>
      <c r="AL32" s="48">
        <f t="shared" si="23"/>
        <v>85</v>
      </c>
      <c r="AM32" s="48">
        <f t="shared" si="12"/>
        <v>0</v>
      </c>
      <c r="AN32" s="49">
        <f t="shared" si="20"/>
        <v>0</v>
      </c>
      <c r="AO32" s="49">
        <f t="shared" si="15"/>
        <v>0.5</v>
      </c>
      <c r="AP32" s="49">
        <f t="shared" si="21"/>
        <v>5</v>
      </c>
      <c r="AQ32" s="49" t="str">
        <f>IFERROR((_xlfn.XLOOKUP(AG32,'DO NOT TOUCH'!$Q$9:$Q$14,'DO NOT TOUCH'!$R$9:$R$14,)),"TBD")</f>
        <v>TBD</v>
      </c>
      <c r="AR32" s="49">
        <f>INPUT_OUTPUTS!$C$19</f>
        <v>0</v>
      </c>
      <c r="AS32" s="51" t="str">
        <f t="shared" si="22"/>
        <v>1, 2</v>
      </c>
    </row>
    <row r="33" spans="29:46" ht="15" customHeight="1">
      <c r="AC33" s="50" t="s">
        <v>129</v>
      </c>
      <c r="AD33" s="47" t="s">
        <v>82</v>
      </c>
      <c r="AE33" s="47" t="s">
        <v>88</v>
      </c>
      <c r="AF33" s="48">
        <f t="shared" si="11"/>
        <v>0</v>
      </c>
      <c r="AG33" s="48" t="str">
        <f>IFERROR((VLOOKUP(AF33,'DO NOT TOUCH'!$P$9:$Q$14,2,TRUE)),"TBD")</f>
        <v>TBD</v>
      </c>
      <c r="AH33" s="48">
        <f t="shared" si="19"/>
        <v>0.5</v>
      </c>
      <c r="AI33" s="48">
        <f>INPUT_OUTPUTS!$C$16</f>
        <v>140</v>
      </c>
      <c r="AJ33" s="48">
        <f>INPUT_OUTPUTS!$C$17</f>
        <v>100</v>
      </c>
      <c r="AK33" s="48">
        <f t="shared" si="23"/>
        <v>55</v>
      </c>
      <c r="AL33" s="48">
        <f t="shared" si="23"/>
        <v>85</v>
      </c>
      <c r="AM33" s="48">
        <f t="shared" si="12"/>
        <v>0</v>
      </c>
      <c r="AN33" s="49">
        <f t="shared" si="20"/>
        <v>0</v>
      </c>
      <c r="AO33" s="49">
        <f t="shared" si="15"/>
        <v>0.5</v>
      </c>
      <c r="AP33" s="49">
        <f t="shared" si="21"/>
        <v>5</v>
      </c>
      <c r="AQ33" s="49" t="str">
        <f>IFERROR((_xlfn.XLOOKUP(AG33,'DO NOT TOUCH'!$Q$9:$Q$14,'DO NOT TOUCH'!$R$9:$R$14,)),"TBD")</f>
        <v>TBD</v>
      </c>
      <c r="AR33" s="49">
        <f>INPUT_OUTPUTS!$C$19</f>
        <v>0</v>
      </c>
      <c r="AS33" s="51" t="str">
        <f t="shared" si="22"/>
        <v>1, 2</v>
      </c>
    </row>
    <row r="34" spans="29:46" ht="15" customHeight="1">
      <c r="AC34" s="50" t="s">
        <v>130</v>
      </c>
      <c r="AD34" s="47" t="s">
        <v>82</v>
      </c>
      <c r="AE34" s="47" t="s">
        <v>88</v>
      </c>
      <c r="AF34" s="48">
        <f t="shared" si="11"/>
        <v>0</v>
      </c>
      <c r="AG34" s="48" t="str">
        <f>IFERROR((VLOOKUP(AF34,'DO NOT TOUCH'!$P$9:$Q$14,2,TRUE)),"TBD")</f>
        <v>TBD</v>
      </c>
      <c r="AH34" s="48">
        <f t="shared" si="19"/>
        <v>0.5</v>
      </c>
      <c r="AI34" s="48">
        <f>INPUT_OUTPUTS!$C$16</f>
        <v>140</v>
      </c>
      <c r="AJ34" s="48">
        <f>INPUT_OUTPUTS!$C$17</f>
        <v>100</v>
      </c>
      <c r="AK34" s="48">
        <f t="shared" si="23"/>
        <v>55</v>
      </c>
      <c r="AL34" s="48">
        <f t="shared" si="23"/>
        <v>85</v>
      </c>
      <c r="AM34" s="48">
        <f t="shared" si="12"/>
        <v>0</v>
      </c>
      <c r="AN34" s="49">
        <f t="shared" si="20"/>
        <v>0</v>
      </c>
      <c r="AO34" s="49">
        <f t="shared" si="15"/>
        <v>0.5</v>
      </c>
      <c r="AP34" s="49">
        <f t="shared" si="21"/>
        <v>5</v>
      </c>
      <c r="AQ34" s="49" t="str">
        <f>IFERROR((_xlfn.XLOOKUP(AG34,'DO NOT TOUCH'!$Q$9:$Q$14,'DO NOT TOUCH'!$R$9:$R$14,)),"TBD")</f>
        <v>TBD</v>
      </c>
      <c r="AR34" s="49">
        <f>INPUT_OUTPUTS!$C$19</f>
        <v>0</v>
      </c>
      <c r="AS34" s="51" t="str">
        <f t="shared" si="22"/>
        <v>1, 2</v>
      </c>
    </row>
    <row r="35" spans="29:46" ht="15" customHeight="1">
      <c r="AC35" s="50" t="s">
        <v>131</v>
      </c>
      <c r="AD35" s="47" t="s">
        <v>82</v>
      </c>
      <c r="AE35" s="47" t="s">
        <v>88</v>
      </c>
      <c r="AF35" s="48">
        <f t="shared" si="11"/>
        <v>0</v>
      </c>
      <c r="AG35" s="48" t="str">
        <f>IFERROR((VLOOKUP(AF35,'DO NOT TOUCH'!$P$9:$Q$14,2,TRUE)),"TBD")</f>
        <v>TBD</v>
      </c>
      <c r="AH35" s="48">
        <f t="shared" si="19"/>
        <v>0.5</v>
      </c>
      <c r="AI35" s="48">
        <f>INPUT_OUTPUTS!$C$16</f>
        <v>140</v>
      </c>
      <c r="AJ35" s="48">
        <f>INPUT_OUTPUTS!$C$17</f>
        <v>100</v>
      </c>
      <c r="AK35" s="48">
        <f t="shared" si="23"/>
        <v>55</v>
      </c>
      <c r="AL35" s="48">
        <f t="shared" si="23"/>
        <v>85</v>
      </c>
      <c r="AM35" s="48">
        <f t="shared" si="12"/>
        <v>0</v>
      </c>
      <c r="AN35" s="49">
        <f t="shared" si="20"/>
        <v>0</v>
      </c>
      <c r="AO35" s="49">
        <f t="shared" si="15"/>
        <v>0.5</v>
      </c>
      <c r="AP35" s="49">
        <f t="shared" si="21"/>
        <v>5</v>
      </c>
      <c r="AQ35" s="49" t="str">
        <f>IFERROR((_xlfn.XLOOKUP(AG35,'DO NOT TOUCH'!$Q$9:$Q$14,'DO NOT TOUCH'!$R$9:$R$14,)),"TBD")</f>
        <v>TBD</v>
      </c>
      <c r="AR35" s="49">
        <f>INPUT_OUTPUTS!$C$19</f>
        <v>0</v>
      </c>
      <c r="AS35" s="51" t="str">
        <f t="shared" si="22"/>
        <v>1, 2</v>
      </c>
    </row>
    <row r="36" spans="29:46" ht="15" customHeight="1">
      <c r="AC36" s="50" t="s">
        <v>132</v>
      </c>
      <c r="AD36" s="47" t="s">
        <v>82</v>
      </c>
      <c r="AE36" s="47" t="s">
        <v>88</v>
      </c>
      <c r="AF36" s="48">
        <f t="shared" si="11"/>
        <v>0</v>
      </c>
      <c r="AG36" s="48" t="str">
        <f>IFERROR((VLOOKUP(AF36,'DO NOT TOUCH'!$P$9:$Q$14,2,TRUE)),"TBD")</f>
        <v>TBD</v>
      </c>
      <c r="AH36" s="48">
        <f t="shared" si="19"/>
        <v>0.5</v>
      </c>
      <c r="AI36" s="48">
        <f>INPUT_OUTPUTS!$C$16</f>
        <v>140</v>
      </c>
      <c r="AJ36" s="48">
        <f>INPUT_OUTPUTS!$C$17</f>
        <v>100</v>
      </c>
      <c r="AK36" s="48">
        <f t="shared" si="23"/>
        <v>55</v>
      </c>
      <c r="AL36" s="48">
        <f t="shared" si="23"/>
        <v>85</v>
      </c>
      <c r="AM36" s="48">
        <f t="shared" si="12"/>
        <v>0</v>
      </c>
      <c r="AN36" s="49">
        <f t="shared" si="20"/>
        <v>0</v>
      </c>
      <c r="AO36" s="49">
        <f t="shared" si="15"/>
        <v>0.5</v>
      </c>
      <c r="AP36" s="49">
        <f t="shared" si="21"/>
        <v>5</v>
      </c>
      <c r="AQ36" s="49" t="str">
        <f>IFERROR((_xlfn.XLOOKUP(AG36,'DO NOT TOUCH'!$Q$9:$Q$14,'DO NOT TOUCH'!$R$9:$R$14,)),"TBD")</f>
        <v>TBD</v>
      </c>
      <c r="AR36" s="49">
        <f>INPUT_OUTPUTS!$C$19</f>
        <v>0</v>
      </c>
      <c r="AS36" s="51" t="str">
        <f t="shared" si="22"/>
        <v>1, 2</v>
      </c>
    </row>
    <row r="37" spans="29:46" ht="15" customHeight="1">
      <c r="AC37" s="50" t="s">
        <v>133</v>
      </c>
      <c r="AD37" s="47" t="s">
        <v>82</v>
      </c>
      <c r="AE37" s="47" t="s">
        <v>88</v>
      </c>
      <c r="AF37" s="48">
        <f t="shared" si="11"/>
        <v>0</v>
      </c>
      <c r="AG37" s="48" t="str">
        <f>IFERROR((VLOOKUP(AF37,'DO NOT TOUCH'!$P$9:$Q$14,2,TRUE)),"TBD")</f>
        <v>TBD</v>
      </c>
      <c r="AH37" s="48">
        <f t="shared" si="19"/>
        <v>0.5</v>
      </c>
      <c r="AI37" s="48">
        <f>INPUT_OUTPUTS!$C$16</f>
        <v>140</v>
      </c>
      <c r="AJ37" s="48">
        <f>INPUT_OUTPUTS!$C$17</f>
        <v>100</v>
      </c>
      <c r="AK37" s="48">
        <f t="shared" si="23"/>
        <v>55</v>
      </c>
      <c r="AL37" s="48">
        <f t="shared" si="23"/>
        <v>85</v>
      </c>
      <c r="AM37" s="48">
        <f t="shared" si="12"/>
        <v>0</v>
      </c>
      <c r="AN37" s="49">
        <f t="shared" si="20"/>
        <v>0</v>
      </c>
      <c r="AO37" s="49">
        <f t="shared" si="15"/>
        <v>0.5</v>
      </c>
      <c r="AP37" s="49">
        <f t="shared" si="21"/>
        <v>5</v>
      </c>
      <c r="AQ37" s="49" t="str">
        <f>IFERROR((_xlfn.XLOOKUP(AG37,'DO NOT TOUCH'!$Q$9:$Q$14,'DO NOT TOUCH'!$R$9:$R$14,)),"TBD")</f>
        <v>TBD</v>
      </c>
      <c r="AR37" s="49">
        <f>INPUT_OUTPUTS!$C$19</f>
        <v>0</v>
      </c>
      <c r="AS37" s="51" t="str">
        <f t="shared" si="22"/>
        <v>1, 2</v>
      </c>
    </row>
    <row r="38" spans="29:46" ht="15" customHeight="1">
      <c r="AC38" s="50" t="s">
        <v>134</v>
      </c>
      <c r="AD38" s="47" t="s">
        <v>82</v>
      </c>
      <c r="AE38" s="47" t="s">
        <v>88</v>
      </c>
      <c r="AF38" s="48">
        <f t="shared" si="11"/>
        <v>0</v>
      </c>
      <c r="AG38" s="48" t="str">
        <f>IFERROR((VLOOKUP(AF38,'DO NOT TOUCH'!$P$9:$Q$14,2,TRUE)),"TBD")</f>
        <v>TBD</v>
      </c>
      <c r="AH38" s="48">
        <f t="shared" si="19"/>
        <v>0.5</v>
      </c>
      <c r="AI38" s="48">
        <f>INPUT_OUTPUTS!$C$16</f>
        <v>140</v>
      </c>
      <c r="AJ38" s="48">
        <f>INPUT_OUTPUTS!$C$17</f>
        <v>100</v>
      </c>
      <c r="AK38" s="48">
        <f t="shared" si="23"/>
        <v>55</v>
      </c>
      <c r="AL38" s="48">
        <f t="shared" si="23"/>
        <v>85</v>
      </c>
      <c r="AM38" s="48">
        <f t="shared" si="12"/>
        <v>0</v>
      </c>
      <c r="AN38" s="49">
        <f t="shared" si="20"/>
        <v>0</v>
      </c>
      <c r="AO38" s="49">
        <f t="shared" si="15"/>
        <v>0.5</v>
      </c>
      <c r="AP38" s="49">
        <f t="shared" si="21"/>
        <v>5</v>
      </c>
      <c r="AQ38" s="49" t="str">
        <f>IFERROR((_xlfn.XLOOKUP(AG38,'DO NOT TOUCH'!$Q$9:$Q$14,'DO NOT TOUCH'!$R$9:$R$14,)),"TBD")</f>
        <v>TBD</v>
      </c>
      <c r="AR38" s="49">
        <f>INPUT_OUTPUTS!$C$19</f>
        <v>0</v>
      </c>
      <c r="AS38" s="51" t="str">
        <f t="shared" si="22"/>
        <v>1, 2</v>
      </c>
    </row>
    <row r="39" spans="29:46" ht="15" customHeight="1">
      <c r="AC39" s="50" t="s">
        <v>135</v>
      </c>
      <c r="AD39" s="47" t="s">
        <v>82</v>
      </c>
      <c r="AE39" s="47" t="s">
        <v>88</v>
      </c>
      <c r="AF39" s="48">
        <f t="shared" si="11"/>
        <v>0</v>
      </c>
      <c r="AG39" s="48" t="str">
        <f>IFERROR((VLOOKUP(AF39,'DO NOT TOUCH'!$P$9:$Q$14,2,TRUE)),"TBD")</f>
        <v>TBD</v>
      </c>
      <c r="AH39" s="48">
        <f t="shared" si="19"/>
        <v>0.5</v>
      </c>
      <c r="AI39" s="48">
        <f>INPUT_OUTPUTS!$C$16</f>
        <v>140</v>
      </c>
      <c r="AJ39" s="48">
        <f>INPUT_OUTPUTS!$C$17</f>
        <v>100</v>
      </c>
      <c r="AK39" s="48">
        <f t="shared" si="23"/>
        <v>55</v>
      </c>
      <c r="AL39" s="48">
        <f t="shared" si="23"/>
        <v>85</v>
      </c>
      <c r="AM39" s="48">
        <f t="shared" si="12"/>
        <v>0</v>
      </c>
      <c r="AN39" s="49">
        <f t="shared" si="20"/>
        <v>0</v>
      </c>
      <c r="AO39" s="49">
        <f t="shared" si="15"/>
        <v>0.5</v>
      </c>
      <c r="AP39" s="49">
        <f t="shared" si="21"/>
        <v>5</v>
      </c>
      <c r="AQ39" s="49" t="str">
        <f>IFERROR((_xlfn.XLOOKUP(AG39,'DO NOT TOUCH'!$Q$9:$Q$14,'DO NOT TOUCH'!$R$9:$R$14,)),"TBD")</f>
        <v>TBD</v>
      </c>
      <c r="AR39" s="49">
        <f>INPUT_OUTPUTS!$C$19</f>
        <v>0</v>
      </c>
      <c r="AS39" s="51" t="str">
        <f t="shared" si="22"/>
        <v>1, 2</v>
      </c>
    </row>
    <row r="40" spans="29:46" ht="15" customHeight="1">
      <c r="AC40" s="50" t="s">
        <v>136</v>
      </c>
      <c r="AD40" s="47" t="s">
        <v>82</v>
      </c>
      <c r="AE40" s="47" t="s">
        <v>88</v>
      </c>
      <c r="AF40" s="48">
        <f t="shared" si="11"/>
        <v>0</v>
      </c>
      <c r="AG40" s="48" t="str">
        <f>IFERROR((VLOOKUP(AF40,'DO NOT TOUCH'!$P$9:$Q$14,2,TRUE)),"TBD")</f>
        <v>TBD</v>
      </c>
      <c r="AH40" s="48">
        <f t="shared" si="19"/>
        <v>0.5</v>
      </c>
      <c r="AI40" s="48">
        <f>INPUT_OUTPUTS!$C$16</f>
        <v>140</v>
      </c>
      <c r="AJ40" s="48">
        <f>INPUT_OUTPUTS!$C$17</f>
        <v>100</v>
      </c>
      <c r="AK40" s="48">
        <f t="shared" ref="AK40:AL44" si="24">AK39</f>
        <v>55</v>
      </c>
      <c r="AL40" s="48">
        <f t="shared" si="24"/>
        <v>85</v>
      </c>
      <c r="AM40" s="48">
        <f t="shared" si="12"/>
        <v>0</v>
      </c>
      <c r="AN40" s="49">
        <f t="shared" si="20"/>
        <v>0</v>
      </c>
      <c r="AO40" s="49">
        <f t="shared" si="15"/>
        <v>0.5</v>
      </c>
      <c r="AP40" s="49">
        <f t="shared" si="21"/>
        <v>5</v>
      </c>
      <c r="AQ40" s="49" t="str">
        <f>IFERROR((_xlfn.XLOOKUP(AG40,'DO NOT TOUCH'!$Q$9:$Q$14,'DO NOT TOUCH'!$R$9:$R$14,)),"TBD")</f>
        <v>TBD</v>
      </c>
      <c r="AR40" s="49">
        <f>INPUT_OUTPUTS!$C$19</f>
        <v>0</v>
      </c>
      <c r="AS40" s="51" t="str">
        <f t="shared" si="22"/>
        <v>1, 2</v>
      </c>
    </row>
    <row r="41" spans="29:46" ht="15" customHeight="1">
      <c r="AC41" s="50" t="s">
        <v>137</v>
      </c>
      <c r="AD41" s="47" t="s">
        <v>82</v>
      </c>
      <c r="AE41" s="47" t="s">
        <v>88</v>
      </c>
      <c r="AF41" s="48">
        <f t="shared" si="11"/>
        <v>0</v>
      </c>
      <c r="AG41" s="48" t="str">
        <f>IFERROR((VLOOKUP(AF41,'DO NOT TOUCH'!$P$9:$Q$14,2,TRUE)),"TBD")</f>
        <v>TBD</v>
      </c>
      <c r="AH41" s="48">
        <f t="shared" si="19"/>
        <v>0.5</v>
      </c>
      <c r="AI41" s="48">
        <f>INPUT_OUTPUTS!$C$16</f>
        <v>140</v>
      </c>
      <c r="AJ41" s="48">
        <f>INPUT_OUTPUTS!$C$17</f>
        <v>100</v>
      </c>
      <c r="AK41" s="48">
        <f t="shared" si="24"/>
        <v>55</v>
      </c>
      <c r="AL41" s="48">
        <f t="shared" si="24"/>
        <v>85</v>
      </c>
      <c r="AM41" s="48">
        <f t="shared" si="12"/>
        <v>0</v>
      </c>
      <c r="AN41" s="49">
        <f t="shared" si="20"/>
        <v>0</v>
      </c>
      <c r="AO41" s="49">
        <f t="shared" si="15"/>
        <v>0.5</v>
      </c>
      <c r="AP41" s="49">
        <f t="shared" si="21"/>
        <v>5</v>
      </c>
      <c r="AQ41" s="49" t="str">
        <f>IFERROR((_xlfn.XLOOKUP(AG41,'DO NOT TOUCH'!$Q$9:$Q$14,'DO NOT TOUCH'!$R$9:$R$14,)),"TBD")</f>
        <v>TBD</v>
      </c>
      <c r="AR41" s="49">
        <f>INPUT_OUTPUTS!$C$19</f>
        <v>0</v>
      </c>
      <c r="AS41" s="51" t="str">
        <f t="shared" si="22"/>
        <v>1, 2</v>
      </c>
    </row>
    <row r="42" spans="29:46" ht="15" customHeight="1">
      <c r="AC42" s="50" t="s">
        <v>138</v>
      </c>
      <c r="AD42" s="47" t="s">
        <v>82</v>
      </c>
      <c r="AE42" s="47" t="s">
        <v>88</v>
      </c>
      <c r="AF42" s="48">
        <f t="shared" si="11"/>
        <v>0</v>
      </c>
      <c r="AG42" s="48" t="str">
        <f>IFERROR((VLOOKUP(AF42,'DO NOT TOUCH'!$P$9:$Q$14,2,TRUE)),"TBD")</f>
        <v>TBD</v>
      </c>
      <c r="AH42" s="48">
        <f t="shared" si="19"/>
        <v>0.5</v>
      </c>
      <c r="AI42" s="48">
        <f>INPUT_OUTPUTS!$C$16</f>
        <v>140</v>
      </c>
      <c r="AJ42" s="48">
        <f>INPUT_OUTPUTS!$C$17</f>
        <v>100</v>
      </c>
      <c r="AK42" s="48">
        <f t="shared" si="24"/>
        <v>55</v>
      </c>
      <c r="AL42" s="48">
        <f t="shared" si="24"/>
        <v>85</v>
      </c>
      <c r="AM42" s="48">
        <f t="shared" si="12"/>
        <v>0</v>
      </c>
      <c r="AN42" s="49">
        <f t="shared" si="20"/>
        <v>0</v>
      </c>
      <c r="AO42" s="49">
        <f t="shared" si="15"/>
        <v>0.5</v>
      </c>
      <c r="AP42" s="49">
        <f t="shared" si="21"/>
        <v>5</v>
      </c>
      <c r="AQ42" s="49" t="str">
        <f>IFERROR((_xlfn.XLOOKUP(AG42,'DO NOT TOUCH'!$Q$9:$Q$14,'DO NOT TOUCH'!$R$9:$R$14,)),"TBD")</f>
        <v>TBD</v>
      </c>
      <c r="AR42" s="49">
        <f>INPUT_OUTPUTS!$C$19</f>
        <v>0</v>
      </c>
      <c r="AS42" s="51" t="str">
        <f t="shared" si="22"/>
        <v>1, 2</v>
      </c>
    </row>
    <row r="43" spans="29:46" ht="15" customHeight="1">
      <c r="AC43" s="50" t="s">
        <v>139</v>
      </c>
      <c r="AD43" s="47" t="s">
        <v>82</v>
      </c>
      <c r="AE43" s="47" t="s">
        <v>88</v>
      </c>
      <c r="AF43" s="48">
        <f t="shared" si="11"/>
        <v>0</v>
      </c>
      <c r="AG43" s="48" t="str">
        <f>IFERROR((VLOOKUP(AF43,'DO NOT TOUCH'!$P$9:$Q$14,2,TRUE)),"TBD")</f>
        <v>TBD</v>
      </c>
      <c r="AH43" s="48">
        <f t="shared" si="19"/>
        <v>0.5</v>
      </c>
      <c r="AI43" s="48">
        <f>INPUT_OUTPUTS!$C$16</f>
        <v>140</v>
      </c>
      <c r="AJ43" s="48">
        <f>INPUT_OUTPUTS!$C$17</f>
        <v>100</v>
      </c>
      <c r="AK43" s="48">
        <f t="shared" si="24"/>
        <v>55</v>
      </c>
      <c r="AL43" s="48">
        <f t="shared" si="24"/>
        <v>85</v>
      </c>
      <c r="AM43" s="48">
        <f t="shared" si="12"/>
        <v>0</v>
      </c>
      <c r="AN43" s="49">
        <f t="shared" si="20"/>
        <v>0</v>
      </c>
      <c r="AO43" s="49">
        <f t="shared" si="15"/>
        <v>0.5</v>
      </c>
      <c r="AP43" s="49">
        <f t="shared" si="21"/>
        <v>5</v>
      </c>
      <c r="AQ43" s="49" t="str">
        <f>IFERROR((_xlfn.XLOOKUP(AG43,'DO NOT TOUCH'!$Q$9:$Q$14,'DO NOT TOUCH'!$R$9:$R$14,)),"TBD")</f>
        <v>TBD</v>
      </c>
      <c r="AR43" s="49">
        <f>INPUT_OUTPUTS!$C$19</f>
        <v>0</v>
      </c>
      <c r="AS43" s="51" t="str">
        <f t="shared" si="22"/>
        <v>1, 2</v>
      </c>
    </row>
    <row r="44" spans="29:46" ht="15" customHeight="1">
      <c r="AC44" s="52" t="s">
        <v>140</v>
      </c>
      <c r="AD44" s="53" t="s">
        <v>82</v>
      </c>
      <c r="AE44" s="53" t="s">
        <v>88</v>
      </c>
      <c r="AF44" s="54">
        <f t="shared" si="11"/>
        <v>0</v>
      </c>
      <c r="AG44" s="54" t="str">
        <f>IFERROR((VLOOKUP(AF44,'DO NOT TOUCH'!$P$9:$Q$14,2,TRUE)),"TBD")</f>
        <v>TBD</v>
      </c>
      <c r="AH44" s="54">
        <f t="shared" si="19"/>
        <v>0.5</v>
      </c>
      <c r="AI44" s="54">
        <f>INPUT_OUTPUTS!$C$16</f>
        <v>140</v>
      </c>
      <c r="AJ44" s="54">
        <f>INPUT_OUTPUTS!$C$17</f>
        <v>100</v>
      </c>
      <c r="AK44" s="54">
        <f t="shared" si="24"/>
        <v>55</v>
      </c>
      <c r="AL44" s="54">
        <f t="shared" si="24"/>
        <v>85</v>
      </c>
      <c r="AM44" s="54">
        <f t="shared" si="12"/>
        <v>0</v>
      </c>
      <c r="AN44" s="55">
        <f t="shared" si="20"/>
        <v>0</v>
      </c>
      <c r="AO44" s="55">
        <f t="shared" si="15"/>
        <v>0.5</v>
      </c>
      <c r="AP44" s="55">
        <f t="shared" si="21"/>
        <v>5</v>
      </c>
      <c r="AQ44" s="55" t="str">
        <f>IFERROR((_xlfn.XLOOKUP(AG44,'DO NOT TOUCH'!$Q$9:$Q$14,'DO NOT TOUCH'!$R$9:$R$14,)),"TBD")</f>
        <v>TBD</v>
      </c>
      <c r="AR44" s="49">
        <f>INPUT_OUTPUTS!$C$19</f>
        <v>0</v>
      </c>
      <c r="AS44" s="56" t="str">
        <f t="shared" si="22"/>
        <v>1, 2</v>
      </c>
      <c r="AT44" s="110"/>
    </row>
    <row r="45" spans="29:46" ht="15" customHeight="1">
      <c r="AC45" s="69" t="s">
        <v>158</v>
      </c>
      <c r="AD45" s="70"/>
      <c r="AE45" s="70"/>
      <c r="AF45" s="71"/>
      <c r="AG45" s="71"/>
      <c r="AH45" s="71"/>
      <c r="AI45" s="71"/>
      <c r="AJ45" s="71"/>
      <c r="AK45" s="71"/>
      <c r="AL45" s="71"/>
      <c r="AM45" s="71">
        <f>SUBTOTAL(109,AHU1_CAV_SCHEDULE4411[MIN MBH])</f>
        <v>0</v>
      </c>
      <c r="AN45" s="71"/>
      <c r="AO45" s="73">
        <f>SUBTOTAL(109,AHU1_CAV_SCHEDULE4411[GPM])</f>
        <v>19</v>
      </c>
      <c r="AP45" s="71"/>
      <c r="AQ45" s="71"/>
      <c r="AR45" s="71"/>
      <c r="AS45" s="72"/>
      <c r="AT45" s="110"/>
    </row>
    <row r="46" spans="29:46" ht="15" customHeight="1">
      <c r="AC46" s="351" t="s">
        <v>86</v>
      </c>
      <c r="AD46" s="352"/>
      <c r="AE46" s="352"/>
      <c r="AF46" s="352"/>
      <c r="AG46" s="352"/>
      <c r="AH46" s="352"/>
      <c r="AI46" s="352"/>
      <c r="AJ46" s="352"/>
      <c r="AK46" s="352"/>
      <c r="AL46" s="352"/>
      <c r="AM46" s="352"/>
      <c r="AN46" s="352"/>
      <c r="AO46" s="352"/>
      <c r="AP46" s="352"/>
      <c r="AQ46" s="352"/>
      <c r="AR46" s="352"/>
      <c r="AS46" s="353"/>
      <c r="AT46" s="110"/>
    </row>
    <row r="47" spans="29:46" ht="15" customHeight="1">
      <c r="AC47" s="354"/>
      <c r="AD47" s="355"/>
      <c r="AE47" s="355"/>
      <c r="AF47" s="355"/>
      <c r="AG47" s="355"/>
      <c r="AH47" s="355"/>
      <c r="AI47" s="355"/>
      <c r="AJ47" s="355"/>
      <c r="AK47" s="355"/>
      <c r="AL47" s="355"/>
      <c r="AM47" s="355"/>
      <c r="AN47" s="355"/>
      <c r="AO47" s="355"/>
      <c r="AP47" s="355"/>
      <c r="AQ47" s="355"/>
      <c r="AR47" s="355"/>
      <c r="AS47" s="356"/>
      <c r="AT47" s="110"/>
    </row>
    <row r="48" spans="29:46" ht="15" customHeight="1">
      <c r="AC48" s="354"/>
      <c r="AD48" s="355"/>
      <c r="AE48" s="355"/>
      <c r="AF48" s="355"/>
      <c r="AG48" s="355"/>
      <c r="AH48" s="355"/>
      <c r="AI48" s="355"/>
      <c r="AJ48" s="355"/>
      <c r="AK48" s="355"/>
      <c r="AL48" s="355"/>
      <c r="AM48" s="355"/>
      <c r="AN48" s="355"/>
      <c r="AO48" s="355"/>
      <c r="AP48" s="355"/>
      <c r="AQ48" s="355"/>
      <c r="AR48" s="355"/>
      <c r="AS48" s="356"/>
      <c r="AT48" s="110"/>
    </row>
    <row r="49" spans="29:46" ht="15" customHeight="1">
      <c r="AC49" s="357"/>
      <c r="AD49" s="358"/>
      <c r="AE49" s="358"/>
      <c r="AF49" s="358"/>
      <c r="AG49" s="358"/>
      <c r="AH49" s="358"/>
      <c r="AI49" s="358"/>
      <c r="AJ49" s="358"/>
      <c r="AK49" s="358"/>
      <c r="AL49" s="358"/>
      <c r="AM49" s="358"/>
      <c r="AN49" s="358"/>
      <c r="AO49" s="358"/>
      <c r="AP49" s="358"/>
      <c r="AQ49" s="358"/>
      <c r="AR49" s="358"/>
      <c r="AS49" s="359"/>
      <c r="AT49" s="110"/>
    </row>
    <row r="50" spans="29:46" ht="15" customHeight="1"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</row>
    <row r="51" spans="29:46" ht="15" customHeight="1"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</row>
    <row r="52" spans="29:46" ht="15" customHeight="1"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</row>
    <row r="53" spans="29:46" ht="15" customHeight="1"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</row>
    <row r="54" spans="29:46" ht="15" customHeight="1"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</row>
    <row r="55" spans="29:46" ht="15" customHeight="1">
      <c r="AC55" s="114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T55" s="110"/>
    </row>
    <row r="56" spans="29:46" ht="15" customHeight="1">
      <c r="AC56" s="114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T56" s="110"/>
    </row>
    <row r="57" spans="29:46" ht="15" customHeight="1">
      <c r="AC57" s="114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T57" s="110"/>
    </row>
    <row r="58" spans="29:46" ht="15" customHeight="1">
      <c r="AC58" s="114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T58" s="110"/>
    </row>
    <row r="59" spans="29:46" ht="15" customHeight="1">
      <c r="AC59" s="114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T59" s="110"/>
    </row>
    <row r="60" spans="29:46" ht="15" customHeight="1">
      <c r="AC60" s="114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T60" s="110"/>
    </row>
    <row r="61" spans="29:46" ht="15" customHeight="1">
      <c r="AC61" s="114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T61" s="110"/>
    </row>
    <row r="62" spans="29:46" ht="15" customHeight="1">
      <c r="AC62" s="114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T62" s="110"/>
    </row>
    <row r="63" spans="29:46" ht="15" customHeight="1">
      <c r="AC63" s="114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T63" s="110"/>
    </row>
    <row r="64" spans="29:46" ht="15" customHeight="1">
      <c r="AC64" s="114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T64" s="110"/>
    </row>
    <row r="65" spans="27:47" ht="15" customHeight="1">
      <c r="AC65" s="114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T65" s="110"/>
    </row>
    <row r="66" spans="27:47" ht="15" customHeight="1">
      <c r="AC66" s="114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T66" s="110"/>
    </row>
    <row r="67" spans="27:47" ht="15" customHeight="1">
      <c r="AC67" s="114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T67" s="110"/>
    </row>
    <row r="68" spans="27:47" ht="15" customHeight="1">
      <c r="AC68" s="114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T68" s="110"/>
    </row>
    <row r="69" spans="27:47" ht="15" customHeight="1">
      <c r="AC69" s="114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T69" s="110"/>
    </row>
    <row r="70" spans="27:47" ht="15" customHeight="1">
      <c r="AC70" s="114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T70" s="110"/>
    </row>
    <row r="71" spans="27:47" ht="15" customHeight="1">
      <c r="AC71" s="114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T71" s="110"/>
    </row>
    <row r="72" spans="27:47" ht="15" customHeight="1">
      <c r="AC72" s="114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T72" s="110"/>
    </row>
    <row r="73" spans="27:47" ht="15" customHeight="1">
      <c r="AC73" s="114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T73" s="110"/>
    </row>
    <row r="74" spans="27:47" ht="15" customHeight="1">
      <c r="AC74" s="114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T74" s="110"/>
    </row>
    <row r="75" spans="27:47" ht="15" customHeight="1">
      <c r="AC75" s="114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T75" s="110"/>
    </row>
    <row r="76" spans="27:47" ht="15" customHeight="1">
      <c r="AC76" s="114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T76" s="110"/>
    </row>
    <row r="77" spans="27:47" ht="15" customHeight="1">
      <c r="AC77" s="114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T77" s="110"/>
    </row>
    <row r="78" spans="27:47" ht="15" customHeight="1">
      <c r="AC78" s="114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T78" s="110"/>
    </row>
    <row r="79" spans="27:47" ht="15" customHeight="1">
      <c r="AC79" s="114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T79" s="110"/>
    </row>
    <row r="80" spans="27:47">
      <c r="AA80" s="129"/>
      <c r="AC80" s="114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U80" s="110"/>
    </row>
    <row r="81" spans="27:47" ht="15" customHeight="1">
      <c r="AA81" s="129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U81" s="110"/>
    </row>
    <row r="82" spans="27:47" ht="15" customHeight="1">
      <c r="AA82" s="13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U82" s="110"/>
    </row>
    <row r="83" spans="27:47" ht="15" customHeight="1"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U83" s="110"/>
    </row>
    <row r="84" spans="27:47" ht="15" customHeight="1"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U84" s="110"/>
    </row>
    <row r="85" spans="27:47" ht="15" customHeight="1"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U85" s="110"/>
    </row>
    <row r="86" spans="27:47" ht="15" customHeight="1"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U86" s="110"/>
    </row>
    <row r="87" spans="27:47" ht="15" customHeight="1"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U87" s="110"/>
    </row>
    <row r="88" spans="27:47" ht="15" customHeight="1"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U88" s="110"/>
    </row>
    <row r="89" spans="27:47" ht="15" customHeight="1"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U89" s="110"/>
    </row>
    <row r="90" spans="27:47" ht="15" customHeight="1"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U90" s="110"/>
    </row>
    <row r="91" spans="27:47" ht="15" customHeight="1"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U91" s="110"/>
    </row>
    <row r="92" spans="27:47" ht="15" customHeight="1">
      <c r="AG92" s="110"/>
      <c r="AH92" s="110"/>
      <c r="AI92" s="110"/>
      <c r="AJ92" s="110"/>
      <c r="AK92" s="110"/>
      <c r="AL92" s="110"/>
      <c r="AM92" s="110"/>
      <c r="AN92" s="110"/>
      <c r="AO92" s="110"/>
      <c r="AP92" s="110"/>
      <c r="AQ92" s="110"/>
      <c r="AR92" s="110"/>
      <c r="AS92" s="110"/>
      <c r="AU92" s="110"/>
    </row>
    <row r="93" spans="27:47" ht="15" customHeight="1">
      <c r="AG93" s="110"/>
      <c r="AH93" s="110"/>
      <c r="AI93" s="110"/>
      <c r="AJ93" s="110"/>
      <c r="AK93" s="110"/>
      <c r="AL93" s="110"/>
      <c r="AM93" s="110"/>
      <c r="AN93" s="110"/>
      <c r="AO93" s="110"/>
      <c r="AP93" s="110"/>
      <c r="AQ93" s="110"/>
      <c r="AR93" s="110"/>
      <c r="AS93" s="110"/>
      <c r="AU93" s="110"/>
    </row>
    <row r="94" spans="27:47" ht="15" customHeight="1">
      <c r="AG94" s="110"/>
      <c r="AH94" s="110"/>
      <c r="AI94" s="110"/>
      <c r="AJ94" s="110"/>
      <c r="AK94" s="110"/>
      <c r="AL94" s="110"/>
      <c r="AM94" s="110"/>
      <c r="AN94" s="110"/>
      <c r="AO94" s="110"/>
      <c r="AP94" s="110"/>
      <c r="AQ94" s="110"/>
      <c r="AR94" s="110"/>
      <c r="AS94" s="110"/>
      <c r="AU94" s="110"/>
    </row>
    <row r="95" spans="27:47" ht="15" customHeight="1">
      <c r="AG95" s="110"/>
      <c r="AH95" s="110"/>
      <c r="AI95" s="110"/>
      <c r="AJ95" s="110"/>
      <c r="AK95" s="110"/>
      <c r="AL95" s="110"/>
      <c r="AM95" s="110"/>
      <c r="AN95" s="110"/>
      <c r="AO95" s="110"/>
      <c r="AP95" s="110"/>
      <c r="AQ95" s="110"/>
      <c r="AR95" s="110"/>
      <c r="AS95" s="110"/>
      <c r="AU95" s="110"/>
    </row>
    <row r="96" spans="27:47" ht="15" customHeight="1">
      <c r="AG96" s="110"/>
      <c r="AH96" s="110"/>
      <c r="AI96" s="110"/>
      <c r="AJ96" s="110"/>
      <c r="AK96" s="110"/>
      <c r="AL96" s="110"/>
      <c r="AM96" s="110"/>
      <c r="AN96" s="110"/>
      <c r="AO96" s="110"/>
      <c r="AP96" s="110"/>
      <c r="AQ96" s="110"/>
      <c r="AR96" s="110"/>
      <c r="AS96" s="110"/>
      <c r="AU96" s="110"/>
    </row>
    <row r="97" spans="33:47" ht="15" customHeight="1"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U97" s="110"/>
    </row>
    <row r="98" spans="33:47" ht="15.75" customHeight="1"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U98" s="110"/>
    </row>
    <row r="99" spans="33:47"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U99" s="110"/>
    </row>
    <row r="100" spans="33:47">
      <c r="AG100" s="110"/>
      <c r="AH100" s="110"/>
      <c r="AI100" s="110"/>
      <c r="AJ100" s="110"/>
      <c r="AK100" s="110"/>
      <c r="AL100" s="110"/>
      <c r="AM100" s="110"/>
      <c r="AN100" s="110"/>
      <c r="AO100" s="110"/>
      <c r="AP100" s="110"/>
      <c r="AQ100" s="110"/>
      <c r="AR100" s="110"/>
      <c r="AS100" s="110"/>
      <c r="AU100" s="110"/>
    </row>
    <row r="101" spans="33:47">
      <c r="AG101" s="110"/>
      <c r="AH101" s="110"/>
      <c r="AI101" s="110"/>
      <c r="AJ101" s="110"/>
      <c r="AK101" s="110"/>
      <c r="AL101" s="110"/>
      <c r="AM101" s="110"/>
      <c r="AN101" s="110"/>
      <c r="AO101" s="110"/>
      <c r="AP101" s="110"/>
      <c r="AQ101" s="110"/>
      <c r="AR101" s="110"/>
      <c r="AS101" s="110"/>
      <c r="AU101" s="110"/>
    </row>
    <row r="102" spans="33:47" ht="15" customHeight="1">
      <c r="AG102" s="110"/>
      <c r="AH102" s="110"/>
      <c r="AI102" s="110"/>
      <c r="AJ102" s="110"/>
      <c r="AK102" s="110"/>
      <c r="AL102" s="110"/>
      <c r="AM102" s="110"/>
      <c r="AN102" s="110"/>
      <c r="AO102" s="110"/>
      <c r="AP102" s="110"/>
      <c r="AQ102" s="110"/>
      <c r="AR102" s="110"/>
      <c r="AS102" s="110"/>
      <c r="AU102" s="110"/>
    </row>
    <row r="103" spans="33:47">
      <c r="AG103" s="110"/>
      <c r="AH103" s="110"/>
      <c r="AI103" s="110"/>
      <c r="AJ103" s="110"/>
      <c r="AK103" s="110"/>
      <c r="AL103" s="110"/>
      <c r="AM103" s="110"/>
      <c r="AN103" s="110"/>
      <c r="AO103" s="110"/>
      <c r="AP103" s="110"/>
      <c r="AQ103" s="110"/>
      <c r="AR103" s="110"/>
      <c r="AS103" s="110"/>
    </row>
    <row r="104" spans="33:47">
      <c r="AP104" s="133"/>
      <c r="AQ104" s="133"/>
      <c r="AR104" s="133"/>
      <c r="AS104" s="133"/>
    </row>
  </sheetData>
  <dataConsolidate topLabels="1">
    <dataRefs count="1">
      <dataRef ref="C8:D86" sheet="AHU 1"/>
    </dataRefs>
  </dataConsolidate>
  <mergeCells count="6">
    <mergeCell ref="D5:G5"/>
    <mergeCell ref="H5:R5"/>
    <mergeCell ref="S5:V5"/>
    <mergeCell ref="X5:Z5"/>
    <mergeCell ref="AC5:AS5"/>
    <mergeCell ref="AC46:AS49"/>
  </mergeCells>
  <conditionalFormatting sqref="Y7:Y17">
    <cfRule type="cellIs" dxfId="0" priority="1" operator="greaterThan">
      <formula>$Y$4</formula>
    </cfRule>
  </conditionalFormatting>
  <dataValidations count="3">
    <dataValidation type="whole" operator="greaterThan" allowBlank="1" showInputMessage="1" showErrorMessage="1" sqref="S7:U17" xr:uid="{69F0AFD4-2FC4-44A0-B155-D8B33CD06724}">
      <formula1>0</formula1>
    </dataValidation>
    <dataValidation type="decimal" operator="greaterThan" allowBlank="1" showInputMessage="1" showErrorMessage="1" sqref="F7:F17" xr:uid="{D547EC45-20CD-4C72-8F61-2ECEAD42068E}">
      <formula1>1</formula1>
    </dataValidation>
    <dataValidation type="whole" operator="greaterThan" allowBlank="1" showInputMessage="1" showErrorMessage="1" sqref="E7:E17" xr:uid="{B4467E9B-F031-4D9A-BD50-8BAB525B0AC8}">
      <formula1>1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Title" prompt="Input message" xr:uid="{7451A70E-5DC8-48A5-8885-311E6D5D3416}">
          <x14:formula1>
            <xm:f>'UMC Table 4-A'!$A$1:$A$127</xm:f>
          </x14:formula1>
          <xm:sqref>M10</xm:sqref>
        </x14:dataValidation>
        <x14:dataValidation type="list" allowBlank="1" showInputMessage="1" showErrorMessage="1" promptTitle="Title" prompt="Input message" xr:uid="{6AACDE8D-AC45-433C-8311-9CCC2DBE2F3E}">
          <x14:formula1>
            <xm:f>'UMC Table 4-A'!$A$2:$A$132</xm:f>
          </x14:formula1>
          <xm:sqref>M7:M9 M11:M17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F36"/>
  <sheetViews>
    <sheetView showGridLines="0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21" sqref="D21"/>
    </sheetView>
  </sheetViews>
  <sheetFormatPr defaultColWidth="8.85546875" defaultRowHeight="12.75" outlineLevelCol="3"/>
  <cols>
    <col min="1" max="1" width="14.85546875" bestFit="1" customWidth="1"/>
    <col min="2" max="2" width="40.28515625" bestFit="1" customWidth="1"/>
    <col min="3" max="3" width="11.85546875" bestFit="1" customWidth="1"/>
    <col min="4" max="4" width="15.7109375" bestFit="1" customWidth="1"/>
    <col min="5" max="5" width="9.28515625" customWidth="1"/>
    <col min="6" max="7" width="9.140625" customWidth="1"/>
    <col min="8" max="8" width="10" customWidth="1"/>
    <col min="9" max="12" width="9.140625" customWidth="1"/>
    <col min="13" max="13" width="9.7109375" customWidth="1"/>
    <col min="14" max="14" width="9.28515625" customWidth="1"/>
    <col min="15" max="15" width="9.7109375" customWidth="1"/>
    <col min="16" max="16" width="9.140625" customWidth="1"/>
    <col min="17" max="17" width="9.28515625" customWidth="1"/>
    <col min="18" max="18" width="9.7109375" customWidth="1"/>
    <col min="19" max="19" width="9.140625" customWidth="1"/>
    <col min="20" max="21" width="10" customWidth="1"/>
    <col min="22" max="22" width="16.85546875" bestFit="1" customWidth="1"/>
    <col min="23" max="24" width="9.42578125" customWidth="1"/>
    <col min="25" max="25" width="10" bestFit="1" customWidth="1"/>
    <col min="26" max="26" width="9.28515625" customWidth="1"/>
    <col min="27" max="27" width="9.7109375" customWidth="1"/>
    <col min="28" max="28" width="9.140625" customWidth="1"/>
    <col min="29" max="29" width="9.28515625" customWidth="1"/>
    <col min="30" max="30" width="9.7109375" customWidth="1"/>
    <col min="31" max="31" width="9.140625" customWidth="1"/>
    <col min="32" max="32" width="10" customWidth="1"/>
    <col min="33" max="33" width="14.7109375" customWidth="1"/>
    <col min="34" max="34" width="16.85546875" bestFit="1" customWidth="1"/>
    <col min="35" max="36" width="9.42578125" customWidth="1"/>
    <col min="37" max="37" width="12" bestFit="1" customWidth="1"/>
    <col min="38" max="38" width="13.7109375" bestFit="1" customWidth="1"/>
    <col min="39" max="39" width="12.7109375" bestFit="1" customWidth="1"/>
    <col min="40" max="40" width="14.140625" customWidth="1"/>
    <col min="41" max="41" width="9.140625" customWidth="1"/>
    <col min="42" max="42" width="9.28515625" customWidth="1"/>
    <col min="43" max="43" width="26" customWidth="1"/>
    <col min="44" max="44" width="17" customWidth="1"/>
    <col min="45" max="46" width="9.42578125" customWidth="1"/>
    <col min="47" max="47" width="8.28515625" customWidth="1" collapsed="1"/>
    <col min="48" max="48" width="9.7109375" customWidth="1" outlineLevel="3"/>
    <col min="49" max="49" width="10.140625" customWidth="1" outlineLevel="3" collapsed="1"/>
    <col min="50" max="50" width="9.28515625" customWidth="1"/>
    <col min="51" max="52" width="22.42578125" customWidth="1"/>
    <col min="53" max="53" width="10.7109375" bestFit="1" customWidth="1"/>
  </cols>
  <sheetData>
    <row r="2" spans="1:58">
      <c r="B2" s="89"/>
      <c r="C2" s="89"/>
    </row>
    <row r="8" spans="1:58" s="76" customFormat="1" ht="12.95" customHeight="1">
      <c r="A8" s="370"/>
      <c r="B8" s="372" t="s">
        <v>38</v>
      </c>
      <c r="C8" s="372"/>
      <c r="D8" s="372"/>
      <c r="E8" s="372"/>
      <c r="F8" s="372"/>
      <c r="G8" s="372"/>
      <c r="H8" s="372"/>
      <c r="I8" s="372"/>
      <c r="J8" s="372"/>
      <c r="K8" s="372"/>
      <c r="L8" s="372"/>
      <c r="M8" s="372"/>
      <c r="N8" s="372" t="s">
        <v>39</v>
      </c>
      <c r="O8" s="372"/>
      <c r="P8" s="372"/>
      <c r="Q8" s="372"/>
      <c r="R8" s="372"/>
      <c r="S8" s="372"/>
      <c r="T8" s="372"/>
      <c r="U8" s="372"/>
      <c r="V8" s="372"/>
      <c r="W8" s="372"/>
      <c r="X8" s="372"/>
      <c r="Y8" s="372"/>
      <c r="Z8" s="372" t="s">
        <v>40</v>
      </c>
      <c r="AA8" s="372"/>
      <c r="AB8" s="372"/>
      <c r="AC8" s="372"/>
      <c r="AD8" s="372"/>
      <c r="AE8" s="372"/>
      <c r="AF8" s="372"/>
      <c r="AG8" s="372"/>
      <c r="AH8" s="372"/>
      <c r="AI8" s="372"/>
      <c r="AJ8" s="372"/>
      <c r="AK8" s="372"/>
      <c r="AL8" s="372" t="s">
        <v>41</v>
      </c>
      <c r="AM8" s="372"/>
      <c r="AN8" s="372"/>
      <c r="AO8" s="372" t="s">
        <v>74</v>
      </c>
      <c r="AP8" s="372"/>
      <c r="AQ8" s="372"/>
      <c r="AR8" s="372"/>
      <c r="AS8" s="372"/>
      <c r="AT8" s="372"/>
      <c r="AU8" s="372"/>
      <c r="AV8" s="372" t="s">
        <v>66</v>
      </c>
      <c r="AW8" s="372"/>
      <c r="AX8" s="372" t="s">
        <v>43</v>
      </c>
      <c r="AY8" s="372"/>
      <c r="AZ8" s="372"/>
      <c r="BA8" s="372"/>
    </row>
    <row r="9" spans="1:58" s="16" customFormat="1" ht="32.25" customHeight="1">
      <c r="A9" s="370"/>
      <c r="B9" s="371" t="s">
        <v>12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0" t="s">
        <v>44</v>
      </c>
      <c r="N9" s="371" t="s">
        <v>45</v>
      </c>
      <c r="O9" s="371"/>
      <c r="P9" s="371"/>
      <c r="Q9" s="371"/>
      <c r="R9" s="371"/>
      <c r="S9" s="371"/>
      <c r="T9" s="377" t="s">
        <v>46</v>
      </c>
      <c r="U9" s="377"/>
      <c r="V9" s="373" t="s">
        <v>228</v>
      </c>
      <c r="W9" s="370" t="s">
        <v>227</v>
      </c>
      <c r="X9" s="370"/>
      <c r="Y9" s="370"/>
      <c r="Z9" s="371" t="s">
        <v>45</v>
      </c>
      <c r="AA9" s="371"/>
      <c r="AB9" s="371"/>
      <c r="AC9" s="371"/>
      <c r="AD9" s="371"/>
      <c r="AE9" s="371"/>
      <c r="AF9" s="377" t="s">
        <v>47</v>
      </c>
      <c r="AG9" s="377"/>
      <c r="AH9" s="373" t="s">
        <v>228</v>
      </c>
      <c r="AI9" s="370" t="s">
        <v>99</v>
      </c>
      <c r="AJ9" s="370"/>
      <c r="AK9" s="370"/>
      <c r="AL9" s="373" t="s">
        <v>229</v>
      </c>
      <c r="AM9" s="371" t="s">
        <v>26</v>
      </c>
      <c r="AN9" s="371" t="s">
        <v>211</v>
      </c>
      <c r="AO9" s="26"/>
      <c r="AP9" s="371" t="s">
        <v>29</v>
      </c>
      <c r="AQ9" s="371"/>
      <c r="AR9" s="26" t="s">
        <v>13</v>
      </c>
      <c r="AS9" s="370" t="s">
        <v>102</v>
      </c>
      <c r="AT9" s="370"/>
      <c r="AU9" s="370"/>
      <c r="AV9" s="377" t="s">
        <v>69</v>
      </c>
      <c r="AW9" s="371" t="s">
        <v>68</v>
      </c>
      <c r="AX9" s="26"/>
      <c r="AY9" s="26"/>
      <c r="AZ9" s="26"/>
      <c r="BA9" s="5"/>
    </row>
    <row r="10" spans="1:58" s="16" customFormat="1" ht="25.5" customHeight="1">
      <c r="A10" s="370"/>
      <c r="B10" s="40" t="s">
        <v>14</v>
      </c>
      <c r="C10" s="375" t="s">
        <v>658</v>
      </c>
      <c r="D10" s="375"/>
      <c r="E10" s="376"/>
      <c r="F10" s="374" t="s">
        <v>226</v>
      </c>
      <c r="G10" s="375"/>
      <c r="H10" s="376"/>
      <c r="I10" s="374" t="s">
        <v>48</v>
      </c>
      <c r="J10" s="375"/>
      <c r="K10" s="376"/>
      <c r="L10" s="40" t="s">
        <v>49</v>
      </c>
      <c r="M10" s="370"/>
      <c r="N10" s="370" t="s">
        <v>15</v>
      </c>
      <c r="O10" s="370"/>
      <c r="P10" s="370"/>
      <c r="Q10" s="370" t="s">
        <v>444</v>
      </c>
      <c r="R10" s="370"/>
      <c r="S10" s="370"/>
      <c r="T10" s="40" t="s">
        <v>17</v>
      </c>
      <c r="U10" s="40" t="s">
        <v>18</v>
      </c>
      <c r="V10" s="373"/>
      <c r="W10" s="370"/>
      <c r="X10" s="370"/>
      <c r="Y10" s="370"/>
      <c r="Z10" s="370" t="s">
        <v>15</v>
      </c>
      <c r="AA10" s="370"/>
      <c r="AB10" s="370"/>
      <c r="AC10" s="370" t="s">
        <v>444</v>
      </c>
      <c r="AD10" s="370"/>
      <c r="AE10" s="370"/>
      <c r="AF10" s="40" t="s">
        <v>17</v>
      </c>
      <c r="AG10" s="40" t="s">
        <v>18</v>
      </c>
      <c r="AH10" s="373"/>
      <c r="AI10" s="7" t="s">
        <v>35</v>
      </c>
      <c r="AJ10" s="7" t="s">
        <v>100</v>
      </c>
      <c r="AK10" s="40" t="s">
        <v>101</v>
      </c>
      <c r="AL10" s="373"/>
      <c r="AM10" s="371"/>
      <c r="AN10" s="371"/>
      <c r="AO10" s="40" t="s">
        <v>14</v>
      </c>
      <c r="AP10" s="40" t="s">
        <v>15</v>
      </c>
      <c r="AQ10" s="40" t="s">
        <v>16</v>
      </c>
      <c r="AR10" s="40" t="s">
        <v>17</v>
      </c>
      <c r="AS10" s="7" t="s">
        <v>35</v>
      </c>
      <c r="AT10" s="7" t="s">
        <v>100</v>
      </c>
      <c r="AU10" s="40" t="s">
        <v>101</v>
      </c>
      <c r="AV10" s="377"/>
      <c r="AW10" s="371"/>
      <c r="AX10" s="40" t="s">
        <v>15</v>
      </c>
      <c r="AY10" s="40" t="s">
        <v>16</v>
      </c>
      <c r="AZ10" s="40" t="s">
        <v>223</v>
      </c>
      <c r="BA10" s="40" t="s">
        <v>17</v>
      </c>
    </row>
    <row r="11" spans="1:58" s="15" customFormat="1" ht="16.5">
      <c r="A11" s="77" t="s">
        <v>168</v>
      </c>
      <c r="B11" s="78" t="s">
        <v>19</v>
      </c>
      <c r="C11" s="78" t="s">
        <v>169</v>
      </c>
      <c r="D11" s="78" t="s">
        <v>20</v>
      </c>
      <c r="E11" s="78" t="s">
        <v>21</v>
      </c>
      <c r="F11" s="78" t="s">
        <v>170</v>
      </c>
      <c r="G11" s="79" t="s">
        <v>171</v>
      </c>
      <c r="H11" s="79" t="s">
        <v>172</v>
      </c>
      <c r="I11" s="78" t="s">
        <v>173</v>
      </c>
      <c r="J11" s="79" t="s">
        <v>174</v>
      </c>
      <c r="K11" s="79" t="s">
        <v>175</v>
      </c>
      <c r="L11" s="79" t="s">
        <v>176</v>
      </c>
      <c r="M11" s="78" t="s">
        <v>177</v>
      </c>
      <c r="N11" s="79" t="s">
        <v>178</v>
      </c>
      <c r="O11" s="79" t="s">
        <v>179</v>
      </c>
      <c r="P11" s="79" t="s">
        <v>22</v>
      </c>
      <c r="Q11" s="79" t="s">
        <v>180</v>
      </c>
      <c r="R11" s="79" t="s">
        <v>181</v>
      </c>
      <c r="S11" s="79" t="s">
        <v>182</v>
      </c>
      <c r="T11" s="78" t="s">
        <v>23</v>
      </c>
      <c r="U11" s="78" t="s">
        <v>183</v>
      </c>
      <c r="V11" s="80" t="s">
        <v>24</v>
      </c>
      <c r="W11" s="80" t="s">
        <v>184</v>
      </c>
      <c r="X11" s="80" t="s">
        <v>185</v>
      </c>
      <c r="Y11" s="80" t="s">
        <v>34</v>
      </c>
      <c r="Z11" s="79" t="s">
        <v>186</v>
      </c>
      <c r="AA11" s="79" t="s">
        <v>187</v>
      </c>
      <c r="AB11" s="79" t="s">
        <v>188</v>
      </c>
      <c r="AC11" s="79" t="s">
        <v>189</v>
      </c>
      <c r="AD11" s="79" t="s">
        <v>190</v>
      </c>
      <c r="AE11" s="79" t="s">
        <v>191</v>
      </c>
      <c r="AF11" s="78" t="s">
        <v>192</v>
      </c>
      <c r="AG11" s="78" t="s">
        <v>193</v>
      </c>
      <c r="AH11" s="78" t="s">
        <v>194</v>
      </c>
      <c r="AI11" s="80" t="s">
        <v>195</v>
      </c>
      <c r="AJ11" s="80" t="s">
        <v>196</v>
      </c>
      <c r="AK11" s="80" t="s">
        <v>197</v>
      </c>
      <c r="AL11" s="78" t="s">
        <v>198</v>
      </c>
      <c r="AM11" s="81" t="s">
        <v>199</v>
      </c>
      <c r="AN11" s="81" t="s">
        <v>210</v>
      </c>
      <c r="AO11" s="78" t="s">
        <v>200</v>
      </c>
      <c r="AP11" s="79" t="s">
        <v>201</v>
      </c>
      <c r="AQ11" s="79" t="s">
        <v>202</v>
      </c>
      <c r="AR11" s="78" t="s">
        <v>50</v>
      </c>
      <c r="AS11" s="80" t="s">
        <v>203</v>
      </c>
      <c r="AT11" s="80" t="s">
        <v>204</v>
      </c>
      <c r="AU11" s="80" t="s">
        <v>205</v>
      </c>
      <c r="AV11" s="78" t="s">
        <v>67</v>
      </c>
      <c r="AW11" s="78" t="s">
        <v>206</v>
      </c>
      <c r="AX11" s="79" t="s">
        <v>207</v>
      </c>
      <c r="AY11" s="79" t="s">
        <v>208</v>
      </c>
      <c r="AZ11" s="79" t="s">
        <v>222</v>
      </c>
      <c r="BA11" s="78" t="s">
        <v>209</v>
      </c>
    </row>
    <row r="12" spans="1:58" s="16" customFormat="1" ht="16.5" hidden="1">
      <c r="A12" s="6"/>
      <c r="B12" s="41">
        <f>'AHU 3'!$AW$2</f>
        <v>5100</v>
      </c>
      <c r="C12" s="41">
        <f>'AHU 3'!$AX$2</f>
        <v>4500</v>
      </c>
      <c r="D12" s="146">
        <v>78</v>
      </c>
      <c r="E12" s="146">
        <v>60</v>
      </c>
      <c r="F12" s="41">
        <f>'AHU 3'!$AY$2</f>
        <v>1600</v>
      </c>
      <c r="G12" s="5">
        <f>INPUT_OUTPUTS!$C$8</f>
        <v>0</v>
      </c>
      <c r="H12" s="5">
        <f>INPUT_OUTPUTS!$C$9</f>
        <v>0</v>
      </c>
      <c r="I12" s="41">
        <f>Table7[[#This Row],[(CFM)3]]</f>
        <v>1600</v>
      </c>
      <c r="J12" s="5">
        <f>INPUT_OUTPUTS!$C$10</f>
        <v>0</v>
      </c>
      <c r="K12" s="5">
        <f>INPUT_OUTPUTS!$C$11</f>
        <v>0</v>
      </c>
      <c r="L12" s="5">
        <f>INPUT_OUTPUTS!$F$8</f>
        <v>0</v>
      </c>
      <c r="M12" s="41">
        <f>C12+F12-B12</f>
        <v>1000</v>
      </c>
      <c r="N12" s="5">
        <f>D12*((C12-M12)/B12) + G12*(F12/B12)</f>
        <v>53.529411764705884</v>
      </c>
      <c r="O12" s="5">
        <f>TRUNC(E12*((C12-M12)/B12) + H12*(F12/B12),1)</f>
        <v>41.1</v>
      </c>
      <c r="P12" s="39">
        <f>VLOOKUP(FLOOR(O12,1),'DO NOT TOUCH'!$A$7:$K$57,MATCH(ROUND((O12-FLOOR(O12,1)),1),'DO NOT TOUCH'!$A$6:$K$6,0),FALSE)</f>
        <v>15.75</v>
      </c>
      <c r="Q12" s="147">
        <v>55</v>
      </c>
      <c r="R12" s="147">
        <v>52.3</v>
      </c>
      <c r="S12" s="5">
        <f>VLOOKUP(FLOOR(R12,1),'DO NOT TOUCH'!$A$7:$K$57,MATCH(ROUND((R12-FLOOR(R12,1)),1),'DO NOT TOUCH'!$A$6:$K$6,0),FALSE)</f>
        <v>21.62</v>
      </c>
      <c r="T12" s="41">
        <f>B12*1.085*(N12-Q12)</f>
        <v>-8137.4999999999909</v>
      </c>
      <c r="U12" s="41">
        <f>4.5*B12*(P12-S12)</f>
        <v>-134716.50000000003</v>
      </c>
      <c r="V12" s="7" t="str">
        <f>IF(U12&lt;T12,"INVALID POINT",U12/12000)</f>
        <v>INVALID POINT</v>
      </c>
      <c r="W12" s="7">
        <f>INPUT_OUTPUTS!$C$14</f>
        <v>42</v>
      </c>
      <c r="X12" s="7">
        <f>INPUT_OUTPUTS!$C$15</f>
        <v>52</v>
      </c>
      <c r="Y12" s="67">
        <f t="shared" ref="Y12" si="0">U12/(500*(X12-W12))</f>
        <v>-26.943300000000004</v>
      </c>
      <c r="Z12" s="5">
        <f>D12*((C12-M12)/B12) + J12*(F12/B12)</f>
        <v>53.529411764705884</v>
      </c>
      <c r="AA12" s="5">
        <f>TRUNC(E12*((C12-M12)/B12) + K12*(F12/B12),1)</f>
        <v>41.1</v>
      </c>
      <c r="AB12" s="5">
        <f>VLOOKUP(FLOOR(AA12,1),'DO NOT TOUCH'!$A$7:$K$57,MATCH(ROUND((AA12-FLOOR(AA12,1)),1),'DO NOT TOUCH'!$A$6:$K$6,0),FALSE)</f>
        <v>15.75</v>
      </c>
      <c r="AC12" s="5">
        <f>Table7[[#This Row],[(˚F db)13]]</f>
        <v>55</v>
      </c>
      <c r="AD12" s="5">
        <f>Table7[[#This Row],[(˚F wb)14]]</f>
        <v>52.3</v>
      </c>
      <c r="AE12" s="5">
        <f>VLOOKUP(FLOOR(AD12,1),'DO NOT TOUCH'!$A$7:$K$57,MATCH(ROUND((AD12-FLOOR(AD12,1)),1),'DO NOT TOUCH'!$A$6:$K$6,0),FALSE)</f>
        <v>21.62</v>
      </c>
      <c r="AF12" s="41">
        <f>B12*1.085*(Z12-AC12)</f>
        <v>-8137.4999999999909</v>
      </c>
      <c r="AG12" s="41">
        <f>4.5*B12*(AB12-AE12)</f>
        <v>-134716.50000000003</v>
      </c>
      <c r="AH12" s="5" t="str">
        <f>IF(AG12&lt;AF12,"INVALID POINT",AG12/12000)</f>
        <v>INVALID POINT</v>
      </c>
      <c r="AI12" s="7">
        <f>INPUT_OUTPUTS!$C$14</f>
        <v>42</v>
      </c>
      <c r="AJ12" s="7">
        <f>INPUT_OUTPUTS!$C$15</f>
        <v>52</v>
      </c>
      <c r="AK12" s="67">
        <f t="shared" ref="AK12" si="1">AG12/(500*(AJ12-AI12))</f>
        <v>-26.943300000000004</v>
      </c>
      <c r="AL12" s="5">
        <f>MAX(AH12,V12)</f>
        <v>0</v>
      </c>
      <c r="AM12" s="68" t="e">
        <f>B12/AH12</f>
        <v>#VALUE!</v>
      </c>
      <c r="AN12" s="68">
        <f>MAX(Table7[[#This Row],[GPM33]],Table7[[#This Row],[GPM]])</f>
        <v>-26.943300000000004</v>
      </c>
      <c r="AO12" s="41">
        <f>B12</f>
        <v>5100</v>
      </c>
      <c r="AP12" s="5">
        <f>D12*((C12-M12)/B12) + L12*(F12/B12)</f>
        <v>53.529411764705884</v>
      </c>
      <c r="AQ12" s="148">
        <v>65</v>
      </c>
      <c r="AR12" s="41">
        <f>AO12*1.085*(AQ12-AP12)/1000</f>
        <v>63.472499999999989</v>
      </c>
      <c r="AS12" s="7">
        <f>INPUT_OUTPUTS!$C$16</f>
        <v>140</v>
      </c>
      <c r="AT12" s="7">
        <f>INPUT_OUTPUTS!$C$17</f>
        <v>100</v>
      </c>
      <c r="AU12" s="67">
        <f t="shared" ref="AU12" si="2">(AR12*1000)/(500*(AS12-AT12))</f>
        <v>3.1736249999999995</v>
      </c>
      <c r="AV12" s="43"/>
      <c r="AW12" s="7">
        <f>AV12*(I12/1000)</f>
        <v>0</v>
      </c>
      <c r="AX12" s="148">
        <v>55</v>
      </c>
      <c r="AY12" s="5"/>
      <c r="AZ12" s="5"/>
      <c r="BA12" s="42" t="e">
        <f>#REF!</f>
        <v>#REF!</v>
      </c>
    </row>
    <row r="13" spans="1:58" ht="16.5">
      <c r="A13" s="326" t="s">
        <v>695</v>
      </c>
      <c r="B13" s="41">
        <f>'AHU 3'!$AW$2</f>
        <v>5100</v>
      </c>
      <c r="C13" s="41">
        <f>'AHU 3'!$AX$2</f>
        <v>4500</v>
      </c>
      <c r="D13" s="327">
        <v>78</v>
      </c>
      <c r="E13" s="327">
        <v>60</v>
      </c>
      <c r="F13" s="41">
        <f>'AHU 3'!$AY$2</f>
        <v>1600</v>
      </c>
      <c r="G13" s="5">
        <f>INPUT_OUTPUTS!$C$8</f>
        <v>0</v>
      </c>
      <c r="H13" s="5">
        <f>INPUT_OUTPUTS!$C$9</f>
        <v>0</v>
      </c>
      <c r="I13" s="41">
        <f>Table7[[#This Row],[(CFM)3]]</f>
        <v>1600</v>
      </c>
      <c r="J13" s="5">
        <f>INPUT_OUTPUTS!$C$10</f>
        <v>0</v>
      </c>
      <c r="K13" s="5">
        <f>INPUT_OUTPUTS!$C$11</f>
        <v>0</v>
      </c>
      <c r="L13" s="5">
        <f>INPUT_OUTPUTS!$F$8</f>
        <v>0</v>
      </c>
      <c r="M13" s="41">
        <f>C13+F13-B13</f>
        <v>1000</v>
      </c>
      <c r="N13" s="5">
        <f>D13*((C13-M13)/B13) + G13*(F13/B13)</f>
        <v>53.529411764705884</v>
      </c>
      <c r="O13" s="5">
        <f>TRUNC(E13*((C13-M13)/B13) + H13*(F13/B13),1)</f>
        <v>41.1</v>
      </c>
      <c r="P13" s="39">
        <f>VLOOKUP(FLOOR(O13,1),'DO NOT TOUCH'!$A$7:$K$57,MATCH(ROUND((O13-FLOOR(O13,1)),1),'DO NOT TOUCH'!$A$6:$K$6,0),FALSE)</f>
        <v>15.75</v>
      </c>
      <c r="Q13" s="328">
        <v>55</v>
      </c>
      <c r="R13" s="328">
        <v>52.3</v>
      </c>
      <c r="S13" s="5">
        <f>VLOOKUP(FLOOR(R13,1),'DO NOT TOUCH'!$A$7:$K$57,MATCH(ROUND((R13-FLOOR(R13,1)),1),'DO NOT TOUCH'!$A$6:$K$6,0),FALSE)</f>
        <v>21.62</v>
      </c>
      <c r="T13" s="41">
        <f>B13*1.085*(N13-Q13)</f>
        <v>-8137.4999999999909</v>
      </c>
      <c r="U13" s="41">
        <f>4.5*B13*(P13-S13)</f>
        <v>-134716.50000000003</v>
      </c>
      <c r="V13" s="7" t="str">
        <f>IF(U13&lt;T13,"INVALID POINT",U13/12000)</f>
        <v>INVALID POINT</v>
      </c>
      <c r="W13" s="7">
        <f>INPUT_OUTPUTS!$C$14</f>
        <v>42</v>
      </c>
      <c r="X13" s="7">
        <f>INPUT_OUTPUTS!$C$15</f>
        <v>52</v>
      </c>
      <c r="Y13" s="67">
        <f>U13/(500*(X13-W13))</f>
        <v>-26.943300000000004</v>
      </c>
      <c r="Z13" s="5">
        <f>D13*((C13-M13)/B13) + J13*(F13/B13)</f>
        <v>53.529411764705884</v>
      </c>
      <c r="AA13" s="5">
        <f>TRUNC(E13*((C13-M13)/B13) + K13*(F13/B13),1)</f>
        <v>41.1</v>
      </c>
      <c r="AB13" s="5">
        <f>VLOOKUP(FLOOR(AA13,1),'DO NOT TOUCH'!$A$7:$K$57,MATCH(ROUND((AA13-FLOOR(AA13,1)),1),'DO NOT TOUCH'!$A$6:$K$6,0),FALSE)</f>
        <v>15.75</v>
      </c>
      <c r="AC13" s="5">
        <v>50</v>
      </c>
      <c r="AD13" s="5">
        <f>Table7[[#This Row],[(˚F wb)14]]</f>
        <v>52.3</v>
      </c>
      <c r="AE13" s="5">
        <f>VLOOKUP(FLOOR(AD13,1),'DO NOT TOUCH'!$A$7:$K$57,MATCH(ROUND((AD13-FLOOR(AD13,1)),1),'DO NOT TOUCH'!$A$6:$K$6,0),FALSE)</f>
        <v>21.62</v>
      </c>
      <c r="AF13" s="41">
        <f>B13*1.085*(Z13-AC13)</f>
        <v>19530.000000000011</v>
      </c>
      <c r="AG13" s="41">
        <f>4.5*B13*(AB13-AE13)</f>
        <v>-134716.50000000003</v>
      </c>
      <c r="AH13" s="5" t="str">
        <f>IF(AG13&lt;AF13,"INVALID POINT",AG13/12000)</f>
        <v>INVALID POINT</v>
      </c>
      <c r="AI13" s="7">
        <f>INPUT_OUTPUTS!$C$14</f>
        <v>42</v>
      </c>
      <c r="AJ13" s="7">
        <f>INPUT_OUTPUTS!$C$15</f>
        <v>52</v>
      </c>
      <c r="AK13" s="67">
        <f>AG13/(500*(AJ13-AI13))</f>
        <v>-26.943300000000004</v>
      </c>
      <c r="AL13" s="5">
        <f>MAX(AH13,V13)</f>
        <v>0</v>
      </c>
      <c r="AM13" s="68" t="e">
        <f>B13/AH13</f>
        <v>#VALUE!</v>
      </c>
      <c r="AN13" s="68">
        <f>MAX(Table7[[#This Row],[GPM33]],Table7[[#This Row],[GPM]])</f>
        <v>-26.943300000000004</v>
      </c>
      <c r="AO13" s="41">
        <f>B13</f>
        <v>5100</v>
      </c>
      <c r="AP13" s="5">
        <f>D13*((C13-M13)/B13) + L13*(F13/B13)</f>
        <v>53.529411764705884</v>
      </c>
      <c r="AQ13" s="328">
        <v>65</v>
      </c>
      <c r="AR13" s="41">
        <f>AO13*1.085*(AQ13-AP13)/1000</f>
        <v>63.472499999999989</v>
      </c>
      <c r="AS13" s="7">
        <f>INPUT_OUTPUTS!$C$16</f>
        <v>140</v>
      </c>
      <c r="AT13" s="7">
        <f>INPUT_OUTPUTS!$C$17</f>
        <v>100</v>
      </c>
      <c r="AU13" s="67">
        <f>(AR13*1000)/(500*(AS13-AT13))</f>
        <v>3.1736249999999995</v>
      </c>
      <c r="AV13" s="43"/>
      <c r="AW13" s="7">
        <f>AV13*(I13/1000)</f>
        <v>0</v>
      </c>
      <c r="AX13" s="328">
        <v>55</v>
      </c>
      <c r="AY13" s="5"/>
      <c r="AZ13" s="5" t="s">
        <v>696</v>
      </c>
      <c r="BA13" s="329" t="s">
        <v>696</v>
      </c>
      <c r="BE13" t="e">
        <f>#REF!</f>
        <v>#REF!</v>
      </c>
      <c r="BF13" t="e">
        <f>#REF!</f>
        <v>#REF!</v>
      </c>
    </row>
    <row r="14" spans="1:58" ht="16.5">
      <c r="A14" s="326" t="s">
        <v>699</v>
      </c>
      <c r="B14" s="41">
        <f>'AHU 3'!$AW$2</f>
        <v>5100</v>
      </c>
      <c r="C14" s="41">
        <f>'AHU 3'!$AX$2</f>
        <v>4500</v>
      </c>
      <c r="D14" s="327">
        <v>78</v>
      </c>
      <c r="E14" s="327">
        <v>60</v>
      </c>
      <c r="F14" s="41">
        <f>'AHU 3'!$AY$2</f>
        <v>1600</v>
      </c>
      <c r="G14" s="5">
        <f>INPUT_OUTPUTS!$C$8</f>
        <v>0</v>
      </c>
      <c r="H14" s="5">
        <f>INPUT_OUTPUTS!$C$9</f>
        <v>0</v>
      </c>
      <c r="I14" s="41">
        <f>Table7[[#This Row],[(CFM)3]]</f>
        <v>1600</v>
      </c>
      <c r="J14" s="5">
        <f>INPUT_OUTPUTS!$C$10</f>
        <v>0</v>
      </c>
      <c r="K14" s="5">
        <f>INPUT_OUTPUTS!$C$11</f>
        <v>0</v>
      </c>
      <c r="L14" s="5">
        <f>INPUT_OUTPUTS!$F$8</f>
        <v>0</v>
      </c>
      <c r="M14" s="41">
        <f>C14+F14-B14</f>
        <v>1000</v>
      </c>
      <c r="N14" s="5">
        <f>D14*((C14-M14)/B14) + G14*(F14/B14)</f>
        <v>53.529411764705884</v>
      </c>
      <c r="O14" s="5">
        <f>TRUNC(E14*((C14-M14)/B14) + H14*(F14/B14),1)</f>
        <v>41.1</v>
      </c>
      <c r="P14" s="39">
        <f>VLOOKUP(FLOOR(O14,1),'DO NOT TOUCH'!$A$7:$K$57,MATCH(ROUND((O14-FLOOR(O14,1)),1),'DO NOT TOUCH'!$A$6:$K$6,0),FALSE)</f>
        <v>15.75</v>
      </c>
      <c r="Q14" s="328">
        <v>55</v>
      </c>
      <c r="R14" s="328">
        <v>52.3</v>
      </c>
      <c r="S14" s="5">
        <f>VLOOKUP(FLOOR(R14,1),'DO NOT TOUCH'!$A$7:$K$57,MATCH(ROUND((R14-FLOOR(R14,1)),1),'DO NOT TOUCH'!$A$6:$K$6,0),FALSE)</f>
        <v>21.62</v>
      </c>
      <c r="T14" s="41">
        <f>B14*1.085*(N14-Q14)</f>
        <v>-8137.4999999999909</v>
      </c>
      <c r="U14" s="41">
        <f>4.5*B14*(P14-S14)</f>
        <v>-134716.50000000003</v>
      </c>
      <c r="V14" s="7" t="str">
        <f>IF(U14&lt;T14,"INVALID POINT",U14/12000)</f>
        <v>INVALID POINT</v>
      </c>
      <c r="W14" s="7">
        <f>INPUT_OUTPUTS!$C$14</f>
        <v>42</v>
      </c>
      <c r="X14" s="7">
        <f>INPUT_OUTPUTS!$C$15</f>
        <v>52</v>
      </c>
      <c r="Y14" s="67">
        <f>U14/(500*(X14-W14))</f>
        <v>-26.943300000000004</v>
      </c>
      <c r="Z14" s="5">
        <f>D14*((C14-M14)/B14) + J14*(F14/B14)</f>
        <v>53.529411764705884</v>
      </c>
      <c r="AA14" s="5">
        <f>TRUNC(E14*((C14-M14)/B14) + K14*(F14/B14),1)</f>
        <v>41.1</v>
      </c>
      <c r="AB14" s="5">
        <f>VLOOKUP(FLOOR(AA14,1),'DO NOT TOUCH'!$A$7:$K$57,MATCH(ROUND((AA14-FLOOR(AA14,1)),1),'DO NOT TOUCH'!$A$6:$K$6,0),FALSE)</f>
        <v>15.75</v>
      </c>
      <c r="AC14" s="388">
        <f>Table7[[#This Row],[(˚F db)13]]</f>
        <v>55</v>
      </c>
      <c r="AD14" s="388">
        <f>Table7[[#This Row],[(˚F wb)14]]</f>
        <v>52.3</v>
      </c>
      <c r="AE14" s="5">
        <f>VLOOKUP(FLOOR(AD14,1),'DO NOT TOUCH'!$A$7:$K$57,MATCH(ROUND((AD14-FLOOR(AD14,1)),1),'DO NOT TOUCH'!$A$6:$K$6,0),FALSE)</f>
        <v>21.62</v>
      </c>
      <c r="AF14" s="41">
        <f>B14*1.085*(Z14-AC14)</f>
        <v>-8137.4999999999909</v>
      </c>
      <c r="AG14" s="41">
        <f>4.5*B14*(AB14-AE14)</f>
        <v>-134716.50000000003</v>
      </c>
      <c r="AH14" s="5" t="str">
        <f>IF(AG14&lt;AF14,"INVALID POINT",AG14/12000)</f>
        <v>INVALID POINT</v>
      </c>
      <c r="AI14" s="7">
        <f>INPUT_OUTPUTS!$C$14</f>
        <v>42</v>
      </c>
      <c r="AJ14" s="7">
        <f>INPUT_OUTPUTS!$C$15</f>
        <v>52</v>
      </c>
      <c r="AK14" s="67">
        <f>AG14/(500*(AJ14-AI14))</f>
        <v>-26.943300000000004</v>
      </c>
      <c r="AL14" s="5">
        <f>MAX(AH14,V14)</f>
        <v>0</v>
      </c>
      <c r="AM14" s="68" t="e">
        <f>B14/AH14</f>
        <v>#VALUE!</v>
      </c>
      <c r="AN14" s="68">
        <f>MAX(Table7[[#This Row],[GPM33]],Table7[[#This Row],[GPM]])</f>
        <v>-26.943300000000004</v>
      </c>
      <c r="AO14" s="41">
        <f>B14</f>
        <v>5100</v>
      </c>
      <c r="AP14" s="5">
        <f>D14*((C14-M14)/B14) + L14*(F14/B14)</f>
        <v>53.529411764705884</v>
      </c>
      <c r="AQ14" s="328">
        <v>65</v>
      </c>
      <c r="AR14" s="41">
        <f>AO14*1.085*(AQ14-AP14)/1000</f>
        <v>63.472499999999989</v>
      </c>
      <c r="AS14" s="7">
        <f>INPUT_OUTPUTS!$C$16</f>
        <v>140</v>
      </c>
      <c r="AT14" s="7">
        <f>INPUT_OUTPUTS!$C$17</f>
        <v>100</v>
      </c>
      <c r="AU14" s="67">
        <f>(AR14*1000)/(500*(AS14-AT14))</f>
        <v>3.1736249999999995</v>
      </c>
      <c r="AV14" s="43"/>
      <c r="AW14" s="7">
        <f>AV14*(I14/1000)</f>
        <v>0</v>
      </c>
      <c r="AX14" s="328">
        <v>55</v>
      </c>
      <c r="AY14" s="5"/>
      <c r="AZ14" s="5" t="s">
        <v>696</v>
      </c>
      <c r="BA14" s="329" t="s">
        <v>696</v>
      </c>
    </row>
    <row r="15" spans="1:58" ht="16.5">
      <c r="A15" s="326" t="s">
        <v>700</v>
      </c>
      <c r="B15" s="41">
        <f>'AHU 3'!$AW$2</f>
        <v>5100</v>
      </c>
      <c r="C15" s="41">
        <f>'AHU 3'!$AX$2</f>
        <v>4500</v>
      </c>
      <c r="D15" s="327">
        <v>78</v>
      </c>
      <c r="E15" s="327">
        <v>60</v>
      </c>
      <c r="F15" s="41">
        <f>'AHU 3'!$AY$2</f>
        <v>1600</v>
      </c>
      <c r="G15" s="5">
        <f>INPUT_OUTPUTS!$C$8</f>
        <v>0</v>
      </c>
      <c r="H15" s="5">
        <f>INPUT_OUTPUTS!$C$9</f>
        <v>0</v>
      </c>
      <c r="I15" s="41">
        <f>Table7[[#This Row],[(CFM)3]]</f>
        <v>1600</v>
      </c>
      <c r="J15" s="5">
        <f>INPUT_OUTPUTS!$C$10</f>
        <v>0</v>
      </c>
      <c r="K15" s="5">
        <f>INPUT_OUTPUTS!$C$11</f>
        <v>0</v>
      </c>
      <c r="L15" s="5">
        <f>INPUT_OUTPUTS!$F$8</f>
        <v>0</v>
      </c>
      <c r="M15" s="41">
        <f>C15+F15-B15</f>
        <v>1000</v>
      </c>
      <c r="N15" s="5">
        <f>D15*((C15-M15)/B15) + G15*(F15/B15)</f>
        <v>53.529411764705884</v>
      </c>
      <c r="O15" s="5">
        <f>TRUNC(E15*((C15-M15)/B15) + H15*(F15/B15),1)</f>
        <v>41.1</v>
      </c>
      <c r="P15" s="39">
        <f>VLOOKUP(FLOOR(O15,1),'DO NOT TOUCH'!$A$7:$K$57,MATCH(ROUND((O15-FLOOR(O15,1)),1),'DO NOT TOUCH'!$A$6:$K$6,0),FALSE)</f>
        <v>15.75</v>
      </c>
      <c r="Q15" s="328">
        <v>55</v>
      </c>
      <c r="R15" s="328">
        <v>52.3</v>
      </c>
      <c r="S15" s="5">
        <f>VLOOKUP(FLOOR(R15,1),'DO NOT TOUCH'!$A$7:$K$57,MATCH(ROUND((R15-FLOOR(R15,1)),1),'DO NOT TOUCH'!$A$6:$K$6,0),FALSE)</f>
        <v>21.62</v>
      </c>
      <c r="T15" s="41">
        <f>B15*1.085*(N15-Q15)</f>
        <v>-8137.4999999999909</v>
      </c>
      <c r="U15" s="41">
        <f>4.5*B15*(P15-S15)</f>
        <v>-134716.50000000003</v>
      </c>
      <c r="V15" s="7" t="str">
        <f>IF(U15&lt;T15,"INVALID POINT",U15/12000)</f>
        <v>INVALID POINT</v>
      </c>
      <c r="W15" s="7">
        <f>INPUT_OUTPUTS!$C$14</f>
        <v>42</v>
      </c>
      <c r="X15" s="7">
        <f>INPUT_OUTPUTS!$C$15</f>
        <v>52</v>
      </c>
      <c r="Y15" s="67">
        <f>U15/(500*(X15-W15))</f>
        <v>-26.943300000000004</v>
      </c>
      <c r="Z15" s="5">
        <f>D15*((C15-M15)/B15) + J15*(F15/B15)</f>
        <v>53.529411764705884</v>
      </c>
      <c r="AA15" s="5">
        <f>TRUNC(E15*((C15-M15)/B15) + K15*(F15/B15),1)</f>
        <v>41.1</v>
      </c>
      <c r="AB15" s="5">
        <f>VLOOKUP(FLOOR(AA15,1),'DO NOT TOUCH'!$A$7:$K$57,MATCH(ROUND((AA15-FLOOR(AA15,1)),1),'DO NOT TOUCH'!$A$6:$K$6,0),FALSE)</f>
        <v>15.75</v>
      </c>
      <c r="AC15" s="388">
        <f>Table7[[#This Row],[(˚F db)13]]</f>
        <v>55</v>
      </c>
      <c r="AD15" s="388">
        <f>Table7[[#This Row],[(˚F wb)14]]</f>
        <v>52.3</v>
      </c>
      <c r="AE15" s="5">
        <f>VLOOKUP(FLOOR(AD15,1),'DO NOT TOUCH'!$A$7:$K$57,MATCH(ROUND((AD15-FLOOR(AD15,1)),1),'DO NOT TOUCH'!$A$6:$K$6,0),FALSE)</f>
        <v>21.62</v>
      </c>
      <c r="AF15" s="41">
        <f>B15*1.085*(Z15-AC15)</f>
        <v>-8137.4999999999909</v>
      </c>
      <c r="AG15" s="41">
        <f>4.5*B15*(AB15-AE15)</f>
        <v>-134716.50000000003</v>
      </c>
      <c r="AH15" s="5" t="str">
        <f>IF(AG15&lt;AF15,"INVALID POINT",AG15/12000)</f>
        <v>INVALID POINT</v>
      </c>
      <c r="AI15" s="7">
        <f>INPUT_OUTPUTS!$C$14</f>
        <v>42</v>
      </c>
      <c r="AJ15" s="7">
        <f>INPUT_OUTPUTS!$C$15</f>
        <v>52</v>
      </c>
      <c r="AK15" s="67">
        <f>AG15/(500*(AJ15-AI15))</f>
        <v>-26.943300000000004</v>
      </c>
      <c r="AL15" s="5">
        <f>MAX(AH15,V15)</f>
        <v>0</v>
      </c>
      <c r="AM15" s="68" t="e">
        <f>B15/AH15</f>
        <v>#VALUE!</v>
      </c>
      <c r="AN15" s="68">
        <f>MAX(Table7[[#This Row],[GPM33]],Table7[[#This Row],[GPM]])</f>
        <v>-26.943300000000004</v>
      </c>
      <c r="AO15" s="41">
        <f>B15</f>
        <v>5100</v>
      </c>
      <c r="AP15" s="5">
        <f>D15*((C15-M15)/B15) + L15*(F15/B15)</f>
        <v>53.529411764705884</v>
      </c>
      <c r="AQ15" s="328">
        <v>65</v>
      </c>
      <c r="AR15" s="41">
        <f>AO15*1.085*(AQ15-AP15)/1000</f>
        <v>63.472499999999989</v>
      </c>
      <c r="AS15" s="7">
        <f>INPUT_OUTPUTS!$C$16</f>
        <v>140</v>
      </c>
      <c r="AT15" s="7">
        <f>INPUT_OUTPUTS!$C$17</f>
        <v>100</v>
      </c>
      <c r="AU15" s="67">
        <f>(AR15*1000)/(500*(AS15-AT15))</f>
        <v>3.1736249999999995</v>
      </c>
      <c r="AV15" s="43"/>
      <c r="AW15" s="7">
        <f>AV15*(I15/1000)</f>
        <v>0</v>
      </c>
      <c r="AX15" s="328">
        <v>55</v>
      </c>
      <c r="AY15" s="5"/>
      <c r="AZ15" s="5">
        <f>'AHU 3'!$BA$2</f>
        <v>19</v>
      </c>
      <c r="BA15" s="329">
        <f>'AHU 3'!$BB$2</f>
        <v>0</v>
      </c>
    </row>
    <row r="16" spans="1:58" ht="18" thickBot="1">
      <c r="A16" s="82" t="s">
        <v>158</v>
      </c>
      <c r="B16" s="83">
        <f>SUBTOTAL(109,Table7[(CFM)])</f>
        <v>15300</v>
      </c>
      <c r="C16" s="82"/>
      <c r="D16" s="84"/>
      <c r="E16" s="84"/>
      <c r="F16" s="82"/>
      <c r="G16" s="82"/>
      <c r="H16" s="82"/>
      <c r="I16" s="82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5">
        <f>SUBTOTAL(109,Table7[GPM])</f>
        <v>-80.829900000000009</v>
      </c>
      <c r="Z16" s="82"/>
      <c r="AA16" s="82"/>
      <c r="AB16" s="82"/>
      <c r="AC16" s="84"/>
      <c r="AD16" s="84"/>
      <c r="AE16" s="82"/>
      <c r="AF16" s="82"/>
      <c r="AG16" s="82"/>
      <c r="AH16" s="82"/>
      <c r="AI16" s="82"/>
      <c r="AJ16" s="82"/>
      <c r="AK16" s="96">
        <f>SUBTOTAL(109,Table7[GPM33])</f>
        <v>-80.829900000000009</v>
      </c>
      <c r="AL16" s="85">
        <f>SUBTOTAL(109,Table7[(Tons)34])</f>
        <v>0</v>
      </c>
      <c r="AM16" s="82"/>
      <c r="AN16" s="86">
        <f>SUBTOTAL(109,Table7[GPM MAX])</f>
        <v>-80.829900000000009</v>
      </c>
      <c r="AO16" s="82"/>
      <c r="AP16" s="82"/>
      <c r="AQ16" s="82"/>
      <c r="AR16" s="86">
        <f>SUBTOTAL(109,Table7[(MBH)])</f>
        <v>190.41749999999996</v>
      </c>
      <c r="AS16" s="82"/>
      <c r="AT16" s="82"/>
      <c r="AU16" s="85">
        <f>SUBTOTAL(109,Table7[GPM41])</f>
        <v>9.5208749999999984</v>
      </c>
      <c r="AV16" s="84"/>
      <c r="AW16" s="82"/>
      <c r="AX16" s="82"/>
      <c r="AY16" s="82"/>
      <c r="AZ16" s="85">
        <f>SUBTOTAL(109,Table7[(˚F db)46])</f>
        <v>19</v>
      </c>
      <c r="BA16" s="85">
        <f>SUBTOTAL(109,Table7[(mbh)46])</f>
        <v>0</v>
      </c>
    </row>
    <row r="17" spans="2:47" ht="17.25" thickTop="1">
      <c r="AG17" s="45"/>
    </row>
    <row r="18" spans="2:47" ht="16.5">
      <c r="R18" s="44"/>
      <c r="S18" s="44"/>
      <c r="Y18" s="65"/>
      <c r="AD18" s="44"/>
      <c r="AE18" s="44"/>
      <c r="AH18" s="65"/>
      <c r="AK18" s="65"/>
      <c r="AL18" s="65"/>
      <c r="AU18" s="65"/>
    </row>
    <row r="19" spans="2:47" ht="16.5">
      <c r="R19" s="44"/>
      <c r="S19" s="44"/>
      <c r="Y19" s="65"/>
      <c r="AD19" s="44"/>
      <c r="AE19" s="44"/>
      <c r="AH19" s="65"/>
      <c r="AK19" s="65"/>
      <c r="AL19" s="65"/>
      <c r="AU19" s="65"/>
    </row>
    <row r="20" spans="2:47">
      <c r="B20" s="16"/>
    </row>
    <row r="23" spans="2:47">
      <c r="M23" s="65"/>
    </row>
    <row r="26" spans="2:47">
      <c r="E26" s="88"/>
    </row>
    <row r="33" spans="1:5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</row>
    <row r="34" spans="1:53">
      <c r="A34" s="66"/>
      <c r="B34" s="66"/>
    </row>
    <row r="35" spans="1:53">
      <c r="A35" s="66"/>
      <c r="B35" s="65"/>
    </row>
    <row r="36" spans="1:53">
      <c r="A36" s="66"/>
    </row>
  </sheetData>
  <mergeCells count="32">
    <mergeCell ref="Z9:AE9"/>
    <mergeCell ref="Z10:AB10"/>
    <mergeCell ref="W9:Y10"/>
    <mergeCell ref="AX8:BA8"/>
    <mergeCell ref="AF9:AG9"/>
    <mergeCell ref="AW9:AW10"/>
    <mergeCell ref="AS9:AU9"/>
    <mergeCell ref="AV8:AW8"/>
    <mergeCell ref="AV9:AV10"/>
    <mergeCell ref="AO8:AU8"/>
    <mergeCell ref="AP9:AQ9"/>
    <mergeCell ref="B9:L9"/>
    <mergeCell ref="M9:M10"/>
    <mergeCell ref="N9:S9"/>
    <mergeCell ref="T9:U9"/>
    <mergeCell ref="C10:E10"/>
    <mergeCell ref="A8:A10"/>
    <mergeCell ref="AN9:AN10"/>
    <mergeCell ref="AL8:AN8"/>
    <mergeCell ref="B8:M8"/>
    <mergeCell ref="N8:Y8"/>
    <mergeCell ref="AI9:AK9"/>
    <mergeCell ref="AH9:AH10"/>
    <mergeCell ref="AC10:AE10"/>
    <mergeCell ref="F10:H10"/>
    <mergeCell ref="I10:K10"/>
    <mergeCell ref="V9:V10"/>
    <mergeCell ref="Z8:AK8"/>
    <mergeCell ref="AL9:AL10"/>
    <mergeCell ref="AM9:AM10"/>
    <mergeCell ref="N10:P10"/>
    <mergeCell ref="Q10:S10"/>
  </mergeCells>
  <phoneticPr fontId="13" type="noConversion"/>
  <dataValidations disablePrompts="1" count="1">
    <dataValidation type="decimal" operator="greaterThan" allowBlank="1" showInputMessage="1" showErrorMessage="1" sqref="D12:E15 Q12:R15 AX12:AX15 AQ12:AQ15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ignoredErrors>
    <ignoredError sqref="BA12" calculatedColumn="1"/>
  </ignoredErrors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1:AA17"/>
  <sheetViews>
    <sheetView zoomScale="70" zoomScaleNormal="70" workbookViewId="0">
      <pane xSplit="3" ySplit="2" topLeftCell="K3" activePane="bottomRight" state="frozen"/>
      <selection pane="topRight" activeCell="D1" sqref="D1"/>
      <selection pane="bottomLeft" activeCell="A3" sqref="A3"/>
      <selection pane="bottomRight" activeCell="T35" sqref="T35"/>
    </sheetView>
  </sheetViews>
  <sheetFormatPr defaultRowHeight="12.75"/>
  <cols>
    <col min="1" max="1" width="10.28515625" bestFit="1" customWidth="1"/>
    <col min="2" max="2" width="19.5703125" bestFit="1" customWidth="1"/>
    <col min="3" max="3" width="19.28515625" bestFit="1" customWidth="1"/>
    <col min="4" max="4" width="11.140625" bestFit="1" customWidth="1"/>
    <col min="5" max="5" width="15.7109375" customWidth="1"/>
    <col min="6" max="6" width="16.7109375" customWidth="1"/>
    <col min="7" max="7" width="13.5703125" bestFit="1" customWidth="1"/>
    <col min="8" max="8" width="21.85546875" bestFit="1" customWidth="1"/>
    <col min="9" max="9" width="23.425781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16.85546875" bestFit="1" customWidth="1"/>
    <col min="16" max="17" width="15.4257812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18.5703125" bestFit="1" customWidth="1"/>
    <col min="26" max="26" width="21.42578125" customWidth="1"/>
    <col min="27" max="27" width="15.140625" customWidth="1"/>
  </cols>
  <sheetData>
    <row r="1" spans="1:27">
      <c r="A1" s="368" t="s">
        <v>481</v>
      </c>
      <c r="B1" s="369"/>
      <c r="C1" s="369"/>
      <c r="D1" s="369"/>
      <c r="E1" s="369"/>
      <c r="F1" s="369"/>
      <c r="G1" s="369"/>
      <c r="H1" s="368" t="s">
        <v>480</v>
      </c>
      <c r="I1" s="369"/>
      <c r="J1" s="369"/>
      <c r="K1" s="369"/>
      <c r="L1" s="369"/>
      <c r="M1" s="369"/>
      <c r="N1" s="369"/>
      <c r="O1" s="369"/>
      <c r="P1" s="369"/>
      <c r="Q1" s="369"/>
      <c r="R1" s="369"/>
      <c r="S1" s="369"/>
      <c r="T1" s="369"/>
      <c r="U1" s="369"/>
      <c r="V1" s="369"/>
      <c r="W1" s="368" t="s">
        <v>479</v>
      </c>
      <c r="X1" s="369"/>
      <c r="Y1" s="369"/>
    </row>
    <row r="2" spans="1:27" s="16" customFormat="1" ht="47.25">
      <c r="A2" s="293" t="s">
        <v>613</v>
      </c>
      <c r="B2" s="294" t="s">
        <v>456</v>
      </c>
      <c r="C2" s="294" t="s">
        <v>457</v>
      </c>
      <c r="D2" s="295" t="s">
        <v>467</v>
      </c>
      <c r="E2" s="295" t="s">
        <v>472</v>
      </c>
      <c r="F2" s="295" t="s">
        <v>466</v>
      </c>
      <c r="G2" s="296" t="s">
        <v>279</v>
      </c>
      <c r="H2" s="296" t="s">
        <v>471</v>
      </c>
      <c r="I2" s="295" t="s">
        <v>475</v>
      </c>
      <c r="J2" s="295" t="s">
        <v>464</v>
      </c>
      <c r="K2" s="295" t="s">
        <v>468</v>
      </c>
      <c r="L2" s="295" t="s">
        <v>469</v>
      </c>
      <c r="M2" s="295" t="s">
        <v>477</v>
      </c>
      <c r="N2" s="295" t="s">
        <v>476</v>
      </c>
      <c r="O2" s="296" t="s">
        <v>458</v>
      </c>
      <c r="P2" s="297" t="s">
        <v>461</v>
      </c>
      <c r="Q2" s="297" t="s">
        <v>462</v>
      </c>
      <c r="R2" s="297" t="s">
        <v>463</v>
      </c>
      <c r="S2" s="297" t="s">
        <v>478</v>
      </c>
      <c r="T2" s="296" t="s">
        <v>484</v>
      </c>
      <c r="U2" s="296" t="s">
        <v>483</v>
      </c>
      <c r="V2" s="295" t="s">
        <v>482</v>
      </c>
      <c r="W2" s="297" t="s">
        <v>657</v>
      </c>
      <c r="X2" s="297" t="s">
        <v>659</v>
      </c>
      <c r="Y2" s="295" t="s">
        <v>660</v>
      </c>
      <c r="Z2" s="298" t="s">
        <v>9</v>
      </c>
      <c r="AA2" s="299" t="s">
        <v>459</v>
      </c>
    </row>
    <row r="3" spans="1:27" ht="17.25">
      <c r="A3" s="142"/>
      <c r="B3" s="142"/>
      <c r="C3" s="142"/>
      <c r="D3" s="142"/>
      <c r="E3" s="142">
        <v>0</v>
      </c>
      <c r="F3" s="291">
        <f>IF((Ahu_Ashrae_sheet[[#This Row],[Occupancy Subcategory]] = "TOILET"),MROUND(D3/2,5),MROUND(D3,5))</f>
        <v>0</v>
      </c>
      <c r="G3" s="142">
        <v>5500</v>
      </c>
      <c r="H3" s="142" t="s">
        <v>612</v>
      </c>
      <c r="I3" s="142" t="s">
        <v>473</v>
      </c>
      <c r="J3" s="142" t="s">
        <v>474</v>
      </c>
      <c r="K3" s="18" cm="1">
        <f t="array" ref="K3">INDEX(Ashrae90.1Vent[RP],MATCH(Ahu_Ashrae_sheet[[#This Row],[Occupancy Category]]&amp;Ahu_Ashrae_sheet[[#This Row],[Occupancy Subcategory]],Ashrae90.1Vent[OCCUPANCY CATEGORY]&amp;Ashrae90.1Vent[OCCUPANCY SUBCATEGORY],0))</f>
        <v>10</v>
      </c>
      <c r="L3" s="18" cm="1">
        <f t="array" ref="L3">INDEX(Ashrae90.1Vent[RA],MATCH(Ahu_Ashrae_sheet[[#This Row],[Occupancy Category]]&amp;Ahu_Ashrae_sheet[[#This Row],[Occupancy Subcategory]],Ashrae90.1Vent[OCCUPANCY CATEGORY]&amp;Ashrae90.1Vent[OCCUPANCY SUBCATEGORY],))</f>
        <v>0.12</v>
      </c>
      <c r="M3" s="18" cm="1">
        <f t="array" ref="M3">INDEX(Ashrae90.1Vent[OCCUPANT DENSITY],MATCH(Ahu_Ashrae_sheet[[#This Row],[Occupancy Category]]&amp;Ahu_Ashrae_sheet[[#This Row],[Occupancy Subcategory]],Ashrae90.1Vent[OCCUPANCY CATEGORY]&amp;Ashrae90.1Vent[OCCUPANCY SUBCATEGORY],))</f>
        <v>20</v>
      </c>
      <c r="N3" s="18" cm="1">
        <f t="array" ref="N3">INDEX(Ashrae90.1Vent[AIR CLASS],MATCH(Ahu_Ashrae_sheet[[#This Row],[Occupancy Category]]&amp;Ahu_Ashrae_sheet[[#This Row],[Occupancy Subcategory]],Ashrae90.1Vent[OCCUPANCY CATEGORY]&amp;Ashrae90.1Vent[OCCUPANCY SUBCATEGORY],))</f>
        <v>2</v>
      </c>
      <c r="O3" s="18">
        <f>CEILING((M3/1000)*D3,1)</f>
        <v>0</v>
      </c>
      <c r="P3" s="106">
        <f>(Ahu_Ashrae_sheet[[#This Row],[RP
(CFM/PER PERSON)]]*Ahu_Ashrae_sheet[[#This Row],[Occupants]])+(Ahu_Ashrae_sheet[[#This Row],[RA
(CFM/FT²)]]*Ahu_Ashrae_sheet[[#This Row],[AREA 
(FT²)]])</f>
        <v>0</v>
      </c>
      <c r="Q3" s="292">
        <v>0.8</v>
      </c>
      <c r="R3" s="106">
        <f>P3/Q3</f>
        <v>0</v>
      </c>
      <c r="S3" s="106">
        <f>Ahu_Ashrae_sheet[[#This Row],[Voz]]</f>
        <v>0</v>
      </c>
      <c r="T3" s="106">
        <f>IF(Ahu_Ashrae_sheet[[#This Row],[Exhaust Category]]="NA","NA",VLOOKUP(Ahu_Ashrae_sheet[[#This Row],[Exhaust Category]],ASHRAE_EA_Table[#All],3,FALSE))</f>
        <v>0</v>
      </c>
      <c r="U3" s="106">
        <f>IF(Ahu_Ashrae_sheet[[#This Row],[Exhaust Category]]="NA","NA",VLOOKUP(Ahu_Ashrae_sheet[[#This Row],[Exhaust Category]],ASHRAE_EA_Table[#All],4,FALSE))</f>
        <v>0</v>
      </c>
      <c r="V3" s="18">
        <f>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</f>
        <v>0</v>
      </c>
      <c r="W3" s="320">
        <f>IF(Ahu_Ashrae_sheet[[#This Row],[MIN ASHRAE EA
(CFM)]]=0,MAX(Ahu_Ashrae_sheet[[#This Row],[LOAD (CFM)]],Ahu_Ashrae_sheet[[#This Row],[OFFICE STANDARD 
(CFM)]]),Ahu_Ashrae_sheet[[#This Row],[DESIGN EA(CFM)]]-100)</f>
        <v>5500</v>
      </c>
      <c r="X3" s="320">
        <f>IF(Ahu_Ashrae_sheet[[#This Row],[MIN ASHRAE EA
(CFM)]]=0,Ahu_Ashrae_sheet[[#This Row],[DESIGN SA(CFM)]],0)</f>
        <v>5500</v>
      </c>
      <c r="Y3" s="320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Z3" s="106">
        <f>Ahu_Ashrae_sheet[[#This Row],[DESIGN SA(CFM)]]-Ahu_Ashrae_sheet[[#This Row],[DESIGN RA(CFM)]]-Ahu_Ashrae_sheet[[#This Row],[DESIGN EA(CFM)]]</f>
        <v>0</v>
      </c>
      <c r="AA3" s="300">
        <f>Ahu_Ashrae_sheet[[#This Row],[OUTSIDE AIRFLOW (CFM) (Vot)]]/Ahu_Ashrae_sheet[[#This Row],[DESIGN SA(CFM)]]</f>
        <v>0</v>
      </c>
    </row>
    <row r="4" spans="1:27" ht="17.25">
      <c r="A4" s="142"/>
      <c r="B4" s="142"/>
      <c r="C4" s="142"/>
      <c r="D4" s="142"/>
      <c r="E4" s="142">
        <v>5</v>
      </c>
      <c r="F4" s="291">
        <f>IF((Ahu_Ashrae_sheet[[#This Row],[Occupancy Subcategory]] = "TOILET"),MROUND(D4/2,5),MROUND(D4,5))</f>
        <v>0</v>
      </c>
      <c r="G4" s="142">
        <v>280</v>
      </c>
      <c r="H4" s="142" t="s">
        <v>612</v>
      </c>
      <c r="I4" s="142" t="s">
        <v>565</v>
      </c>
      <c r="J4" s="142" t="s">
        <v>566</v>
      </c>
      <c r="K4" s="18" cm="1">
        <f t="array" ref="K4">INDEX(Ashrae90.1Vent[RP],MATCH(Ahu_Ashrae_sheet[[#This Row],[Occupancy Category]]&amp;Ahu_Ashrae_sheet[[#This Row],[Occupancy Subcategory]],Ashrae90.1Vent[OCCUPANCY CATEGORY]&amp;Ashrae90.1Vent[OCCUPANCY SUBCATEGORY],0))</f>
        <v>7.5</v>
      </c>
      <c r="L4" s="18" cm="1">
        <f t="array" ref="L4">INDEX(Ashrae90.1Vent[RA],MATCH(Ahu_Ashrae_sheet[[#This Row],[Occupancy Category]]&amp;Ahu_Ashrae_sheet[[#This Row],[Occupancy Subcategory]],Ashrae90.1Vent[OCCUPANCY CATEGORY]&amp;Ashrae90.1Vent[OCCUPANCY SUBCATEGORY],))</f>
        <v>0.12</v>
      </c>
      <c r="M4" s="18" cm="1">
        <f t="array" ref="M4">INDEX(Ashrae90.1Vent[OCCUPANT DENSITY],MATCH(Ahu_Ashrae_sheet[[#This Row],[Occupancy Category]]&amp;Ahu_Ashrae_sheet[[#This Row],[Occupancy Subcategory]],Ashrae90.1Vent[OCCUPANCY CATEGORY]&amp;Ashrae90.1Vent[OCCUPANCY SUBCATEGORY],))</f>
        <v>15</v>
      </c>
      <c r="N4" s="18" cm="1">
        <f t="array" ref="N4">INDEX(Ashrae90.1Vent[AIR CLASS],MATCH(Ahu_Ashrae_sheet[[#This Row],[Occupancy Category]]&amp;Ahu_Ashrae_sheet[[#This Row],[Occupancy Subcategory]],Ashrae90.1Vent[OCCUPANCY CATEGORY]&amp;Ashrae90.1Vent[OCCUPANCY SUBCATEGORY],))</f>
        <v>2</v>
      </c>
      <c r="O4" s="18">
        <f t="shared" ref="O4:O5" si="0">CEILING((M4/1000)*D4,1)</f>
        <v>0</v>
      </c>
      <c r="P4" s="106">
        <f>(Ahu_Ashrae_sheet[[#This Row],[RP
(CFM/PER PERSON)]]*Ahu_Ashrae_sheet[[#This Row],[Occupants]])+(Ahu_Ashrae_sheet[[#This Row],[RA
(CFM/FT²)]]*Ahu_Ashrae_sheet[[#This Row],[AREA 
(FT²)]])</f>
        <v>0</v>
      </c>
      <c r="Q4" s="292">
        <v>0.8</v>
      </c>
      <c r="R4" s="106">
        <f>P4/Q4</f>
        <v>0</v>
      </c>
      <c r="S4" s="106">
        <f>Ahu_Ashrae_sheet[[#This Row],[Voz]]</f>
        <v>0</v>
      </c>
      <c r="T4" s="106">
        <f>IF(Ahu_Ashrae_sheet[[#This Row],[Exhaust Category]]="NA","NA",VLOOKUP(Ahu_Ashrae_sheet[[#This Row],[Exhaust Category]],ASHRAE_EA_Table[#All],3,FALSE))</f>
        <v>0</v>
      </c>
      <c r="U4" s="106">
        <f>IF(Ahu_Ashrae_sheet[[#This Row],[Exhaust Category]]="NA","NA",VLOOKUP(Ahu_Ashrae_sheet[[#This Row],[Exhaust Category]],ASHRAE_EA_Table[#All],4,FALSE))</f>
        <v>0</v>
      </c>
      <c r="V4" s="18">
        <f>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</f>
        <v>0</v>
      </c>
      <c r="W4" s="320">
        <f>IF(Ahu_Ashrae_sheet[[#This Row],[MIN ASHRAE EA
(CFM)]]=0,MAX(Ahu_Ashrae_sheet[[#This Row],[LOAD (CFM)]],Ahu_Ashrae_sheet[[#This Row],[OFFICE STANDARD 
(CFM)]]),Ahu_Ashrae_sheet[[#This Row],[DESIGN EA(CFM)]]-100)</f>
        <v>280</v>
      </c>
      <c r="X4" s="320">
        <f>IF(Ahu_Ashrae_sheet[[#This Row],[MIN ASHRAE EA
(CFM)]]=0,Ahu_Ashrae_sheet[[#This Row],[DESIGN SA(CFM)]],0)</f>
        <v>280</v>
      </c>
      <c r="Y4" s="320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Z4" s="106">
        <f>Ahu_Ashrae_sheet[[#This Row],[DESIGN SA(CFM)]]-Ahu_Ashrae_sheet[[#This Row],[DESIGN RA(CFM)]]-Ahu_Ashrae_sheet[[#This Row],[DESIGN EA(CFM)]]</f>
        <v>0</v>
      </c>
      <c r="AA4" s="300">
        <f>Ahu_Ashrae_sheet[[#This Row],[OUTSIDE AIRFLOW (CFM) (Vot)]]/Ahu_Ashrae_sheet[[#This Row],[DESIGN SA(CFM)]]</f>
        <v>0</v>
      </c>
    </row>
    <row r="5" spans="1:27" ht="17.25">
      <c r="A5" s="142"/>
      <c r="B5" s="142"/>
      <c r="C5" s="142"/>
      <c r="D5" s="142"/>
      <c r="E5" s="142">
        <v>5</v>
      </c>
      <c r="F5" s="291">
        <f>IF((Ahu_Ashrae_sheet[[#This Row],[Occupancy Subcategory]] = "TOILET"),MROUND(D5/2,5),MROUND(D5,5))</f>
        <v>0</v>
      </c>
      <c r="G5" s="142">
        <v>150</v>
      </c>
      <c r="H5" s="142" t="s">
        <v>612</v>
      </c>
      <c r="I5" s="142" t="s">
        <v>473</v>
      </c>
      <c r="J5" s="142" t="s">
        <v>474</v>
      </c>
      <c r="K5" s="18" cm="1">
        <f t="array" ref="K5">INDEX(Ashrae90.1Vent[RP],MATCH(Ahu_Ashrae_sheet[[#This Row],[Occupancy Category]]&amp;Ahu_Ashrae_sheet[[#This Row],[Occupancy Subcategory]],Ashrae90.1Vent[OCCUPANCY CATEGORY]&amp;Ashrae90.1Vent[OCCUPANCY SUBCATEGORY],0))</f>
        <v>10</v>
      </c>
      <c r="L5" s="18" cm="1">
        <f t="array" ref="L5">INDEX(Ashrae90.1Vent[RA],MATCH(Ahu_Ashrae_sheet[[#This Row],[Occupancy Category]]&amp;Ahu_Ashrae_sheet[[#This Row],[Occupancy Subcategory]],Ashrae90.1Vent[OCCUPANCY CATEGORY]&amp;Ashrae90.1Vent[OCCUPANCY SUBCATEGORY],))</f>
        <v>0.12</v>
      </c>
      <c r="M5" s="18" cm="1">
        <f t="array" ref="M5">INDEX(Ashrae90.1Vent[OCCUPANT DENSITY],MATCH(Ahu_Ashrae_sheet[[#This Row],[Occupancy Category]]&amp;Ahu_Ashrae_sheet[[#This Row],[Occupancy Subcategory]],Ashrae90.1Vent[OCCUPANCY CATEGORY]&amp;Ashrae90.1Vent[OCCUPANCY SUBCATEGORY],))</f>
        <v>20</v>
      </c>
      <c r="N5" s="18" cm="1">
        <f t="array" ref="N5">INDEX(Ashrae90.1Vent[AIR CLASS],MATCH(Ahu_Ashrae_sheet[[#This Row],[Occupancy Category]]&amp;Ahu_Ashrae_sheet[[#This Row],[Occupancy Subcategory]],Ashrae90.1Vent[OCCUPANCY CATEGORY]&amp;Ashrae90.1Vent[OCCUPANCY SUBCATEGORY],))</f>
        <v>2</v>
      </c>
      <c r="O5" s="18">
        <f t="shared" si="0"/>
        <v>0</v>
      </c>
      <c r="P5" s="106">
        <f>(Ahu_Ashrae_sheet[[#This Row],[RP
(CFM/PER PERSON)]]*Ahu_Ashrae_sheet[[#This Row],[Occupants]])+(Ahu_Ashrae_sheet[[#This Row],[RA
(CFM/FT²)]]*Ahu_Ashrae_sheet[[#This Row],[AREA 
(FT²)]])</f>
        <v>0</v>
      </c>
      <c r="Q5" s="292">
        <v>0.8</v>
      </c>
      <c r="R5" s="106">
        <f>P5/Q5</f>
        <v>0</v>
      </c>
      <c r="S5" s="106">
        <f>Ahu_Ashrae_sheet[[#This Row],[Voz]]</f>
        <v>0</v>
      </c>
      <c r="T5" s="106">
        <f>IF(Ahu_Ashrae_sheet[[#This Row],[Exhaust Category]]="NA","NA",VLOOKUP(Ahu_Ashrae_sheet[[#This Row],[Exhaust Category]],ASHRAE_EA_Table[#All],3,FALSE))</f>
        <v>0</v>
      </c>
      <c r="U5" s="106">
        <f>IF(Ahu_Ashrae_sheet[[#This Row],[Exhaust Category]]="NA","NA",VLOOKUP(Ahu_Ashrae_sheet[[#This Row],[Exhaust Category]],ASHRAE_EA_Table[#All],4,FALSE))</f>
        <v>0</v>
      </c>
      <c r="V5" s="18">
        <f>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</f>
        <v>0</v>
      </c>
      <c r="W5" s="320">
        <f>IF(Ahu_Ashrae_sheet[[#This Row],[MIN ASHRAE EA
(CFM)]]=0,MAX(Ahu_Ashrae_sheet[[#This Row],[LOAD (CFM)]],Ahu_Ashrae_sheet[[#This Row],[OFFICE STANDARD 
(CFM)]]),Ahu_Ashrae_sheet[[#This Row],[DESIGN EA(CFM)]]-100)</f>
        <v>150</v>
      </c>
      <c r="X5" s="320">
        <f>IF(Ahu_Ashrae_sheet[[#This Row],[MIN ASHRAE EA
(CFM)]]=0,Ahu_Ashrae_sheet[[#This Row],[DESIGN SA(CFM)]],0)</f>
        <v>150</v>
      </c>
      <c r="Y5" s="320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Z5" s="106">
        <f>Ahu_Ashrae_sheet[[#This Row],[DESIGN SA(CFM)]]-Ahu_Ashrae_sheet[[#This Row],[DESIGN RA(CFM)]]-Ahu_Ashrae_sheet[[#This Row],[DESIGN EA(CFM)]]</f>
        <v>0</v>
      </c>
      <c r="AA5" s="300">
        <f>Ahu_Ashrae_sheet[[#This Row],[OUTSIDE AIRFLOW (CFM) (Vot)]]/Ahu_Ashrae_sheet[[#This Row],[DESIGN SA(CFM)]]</f>
        <v>0</v>
      </c>
    </row>
    <row r="6" spans="1:27" ht="15.75">
      <c r="A6" s="294" t="s">
        <v>485</v>
      </c>
      <c r="B6" s="294"/>
      <c r="C6" s="313">
        <f>SUBTOTAL(103,Ahu_Ashrae_sheet[Room])</f>
        <v>0</v>
      </c>
      <c r="D6" s="312">
        <f>SUBTOTAL(109,Ahu_Ashrae_sheet[AREA 
(FT²)])</f>
        <v>0</v>
      </c>
      <c r="E6" s="314"/>
      <c r="F6" s="315"/>
      <c r="G6" s="311">
        <f>SUBTOTAL(109,Ahu_Ashrae_sheet[LOAD (CFM)])</f>
        <v>5930</v>
      </c>
      <c r="H6" s="294"/>
      <c r="I6" s="294"/>
      <c r="J6" s="294"/>
      <c r="K6" s="316"/>
      <c r="L6" s="316"/>
      <c r="M6" s="316"/>
      <c r="N6" s="316"/>
      <c r="O6" s="317">
        <f>SUBTOTAL(109,Ahu_Ashrae_sheet[Occupants])</f>
        <v>0</v>
      </c>
      <c r="P6" s="316"/>
      <c r="Q6" s="316"/>
      <c r="R6" s="316"/>
      <c r="S6" s="318">
        <f>SUBTOTAL(109,Ahu_Ashrae_sheet[OUTSIDE AIRFLOW (CFM) (Vot)])</f>
        <v>0</v>
      </c>
      <c r="T6" s="316"/>
      <c r="U6" s="316"/>
      <c r="V6" s="316"/>
      <c r="W6" s="318">
        <f>SUBTOTAL(109,Ahu_Ashrae_sheet[DESIGN SA(CFM)])</f>
        <v>5930</v>
      </c>
      <c r="X6" s="318">
        <f>SUBTOTAL(109,Ahu_Ashrae_sheet[DESIGN RA(CFM)])</f>
        <v>5930</v>
      </c>
      <c r="Y6" s="318">
        <f>SUBTOTAL(109,Ahu_Ashrae_sheet[DESIGN EA(CFM)])</f>
        <v>0</v>
      </c>
      <c r="Z6" s="316"/>
      <c r="AA6" s="319"/>
    </row>
    <row r="17" spans="20:20">
      <c r="T17" s="89"/>
    </row>
  </sheetData>
  <mergeCells count="3">
    <mergeCell ref="W1:Y1"/>
    <mergeCell ref="H1:V1"/>
    <mergeCell ref="A1:G1"/>
  </mergeCells>
  <phoneticPr fontId="8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FAEDB05E-8443-49B7-A92F-A50339C1DC14}">
          <x14:formula1>
            <xm:f>'ASHRAE Table'!$B$2:$B$91</xm:f>
          </x14:formula1>
          <xm:sqref>J3:J5</xm:sqref>
        </x14:dataValidation>
        <x14:dataValidation type="list" allowBlank="1" showInputMessage="1" showErrorMessage="1" xr:uid="{86BBE610-6A86-453B-AA60-63DE32ACEFAB}">
          <x14:formula1>
            <xm:f>'ASHRAE Table'!$A$2:$A$91</xm:f>
          </x14:formula1>
          <xm:sqref>I3:I5</xm:sqref>
        </x14:dataValidation>
        <x14:dataValidation type="list" allowBlank="1" showInputMessage="1" showErrorMessage="1" xr:uid="{459E1751-F435-4792-AED9-8F254AC74D34}">
          <x14:formula1>
            <xm:f>'ASHRAE Table'!$R$3:$R$13</xm:f>
          </x14:formula1>
          <xm:sqref>Q3:Q5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H3:H5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/>
  <dimension ref="A1:BE41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13" sqref="D13"/>
    </sheetView>
  </sheetViews>
  <sheetFormatPr defaultRowHeight="12.75"/>
  <cols>
    <col min="1" max="1" width="13.5703125" bestFit="1" customWidth="1"/>
    <col min="2" max="2" width="19.5703125" bestFit="1" customWidth="1"/>
    <col min="3" max="3" width="19.28515625" bestFit="1" customWidth="1"/>
    <col min="4" max="4" width="20.85546875" bestFit="1" customWidth="1"/>
    <col min="5" max="5" width="15.7109375" customWidth="1"/>
    <col min="6" max="6" width="16.7109375" hidden="1" customWidth="1"/>
    <col min="7" max="7" width="13.5703125" bestFit="1" customWidth="1"/>
    <col min="8" max="8" width="21.85546875" bestFit="1" customWidth="1"/>
    <col min="9" max="9" width="23.425781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27.140625" bestFit="1" customWidth="1"/>
    <col min="16" max="17" width="15.42578125" bestFit="1" customWidth="1"/>
    <col min="18" max="18" width="15.710937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27.85546875" bestFit="1" customWidth="1"/>
    <col min="26" max="26" width="18.5703125" customWidth="1"/>
    <col min="27" max="27" width="21.42578125" customWidth="1"/>
    <col min="28" max="28" width="15.140625" customWidth="1"/>
    <col min="29" max="29" width="18" bestFit="1" customWidth="1"/>
    <col min="30" max="30" width="21.28515625" bestFit="1" customWidth="1"/>
    <col min="31" max="32" width="20.85546875" bestFit="1" customWidth="1"/>
    <col min="33" max="33" width="19.5703125" bestFit="1" customWidth="1"/>
    <col min="34" max="34" width="26.7109375" bestFit="1" customWidth="1"/>
    <col min="35" max="35" width="33.42578125" bestFit="1" customWidth="1"/>
    <col min="36" max="36" width="17.42578125" bestFit="1" customWidth="1"/>
    <col min="37" max="37" width="18.5703125" bestFit="1" customWidth="1"/>
    <col min="38" max="38" width="25.28515625" bestFit="1" customWidth="1"/>
    <col min="39" max="39" width="13.5703125" bestFit="1" customWidth="1"/>
    <col min="40" max="40" width="26.7109375" bestFit="1" customWidth="1"/>
    <col min="41" max="41" width="33.42578125" bestFit="1" customWidth="1"/>
    <col min="42" max="43" width="17.42578125" bestFit="1" customWidth="1"/>
    <col min="44" max="44" width="18.5703125" bestFit="1" customWidth="1"/>
    <col min="45" max="45" width="19.5703125" bestFit="1" customWidth="1"/>
    <col min="46" max="46" width="14.5703125" bestFit="1" customWidth="1"/>
    <col min="47" max="47" width="17.85546875" bestFit="1" customWidth="1"/>
    <col min="48" max="48" width="12.5703125" bestFit="1" customWidth="1"/>
    <col min="49" max="49" width="15.7109375" bestFit="1" customWidth="1"/>
    <col min="50" max="50" width="12.140625" bestFit="1" customWidth="1"/>
    <col min="51" max="51" width="15.7109375" bestFit="1" customWidth="1"/>
    <col min="52" max="52" width="12.85546875" bestFit="1" customWidth="1"/>
    <col min="53" max="53" width="14.5703125" bestFit="1" customWidth="1"/>
    <col min="54" max="54" width="13" bestFit="1" customWidth="1"/>
    <col min="55" max="55" width="15.7109375" bestFit="1" customWidth="1"/>
    <col min="56" max="56" width="14.85546875" bestFit="1" customWidth="1"/>
    <col min="57" max="57" width="15.7109375" bestFit="1" customWidth="1"/>
    <col min="58" max="58" width="18.5703125" bestFit="1" customWidth="1"/>
  </cols>
  <sheetData>
    <row r="1" spans="1:57">
      <c r="A1" s="368" t="s">
        <v>481</v>
      </c>
      <c r="B1" s="369"/>
      <c r="C1" s="369"/>
      <c r="D1" s="369"/>
      <c r="E1" s="369"/>
      <c r="F1" s="369"/>
      <c r="G1" s="369"/>
      <c r="H1" s="378" t="s">
        <v>480</v>
      </c>
      <c r="I1" s="379"/>
      <c r="J1" s="379"/>
      <c r="K1" s="379"/>
      <c r="L1" s="379"/>
      <c r="M1" s="379"/>
      <c r="N1" s="379"/>
      <c r="O1" s="379"/>
      <c r="P1" s="379"/>
      <c r="Q1" s="379"/>
      <c r="R1" s="379"/>
      <c r="S1" s="379"/>
      <c r="T1" s="379"/>
      <c r="U1" s="379"/>
      <c r="V1" s="379"/>
      <c r="W1" s="379"/>
      <c r="X1" s="379"/>
      <c r="Y1" s="379"/>
      <c r="Z1" s="379"/>
      <c r="AA1" s="379"/>
      <c r="AB1" s="379"/>
      <c r="AC1" s="379"/>
    </row>
    <row r="2" spans="1:57" s="16" customFormat="1" ht="47.25">
      <c r="A2" s="293" t="s">
        <v>613</v>
      </c>
      <c r="B2" s="294" t="s">
        <v>456</v>
      </c>
      <c r="C2" s="294" t="s">
        <v>457</v>
      </c>
      <c r="D2" s="295" t="s">
        <v>690</v>
      </c>
      <c r="E2" s="295" t="s">
        <v>472</v>
      </c>
      <c r="F2" s="295" t="s">
        <v>466</v>
      </c>
      <c r="G2" s="296" t="s">
        <v>279</v>
      </c>
      <c r="H2" s="296" t="s">
        <v>471</v>
      </c>
      <c r="I2" s="295" t="s">
        <v>475</v>
      </c>
      <c r="J2" s="295" t="s">
        <v>464</v>
      </c>
      <c r="K2" s="295" t="s">
        <v>468</v>
      </c>
      <c r="L2" s="295" t="s">
        <v>469</v>
      </c>
      <c r="M2" s="295" t="s">
        <v>477</v>
      </c>
      <c r="N2" s="295" t="s">
        <v>476</v>
      </c>
      <c r="O2" s="296" t="s">
        <v>661</v>
      </c>
      <c r="P2" s="296" t="s">
        <v>662</v>
      </c>
      <c r="Q2" s="296" t="s">
        <v>663</v>
      </c>
      <c r="R2" s="297" t="s">
        <v>665</v>
      </c>
      <c r="S2" s="297" t="s">
        <v>666</v>
      </c>
      <c r="T2" s="297" t="s">
        <v>478</v>
      </c>
      <c r="U2" s="322" t="s">
        <v>669</v>
      </c>
      <c r="V2" s="322" t="s">
        <v>668</v>
      </c>
      <c r="W2" s="322" t="s">
        <v>667</v>
      </c>
      <c r="X2" s="322" t="s">
        <v>689</v>
      </c>
      <c r="Y2" s="322" t="s">
        <v>694</v>
      </c>
      <c r="Z2" s="322" t="s">
        <v>451</v>
      </c>
      <c r="AA2" s="322" t="s">
        <v>691</v>
      </c>
      <c r="AB2" s="296" t="s">
        <v>484</v>
      </c>
      <c r="AC2" s="296" t="s">
        <v>483</v>
      </c>
      <c r="AD2" s="295" t="s">
        <v>482</v>
      </c>
      <c r="AE2" s="297" t="s">
        <v>692</v>
      </c>
      <c r="AF2" s="297" t="s">
        <v>693</v>
      </c>
      <c r="AG2" s="297" t="s">
        <v>664</v>
      </c>
      <c r="AH2" s="295" t="s">
        <v>660</v>
      </c>
      <c r="AI2" s="298" t="s">
        <v>9</v>
      </c>
      <c r="AJ2" s="299" t="s">
        <v>459</v>
      </c>
      <c r="AM2" s="122" t="s">
        <v>91</v>
      </c>
      <c r="AN2" s="122" t="s">
        <v>79</v>
      </c>
      <c r="AO2" s="122" t="s">
        <v>80</v>
      </c>
      <c r="AP2" s="122" t="s">
        <v>652</v>
      </c>
      <c r="AQ2" s="122" t="s">
        <v>653</v>
      </c>
      <c r="AR2" s="122" t="s">
        <v>654</v>
      </c>
      <c r="AS2" s="122" t="s">
        <v>655</v>
      </c>
      <c r="AT2" s="122" t="s">
        <v>656</v>
      </c>
      <c r="AU2" s="122" t="s">
        <v>35</v>
      </c>
      <c r="AV2" s="122" t="s">
        <v>72</v>
      </c>
      <c r="AW2" s="122" t="s">
        <v>36</v>
      </c>
      <c r="AX2" s="122" t="s">
        <v>71</v>
      </c>
      <c r="AY2" s="122" t="s">
        <v>70</v>
      </c>
      <c r="AZ2" s="122" t="s">
        <v>160</v>
      </c>
      <c r="BA2" s="122" t="s">
        <v>34</v>
      </c>
      <c r="BB2" s="122" t="s">
        <v>75</v>
      </c>
      <c r="BC2" s="122" t="s">
        <v>76</v>
      </c>
      <c r="BD2" s="122" t="s">
        <v>77</v>
      </c>
      <c r="BE2" s="122" t="s">
        <v>65</v>
      </c>
    </row>
    <row r="3" spans="1:57" ht="17.25">
      <c r="A3" s="142" t="s">
        <v>614</v>
      </c>
      <c r="B3" s="142">
        <v>102</v>
      </c>
      <c r="C3" s="142" t="s">
        <v>460</v>
      </c>
      <c r="D3" s="142">
        <v>900</v>
      </c>
      <c r="E3" s="142">
        <v>0</v>
      </c>
      <c r="F3" s="291">
        <f>IF((Ahu_Ashrae_sheet15[[#This Row],[Occupancy Subcategory]] = "TOILET"),MROUND(D3/2,5),MROUND(D3,5))</f>
        <v>900</v>
      </c>
      <c r="G3" s="142">
        <v>650</v>
      </c>
      <c r="H3" s="142" t="s">
        <v>612</v>
      </c>
      <c r="I3" s="142" t="s">
        <v>473</v>
      </c>
      <c r="J3" s="142" t="s">
        <v>474</v>
      </c>
      <c r="K3" s="18" cm="1">
        <f t="array" ref="K3">INDEX(Ashrae90.1Vent[RP],MATCH(Ahu_Ashrae_sheet15[[#This Row],[Occupancy Category]]&amp;Ahu_Ashrae_sheet15[[#This Row],[Occupancy Subcategory]],Ashrae90.1Vent[OCCUPANCY CATEGORY]&amp;Ashrae90.1Vent[OCCUPANCY SUBCATEGORY],0))</f>
        <v>10</v>
      </c>
      <c r="L3" s="18" cm="1">
        <f t="array" ref="L3">INDEX(Ashrae90.1Vent[RA],MATCH(Ahu_Ashrae_sheet15[[#This Row],[Occupancy Category]]&amp;Ahu_Ashrae_sheet15[[#This Row],[Occupancy Subcategory]],Ashrae90.1Vent[OCCUPANCY CATEGORY]&amp;Ashrae90.1Vent[OCCUPANCY SUBCATEGORY],))</f>
        <v>0.12</v>
      </c>
      <c r="M3" s="18" cm="1">
        <f t="array" ref="M3">INDEX(Ashrae90.1Vent[OCCUPANT DENSITY],MATCH(Ahu_Ashrae_sheet15[[#This Row],[Occupancy Category]]&amp;Ahu_Ashrae_sheet15[[#This Row],[Occupancy Subcategory]],Ashrae90.1Vent[OCCUPANCY CATEGORY]&amp;Ashrae90.1Vent[OCCUPANCY SUBCATEGORY],))</f>
        <v>20</v>
      </c>
      <c r="N3" s="18" cm="1">
        <f t="array" ref="N3">INDEX(Ashrae90.1Vent[AIR CLASS],MATCH(Ahu_Ashrae_sheet15[[#This Row],[Occupancy Category]]&amp;Ahu_Ashrae_sheet15[[#This Row],[Occupancy Subcategory]],Ashrae90.1Vent[OCCUPANCY CATEGORY]&amp;Ashrae90.1Vent[OCCUPANCY SUBCATEGORY],))</f>
        <v>2</v>
      </c>
      <c r="O3" s="142">
        <v>18</v>
      </c>
      <c r="P3" s="18">
        <f>CEILING((M3/1000)*D3,1)</f>
        <v>18</v>
      </c>
      <c r="Q3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R3" s="106">
        <f>(Ahu_Ashrae_sheet15[[#This Row],[DIVERSITY (D)]]*Ahu_Ashrae_sheet15[[#This Row],[RP
(CFM/PER PERSON)]]*Ahu_Ashrae_sheet15[[#This Row],[Occupants (Pz)]])+(Ahu_Ashrae_sheet15[[#This Row],[RA
(CFM/FT²)]]*Ahu_Ashrae_sheet15[[#This Row],[AREA (FT²)]])</f>
        <v>288</v>
      </c>
      <c r="S3" s="321">
        <f>IF(Ahu_Ashrae_sheet15[[#This Row],[DIVERSITY (D)]]&lt;0.6,(0.88*Ahu_Ashrae_sheet15[[#This Row],[DIVERSITY (D)]]+0.22),0.75)</f>
        <v>0.75</v>
      </c>
      <c r="T3" s="106">
        <f>Ahu_Ashrae_sheet15[[#This Row],[Uncorrected OA (Vou)]]/Ahu_Ashrae_sheet15[[#This Row],[System Efficiency (Ev)]]</f>
        <v>384</v>
      </c>
      <c r="U3" s="106">
        <f>(Ahu_Ashrae_sheet15[[#This Row],[RP
(CFM/PER PERSON)]]*Ahu_Ashrae_sheet15[[#This Row],[Occupants (Pz)]])+(Ahu_Ashrae_sheet15[[#This Row],[RA
(CFM/FT²)]]*Ahu_Ashrae_sheet15[[#This Row],[AREA (FT²)]])</f>
        <v>288</v>
      </c>
      <c r="V3" s="142">
        <v>0.8</v>
      </c>
      <c r="W3" s="106">
        <f>Ahu_Ashrae_sheet15[[#This Row],[Breathing Zone OA (Vbz)]]/Ahu_Ashrae_sheet15[[#This Row],[Zone Efficiency (Ez)]]</f>
        <v>360</v>
      </c>
      <c r="X3" s="142" t="s">
        <v>244</v>
      </c>
      <c r="Y3" s="106" t="str">
        <f>IF(Ahu_Ashrae_sheet15[[#This Row],[EXHAUST RECOVERY]]="YES",(IF(Ahu_Ashrae_sheet15[[#This Row],[AREA (FT²)]]&lt;(VLOOKUP(INPUT_OUTPUTS!$C$6,'ASHRAE Table'!Z2:AC21,MATCH((Ahu_Ashrae_sheet15[[#This Row],[OCCUPANT DENSITY
('#/1000 FT²)]]*Ahu_Ashrae_sheet15[[#This Row],[RP
(CFM/PER PERSON)]]),'ASHRAE Table'!Z2:AC2,1),FALSE)), "NO","PROVIDE CO2 SENSOR")),(IF(Ahu_Ashrae_sheet15[[#This Row],[AREA (FT²)]]&lt;(VLOOKUP(INPUT_OUTPUTS!$C$6,'ASHRAE Table'!V2:Y21,MATCH((Ahu_Ashrae_sheet15[[#This Row],[OCCUPANT DENSITY
('#/1000 FT²)]]*Ahu_Ashrae_sheet15[[#This Row],[RP
(CFM/PER PERSON)]]),'ASHRAE Table'!V2:Y2,1),FALSE)), "NOT REQUIRED","PROVIDE CO2 SENSOR")))</f>
        <v>NOT REQUIRED</v>
      </c>
      <c r="Z3" s="106" t="str" cm="1">
        <f t="array" ref="Z3">INDEX(Ashrae90.1Vent[OS],MATCH(Ahu_Ashrae_sheet15[[#This Row],[Occupancy Category]]&amp;Ahu_Ashrae_sheet15[[#This Row],[Occupancy Subcategory]],Ashrae90.1Vent[OCCUPANCY CATEGORY]&amp;Ashrae90.1Vent[OCCUPANCY SUBCATEGORY],0))</f>
        <v>NO</v>
      </c>
      <c r="AA3" s="106">
        <f>IF(Ahu_Ashrae_sheet15[[#This Row],[OS]]="YES",0,Ahu_Ashrae_sheet15[[#This Row],[RA
(CFM/FT²)]]*Ahu_Ashrae_sheet15[[#This Row],[AREA (FT²)]])</f>
        <v>108</v>
      </c>
      <c r="AB3" s="106">
        <f>IF(Ahu_Ashrae_sheet15[[#This Row],[Exhaust Category]]="NA","NA",VLOOKUP(Ahu_Ashrae_sheet15[[#This Row],[Exhaust Category]],ASHRAE_EA_Table[[#All],[OCCUPANCY SUBCATEGORY]:[EXHAUST RATE PER AREA]],2))</f>
        <v>0</v>
      </c>
      <c r="AC3" s="106">
        <f>IF(Ahu_Ashrae_sheet15[[#This Row],[Exhaust Category]]="NA","NA",VLOOKUP(Ahu_Ashrae_sheet15[[#This Row],[Exhaust Category]],ASHRAE_EA_Table[[#All],[OCCUPANCY SUBCATEGORY]:[EXHAUST RATE PER AREA]],3))</f>
        <v>0.25</v>
      </c>
      <c r="AD3" s="18">
        <f>IF(Ahu_Ashrae_sheet15[[#This Row],[EA RATE
(CFM/UNIT)]]="NA"&amp;Ahu_Ashrae_sheet15[[#This Row],[EA RATE
(CFM/FT²)]]="NA",0,IF(Ahu_Ashrae_sheet15[[#This Row],[EA RATE
(CFM/UNIT)]]="NA",Ahu_Ashrae_sheet15[[#This Row],[EA RATE
(CFM/FT²)]]*Ahu_Ashrae_sheet15[[#This Row],[AREA (FT²)]],Ahu_Ashrae_sheet15[[#This Row],[Exhaust Units]]*Ahu_Ashrae_sheet15[[#This Row],[EA RATE
(CFM/UNIT)]]))</f>
        <v>0</v>
      </c>
      <c r="AE3" s="106">
        <f>IF((Ahu_Ashrae_sheet15[[#This Row],[DESIGN VAV MAX SA(CFM)]]*0.3)&lt;(Ahu_Ashrae_sheet15[[#This Row],[Zone OA (Voz)]]*1.5),(Ahu_Ashrae_sheet15[[#This Row],[Zone OA (Voz)]]*1.5),(Ahu_Ashrae_sheet15[[#This Row],[DESIGN VAV MAX SA(CFM)]]*0.3))</f>
        <v>540</v>
      </c>
      <c r="AF3" s="142">
        <f>IF(Ahu_Ashrae_sheet15[[#This Row],[MIN ASHRAE EA
(CFM)]]=0,MAX(Ahu_Ashrae_sheet15[[#This Row],[LOAD (CFM)]],Ahu_Ashrae_sheet15[[#This Row],[OFFICE STANDARD 
(CFM)]]),Ahu_Ashrae_sheet15[[#This Row],[DESIGN EA(CFM)]]-100)</f>
        <v>900</v>
      </c>
      <c r="AG3" s="142">
        <f>IF(Ahu_Ashrae_sheet15[[#This Row],[MIN ASHRAE EA
(CFM)]]=0,Ahu_Ashrae_sheet15[[#This Row],[DESIGN VAV MAX SA(CFM)]],0)</f>
        <v>900</v>
      </c>
      <c r="AH3" s="14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I3" s="106">
        <f>Ahu_Ashrae_sheet15[[#This Row],[DESIGN VAV MAX SA(CFM)]]-Ahu_Ashrae_sheet15[[#This Row],[DESIGN RA (CFM)]]-Ahu_Ashrae_sheet15[[#This Row],[DESIGN EA(CFM)]]</f>
        <v>0</v>
      </c>
      <c r="AJ3" s="300">
        <f>Ahu_Ashrae_sheet15[[#This Row],[OUTSIDE AIRFLOW (CFM) (Vot)]]/Ahu_Ashrae_sheet15[[#This Row],[DESIGN VAV MAX SA(CFM)]]</f>
        <v>0.42666666666666669</v>
      </c>
      <c r="AM3" s="323" t="s">
        <v>614</v>
      </c>
      <c r="AN3" s="323" t="s">
        <v>82</v>
      </c>
      <c r="AO3" s="323" t="s">
        <v>88</v>
      </c>
      <c r="AP3" s="325">
        <f>SUMIF(Ahu_Ashrae_sheet15[Zone],AHU1_CAV_SCHEDULE4451416[[#This Row],[ZONE]],Ahu_Ashrae_sheet15[DESIGN VAV MIN SA(CFM)])</f>
        <v>677.8125</v>
      </c>
      <c r="AQ3" s="323">
        <f>SUMIF(Ahu_Ashrae_sheet15[Zone],AHU1_CAV_SCHEDULE4451416[[#This Row],[ZONE]],Ahu_Ashrae_sheet15[DESIGN VAV MAX SA(CFM)])</f>
        <v>1200</v>
      </c>
      <c r="AR3" s="48">
        <f>IFERROR((VLOOKUP(AHU1_CAV_SCHEDULE4451416[[#This Row],[MAX VAV
(CFM)]],'DO NOT TOUCH'!$P$9:$Q$14,2,TRUE)),"TBD")</f>
        <v>12</v>
      </c>
      <c r="AS3" s="48">
        <v>0.5</v>
      </c>
      <c r="AT3" s="48">
        <f>AHU1_CAV_SCHEDULE4451416[[#This Row],[MIN VAV
(CFM)]]</f>
        <v>677.8125</v>
      </c>
      <c r="AU3" s="48">
        <f>INPUT_OUTPUTS!$C$16</f>
        <v>140</v>
      </c>
      <c r="AV3" s="48">
        <f>INPUT_OUTPUTS!$C$17</f>
        <v>100</v>
      </c>
      <c r="AW3" s="48">
        <v>55</v>
      </c>
      <c r="AX3" s="48">
        <v>85</v>
      </c>
      <c r="AY3" s="48" t="e">
        <f>MROUND((1.08*(AX3-AW3)*#REF!)/1000,0.1)</f>
        <v>#REF!</v>
      </c>
      <c r="AZ3" s="49" t="e">
        <f>(AY3*1000)/(500*(AU3-AV3))</f>
        <v>#REF!</v>
      </c>
      <c r="BA3" s="49" t="e">
        <f>IF(AZ3&lt;0.5,0.5,AZ3)</f>
        <v>#REF!</v>
      </c>
      <c r="BB3" s="49">
        <v>5</v>
      </c>
      <c r="BC3" s="49">
        <f>IFERROR((_xlfn.XLOOKUP(AR3,'DO NOT TOUCH'!$Q$9:$Q$14,'DO NOT TOUCH'!$R$9:$R$14,)),"TBD")</f>
        <v>45</v>
      </c>
      <c r="BD3" s="49">
        <f>INPUT_OUTPUTS!$C$19</f>
        <v>0</v>
      </c>
      <c r="BE3" s="48" t="s">
        <v>83</v>
      </c>
    </row>
    <row r="4" spans="1:57" ht="17.25">
      <c r="A4" s="142" t="s">
        <v>614</v>
      </c>
      <c r="B4" s="142">
        <v>103</v>
      </c>
      <c r="C4" s="142" t="s">
        <v>565</v>
      </c>
      <c r="D4" s="142">
        <v>300</v>
      </c>
      <c r="E4" s="142">
        <v>0</v>
      </c>
      <c r="F4" s="291">
        <f>IF((Ahu_Ashrae_sheet15[[#This Row],[Occupancy Subcategory]] = "TOILET"),MROUND(D4/2,5),MROUND(D4,5))</f>
        <v>300</v>
      </c>
      <c r="G4" s="142">
        <v>280</v>
      </c>
      <c r="H4" s="142" t="s">
        <v>612</v>
      </c>
      <c r="I4" s="142" t="s">
        <v>565</v>
      </c>
      <c r="J4" s="142" t="s">
        <v>566</v>
      </c>
      <c r="K4" s="18" cm="1">
        <f t="array" ref="K4">INDEX(Ashrae90.1Vent[RP],MATCH(Ahu_Ashrae_sheet15[[#This Row],[Occupancy Category]]&amp;Ahu_Ashrae_sheet15[[#This Row],[Occupancy Subcategory]],Ashrae90.1Vent[OCCUPANCY CATEGORY]&amp;Ashrae90.1Vent[OCCUPANCY SUBCATEGORY],0))</f>
        <v>7.5</v>
      </c>
      <c r="L4" s="18" cm="1">
        <f t="array" ref="L4">INDEX(Ashrae90.1Vent[RA],MATCH(Ahu_Ashrae_sheet15[[#This Row],[Occupancy Category]]&amp;Ahu_Ashrae_sheet15[[#This Row],[Occupancy Subcategory]],Ashrae90.1Vent[OCCUPANCY CATEGORY]&amp;Ashrae90.1Vent[OCCUPANCY SUBCATEGORY],))</f>
        <v>0.12</v>
      </c>
      <c r="M4" s="18" cm="1">
        <f t="array" ref="M4">INDEX(Ashrae90.1Vent[OCCUPANT DENSITY],MATCH(Ahu_Ashrae_sheet15[[#This Row],[Occupancy Category]]&amp;Ahu_Ashrae_sheet15[[#This Row],[Occupancy Subcategory]],Ashrae90.1Vent[OCCUPANCY CATEGORY]&amp;Ashrae90.1Vent[OCCUPANCY SUBCATEGORY],))</f>
        <v>15</v>
      </c>
      <c r="N4" s="18" cm="1">
        <f t="array" ref="N4">INDEX(Ashrae90.1Vent[AIR CLASS],MATCH(Ahu_Ashrae_sheet15[[#This Row],[Occupancy Category]]&amp;Ahu_Ashrae_sheet15[[#This Row],[Occupancy Subcategory]],Ashrae90.1Vent[OCCUPANCY CATEGORY]&amp;Ashrae90.1Vent[OCCUPANCY SUBCATEGORY],))</f>
        <v>2</v>
      </c>
      <c r="O4" s="142">
        <v>5</v>
      </c>
      <c r="P4" s="18">
        <f t="shared" ref="P4:P5" si="0">CEILING((M4/1000)*D4,1)</f>
        <v>5</v>
      </c>
      <c r="Q4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R4" s="106">
        <f>(Ahu_Ashrae_sheet15[[#This Row],[DIVERSITY (D)]]*Ahu_Ashrae_sheet15[[#This Row],[RP
(CFM/PER PERSON)]]*Ahu_Ashrae_sheet15[[#This Row],[Occupants (Pz)]])+(Ahu_Ashrae_sheet15[[#This Row],[RA
(CFM/FT²)]]*Ahu_Ashrae_sheet15[[#This Row],[AREA (FT²)]])</f>
        <v>73.5</v>
      </c>
      <c r="S4" s="321">
        <f>IF(Ahu_Ashrae_sheet15[[#This Row],[DIVERSITY (D)]]&lt;0.6,(0.88*Ahu_Ashrae_sheet15[[#This Row],[DIVERSITY (D)]]+0.22),0.75)</f>
        <v>0.75</v>
      </c>
      <c r="T4" s="106">
        <f>Ahu_Ashrae_sheet15[[#This Row],[Uncorrected OA (Vou)]]/Ahu_Ashrae_sheet15[[#This Row],[System Efficiency (Ev)]]</f>
        <v>98</v>
      </c>
      <c r="U4" s="106">
        <f>(Ahu_Ashrae_sheet15[[#This Row],[RP
(CFM/PER PERSON)]]*Ahu_Ashrae_sheet15[[#This Row],[Occupants (Pz)]])+(Ahu_Ashrae_sheet15[[#This Row],[RA
(CFM/FT²)]]*Ahu_Ashrae_sheet15[[#This Row],[AREA (FT²)]])</f>
        <v>73.5</v>
      </c>
      <c r="V4" s="142">
        <v>0.8</v>
      </c>
      <c r="W4" s="106">
        <f>Ahu_Ashrae_sheet15[[#This Row],[Breathing Zone OA (Vbz)]]/Ahu_Ashrae_sheet15[[#This Row],[Zone Efficiency (Ez)]]</f>
        <v>91.875</v>
      </c>
      <c r="X4" s="142" t="s">
        <v>244</v>
      </c>
      <c r="Y4" s="106" t="str">
        <f>IF(Ahu_Ashrae_sheet15[[#This Row],[EXHAUST RECOVERY]]="YES",(IF(Ahu_Ashrae_sheet15[[#This Row],[AREA (FT²)]]&lt;(VLOOKUP(INPUT_OUTPUTS!$C$6,'ASHRAE Table'!Z3:AC22,MATCH((Ahu_Ashrae_sheet15[[#This Row],[OCCUPANT DENSITY
('#/1000 FT²)]]*Ahu_Ashrae_sheet15[[#This Row],[RP
(CFM/PER PERSON)]]),'ASHRAE Table'!Z3:AC3,1),FALSE)), "NO","PROVIDE CO2 SENSOR")),(IF(Ahu_Ashrae_sheet15[[#This Row],[AREA (FT²)]]&lt;(VLOOKUP(INPUT_OUTPUTS!$C$6,'ASHRAE Table'!V3:Y22,MATCH((Ahu_Ashrae_sheet15[[#This Row],[OCCUPANT DENSITY
('#/1000 FT²)]]*Ahu_Ashrae_sheet15[[#This Row],[RP
(CFM/PER PERSON)]]),'ASHRAE Table'!V3:Y3,1),FALSE)), "NOT REQUIRED","PROVIDE CO2 SENSOR")))</f>
        <v>NOT REQUIRED</v>
      </c>
      <c r="Z4" s="106" t="str" cm="1">
        <f t="array" ref="Z4">INDEX(Ashrae90.1Vent[OS],MATCH(Ahu_Ashrae_sheet15[[#This Row],[Occupancy Category]]&amp;Ahu_Ashrae_sheet15[[#This Row],[Occupancy Subcategory]],Ashrae90.1Vent[OCCUPANCY CATEGORY]&amp;Ashrae90.1Vent[OCCUPANCY SUBCATEGORY],0))</f>
        <v>NO</v>
      </c>
      <c r="AA4" s="106">
        <f>IF(Ahu_Ashrae_sheet15[[#This Row],[OS]]="YES",0,Ahu_Ashrae_sheet15[[#This Row],[RA
(CFM/FT²)]]*Ahu_Ashrae_sheet15[[#This Row],[AREA (FT²)]])</f>
        <v>36</v>
      </c>
      <c r="AB4" s="106">
        <f>IF(Ahu_Ashrae_sheet15[[#This Row],[Exhaust Category]]="NA","NA",VLOOKUP(Ahu_Ashrae_sheet15[[#This Row],[Exhaust Category]],ASHRAE_EA_Table[[#All],[OCCUPANCY SUBCATEGORY]:[EXHAUST RATE PER AREA]],2))</f>
        <v>0</v>
      </c>
      <c r="AC4" s="106">
        <f>IF(Ahu_Ashrae_sheet15[[#This Row],[Exhaust Category]]="NA","NA",VLOOKUP(Ahu_Ashrae_sheet15[[#This Row],[Exhaust Category]],ASHRAE_EA_Table[[#All],[OCCUPANCY SUBCATEGORY]:[EXHAUST RATE PER AREA]],3))</f>
        <v>0.25</v>
      </c>
      <c r="AD4" s="18">
        <f>IF(Ahu_Ashrae_sheet15[[#This Row],[EA RATE
(CFM/UNIT)]]="NA",Ahu_Ashrae_sheet15[[#This Row],[EA RATE
(CFM/FT²)]]*Ahu_Ashrae_sheet15[[#This Row],[AREA (FT²)]],Ahu_Ashrae_sheet15[[#This Row],[Exhaust Units]]*Ahu_Ashrae_sheet15[[#This Row],[EA RATE
(CFM/UNIT)]])</f>
        <v>0</v>
      </c>
      <c r="AE4" s="106">
        <f>IF((Ahu_Ashrae_sheet15[[#This Row],[DESIGN VAV MAX SA(CFM)]]*0.3)&lt;(Ahu_Ashrae_sheet15[[#This Row],[Zone OA (Voz)]]*1.5),(Ahu_Ashrae_sheet15[[#This Row],[Zone OA (Voz)]]*1.5),(Ahu_Ashrae_sheet15[[#This Row],[DESIGN VAV MAX SA(CFM)]]*0.3))</f>
        <v>137.8125</v>
      </c>
      <c r="AF4" s="142">
        <f>IF(Ahu_Ashrae_sheet15[[#This Row],[MIN ASHRAE EA
(CFM)]]=0,MAX(Ahu_Ashrae_sheet15[[#This Row],[LOAD (CFM)]],Ahu_Ashrae_sheet15[[#This Row],[OFFICE STANDARD 
(CFM)]]),Ahu_Ashrae_sheet15[[#This Row],[DESIGN EA(CFM)]]-100)</f>
        <v>300</v>
      </c>
      <c r="AG4" s="142">
        <f>IF(Ahu_Ashrae_sheet15[[#This Row],[MIN ASHRAE EA
(CFM)]]=0,Ahu_Ashrae_sheet15[[#This Row],[DESIGN VAV MAX SA(CFM)]],0)</f>
        <v>300</v>
      </c>
      <c r="AH4" s="14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I4" s="106">
        <f>Ahu_Ashrae_sheet15[[#This Row],[DESIGN VAV MAX SA(CFM)]]-Ahu_Ashrae_sheet15[[#This Row],[DESIGN RA (CFM)]]-Ahu_Ashrae_sheet15[[#This Row],[DESIGN EA(CFM)]]</f>
        <v>0</v>
      </c>
      <c r="AJ4" s="300">
        <f>Ahu_Ashrae_sheet15[[#This Row],[OUTSIDE AIRFLOW (CFM) (Vot)]]/Ahu_Ashrae_sheet15[[#This Row],[DESIGN VAV MAX SA(CFM)]]</f>
        <v>0.32666666666666666</v>
      </c>
      <c r="AM4" s="323" t="s">
        <v>615</v>
      </c>
      <c r="AN4" s="323" t="s">
        <v>82</v>
      </c>
      <c r="AO4" s="323" t="s">
        <v>88</v>
      </c>
      <c r="AP4" s="323">
        <f>SUMIF(Ahu_Ashrae_sheet15[Zone],AHU1_CAV_SCHEDULE4451416[[#This Row],[ZONE]],Ahu_Ashrae_sheet15[DESIGN VAV MIN SA(CFM)])</f>
        <v>0</v>
      </c>
      <c r="AQ4" s="323">
        <f>SUMIF(Ahu_Ashrae_sheet15[Zone],AHU1_CAV_SCHEDULE4451416[[#This Row],[ZONE]],Ahu_Ashrae_sheet15[DESIGN VAV MAX SA(CFM)])</f>
        <v>0</v>
      </c>
      <c r="AR4" s="48" t="str">
        <f>IFERROR((VLOOKUP(AHU1_CAV_SCHEDULE4451416[[#This Row],[MAX VAV
(CFM)]],'DO NOT TOUCH'!$P$9:$Q$14,2,TRUE)),"TBD")</f>
        <v>TBD</v>
      </c>
      <c r="AS4" s="48">
        <f>AS3</f>
        <v>0.5</v>
      </c>
      <c r="AT4" s="48">
        <f>AHU1_CAV_SCHEDULE4451416[[#This Row],[MIN VAV
(CFM)]]</f>
        <v>0</v>
      </c>
      <c r="AU4" s="48">
        <f>INPUT_OUTPUTS!$C$16</f>
        <v>140</v>
      </c>
      <c r="AV4" s="48">
        <f>INPUT_OUTPUTS!$C$17</f>
        <v>100</v>
      </c>
      <c r="AW4" s="48">
        <f t="shared" ref="AW4:AX19" si="1">AW3</f>
        <v>55</v>
      </c>
      <c r="AX4" s="48">
        <f t="shared" si="1"/>
        <v>85</v>
      </c>
      <c r="AY4" s="48" t="e">
        <f>MROUND((1.08*(AX4-AW4)*#REF!)/1000,0.1)</f>
        <v>#REF!</v>
      </c>
      <c r="AZ4" s="49" t="e">
        <f>(AY4*1000)/(500*(AU4-AV4))</f>
        <v>#REF!</v>
      </c>
      <c r="BA4" s="49" t="e">
        <f t="shared" ref="BA4:BA40" si="2">IF(AZ4&lt;0.5,0.5,AZ4)</f>
        <v>#REF!</v>
      </c>
      <c r="BB4" s="49">
        <f>BB3</f>
        <v>5</v>
      </c>
      <c r="BC4" s="49" t="str">
        <f>IFERROR((_xlfn.XLOOKUP(AR4,'DO NOT TOUCH'!$Q$9:$Q$14,'DO NOT TOUCH'!$R$9:$R$14,)),"TBD")</f>
        <v>TBD</v>
      </c>
      <c r="BD4" s="49">
        <f>INPUT_OUTPUTS!$C$19</f>
        <v>0</v>
      </c>
      <c r="BE4" s="48" t="str">
        <f>BE3</f>
        <v>1, 2</v>
      </c>
    </row>
    <row r="5" spans="1:57" ht="17.25">
      <c r="A5" s="142" t="s">
        <v>616</v>
      </c>
      <c r="B5" s="142">
        <v>104</v>
      </c>
      <c r="C5" s="142" t="s">
        <v>552</v>
      </c>
      <c r="D5" s="142">
        <v>1200</v>
      </c>
      <c r="E5" s="142">
        <v>0</v>
      </c>
      <c r="F5" s="291">
        <f>IF((Ahu_Ashrae_sheet15[[#This Row],[Occupancy Subcategory]] = "TOILET"),MROUND(D5/2,5),MROUND(D5,5))</f>
        <v>1200</v>
      </c>
      <c r="G5" s="142">
        <v>150</v>
      </c>
      <c r="H5" s="142" t="s">
        <v>612</v>
      </c>
      <c r="I5" s="142" t="s">
        <v>548</v>
      </c>
      <c r="J5" s="142" t="s">
        <v>552</v>
      </c>
      <c r="K5" s="18" cm="1">
        <f t="array" ref="K5">INDEX(Ashrae90.1Vent[RP],MATCH(Ahu_Ashrae_sheet15[[#This Row],[Occupancy Category]]&amp;Ahu_Ashrae_sheet15[[#This Row],[Occupancy Subcategory]],Ashrae90.1Vent[OCCUPANCY CATEGORY]&amp;Ashrae90.1Vent[OCCUPANCY SUBCATEGORY],0))</f>
        <v>5</v>
      </c>
      <c r="L5" s="18" cm="1">
        <f t="array" ref="L5">INDEX(Ashrae90.1Vent[RA],MATCH(Ahu_Ashrae_sheet15[[#This Row],[Occupancy Category]]&amp;Ahu_Ashrae_sheet15[[#This Row],[Occupancy Subcategory]],Ashrae90.1Vent[OCCUPANCY CATEGORY]&amp;Ashrae90.1Vent[OCCUPANCY SUBCATEGORY],))</f>
        <v>0.06</v>
      </c>
      <c r="M5" s="18" cm="1">
        <f t="array" ref="M5">INDEX(Ashrae90.1Vent[OCCUPANT DENSITY],MATCH(Ahu_Ashrae_sheet15[[#This Row],[Occupancy Category]]&amp;Ahu_Ashrae_sheet15[[#This Row],[Occupancy Subcategory]],Ashrae90.1Vent[OCCUPANCY CATEGORY]&amp;Ashrae90.1Vent[OCCUPANCY SUBCATEGORY],))</f>
        <v>5</v>
      </c>
      <c r="N5" s="18" cm="1">
        <f t="array" ref="N5">INDEX(Ashrae90.1Vent[AIR CLASS],MATCH(Ahu_Ashrae_sheet15[[#This Row],[Occupancy Category]]&amp;Ahu_Ashrae_sheet15[[#This Row],[Occupancy Subcategory]],Ashrae90.1Vent[OCCUPANCY CATEGORY]&amp;Ashrae90.1Vent[OCCUPANCY SUBCATEGORY],))</f>
        <v>1</v>
      </c>
      <c r="O5" s="142">
        <v>6</v>
      </c>
      <c r="P5" s="18">
        <f t="shared" si="0"/>
        <v>6</v>
      </c>
      <c r="Q5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R5" s="106">
        <f>(Ahu_Ashrae_sheet15[[#This Row],[DIVERSITY (D)]]*Ahu_Ashrae_sheet15[[#This Row],[RP
(CFM/PER PERSON)]]*Ahu_Ashrae_sheet15[[#This Row],[Occupants (Pz)]])+(Ahu_Ashrae_sheet15[[#This Row],[RA
(CFM/FT²)]]*Ahu_Ashrae_sheet15[[#This Row],[AREA (FT²)]])</f>
        <v>102</v>
      </c>
      <c r="S5" s="321">
        <f>IF(Ahu_Ashrae_sheet15[[#This Row],[DIVERSITY (D)]]&lt;0.6,(0.88*Ahu_Ashrae_sheet15[[#This Row],[DIVERSITY (D)]]+0.22),0.75)</f>
        <v>0.75</v>
      </c>
      <c r="T5" s="106">
        <f>Ahu_Ashrae_sheet15[[#This Row],[Uncorrected OA (Vou)]]/Ahu_Ashrae_sheet15[[#This Row],[System Efficiency (Ev)]]</f>
        <v>136</v>
      </c>
      <c r="U5" s="106">
        <f>(Ahu_Ashrae_sheet15[[#This Row],[RP
(CFM/PER PERSON)]]*Ahu_Ashrae_sheet15[[#This Row],[Occupants (Pz)]])+(Ahu_Ashrae_sheet15[[#This Row],[RA
(CFM/FT²)]]*Ahu_Ashrae_sheet15[[#This Row],[AREA (FT²)]])</f>
        <v>102</v>
      </c>
      <c r="V5" s="142">
        <v>0.8</v>
      </c>
      <c r="W5" s="106">
        <f>Ahu_Ashrae_sheet15[[#This Row],[Breathing Zone OA (Vbz)]]/Ahu_Ashrae_sheet15[[#This Row],[Zone Efficiency (Ez)]]</f>
        <v>127.5</v>
      </c>
      <c r="X5" s="142" t="s">
        <v>244</v>
      </c>
      <c r="Y5" s="106" t="str">
        <f>IF(Ahu_Ashrae_sheet15[[#This Row],[EXHAUST RECOVERY]]="YES",(IF(Ahu_Ashrae_sheet15[[#This Row],[AREA (FT²)]]&lt;(VLOOKUP(INPUT_OUTPUTS!$C$6,'ASHRAE Table'!Z4:AC23,MATCH((Ahu_Ashrae_sheet15[[#This Row],[OCCUPANT DENSITY
('#/1000 FT²)]]*Ahu_Ashrae_sheet15[[#This Row],[RP
(CFM/PER PERSON)]]),'ASHRAE Table'!Z4:AC4,1),FALSE)), "NO","PROVIDE CO2 SENSOR")),(IF(Ahu_Ashrae_sheet15[[#This Row],[AREA (FT²)]]&lt;(VLOOKUP(INPUT_OUTPUTS!$C$6,'ASHRAE Table'!V4:Y23,MATCH((Ahu_Ashrae_sheet15[[#This Row],[OCCUPANT DENSITY
('#/1000 FT²)]]*Ahu_Ashrae_sheet15[[#This Row],[RP
(CFM/PER PERSON)]]),'ASHRAE Table'!V4:Y4,1),FALSE)), "NOT REQUIRED","PROVIDE CO2 SENSOR")))</f>
        <v>NOT REQUIRED</v>
      </c>
      <c r="Z5" s="106" t="str" cm="1">
        <f t="array" ref="Z5">INDEX(Ashrae90.1Vent[OS],MATCH(Ahu_Ashrae_sheet15[[#This Row],[Occupancy Category]]&amp;Ahu_Ashrae_sheet15[[#This Row],[Occupancy Subcategory]],Ashrae90.1Vent[OCCUPANCY CATEGORY]&amp;Ashrae90.1Vent[OCCUPANCY SUBCATEGORY],0))</f>
        <v>YES</v>
      </c>
      <c r="AA5" s="106">
        <f>IF(Ahu_Ashrae_sheet15[[#This Row],[OS]]="YES",0,Ahu_Ashrae_sheet15[[#This Row],[RA
(CFM/FT²)]]*Ahu_Ashrae_sheet15[[#This Row],[AREA (FT²)]])</f>
        <v>0</v>
      </c>
      <c r="AB5" s="106">
        <f>IF(Ahu_Ashrae_sheet15[[#This Row],[Exhaust Category]]="NA","NA",VLOOKUP(Ahu_Ashrae_sheet15[[#This Row],[Exhaust Category]],ASHRAE_EA_Table[[#All],[OCCUPANCY SUBCATEGORY]:[EXHAUST RATE PER AREA]],2))</f>
        <v>0</v>
      </c>
      <c r="AC5" s="106">
        <f>IF(Ahu_Ashrae_sheet15[[#This Row],[Exhaust Category]]="NA","NA",VLOOKUP(Ahu_Ashrae_sheet15[[#This Row],[Exhaust Category]],ASHRAE_EA_Table[[#All],[OCCUPANCY SUBCATEGORY]:[EXHAUST RATE PER AREA]],3))</f>
        <v>0.25</v>
      </c>
      <c r="AD5" s="18">
        <f>IF(Ahu_Ashrae_sheet15[[#This Row],[EA RATE
(CFM/UNIT)]]="NA",Ahu_Ashrae_sheet15[[#This Row],[EA RATE
(CFM/FT²)]]*Ahu_Ashrae_sheet15[[#This Row],[AREA (FT²)]],Ahu_Ashrae_sheet15[[#This Row],[Exhaust Units]]*Ahu_Ashrae_sheet15[[#This Row],[EA RATE
(CFM/UNIT)]])</f>
        <v>0</v>
      </c>
      <c r="AE5" s="106">
        <f>IF((Ahu_Ashrae_sheet15[[#This Row],[DESIGN VAV MAX SA(CFM)]]*0.3)&lt;(Ahu_Ashrae_sheet15[[#This Row],[Zone OA (Voz)]]*1.5),(Ahu_Ashrae_sheet15[[#This Row],[Zone OA (Voz)]]*1.5),(Ahu_Ashrae_sheet15[[#This Row],[DESIGN VAV MAX SA(CFM)]]*0.3))</f>
        <v>360</v>
      </c>
      <c r="AF5" s="142">
        <f>IF(Ahu_Ashrae_sheet15[[#This Row],[MIN ASHRAE EA
(CFM)]]=0,MAX(Ahu_Ashrae_sheet15[[#This Row],[LOAD (CFM)]],Ahu_Ashrae_sheet15[[#This Row],[OFFICE STANDARD 
(CFM)]]),Ahu_Ashrae_sheet15[[#This Row],[DESIGN EA(CFM)]]-100)</f>
        <v>1200</v>
      </c>
      <c r="AG5" s="142">
        <f>IF(Ahu_Ashrae_sheet15[[#This Row],[MIN ASHRAE EA
(CFM)]]=0,Ahu_Ashrae_sheet15[[#This Row],[DESIGN VAV MAX SA(CFM)]],0)</f>
        <v>1200</v>
      </c>
      <c r="AH5" s="14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I5" s="106">
        <f>Ahu_Ashrae_sheet15[[#This Row],[DESIGN VAV MAX SA(CFM)]]-Ahu_Ashrae_sheet15[[#This Row],[DESIGN RA (CFM)]]-Ahu_Ashrae_sheet15[[#This Row],[DESIGN EA(CFM)]]</f>
        <v>0</v>
      </c>
      <c r="AJ5" s="300">
        <f>Ahu_Ashrae_sheet15[[#This Row],[OUTSIDE AIRFLOW (CFM) (Vot)]]/Ahu_Ashrae_sheet15[[#This Row],[DESIGN VAV MAX SA(CFM)]]</f>
        <v>0.11333333333333333</v>
      </c>
      <c r="AM5" s="323" t="s">
        <v>616</v>
      </c>
      <c r="AN5" s="323" t="s">
        <v>82</v>
      </c>
      <c r="AO5" s="323" t="s">
        <v>88</v>
      </c>
      <c r="AP5" s="323">
        <f>SUMIF(Ahu_Ashrae_sheet15[Zone],AHU1_CAV_SCHEDULE4451416[[#This Row],[ZONE]],Ahu_Ashrae_sheet15[DESIGN VAV MIN SA(CFM)])</f>
        <v>360</v>
      </c>
      <c r="AQ5" s="323">
        <f>SUMIF(Ahu_Ashrae_sheet15[Zone],AHU1_CAV_SCHEDULE4451416[[#This Row],[ZONE]],Ahu_Ashrae_sheet15[DESIGN VAV MAX SA(CFM)])</f>
        <v>1200</v>
      </c>
      <c r="AR5" s="48">
        <f>IFERROR((VLOOKUP(AHU1_CAV_SCHEDULE4451416[[#This Row],[MAX VAV
(CFM)]],'DO NOT TOUCH'!$P$9:$Q$14,2,TRUE)),"TBD")</f>
        <v>12</v>
      </c>
      <c r="AS5" s="48">
        <f t="shared" ref="AS5:AS40" si="3">AS4</f>
        <v>0.5</v>
      </c>
      <c r="AT5" s="48">
        <f>AHU1_CAV_SCHEDULE4451416[[#This Row],[MIN VAV
(CFM)]]</f>
        <v>360</v>
      </c>
      <c r="AU5" s="48">
        <f>INPUT_OUTPUTS!$C$16</f>
        <v>140</v>
      </c>
      <c r="AV5" s="48">
        <f>INPUT_OUTPUTS!$C$17</f>
        <v>100</v>
      </c>
      <c r="AW5" s="48">
        <f t="shared" si="1"/>
        <v>55</v>
      </c>
      <c r="AX5" s="48">
        <f t="shared" si="1"/>
        <v>85</v>
      </c>
      <c r="AY5" s="48" t="e">
        <f>MROUND((1.08*(AX5-AW5)*#REF!)/1000,0.1)</f>
        <v>#REF!</v>
      </c>
      <c r="AZ5" s="49" t="e">
        <f t="shared" ref="AZ5:AZ40" si="4">(AY5*1000)/(500*(AU5-AV5))</f>
        <v>#REF!</v>
      </c>
      <c r="BA5" s="49" t="e">
        <f t="shared" si="2"/>
        <v>#REF!</v>
      </c>
      <c r="BB5" s="49">
        <f t="shared" ref="BB5:BB40" si="5">BB4</f>
        <v>5</v>
      </c>
      <c r="BC5" s="49">
        <f>IFERROR((_xlfn.XLOOKUP(AR5,'DO NOT TOUCH'!$Q$9:$Q$14,'DO NOT TOUCH'!$R$9:$R$14,)),"TBD")</f>
        <v>45</v>
      </c>
      <c r="BD5" s="49">
        <f>INPUT_OUTPUTS!$C$19</f>
        <v>0</v>
      </c>
      <c r="BE5" s="48" t="str">
        <f t="shared" ref="BE5:BE40" si="6">BE4</f>
        <v>1, 2</v>
      </c>
    </row>
    <row r="6" spans="1:57" ht="15.75">
      <c r="A6" s="294" t="s">
        <v>485</v>
      </c>
      <c r="B6" s="294"/>
      <c r="C6" s="313">
        <f>SUBTOTAL(103,Ahu_Ashrae_sheet15[Room])</f>
        <v>3</v>
      </c>
      <c r="D6" s="312">
        <f>SUBTOTAL(109,Ahu_Ashrae_sheet15[AREA (FT²)])</f>
        <v>2400</v>
      </c>
      <c r="E6" s="314"/>
      <c r="F6" s="315"/>
      <c r="G6" s="311">
        <f>SUBTOTAL(109,Ahu_Ashrae_sheet15[LOAD (CFM)])</f>
        <v>1080</v>
      </c>
      <c r="H6" s="294"/>
      <c r="I6" s="294"/>
      <c r="J6" s="294"/>
      <c r="K6" s="316"/>
      <c r="L6" s="316"/>
      <c r="M6" s="316"/>
      <c r="N6" s="316"/>
      <c r="O6" s="317">
        <f>SUBTOTAL(109,Ahu_Ashrae_sheet15[Actual Number of  Occupants (Ps)])</f>
        <v>29</v>
      </c>
      <c r="P6" s="317">
        <f>SUBTOTAL(109,Ahu_Ashrae_sheet15[Occupants (Pz)])</f>
        <v>29</v>
      </c>
      <c r="Q6" s="317"/>
      <c r="R6" s="318">
        <f>SUBTOTAL(109,Ahu_Ashrae_sheet15[Uncorrected OA (Vou)])</f>
        <v>463.5</v>
      </c>
      <c r="S6" s="316"/>
      <c r="T6" s="318">
        <f>SUBTOTAL(109,Ahu_Ashrae_sheet15[OUTSIDE AIRFLOW (CFM) (Vot)])</f>
        <v>618</v>
      </c>
      <c r="U6" s="318"/>
      <c r="V6" s="318"/>
      <c r="W6" s="318"/>
      <c r="X6" s="318"/>
      <c r="Y6" s="318"/>
      <c r="Z6" s="318"/>
      <c r="AA6" s="318">
        <f>SUBTOTAL(109,Ahu_Ashrae_sheet15[MIN OA ALLOWABLE (WITH DCV)])</f>
        <v>144</v>
      </c>
      <c r="AB6" s="316"/>
      <c r="AC6" s="316"/>
      <c r="AD6" s="316"/>
      <c r="AE6" s="316"/>
      <c r="AF6" s="318">
        <f>SUBTOTAL(109,Ahu_Ashrae_sheet15[DESIGN VAV MAX SA(CFM)])</f>
        <v>2400</v>
      </c>
      <c r="AG6" s="318">
        <f>SUBTOTAL(109,Ahu_Ashrae_sheet15[DESIGN RA (CFM)])</f>
        <v>2400</v>
      </c>
      <c r="AH6" s="318">
        <f>SUBTOTAL(109,Ahu_Ashrae_sheet15[DESIGN EA(CFM)])</f>
        <v>0</v>
      </c>
      <c r="AI6" s="316"/>
      <c r="AJ6" s="319"/>
      <c r="AM6" s="323" t="s">
        <v>617</v>
      </c>
      <c r="AN6" s="323" t="s">
        <v>82</v>
      </c>
      <c r="AO6" s="323" t="s">
        <v>88</v>
      </c>
      <c r="AP6" s="323">
        <f>SUMIF(Ahu_Ashrae_sheet15[Zone],AHU1_CAV_SCHEDULE4451416[[#This Row],[ZONE]],Ahu_Ashrae_sheet15[DESIGN VAV MIN SA(CFM)])</f>
        <v>0</v>
      </c>
      <c r="AQ6" s="323">
        <f>SUMIF(Ahu_Ashrae_sheet15[Zone],AHU1_CAV_SCHEDULE4451416[[#This Row],[ZONE]],Ahu_Ashrae_sheet15[DESIGN VAV MAX SA(CFM)])</f>
        <v>0</v>
      </c>
      <c r="AR6" s="48" t="str">
        <f>IFERROR((VLOOKUP(AHU1_CAV_SCHEDULE4451416[[#This Row],[MAX VAV
(CFM)]],'DO NOT TOUCH'!$P$9:$Q$14,2,TRUE)),"TBD")</f>
        <v>TBD</v>
      </c>
      <c r="AS6" s="48">
        <f t="shared" si="3"/>
        <v>0.5</v>
      </c>
      <c r="AT6" s="48">
        <f>AHU1_CAV_SCHEDULE4451416[[#This Row],[MIN VAV
(CFM)]]</f>
        <v>0</v>
      </c>
      <c r="AU6" s="48">
        <f>INPUT_OUTPUTS!$C$16</f>
        <v>140</v>
      </c>
      <c r="AV6" s="48">
        <f>INPUT_OUTPUTS!$C$17</f>
        <v>100</v>
      </c>
      <c r="AW6" s="48">
        <f t="shared" si="1"/>
        <v>55</v>
      </c>
      <c r="AX6" s="48">
        <f t="shared" si="1"/>
        <v>85</v>
      </c>
      <c r="AY6" s="48" t="e">
        <f>MROUND((1.08*(AX6-AW6)*#REF!)/1000,0.1)</f>
        <v>#REF!</v>
      </c>
      <c r="AZ6" s="49" t="e">
        <f t="shared" si="4"/>
        <v>#REF!</v>
      </c>
      <c r="BA6" s="49" t="e">
        <f t="shared" si="2"/>
        <v>#REF!</v>
      </c>
      <c r="BB6" s="49">
        <f t="shared" si="5"/>
        <v>5</v>
      </c>
      <c r="BC6" s="49" t="str">
        <f>IFERROR((_xlfn.XLOOKUP(AR6,'DO NOT TOUCH'!$Q$9:$Q$14,'DO NOT TOUCH'!$R$9:$R$14,)),"TBD")</f>
        <v>TBD</v>
      </c>
      <c r="BD6" s="49">
        <f>INPUT_OUTPUTS!$C$19</f>
        <v>0</v>
      </c>
      <c r="BE6" s="48" t="str">
        <f t="shared" si="6"/>
        <v>1, 2</v>
      </c>
    </row>
    <row r="7" spans="1:57" ht="15">
      <c r="AM7" s="323" t="s">
        <v>618</v>
      </c>
      <c r="AN7" s="323" t="s">
        <v>82</v>
      </c>
      <c r="AO7" s="323" t="s">
        <v>88</v>
      </c>
      <c r="AP7" s="323">
        <f>SUMIF(Ahu_Ashrae_sheet15[Zone],AHU1_CAV_SCHEDULE4451416[[#This Row],[ZONE]],Ahu_Ashrae_sheet15[DESIGN VAV MIN SA(CFM)])</f>
        <v>0</v>
      </c>
      <c r="AQ7" s="323">
        <f>SUMIF(Ahu_Ashrae_sheet15[Zone],AHU1_CAV_SCHEDULE4451416[[#This Row],[ZONE]],Ahu_Ashrae_sheet15[DESIGN VAV MAX SA(CFM)])</f>
        <v>0</v>
      </c>
      <c r="AR7" s="48" t="str">
        <f>IFERROR((VLOOKUP(AHU1_CAV_SCHEDULE4451416[[#This Row],[MAX VAV
(CFM)]],'DO NOT TOUCH'!$P$9:$Q$14,2,TRUE)),"TBD")</f>
        <v>TBD</v>
      </c>
      <c r="AS7" s="48">
        <f t="shared" si="3"/>
        <v>0.5</v>
      </c>
      <c r="AT7" s="48">
        <f>AHU1_CAV_SCHEDULE4451416[[#This Row],[MIN VAV
(CFM)]]</f>
        <v>0</v>
      </c>
      <c r="AU7" s="48">
        <f>INPUT_OUTPUTS!$C$16</f>
        <v>140</v>
      </c>
      <c r="AV7" s="48">
        <f>INPUT_OUTPUTS!$C$17</f>
        <v>100</v>
      </c>
      <c r="AW7" s="48">
        <f t="shared" si="1"/>
        <v>55</v>
      </c>
      <c r="AX7" s="48">
        <f t="shared" si="1"/>
        <v>85</v>
      </c>
      <c r="AY7" s="48" t="e">
        <f>MROUND((1.08*(AX7-AW7)*#REF!)/1000,0.1)</f>
        <v>#REF!</v>
      </c>
      <c r="AZ7" s="49" t="e">
        <f t="shared" si="4"/>
        <v>#REF!</v>
      </c>
      <c r="BA7" s="49" t="e">
        <f t="shared" si="2"/>
        <v>#REF!</v>
      </c>
      <c r="BB7" s="49">
        <f t="shared" si="5"/>
        <v>5</v>
      </c>
      <c r="BC7" s="49" t="str">
        <f>IFERROR((_xlfn.XLOOKUP(AR7,'DO NOT TOUCH'!$Q$9:$Q$14,'DO NOT TOUCH'!$R$9:$R$14,)),"TBD")</f>
        <v>TBD</v>
      </c>
      <c r="BD7" s="49">
        <f>INPUT_OUTPUTS!$C$19</f>
        <v>0</v>
      </c>
      <c r="BE7" s="48" t="str">
        <f t="shared" si="6"/>
        <v>1, 2</v>
      </c>
    </row>
    <row r="8" spans="1:57" ht="15">
      <c r="AM8" s="323" t="s">
        <v>619</v>
      </c>
      <c r="AN8" s="323" t="s">
        <v>82</v>
      </c>
      <c r="AO8" s="323" t="s">
        <v>88</v>
      </c>
      <c r="AP8" s="323">
        <f>SUMIF(Ahu_Ashrae_sheet15[Zone],AHU1_CAV_SCHEDULE4451416[[#This Row],[ZONE]],Ahu_Ashrae_sheet15[DESIGN VAV MIN SA(CFM)])</f>
        <v>0</v>
      </c>
      <c r="AQ8" s="323">
        <f>SUMIF(Ahu_Ashrae_sheet15[Zone],AHU1_CAV_SCHEDULE4451416[[#This Row],[ZONE]],Ahu_Ashrae_sheet15[DESIGN VAV MAX SA(CFM)])</f>
        <v>0</v>
      </c>
      <c r="AR8" s="48" t="str">
        <f>IFERROR((VLOOKUP(AHU1_CAV_SCHEDULE4451416[[#This Row],[MAX VAV
(CFM)]],'DO NOT TOUCH'!$P$9:$Q$14,2,TRUE)),"TBD")</f>
        <v>TBD</v>
      </c>
      <c r="AS8" s="48">
        <f t="shared" si="3"/>
        <v>0.5</v>
      </c>
      <c r="AT8" s="48">
        <f>AHU1_CAV_SCHEDULE4451416[[#This Row],[MIN VAV
(CFM)]]</f>
        <v>0</v>
      </c>
      <c r="AU8" s="48">
        <f>INPUT_OUTPUTS!$C$16</f>
        <v>140</v>
      </c>
      <c r="AV8" s="48">
        <f>INPUT_OUTPUTS!$C$17</f>
        <v>100</v>
      </c>
      <c r="AW8" s="48">
        <f t="shared" si="1"/>
        <v>55</v>
      </c>
      <c r="AX8" s="48">
        <f t="shared" si="1"/>
        <v>85</v>
      </c>
      <c r="AY8" s="48" t="e">
        <f>MROUND((1.08*(AX8-AW8)*#REF!)/1000,0.1)</f>
        <v>#REF!</v>
      </c>
      <c r="AZ8" s="49" t="e">
        <f t="shared" si="4"/>
        <v>#REF!</v>
      </c>
      <c r="BA8" s="49" t="e">
        <f t="shared" si="2"/>
        <v>#REF!</v>
      </c>
      <c r="BB8" s="49">
        <f t="shared" si="5"/>
        <v>5</v>
      </c>
      <c r="BC8" s="49" t="str">
        <f>IFERROR((_xlfn.XLOOKUP(AR8,'DO NOT TOUCH'!$Q$9:$Q$14,'DO NOT TOUCH'!$R$9:$R$14,)),"TBD")</f>
        <v>TBD</v>
      </c>
      <c r="BD8" s="49">
        <f>INPUT_OUTPUTS!$C$19</f>
        <v>0</v>
      </c>
      <c r="BE8" s="48" t="str">
        <f t="shared" si="6"/>
        <v>1, 2</v>
      </c>
    </row>
    <row r="9" spans="1:57" ht="15">
      <c r="AM9" s="323" t="s">
        <v>620</v>
      </c>
      <c r="AN9" s="323" t="s">
        <v>82</v>
      </c>
      <c r="AO9" s="323" t="s">
        <v>88</v>
      </c>
      <c r="AP9" s="323">
        <f>SUMIF(Ahu_Ashrae_sheet15[Zone],AHU1_CAV_SCHEDULE4451416[[#This Row],[ZONE]],Ahu_Ashrae_sheet15[DESIGN VAV MIN SA(CFM)])</f>
        <v>0</v>
      </c>
      <c r="AQ9" s="323">
        <f>SUMIF(Ahu_Ashrae_sheet15[Zone],AHU1_CAV_SCHEDULE4451416[[#This Row],[ZONE]],Ahu_Ashrae_sheet15[DESIGN VAV MAX SA(CFM)])</f>
        <v>0</v>
      </c>
      <c r="AR9" s="48" t="str">
        <f>IFERROR((VLOOKUP(AHU1_CAV_SCHEDULE4451416[[#This Row],[MAX VAV
(CFM)]],'DO NOT TOUCH'!$P$9:$Q$14,2,TRUE)),"TBD")</f>
        <v>TBD</v>
      </c>
      <c r="AS9" s="48">
        <f t="shared" si="3"/>
        <v>0.5</v>
      </c>
      <c r="AT9" s="48">
        <f>AHU1_CAV_SCHEDULE4451416[[#This Row],[MIN VAV
(CFM)]]</f>
        <v>0</v>
      </c>
      <c r="AU9" s="48">
        <f>INPUT_OUTPUTS!$C$16</f>
        <v>140</v>
      </c>
      <c r="AV9" s="48">
        <f>INPUT_OUTPUTS!$C$17</f>
        <v>100</v>
      </c>
      <c r="AW9" s="48">
        <f t="shared" si="1"/>
        <v>55</v>
      </c>
      <c r="AX9" s="48">
        <f t="shared" si="1"/>
        <v>85</v>
      </c>
      <c r="AY9" s="48" t="e">
        <f>MROUND((1.08*(AX9-AW9)*#REF!)/1000,0.1)</f>
        <v>#REF!</v>
      </c>
      <c r="AZ9" s="49" t="e">
        <f t="shared" si="4"/>
        <v>#REF!</v>
      </c>
      <c r="BA9" s="49" t="e">
        <f t="shared" si="2"/>
        <v>#REF!</v>
      </c>
      <c r="BB9" s="49">
        <f t="shared" si="5"/>
        <v>5</v>
      </c>
      <c r="BC9" s="49" t="str">
        <f>IFERROR((_xlfn.XLOOKUP(AR9,'DO NOT TOUCH'!$Q$9:$Q$14,'DO NOT TOUCH'!$R$9:$R$14,)),"TBD")</f>
        <v>TBD</v>
      </c>
      <c r="BD9" s="49">
        <f>INPUT_OUTPUTS!$C$19</f>
        <v>0</v>
      </c>
      <c r="BE9" s="51" t="str">
        <f t="shared" si="6"/>
        <v>1, 2</v>
      </c>
    </row>
    <row r="10" spans="1:57" ht="15">
      <c r="AM10" s="323" t="s">
        <v>621</v>
      </c>
      <c r="AN10" s="323" t="s">
        <v>82</v>
      </c>
      <c r="AO10" s="323" t="s">
        <v>88</v>
      </c>
      <c r="AP10" s="323">
        <f>SUMIF(Ahu_Ashrae_sheet15[Zone],AHU1_CAV_SCHEDULE4451416[[#This Row],[ZONE]],Ahu_Ashrae_sheet15[DESIGN VAV MIN SA(CFM)])</f>
        <v>0</v>
      </c>
      <c r="AQ10" s="323">
        <f>SUMIF(Ahu_Ashrae_sheet15[Zone],AHU1_CAV_SCHEDULE4451416[[#This Row],[ZONE]],Ahu_Ashrae_sheet15[DESIGN VAV MAX SA(CFM)])</f>
        <v>0</v>
      </c>
      <c r="AR10" s="48" t="str">
        <f>IFERROR((VLOOKUP(AHU1_CAV_SCHEDULE4451416[[#This Row],[MAX VAV
(CFM)]],'DO NOT TOUCH'!$P$9:$Q$14,2,TRUE)),"TBD")</f>
        <v>TBD</v>
      </c>
      <c r="AS10" s="48">
        <f t="shared" si="3"/>
        <v>0.5</v>
      </c>
      <c r="AT10" s="48">
        <f>AHU1_CAV_SCHEDULE4451416[[#This Row],[MIN VAV
(CFM)]]</f>
        <v>0</v>
      </c>
      <c r="AU10" s="48">
        <f>INPUT_OUTPUTS!$C$16</f>
        <v>140</v>
      </c>
      <c r="AV10" s="48">
        <f>INPUT_OUTPUTS!$C$17</f>
        <v>100</v>
      </c>
      <c r="AW10" s="48">
        <f t="shared" si="1"/>
        <v>55</v>
      </c>
      <c r="AX10" s="48">
        <f t="shared" si="1"/>
        <v>85</v>
      </c>
      <c r="AY10" s="48" t="e">
        <f>MROUND((1.08*(AX10-AW10)*#REF!)/1000,0.1)</f>
        <v>#REF!</v>
      </c>
      <c r="AZ10" s="49" t="e">
        <f t="shared" si="4"/>
        <v>#REF!</v>
      </c>
      <c r="BA10" s="49" t="e">
        <f t="shared" si="2"/>
        <v>#REF!</v>
      </c>
      <c r="BB10" s="49">
        <f t="shared" si="5"/>
        <v>5</v>
      </c>
      <c r="BC10" s="49" t="str">
        <f>IFERROR((_xlfn.XLOOKUP(AR10,'DO NOT TOUCH'!$Q$9:$Q$14,'DO NOT TOUCH'!$R$9:$R$14,)),"TBD")</f>
        <v>TBD</v>
      </c>
      <c r="BD10" s="49">
        <f>INPUT_OUTPUTS!$C$19</f>
        <v>0</v>
      </c>
      <c r="BE10" s="51" t="str">
        <f t="shared" si="6"/>
        <v>1, 2</v>
      </c>
    </row>
    <row r="11" spans="1:57" ht="15">
      <c r="AM11" s="323" t="s">
        <v>622</v>
      </c>
      <c r="AN11" s="323" t="s">
        <v>82</v>
      </c>
      <c r="AO11" s="323" t="s">
        <v>88</v>
      </c>
      <c r="AP11" s="323">
        <f>SUMIF(Ahu_Ashrae_sheet15[Zone],AHU1_CAV_SCHEDULE4451416[[#This Row],[ZONE]],Ahu_Ashrae_sheet15[DESIGN VAV MIN SA(CFM)])</f>
        <v>0</v>
      </c>
      <c r="AQ11" s="323">
        <f>SUMIF(Ahu_Ashrae_sheet15[Zone],AHU1_CAV_SCHEDULE4451416[[#This Row],[ZONE]],Ahu_Ashrae_sheet15[DESIGN VAV MAX SA(CFM)])</f>
        <v>0</v>
      </c>
      <c r="AR11" s="48" t="str">
        <f>IFERROR((VLOOKUP(AHU1_CAV_SCHEDULE4451416[[#This Row],[MAX VAV
(CFM)]],'DO NOT TOUCH'!$P$9:$Q$14,2,TRUE)),"TBD")</f>
        <v>TBD</v>
      </c>
      <c r="AS11" s="48">
        <f t="shared" si="3"/>
        <v>0.5</v>
      </c>
      <c r="AT11" s="48">
        <f>AHU1_CAV_SCHEDULE4451416[[#This Row],[MIN VAV
(CFM)]]</f>
        <v>0</v>
      </c>
      <c r="AU11" s="48">
        <f>INPUT_OUTPUTS!$C$16</f>
        <v>140</v>
      </c>
      <c r="AV11" s="48">
        <f>INPUT_OUTPUTS!$C$17</f>
        <v>100</v>
      </c>
      <c r="AW11" s="48">
        <f t="shared" si="1"/>
        <v>55</v>
      </c>
      <c r="AX11" s="48">
        <f t="shared" si="1"/>
        <v>85</v>
      </c>
      <c r="AY11" s="48" t="e">
        <f>MROUND((1.08*(AX11-AW11)*#REF!)/1000,0.1)</f>
        <v>#REF!</v>
      </c>
      <c r="AZ11" s="49" t="e">
        <f t="shared" si="4"/>
        <v>#REF!</v>
      </c>
      <c r="BA11" s="49" t="e">
        <f t="shared" si="2"/>
        <v>#REF!</v>
      </c>
      <c r="BB11" s="49">
        <f t="shared" si="5"/>
        <v>5</v>
      </c>
      <c r="BC11" s="49" t="str">
        <f>IFERROR((_xlfn.XLOOKUP(AR11,'DO NOT TOUCH'!$Q$9:$Q$14,'DO NOT TOUCH'!$R$9:$R$14,)),"TBD")</f>
        <v>TBD</v>
      </c>
      <c r="BD11" s="49">
        <f>INPUT_OUTPUTS!$C$19</f>
        <v>0</v>
      </c>
      <c r="BE11" s="51" t="str">
        <f t="shared" si="6"/>
        <v>1, 2</v>
      </c>
    </row>
    <row r="12" spans="1:57" ht="15">
      <c r="AM12" s="323" t="s">
        <v>623</v>
      </c>
      <c r="AN12" s="323" t="s">
        <v>82</v>
      </c>
      <c r="AO12" s="323" t="s">
        <v>88</v>
      </c>
      <c r="AP12" s="323">
        <f>SUMIF(Ahu_Ashrae_sheet15[Zone],AHU1_CAV_SCHEDULE4451416[[#This Row],[ZONE]],Ahu_Ashrae_sheet15[DESIGN VAV MIN SA(CFM)])</f>
        <v>0</v>
      </c>
      <c r="AQ12" s="323">
        <f>SUMIF(Ahu_Ashrae_sheet15[Zone],AHU1_CAV_SCHEDULE4451416[[#This Row],[ZONE]],Ahu_Ashrae_sheet15[DESIGN VAV MAX SA(CFM)])</f>
        <v>0</v>
      </c>
      <c r="AR12" s="48" t="str">
        <f>IFERROR((VLOOKUP(AHU1_CAV_SCHEDULE4451416[[#This Row],[MAX VAV
(CFM)]],'DO NOT TOUCH'!$P$9:$Q$14,2,TRUE)),"TBD")</f>
        <v>TBD</v>
      </c>
      <c r="AS12" s="48">
        <f t="shared" si="3"/>
        <v>0.5</v>
      </c>
      <c r="AT12" s="48">
        <f>AHU1_CAV_SCHEDULE4451416[[#This Row],[MIN VAV
(CFM)]]</f>
        <v>0</v>
      </c>
      <c r="AU12" s="48">
        <f>INPUT_OUTPUTS!$C$16</f>
        <v>140</v>
      </c>
      <c r="AV12" s="48">
        <f>INPUT_OUTPUTS!$C$17</f>
        <v>100</v>
      </c>
      <c r="AW12" s="48">
        <f t="shared" si="1"/>
        <v>55</v>
      </c>
      <c r="AX12" s="48">
        <f t="shared" si="1"/>
        <v>85</v>
      </c>
      <c r="AY12" s="48" t="e">
        <f>MROUND((1.08*(AX12-AW12)*#REF!)/1000,0.1)</f>
        <v>#REF!</v>
      </c>
      <c r="AZ12" s="49" t="e">
        <f t="shared" si="4"/>
        <v>#REF!</v>
      </c>
      <c r="BA12" s="49" t="e">
        <f t="shared" si="2"/>
        <v>#REF!</v>
      </c>
      <c r="BB12" s="49">
        <f t="shared" si="5"/>
        <v>5</v>
      </c>
      <c r="BC12" s="49" t="str">
        <f>IFERROR((_xlfn.XLOOKUP(AR12,'DO NOT TOUCH'!$Q$9:$Q$14,'DO NOT TOUCH'!$R$9:$R$14,)),"TBD")</f>
        <v>TBD</v>
      </c>
      <c r="BD12" s="49">
        <f>INPUT_OUTPUTS!$C$19</f>
        <v>0</v>
      </c>
      <c r="BE12" s="51" t="str">
        <f t="shared" si="6"/>
        <v>1, 2</v>
      </c>
    </row>
    <row r="13" spans="1:57" ht="15">
      <c r="AM13" s="323" t="s">
        <v>624</v>
      </c>
      <c r="AN13" s="323" t="s">
        <v>82</v>
      </c>
      <c r="AO13" s="323" t="s">
        <v>88</v>
      </c>
      <c r="AP13" s="323">
        <f>SUMIF(Ahu_Ashrae_sheet15[Zone],AHU1_CAV_SCHEDULE4451416[[#This Row],[ZONE]],Ahu_Ashrae_sheet15[DESIGN VAV MIN SA(CFM)])</f>
        <v>0</v>
      </c>
      <c r="AQ13" s="323">
        <f>SUMIF(Ahu_Ashrae_sheet15[Zone],AHU1_CAV_SCHEDULE4451416[[#This Row],[ZONE]],Ahu_Ashrae_sheet15[DESIGN VAV MAX SA(CFM)])</f>
        <v>0</v>
      </c>
      <c r="AR13" s="48" t="str">
        <f>IFERROR((VLOOKUP(AHU1_CAV_SCHEDULE4451416[[#This Row],[MAX VAV
(CFM)]],'DO NOT TOUCH'!$P$9:$Q$14,2,TRUE)),"TBD")</f>
        <v>TBD</v>
      </c>
      <c r="AS13" s="48">
        <f t="shared" si="3"/>
        <v>0.5</v>
      </c>
      <c r="AT13" s="48">
        <f>AHU1_CAV_SCHEDULE4451416[[#This Row],[MIN VAV
(CFM)]]</f>
        <v>0</v>
      </c>
      <c r="AU13" s="48">
        <f>INPUT_OUTPUTS!$C$16</f>
        <v>140</v>
      </c>
      <c r="AV13" s="48">
        <f>INPUT_OUTPUTS!$C$17</f>
        <v>100</v>
      </c>
      <c r="AW13" s="48">
        <f t="shared" si="1"/>
        <v>55</v>
      </c>
      <c r="AX13" s="48">
        <f t="shared" si="1"/>
        <v>85</v>
      </c>
      <c r="AY13" s="48" t="e">
        <f>MROUND((1.08*(AX13-AW13)*#REF!)/1000,0.1)</f>
        <v>#REF!</v>
      </c>
      <c r="AZ13" s="49" t="e">
        <f t="shared" si="4"/>
        <v>#REF!</v>
      </c>
      <c r="BA13" s="49" t="e">
        <f t="shared" si="2"/>
        <v>#REF!</v>
      </c>
      <c r="BB13" s="49">
        <f t="shared" si="5"/>
        <v>5</v>
      </c>
      <c r="BC13" s="49" t="str">
        <f>IFERROR((_xlfn.XLOOKUP(AR13,'DO NOT TOUCH'!$Q$9:$Q$14,'DO NOT TOUCH'!$R$9:$R$14,)),"TBD")</f>
        <v>TBD</v>
      </c>
      <c r="BD13" s="49">
        <f>INPUT_OUTPUTS!$C$19</f>
        <v>0</v>
      </c>
      <c r="BE13" s="51" t="str">
        <f t="shared" si="6"/>
        <v>1, 2</v>
      </c>
    </row>
    <row r="14" spans="1:57" ht="15">
      <c r="AM14" s="323" t="s">
        <v>625</v>
      </c>
      <c r="AN14" s="323" t="s">
        <v>82</v>
      </c>
      <c r="AO14" s="323" t="s">
        <v>88</v>
      </c>
      <c r="AP14" s="323">
        <f>SUMIF(Ahu_Ashrae_sheet15[Zone],AHU1_CAV_SCHEDULE4451416[[#This Row],[ZONE]],Ahu_Ashrae_sheet15[DESIGN VAV MIN SA(CFM)])</f>
        <v>0</v>
      </c>
      <c r="AQ14" s="323">
        <f>SUMIF(Ahu_Ashrae_sheet15[Zone],AHU1_CAV_SCHEDULE4451416[[#This Row],[ZONE]],Ahu_Ashrae_sheet15[DESIGN VAV MAX SA(CFM)])</f>
        <v>0</v>
      </c>
      <c r="AR14" s="48" t="str">
        <f>IFERROR((VLOOKUP(AHU1_CAV_SCHEDULE4451416[[#This Row],[MAX VAV
(CFM)]],'DO NOT TOUCH'!$P$9:$Q$14,2,TRUE)),"TBD")</f>
        <v>TBD</v>
      </c>
      <c r="AS14" s="48">
        <f t="shared" si="3"/>
        <v>0.5</v>
      </c>
      <c r="AT14" s="48">
        <f>AHU1_CAV_SCHEDULE4451416[[#This Row],[MIN VAV
(CFM)]]</f>
        <v>0</v>
      </c>
      <c r="AU14" s="48">
        <f>INPUT_OUTPUTS!$C$16</f>
        <v>140</v>
      </c>
      <c r="AV14" s="48">
        <f>INPUT_OUTPUTS!$C$17</f>
        <v>100</v>
      </c>
      <c r="AW14" s="48">
        <f t="shared" si="1"/>
        <v>55</v>
      </c>
      <c r="AX14" s="48">
        <f t="shared" si="1"/>
        <v>85</v>
      </c>
      <c r="AY14" s="48" t="e">
        <f>MROUND((1.08*(AX14-AW14)*#REF!)/1000,0.1)</f>
        <v>#REF!</v>
      </c>
      <c r="AZ14" s="49" t="e">
        <f t="shared" si="4"/>
        <v>#REF!</v>
      </c>
      <c r="BA14" s="49" t="e">
        <f t="shared" si="2"/>
        <v>#REF!</v>
      </c>
      <c r="BB14" s="49">
        <f t="shared" si="5"/>
        <v>5</v>
      </c>
      <c r="BC14" s="49" t="str">
        <f>IFERROR((_xlfn.XLOOKUP(AR14,'DO NOT TOUCH'!$Q$9:$Q$14,'DO NOT TOUCH'!$R$9:$R$14,)),"TBD")</f>
        <v>TBD</v>
      </c>
      <c r="BD14" s="49">
        <f>INPUT_OUTPUTS!$C$19</f>
        <v>0</v>
      </c>
      <c r="BE14" s="51" t="str">
        <f t="shared" si="6"/>
        <v>1, 2</v>
      </c>
    </row>
    <row r="15" spans="1:57" ht="15">
      <c r="AM15" s="323" t="s">
        <v>626</v>
      </c>
      <c r="AN15" s="323" t="s">
        <v>82</v>
      </c>
      <c r="AO15" s="323" t="s">
        <v>88</v>
      </c>
      <c r="AP15" s="323">
        <f>SUMIF(Ahu_Ashrae_sheet15[Zone],AHU1_CAV_SCHEDULE4451416[[#This Row],[ZONE]],Ahu_Ashrae_sheet15[DESIGN VAV MIN SA(CFM)])</f>
        <v>0</v>
      </c>
      <c r="AQ15" s="323">
        <f>SUMIF(Ahu_Ashrae_sheet15[Zone],AHU1_CAV_SCHEDULE4451416[[#This Row],[ZONE]],Ahu_Ashrae_sheet15[DESIGN VAV MAX SA(CFM)])</f>
        <v>0</v>
      </c>
      <c r="AR15" s="48" t="str">
        <f>IFERROR((VLOOKUP(AHU1_CAV_SCHEDULE4451416[[#This Row],[MAX VAV
(CFM)]],'DO NOT TOUCH'!$P$9:$Q$14,2,TRUE)),"TBD")</f>
        <v>TBD</v>
      </c>
      <c r="AS15" s="48">
        <f t="shared" si="3"/>
        <v>0.5</v>
      </c>
      <c r="AT15" s="48">
        <f>AHU1_CAV_SCHEDULE4451416[[#This Row],[MIN VAV
(CFM)]]</f>
        <v>0</v>
      </c>
      <c r="AU15" s="48">
        <f>INPUT_OUTPUTS!$C$16</f>
        <v>140</v>
      </c>
      <c r="AV15" s="48">
        <f>INPUT_OUTPUTS!$C$17</f>
        <v>100</v>
      </c>
      <c r="AW15" s="48">
        <f t="shared" si="1"/>
        <v>55</v>
      </c>
      <c r="AX15" s="48">
        <f t="shared" si="1"/>
        <v>85</v>
      </c>
      <c r="AY15" s="48" t="e">
        <f>MROUND((1.08*(AX15-AW15)*#REF!)/1000,0.1)</f>
        <v>#REF!</v>
      </c>
      <c r="AZ15" s="49" t="e">
        <f t="shared" si="4"/>
        <v>#REF!</v>
      </c>
      <c r="BA15" s="49" t="e">
        <f t="shared" si="2"/>
        <v>#REF!</v>
      </c>
      <c r="BB15" s="49">
        <f t="shared" si="5"/>
        <v>5</v>
      </c>
      <c r="BC15" s="49" t="str">
        <f>IFERROR((_xlfn.XLOOKUP(AR15,'DO NOT TOUCH'!$Q$9:$Q$14,'DO NOT TOUCH'!$R$9:$R$14,)),"TBD")</f>
        <v>TBD</v>
      </c>
      <c r="BD15" s="49">
        <f>INPUT_OUTPUTS!$C$19</f>
        <v>0</v>
      </c>
      <c r="BE15" s="51" t="str">
        <f t="shared" si="6"/>
        <v>1, 2</v>
      </c>
    </row>
    <row r="16" spans="1:57" ht="15">
      <c r="AM16" s="323" t="s">
        <v>627</v>
      </c>
      <c r="AN16" s="323" t="s">
        <v>82</v>
      </c>
      <c r="AO16" s="323" t="s">
        <v>88</v>
      </c>
      <c r="AP16" s="323">
        <f>SUMIF(Ahu_Ashrae_sheet15[Zone],AHU1_CAV_SCHEDULE4451416[[#This Row],[ZONE]],Ahu_Ashrae_sheet15[DESIGN VAV MIN SA(CFM)])</f>
        <v>0</v>
      </c>
      <c r="AQ16" s="323">
        <f>SUMIF(Ahu_Ashrae_sheet15[Zone],AHU1_CAV_SCHEDULE4451416[[#This Row],[ZONE]],Ahu_Ashrae_sheet15[DESIGN VAV MAX SA(CFM)])</f>
        <v>0</v>
      </c>
      <c r="AR16" s="48" t="str">
        <f>IFERROR((VLOOKUP(AHU1_CAV_SCHEDULE4451416[[#This Row],[MAX VAV
(CFM)]],'DO NOT TOUCH'!$P$9:$Q$14,2,TRUE)),"TBD")</f>
        <v>TBD</v>
      </c>
      <c r="AS16" s="48">
        <f t="shared" si="3"/>
        <v>0.5</v>
      </c>
      <c r="AT16" s="48">
        <f>AHU1_CAV_SCHEDULE4451416[[#This Row],[MIN VAV
(CFM)]]</f>
        <v>0</v>
      </c>
      <c r="AU16" s="48">
        <f>INPUT_OUTPUTS!$C$16</f>
        <v>140</v>
      </c>
      <c r="AV16" s="48">
        <f>INPUT_OUTPUTS!$C$17</f>
        <v>100</v>
      </c>
      <c r="AW16" s="48">
        <f t="shared" si="1"/>
        <v>55</v>
      </c>
      <c r="AX16" s="48">
        <f t="shared" si="1"/>
        <v>85</v>
      </c>
      <c r="AY16" s="48" t="e">
        <f>MROUND((1.08*(AX16-AW16)*#REF!)/1000,0.1)</f>
        <v>#REF!</v>
      </c>
      <c r="AZ16" s="49" t="e">
        <f t="shared" si="4"/>
        <v>#REF!</v>
      </c>
      <c r="BA16" s="49" t="e">
        <f t="shared" si="2"/>
        <v>#REF!</v>
      </c>
      <c r="BB16" s="49">
        <f t="shared" si="5"/>
        <v>5</v>
      </c>
      <c r="BC16" s="49" t="str">
        <f>IFERROR((_xlfn.XLOOKUP(AR16,'DO NOT TOUCH'!$Q$9:$Q$14,'DO NOT TOUCH'!$R$9:$R$14,)),"TBD")</f>
        <v>TBD</v>
      </c>
      <c r="BD16" s="49">
        <f>INPUT_OUTPUTS!$C$19</f>
        <v>0</v>
      </c>
      <c r="BE16" s="51" t="str">
        <f t="shared" si="6"/>
        <v>1, 2</v>
      </c>
    </row>
    <row r="17" spans="39:57" ht="15">
      <c r="AM17" s="323" t="s">
        <v>628</v>
      </c>
      <c r="AN17" s="323" t="s">
        <v>82</v>
      </c>
      <c r="AO17" s="323" t="s">
        <v>88</v>
      </c>
      <c r="AP17" s="323">
        <f>SUMIF(Ahu_Ashrae_sheet15[Zone],AHU1_CAV_SCHEDULE4451416[[#This Row],[ZONE]],Ahu_Ashrae_sheet15[DESIGN VAV MIN SA(CFM)])</f>
        <v>0</v>
      </c>
      <c r="AQ17" s="323">
        <f>SUMIF(Ahu_Ashrae_sheet15[Zone],AHU1_CAV_SCHEDULE4451416[[#This Row],[ZONE]],Ahu_Ashrae_sheet15[DESIGN VAV MAX SA(CFM)])</f>
        <v>0</v>
      </c>
      <c r="AR17" s="48" t="str">
        <f>IFERROR((VLOOKUP(AHU1_CAV_SCHEDULE4451416[[#This Row],[MAX VAV
(CFM)]],'DO NOT TOUCH'!$P$9:$Q$14,2,TRUE)),"TBD")</f>
        <v>TBD</v>
      </c>
      <c r="AS17" s="48">
        <f t="shared" si="3"/>
        <v>0.5</v>
      </c>
      <c r="AT17" s="48">
        <f>AHU1_CAV_SCHEDULE4451416[[#This Row],[MIN VAV
(CFM)]]</f>
        <v>0</v>
      </c>
      <c r="AU17" s="48">
        <f>INPUT_OUTPUTS!$C$16</f>
        <v>140</v>
      </c>
      <c r="AV17" s="48">
        <f>INPUT_OUTPUTS!$C$17</f>
        <v>100</v>
      </c>
      <c r="AW17" s="48">
        <f t="shared" si="1"/>
        <v>55</v>
      </c>
      <c r="AX17" s="48">
        <f t="shared" si="1"/>
        <v>85</v>
      </c>
      <c r="AY17" s="48" t="e">
        <f>MROUND((1.08*(AX17-AW17)*#REF!)/1000,0.1)</f>
        <v>#REF!</v>
      </c>
      <c r="AZ17" s="49" t="e">
        <f t="shared" si="4"/>
        <v>#REF!</v>
      </c>
      <c r="BA17" s="49" t="e">
        <f t="shared" si="2"/>
        <v>#REF!</v>
      </c>
      <c r="BB17" s="49">
        <f t="shared" si="5"/>
        <v>5</v>
      </c>
      <c r="BC17" s="49" t="str">
        <f>IFERROR((_xlfn.XLOOKUP(AR17,'DO NOT TOUCH'!$Q$9:$Q$14,'DO NOT TOUCH'!$R$9:$R$14,)),"TBD")</f>
        <v>TBD</v>
      </c>
      <c r="BD17" s="49">
        <f>INPUT_OUTPUTS!$C$19</f>
        <v>0</v>
      </c>
      <c r="BE17" s="51" t="str">
        <f t="shared" si="6"/>
        <v>1, 2</v>
      </c>
    </row>
    <row r="18" spans="39:57" ht="15">
      <c r="AM18" s="323" t="s">
        <v>629</v>
      </c>
      <c r="AN18" s="323" t="s">
        <v>82</v>
      </c>
      <c r="AO18" s="323" t="s">
        <v>88</v>
      </c>
      <c r="AP18" s="323">
        <f>SUMIF(Ahu_Ashrae_sheet15[Zone],AHU1_CAV_SCHEDULE4451416[[#This Row],[ZONE]],Ahu_Ashrae_sheet15[DESIGN VAV MIN SA(CFM)])</f>
        <v>0</v>
      </c>
      <c r="AQ18" s="323">
        <f>SUMIF(Ahu_Ashrae_sheet15[Zone],AHU1_CAV_SCHEDULE4451416[[#This Row],[ZONE]],Ahu_Ashrae_sheet15[DESIGN VAV MAX SA(CFM)])</f>
        <v>0</v>
      </c>
      <c r="AR18" s="48" t="str">
        <f>IFERROR((VLOOKUP(AHU1_CAV_SCHEDULE4451416[[#This Row],[MAX VAV
(CFM)]],'DO NOT TOUCH'!$P$9:$Q$14,2,TRUE)),"TBD")</f>
        <v>TBD</v>
      </c>
      <c r="AS18" s="48">
        <f t="shared" si="3"/>
        <v>0.5</v>
      </c>
      <c r="AT18" s="48">
        <f>AHU1_CAV_SCHEDULE4451416[[#This Row],[MIN VAV
(CFM)]]</f>
        <v>0</v>
      </c>
      <c r="AU18" s="48">
        <f>INPUT_OUTPUTS!$C$16</f>
        <v>140</v>
      </c>
      <c r="AV18" s="48">
        <f>INPUT_OUTPUTS!$C$17</f>
        <v>100</v>
      </c>
      <c r="AW18" s="48">
        <f t="shared" si="1"/>
        <v>55</v>
      </c>
      <c r="AX18" s="48">
        <f t="shared" si="1"/>
        <v>85</v>
      </c>
      <c r="AY18" s="48" t="e">
        <f>MROUND((1.08*(AX18-AW18)*#REF!)/1000,0.1)</f>
        <v>#REF!</v>
      </c>
      <c r="AZ18" s="49" t="e">
        <f t="shared" si="4"/>
        <v>#REF!</v>
      </c>
      <c r="BA18" s="49" t="e">
        <f t="shared" si="2"/>
        <v>#REF!</v>
      </c>
      <c r="BB18" s="49">
        <f t="shared" si="5"/>
        <v>5</v>
      </c>
      <c r="BC18" s="49" t="str">
        <f>IFERROR((_xlfn.XLOOKUP(AR18,'DO NOT TOUCH'!$Q$9:$Q$14,'DO NOT TOUCH'!$R$9:$R$14,)),"TBD")</f>
        <v>TBD</v>
      </c>
      <c r="BD18" s="49">
        <f>INPUT_OUTPUTS!$C$19</f>
        <v>0</v>
      </c>
      <c r="BE18" s="51" t="str">
        <f t="shared" si="6"/>
        <v>1, 2</v>
      </c>
    </row>
    <row r="19" spans="39:57" ht="15">
      <c r="AM19" s="323" t="s">
        <v>630</v>
      </c>
      <c r="AN19" s="323" t="s">
        <v>82</v>
      </c>
      <c r="AO19" s="323" t="s">
        <v>88</v>
      </c>
      <c r="AP19" s="323">
        <f>SUMIF(Ahu_Ashrae_sheet15[Zone],AHU1_CAV_SCHEDULE4451416[[#This Row],[ZONE]],Ahu_Ashrae_sheet15[DESIGN VAV MIN SA(CFM)])</f>
        <v>0</v>
      </c>
      <c r="AQ19" s="323">
        <f>SUMIF(Ahu_Ashrae_sheet15[Zone],AHU1_CAV_SCHEDULE4451416[[#This Row],[ZONE]],Ahu_Ashrae_sheet15[DESIGN VAV MAX SA(CFM)])</f>
        <v>0</v>
      </c>
      <c r="AR19" s="48" t="str">
        <f>IFERROR((VLOOKUP(AHU1_CAV_SCHEDULE4451416[[#This Row],[MAX VAV
(CFM)]],'DO NOT TOUCH'!$P$9:$Q$14,2,TRUE)),"TBD")</f>
        <v>TBD</v>
      </c>
      <c r="AS19" s="48">
        <f t="shared" si="3"/>
        <v>0.5</v>
      </c>
      <c r="AT19" s="48">
        <f>AHU1_CAV_SCHEDULE4451416[[#This Row],[MIN VAV
(CFM)]]</f>
        <v>0</v>
      </c>
      <c r="AU19" s="48">
        <f>INPUT_OUTPUTS!$C$16</f>
        <v>140</v>
      </c>
      <c r="AV19" s="48">
        <f>INPUT_OUTPUTS!$C$17</f>
        <v>100</v>
      </c>
      <c r="AW19" s="48">
        <f t="shared" si="1"/>
        <v>55</v>
      </c>
      <c r="AX19" s="48">
        <f t="shared" si="1"/>
        <v>85</v>
      </c>
      <c r="AY19" s="48" t="e">
        <f>MROUND((1.08*(AX19-AW19)*#REF!)/1000,0.1)</f>
        <v>#REF!</v>
      </c>
      <c r="AZ19" s="49" t="e">
        <f t="shared" si="4"/>
        <v>#REF!</v>
      </c>
      <c r="BA19" s="49" t="e">
        <f t="shared" si="2"/>
        <v>#REF!</v>
      </c>
      <c r="BB19" s="49">
        <f t="shared" si="5"/>
        <v>5</v>
      </c>
      <c r="BC19" s="49" t="str">
        <f>IFERROR((_xlfn.XLOOKUP(AR19,'DO NOT TOUCH'!$Q$9:$Q$14,'DO NOT TOUCH'!$R$9:$R$14,)),"TBD")</f>
        <v>TBD</v>
      </c>
      <c r="BD19" s="49">
        <f>INPUT_OUTPUTS!$C$19</f>
        <v>0</v>
      </c>
      <c r="BE19" s="51" t="str">
        <f t="shared" si="6"/>
        <v>1, 2</v>
      </c>
    </row>
    <row r="20" spans="39:57" ht="15">
      <c r="AM20" s="323" t="s">
        <v>631</v>
      </c>
      <c r="AN20" s="323" t="s">
        <v>82</v>
      </c>
      <c r="AO20" s="323" t="s">
        <v>88</v>
      </c>
      <c r="AP20" s="323">
        <f>SUMIF(Ahu_Ashrae_sheet15[Zone],AHU1_CAV_SCHEDULE4451416[[#This Row],[ZONE]],Ahu_Ashrae_sheet15[DESIGN VAV MIN SA(CFM)])</f>
        <v>0</v>
      </c>
      <c r="AQ20" s="323">
        <f>SUMIF(Ahu_Ashrae_sheet15[Zone],AHU1_CAV_SCHEDULE4451416[[#This Row],[ZONE]],Ahu_Ashrae_sheet15[DESIGN VAV MAX SA(CFM)])</f>
        <v>0</v>
      </c>
      <c r="AR20" s="48" t="str">
        <f>IFERROR((VLOOKUP(AHU1_CAV_SCHEDULE4451416[[#This Row],[MAX VAV
(CFM)]],'DO NOT TOUCH'!$P$9:$Q$14,2,TRUE)),"TBD")</f>
        <v>TBD</v>
      </c>
      <c r="AS20" s="48">
        <f t="shared" si="3"/>
        <v>0.5</v>
      </c>
      <c r="AT20" s="48">
        <f>AHU1_CAV_SCHEDULE4451416[[#This Row],[MIN VAV
(CFM)]]</f>
        <v>0</v>
      </c>
      <c r="AU20" s="48">
        <f>INPUT_OUTPUTS!$C$16</f>
        <v>140</v>
      </c>
      <c r="AV20" s="48">
        <f>INPUT_OUTPUTS!$C$17</f>
        <v>100</v>
      </c>
      <c r="AW20" s="48">
        <f t="shared" ref="AW20:AX35" si="7">AW19</f>
        <v>55</v>
      </c>
      <c r="AX20" s="48">
        <f t="shared" si="7"/>
        <v>85</v>
      </c>
      <c r="AY20" s="48" t="e">
        <f>MROUND((1.08*(AX20-AW20)*#REF!)/1000,0.1)</f>
        <v>#REF!</v>
      </c>
      <c r="AZ20" s="49" t="e">
        <f t="shared" si="4"/>
        <v>#REF!</v>
      </c>
      <c r="BA20" s="49" t="e">
        <f t="shared" si="2"/>
        <v>#REF!</v>
      </c>
      <c r="BB20" s="49">
        <f t="shared" si="5"/>
        <v>5</v>
      </c>
      <c r="BC20" s="49" t="str">
        <f>IFERROR((_xlfn.XLOOKUP(AR20,'DO NOT TOUCH'!$Q$9:$Q$14,'DO NOT TOUCH'!$R$9:$R$14,)),"TBD")</f>
        <v>TBD</v>
      </c>
      <c r="BD20" s="49">
        <f>INPUT_OUTPUTS!$C$19</f>
        <v>0</v>
      </c>
      <c r="BE20" s="51" t="str">
        <f t="shared" si="6"/>
        <v>1, 2</v>
      </c>
    </row>
    <row r="21" spans="39:57" ht="15">
      <c r="AM21" s="323" t="s">
        <v>632</v>
      </c>
      <c r="AN21" s="323" t="s">
        <v>82</v>
      </c>
      <c r="AO21" s="323" t="s">
        <v>88</v>
      </c>
      <c r="AP21" s="323">
        <f>SUMIF(Ahu_Ashrae_sheet15[Zone],AHU1_CAV_SCHEDULE4451416[[#This Row],[ZONE]],Ahu_Ashrae_sheet15[DESIGN VAV MIN SA(CFM)])</f>
        <v>0</v>
      </c>
      <c r="AQ21" s="323">
        <f>SUMIF(Ahu_Ashrae_sheet15[Zone],AHU1_CAV_SCHEDULE4451416[[#This Row],[ZONE]],Ahu_Ashrae_sheet15[DESIGN VAV MAX SA(CFM)])</f>
        <v>0</v>
      </c>
      <c r="AR21" s="48" t="str">
        <f>IFERROR((VLOOKUP(AHU1_CAV_SCHEDULE4451416[[#This Row],[MAX VAV
(CFM)]],'DO NOT TOUCH'!$P$9:$Q$14,2,TRUE)),"TBD")</f>
        <v>TBD</v>
      </c>
      <c r="AS21" s="48">
        <f t="shared" si="3"/>
        <v>0.5</v>
      </c>
      <c r="AT21" s="48">
        <f>AHU1_CAV_SCHEDULE4451416[[#This Row],[MIN VAV
(CFM)]]</f>
        <v>0</v>
      </c>
      <c r="AU21" s="48">
        <f>INPUT_OUTPUTS!$C$16</f>
        <v>140</v>
      </c>
      <c r="AV21" s="48">
        <f>INPUT_OUTPUTS!$C$17</f>
        <v>100</v>
      </c>
      <c r="AW21" s="48">
        <f t="shared" si="7"/>
        <v>55</v>
      </c>
      <c r="AX21" s="48">
        <f t="shared" si="7"/>
        <v>85</v>
      </c>
      <c r="AY21" s="48" t="e">
        <f>MROUND((1.08*(AX21-AW21)*#REF!)/1000,0.1)</f>
        <v>#REF!</v>
      </c>
      <c r="AZ21" s="49" t="e">
        <f t="shared" si="4"/>
        <v>#REF!</v>
      </c>
      <c r="BA21" s="49" t="e">
        <f t="shared" si="2"/>
        <v>#REF!</v>
      </c>
      <c r="BB21" s="49">
        <f t="shared" si="5"/>
        <v>5</v>
      </c>
      <c r="BC21" s="49" t="str">
        <f>IFERROR((_xlfn.XLOOKUP(AR21,'DO NOT TOUCH'!$Q$9:$Q$14,'DO NOT TOUCH'!$R$9:$R$14,)),"TBD")</f>
        <v>TBD</v>
      </c>
      <c r="BD21" s="49">
        <f>INPUT_OUTPUTS!$C$19</f>
        <v>0</v>
      </c>
      <c r="BE21" s="51" t="str">
        <f t="shared" si="6"/>
        <v>1, 2</v>
      </c>
    </row>
    <row r="22" spans="39:57" ht="15">
      <c r="AM22" s="323" t="s">
        <v>633</v>
      </c>
      <c r="AN22" s="323" t="s">
        <v>82</v>
      </c>
      <c r="AO22" s="323" t="s">
        <v>88</v>
      </c>
      <c r="AP22" s="323">
        <f>SUMIF(Ahu_Ashrae_sheet15[Zone],AHU1_CAV_SCHEDULE4451416[[#This Row],[ZONE]],Ahu_Ashrae_sheet15[DESIGN VAV MIN SA(CFM)])</f>
        <v>0</v>
      </c>
      <c r="AQ22" s="323">
        <f>SUMIF(Ahu_Ashrae_sheet15[Zone],AHU1_CAV_SCHEDULE4451416[[#This Row],[ZONE]],Ahu_Ashrae_sheet15[DESIGN VAV MAX SA(CFM)])</f>
        <v>0</v>
      </c>
      <c r="AR22" s="48" t="str">
        <f>IFERROR((VLOOKUP(AHU1_CAV_SCHEDULE4451416[[#This Row],[MAX VAV
(CFM)]],'DO NOT TOUCH'!$P$9:$Q$14,2,TRUE)),"TBD")</f>
        <v>TBD</v>
      </c>
      <c r="AS22" s="48">
        <f t="shared" si="3"/>
        <v>0.5</v>
      </c>
      <c r="AT22" s="48">
        <f>AHU1_CAV_SCHEDULE4451416[[#This Row],[MIN VAV
(CFM)]]</f>
        <v>0</v>
      </c>
      <c r="AU22" s="48">
        <f>INPUT_OUTPUTS!$C$16</f>
        <v>140</v>
      </c>
      <c r="AV22" s="48">
        <f>INPUT_OUTPUTS!$C$17</f>
        <v>100</v>
      </c>
      <c r="AW22" s="48">
        <f t="shared" si="7"/>
        <v>55</v>
      </c>
      <c r="AX22" s="48">
        <f t="shared" si="7"/>
        <v>85</v>
      </c>
      <c r="AY22" s="48" t="e">
        <f>MROUND((1.08*(AX22-AW22)*#REF!)/1000,0.1)</f>
        <v>#REF!</v>
      </c>
      <c r="AZ22" s="49" t="e">
        <f t="shared" si="4"/>
        <v>#REF!</v>
      </c>
      <c r="BA22" s="49" t="e">
        <f t="shared" si="2"/>
        <v>#REF!</v>
      </c>
      <c r="BB22" s="49">
        <f t="shared" si="5"/>
        <v>5</v>
      </c>
      <c r="BC22" s="49" t="str">
        <f>IFERROR((_xlfn.XLOOKUP(AR22,'DO NOT TOUCH'!$Q$9:$Q$14,'DO NOT TOUCH'!$R$9:$R$14,)),"TBD")</f>
        <v>TBD</v>
      </c>
      <c r="BD22" s="49">
        <f>INPUT_OUTPUTS!$C$19</f>
        <v>0</v>
      </c>
      <c r="BE22" s="51" t="str">
        <f t="shared" si="6"/>
        <v>1, 2</v>
      </c>
    </row>
    <row r="23" spans="39:57" ht="15">
      <c r="AM23" s="323" t="s">
        <v>634</v>
      </c>
      <c r="AN23" s="323" t="s">
        <v>82</v>
      </c>
      <c r="AO23" s="323" t="s">
        <v>88</v>
      </c>
      <c r="AP23" s="323">
        <f>SUMIF(Ahu_Ashrae_sheet15[Zone],AHU1_CAV_SCHEDULE4451416[[#This Row],[ZONE]],Ahu_Ashrae_sheet15[DESIGN VAV MIN SA(CFM)])</f>
        <v>0</v>
      </c>
      <c r="AQ23" s="323">
        <f>SUMIF(Ahu_Ashrae_sheet15[Zone],AHU1_CAV_SCHEDULE4451416[[#This Row],[ZONE]],Ahu_Ashrae_sheet15[DESIGN VAV MAX SA(CFM)])</f>
        <v>0</v>
      </c>
      <c r="AR23" s="48" t="str">
        <f>IFERROR((VLOOKUP(AHU1_CAV_SCHEDULE4451416[[#This Row],[MAX VAV
(CFM)]],'DO NOT TOUCH'!$P$9:$Q$14,2,TRUE)),"TBD")</f>
        <v>TBD</v>
      </c>
      <c r="AS23" s="48">
        <f t="shared" si="3"/>
        <v>0.5</v>
      </c>
      <c r="AT23" s="48">
        <f>AHU1_CAV_SCHEDULE4451416[[#This Row],[MIN VAV
(CFM)]]</f>
        <v>0</v>
      </c>
      <c r="AU23" s="48">
        <f>INPUT_OUTPUTS!$C$16</f>
        <v>140</v>
      </c>
      <c r="AV23" s="48">
        <f>INPUT_OUTPUTS!$C$17</f>
        <v>100</v>
      </c>
      <c r="AW23" s="48">
        <f t="shared" si="7"/>
        <v>55</v>
      </c>
      <c r="AX23" s="48">
        <f t="shared" si="7"/>
        <v>85</v>
      </c>
      <c r="AY23" s="48" t="e">
        <f>MROUND((1.08*(AX23-AW23)*#REF!)/1000,0.1)</f>
        <v>#REF!</v>
      </c>
      <c r="AZ23" s="49" t="e">
        <f t="shared" si="4"/>
        <v>#REF!</v>
      </c>
      <c r="BA23" s="49" t="e">
        <f t="shared" si="2"/>
        <v>#REF!</v>
      </c>
      <c r="BB23" s="49">
        <f t="shared" si="5"/>
        <v>5</v>
      </c>
      <c r="BC23" s="49" t="str">
        <f>IFERROR((_xlfn.XLOOKUP(AR23,'DO NOT TOUCH'!$Q$9:$Q$14,'DO NOT TOUCH'!$R$9:$R$14,)),"TBD")</f>
        <v>TBD</v>
      </c>
      <c r="BD23" s="49">
        <f>INPUT_OUTPUTS!$C$19</f>
        <v>0</v>
      </c>
      <c r="BE23" s="51" t="str">
        <f t="shared" si="6"/>
        <v>1, 2</v>
      </c>
    </row>
    <row r="24" spans="39:57" ht="15">
      <c r="AM24" s="323" t="s">
        <v>635</v>
      </c>
      <c r="AN24" s="323" t="s">
        <v>82</v>
      </c>
      <c r="AO24" s="323" t="s">
        <v>88</v>
      </c>
      <c r="AP24" s="323">
        <f>SUMIF(Ahu_Ashrae_sheet15[Zone],AHU1_CAV_SCHEDULE4451416[[#This Row],[ZONE]],Ahu_Ashrae_sheet15[DESIGN VAV MIN SA(CFM)])</f>
        <v>0</v>
      </c>
      <c r="AQ24" s="323">
        <f>SUMIF(Ahu_Ashrae_sheet15[Zone],AHU1_CAV_SCHEDULE4451416[[#This Row],[ZONE]],Ahu_Ashrae_sheet15[DESIGN VAV MAX SA(CFM)])</f>
        <v>0</v>
      </c>
      <c r="AR24" s="48" t="str">
        <f>IFERROR((VLOOKUP(AHU1_CAV_SCHEDULE4451416[[#This Row],[MAX VAV
(CFM)]],'DO NOT TOUCH'!$P$9:$Q$14,2,TRUE)),"TBD")</f>
        <v>TBD</v>
      </c>
      <c r="AS24" s="48">
        <f t="shared" si="3"/>
        <v>0.5</v>
      </c>
      <c r="AT24" s="48">
        <f>AHU1_CAV_SCHEDULE4451416[[#This Row],[MIN VAV
(CFM)]]</f>
        <v>0</v>
      </c>
      <c r="AU24" s="48">
        <f>INPUT_OUTPUTS!$C$16</f>
        <v>140</v>
      </c>
      <c r="AV24" s="48">
        <f>INPUT_OUTPUTS!$C$17</f>
        <v>100</v>
      </c>
      <c r="AW24" s="48">
        <f t="shared" si="7"/>
        <v>55</v>
      </c>
      <c r="AX24" s="48">
        <f t="shared" si="7"/>
        <v>85</v>
      </c>
      <c r="AY24" s="48" t="e">
        <f>MROUND((1.08*(AX24-AW24)*#REF!)/1000,0.1)</f>
        <v>#REF!</v>
      </c>
      <c r="AZ24" s="49" t="e">
        <f t="shared" si="4"/>
        <v>#REF!</v>
      </c>
      <c r="BA24" s="49" t="e">
        <f t="shared" si="2"/>
        <v>#REF!</v>
      </c>
      <c r="BB24" s="49">
        <f t="shared" si="5"/>
        <v>5</v>
      </c>
      <c r="BC24" s="49" t="str">
        <f>IFERROR((_xlfn.XLOOKUP(AR24,'DO NOT TOUCH'!$Q$9:$Q$14,'DO NOT TOUCH'!$R$9:$R$14,)),"TBD")</f>
        <v>TBD</v>
      </c>
      <c r="BD24" s="49">
        <f>INPUT_OUTPUTS!$C$19</f>
        <v>0</v>
      </c>
      <c r="BE24" s="51" t="str">
        <f t="shared" si="6"/>
        <v>1, 2</v>
      </c>
    </row>
    <row r="25" spans="39:57" ht="15">
      <c r="AM25" s="323" t="s">
        <v>636</v>
      </c>
      <c r="AN25" s="323" t="s">
        <v>82</v>
      </c>
      <c r="AO25" s="323" t="s">
        <v>88</v>
      </c>
      <c r="AP25" s="323">
        <f>SUMIF(Ahu_Ashrae_sheet15[Zone],AHU1_CAV_SCHEDULE4451416[[#This Row],[ZONE]],Ahu_Ashrae_sheet15[DESIGN VAV MIN SA(CFM)])</f>
        <v>0</v>
      </c>
      <c r="AQ25" s="323">
        <f>SUMIF(Ahu_Ashrae_sheet15[Zone],AHU1_CAV_SCHEDULE4451416[[#This Row],[ZONE]],Ahu_Ashrae_sheet15[DESIGN VAV MAX SA(CFM)])</f>
        <v>0</v>
      </c>
      <c r="AR25" s="48" t="str">
        <f>IFERROR((VLOOKUP(AHU1_CAV_SCHEDULE4451416[[#This Row],[MAX VAV
(CFM)]],'DO NOT TOUCH'!$P$9:$Q$14,2,TRUE)),"TBD")</f>
        <v>TBD</v>
      </c>
      <c r="AS25" s="48">
        <f t="shared" si="3"/>
        <v>0.5</v>
      </c>
      <c r="AT25" s="48">
        <f>AHU1_CAV_SCHEDULE4451416[[#This Row],[MIN VAV
(CFM)]]</f>
        <v>0</v>
      </c>
      <c r="AU25" s="48">
        <f>INPUT_OUTPUTS!$C$16</f>
        <v>140</v>
      </c>
      <c r="AV25" s="48">
        <f>INPUT_OUTPUTS!$C$17</f>
        <v>100</v>
      </c>
      <c r="AW25" s="48">
        <f t="shared" si="7"/>
        <v>55</v>
      </c>
      <c r="AX25" s="48">
        <f t="shared" si="7"/>
        <v>85</v>
      </c>
      <c r="AY25" s="48" t="e">
        <f>MROUND((1.08*(AX25-AW25)*#REF!)/1000,0.1)</f>
        <v>#REF!</v>
      </c>
      <c r="AZ25" s="49" t="e">
        <f t="shared" si="4"/>
        <v>#REF!</v>
      </c>
      <c r="BA25" s="49" t="e">
        <f t="shared" si="2"/>
        <v>#REF!</v>
      </c>
      <c r="BB25" s="49">
        <f t="shared" si="5"/>
        <v>5</v>
      </c>
      <c r="BC25" s="49" t="str">
        <f>IFERROR((_xlfn.XLOOKUP(AR25,'DO NOT TOUCH'!$Q$9:$Q$14,'DO NOT TOUCH'!$R$9:$R$14,)),"TBD")</f>
        <v>TBD</v>
      </c>
      <c r="BD25" s="49">
        <f>INPUT_OUTPUTS!$C$19</f>
        <v>0</v>
      </c>
      <c r="BE25" s="51" t="str">
        <f t="shared" si="6"/>
        <v>1, 2</v>
      </c>
    </row>
    <row r="26" spans="39:57" ht="15">
      <c r="AM26" s="323" t="s">
        <v>637</v>
      </c>
      <c r="AN26" s="323" t="s">
        <v>82</v>
      </c>
      <c r="AO26" s="323" t="s">
        <v>88</v>
      </c>
      <c r="AP26" s="323">
        <f>SUMIF(Ahu_Ashrae_sheet15[Zone],AHU1_CAV_SCHEDULE4451416[[#This Row],[ZONE]],Ahu_Ashrae_sheet15[DESIGN VAV MIN SA(CFM)])</f>
        <v>0</v>
      </c>
      <c r="AQ26" s="323">
        <f>SUMIF(Ahu_Ashrae_sheet15[Zone],AHU1_CAV_SCHEDULE4451416[[#This Row],[ZONE]],Ahu_Ashrae_sheet15[DESIGN VAV MAX SA(CFM)])</f>
        <v>0</v>
      </c>
      <c r="AR26" s="48" t="str">
        <f>IFERROR((VLOOKUP(AHU1_CAV_SCHEDULE4451416[[#This Row],[MAX VAV
(CFM)]],'DO NOT TOUCH'!$P$9:$Q$14,2,TRUE)),"TBD")</f>
        <v>TBD</v>
      </c>
      <c r="AS26" s="48">
        <f t="shared" si="3"/>
        <v>0.5</v>
      </c>
      <c r="AT26" s="48">
        <f>AHU1_CAV_SCHEDULE4451416[[#This Row],[MIN VAV
(CFM)]]</f>
        <v>0</v>
      </c>
      <c r="AU26" s="48">
        <f>INPUT_OUTPUTS!$C$16</f>
        <v>140</v>
      </c>
      <c r="AV26" s="48">
        <f>INPUT_OUTPUTS!$C$17</f>
        <v>100</v>
      </c>
      <c r="AW26" s="48">
        <f t="shared" si="7"/>
        <v>55</v>
      </c>
      <c r="AX26" s="48">
        <f t="shared" si="7"/>
        <v>85</v>
      </c>
      <c r="AY26" s="48" t="e">
        <f>MROUND((1.08*(AX26-AW26)*#REF!)/1000,0.1)</f>
        <v>#REF!</v>
      </c>
      <c r="AZ26" s="49" t="e">
        <f t="shared" si="4"/>
        <v>#REF!</v>
      </c>
      <c r="BA26" s="49" t="e">
        <f t="shared" si="2"/>
        <v>#REF!</v>
      </c>
      <c r="BB26" s="49">
        <f t="shared" si="5"/>
        <v>5</v>
      </c>
      <c r="BC26" s="49" t="str">
        <f>IFERROR((_xlfn.XLOOKUP(AR26,'DO NOT TOUCH'!$Q$9:$Q$14,'DO NOT TOUCH'!$R$9:$R$14,)),"TBD")</f>
        <v>TBD</v>
      </c>
      <c r="BD26" s="49">
        <f>INPUT_OUTPUTS!$C$19</f>
        <v>0</v>
      </c>
      <c r="BE26" s="51" t="str">
        <f t="shared" si="6"/>
        <v>1, 2</v>
      </c>
    </row>
    <row r="27" spans="39:57" ht="15">
      <c r="AM27" s="323" t="s">
        <v>638</v>
      </c>
      <c r="AN27" s="323" t="s">
        <v>82</v>
      </c>
      <c r="AO27" s="323" t="s">
        <v>88</v>
      </c>
      <c r="AP27" s="323">
        <f>SUMIF(Ahu_Ashrae_sheet15[Zone],AHU1_CAV_SCHEDULE4451416[[#This Row],[ZONE]],Ahu_Ashrae_sheet15[DESIGN VAV MIN SA(CFM)])</f>
        <v>0</v>
      </c>
      <c r="AQ27" s="323">
        <f>SUMIF(Ahu_Ashrae_sheet15[Zone],AHU1_CAV_SCHEDULE4451416[[#This Row],[ZONE]],Ahu_Ashrae_sheet15[DESIGN VAV MAX SA(CFM)])</f>
        <v>0</v>
      </c>
      <c r="AR27" s="48" t="str">
        <f>IFERROR((VLOOKUP(AHU1_CAV_SCHEDULE4451416[[#This Row],[MAX VAV
(CFM)]],'DO NOT TOUCH'!$P$9:$Q$14,2,TRUE)),"TBD")</f>
        <v>TBD</v>
      </c>
      <c r="AS27" s="48">
        <f t="shared" si="3"/>
        <v>0.5</v>
      </c>
      <c r="AT27" s="48">
        <f>AHU1_CAV_SCHEDULE4451416[[#This Row],[MIN VAV
(CFM)]]</f>
        <v>0</v>
      </c>
      <c r="AU27" s="48">
        <f>INPUT_OUTPUTS!$C$16</f>
        <v>140</v>
      </c>
      <c r="AV27" s="48">
        <f>INPUT_OUTPUTS!$C$17</f>
        <v>100</v>
      </c>
      <c r="AW27" s="48">
        <f t="shared" si="7"/>
        <v>55</v>
      </c>
      <c r="AX27" s="48">
        <f t="shared" si="7"/>
        <v>85</v>
      </c>
      <c r="AY27" s="48" t="e">
        <f>MROUND((1.08*(AX27-AW27)*#REF!)/1000,0.1)</f>
        <v>#REF!</v>
      </c>
      <c r="AZ27" s="49" t="e">
        <f t="shared" si="4"/>
        <v>#REF!</v>
      </c>
      <c r="BA27" s="49" t="e">
        <f t="shared" si="2"/>
        <v>#REF!</v>
      </c>
      <c r="BB27" s="49">
        <f t="shared" si="5"/>
        <v>5</v>
      </c>
      <c r="BC27" s="49" t="str">
        <f>IFERROR((_xlfn.XLOOKUP(AR27,'DO NOT TOUCH'!$Q$9:$Q$14,'DO NOT TOUCH'!$R$9:$R$14,)),"TBD")</f>
        <v>TBD</v>
      </c>
      <c r="BD27" s="49">
        <f>INPUT_OUTPUTS!$C$19</f>
        <v>0</v>
      </c>
      <c r="BE27" s="51" t="str">
        <f t="shared" si="6"/>
        <v>1, 2</v>
      </c>
    </row>
    <row r="28" spans="39:57" ht="15">
      <c r="AM28" s="323" t="s">
        <v>639</v>
      </c>
      <c r="AN28" s="323" t="s">
        <v>82</v>
      </c>
      <c r="AO28" s="323" t="s">
        <v>88</v>
      </c>
      <c r="AP28" s="323">
        <f>SUMIF(Ahu_Ashrae_sheet15[Zone],AHU1_CAV_SCHEDULE4451416[[#This Row],[ZONE]],Ahu_Ashrae_sheet15[DESIGN VAV MIN SA(CFM)])</f>
        <v>0</v>
      </c>
      <c r="AQ28" s="323">
        <f>SUMIF(Ahu_Ashrae_sheet15[Zone],AHU1_CAV_SCHEDULE4451416[[#This Row],[ZONE]],Ahu_Ashrae_sheet15[DESIGN VAV MAX SA(CFM)])</f>
        <v>0</v>
      </c>
      <c r="AR28" s="48" t="str">
        <f>IFERROR((VLOOKUP(AHU1_CAV_SCHEDULE4451416[[#This Row],[MAX VAV
(CFM)]],'DO NOT TOUCH'!$P$9:$Q$14,2,TRUE)),"TBD")</f>
        <v>TBD</v>
      </c>
      <c r="AS28" s="48">
        <f t="shared" si="3"/>
        <v>0.5</v>
      </c>
      <c r="AT28" s="48">
        <f>AHU1_CAV_SCHEDULE4451416[[#This Row],[MIN VAV
(CFM)]]</f>
        <v>0</v>
      </c>
      <c r="AU28" s="48">
        <f>INPUT_OUTPUTS!$C$16</f>
        <v>140</v>
      </c>
      <c r="AV28" s="48">
        <f>INPUT_OUTPUTS!$C$17</f>
        <v>100</v>
      </c>
      <c r="AW28" s="48">
        <f t="shared" si="7"/>
        <v>55</v>
      </c>
      <c r="AX28" s="48">
        <f t="shared" si="7"/>
        <v>85</v>
      </c>
      <c r="AY28" s="48" t="e">
        <f>MROUND((1.08*(AX28-AW28)*#REF!)/1000,0.1)</f>
        <v>#REF!</v>
      </c>
      <c r="AZ28" s="49" t="e">
        <f t="shared" si="4"/>
        <v>#REF!</v>
      </c>
      <c r="BA28" s="49" t="e">
        <f t="shared" si="2"/>
        <v>#REF!</v>
      </c>
      <c r="BB28" s="49">
        <f t="shared" si="5"/>
        <v>5</v>
      </c>
      <c r="BC28" s="49" t="str">
        <f>IFERROR((_xlfn.XLOOKUP(AR28,'DO NOT TOUCH'!$Q$9:$Q$14,'DO NOT TOUCH'!$R$9:$R$14,)),"TBD")</f>
        <v>TBD</v>
      </c>
      <c r="BD28" s="49">
        <f>INPUT_OUTPUTS!$C$19</f>
        <v>0</v>
      </c>
      <c r="BE28" s="51" t="str">
        <f t="shared" si="6"/>
        <v>1, 2</v>
      </c>
    </row>
    <row r="29" spans="39:57" ht="15">
      <c r="AM29" s="323" t="s">
        <v>640</v>
      </c>
      <c r="AN29" s="323" t="s">
        <v>82</v>
      </c>
      <c r="AO29" s="323" t="s">
        <v>88</v>
      </c>
      <c r="AP29" s="323">
        <f>SUMIF(Ahu_Ashrae_sheet15[Zone],AHU1_CAV_SCHEDULE4451416[[#This Row],[ZONE]],Ahu_Ashrae_sheet15[DESIGN VAV MIN SA(CFM)])</f>
        <v>0</v>
      </c>
      <c r="AQ29" s="323">
        <f>SUMIF(Ahu_Ashrae_sheet15[Zone],AHU1_CAV_SCHEDULE4451416[[#This Row],[ZONE]],Ahu_Ashrae_sheet15[DESIGN VAV MAX SA(CFM)])</f>
        <v>0</v>
      </c>
      <c r="AR29" s="48" t="str">
        <f>IFERROR((VLOOKUP(AHU1_CAV_SCHEDULE4451416[[#This Row],[MAX VAV
(CFM)]],'DO NOT TOUCH'!$P$9:$Q$14,2,TRUE)),"TBD")</f>
        <v>TBD</v>
      </c>
      <c r="AS29" s="48">
        <f t="shared" si="3"/>
        <v>0.5</v>
      </c>
      <c r="AT29" s="48">
        <f>AHU1_CAV_SCHEDULE4451416[[#This Row],[MIN VAV
(CFM)]]</f>
        <v>0</v>
      </c>
      <c r="AU29" s="48">
        <f>INPUT_OUTPUTS!$C$16</f>
        <v>140</v>
      </c>
      <c r="AV29" s="48">
        <f>INPUT_OUTPUTS!$C$17</f>
        <v>100</v>
      </c>
      <c r="AW29" s="48">
        <f t="shared" si="7"/>
        <v>55</v>
      </c>
      <c r="AX29" s="48">
        <f t="shared" si="7"/>
        <v>85</v>
      </c>
      <c r="AY29" s="48" t="e">
        <f>MROUND((1.08*(AX29-AW29)*#REF!)/1000,0.1)</f>
        <v>#REF!</v>
      </c>
      <c r="AZ29" s="49" t="e">
        <f t="shared" si="4"/>
        <v>#REF!</v>
      </c>
      <c r="BA29" s="49" t="e">
        <f t="shared" si="2"/>
        <v>#REF!</v>
      </c>
      <c r="BB29" s="49">
        <f t="shared" si="5"/>
        <v>5</v>
      </c>
      <c r="BC29" s="49" t="str">
        <f>IFERROR((_xlfn.XLOOKUP(AR29,'DO NOT TOUCH'!$Q$9:$Q$14,'DO NOT TOUCH'!$R$9:$R$14,)),"TBD")</f>
        <v>TBD</v>
      </c>
      <c r="BD29" s="49">
        <f>INPUT_OUTPUTS!$C$19</f>
        <v>0</v>
      </c>
      <c r="BE29" s="51" t="str">
        <f t="shared" si="6"/>
        <v>1, 2</v>
      </c>
    </row>
    <row r="30" spans="39:57" ht="15">
      <c r="AM30" s="323" t="s">
        <v>641</v>
      </c>
      <c r="AN30" s="323" t="s">
        <v>82</v>
      </c>
      <c r="AO30" s="323" t="s">
        <v>88</v>
      </c>
      <c r="AP30" s="323">
        <f>SUMIF(Ahu_Ashrae_sheet15[Zone],AHU1_CAV_SCHEDULE4451416[[#This Row],[ZONE]],Ahu_Ashrae_sheet15[DESIGN VAV MIN SA(CFM)])</f>
        <v>0</v>
      </c>
      <c r="AQ30" s="323">
        <f>SUMIF(Ahu_Ashrae_sheet15[Zone],AHU1_CAV_SCHEDULE4451416[[#This Row],[ZONE]],Ahu_Ashrae_sheet15[DESIGN VAV MAX SA(CFM)])</f>
        <v>0</v>
      </c>
      <c r="AR30" s="48" t="str">
        <f>IFERROR((VLOOKUP(AHU1_CAV_SCHEDULE4451416[[#This Row],[MAX VAV
(CFM)]],'DO NOT TOUCH'!$P$9:$Q$14,2,TRUE)),"TBD")</f>
        <v>TBD</v>
      </c>
      <c r="AS30" s="48">
        <f t="shared" si="3"/>
        <v>0.5</v>
      </c>
      <c r="AT30" s="48">
        <f>AHU1_CAV_SCHEDULE4451416[[#This Row],[MIN VAV
(CFM)]]</f>
        <v>0</v>
      </c>
      <c r="AU30" s="48">
        <f>INPUT_OUTPUTS!$C$16</f>
        <v>140</v>
      </c>
      <c r="AV30" s="48">
        <f>INPUT_OUTPUTS!$C$17</f>
        <v>100</v>
      </c>
      <c r="AW30" s="48">
        <f t="shared" si="7"/>
        <v>55</v>
      </c>
      <c r="AX30" s="48">
        <f t="shared" si="7"/>
        <v>85</v>
      </c>
      <c r="AY30" s="48" t="e">
        <f>MROUND((1.08*(AX30-AW30)*#REF!)/1000,0.1)</f>
        <v>#REF!</v>
      </c>
      <c r="AZ30" s="49" t="e">
        <f t="shared" si="4"/>
        <v>#REF!</v>
      </c>
      <c r="BA30" s="49" t="e">
        <f t="shared" si="2"/>
        <v>#REF!</v>
      </c>
      <c r="BB30" s="49">
        <f t="shared" si="5"/>
        <v>5</v>
      </c>
      <c r="BC30" s="49" t="str">
        <f>IFERROR((_xlfn.XLOOKUP(AR30,'DO NOT TOUCH'!$Q$9:$Q$14,'DO NOT TOUCH'!$R$9:$R$14,)),"TBD")</f>
        <v>TBD</v>
      </c>
      <c r="BD30" s="49">
        <f>INPUT_OUTPUTS!$C$19</f>
        <v>0</v>
      </c>
      <c r="BE30" s="51" t="str">
        <f t="shared" si="6"/>
        <v>1, 2</v>
      </c>
    </row>
    <row r="31" spans="39:57" ht="15">
      <c r="AM31" s="323" t="s">
        <v>642</v>
      </c>
      <c r="AN31" s="323" t="s">
        <v>82</v>
      </c>
      <c r="AO31" s="323" t="s">
        <v>88</v>
      </c>
      <c r="AP31" s="323">
        <f>SUMIF(Ahu_Ashrae_sheet15[Zone],AHU1_CAV_SCHEDULE4451416[[#This Row],[ZONE]],Ahu_Ashrae_sheet15[DESIGN VAV MIN SA(CFM)])</f>
        <v>0</v>
      </c>
      <c r="AQ31" s="323">
        <f>SUMIF(Ahu_Ashrae_sheet15[Zone],AHU1_CAV_SCHEDULE4451416[[#This Row],[ZONE]],Ahu_Ashrae_sheet15[DESIGN VAV MAX SA(CFM)])</f>
        <v>0</v>
      </c>
      <c r="AR31" s="48" t="str">
        <f>IFERROR((VLOOKUP(AHU1_CAV_SCHEDULE4451416[[#This Row],[MAX VAV
(CFM)]],'DO NOT TOUCH'!$P$9:$Q$14,2,TRUE)),"TBD")</f>
        <v>TBD</v>
      </c>
      <c r="AS31" s="48">
        <f t="shared" si="3"/>
        <v>0.5</v>
      </c>
      <c r="AT31" s="48">
        <f>AHU1_CAV_SCHEDULE4451416[[#This Row],[MIN VAV
(CFM)]]</f>
        <v>0</v>
      </c>
      <c r="AU31" s="48">
        <f>INPUT_OUTPUTS!$C$16</f>
        <v>140</v>
      </c>
      <c r="AV31" s="48">
        <f>INPUT_OUTPUTS!$C$17</f>
        <v>100</v>
      </c>
      <c r="AW31" s="48">
        <f t="shared" si="7"/>
        <v>55</v>
      </c>
      <c r="AX31" s="48">
        <f t="shared" si="7"/>
        <v>85</v>
      </c>
      <c r="AY31" s="48" t="e">
        <f>MROUND((1.08*(AX31-AW31)*#REF!)/1000,0.1)</f>
        <v>#REF!</v>
      </c>
      <c r="AZ31" s="49" t="e">
        <f t="shared" si="4"/>
        <v>#REF!</v>
      </c>
      <c r="BA31" s="49" t="e">
        <f t="shared" si="2"/>
        <v>#REF!</v>
      </c>
      <c r="BB31" s="49">
        <f t="shared" si="5"/>
        <v>5</v>
      </c>
      <c r="BC31" s="49" t="str">
        <f>IFERROR((_xlfn.XLOOKUP(AR31,'DO NOT TOUCH'!$Q$9:$Q$14,'DO NOT TOUCH'!$R$9:$R$14,)),"TBD")</f>
        <v>TBD</v>
      </c>
      <c r="BD31" s="49">
        <f>INPUT_OUTPUTS!$C$19</f>
        <v>0</v>
      </c>
      <c r="BE31" s="51" t="str">
        <f t="shared" si="6"/>
        <v>1, 2</v>
      </c>
    </row>
    <row r="32" spans="39:57" ht="15">
      <c r="AM32" s="323" t="s">
        <v>643</v>
      </c>
      <c r="AN32" s="323" t="s">
        <v>82</v>
      </c>
      <c r="AO32" s="323" t="s">
        <v>88</v>
      </c>
      <c r="AP32" s="323">
        <f>SUMIF(Ahu_Ashrae_sheet15[Zone],AHU1_CAV_SCHEDULE4451416[[#This Row],[ZONE]],Ahu_Ashrae_sheet15[DESIGN VAV MIN SA(CFM)])</f>
        <v>0</v>
      </c>
      <c r="AQ32" s="323">
        <f>SUMIF(Ahu_Ashrae_sheet15[Zone],AHU1_CAV_SCHEDULE4451416[[#This Row],[ZONE]],Ahu_Ashrae_sheet15[DESIGN VAV MAX SA(CFM)])</f>
        <v>0</v>
      </c>
      <c r="AR32" s="48" t="str">
        <f>IFERROR((VLOOKUP(AHU1_CAV_SCHEDULE4451416[[#This Row],[MAX VAV
(CFM)]],'DO NOT TOUCH'!$P$9:$Q$14,2,TRUE)),"TBD")</f>
        <v>TBD</v>
      </c>
      <c r="AS32" s="48">
        <f t="shared" si="3"/>
        <v>0.5</v>
      </c>
      <c r="AT32" s="48">
        <f>AHU1_CAV_SCHEDULE4451416[[#This Row],[MIN VAV
(CFM)]]</f>
        <v>0</v>
      </c>
      <c r="AU32" s="48">
        <f>INPUT_OUTPUTS!$C$16</f>
        <v>140</v>
      </c>
      <c r="AV32" s="48">
        <f>INPUT_OUTPUTS!$C$17</f>
        <v>100</v>
      </c>
      <c r="AW32" s="48">
        <f t="shared" si="7"/>
        <v>55</v>
      </c>
      <c r="AX32" s="48">
        <f t="shared" si="7"/>
        <v>85</v>
      </c>
      <c r="AY32" s="48" t="e">
        <f>MROUND((1.08*(AX32-AW32)*#REF!)/1000,0.1)</f>
        <v>#REF!</v>
      </c>
      <c r="AZ32" s="49" t="e">
        <f t="shared" si="4"/>
        <v>#REF!</v>
      </c>
      <c r="BA32" s="49" t="e">
        <f t="shared" si="2"/>
        <v>#REF!</v>
      </c>
      <c r="BB32" s="49">
        <f t="shared" si="5"/>
        <v>5</v>
      </c>
      <c r="BC32" s="49" t="str">
        <f>IFERROR((_xlfn.XLOOKUP(AR32,'DO NOT TOUCH'!$Q$9:$Q$14,'DO NOT TOUCH'!$R$9:$R$14,)),"TBD")</f>
        <v>TBD</v>
      </c>
      <c r="BD32" s="49">
        <f>INPUT_OUTPUTS!$C$19</f>
        <v>0</v>
      </c>
      <c r="BE32" s="51" t="str">
        <f t="shared" si="6"/>
        <v>1, 2</v>
      </c>
    </row>
    <row r="33" spans="39:57" ht="15">
      <c r="AM33" s="323" t="s">
        <v>644</v>
      </c>
      <c r="AN33" s="323" t="s">
        <v>82</v>
      </c>
      <c r="AO33" s="323" t="s">
        <v>88</v>
      </c>
      <c r="AP33" s="323">
        <f>SUMIF(Ahu_Ashrae_sheet15[Zone],AHU1_CAV_SCHEDULE4451416[[#This Row],[ZONE]],Ahu_Ashrae_sheet15[DESIGN VAV MIN SA(CFM)])</f>
        <v>0</v>
      </c>
      <c r="AQ33" s="323">
        <f>SUMIF(Ahu_Ashrae_sheet15[Zone],AHU1_CAV_SCHEDULE4451416[[#This Row],[ZONE]],Ahu_Ashrae_sheet15[DESIGN VAV MAX SA(CFM)])</f>
        <v>0</v>
      </c>
      <c r="AR33" s="48" t="str">
        <f>IFERROR((VLOOKUP(AHU1_CAV_SCHEDULE4451416[[#This Row],[MAX VAV
(CFM)]],'DO NOT TOUCH'!$P$9:$Q$14,2,TRUE)),"TBD")</f>
        <v>TBD</v>
      </c>
      <c r="AS33" s="48">
        <f t="shared" si="3"/>
        <v>0.5</v>
      </c>
      <c r="AT33" s="48">
        <f>AHU1_CAV_SCHEDULE4451416[[#This Row],[MIN VAV
(CFM)]]</f>
        <v>0</v>
      </c>
      <c r="AU33" s="48">
        <f>INPUT_OUTPUTS!$C$16</f>
        <v>140</v>
      </c>
      <c r="AV33" s="48">
        <f>INPUT_OUTPUTS!$C$17</f>
        <v>100</v>
      </c>
      <c r="AW33" s="48">
        <f t="shared" si="7"/>
        <v>55</v>
      </c>
      <c r="AX33" s="48">
        <f t="shared" si="7"/>
        <v>85</v>
      </c>
      <c r="AY33" s="48" t="e">
        <f>MROUND((1.08*(AX33-AW33)*#REF!)/1000,0.1)</f>
        <v>#REF!</v>
      </c>
      <c r="AZ33" s="49" t="e">
        <f t="shared" si="4"/>
        <v>#REF!</v>
      </c>
      <c r="BA33" s="49" t="e">
        <f t="shared" si="2"/>
        <v>#REF!</v>
      </c>
      <c r="BB33" s="49">
        <f t="shared" si="5"/>
        <v>5</v>
      </c>
      <c r="BC33" s="49" t="str">
        <f>IFERROR((_xlfn.XLOOKUP(AR33,'DO NOT TOUCH'!$Q$9:$Q$14,'DO NOT TOUCH'!$R$9:$R$14,)),"TBD")</f>
        <v>TBD</v>
      </c>
      <c r="BD33" s="49">
        <f>INPUT_OUTPUTS!$C$19</f>
        <v>0</v>
      </c>
      <c r="BE33" s="51" t="str">
        <f t="shared" si="6"/>
        <v>1, 2</v>
      </c>
    </row>
    <row r="34" spans="39:57" ht="15">
      <c r="AM34" s="323" t="s">
        <v>645</v>
      </c>
      <c r="AN34" s="323" t="s">
        <v>82</v>
      </c>
      <c r="AO34" s="323" t="s">
        <v>88</v>
      </c>
      <c r="AP34" s="323">
        <f>SUMIF(Ahu_Ashrae_sheet15[Zone],AHU1_CAV_SCHEDULE4451416[[#This Row],[ZONE]],Ahu_Ashrae_sheet15[DESIGN VAV MIN SA(CFM)])</f>
        <v>0</v>
      </c>
      <c r="AQ34" s="323">
        <f>SUMIF(Ahu_Ashrae_sheet15[Zone],AHU1_CAV_SCHEDULE4451416[[#This Row],[ZONE]],Ahu_Ashrae_sheet15[DESIGN VAV MAX SA(CFM)])</f>
        <v>0</v>
      </c>
      <c r="AR34" s="48" t="str">
        <f>IFERROR((VLOOKUP(AHU1_CAV_SCHEDULE4451416[[#This Row],[MAX VAV
(CFM)]],'DO NOT TOUCH'!$P$9:$Q$14,2,TRUE)),"TBD")</f>
        <v>TBD</v>
      </c>
      <c r="AS34" s="48">
        <f t="shared" si="3"/>
        <v>0.5</v>
      </c>
      <c r="AT34" s="48">
        <f>AHU1_CAV_SCHEDULE4451416[[#This Row],[MIN VAV
(CFM)]]</f>
        <v>0</v>
      </c>
      <c r="AU34" s="48">
        <f>INPUT_OUTPUTS!$C$16</f>
        <v>140</v>
      </c>
      <c r="AV34" s="48">
        <f>INPUT_OUTPUTS!$C$17</f>
        <v>100</v>
      </c>
      <c r="AW34" s="48">
        <f t="shared" si="7"/>
        <v>55</v>
      </c>
      <c r="AX34" s="48">
        <f t="shared" si="7"/>
        <v>85</v>
      </c>
      <c r="AY34" s="48" t="e">
        <f>MROUND((1.08*(AX34-AW34)*#REF!)/1000,0.1)</f>
        <v>#REF!</v>
      </c>
      <c r="AZ34" s="49" t="e">
        <f t="shared" si="4"/>
        <v>#REF!</v>
      </c>
      <c r="BA34" s="49" t="e">
        <f t="shared" si="2"/>
        <v>#REF!</v>
      </c>
      <c r="BB34" s="49">
        <f t="shared" si="5"/>
        <v>5</v>
      </c>
      <c r="BC34" s="49" t="str">
        <f>IFERROR((_xlfn.XLOOKUP(AR34,'DO NOT TOUCH'!$Q$9:$Q$14,'DO NOT TOUCH'!$R$9:$R$14,)),"TBD")</f>
        <v>TBD</v>
      </c>
      <c r="BD34" s="49">
        <f>INPUT_OUTPUTS!$C$19</f>
        <v>0</v>
      </c>
      <c r="BE34" s="51" t="str">
        <f t="shared" si="6"/>
        <v>1, 2</v>
      </c>
    </row>
    <row r="35" spans="39:57" ht="15">
      <c r="AM35" s="323" t="s">
        <v>646</v>
      </c>
      <c r="AN35" s="323" t="s">
        <v>82</v>
      </c>
      <c r="AO35" s="323" t="s">
        <v>88</v>
      </c>
      <c r="AP35" s="323">
        <f>SUMIF(Ahu_Ashrae_sheet15[Zone],AHU1_CAV_SCHEDULE4451416[[#This Row],[ZONE]],Ahu_Ashrae_sheet15[DESIGN VAV MIN SA(CFM)])</f>
        <v>0</v>
      </c>
      <c r="AQ35" s="323">
        <f>SUMIF(Ahu_Ashrae_sheet15[Zone],AHU1_CAV_SCHEDULE4451416[[#This Row],[ZONE]],Ahu_Ashrae_sheet15[DESIGN VAV MAX SA(CFM)])</f>
        <v>0</v>
      </c>
      <c r="AR35" s="48" t="str">
        <f>IFERROR((VLOOKUP(AHU1_CAV_SCHEDULE4451416[[#This Row],[MAX VAV
(CFM)]],'DO NOT TOUCH'!$P$9:$Q$14,2,TRUE)),"TBD")</f>
        <v>TBD</v>
      </c>
      <c r="AS35" s="48">
        <f t="shared" si="3"/>
        <v>0.5</v>
      </c>
      <c r="AT35" s="48">
        <f>AHU1_CAV_SCHEDULE4451416[[#This Row],[MIN VAV
(CFM)]]</f>
        <v>0</v>
      </c>
      <c r="AU35" s="48">
        <f>INPUT_OUTPUTS!$C$16</f>
        <v>140</v>
      </c>
      <c r="AV35" s="48">
        <f>INPUT_OUTPUTS!$C$17</f>
        <v>100</v>
      </c>
      <c r="AW35" s="48">
        <f t="shared" si="7"/>
        <v>55</v>
      </c>
      <c r="AX35" s="48">
        <f t="shared" si="7"/>
        <v>85</v>
      </c>
      <c r="AY35" s="48" t="e">
        <f>MROUND((1.08*(AX35-AW35)*#REF!)/1000,0.1)</f>
        <v>#REF!</v>
      </c>
      <c r="AZ35" s="49" t="e">
        <f t="shared" si="4"/>
        <v>#REF!</v>
      </c>
      <c r="BA35" s="49" t="e">
        <f t="shared" si="2"/>
        <v>#REF!</v>
      </c>
      <c r="BB35" s="49">
        <f t="shared" si="5"/>
        <v>5</v>
      </c>
      <c r="BC35" s="49" t="str">
        <f>IFERROR((_xlfn.XLOOKUP(AR35,'DO NOT TOUCH'!$Q$9:$Q$14,'DO NOT TOUCH'!$R$9:$R$14,)),"TBD")</f>
        <v>TBD</v>
      </c>
      <c r="BD35" s="49">
        <f>INPUT_OUTPUTS!$C$19</f>
        <v>0</v>
      </c>
      <c r="BE35" s="51" t="str">
        <f t="shared" si="6"/>
        <v>1, 2</v>
      </c>
    </row>
    <row r="36" spans="39:57" ht="15">
      <c r="AM36" s="323" t="s">
        <v>647</v>
      </c>
      <c r="AN36" s="323" t="s">
        <v>82</v>
      </c>
      <c r="AO36" s="323" t="s">
        <v>88</v>
      </c>
      <c r="AP36" s="323">
        <f>SUMIF(Ahu_Ashrae_sheet15[Zone],AHU1_CAV_SCHEDULE4451416[[#This Row],[ZONE]],Ahu_Ashrae_sheet15[DESIGN VAV MIN SA(CFM)])</f>
        <v>0</v>
      </c>
      <c r="AQ36" s="323">
        <f>SUMIF(Ahu_Ashrae_sheet15[Zone],AHU1_CAV_SCHEDULE4451416[[#This Row],[ZONE]],Ahu_Ashrae_sheet15[DESIGN VAV MAX SA(CFM)])</f>
        <v>0</v>
      </c>
      <c r="AR36" s="48" t="str">
        <f>IFERROR((VLOOKUP(AHU1_CAV_SCHEDULE4451416[[#This Row],[MAX VAV
(CFM)]],'DO NOT TOUCH'!$P$9:$Q$14,2,TRUE)),"TBD")</f>
        <v>TBD</v>
      </c>
      <c r="AS36" s="48">
        <f t="shared" si="3"/>
        <v>0.5</v>
      </c>
      <c r="AT36" s="48">
        <f>AHU1_CAV_SCHEDULE4451416[[#This Row],[MIN VAV
(CFM)]]</f>
        <v>0</v>
      </c>
      <c r="AU36" s="48">
        <f>INPUT_OUTPUTS!$C$16</f>
        <v>140</v>
      </c>
      <c r="AV36" s="48">
        <f>INPUT_OUTPUTS!$C$17</f>
        <v>100</v>
      </c>
      <c r="AW36" s="48">
        <f t="shared" ref="AW36:AX40" si="8">AW35</f>
        <v>55</v>
      </c>
      <c r="AX36" s="48">
        <f t="shared" si="8"/>
        <v>85</v>
      </c>
      <c r="AY36" s="48" t="e">
        <f>MROUND((1.08*(AX36-AW36)*#REF!)/1000,0.1)</f>
        <v>#REF!</v>
      </c>
      <c r="AZ36" s="49" t="e">
        <f t="shared" si="4"/>
        <v>#REF!</v>
      </c>
      <c r="BA36" s="49" t="e">
        <f t="shared" si="2"/>
        <v>#REF!</v>
      </c>
      <c r="BB36" s="49">
        <f t="shared" si="5"/>
        <v>5</v>
      </c>
      <c r="BC36" s="49" t="str">
        <f>IFERROR((_xlfn.XLOOKUP(AR36,'DO NOT TOUCH'!$Q$9:$Q$14,'DO NOT TOUCH'!$R$9:$R$14,)),"TBD")</f>
        <v>TBD</v>
      </c>
      <c r="BD36" s="49">
        <f>INPUT_OUTPUTS!$C$19</f>
        <v>0</v>
      </c>
      <c r="BE36" s="51" t="str">
        <f t="shared" si="6"/>
        <v>1, 2</v>
      </c>
    </row>
    <row r="37" spans="39:57" ht="15">
      <c r="AM37" s="323" t="s">
        <v>648</v>
      </c>
      <c r="AN37" s="323" t="s">
        <v>82</v>
      </c>
      <c r="AO37" s="323" t="s">
        <v>88</v>
      </c>
      <c r="AP37" s="323">
        <f>SUMIF(Ahu_Ashrae_sheet15[Zone],AHU1_CAV_SCHEDULE4451416[[#This Row],[ZONE]],Ahu_Ashrae_sheet15[DESIGN VAV MIN SA(CFM)])</f>
        <v>0</v>
      </c>
      <c r="AQ37" s="323">
        <f>SUMIF(Ahu_Ashrae_sheet15[Zone],AHU1_CAV_SCHEDULE4451416[[#This Row],[ZONE]],Ahu_Ashrae_sheet15[DESIGN VAV MAX SA(CFM)])</f>
        <v>0</v>
      </c>
      <c r="AR37" s="48" t="str">
        <f>IFERROR((VLOOKUP(AHU1_CAV_SCHEDULE4451416[[#This Row],[MAX VAV
(CFM)]],'DO NOT TOUCH'!$P$9:$Q$14,2,TRUE)),"TBD")</f>
        <v>TBD</v>
      </c>
      <c r="AS37" s="48">
        <f t="shared" si="3"/>
        <v>0.5</v>
      </c>
      <c r="AT37" s="48">
        <f>AHU1_CAV_SCHEDULE4451416[[#This Row],[MIN VAV
(CFM)]]</f>
        <v>0</v>
      </c>
      <c r="AU37" s="48">
        <f>INPUT_OUTPUTS!$C$16</f>
        <v>140</v>
      </c>
      <c r="AV37" s="48">
        <f>INPUT_OUTPUTS!$C$17</f>
        <v>100</v>
      </c>
      <c r="AW37" s="48">
        <f t="shared" si="8"/>
        <v>55</v>
      </c>
      <c r="AX37" s="48">
        <f t="shared" si="8"/>
        <v>85</v>
      </c>
      <c r="AY37" s="48" t="e">
        <f>MROUND((1.08*(AX37-AW37)*#REF!)/1000,0.1)</f>
        <v>#REF!</v>
      </c>
      <c r="AZ37" s="49" t="e">
        <f t="shared" si="4"/>
        <v>#REF!</v>
      </c>
      <c r="BA37" s="49" t="e">
        <f t="shared" si="2"/>
        <v>#REF!</v>
      </c>
      <c r="BB37" s="49">
        <f t="shared" si="5"/>
        <v>5</v>
      </c>
      <c r="BC37" s="49" t="str">
        <f>IFERROR((_xlfn.XLOOKUP(AR37,'DO NOT TOUCH'!$Q$9:$Q$14,'DO NOT TOUCH'!$R$9:$R$14,)),"TBD")</f>
        <v>TBD</v>
      </c>
      <c r="BD37" s="49">
        <f>INPUT_OUTPUTS!$C$19</f>
        <v>0</v>
      </c>
      <c r="BE37" s="51" t="str">
        <f t="shared" si="6"/>
        <v>1, 2</v>
      </c>
    </row>
    <row r="38" spans="39:57" ht="15">
      <c r="AM38" s="323" t="s">
        <v>649</v>
      </c>
      <c r="AN38" s="323" t="s">
        <v>82</v>
      </c>
      <c r="AO38" s="323" t="s">
        <v>88</v>
      </c>
      <c r="AP38" s="323">
        <f>SUMIF(Ahu_Ashrae_sheet15[Zone],AHU1_CAV_SCHEDULE4451416[[#This Row],[ZONE]],Ahu_Ashrae_sheet15[DESIGN VAV MIN SA(CFM)])</f>
        <v>0</v>
      </c>
      <c r="AQ38" s="323">
        <f>SUMIF(Ahu_Ashrae_sheet15[Zone],AHU1_CAV_SCHEDULE4451416[[#This Row],[ZONE]],Ahu_Ashrae_sheet15[DESIGN VAV MAX SA(CFM)])</f>
        <v>0</v>
      </c>
      <c r="AR38" s="48" t="str">
        <f>IFERROR((VLOOKUP(AHU1_CAV_SCHEDULE4451416[[#This Row],[MAX VAV
(CFM)]],'DO NOT TOUCH'!$P$9:$Q$14,2,TRUE)),"TBD")</f>
        <v>TBD</v>
      </c>
      <c r="AS38" s="48">
        <f t="shared" si="3"/>
        <v>0.5</v>
      </c>
      <c r="AT38" s="48">
        <f>AHU1_CAV_SCHEDULE4451416[[#This Row],[MIN VAV
(CFM)]]</f>
        <v>0</v>
      </c>
      <c r="AU38" s="48">
        <f>INPUT_OUTPUTS!$C$16</f>
        <v>140</v>
      </c>
      <c r="AV38" s="48">
        <f>INPUT_OUTPUTS!$C$17</f>
        <v>100</v>
      </c>
      <c r="AW38" s="48">
        <f t="shared" si="8"/>
        <v>55</v>
      </c>
      <c r="AX38" s="48">
        <f t="shared" si="8"/>
        <v>85</v>
      </c>
      <c r="AY38" s="48" t="e">
        <f>MROUND((1.08*(AX38-AW38)*#REF!)/1000,0.1)</f>
        <v>#REF!</v>
      </c>
      <c r="AZ38" s="49" t="e">
        <f t="shared" si="4"/>
        <v>#REF!</v>
      </c>
      <c r="BA38" s="49" t="e">
        <f t="shared" si="2"/>
        <v>#REF!</v>
      </c>
      <c r="BB38" s="49">
        <f t="shared" si="5"/>
        <v>5</v>
      </c>
      <c r="BC38" s="49" t="str">
        <f>IFERROR((_xlfn.XLOOKUP(AR38,'DO NOT TOUCH'!$Q$9:$Q$14,'DO NOT TOUCH'!$R$9:$R$14,)),"TBD")</f>
        <v>TBD</v>
      </c>
      <c r="BD38" s="49">
        <f>INPUT_OUTPUTS!$C$19</f>
        <v>0</v>
      </c>
      <c r="BE38" s="51" t="str">
        <f t="shared" si="6"/>
        <v>1, 2</v>
      </c>
    </row>
    <row r="39" spans="39:57" ht="15">
      <c r="AM39" s="323" t="s">
        <v>650</v>
      </c>
      <c r="AN39" s="323" t="s">
        <v>82</v>
      </c>
      <c r="AO39" s="323" t="s">
        <v>88</v>
      </c>
      <c r="AP39" s="323">
        <f>SUMIF(Ahu_Ashrae_sheet15[Zone],AHU1_CAV_SCHEDULE4451416[[#This Row],[ZONE]],Ahu_Ashrae_sheet15[DESIGN VAV MIN SA(CFM)])</f>
        <v>0</v>
      </c>
      <c r="AQ39" s="323">
        <f>SUMIF(Ahu_Ashrae_sheet15[Zone],AHU1_CAV_SCHEDULE4451416[[#This Row],[ZONE]],Ahu_Ashrae_sheet15[DESIGN VAV MAX SA(CFM)])</f>
        <v>0</v>
      </c>
      <c r="AR39" s="48" t="str">
        <f>IFERROR((VLOOKUP(AHU1_CAV_SCHEDULE4451416[[#This Row],[MAX VAV
(CFM)]],'DO NOT TOUCH'!$P$9:$Q$14,2,TRUE)),"TBD")</f>
        <v>TBD</v>
      </c>
      <c r="AS39" s="48">
        <f t="shared" si="3"/>
        <v>0.5</v>
      </c>
      <c r="AT39" s="48">
        <f>AHU1_CAV_SCHEDULE4451416[[#This Row],[MIN VAV
(CFM)]]</f>
        <v>0</v>
      </c>
      <c r="AU39" s="48">
        <f>INPUT_OUTPUTS!$C$16</f>
        <v>140</v>
      </c>
      <c r="AV39" s="48">
        <f>INPUT_OUTPUTS!$C$17</f>
        <v>100</v>
      </c>
      <c r="AW39" s="48">
        <f t="shared" si="8"/>
        <v>55</v>
      </c>
      <c r="AX39" s="48">
        <f t="shared" si="8"/>
        <v>85</v>
      </c>
      <c r="AY39" s="48" t="e">
        <f>MROUND((1.08*(AX39-AW39)*#REF!)/1000,0.1)</f>
        <v>#REF!</v>
      </c>
      <c r="AZ39" s="49" t="e">
        <f t="shared" si="4"/>
        <v>#REF!</v>
      </c>
      <c r="BA39" s="49" t="e">
        <f t="shared" si="2"/>
        <v>#REF!</v>
      </c>
      <c r="BB39" s="49">
        <f t="shared" si="5"/>
        <v>5</v>
      </c>
      <c r="BC39" s="49" t="str">
        <f>IFERROR((_xlfn.XLOOKUP(AR39,'DO NOT TOUCH'!$Q$9:$Q$14,'DO NOT TOUCH'!$R$9:$R$14,)),"TBD")</f>
        <v>TBD</v>
      </c>
      <c r="BD39" s="49">
        <f>INPUT_OUTPUTS!$C$19</f>
        <v>0</v>
      </c>
      <c r="BE39" s="51" t="str">
        <f t="shared" si="6"/>
        <v>1, 2</v>
      </c>
    </row>
    <row r="40" spans="39:57" ht="15">
      <c r="AM40" s="323" t="s">
        <v>651</v>
      </c>
      <c r="AN40" s="324" t="s">
        <v>82</v>
      </c>
      <c r="AO40" s="324" t="s">
        <v>88</v>
      </c>
      <c r="AP40" s="323">
        <f>SUMIF(Ahu_Ashrae_sheet15[Zone],AHU1_CAV_SCHEDULE4451416[[#This Row],[ZONE]],Ahu_Ashrae_sheet15[DESIGN VAV MIN SA(CFM)])</f>
        <v>0</v>
      </c>
      <c r="AQ40" s="323">
        <f>SUMIF(Ahu_Ashrae_sheet15[Zone],AHU1_CAV_SCHEDULE4451416[[#This Row],[ZONE]],Ahu_Ashrae_sheet15[DESIGN VAV MAX SA(CFM)])</f>
        <v>0</v>
      </c>
      <c r="AR40" s="48" t="str">
        <f>IFERROR((VLOOKUP(AHU1_CAV_SCHEDULE4451416[[#This Row],[MAX VAV
(CFM)]],'DO NOT TOUCH'!$P$9:$Q$14,2,TRUE)),"TBD")</f>
        <v>TBD</v>
      </c>
      <c r="AS40" s="54">
        <f t="shared" si="3"/>
        <v>0.5</v>
      </c>
      <c r="AT40" s="48">
        <f>AHU1_CAV_SCHEDULE4451416[[#This Row],[MIN VAV
(CFM)]]</f>
        <v>0</v>
      </c>
      <c r="AU40" s="48">
        <f>INPUT_OUTPUTS!$C$16</f>
        <v>140</v>
      </c>
      <c r="AV40" s="48">
        <f>INPUT_OUTPUTS!$C$17</f>
        <v>100</v>
      </c>
      <c r="AW40" s="54">
        <f t="shared" si="8"/>
        <v>55</v>
      </c>
      <c r="AX40" s="54">
        <f t="shared" si="8"/>
        <v>85</v>
      </c>
      <c r="AY40" s="54" t="e">
        <f>MROUND((1.08*(AX40-AW40)*#REF!)/1000,0.1)</f>
        <v>#REF!</v>
      </c>
      <c r="AZ40" s="55" t="e">
        <f t="shared" si="4"/>
        <v>#REF!</v>
      </c>
      <c r="BA40" s="55" t="e">
        <f t="shared" si="2"/>
        <v>#REF!</v>
      </c>
      <c r="BB40" s="55">
        <f t="shared" si="5"/>
        <v>5</v>
      </c>
      <c r="BC40" s="55" t="str">
        <f>IFERROR((_xlfn.XLOOKUP(AR40,'DO NOT TOUCH'!$Q$9:$Q$14,'DO NOT TOUCH'!$R$9:$R$14,)),"TBD")</f>
        <v>TBD</v>
      </c>
      <c r="BD40" s="49">
        <f>INPUT_OUTPUTS!$C$19</f>
        <v>0</v>
      </c>
      <c r="BE40" s="56" t="str">
        <f t="shared" si="6"/>
        <v>1, 2</v>
      </c>
    </row>
    <row r="41" spans="39:57" ht="15">
      <c r="AM41" s="69" t="s">
        <v>158</v>
      </c>
      <c r="AN41" s="70"/>
      <c r="AO41" s="70"/>
      <c r="AP41" s="70"/>
      <c r="AQ41" s="71"/>
      <c r="AR41" s="71"/>
      <c r="AS41" s="71"/>
      <c r="AT41" s="71"/>
      <c r="AU41" s="71"/>
      <c r="AV41" s="71"/>
      <c r="AW41" s="71"/>
      <c r="AX41" s="71"/>
      <c r="AY41" s="71" t="e">
        <f>SUBTOTAL(109,AHU1_CAV_SCHEDULE4451416[MIN MBH])</f>
        <v>#REF!</v>
      </c>
      <c r="AZ41" s="71"/>
      <c r="BA41" s="73" t="e">
        <f>SUBTOTAL(109,AHU1_CAV_SCHEDULE4451416[GPM])</f>
        <v>#REF!</v>
      </c>
      <c r="BB41" s="71"/>
      <c r="BC41" s="71"/>
      <c r="BD41" s="71"/>
      <c r="BE41" s="72"/>
    </row>
  </sheetData>
  <mergeCells count="2">
    <mergeCell ref="A1:G1"/>
    <mergeCell ref="H1:AC1"/>
  </mergeCells>
  <phoneticPr fontId="8" type="noConversion"/>
  <pageMargins left="0.7" right="0.7" top="0.75" bottom="0.75" header="0.3" footer="0.3"/>
  <legacy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ACABCE57-1E6D-455F-A0AA-BFF37E488AD5}">
          <x14:formula1>
            <xm:f>'ASHRAE Table'!$J$2:$J$37</xm:f>
          </x14:formula1>
          <xm:sqref>H3:H5</xm:sqref>
        </x14:dataValidation>
        <x14:dataValidation type="list" allowBlank="1" showInputMessage="1" showErrorMessage="1" xr:uid="{D97746D2-C89F-44DA-82C1-46DD8DEBA094}">
          <x14:formula1>
            <xm:f>'ASHRAE Table'!$A$2:$A$91</xm:f>
          </x14:formula1>
          <xm:sqref>I3:I5</xm:sqref>
        </x14:dataValidation>
        <x14:dataValidation type="list" allowBlank="1" showInputMessage="1" showErrorMessage="1" xr:uid="{ED922D8F-AFCC-4D77-B823-12732C64AD52}">
          <x14:formula1>
            <xm:f>'ASHRAE Table'!$B$2:$B$91</xm:f>
          </x14:formula1>
          <xm:sqref>J3:J5</xm:sqref>
        </x14:dataValidation>
        <x14:dataValidation type="list" allowBlank="1" showInputMessage="1" showErrorMessage="1" xr:uid="{54707373-1E21-4FCF-8022-EF21D75C8B93}">
          <x14:formula1>
            <xm:f>'ASHRAE Table'!$R$3:$R$13</xm:f>
          </x14:formula1>
          <xm:sqref>V3:V5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C91"/>
  <sheetViews>
    <sheetView topLeftCell="F1" zoomScale="85" zoomScaleNormal="85" workbookViewId="0">
      <selection activeCell="V35" sqref="G33:V35"/>
    </sheetView>
  </sheetViews>
  <sheetFormatPr defaultRowHeight="12.75"/>
  <cols>
    <col min="1" max="1" width="39" bestFit="1" customWidth="1"/>
    <col min="2" max="2" width="109.7109375" bestFit="1" customWidth="1"/>
    <col min="3" max="3" width="6.140625" bestFit="1" customWidth="1"/>
    <col min="4" max="4" width="6.42578125" bestFit="1" customWidth="1"/>
    <col min="5" max="5" width="22.28515625" bestFit="1" customWidth="1"/>
    <col min="6" max="6" width="13.5703125" bestFit="1" customWidth="1"/>
    <col min="7" max="7" width="9" style="301" bestFit="1" customWidth="1"/>
    <col min="10" max="10" width="67.5703125" style="94" bestFit="1" customWidth="1"/>
    <col min="11" max="11" width="48" style="94" bestFit="1" customWidth="1"/>
    <col min="12" max="12" width="26" customWidth="1"/>
    <col min="13" max="13" width="27.140625" customWidth="1"/>
    <col min="14" max="14" width="9.42578125" customWidth="1"/>
    <col min="15" max="18" width="13.42578125" customWidth="1"/>
    <col min="22" max="22" width="14.5703125" bestFit="1" customWidth="1"/>
    <col min="26" max="26" width="14.5703125" bestFit="1" customWidth="1"/>
  </cols>
  <sheetData>
    <row r="1" spans="1:29">
      <c r="A1" s="16" t="s">
        <v>446</v>
      </c>
      <c r="B1" s="16" t="s">
        <v>447</v>
      </c>
      <c r="C1" s="16" t="s">
        <v>448</v>
      </c>
      <c r="D1" s="16" t="s">
        <v>231</v>
      </c>
      <c r="E1" s="16" t="s">
        <v>449</v>
      </c>
      <c r="F1" s="16" t="s">
        <v>450</v>
      </c>
      <c r="G1" s="304" t="s">
        <v>451</v>
      </c>
      <c r="J1" s="307" t="s">
        <v>446</v>
      </c>
      <c r="K1" s="307" t="s">
        <v>447</v>
      </c>
      <c r="L1" s="16" t="s">
        <v>452</v>
      </c>
      <c r="M1" s="16" t="s">
        <v>453</v>
      </c>
      <c r="N1" s="16" t="s">
        <v>455</v>
      </c>
      <c r="O1" s="16" t="s">
        <v>454</v>
      </c>
      <c r="P1" s="16"/>
      <c r="Q1" s="16"/>
      <c r="R1" s="16"/>
    </row>
    <row r="2" spans="1:29">
      <c r="A2" s="149" t="s">
        <v>473</v>
      </c>
      <c r="B2" s="149" t="s">
        <v>474</v>
      </c>
      <c r="C2" s="302">
        <v>10</v>
      </c>
      <c r="D2" s="302">
        <v>0.12</v>
      </c>
      <c r="E2" s="302">
        <v>20</v>
      </c>
      <c r="F2" s="302">
        <v>2</v>
      </c>
      <c r="G2" s="302" t="s">
        <v>244</v>
      </c>
      <c r="J2" s="308" t="s">
        <v>473</v>
      </c>
      <c r="K2" s="308" t="s">
        <v>486</v>
      </c>
      <c r="L2" s="306">
        <v>0</v>
      </c>
      <c r="M2" s="302">
        <v>0.9</v>
      </c>
      <c r="N2" s="302"/>
      <c r="O2" s="302">
        <v>3</v>
      </c>
      <c r="R2" s="16" t="s">
        <v>470</v>
      </c>
      <c r="V2" s="16" t="s">
        <v>688</v>
      </c>
      <c r="W2">
        <v>199</v>
      </c>
      <c r="X2">
        <v>399</v>
      </c>
      <c r="Y2">
        <v>10000</v>
      </c>
      <c r="Z2" s="16" t="s">
        <v>688</v>
      </c>
      <c r="AA2">
        <v>199</v>
      </c>
      <c r="AB2">
        <v>399</v>
      </c>
      <c r="AC2">
        <v>10000</v>
      </c>
    </row>
    <row r="3" spans="1:29" ht="15">
      <c r="A3" s="149" t="s">
        <v>473</v>
      </c>
      <c r="B3" s="303" t="s">
        <v>486</v>
      </c>
      <c r="C3" s="302">
        <v>10</v>
      </c>
      <c r="D3" s="302">
        <v>0.18</v>
      </c>
      <c r="E3" s="302">
        <v>20</v>
      </c>
      <c r="F3" s="302">
        <v>3</v>
      </c>
      <c r="G3" s="302" t="s">
        <v>244</v>
      </c>
      <c r="J3" s="308" t="s">
        <v>473</v>
      </c>
      <c r="K3" s="308" t="s">
        <v>487</v>
      </c>
      <c r="L3" s="302">
        <v>0</v>
      </c>
      <c r="M3" s="302">
        <v>3</v>
      </c>
      <c r="N3" s="302"/>
      <c r="O3" s="302">
        <v>3</v>
      </c>
      <c r="R3">
        <v>1</v>
      </c>
      <c r="V3" s="135">
        <v>7</v>
      </c>
      <c r="W3">
        <v>400</v>
      </c>
      <c r="X3">
        <v>200</v>
      </c>
      <c r="Y3">
        <v>150</v>
      </c>
      <c r="Z3" s="135">
        <v>7</v>
      </c>
      <c r="AA3">
        <v>800</v>
      </c>
      <c r="AB3">
        <v>400</v>
      </c>
      <c r="AC3">
        <v>250</v>
      </c>
    </row>
    <row r="4" spans="1:29" ht="15">
      <c r="A4" s="149" t="s">
        <v>473</v>
      </c>
      <c r="B4" s="303" t="s">
        <v>487</v>
      </c>
      <c r="C4" s="302">
        <v>10</v>
      </c>
      <c r="D4" s="302">
        <v>0.18</v>
      </c>
      <c r="E4" s="302">
        <v>20</v>
      </c>
      <c r="F4" s="302">
        <v>3</v>
      </c>
      <c r="G4" s="302" t="s">
        <v>244</v>
      </c>
      <c r="J4" s="308" t="s">
        <v>473</v>
      </c>
      <c r="K4" s="308" t="s">
        <v>488</v>
      </c>
      <c r="L4" s="302">
        <v>0</v>
      </c>
      <c r="M4" s="302">
        <v>1.5</v>
      </c>
      <c r="N4" s="302"/>
      <c r="O4" s="302">
        <v>3</v>
      </c>
      <c r="R4">
        <v>0.8</v>
      </c>
      <c r="V4" s="135">
        <v>8</v>
      </c>
      <c r="W4">
        <v>400</v>
      </c>
      <c r="X4">
        <v>200</v>
      </c>
      <c r="Y4">
        <v>150</v>
      </c>
      <c r="Z4" s="135">
        <v>8</v>
      </c>
      <c r="AA4">
        <v>800</v>
      </c>
      <c r="AB4">
        <v>400</v>
      </c>
      <c r="AC4">
        <v>250</v>
      </c>
    </row>
    <row r="5" spans="1:29" ht="15">
      <c r="A5" s="149" t="s">
        <v>473</v>
      </c>
      <c r="B5" s="303" t="s">
        <v>488</v>
      </c>
      <c r="C5" s="302">
        <v>10</v>
      </c>
      <c r="D5" s="302">
        <v>0.18</v>
      </c>
      <c r="E5" s="302">
        <v>20</v>
      </c>
      <c r="F5" s="302">
        <v>3</v>
      </c>
      <c r="G5" s="302" t="s">
        <v>244</v>
      </c>
      <c r="J5" s="308" t="s">
        <v>473</v>
      </c>
      <c r="K5" s="308" t="s">
        <v>489</v>
      </c>
      <c r="L5" s="302">
        <v>0</v>
      </c>
      <c r="M5" s="302">
        <v>1.5</v>
      </c>
      <c r="N5" s="302"/>
      <c r="O5" s="302">
        <v>3</v>
      </c>
      <c r="R5">
        <v>0.7</v>
      </c>
      <c r="V5" s="134" t="s">
        <v>671</v>
      </c>
      <c r="W5">
        <v>600</v>
      </c>
      <c r="X5">
        <v>250</v>
      </c>
      <c r="Y5">
        <v>150</v>
      </c>
      <c r="Z5" s="134" t="s">
        <v>671</v>
      </c>
      <c r="AA5">
        <v>1400</v>
      </c>
      <c r="AB5">
        <v>900</v>
      </c>
      <c r="AC5">
        <v>400</v>
      </c>
    </row>
    <row r="6" spans="1:29" ht="15">
      <c r="A6" s="149" t="s">
        <v>473</v>
      </c>
      <c r="B6" s="303" t="s">
        <v>489</v>
      </c>
      <c r="C6" s="302">
        <v>10</v>
      </c>
      <c r="D6" s="302">
        <v>0.18</v>
      </c>
      <c r="E6" s="302">
        <v>20</v>
      </c>
      <c r="F6" s="302">
        <v>3</v>
      </c>
      <c r="G6" s="302" t="s">
        <v>244</v>
      </c>
      <c r="J6" s="308" t="s">
        <v>473</v>
      </c>
      <c r="K6" s="308" t="s">
        <v>490</v>
      </c>
      <c r="L6" s="302">
        <v>0</v>
      </c>
      <c r="M6" s="302">
        <v>2.25</v>
      </c>
      <c r="N6" s="302"/>
      <c r="O6" s="302">
        <v>3</v>
      </c>
      <c r="R6">
        <v>0.5</v>
      </c>
      <c r="V6" s="134" t="s">
        <v>672</v>
      </c>
      <c r="W6">
        <v>600</v>
      </c>
      <c r="X6">
        <v>250</v>
      </c>
      <c r="Y6">
        <v>150</v>
      </c>
      <c r="Z6" s="134" t="s">
        <v>672</v>
      </c>
      <c r="AA6">
        <v>1400</v>
      </c>
      <c r="AB6">
        <v>900</v>
      </c>
      <c r="AC6">
        <v>400</v>
      </c>
    </row>
    <row r="7" spans="1:29" ht="15">
      <c r="A7" s="149" t="s">
        <v>473</v>
      </c>
      <c r="B7" s="303" t="s">
        <v>490</v>
      </c>
      <c r="C7" s="302">
        <v>10</v>
      </c>
      <c r="D7" s="302">
        <v>0.18</v>
      </c>
      <c r="E7" s="302">
        <v>20</v>
      </c>
      <c r="F7" s="302">
        <v>3</v>
      </c>
      <c r="G7" s="302" t="s">
        <v>244</v>
      </c>
      <c r="J7" s="308" t="s">
        <v>473</v>
      </c>
      <c r="K7" s="308" t="s">
        <v>491</v>
      </c>
      <c r="L7" s="302">
        <v>0</v>
      </c>
      <c r="M7" s="302">
        <v>1.5</v>
      </c>
      <c r="N7" s="302"/>
      <c r="O7" s="302">
        <v>3</v>
      </c>
      <c r="R7">
        <v>1.05</v>
      </c>
      <c r="V7" s="134" t="s">
        <v>673</v>
      </c>
      <c r="W7">
        <v>600</v>
      </c>
      <c r="X7">
        <v>250</v>
      </c>
      <c r="Y7">
        <v>150</v>
      </c>
      <c r="Z7" s="134" t="s">
        <v>673</v>
      </c>
      <c r="AA7">
        <v>1400</v>
      </c>
      <c r="AB7">
        <v>900</v>
      </c>
      <c r="AC7">
        <v>400</v>
      </c>
    </row>
    <row r="8" spans="1:29" ht="15">
      <c r="A8" s="149" t="s">
        <v>473</v>
      </c>
      <c r="B8" s="303" t="s">
        <v>491</v>
      </c>
      <c r="C8" s="302">
        <v>10</v>
      </c>
      <c r="D8" s="302">
        <v>0.18</v>
      </c>
      <c r="E8" s="302">
        <v>20</v>
      </c>
      <c r="F8" s="302">
        <v>3</v>
      </c>
      <c r="G8" s="302" t="s">
        <v>244</v>
      </c>
      <c r="J8" s="308" t="s">
        <v>473</v>
      </c>
      <c r="K8" s="308" t="s">
        <v>584</v>
      </c>
      <c r="L8" s="302">
        <v>0</v>
      </c>
      <c r="M8" s="302">
        <v>2.25</v>
      </c>
      <c r="N8" s="302"/>
      <c r="O8" s="302">
        <v>3</v>
      </c>
      <c r="R8">
        <v>1.2</v>
      </c>
      <c r="V8" s="134" t="s">
        <v>674</v>
      </c>
      <c r="W8">
        <v>800</v>
      </c>
      <c r="X8">
        <v>400</v>
      </c>
      <c r="Y8">
        <v>250</v>
      </c>
      <c r="Z8" s="134" t="s">
        <v>674</v>
      </c>
      <c r="AA8">
        <v>2000</v>
      </c>
      <c r="AB8">
        <v>1000</v>
      </c>
      <c r="AC8">
        <v>500</v>
      </c>
    </row>
    <row r="9" spans="1:29" ht="15">
      <c r="A9" s="149" t="s">
        <v>473</v>
      </c>
      <c r="B9" s="303" t="s">
        <v>492</v>
      </c>
      <c r="C9" s="302">
        <v>10</v>
      </c>
      <c r="D9" s="302">
        <v>0.18</v>
      </c>
      <c r="E9" s="302">
        <v>20</v>
      </c>
      <c r="F9" s="302">
        <v>3</v>
      </c>
      <c r="G9" s="302" t="s">
        <v>244</v>
      </c>
      <c r="J9" s="308" t="s">
        <v>473</v>
      </c>
      <c r="K9" s="308" t="s">
        <v>493</v>
      </c>
      <c r="L9" s="302">
        <v>0</v>
      </c>
      <c r="M9" s="302">
        <v>2.25</v>
      </c>
      <c r="N9" s="302"/>
      <c r="O9" s="302">
        <v>3</v>
      </c>
      <c r="R9">
        <v>1.5</v>
      </c>
      <c r="V9" s="134" t="s">
        <v>675</v>
      </c>
      <c r="W9">
        <v>800</v>
      </c>
      <c r="X9">
        <v>400</v>
      </c>
      <c r="Y9">
        <v>250</v>
      </c>
      <c r="Z9" s="134" t="s">
        <v>675</v>
      </c>
      <c r="AA9">
        <v>2000</v>
      </c>
      <c r="AB9">
        <v>1000</v>
      </c>
      <c r="AC9">
        <v>500</v>
      </c>
    </row>
    <row r="10" spans="1:29" ht="15">
      <c r="A10" s="149" t="s">
        <v>473</v>
      </c>
      <c r="B10" s="303" t="s">
        <v>493</v>
      </c>
      <c r="C10" s="302">
        <v>10</v>
      </c>
      <c r="D10" s="302">
        <v>0.18</v>
      </c>
      <c r="E10" s="302">
        <v>20</v>
      </c>
      <c r="F10" s="302">
        <v>3</v>
      </c>
      <c r="G10" s="302" t="s">
        <v>244</v>
      </c>
      <c r="J10" s="308" t="s">
        <v>473</v>
      </c>
      <c r="K10" s="308" t="s">
        <v>494</v>
      </c>
      <c r="L10" s="302">
        <v>0</v>
      </c>
      <c r="M10" s="302">
        <v>2.25</v>
      </c>
      <c r="N10" s="302"/>
      <c r="O10" s="302">
        <v>3</v>
      </c>
      <c r="R10">
        <v>1.4</v>
      </c>
      <c r="V10" s="134" t="s">
        <v>676</v>
      </c>
      <c r="W10">
        <v>800</v>
      </c>
      <c r="X10">
        <v>400</v>
      </c>
      <c r="Y10">
        <v>250</v>
      </c>
      <c r="Z10" s="134" t="s">
        <v>676</v>
      </c>
      <c r="AA10">
        <v>2000</v>
      </c>
      <c r="AB10">
        <v>1000</v>
      </c>
      <c r="AC10">
        <v>500</v>
      </c>
    </row>
    <row r="11" spans="1:29" ht="15">
      <c r="A11" s="149" t="s">
        <v>473</v>
      </c>
      <c r="B11" s="303" t="s">
        <v>494</v>
      </c>
      <c r="C11" s="302">
        <v>10</v>
      </c>
      <c r="D11" s="302">
        <v>0.18</v>
      </c>
      <c r="E11" s="302">
        <v>20</v>
      </c>
      <c r="F11" s="302">
        <v>3</v>
      </c>
      <c r="G11" s="302" t="s">
        <v>244</v>
      </c>
      <c r="J11" s="309" t="s">
        <v>473</v>
      </c>
      <c r="K11" s="308" t="s">
        <v>495</v>
      </c>
      <c r="L11" s="302">
        <v>0</v>
      </c>
      <c r="M11" s="302">
        <v>1.5</v>
      </c>
      <c r="N11" s="302"/>
      <c r="O11" s="302">
        <v>3</v>
      </c>
      <c r="R11">
        <v>1.4</v>
      </c>
      <c r="V11" s="134" t="s">
        <v>677</v>
      </c>
      <c r="W11">
        <v>800</v>
      </c>
      <c r="X11">
        <v>400</v>
      </c>
      <c r="Y11">
        <v>250</v>
      </c>
      <c r="Z11" s="134" t="s">
        <v>677</v>
      </c>
      <c r="AA11">
        <v>2000</v>
      </c>
      <c r="AB11">
        <v>1000</v>
      </c>
      <c r="AC11">
        <v>500</v>
      </c>
    </row>
    <row r="12" spans="1:29" ht="15">
      <c r="A12" s="149" t="s">
        <v>473</v>
      </c>
      <c r="B12" s="303" t="s">
        <v>495</v>
      </c>
      <c r="C12" s="302">
        <v>10</v>
      </c>
      <c r="D12" s="302">
        <v>0.18</v>
      </c>
      <c r="E12" s="302">
        <v>20</v>
      </c>
      <c r="F12" s="302">
        <v>3</v>
      </c>
      <c r="G12" s="302" t="s">
        <v>244</v>
      </c>
      <c r="J12" s="309" t="s">
        <v>585</v>
      </c>
      <c r="K12" s="308"/>
      <c r="L12" s="302">
        <v>0</v>
      </c>
      <c r="M12" s="302">
        <v>0.5</v>
      </c>
      <c r="N12" s="302" t="s">
        <v>387</v>
      </c>
      <c r="O12" s="302">
        <v>1</v>
      </c>
      <c r="R12">
        <v>1.2</v>
      </c>
      <c r="V12" s="134" t="s">
        <v>678</v>
      </c>
      <c r="W12">
        <v>800</v>
      </c>
      <c r="X12">
        <v>400</v>
      </c>
      <c r="Y12">
        <v>250</v>
      </c>
      <c r="Z12" s="134" t="s">
        <v>678</v>
      </c>
      <c r="AA12">
        <v>2000</v>
      </c>
      <c r="AB12">
        <v>1000</v>
      </c>
      <c r="AC12">
        <v>500</v>
      </c>
    </row>
    <row r="13" spans="1:29" ht="15">
      <c r="A13" s="303" t="s">
        <v>496</v>
      </c>
      <c r="B13" s="303" t="s">
        <v>497</v>
      </c>
      <c r="C13" s="302">
        <v>7.5</v>
      </c>
      <c r="D13" s="302">
        <v>0.06</v>
      </c>
      <c r="E13" s="302">
        <v>50</v>
      </c>
      <c r="F13" s="302">
        <v>2</v>
      </c>
      <c r="G13" s="302" t="s">
        <v>244</v>
      </c>
      <c r="J13" s="309" t="s">
        <v>586</v>
      </c>
      <c r="K13" s="308"/>
      <c r="L13" s="302">
        <v>0</v>
      </c>
      <c r="M13" s="302">
        <v>0.7</v>
      </c>
      <c r="N13" s="302"/>
      <c r="O13" s="302">
        <v>2</v>
      </c>
      <c r="R13">
        <v>1.5</v>
      </c>
      <c r="V13" s="134" t="s">
        <v>679</v>
      </c>
      <c r="W13">
        <v>800</v>
      </c>
      <c r="X13">
        <v>400</v>
      </c>
      <c r="Y13">
        <v>250</v>
      </c>
      <c r="Z13" s="134" t="s">
        <v>679</v>
      </c>
      <c r="AA13">
        <v>2000</v>
      </c>
      <c r="AB13">
        <v>1000</v>
      </c>
      <c r="AC13">
        <v>500</v>
      </c>
    </row>
    <row r="14" spans="1:29" ht="15">
      <c r="A14" s="303" t="s">
        <v>496</v>
      </c>
      <c r="B14" s="303" t="s">
        <v>498</v>
      </c>
      <c r="C14" s="302">
        <v>5</v>
      </c>
      <c r="D14" s="302">
        <v>0.12</v>
      </c>
      <c r="E14" s="302">
        <v>25</v>
      </c>
      <c r="F14" s="302">
        <v>2</v>
      </c>
      <c r="G14" s="302" t="s">
        <v>244</v>
      </c>
      <c r="J14" s="309" t="s">
        <v>587</v>
      </c>
      <c r="K14" s="308"/>
      <c r="L14" s="302">
        <v>0</v>
      </c>
      <c r="M14" s="302">
        <v>1.5</v>
      </c>
      <c r="N14" s="302" t="s">
        <v>588</v>
      </c>
      <c r="O14" s="302">
        <v>2</v>
      </c>
      <c r="V14" s="134" t="s">
        <v>680</v>
      </c>
      <c r="W14">
        <v>800</v>
      </c>
      <c r="X14">
        <v>400</v>
      </c>
      <c r="Y14">
        <v>250</v>
      </c>
      <c r="Z14" s="134" t="s">
        <v>680</v>
      </c>
      <c r="AA14">
        <v>2000</v>
      </c>
      <c r="AB14">
        <v>1000</v>
      </c>
      <c r="AC14">
        <v>500</v>
      </c>
    </row>
    <row r="15" spans="1:29" ht="15">
      <c r="A15" s="303" t="s">
        <v>496</v>
      </c>
      <c r="B15" s="303" t="s">
        <v>499</v>
      </c>
      <c r="C15" s="302">
        <v>5</v>
      </c>
      <c r="D15" s="302">
        <v>0.06</v>
      </c>
      <c r="E15" s="302">
        <v>30</v>
      </c>
      <c r="F15" s="302">
        <v>1</v>
      </c>
      <c r="G15" s="302" t="s">
        <v>244</v>
      </c>
      <c r="J15" s="309" t="s">
        <v>589</v>
      </c>
      <c r="K15" s="308"/>
      <c r="L15" s="302">
        <v>0</v>
      </c>
      <c r="M15" s="302">
        <v>0.5</v>
      </c>
      <c r="N15" s="302"/>
      <c r="O15" s="302">
        <v>2</v>
      </c>
      <c r="V15" s="134" t="s">
        <v>681</v>
      </c>
      <c r="W15">
        <v>1100</v>
      </c>
      <c r="X15">
        <v>600</v>
      </c>
      <c r="Y15">
        <v>300</v>
      </c>
      <c r="Z15" s="134" t="s">
        <v>681</v>
      </c>
      <c r="AA15">
        <v>2300</v>
      </c>
      <c r="AB15">
        <v>1100</v>
      </c>
      <c r="AC15">
        <v>600</v>
      </c>
    </row>
    <row r="16" spans="1:29" ht="15">
      <c r="A16" s="303" t="s">
        <v>496</v>
      </c>
      <c r="B16" s="303" t="s">
        <v>500</v>
      </c>
      <c r="C16" s="302">
        <v>5</v>
      </c>
      <c r="D16" s="302">
        <v>0.06</v>
      </c>
      <c r="E16" s="302">
        <v>15</v>
      </c>
      <c r="F16" s="302">
        <v>1</v>
      </c>
      <c r="G16" s="302" t="s">
        <v>244</v>
      </c>
      <c r="J16" s="309" t="s">
        <v>568</v>
      </c>
      <c r="K16" s="308"/>
      <c r="L16" s="302">
        <v>0</v>
      </c>
      <c r="M16" s="302">
        <v>0.6</v>
      </c>
      <c r="N16" s="302"/>
      <c r="O16" s="302">
        <v>2</v>
      </c>
      <c r="V16" s="134" t="s">
        <v>682</v>
      </c>
      <c r="W16">
        <v>1100</v>
      </c>
      <c r="X16">
        <v>600</v>
      </c>
      <c r="Y16">
        <v>300</v>
      </c>
      <c r="Z16" s="134" t="s">
        <v>682</v>
      </c>
      <c r="AA16">
        <v>2300</v>
      </c>
      <c r="AB16">
        <v>1100</v>
      </c>
      <c r="AC16">
        <v>600</v>
      </c>
    </row>
    <row r="17" spans="1:29" ht="15">
      <c r="A17" s="303" t="s">
        <v>501</v>
      </c>
      <c r="B17" s="303" t="s">
        <v>502</v>
      </c>
      <c r="C17" s="302">
        <v>10</v>
      </c>
      <c r="D17" s="302">
        <v>0.18</v>
      </c>
      <c r="E17" s="302">
        <v>20</v>
      </c>
      <c r="F17" s="302">
        <v>2</v>
      </c>
      <c r="G17" s="302" t="s">
        <v>244</v>
      </c>
      <c r="J17" s="309" t="s">
        <v>590</v>
      </c>
      <c r="K17" s="308"/>
      <c r="L17" s="302">
        <v>0</v>
      </c>
      <c r="M17" s="302">
        <v>1</v>
      </c>
      <c r="N17" s="302"/>
      <c r="O17" s="302">
        <v>2</v>
      </c>
      <c r="V17" s="134" t="s">
        <v>683</v>
      </c>
      <c r="W17">
        <v>1100</v>
      </c>
      <c r="X17">
        <v>600</v>
      </c>
      <c r="Y17">
        <v>300</v>
      </c>
      <c r="Z17" s="134" t="s">
        <v>683</v>
      </c>
      <c r="AA17">
        <v>2300</v>
      </c>
      <c r="AB17">
        <v>1100</v>
      </c>
      <c r="AC17">
        <v>600</v>
      </c>
    </row>
    <row r="18" spans="1:29" ht="15">
      <c r="A18" s="303" t="s">
        <v>501</v>
      </c>
      <c r="B18" s="303" t="s">
        <v>503</v>
      </c>
      <c r="C18" s="302">
        <v>10</v>
      </c>
      <c r="D18" s="302">
        <v>0.12</v>
      </c>
      <c r="E18" s="302">
        <v>25</v>
      </c>
      <c r="F18" s="302">
        <v>1</v>
      </c>
      <c r="G18" s="302" t="s">
        <v>244</v>
      </c>
      <c r="J18" s="309" t="s">
        <v>591</v>
      </c>
      <c r="K18" s="308"/>
      <c r="L18" s="302">
        <v>0</v>
      </c>
      <c r="M18" s="302">
        <v>0.5</v>
      </c>
      <c r="N18" s="302"/>
      <c r="O18" s="302">
        <v>2</v>
      </c>
      <c r="V18" s="134" t="s">
        <v>684</v>
      </c>
      <c r="W18">
        <v>1500</v>
      </c>
      <c r="X18">
        <v>700</v>
      </c>
      <c r="Y18">
        <v>400</v>
      </c>
      <c r="Z18" s="134" t="s">
        <v>684</v>
      </c>
      <c r="AA18">
        <v>5200</v>
      </c>
      <c r="AB18">
        <v>2350</v>
      </c>
      <c r="AC18">
        <v>1250</v>
      </c>
    </row>
    <row r="19" spans="1:29" ht="15">
      <c r="A19" s="303" t="s">
        <v>501</v>
      </c>
      <c r="B19" s="303" t="s">
        <v>504</v>
      </c>
      <c r="C19" s="302">
        <v>10</v>
      </c>
      <c r="D19" s="302">
        <v>0.12</v>
      </c>
      <c r="E19" s="302">
        <v>35</v>
      </c>
      <c r="F19" s="302">
        <v>1</v>
      </c>
      <c r="G19" s="302" t="s">
        <v>244</v>
      </c>
      <c r="J19" s="309" t="s">
        <v>592</v>
      </c>
      <c r="K19" s="308"/>
      <c r="L19" s="302">
        <v>0</v>
      </c>
      <c r="M19" s="302">
        <v>1</v>
      </c>
      <c r="N19" s="302"/>
      <c r="O19" s="302">
        <v>2</v>
      </c>
      <c r="V19" s="134" t="s">
        <v>685</v>
      </c>
      <c r="W19">
        <v>1500</v>
      </c>
      <c r="X19">
        <v>700</v>
      </c>
      <c r="Y19">
        <v>400</v>
      </c>
      <c r="Z19" s="134" t="s">
        <v>685</v>
      </c>
      <c r="AA19">
        <v>5200</v>
      </c>
      <c r="AB19">
        <v>2350</v>
      </c>
      <c r="AC19">
        <v>1250</v>
      </c>
    </row>
    <row r="20" spans="1:29" ht="15">
      <c r="A20" s="303" t="s">
        <v>501</v>
      </c>
      <c r="B20" s="303" t="s">
        <v>505</v>
      </c>
      <c r="C20" s="302">
        <v>10</v>
      </c>
      <c r="D20" s="302">
        <v>0.12</v>
      </c>
      <c r="E20" s="302">
        <v>25</v>
      </c>
      <c r="F20" s="302">
        <v>1</v>
      </c>
      <c r="G20" s="302" t="s">
        <v>244</v>
      </c>
      <c r="J20" s="309" t="s">
        <v>593</v>
      </c>
      <c r="K20" s="310"/>
      <c r="L20" s="302">
        <v>0</v>
      </c>
      <c r="M20" s="302">
        <v>1</v>
      </c>
      <c r="N20" s="302"/>
      <c r="O20" s="302">
        <v>2</v>
      </c>
      <c r="V20" s="134" t="s">
        <v>686</v>
      </c>
      <c r="W20">
        <v>2400</v>
      </c>
      <c r="X20">
        <v>1100</v>
      </c>
      <c r="Y20">
        <v>600</v>
      </c>
      <c r="Z20" s="134" t="s">
        <v>686</v>
      </c>
      <c r="AA20">
        <v>5800</v>
      </c>
      <c r="AB20">
        <v>2600</v>
      </c>
      <c r="AC20">
        <v>1400</v>
      </c>
    </row>
    <row r="21" spans="1:29" ht="15">
      <c r="A21" s="303" t="s">
        <v>501</v>
      </c>
      <c r="B21" s="303" t="s">
        <v>506</v>
      </c>
      <c r="C21" s="302">
        <v>10</v>
      </c>
      <c r="D21" s="302">
        <v>0.18</v>
      </c>
      <c r="E21" s="302">
        <v>25</v>
      </c>
      <c r="F21" s="302">
        <v>3</v>
      </c>
      <c r="G21" s="302" t="s">
        <v>244</v>
      </c>
      <c r="J21" s="309" t="s">
        <v>594</v>
      </c>
      <c r="K21" s="308"/>
      <c r="L21" s="302">
        <v>0</v>
      </c>
      <c r="M21" s="302">
        <v>1</v>
      </c>
      <c r="N21" s="302"/>
      <c r="O21" s="302">
        <v>3</v>
      </c>
      <c r="V21" s="134" t="s">
        <v>687</v>
      </c>
      <c r="W21">
        <v>7000</v>
      </c>
      <c r="X21">
        <v>3000</v>
      </c>
      <c r="Y21">
        <v>1700</v>
      </c>
      <c r="Z21" s="134" t="s">
        <v>687</v>
      </c>
      <c r="AA21">
        <v>12000</v>
      </c>
      <c r="AB21">
        <v>6000</v>
      </c>
      <c r="AC21">
        <v>3000</v>
      </c>
    </row>
    <row r="22" spans="1:29" ht="15">
      <c r="A22" s="303" t="s">
        <v>501</v>
      </c>
      <c r="B22" s="303" t="s">
        <v>507</v>
      </c>
      <c r="C22" s="302">
        <v>10</v>
      </c>
      <c r="D22" s="302">
        <v>0.18</v>
      </c>
      <c r="E22" s="302">
        <v>25</v>
      </c>
      <c r="F22" s="302">
        <v>2</v>
      </c>
      <c r="G22" s="302" t="s">
        <v>244</v>
      </c>
      <c r="J22" s="309" t="s">
        <v>595</v>
      </c>
      <c r="K22" s="308"/>
      <c r="L22" s="302">
        <v>0</v>
      </c>
      <c r="M22" s="302">
        <v>0.3</v>
      </c>
      <c r="N22" s="302"/>
      <c r="O22" s="302">
        <v>2</v>
      </c>
    </row>
    <row r="23" spans="1:29" ht="15">
      <c r="A23" s="303" t="s">
        <v>501</v>
      </c>
      <c r="B23" s="303" t="s">
        <v>508</v>
      </c>
      <c r="C23" s="302">
        <v>7.5</v>
      </c>
      <c r="D23" s="302">
        <v>0.06</v>
      </c>
      <c r="E23" s="302">
        <v>65</v>
      </c>
      <c r="F23" s="302">
        <v>1</v>
      </c>
      <c r="G23" s="305" t="s">
        <v>90</v>
      </c>
      <c r="J23" s="309" t="s">
        <v>596</v>
      </c>
      <c r="K23" s="308"/>
      <c r="L23" s="302">
        <v>0</v>
      </c>
      <c r="M23" s="302">
        <v>0.7</v>
      </c>
      <c r="N23" s="302"/>
      <c r="O23" s="302">
        <v>2</v>
      </c>
    </row>
    <row r="24" spans="1:29" ht="15">
      <c r="A24" s="303" t="s">
        <v>501</v>
      </c>
      <c r="B24" s="303" t="s">
        <v>509</v>
      </c>
      <c r="C24" s="302">
        <v>7.5</v>
      </c>
      <c r="D24" s="302">
        <v>0.06</v>
      </c>
      <c r="E24" s="302">
        <v>150</v>
      </c>
      <c r="F24" s="302">
        <v>1</v>
      </c>
      <c r="G24" s="305" t="s">
        <v>90</v>
      </c>
      <c r="J24" s="309" t="s">
        <v>597</v>
      </c>
      <c r="K24" s="308"/>
      <c r="L24" s="302">
        <v>0</v>
      </c>
      <c r="M24" s="302">
        <v>0.5</v>
      </c>
      <c r="N24" s="302"/>
      <c r="O24" s="302">
        <v>2</v>
      </c>
    </row>
    <row r="25" spans="1:29" ht="15">
      <c r="A25" s="303" t="s">
        <v>501</v>
      </c>
      <c r="B25" s="303" t="s">
        <v>510</v>
      </c>
      <c r="C25" s="302">
        <v>5</v>
      </c>
      <c r="D25" s="302">
        <v>0.12</v>
      </c>
      <c r="E25" s="302">
        <v>10</v>
      </c>
      <c r="F25" s="302">
        <v>0</v>
      </c>
      <c r="G25" s="302" t="s">
        <v>244</v>
      </c>
      <c r="J25" s="309" t="s">
        <v>597</v>
      </c>
      <c r="K25" s="308" t="s">
        <v>598</v>
      </c>
      <c r="L25" s="302">
        <v>0</v>
      </c>
      <c r="M25" s="302">
        <v>0.25</v>
      </c>
      <c r="N25" s="302"/>
      <c r="O25" s="302">
        <v>2</v>
      </c>
    </row>
    <row r="26" spans="1:29" ht="15">
      <c r="A26" s="303" t="s">
        <v>501</v>
      </c>
      <c r="B26" s="303" t="s">
        <v>511</v>
      </c>
      <c r="C26" s="302">
        <v>10</v>
      </c>
      <c r="D26" s="302">
        <v>0.12</v>
      </c>
      <c r="E26" s="302">
        <v>25</v>
      </c>
      <c r="F26" s="302">
        <v>1</v>
      </c>
      <c r="G26" s="302" t="s">
        <v>244</v>
      </c>
      <c r="J26" s="309" t="s">
        <v>597</v>
      </c>
      <c r="K26" s="308" t="s">
        <v>599</v>
      </c>
      <c r="L26" s="302">
        <v>50</v>
      </c>
      <c r="M26" s="302"/>
      <c r="N26" s="302" t="s">
        <v>600</v>
      </c>
      <c r="O26" s="302">
        <v>2</v>
      </c>
    </row>
    <row r="27" spans="1:29" ht="15">
      <c r="A27" s="303" t="s">
        <v>501</v>
      </c>
      <c r="B27" s="303" t="s">
        <v>512</v>
      </c>
      <c r="C27" s="302">
        <v>7.5</v>
      </c>
      <c r="D27" s="302">
        <v>0.06</v>
      </c>
      <c r="E27" s="302">
        <v>100</v>
      </c>
      <c r="F27" s="302">
        <v>1</v>
      </c>
      <c r="G27" s="305" t="s">
        <v>90</v>
      </c>
      <c r="J27" s="309" t="s">
        <v>601</v>
      </c>
      <c r="K27" s="308"/>
      <c r="L27" s="302">
        <v>0</v>
      </c>
      <c r="M27" s="302">
        <v>0</v>
      </c>
      <c r="N27" s="302" t="s">
        <v>150</v>
      </c>
      <c r="O27" s="302">
        <v>4</v>
      </c>
    </row>
    <row r="28" spans="1:29" ht="15">
      <c r="A28" s="303" t="s">
        <v>501</v>
      </c>
      <c r="B28" s="303" t="s">
        <v>513</v>
      </c>
      <c r="C28" s="302">
        <v>10</v>
      </c>
      <c r="D28" s="302">
        <v>0.06</v>
      </c>
      <c r="E28" s="302">
        <v>35</v>
      </c>
      <c r="F28" s="302">
        <v>1</v>
      </c>
      <c r="G28" s="305" t="s">
        <v>90</v>
      </c>
      <c r="J28" s="309" t="s">
        <v>602</v>
      </c>
      <c r="K28" s="308"/>
      <c r="L28" s="302">
        <v>0</v>
      </c>
      <c r="M28" s="302">
        <v>0.75</v>
      </c>
      <c r="N28" s="302" t="s">
        <v>427</v>
      </c>
      <c r="O28" s="302">
        <v>2</v>
      </c>
    </row>
    <row r="29" spans="1:29" ht="15">
      <c r="A29" s="303" t="s">
        <v>501</v>
      </c>
      <c r="B29" s="303" t="s">
        <v>514</v>
      </c>
      <c r="C29" s="302">
        <v>10</v>
      </c>
      <c r="D29" s="302">
        <v>0.18</v>
      </c>
      <c r="E29" s="302">
        <v>25</v>
      </c>
      <c r="F29" s="302">
        <v>2</v>
      </c>
      <c r="G29" s="302" t="s">
        <v>244</v>
      </c>
      <c r="J29" s="309" t="s">
        <v>571</v>
      </c>
      <c r="K29" s="308"/>
      <c r="L29" s="302">
        <v>0</v>
      </c>
      <c r="M29" s="302">
        <v>0.9</v>
      </c>
      <c r="N29" s="302"/>
      <c r="O29" s="302">
        <v>2</v>
      </c>
    </row>
    <row r="30" spans="1:29" ht="15">
      <c r="A30" s="303" t="s">
        <v>501</v>
      </c>
      <c r="B30" s="303" t="s">
        <v>515</v>
      </c>
      <c r="C30" s="302">
        <v>10</v>
      </c>
      <c r="D30" s="302">
        <v>0.18</v>
      </c>
      <c r="E30" s="302">
        <v>25</v>
      </c>
      <c r="F30" s="302">
        <v>2</v>
      </c>
      <c r="G30" s="302" t="s">
        <v>244</v>
      </c>
      <c r="J30" s="309" t="s">
        <v>603</v>
      </c>
      <c r="K30" s="308"/>
      <c r="L30" s="302">
        <v>0</v>
      </c>
      <c r="M30" s="302">
        <v>0</v>
      </c>
      <c r="N30" s="302" t="s">
        <v>150</v>
      </c>
      <c r="O30" s="302">
        <v>3</v>
      </c>
    </row>
    <row r="31" spans="1:29" ht="15">
      <c r="A31" s="303" t="s">
        <v>501</v>
      </c>
      <c r="B31" s="303" t="s">
        <v>516</v>
      </c>
      <c r="C31" s="302">
        <v>10</v>
      </c>
      <c r="D31" s="302">
        <v>0.18</v>
      </c>
      <c r="E31" s="302">
        <v>20</v>
      </c>
      <c r="F31" s="302">
        <v>2</v>
      </c>
      <c r="G31" s="302" t="s">
        <v>244</v>
      </c>
      <c r="J31" s="309" t="s">
        <v>604</v>
      </c>
      <c r="K31" s="308"/>
      <c r="L31" s="302">
        <v>100</v>
      </c>
      <c r="M31" s="302">
        <v>0</v>
      </c>
      <c r="N31" s="302" t="s">
        <v>600</v>
      </c>
      <c r="O31" s="302">
        <v>2</v>
      </c>
    </row>
    <row r="32" spans="1:29" ht="15">
      <c r="A32" s="303" t="s">
        <v>517</v>
      </c>
      <c r="B32" s="303" t="s">
        <v>518</v>
      </c>
      <c r="C32" s="302">
        <v>7.5</v>
      </c>
      <c r="D32" s="302">
        <v>0.18</v>
      </c>
      <c r="E32" s="302">
        <v>100</v>
      </c>
      <c r="F32" s="302">
        <v>2</v>
      </c>
      <c r="G32" s="302" t="s">
        <v>244</v>
      </c>
      <c r="J32" s="309" t="s">
        <v>605</v>
      </c>
      <c r="K32" s="308"/>
      <c r="L32" s="302">
        <v>0</v>
      </c>
      <c r="M32" s="302">
        <v>1</v>
      </c>
      <c r="N32" s="302" t="s">
        <v>150</v>
      </c>
      <c r="O32" s="302">
        <v>3</v>
      </c>
    </row>
    <row r="33" spans="1:15" ht="15">
      <c r="A33" s="303" t="s">
        <v>517</v>
      </c>
      <c r="B33" s="303" t="s">
        <v>519</v>
      </c>
      <c r="C33" s="302">
        <v>7.5</v>
      </c>
      <c r="D33" s="302">
        <v>0.18</v>
      </c>
      <c r="E33" s="302">
        <v>100</v>
      </c>
      <c r="F33" s="302">
        <v>2</v>
      </c>
      <c r="G33" s="302" t="s">
        <v>244</v>
      </c>
      <c r="J33" s="309" t="s">
        <v>606</v>
      </c>
      <c r="K33" s="308"/>
      <c r="L33" s="302">
        <v>0</v>
      </c>
      <c r="M33" s="302">
        <v>1.5</v>
      </c>
      <c r="N33" s="302" t="s">
        <v>150</v>
      </c>
      <c r="O33" s="302">
        <v>4</v>
      </c>
    </row>
    <row r="34" spans="1:15" ht="15">
      <c r="A34" s="303" t="s">
        <v>517</v>
      </c>
      <c r="B34" s="303" t="s">
        <v>520</v>
      </c>
      <c r="C34" s="302">
        <v>7.5</v>
      </c>
      <c r="D34" s="302">
        <v>0.12</v>
      </c>
      <c r="E34" s="302">
        <v>20</v>
      </c>
      <c r="F34" s="302">
        <v>2</v>
      </c>
      <c r="G34" s="302" t="s">
        <v>244</v>
      </c>
      <c r="J34" s="309" t="s">
        <v>607</v>
      </c>
      <c r="K34" s="308"/>
      <c r="L34" s="302">
        <v>50</v>
      </c>
      <c r="M34" s="302">
        <v>0</v>
      </c>
      <c r="N34" s="302" t="s">
        <v>608</v>
      </c>
      <c r="O34" s="302">
        <v>2</v>
      </c>
    </row>
    <row r="35" spans="1:15" ht="15">
      <c r="A35" s="303" t="s">
        <v>517</v>
      </c>
      <c r="B35" s="303" t="s">
        <v>521</v>
      </c>
      <c r="C35" s="302">
        <v>7.5</v>
      </c>
      <c r="D35" s="302">
        <v>0.18</v>
      </c>
      <c r="E35" s="302">
        <v>70</v>
      </c>
      <c r="F35" s="302">
        <v>2</v>
      </c>
      <c r="G35" s="302" t="s">
        <v>244</v>
      </c>
      <c r="J35" s="309" t="s">
        <v>609</v>
      </c>
      <c r="K35" s="308"/>
      <c r="L35" s="302">
        <v>70</v>
      </c>
      <c r="M35" s="302">
        <v>0</v>
      </c>
      <c r="N35" s="302" t="s">
        <v>610</v>
      </c>
      <c r="O35" s="302">
        <v>2</v>
      </c>
    </row>
    <row r="36" spans="1:15" ht="15">
      <c r="A36" s="303" t="s">
        <v>522</v>
      </c>
      <c r="B36" s="303" t="s">
        <v>523</v>
      </c>
      <c r="C36" s="302">
        <v>5</v>
      </c>
      <c r="D36" s="302">
        <v>0.06</v>
      </c>
      <c r="E36" s="302">
        <v>25</v>
      </c>
      <c r="F36" s="302">
        <v>1</v>
      </c>
      <c r="G36" s="305" t="s">
        <v>90</v>
      </c>
      <c r="J36" s="309" t="s">
        <v>612</v>
      </c>
      <c r="K36" s="308"/>
      <c r="L36" s="302">
        <v>0</v>
      </c>
      <c r="M36" s="302">
        <v>0</v>
      </c>
      <c r="N36" s="302">
        <v>0</v>
      </c>
      <c r="O36" s="302">
        <v>0</v>
      </c>
    </row>
    <row r="37" spans="1:15" ht="15">
      <c r="A37" s="303" t="s">
        <v>522</v>
      </c>
      <c r="B37" s="303" t="s">
        <v>524</v>
      </c>
      <c r="C37" s="302">
        <v>5</v>
      </c>
      <c r="D37" s="302">
        <v>0.06</v>
      </c>
      <c r="E37" s="302">
        <v>20</v>
      </c>
      <c r="F37" s="302">
        <v>1</v>
      </c>
      <c r="G37" s="305" t="s">
        <v>90</v>
      </c>
      <c r="J37" s="309" t="s">
        <v>611</v>
      </c>
      <c r="K37" s="308"/>
      <c r="L37" s="302">
        <v>0</v>
      </c>
      <c r="M37" s="302">
        <v>0.5</v>
      </c>
      <c r="N37" s="302"/>
      <c r="O37" s="302">
        <v>2</v>
      </c>
    </row>
    <row r="38" spans="1:15" ht="15">
      <c r="A38" s="303" t="s">
        <v>522</v>
      </c>
      <c r="B38" s="303" t="s">
        <v>525</v>
      </c>
      <c r="C38" s="302">
        <v>5</v>
      </c>
      <c r="D38" s="302">
        <v>0.06</v>
      </c>
      <c r="E38" s="302">
        <v>50</v>
      </c>
      <c r="F38" s="302">
        <v>1</v>
      </c>
      <c r="G38" s="305" t="s">
        <v>90</v>
      </c>
    </row>
    <row r="39" spans="1:15" ht="15">
      <c r="A39" s="303" t="s">
        <v>522</v>
      </c>
      <c r="B39" s="303" t="s">
        <v>465</v>
      </c>
      <c r="C39" s="302">
        <v>0</v>
      </c>
      <c r="D39" s="302">
        <v>0.06</v>
      </c>
      <c r="E39" s="302">
        <v>0</v>
      </c>
      <c r="F39" s="302">
        <v>1</v>
      </c>
      <c r="G39" s="305" t="s">
        <v>90</v>
      </c>
    </row>
    <row r="40" spans="1:15" ht="15">
      <c r="A40" s="303" t="s">
        <v>522</v>
      </c>
      <c r="B40" s="303" t="s">
        <v>526</v>
      </c>
      <c r="C40" s="302">
        <v>5</v>
      </c>
      <c r="D40" s="302">
        <v>0.12</v>
      </c>
      <c r="E40" s="302">
        <v>2</v>
      </c>
      <c r="F40" s="302">
        <v>2</v>
      </c>
      <c r="G40" s="305" t="s">
        <v>90</v>
      </c>
    </row>
    <row r="41" spans="1:15" ht="15">
      <c r="A41" s="303" t="s">
        <v>527</v>
      </c>
      <c r="B41" s="303" t="s">
        <v>528</v>
      </c>
      <c r="C41" s="302">
        <v>5</v>
      </c>
      <c r="D41" s="302">
        <v>0.06</v>
      </c>
      <c r="E41" s="302">
        <v>20</v>
      </c>
      <c r="F41" s="302">
        <v>1</v>
      </c>
      <c r="G41" s="305" t="s">
        <v>90</v>
      </c>
    </row>
    <row r="42" spans="1:15" ht="15">
      <c r="A42" s="303" t="s">
        <v>527</v>
      </c>
      <c r="B42" s="303" t="s">
        <v>529</v>
      </c>
      <c r="C42" s="302">
        <v>5</v>
      </c>
      <c r="D42" s="302">
        <v>0.06</v>
      </c>
      <c r="E42" s="302">
        <v>10</v>
      </c>
      <c r="F42" s="302">
        <v>1</v>
      </c>
      <c r="G42" s="302" t="s">
        <v>244</v>
      </c>
    </row>
    <row r="43" spans="1:15" ht="15">
      <c r="A43" s="303" t="s">
        <v>527</v>
      </c>
      <c r="B43" s="303" t="s">
        <v>530</v>
      </c>
      <c r="C43" s="302">
        <v>5</v>
      </c>
      <c r="D43" s="302">
        <v>0.12</v>
      </c>
      <c r="E43" s="302">
        <v>10</v>
      </c>
      <c r="F43" s="302">
        <v>2</v>
      </c>
      <c r="G43" s="302" t="s">
        <v>244</v>
      </c>
    </row>
    <row r="44" spans="1:15" ht="15">
      <c r="A44" s="303" t="s">
        <v>527</v>
      </c>
      <c r="B44" s="303" t="s">
        <v>531</v>
      </c>
      <c r="C44" s="302">
        <v>5</v>
      </c>
      <c r="D44" s="302">
        <v>0.12</v>
      </c>
      <c r="E44" s="302">
        <v>10</v>
      </c>
      <c r="F44" s="302">
        <v>1</v>
      </c>
      <c r="G44" s="302" t="s">
        <v>244</v>
      </c>
    </row>
    <row r="45" spans="1:15" ht="15">
      <c r="A45" s="303" t="s">
        <v>527</v>
      </c>
      <c r="B45" s="303" t="s">
        <v>532</v>
      </c>
      <c r="C45" s="302">
        <v>7.5</v>
      </c>
      <c r="D45" s="302">
        <v>0.06</v>
      </c>
      <c r="E45" s="302">
        <v>30</v>
      </c>
      <c r="F45" s="302">
        <v>1</v>
      </c>
      <c r="G45" s="305" t="s">
        <v>90</v>
      </c>
    </row>
    <row r="46" spans="1:15" ht="15">
      <c r="A46" s="303" t="s">
        <v>527</v>
      </c>
      <c r="B46" s="303" t="s">
        <v>533</v>
      </c>
      <c r="C46" s="302">
        <v>5</v>
      </c>
      <c r="D46" s="302">
        <v>0.06</v>
      </c>
      <c r="E46" s="302">
        <v>120</v>
      </c>
      <c r="F46" s="302">
        <v>1</v>
      </c>
      <c r="G46" s="305" t="s">
        <v>90</v>
      </c>
    </row>
    <row r="47" spans="1:15" ht="15">
      <c r="A47" s="303" t="s">
        <v>534</v>
      </c>
      <c r="B47" s="303" t="s">
        <v>535</v>
      </c>
      <c r="C47" s="302">
        <v>7.5</v>
      </c>
      <c r="D47" s="302">
        <v>0.06</v>
      </c>
      <c r="E47" s="302">
        <v>15</v>
      </c>
      <c r="F47" s="302">
        <v>1</v>
      </c>
      <c r="G47" s="305" t="s">
        <v>90</v>
      </c>
    </row>
    <row r="48" spans="1:15" ht="15">
      <c r="A48" s="303" t="s">
        <v>534</v>
      </c>
      <c r="B48" s="303" t="s">
        <v>536</v>
      </c>
      <c r="C48" s="302">
        <v>5</v>
      </c>
      <c r="D48" s="302">
        <v>0.06</v>
      </c>
      <c r="E48" s="302">
        <v>5</v>
      </c>
      <c r="F48" s="302">
        <v>2</v>
      </c>
      <c r="G48" s="305" t="s">
        <v>90</v>
      </c>
    </row>
    <row r="49" spans="1:7" ht="15">
      <c r="A49" s="303" t="s">
        <v>534</v>
      </c>
      <c r="B49" s="303" t="s">
        <v>537</v>
      </c>
      <c r="C49" s="302">
        <v>5</v>
      </c>
      <c r="D49" s="302">
        <v>0.06</v>
      </c>
      <c r="E49" s="302">
        <v>4</v>
      </c>
      <c r="F49" s="302">
        <v>1</v>
      </c>
      <c r="G49" s="305" t="s">
        <v>90</v>
      </c>
    </row>
    <row r="50" spans="1:7" ht="15">
      <c r="A50" s="303" t="s">
        <v>534</v>
      </c>
      <c r="B50" s="303" t="s">
        <v>538</v>
      </c>
      <c r="C50" s="302">
        <v>10</v>
      </c>
      <c r="D50" s="302">
        <v>0</v>
      </c>
      <c r="E50" s="302">
        <v>0</v>
      </c>
      <c r="F50" s="302">
        <v>2</v>
      </c>
      <c r="G50" s="302" t="s">
        <v>244</v>
      </c>
    </row>
    <row r="51" spans="1:7" ht="15">
      <c r="A51" s="303" t="s">
        <v>534</v>
      </c>
      <c r="B51" s="303" t="s">
        <v>539</v>
      </c>
      <c r="C51" s="302">
        <v>10</v>
      </c>
      <c r="D51" s="302">
        <v>0.18</v>
      </c>
      <c r="E51" s="302">
        <v>7</v>
      </c>
      <c r="F51" s="302">
        <v>2</v>
      </c>
      <c r="G51" s="302" t="s">
        <v>244</v>
      </c>
    </row>
    <row r="52" spans="1:7" ht="15">
      <c r="A52" s="303" t="s">
        <v>534</v>
      </c>
      <c r="B52" s="303" t="s">
        <v>540</v>
      </c>
      <c r="C52" s="302">
        <v>10</v>
      </c>
      <c r="D52" s="302">
        <v>0.18</v>
      </c>
      <c r="E52" s="302">
        <v>7</v>
      </c>
      <c r="F52" s="302">
        <v>3</v>
      </c>
      <c r="G52" s="302" t="s">
        <v>244</v>
      </c>
    </row>
    <row r="53" spans="1:7" ht="15">
      <c r="A53" s="303" t="s">
        <v>534</v>
      </c>
      <c r="B53" s="303" t="s">
        <v>541</v>
      </c>
      <c r="C53" s="302">
        <v>5</v>
      </c>
      <c r="D53" s="302">
        <v>0.18</v>
      </c>
      <c r="E53" s="302">
        <v>10</v>
      </c>
      <c r="F53" s="302">
        <v>2</v>
      </c>
      <c r="G53" s="302" t="s">
        <v>244</v>
      </c>
    </row>
    <row r="54" spans="1:7" ht="15">
      <c r="A54" s="303" t="s">
        <v>534</v>
      </c>
      <c r="B54" s="303" t="s">
        <v>542</v>
      </c>
      <c r="C54" s="302">
        <v>5</v>
      </c>
      <c r="D54" s="302">
        <v>0.12</v>
      </c>
      <c r="E54" s="302">
        <v>10</v>
      </c>
      <c r="F54" s="302">
        <v>1</v>
      </c>
      <c r="G54" s="302" t="s">
        <v>244</v>
      </c>
    </row>
    <row r="55" spans="1:7" ht="15">
      <c r="A55" s="303" t="s">
        <v>534</v>
      </c>
      <c r="B55" s="303" t="s">
        <v>543</v>
      </c>
      <c r="C55" s="302">
        <v>10</v>
      </c>
      <c r="D55" s="302">
        <v>0.12</v>
      </c>
      <c r="E55" s="302">
        <v>2</v>
      </c>
      <c r="F55" s="302">
        <v>2</v>
      </c>
      <c r="G55" s="302" t="s">
        <v>244</v>
      </c>
    </row>
    <row r="56" spans="1:7" ht="15">
      <c r="A56" s="303" t="s">
        <v>534</v>
      </c>
      <c r="B56" s="303" t="s">
        <v>544</v>
      </c>
      <c r="C56" s="302">
        <v>7.5</v>
      </c>
      <c r="D56" s="302">
        <v>0.12</v>
      </c>
      <c r="E56" s="302">
        <v>7</v>
      </c>
      <c r="F56" s="302">
        <v>2</v>
      </c>
      <c r="G56" s="302" t="s">
        <v>244</v>
      </c>
    </row>
    <row r="57" spans="1:7" ht="15">
      <c r="A57" s="303" t="s">
        <v>534</v>
      </c>
      <c r="B57" s="303" t="s">
        <v>545</v>
      </c>
      <c r="C57" s="302">
        <v>0</v>
      </c>
      <c r="D57" s="302">
        <v>0</v>
      </c>
      <c r="E57" s="302">
        <v>0</v>
      </c>
      <c r="F57" s="302">
        <v>1</v>
      </c>
      <c r="G57" s="302" t="s">
        <v>244</v>
      </c>
    </row>
    <row r="58" spans="1:7" ht="15">
      <c r="A58" s="303" t="s">
        <v>534</v>
      </c>
      <c r="B58" s="303" t="s">
        <v>546</v>
      </c>
      <c r="C58" s="302">
        <v>7.5</v>
      </c>
      <c r="D58" s="302">
        <v>0.06</v>
      </c>
      <c r="E58" s="302">
        <v>100</v>
      </c>
      <c r="F58" s="302">
        <v>1</v>
      </c>
      <c r="G58" s="305" t="s">
        <v>90</v>
      </c>
    </row>
    <row r="59" spans="1:7" ht="15">
      <c r="A59" s="303" t="s">
        <v>534</v>
      </c>
      <c r="B59" s="303" t="s">
        <v>547</v>
      </c>
      <c r="C59" s="302">
        <v>10</v>
      </c>
      <c r="D59" s="302">
        <v>0.06</v>
      </c>
      <c r="E59" s="302">
        <v>0</v>
      </c>
      <c r="F59" s="302">
        <v>2</v>
      </c>
      <c r="G59" s="302" t="s">
        <v>244</v>
      </c>
    </row>
    <row r="60" spans="1:7" ht="15">
      <c r="A60" s="303" t="s">
        <v>548</v>
      </c>
      <c r="B60" s="303" t="s">
        <v>549</v>
      </c>
      <c r="C60" s="302">
        <v>5</v>
      </c>
      <c r="D60" s="302">
        <v>0.12</v>
      </c>
      <c r="E60" s="302">
        <v>50</v>
      </c>
      <c r="F60" s="302">
        <v>1</v>
      </c>
      <c r="G60" s="302" t="s">
        <v>244</v>
      </c>
    </row>
    <row r="61" spans="1:7" ht="15">
      <c r="A61" s="303" t="s">
        <v>548</v>
      </c>
      <c r="B61" s="303" t="s">
        <v>550</v>
      </c>
      <c r="C61" s="302">
        <v>5</v>
      </c>
      <c r="D61" s="302">
        <v>0.06</v>
      </c>
      <c r="E61" s="302">
        <v>10</v>
      </c>
      <c r="F61" s="302">
        <v>1</v>
      </c>
      <c r="G61" s="305" t="s">
        <v>90</v>
      </c>
    </row>
    <row r="62" spans="1:7" ht="15">
      <c r="A62" s="303" t="s">
        <v>548</v>
      </c>
      <c r="B62" s="303" t="s">
        <v>551</v>
      </c>
      <c r="C62" s="302">
        <v>5</v>
      </c>
      <c r="D62" s="302">
        <v>0.06</v>
      </c>
      <c r="E62" s="302">
        <v>2</v>
      </c>
      <c r="F62" s="302">
        <v>1</v>
      </c>
      <c r="G62" s="302" t="s">
        <v>244</v>
      </c>
    </row>
    <row r="63" spans="1:7" ht="15">
      <c r="A63" s="303" t="s">
        <v>548</v>
      </c>
      <c r="B63" s="303" t="s">
        <v>552</v>
      </c>
      <c r="C63" s="302">
        <v>5</v>
      </c>
      <c r="D63" s="302">
        <v>0.06</v>
      </c>
      <c r="E63" s="302">
        <v>5</v>
      </c>
      <c r="F63" s="302">
        <v>1</v>
      </c>
      <c r="G63" s="305" t="s">
        <v>90</v>
      </c>
    </row>
    <row r="64" spans="1:7" ht="15">
      <c r="A64" s="303" t="s">
        <v>548</v>
      </c>
      <c r="B64" s="303" t="s">
        <v>553</v>
      </c>
      <c r="C64" s="302">
        <v>5</v>
      </c>
      <c r="D64" s="302">
        <v>0.06</v>
      </c>
      <c r="E64" s="302">
        <v>30</v>
      </c>
      <c r="F64" s="302">
        <v>1</v>
      </c>
      <c r="G64" s="305" t="s">
        <v>90</v>
      </c>
    </row>
    <row r="65" spans="1:7" ht="15">
      <c r="A65" s="303" t="s">
        <v>548</v>
      </c>
      <c r="B65" s="303" t="s">
        <v>554</v>
      </c>
      <c r="C65" s="302">
        <v>5</v>
      </c>
      <c r="D65" s="302">
        <v>0.06</v>
      </c>
      <c r="E65" s="302">
        <v>60</v>
      </c>
      <c r="F65" s="302">
        <v>1</v>
      </c>
      <c r="G65" s="305" t="s">
        <v>90</v>
      </c>
    </row>
    <row r="66" spans="1:7" ht="15">
      <c r="A66" s="303" t="s">
        <v>555</v>
      </c>
      <c r="B66" s="303" t="s">
        <v>556</v>
      </c>
      <c r="C66" s="302">
        <v>5</v>
      </c>
      <c r="D66" s="302">
        <v>0.06</v>
      </c>
      <c r="E66" s="302">
        <v>150</v>
      </c>
      <c r="F66" s="302">
        <v>1</v>
      </c>
      <c r="G66" s="305" t="s">
        <v>90</v>
      </c>
    </row>
    <row r="67" spans="1:7" ht="15">
      <c r="A67" s="303" t="s">
        <v>555</v>
      </c>
      <c r="B67" s="303" t="s">
        <v>557</v>
      </c>
      <c r="C67" s="302">
        <v>5</v>
      </c>
      <c r="D67" s="302">
        <v>0.06</v>
      </c>
      <c r="E67" s="302">
        <v>70</v>
      </c>
      <c r="F67" s="302">
        <v>1</v>
      </c>
      <c r="G67" s="305" t="s">
        <v>90</v>
      </c>
    </row>
    <row r="68" spans="1:7" ht="15">
      <c r="A68" s="303" t="s">
        <v>555</v>
      </c>
      <c r="B68" s="303" t="s">
        <v>558</v>
      </c>
      <c r="C68" s="302">
        <v>5</v>
      </c>
      <c r="D68" s="302">
        <v>0.06</v>
      </c>
      <c r="E68" s="302">
        <v>50</v>
      </c>
      <c r="F68" s="302">
        <v>1</v>
      </c>
      <c r="G68" s="305" t="s">
        <v>90</v>
      </c>
    </row>
    <row r="69" spans="1:7" ht="15">
      <c r="A69" s="303" t="s">
        <v>555</v>
      </c>
      <c r="B69" s="303" t="s">
        <v>510</v>
      </c>
      <c r="C69" s="302">
        <v>5</v>
      </c>
      <c r="D69" s="302">
        <v>0.12</v>
      </c>
      <c r="E69" s="302">
        <v>10</v>
      </c>
      <c r="F69" s="302">
        <v>1</v>
      </c>
      <c r="G69" s="302" t="s">
        <v>244</v>
      </c>
    </row>
    <row r="70" spans="1:7" ht="15">
      <c r="A70" s="303" t="s">
        <v>555</v>
      </c>
      <c r="B70" s="303" t="s">
        <v>559</v>
      </c>
      <c r="C70" s="302">
        <v>5</v>
      </c>
      <c r="D70" s="302">
        <v>0.06</v>
      </c>
      <c r="E70" s="302">
        <v>150</v>
      </c>
      <c r="F70" s="302">
        <v>1</v>
      </c>
      <c r="G70" s="305" t="s">
        <v>90</v>
      </c>
    </row>
    <row r="71" spans="1:7" ht="15">
      <c r="A71" s="303" t="s">
        <v>555</v>
      </c>
      <c r="B71" s="303" t="s">
        <v>560</v>
      </c>
      <c r="C71" s="302">
        <v>7.5</v>
      </c>
      <c r="D71" s="302">
        <v>0.12</v>
      </c>
      <c r="E71" s="302">
        <v>40</v>
      </c>
      <c r="F71" s="302">
        <v>1</v>
      </c>
      <c r="G71" s="302" t="s">
        <v>244</v>
      </c>
    </row>
    <row r="72" spans="1:7" ht="15">
      <c r="A72" s="303" t="s">
        <v>555</v>
      </c>
      <c r="B72" s="303" t="s">
        <v>561</v>
      </c>
      <c r="C72" s="302">
        <v>7.5</v>
      </c>
      <c r="D72" s="302">
        <v>0.06</v>
      </c>
      <c r="E72" s="302">
        <v>40</v>
      </c>
      <c r="F72" s="302">
        <v>1</v>
      </c>
      <c r="G72" s="305" t="s">
        <v>90</v>
      </c>
    </row>
    <row r="73" spans="1:7" ht="15">
      <c r="A73" s="303" t="s">
        <v>555</v>
      </c>
      <c r="B73" s="303" t="s">
        <v>562</v>
      </c>
      <c r="C73" s="302">
        <v>5</v>
      </c>
      <c r="D73" s="302">
        <v>0.06</v>
      </c>
      <c r="E73" s="302">
        <v>120</v>
      </c>
      <c r="F73" s="302">
        <v>1</v>
      </c>
      <c r="G73" s="305" t="s">
        <v>90</v>
      </c>
    </row>
    <row r="74" spans="1:7" ht="15">
      <c r="A74" s="303" t="s">
        <v>563</v>
      </c>
      <c r="B74" s="303" t="s">
        <v>564</v>
      </c>
      <c r="C74" s="302">
        <v>0</v>
      </c>
      <c r="D74" s="302">
        <v>0.06</v>
      </c>
      <c r="E74" s="302">
        <v>0</v>
      </c>
      <c r="F74" s="302">
        <v>1</v>
      </c>
      <c r="G74" s="305" t="s">
        <v>90</v>
      </c>
    </row>
    <row r="75" spans="1:7" ht="15">
      <c r="A75" s="303" t="s">
        <v>565</v>
      </c>
      <c r="B75" s="303" t="s">
        <v>566</v>
      </c>
      <c r="C75" s="302">
        <v>7.5</v>
      </c>
      <c r="D75" s="302">
        <v>0.12</v>
      </c>
      <c r="E75" s="302">
        <v>15</v>
      </c>
      <c r="F75" s="302">
        <v>2</v>
      </c>
      <c r="G75" s="302" t="s">
        <v>244</v>
      </c>
    </row>
    <row r="76" spans="1:7" ht="15">
      <c r="A76" s="303" t="s">
        <v>565</v>
      </c>
      <c r="B76" s="303" t="s">
        <v>567</v>
      </c>
      <c r="C76" s="302">
        <v>7.5</v>
      </c>
      <c r="D76" s="302">
        <v>0.06</v>
      </c>
      <c r="E76" s="302">
        <v>25</v>
      </c>
      <c r="F76" s="302">
        <v>2</v>
      </c>
      <c r="G76" s="305" t="s">
        <v>90</v>
      </c>
    </row>
    <row r="77" spans="1:7" ht="15">
      <c r="A77" s="303" t="s">
        <v>565</v>
      </c>
      <c r="B77" s="303" t="s">
        <v>568</v>
      </c>
      <c r="C77" s="302">
        <v>20</v>
      </c>
      <c r="D77" s="302">
        <v>0.12</v>
      </c>
      <c r="E77" s="302">
        <v>25</v>
      </c>
      <c r="F77" s="302">
        <v>2</v>
      </c>
      <c r="G77" s="302" t="s">
        <v>244</v>
      </c>
    </row>
    <row r="78" spans="1:7" ht="15">
      <c r="A78" s="303" t="s">
        <v>565</v>
      </c>
      <c r="B78" s="303" t="s">
        <v>569</v>
      </c>
      <c r="C78" s="302">
        <v>7.5</v>
      </c>
      <c r="D78" s="302">
        <v>0.12</v>
      </c>
      <c r="E78" s="302">
        <v>20</v>
      </c>
      <c r="F78" s="302">
        <v>2</v>
      </c>
      <c r="G78" s="302" t="s">
        <v>244</v>
      </c>
    </row>
    <row r="79" spans="1:7" ht="15">
      <c r="A79" s="303" t="s">
        <v>565</v>
      </c>
      <c r="B79" s="303" t="s">
        <v>570</v>
      </c>
      <c r="C79" s="302">
        <v>7.5</v>
      </c>
      <c r="D79" s="302">
        <v>0.06</v>
      </c>
      <c r="E79" s="302">
        <v>40</v>
      </c>
      <c r="F79" s="302">
        <v>1</v>
      </c>
      <c r="G79" s="305" t="s">
        <v>90</v>
      </c>
    </row>
    <row r="80" spans="1:7" ht="15">
      <c r="A80" s="303" t="s">
        <v>565</v>
      </c>
      <c r="B80" s="303" t="s">
        <v>571</v>
      </c>
      <c r="C80" s="302">
        <v>7.5</v>
      </c>
      <c r="D80" s="302">
        <v>0.18</v>
      </c>
      <c r="E80" s="302">
        <v>10</v>
      </c>
      <c r="F80" s="302">
        <v>2</v>
      </c>
      <c r="G80" s="302" t="s">
        <v>244</v>
      </c>
    </row>
    <row r="81" spans="1:7" ht="15">
      <c r="A81" s="303" t="s">
        <v>565</v>
      </c>
      <c r="B81" s="303" t="s">
        <v>572</v>
      </c>
      <c r="C81" s="302">
        <v>7.5</v>
      </c>
      <c r="D81" s="302">
        <v>0.06</v>
      </c>
      <c r="E81" s="302">
        <v>8</v>
      </c>
      <c r="F81" s="302">
        <v>1</v>
      </c>
      <c r="G81" s="305" t="s">
        <v>90</v>
      </c>
    </row>
    <row r="82" spans="1:7" ht="15">
      <c r="A82" s="303" t="s">
        <v>573</v>
      </c>
      <c r="B82" s="303" t="s">
        <v>574</v>
      </c>
      <c r="C82" s="302">
        <v>10</v>
      </c>
      <c r="D82" s="302">
        <v>0.12</v>
      </c>
      <c r="E82" s="302">
        <v>40</v>
      </c>
      <c r="F82" s="302">
        <v>1</v>
      </c>
      <c r="G82" s="302" t="s">
        <v>244</v>
      </c>
    </row>
    <row r="83" spans="1:7" ht="15">
      <c r="A83" s="303" t="s">
        <v>573</v>
      </c>
      <c r="B83" s="303" t="s">
        <v>575</v>
      </c>
      <c r="C83" s="302">
        <v>20</v>
      </c>
      <c r="D83" s="302">
        <v>0.06</v>
      </c>
      <c r="E83" s="302">
        <v>100</v>
      </c>
      <c r="F83" s="302">
        <v>2</v>
      </c>
      <c r="G83" s="305" t="s">
        <v>90</v>
      </c>
    </row>
    <row r="84" spans="1:7" ht="15">
      <c r="A84" s="303" t="s">
        <v>573</v>
      </c>
      <c r="B84" s="303" t="s">
        <v>576</v>
      </c>
      <c r="C84" s="302">
        <v>7.5</v>
      </c>
      <c r="D84" s="302">
        <v>0.18</v>
      </c>
      <c r="E84" s="302">
        <v>120</v>
      </c>
      <c r="F84" s="302">
        <v>1</v>
      </c>
      <c r="G84" s="302" t="s">
        <v>244</v>
      </c>
    </row>
    <row r="85" spans="1:7" ht="15">
      <c r="A85" s="303" t="s">
        <v>573</v>
      </c>
      <c r="B85" s="303" t="s">
        <v>577</v>
      </c>
      <c r="C85" s="302">
        <v>7.5</v>
      </c>
      <c r="D85" s="302">
        <v>0.18</v>
      </c>
      <c r="E85" s="302">
        <v>20</v>
      </c>
      <c r="F85" s="302">
        <v>1</v>
      </c>
      <c r="G85" s="302" t="s">
        <v>244</v>
      </c>
    </row>
    <row r="86" spans="1:7" ht="15">
      <c r="A86" s="303" t="s">
        <v>573</v>
      </c>
      <c r="B86" s="303" t="s">
        <v>578</v>
      </c>
      <c r="C86" s="302">
        <v>20</v>
      </c>
      <c r="D86" s="302">
        <v>0.18</v>
      </c>
      <c r="E86" s="302">
        <v>7</v>
      </c>
      <c r="F86" s="302">
        <v>2</v>
      </c>
      <c r="G86" s="302" t="s">
        <v>244</v>
      </c>
    </row>
    <row r="87" spans="1:7" ht="15">
      <c r="A87" s="303" t="s">
        <v>573</v>
      </c>
      <c r="B87" s="303" t="s">
        <v>579</v>
      </c>
      <c r="C87" s="302">
        <v>20</v>
      </c>
      <c r="D87" s="302">
        <v>0.06</v>
      </c>
      <c r="E87" s="302">
        <v>40</v>
      </c>
      <c r="F87" s="302">
        <v>2</v>
      </c>
      <c r="G87" s="302" t="s">
        <v>244</v>
      </c>
    </row>
    <row r="88" spans="1:7" ht="15">
      <c r="A88" s="303" t="s">
        <v>573</v>
      </c>
      <c r="B88" s="303" t="s">
        <v>580</v>
      </c>
      <c r="C88" s="302">
        <v>20</v>
      </c>
      <c r="D88" s="302">
        <v>0.06</v>
      </c>
      <c r="E88" s="302">
        <v>10</v>
      </c>
      <c r="F88" s="302">
        <v>2</v>
      </c>
      <c r="G88" s="302" t="s">
        <v>244</v>
      </c>
    </row>
    <row r="89" spans="1:7" ht="15">
      <c r="A89" s="303" t="s">
        <v>573</v>
      </c>
      <c r="B89" s="303" t="s">
        <v>581</v>
      </c>
      <c r="C89" s="302">
        <v>7.5</v>
      </c>
      <c r="D89" s="302">
        <v>0.06</v>
      </c>
      <c r="E89" s="302">
        <v>150</v>
      </c>
      <c r="F89" s="302">
        <v>1</v>
      </c>
      <c r="G89" s="305" t="s">
        <v>90</v>
      </c>
    </row>
    <row r="90" spans="1:7" ht="15">
      <c r="A90" s="303" t="s">
        <v>573</v>
      </c>
      <c r="B90" s="303" t="s">
        <v>582</v>
      </c>
      <c r="C90" s="302">
        <v>10</v>
      </c>
      <c r="D90" s="302">
        <v>0.06</v>
      </c>
      <c r="E90" s="302">
        <v>70</v>
      </c>
      <c r="F90" s="302">
        <v>1</v>
      </c>
      <c r="G90" s="305" t="s">
        <v>90</v>
      </c>
    </row>
    <row r="91" spans="1:7" ht="15">
      <c r="A91" s="303" t="s">
        <v>573</v>
      </c>
      <c r="B91" s="303" t="s">
        <v>583</v>
      </c>
      <c r="C91" s="302">
        <v>0</v>
      </c>
      <c r="D91" s="302">
        <v>0.48</v>
      </c>
      <c r="E91" s="302">
        <v>0</v>
      </c>
      <c r="F91" s="302">
        <v>2</v>
      </c>
      <c r="G91" s="302" t="s">
        <v>244</v>
      </c>
    </row>
  </sheetData>
  <sheetProtection sheet="1" objects="1" scenarios="1"/>
  <pageMargins left="0.7" right="0.7" top="0.75" bottom="0.75" header="0.3" footer="0.3"/>
  <pageSetup scale="22" fitToHeight="0" orientation="landscape"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49" zoomScale="130" zoomScaleNormal="130" zoomScaleSheetLayoutView="145" workbookViewId="0">
      <selection activeCell="C115" sqref="C115"/>
    </sheetView>
  </sheetViews>
  <sheetFormatPr defaultColWidth="9.140625" defaultRowHeight="12.75"/>
  <cols>
    <col min="1" max="1" width="34" style="1" bestFit="1" customWidth="1"/>
    <col min="2" max="2" width="24.140625" style="1" bestFit="1" customWidth="1"/>
    <col min="3" max="3" width="26.140625" style="1" bestFit="1" customWidth="1"/>
    <col min="4" max="4" width="21.42578125" style="1" bestFit="1" customWidth="1"/>
    <col min="5" max="5" width="22.28515625" style="1" bestFit="1" customWidth="1"/>
    <col min="6" max="6" width="24.85546875" style="1" bestFit="1" customWidth="1"/>
    <col min="7" max="7" width="17.7109375" style="1" bestFit="1" customWidth="1"/>
    <col min="8" max="8" width="16" style="1" bestFit="1" customWidth="1"/>
    <col min="9" max="9" width="15.28515625" style="1" bestFit="1" customWidth="1"/>
    <col min="10" max="10" width="6" style="1" bestFit="1" customWidth="1"/>
    <col min="11" max="12" width="9.140625" style="1"/>
    <col min="13" max="13" width="34" style="1" bestFit="1" customWidth="1"/>
    <col min="14" max="16384" width="9.140625" style="1"/>
  </cols>
  <sheetData>
    <row r="1" spans="1:13">
      <c r="A1" s="150" t="s">
        <v>1</v>
      </c>
      <c r="B1" s="151" t="s">
        <v>2</v>
      </c>
      <c r="C1" s="152" t="s">
        <v>3</v>
      </c>
      <c r="D1" s="151" t="s">
        <v>4</v>
      </c>
      <c r="E1" s="151" t="s">
        <v>281</v>
      </c>
      <c r="F1" s="151" t="s">
        <v>282</v>
      </c>
      <c r="G1" s="153" t="s">
        <v>283</v>
      </c>
      <c r="H1" s="154" t="s">
        <v>284</v>
      </c>
      <c r="I1" s="155" t="s">
        <v>285</v>
      </c>
      <c r="J1" s="152" t="s">
        <v>286</v>
      </c>
      <c r="K1" s="20"/>
    </row>
    <row r="2" spans="1:13">
      <c r="A2" s="156" t="s">
        <v>287</v>
      </c>
      <c r="B2" s="157" t="s">
        <v>288</v>
      </c>
      <c r="C2" s="158" t="s">
        <v>30</v>
      </c>
      <c r="D2" s="159">
        <v>10</v>
      </c>
      <c r="E2" s="157" t="s">
        <v>289</v>
      </c>
      <c r="F2" s="157" t="s">
        <v>290</v>
      </c>
      <c r="G2" s="160" t="s">
        <v>30</v>
      </c>
      <c r="H2" s="161" t="s">
        <v>30</v>
      </c>
      <c r="I2" s="161" t="s">
        <v>30</v>
      </c>
      <c r="J2" s="162" t="s">
        <v>291</v>
      </c>
      <c r="K2" s="20"/>
      <c r="M2" s="20"/>
    </row>
    <row r="3" spans="1:13">
      <c r="A3" s="163" t="s">
        <v>292</v>
      </c>
      <c r="B3" s="164" t="s">
        <v>293</v>
      </c>
      <c r="C3" s="165">
        <v>2</v>
      </c>
      <c r="D3" s="166">
        <v>12</v>
      </c>
      <c r="E3" s="164" t="s">
        <v>289</v>
      </c>
      <c r="F3" s="164" t="s">
        <v>290</v>
      </c>
      <c r="G3" s="167" t="s">
        <v>294</v>
      </c>
      <c r="H3" s="161">
        <v>70</v>
      </c>
      <c r="I3" s="168">
        <v>75</v>
      </c>
      <c r="J3" s="161" t="s">
        <v>291</v>
      </c>
      <c r="K3" s="20"/>
      <c r="M3" s="20"/>
    </row>
    <row r="4" spans="1:13">
      <c r="A4" s="163" t="s">
        <v>295</v>
      </c>
      <c r="B4" s="164" t="s">
        <v>293</v>
      </c>
      <c r="C4" s="165">
        <v>2</v>
      </c>
      <c r="D4" s="166">
        <v>12</v>
      </c>
      <c r="E4" s="164" t="s">
        <v>289</v>
      </c>
      <c r="F4" s="164" t="s">
        <v>290</v>
      </c>
      <c r="G4" s="167" t="s">
        <v>30</v>
      </c>
      <c r="H4" s="161" t="s">
        <v>30</v>
      </c>
      <c r="I4" s="161" t="s">
        <v>30</v>
      </c>
      <c r="J4" s="161"/>
      <c r="K4" s="20"/>
      <c r="M4" s="20"/>
    </row>
    <row r="5" spans="1:13">
      <c r="A5" s="163" t="s">
        <v>296</v>
      </c>
      <c r="B5" s="164" t="s">
        <v>297</v>
      </c>
      <c r="C5" s="165">
        <v>3</v>
      </c>
      <c r="D5" s="166">
        <v>15</v>
      </c>
      <c r="E5" s="164" t="s">
        <v>30</v>
      </c>
      <c r="F5" s="164" t="s">
        <v>30</v>
      </c>
      <c r="G5" s="167" t="s">
        <v>294</v>
      </c>
      <c r="H5" s="161">
        <v>70</v>
      </c>
      <c r="I5" s="168">
        <v>75</v>
      </c>
      <c r="J5" s="169"/>
      <c r="K5" s="20"/>
      <c r="M5" s="20"/>
    </row>
    <row r="6" spans="1:13">
      <c r="A6" s="163" t="s">
        <v>298</v>
      </c>
      <c r="B6" s="164" t="s">
        <v>293</v>
      </c>
      <c r="C6" s="165" t="s">
        <v>30</v>
      </c>
      <c r="D6" s="166">
        <v>10</v>
      </c>
      <c r="E6" s="164" t="s">
        <v>289</v>
      </c>
      <c r="F6" s="164" t="s">
        <v>290</v>
      </c>
      <c r="G6" s="167" t="s">
        <v>30</v>
      </c>
      <c r="H6" s="161">
        <v>70</v>
      </c>
      <c r="I6" s="168">
        <v>75</v>
      </c>
      <c r="J6" s="169"/>
      <c r="K6" s="20"/>
      <c r="M6" s="20"/>
    </row>
    <row r="7" spans="1:13">
      <c r="A7" s="163" t="s">
        <v>299</v>
      </c>
      <c r="B7" s="164" t="s">
        <v>293</v>
      </c>
      <c r="C7" s="165" t="s">
        <v>30</v>
      </c>
      <c r="D7" s="166">
        <v>10</v>
      </c>
      <c r="E7" s="164" t="s">
        <v>289</v>
      </c>
      <c r="F7" s="164" t="s">
        <v>290</v>
      </c>
      <c r="G7" s="167" t="s">
        <v>30</v>
      </c>
      <c r="H7" s="161">
        <v>72</v>
      </c>
      <c r="I7" s="168">
        <v>78</v>
      </c>
      <c r="J7" s="170"/>
      <c r="K7" s="20"/>
      <c r="M7" s="20"/>
    </row>
    <row r="8" spans="1:13">
      <c r="A8" s="163" t="s">
        <v>300</v>
      </c>
      <c r="B8" s="164" t="s">
        <v>293</v>
      </c>
      <c r="C8" s="165" t="s">
        <v>30</v>
      </c>
      <c r="D8" s="166">
        <v>10</v>
      </c>
      <c r="E8" s="164" t="s">
        <v>289</v>
      </c>
      <c r="F8" s="164" t="s">
        <v>290</v>
      </c>
      <c r="G8" s="167" t="s">
        <v>30</v>
      </c>
      <c r="H8" s="161" t="s">
        <v>30</v>
      </c>
      <c r="I8" s="161" t="s">
        <v>30</v>
      </c>
      <c r="J8" s="169"/>
      <c r="K8" s="20"/>
      <c r="M8" s="20"/>
    </row>
    <row r="9" spans="1:13">
      <c r="A9" s="163" t="s">
        <v>301</v>
      </c>
      <c r="B9" s="164" t="s">
        <v>30</v>
      </c>
      <c r="C9" s="165">
        <v>2</v>
      </c>
      <c r="D9" s="166">
        <v>6</v>
      </c>
      <c r="E9" s="164" t="s">
        <v>30</v>
      </c>
      <c r="F9" s="164" t="s">
        <v>30</v>
      </c>
      <c r="G9" s="167" t="s">
        <v>30</v>
      </c>
      <c r="H9" s="161" t="s">
        <v>30</v>
      </c>
      <c r="I9" s="161" t="s">
        <v>30</v>
      </c>
      <c r="J9" s="163"/>
      <c r="K9" s="20"/>
      <c r="M9" s="20"/>
    </row>
    <row r="10" spans="1:13">
      <c r="A10" s="163" t="s">
        <v>302</v>
      </c>
      <c r="B10" s="164" t="s">
        <v>30</v>
      </c>
      <c r="C10" s="165">
        <v>2</v>
      </c>
      <c r="D10" s="166">
        <v>6</v>
      </c>
      <c r="E10" s="164" t="s">
        <v>30</v>
      </c>
      <c r="F10" s="164" t="s">
        <v>30</v>
      </c>
      <c r="G10" s="167" t="s">
        <v>30</v>
      </c>
      <c r="H10" s="161" t="s">
        <v>30</v>
      </c>
      <c r="I10" s="161" t="s">
        <v>30</v>
      </c>
      <c r="J10" s="163"/>
      <c r="M10" s="20"/>
    </row>
    <row r="11" spans="1:13">
      <c r="A11" s="163" t="s">
        <v>303</v>
      </c>
      <c r="B11" s="164" t="s">
        <v>293</v>
      </c>
      <c r="C11" s="165">
        <v>2</v>
      </c>
      <c r="D11" s="166">
        <v>12</v>
      </c>
      <c r="E11" s="164" t="s">
        <v>289</v>
      </c>
      <c r="F11" s="164" t="s">
        <v>290</v>
      </c>
      <c r="G11" s="167" t="s">
        <v>30</v>
      </c>
      <c r="H11" s="161">
        <v>68</v>
      </c>
      <c r="I11" s="168">
        <v>73</v>
      </c>
      <c r="J11" s="161" t="s">
        <v>304</v>
      </c>
      <c r="M11" s="20"/>
    </row>
    <row r="12" spans="1:13">
      <c r="A12" s="163" t="s">
        <v>305</v>
      </c>
      <c r="B12" s="164" t="s">
        <v>297</v>
      </c>
      <c r="C12" s="165">
        <v>3</v>
      </c>
      <c r="D12" s="166">
        <v>15</v>
      </c>
      <c r="E12" s="164" t="s">
        <v>30</v>
      </c>
      <c r="F12" s="164" t="s">
        <v>290</v>
      </c>
      <c r="G12" s="167" t="s">
        <v>294</v>
      </c>
      <c r="H12" s="161">
        <v>70</v>
      </c>
      <c r="I12" s="168">
        <v>75</v>
      </c>
      <c r="J12" s="163"/>
      <c r="M12" s="20"/>
    </row>
    <row r="13" spans="1:13">
      <c r="A13" s="163" t="s">
        <v>306</v>
      </c>
      <c r="B13" s="164" t="s">
        <v>297</v>
      </c>
      <c r="C13" s="165" t="s">
        <v>30</v>
      </c>
      <c r="D13" s="166">
        <v>2</v>
      </c>
      <c r="E13" s="164" t="s">
        <v>30</v>
      </c>
      <c r="F13" s="164" t="s">
        <v>30</v>
      </c>
      <c r="G13" s="167" t="s">
        <v>30</v>
      </c>
      <c r="H13" s="161">
        <v>72</v>
      </c>
      <c r="I13" s="168">
        <v>78</v>
      </c>
      <c r="J13" s="163"/>
      <c r="M13" s="20"/>
    </row>
    <row r="14" spans="1:13">
      <c r="A14" s="163" t="s">
        <v>307</v>
      </c>
      <c r="B14" s="164" t="s">
        <v>297</v>
      </c>
      <c r="C14" s="165">
        <v>2</v>
      </c>
      <c r="D14" s="166">
        <v>4</v>
      </c>
      <c r="E14" s="164" t="s">
        <v>30</v>
      </c>
      <c r="F14" s="164" t="s">
        <v>290</v>
      </c>
      <c r="G14" s="167" t="s">
        <v>294</v>
      </c>
      <c r="H14" s="161">
        <v>72</v>
      </c>
      <c r="I14" s="168">
        <v>78</v>
      </c>
      <c r="J14" s="163"/>
      <c r="M14" s="20"/>
    </row>
    <row r="15" spans="1:13">
      <c r="A15" s="163" t="s">
        <v>308</v>
      </c>
      <c r="B15" s="164" t="s">
        <v>297</v>
      </c>
      <c r="C15" s="165">
        <v>2</v>
      </c>
      <c r="D15" s="166">
        <v>4</v>
      </c>
      <c r="E15" s="164" t="s">
        <v>30</v>
      </c>
      <c r="F15" s="164" t="s">
        <v>30</v>
      </c>
      <c r="G15" s="167" t="s">
        <v>30</v>
      </c>
      <c r="H15" s="161" t="s">
        <v>30</v>
      </c>
      <c r="I15" s="161" t="s">
        <v>30</v>
      </c>
      <c r="J15" s="163"/>
      <c r="M15" s="20"/>
    </row>
    <row r="16" spans="1:13">
      <c r="A16" s="163" t="s">
        <v>309</v>
      </c>
      <c r="B16" s="164" t="s">
        <v>30</v>
      </c>
      <c r="C16" s="165">
        <v>2</v>
      </c>
      <c r="D16" s="166">
        <v>6</v>
      </c>
      <c r="E16" s="164" t="s">
        <v>30</v>
      </c>
      <c r="F16" s="164" t="s">
        <v>290</v>
      </c>
      <c r="G16" s="167" t="s">
        <v>310</v>
      </c>
      <c r="H16" s="161">
        <v>70</v>
      </c>
      <c r="I16" s="168">
        <v>75</v>
      </c>
      <c r="J16" s="163"/>
      <c r="M16" s="20"/>
    </row>
    <row r="17" spans="1:13">
      <c r="A17" s="163" t="s">
        <v>311</v>
      </c>
      <c r="B17" s="164" t="s">
        <v>30</v>
      </c>
      <c r="C17" s="165">
        <v>2</v>
      </c>
      <c r="D17" s="166">
        <v>6</v>
      </c>
      <c r="E17" s="164" t="s">
        <v>30</v>
      </c>
      <c r="F17" s="164" t="s">
        <v>30</v>
      </c>
      <c r="G17" s="167" t="s">
        <v>294</v>
      </c>
      <c r="H17" s="161" t="s">
        <v>30</v>
      </c>
      <c r="I17" s="161" t="s">
        <v>30</v>
      </c>
      <c r="J17" s="161"/>
      <c r="M17" s="20"/>
    </row>
    <row r="18" spans="1:13">
      <c r="A18" s="163" t="s">
        <v>312</v>
      </c>
      <c r="B18" s="164" t="s">
        <v>293</v>
      </c>
      <c r="C18" s="165">
        <v>2</v>
      </c>
      <c r="D18" s="166">
        <v>10</v>
      </c>
      <c r="E18" s="164" t="s">
        <v>289</v>
      </c>
      <c r="F18" s="164" t="s">
        <v>290</v>
      </c>
      <c r="G18" s="167" t="s">
        <v>30</v>
      </c>
      <c r="H18" s="161" t="s">
        <v>30</v>
      </c>
      <c r="I18" s="161" t="s">
        <v>30</v>
      </c>
      <c r="J18" s="161" t="s">
        <v>313</v>
      </c>
      <c r="M18" s="20"/>
    </row>
    <row r="19" spans="1:13">
      <c r="A19" s="163" t="s">
        <v>314</v>
      </c>
      <c r="B19" s="164" t="s">
        <v>297</v>
      </c>
      <c r="C19" s="165">
        <v>4</v>
      </c>
      <c r="D19" s="166">
        <v>20</v>
      </c>
      <c r="E19" s="164" t="s">
        <v>30</v>
      </c>
      <c r="F19" s="164" t="s">
        <v>290</v>
      </c>
      <c r="G19" s="167" t="s">
        <v>315</v>
      </c>
      <c r="H19" s="161">
        <v>68</v>
      </c>
      <c r="I19" s="168">
        <v>75</v>
      </c>
      <c r="J19" s="161" t="s">
        <v>316</v>
      </c>
      <c r="M19" s="20"/>
    </row>
    <row r="20" spans="1:13">
      <c r="A20" s="163" t="s">
        <v>317</v>
      </c>
      <c r="B20" s="164" t="s">
        <v>30</v>
      </c>
      <c r="C20" s="165">
        <v>2</v>
      </c>
      <c r="D20" s="166">
        <v>6</v>
      </c>
      <c r="E20" s="164" t="s">
        <v>30</v>
      </c>
      <c r="F20" s="164" t="s">
        <v>30</v>
      </c>
      <c r="G20" s="167" t="s">
        <v>30</v>
      </c>
      <c r="H20" s="161">
        <v>72</v>
      </c>
      <c r="I20" s="168">
        <v>78</v>
      </c>
      <c r="J20" s="161"/>
      <c r="M20" s="20"/>
    </row>
    <row r="21" spans="1:13">
      <c r="A21" s="163" t="s">
        <v>318</v>
      </c>
      <c r="B21" s="164" t="s">
        <v>293</v>
      </c>
      <c r="C21" s="165" t="s">
        <v>30</v>
      </c>
      <c r="D21" s="166">
        <v>10</v>
      </c>
      <c r="E21" s="164" t="s">
        <v>289</v>
      </c>
      <c r="F21" s="164" t="s">
        <v>290</v>
      </c>
      <c r="G21" s="167" t="s">
        <v>30</v>
      </c>
      <c r="H21" s="161" t="s">
        <v>30</v>
      </c>
      <c r="I21" s="161" t="s">
        <v>30</v>
      </c>
      <c r="J21" s="161"/>
      <c r="M21" s="20"/>
    </row>
    <row r="22" spans="1:13">
      <c r="A22" s="163" t="s">
        <v>319</v>
      </c>
      <c r="B22" s="164" t="s">
        <v>30</v>
      </c>
      <c r="C22" s="165" t="s">
        <v>30</v>
      </c>
      <c r="D22" s="166">
        <v>2</v>
      </c>
      <c r="E22" s="164" t="s">
        <v>30</v>
      </c>
      <c r="F22" s="164" t="s">
        <v>290</v>
      </c>
      <c r="G22" s="167" t="s">
        <v>30</v>
      </c>
      <c r="H22" s="161">
        <v>72</v>
      </c>
      <c r="I22" s="168">
        <v>78</v>
      </c>
      <c r="J22" s="161"/>
      <c r="M22" s="20"/>
    </row>
    <row r="23" spans="1:13">
      <c r="A23" s="163" t="s">
        <v>320</v>
      </c>
      <c r="B23" s="164" t="s">
        <v>33</v>
      </c>
      <c r="C23" s="165">
        <v>3</v>
      </c>
      <c r="D23" s="166">
        <v>15</v>
      </c>
      <c r="E23" s="164" t="s">
        <v>30</v>
      </c>
      <c r="F23" s="164" t="s">
        <v>30</v>
      </c>
      <c r="G23" s="167" t="s">
        <v>30</v>
      </c>
      <c r="H23" s="161" t="s">
        <v>30</v>
      </c>
      <c r="I23" s="161" t="s">
        <v>30</v>
      </c>
      <c r="J23" s="161"/>
      <c r="M23" s="20"/>
    </row>
    <row r="24" spans="1:13">
      <c r="A24" s="163" t="s">
        <v>321</v>
      </c>
      <c r="B24" s="164" t="s">
        <v>30</v>
      </c>
      <c r="C24" s="165">
        <v>2</v>
      </c>
      <c r="D24" s="166">
        <v>6</v>
      </c>
      <c r="E24" s="164" t="s">
        <v>30</v>
      </c>
      <c r="F24" s="164" t="s">
        <v>30</v>
      </c>
      <c r="G24" s="167" t="s">
        <v>294</v>
      </c>
      <c r="H24" s="161">
        <v>70</v>
      </c>
      <c r="I24" s="168">
        <v>75</v>
      </c>
      <c r="J24" s="161" t="s">
        <v>33</v>
      </c>
      <c r="M24" s="20"/>
    </row>
    <row r="25" spans="1:13">
      <c r="A25" s="163" t="s">
        <v>322</v>
      </c>
      <c r="B25" s="164" t="s">
        <v>293</v>
      </c>
      <c r="C25" s="165">
        <v>2</v>
      </c>
      <c r="D25" s="166">
        <v>10</v>
      </c>
      <c r="E25" s="164" t="s">
        <v>289</v>
      </c>
      <c r="F25" s="164" t="s">
        <v>290</v>
      </c>
      <c r="G25" s="167" t="s">
        <v>30</v>
      </c>
      <c r="H25" s="161" t="s">
        <v>30</v>
      </c>
      <c r="I25" s="161" t="s">
        <v>30</v>
      </c>
      <c r="J25" s="161"/>
      <c r="M25" s="20"/>
    </row>
    <row r="26" spans="1:13">
      <c r="A26" s="163" t="s">
        <v>323</v>
      </c>
      <c r="B26" s="164" t="s">
        <v>293</v>
      </c>
      <c r="C26" s="165">
        <v>2</v>
      </c>
      <c r="D26" s="166">
        <v>12</v>
      </c>
      <c r="E26" s="164" t="s">
        <v>289</v>
      </c>
      <c r="F26" s="164" t="s">
        <v>290</v>
      </c>
      <c r="G26" s="167" t="s">
        <v>30</v>
      </c>
      <c r="H26" s="161" t="s">
        <v>30</v>
      </c>
      <c r="I26" s="161" t="s">
        <v>30</v>
      </c>
      <c r="J26" s="161"/>
      <c r="M26" s="20"/>
    </row>
    <row r="27" spans="1:13">
      <c r="A27" s="163" t="s">
        <v>324</v>
      </c>
      <c r="B27" s="164" t="s">
        <v>293</v>
      </c>
      <c r="C27" s="165">
        <v>2</v>
      </c>
      <c r="D27" s="166">
        <v>12</v>
      </c>
      <c r="E27" s="164" t="s">
        <v>289</v>
      </c>
      <c r="F27" s="164" t="s">
        <v>30</v>
      </c>
      <c r="G27" s="167" t="s">
        <v>325</v>
      </c>
      <c r="H27" s="161">
        <v>70</v>
      </c>
      <c r="I27" s="168">
        <v>75</v>
      </c>
      <c r="J27" s="161" t="s">
        <v>441</v>
      </c>
      <c r="M27" s="20"/>
    </row>
    <row r="28" spans="1:13">
      <c r="A28" s="163" t="s">
        <v>326</v>
      </c>
      <c r="B28" s="164" t="s">
        <v>30</v>
      </c>
      <c r="C28" s="165">
        <v>2</v>
      </c>
      <c r="D28" s="166">
        <v>6</v>
      </c>
      <c r="E28" s="164" t="s">
        <v>30</v>
      </c>
      <c r="F28" s="164" t="s">
        <v>30</v>
      </c>
      <c r="G28" s="167" t="s">
        <v>294</v>
      </c>
      <c r="H28" s="161">
        <v>70</v>
      </c>
      <c r="I28" s="168">
        <v>75</v>
      </c>
      <c r="J28" s="161"/>
      <c r="M28" s="20"/>
    </row>
    <row r="29" spans="1:13">
      <c r="A29" s="163" t="s">
        <v>327</v>
      </c>
      <c r="B29" s="164" t="s">
        <v>30</v>
      </c>
      <c r="C29" s="165">
        <v>2</v>
      </c>
      <c r="D29" s="166">
        <v>6</v>
      </c>
      <c r="E29" s="164" t="s">
        <v>30</v>
      </c>
      <c r="F29" s="164" t="s">
        <v>30</v>
      </c>
      <c r="G29" s="167" t="s">
        <v>30</v>
      </c>
      <c r="H29" s="161" t="s">
        <v>30</v>
      </c>
      <c r="I29" s="161" t="s">
        <v>30</v>
      </c>
      <c r="J29" s="161"/>
      <c r="M29" s="20"/>
    </row>
    <row r="30" spans="1:13">
      <c r="A30" s="163" t="s">
        <v>328</v>
      </c>
      <c r="B30" s="164" t="s">
        <v>293</v>
      </c>
      <c r="C30" s="165">
        <v>2</v>
      </c>
      <c r="D30" s="166">
        <v>6</v>
      </c>
      <c r="E30" s="164" t="s">
        <v>289</v>
      </c>
      <c r="F30" s="164" t="s">
        <v>290</v>
      </c>
      <c r="G30" s="167" t="s">
        <v>30</v>
      </c>
      <c r="H30" s="161" t="s">
        <v>30</v>
      </c>
      <c r="I30" s="161" t="s">
        <v>30</v>
      </c>
      <c r="J30" s="161"/>
      <c r="M30" s="20"/>
    </row>
    <row r="31" spans="1:13">
      <c r="A31" s="163" t="s">
        <v>329</v>
      </c>
      <c r="B31" s="164" t="s">
        <v>30</v>
      </c>
      <c r="C31" s="165">
        <v>2</v>
      </c>
      <c r="D31" s="166">
        <v>10</v>
      </c>
      <c r="E31" s="164" t="s">
        <v>30</v>
      </c>
      <c r="F31" s="164" t="s">
        <v>290</v>
      </c>
      <c r="G31" s="167" t="s">
        <v>30</v>
      </c>
      <c r="H31" s="161">
        <v>72</v>
      </c>
      <c r="I31" s="168">
        <v>78</v>
      </c>
      <c r="J31" s="161" t="s">
        <v>330</v>
      </c>
      <c r="M31" s="20"/>
    </row>
    <row r="32" spans="1:13">
      <c r="A32" s="163" t="s">
        <v>331</v>
      </c>
      <c r="B32" s="164" t="s">
        <v>30</v>
      </c>
      <c r="C32" s="165">
        <v>2</v>
      </c>
      <c r="D32" s="166">
        <v>6</v>
      </c>
      <c r="E32" s="164" t="s">
        <v>30</v>
      </c>
      <c r="F32" s="164" t="s">
        <v>290</v>
      </c>
      <c r="G32" s="167" t="s">
        <v>315</v>
      </c>
      <c r="H32" s="161">
        <v>68</v>
      </c>
      <c r="I32" s="168">
        <v>73</v>
      </c>
      <c r="J32" s="161" t="s">
        <v>332</v>
      </c>
      <c r="M32" s="20"/>
    </row>
    <row r="33" spans="1:13">
      <c r="A33" s="163" t="s">
        <v>333</v>
      </c>
      <c r="B33" s="164" t="s">
        <v>293</v>
      </c>
      <c r="C33" s="165">
        <v>2</v>
      </c>
      <c r="D33" s="166">
        <v>10</v>
      </c>
      <c r="E33" s="164" t="s">
        <v>289</v>
      </c>
      <c r="F33" s="164" t="s">
        <v>290</v>
      </c>
      <c r="G33" s="167" t="s">
        <v>30</v>
      </c>
      <c r="H33" s="161" t="s">
        <v>30</v>
      </c>
      <c r="I33" s="161" t="s">
        <v>30</v>
      </c>
      <c r="J33" s="161"/>
      <c r="M33" s="20"/>
    </row>
    <row r="34" spans="1:13">
      <c r="A34" s="163" t="s">
        <v>334</v>
      </c>
      <c r="B34" s="164" t="s">
        <v>293</v>
      </c>
      <c r="C34" s="165">
        <v>2</v>
      </c>
      <c r="D34" s="166">
        <v>6</v>
      </c>
      <c r="E34" s="164" t="s">
        <v>30</v>
      </c>
      <c r="F34" s="164" t="s">
        <v>30</v>
      </c>
      <c r="G34" s="167" t="s">
        <v>30</v>
      </c>
      <c r="H34" s="161">
        <v>72</v>
      </c>
      <c r="I34" s="168">
        <v>80</v>
      </c>
      <c r="J34" s="161"/>
      <c r="M34" s="20"/>
    </row>
    <row r="35" spans="1:13">
      <c r="A35" s="163" t="s">
        <v>335</v>
      </c>
      <c r="B35" s="164" t="s">
        <v>297</v>
      </c>
      <c r="C35" s="165">
        <v>2</v>
      </c>
      <c r="D35" s="166">
        <v>6</v>
      </c>
      <c r="E35" s="164" t="s">
        <v>30</v>
      </c>
      <c r="F35" s="164" t="s">
        <v>30</v>
      </c>
      <c r="G35" s="167" t="s">
        <v>30</v>
      </c>
      <c r="H35" s="161" t="s">
        <v>30</v>
      </c>
      <c r="I35" s="161" t="s">
        <v>30</v>
      </c>
      <c r="J35" s="161"/>
      <c r="M35" s="20"/>
    </row>
    <row r="36" spans="1:13">
      <c r="A36" s="163" t="s">
        <v>336</v>
      </c>
      <c r="B36" s="164" t="s">
        <v>30</v>
      </c>
      <c r="C36" s="165">
        <v>2</v>
      </c>
      <c r="D36" s="166">
        <v>6</v>
      </c>
      <c r="E36" s="164" t="s">
        <v>30</v>
      </c>
      <c r="F36" s="164" t="s">
        <v>30</v>
      </c>
      <c r="G36" s="167" t="s">
        <v>294</v>
      </c>
      <c r="H36" s="161">
        <v>70</v>
      </c>
      <c r="I36" s="168">
        <v>75</v>
      </c>
      <c r="J36" s="161" t="s">
        <v>337</v>
      </c>
      <c r="M36" s="20"/>
    </row>
    <row r="37" spans="1:13">
      <c r="A37" s="163" t="s">
        <v>338</v>
      </c>
      <c r="B37" s="164" t="s">
        <v>297</v>
      </c>
      <c r="C37" s="165">
        <v>5</v>
      </c>
      <c r="D37" s="166">
        <v>15</v>
      </c>
      <c r="E37" s="164" t="s">
        <v>30</v>
      </c>
      <c r="F37" s="164" t="s">
        <v>30</v>
      </c>
      <c r="G37" s="167" t="s">
        <v>30</v>
      </c>
      <c r="H37" s="161" t="s">
        <v>30</v>
      </c>
      <c r="I37" s="161" t="s">
        <v>30</v>
      </c>
      <c r="J37" s="161"/>
      <c r="M37" s="20"/>
    </row>
    <row r="38" spans="1:13">
      <c r="A38" s="163" t="s">
        <v>339</v>
      </c>
      <c r="B38" s="164" t="s">
        <v>297</v>
      </c>
      <c r="C38" s="165">
        <v>2</v>
      </c>
      <c r="D38" s="166">
        <v>6</v>
      </c>
      <c r="E38" s="164" t="s">
        <v>30</v>
      </c>
      <c r="F38" s="164" t="s">
        <v>30</v>
      </c>
      <c r="G38" s="167" t="s">
        <v>30</v>
      </c>
      <c r="H38" s="161" t="s">
        <v>30</v>
      </c>
      <c r="I38" s="161" t="s">
        <v>30</v>
      </c>
      <c r="J38" s="161"/>
      <c r="M38" s="20"/>
    </row>
    <row r="39" spans="1:13">
      <c r="A39" s="163" t="s">
        <v>340</v>
      </c>
      <c r="B39" s="164" t="s">
        <v>293</v>
      </c>
      <c r="C39" s="165" t="s">
        <v>30</v>
      </c>
      <c r="D39" s="166">
        <v>10</v>
      </c>
      <c r="E39" s="164" t="s">
        <v>289</v>
      </c>
      <c r="F39" s="164" t="s">
        <v>290</v>
      </c>
      <c r="G39" s="167" t="s">
        <v>30</v>
      </c>
      <c r="H39" s="161" t="s">
        <v>30</v>
      </c>
      <c r="I39" s="161" t="s">
        <v>30</v>
      </c>
      <c r="J39" s="161"/>
      <c r="M39" s="20"/>
    </row>
    <row r="40" spans="1:13">
      <c r="A40" s="163" t="s">
        <v>341</v>
      </c>
      <c r="B40" s="164" t="s">
        <v>30</v>
      </c>
      <c r="C40" s="165">
        <v>2</v>
      </c>
      <c r="D40" s="166">
        <v>6</v>
      </c>
      <c r="E40" s="164" t="s">
        <v>30</v>
      </c>
      <c r="F40" s="164" t="s">
        <v>30</v>
      </c>
      <c r="G40" s="167" t="s">
        <v>294</v>
      </c>
      <c r="H40" s="161">
        <v>70</v>
      </c>
      <c r="I40" s="168">
        <v>75</v>
      </c>
      <c r="J40" s="161" t="s">
        <v>337</v>
      </c>
      <c r="M40" s="20"/>
    </row>
    <row r="41" spans="1:13">
      <c r="A41" s="163" t="s">
        <v>342</v>
      </c>
      <c r="B41" s="164" t="s">
        <v>30</v>
      </c>
      <c r="C41" s="165">
        <v>2</v>
      </c>
      <c r="D41" s="166">
        <v>6</v>
      </c>
      <c r="E41" s="164" t="s">
        <v>30</v>
      </c>
      <c r="F41" s="164" t="s">
        <v>30</v>
      </c>
      <c r="G41" s="167" t="s">
        <v>294</v>
      </c>
      <c r="H41" s="161">
        <v>70</v>
      </c>
      <c r="I41" s="168">
        <v>75</v>
      </c>
      <c r="J41" s="161" t="s">
        <v>337</v>
      </c>
      <c r="M41" s="20"/>
    </row>
    <row r="42" spans="1:13">
      <c r="A42" s="163" t="s">
        <v>343</v>
      </c>
      <c r="B42" s="164" t="s">
        <v>293</v>
      </c>
      <c r="C42" s="165">
        <v>2</v>
      </c>
      <c r="D42" s="166">
        <v>6</v>
      </c>
      <c r="E42" s="164" t="s">
        <v>289</v>
      </c>
      <c r="F42" s="164" t="s">
        <v>30</v>
      </c>
      <c r="G42" s="167" t="s">
        <v>30</v>
      </c>
      <c r="H42" s="161">
        <v>70</v>
      </c>
      <c r="I42" s="168">
        <v>75</v>
      </c>
      <c r="J42" s="161" t="s">
        <v>344</v>
      </c>
      <c r="M42" s="20"/>
    </row>
    <row r="43" spans="1:13">
      <c r="A43" s="163" t="s">
        <v>345</v>
      </c>
      <c r="B43" s="164" t="s">
        <v>293</v>
      </c>
      <c r="C43" s="165">
        <v>2</v>
      </c>
      <c r="D43" s="166">
        <v>6</v>
      </c>
      <c r="E43" s="164" t="s">
        <v>289</v>
      </c>
      <c r="F43" s="164" t="s">
        <v>30</v>
      </c>
      <c r="G43" s="167" t="s">
        <v>30</v>
      </c>
      <c r="H43" s="161">
        <v>70</v>
      </c>
      <c r="I43" s="168">
        <v>75</v>
      </c>
      <c r="J43" s="161" t="s">
        <v>344</v>
      </c>
      <c r="M43" s="20"/>
    </row>
    <row r="44" spans="1:13">
      <c r="A44" s="163" t="s">
        <v>346</v>
      </c>
      <c r="B44" s="164" t="s">
        <v>293</v>
      </c>
      <c r="C44" s="165">
        <v>2</v>
      </c>
      <c r="D44" s="166">
        <v>6</v>
      </c>
      <c r="E44" s="164" t="s">
        <v>289</v>
      </c>
      <c r="F44" s="164" t="s">
        <v>30</v>
      </c>
      <c r="G44" s="167" t="s">
        <v>30</v>
      </c>
      <c r="H44" s="161">
        <v>70</v>
      </c>
      <c r="I44" s="168">
        <v>75</v>
      </c>
      <c r="J44" s="161" t="s">
        <v>344</v>
      </c>
      <c r="M44" s="20"/>
    </row>
    <row r="45" spans="1:13">
      <c r="A45" s="163" t="s">
        <v>347</v>
      </c>
      <c r="B45" s="164" t="s">
        <v>293</v>
      </c>
      <c r="C45" s="165">
        <v>2</v>
      </c>
      <c r="D45" s="166">
        <v>6</v>
      </c>
      <c r="E45" s="164" t="s">
        <v>30</v>
      </c>
      <c r="F45" s="164" t="s">
        <v>30</v>
      </c>
      <c r="G45" s="167" t="s">
        <v>30</v>
      </c>
      <c r="H45" s="161">
        <v>70</v>
      </c>
      <c r="I45" s="168">
        <v>75</v>
      </c>
      <c r="J45" s="161" t="s">
        <v>344</v>
      </c>
      <c r="M45" s="20"/>
    </row>
    <row r="46" spans="1:13">
      <c r="A46" s="163" t="s">
        <v>348</v>
      </c>
      <c r="B46" s="164" t="s">
        <v>293</v>
      </c>
      <c r="C46" s="165">
        <v>2</v>
      </c>
      <c r="D46" s="166">
        <v>10</v>
      </c>
      <c r="E46" s="164" t="s">
        <v>289</v>
      </c>
      <c r="F46" s="164" t="s">
        <v>30</v>
      </c>
      <c r="G46" s="167" t="s">
        <v>30</v>
      </c>
      <c r="H46" s="161" t="s">
        <v>30</v>
      </c>
      <c r="I46" s="161" t="s">
        <v>30</v>
      </c>
      <c r="J46" s="161" t="s">
        <v>344</v>
      </c>
      <c r="M46" s="20"/>
    </row>
    <row r="47" spans="1:13">
      <c r="A47" s="163" t="s">
        <v>349</v>
      </c>
      <c r="B47" s="164" t="s">
        <v>293</v>
      </c>
      <c r="C47" s="165">
        <v>2</v>
      </c>
      <c r="D47" s="166">
        <v>6</v>
      </c>
      <c r="E47" s="164" t="s">
        <v>289</v>
      </c>
      <c r="F47" s="164" t="s">
        <v>30</v>
      </c>
      <c r="G47" s="167" t="s">
        <v>30</v>
      </c>
      <c r="H47" s="161">
        <v>70</v>
      </c>
      <c r="I47" s="168">
        <v>75</v>
      </c>
      <c r="J47" s="161" t="s">
        <v>344</v>
      </c>
      <c r="M47" s="20"/>
    </row>
    <row r="48" spans="1:13">
      <c r="A48" s="171" t="s">
        <v>350</v>
      </c>
      <c r="B48" s="172" t="s">
        <v>293</v>
      </c>
      <c r="C48" s="165">
        <v>2</v>
      </c>
      <c r="D48" s="166">
        <v>6</v>
      </c>
      <c r="E48" s="172" t="s">
        <v>289</v>
      </c>
      <c r="F48" s="172" t="s">
        <v>30</v>
      </c>
      <c r="G48" s="167" t="s">
        <v>30</v>
      </c>
      <c r="H48" s="173">
        <v>70</v>
      </c>
      <c r="I48" s="168">
        <v>75</v>
      </c>
      <c r="J48" s="173"/>
      <c r="M48" s="20"/>
    </row>
    <row r="49" spans="1:13">
      <c r="A49" s="174" t="s">
        <v>351</v>
      </c>
      <c r="B49" s="175" t="s">
        <v>297</v>
      </c>
      <c r="C49" s="165">
        <v>2</v>
      </c>
      <c r="D49" s="166">
        <v>4</v>
      </c>
      <c r="E49" s="175" t="s">
        <v>30</v>
      </c>
      <c r="F49" s="175" t="s">
        <v>30</v>
      </c>
      <c r="G49" s="167" t="s">
        <v>30</v>
      </c>
      <c r="H49" s="176">
        <v>70</v>
      </c>
      <c r="I49" s="168">
        <v>75</v>
      </c>
      <c r="J49" s="176" t="s">
        <v>344</v>
      </c>
      <c r="M49" s="20"/>
    </row>
    <row r="50" spans="1:13">
      <c r="A50" s="177" t="s">
        <v>352</v>
      </c>
      <c r="B50" s="178" t="s">
        <v>293</v>
      </c>
      <c r="C50" s="165">
        <v>2</v>
      </c>
      <c r="D50" s="166">
        <v>6</v>
      </c>
      <c r="E50" s="178" t="s">
        <v>289</v>
      </c>
      <c r="F50" s="178" t="s">
        <v>30</v>
      </c>
      <c r="G50" s="167" t="s">
        <v>30</v>
      </c>
      <c r="H50" s="179">
        <v>70</v>
      </c>
      <c r="I50" s="168">
        <v>75</v>
      </c>
      <c r="J50" s="179" t="s">
        <v>344</v>
      </c>
      <c r="M50" s="20"/>
    </row>
    <row r="51" spans="1:13">
      <c r="A51" s="180" t="s">
        <v>353</v>
      </c>
      <c r="B51" s="181" t="s">
        <v>293</v>
      </c>
      <c r="C51" s="165">
        <v>2</v>
      </c>
      <c r="D51" s="166">
        <v>6</v>
      </c>
      <c r="E51" s="181" t="s">
        <v>289</v>
      </c>
      <c r="F51" s="181" t="s">
        <v>30</v>
      </c>
      <c r="G51" s="167" t="s">
        <v>30</v>
      </c>
      <c r="H51" s="182">
        <v>70</v>
      </c>
      <c r="I51" s="168">
        <v>75</v>
      </c>
      <c r="J51" s="182" t="s">
        <v>344</v>
      </c>
      <c r="M51" s="20"/>
    </row>
    <row r="52" spans="1:13">
      <c r="A52" s="183" t="s">
        <v>354</v>
      </c>
      <c r="B52" s="184" t="s">
        <v>293</v>
      </c>
      <c r="C52" s="165">
        <v>2</v>
      </c>
      <c r="D52" s="166">
        <v>6</v>
      </c>
      <c r="E52" s="184" t="s">
        <v>289</v>
      </c>
      <c r="F52" s="184" t="s">
        <v>30</v>
      </c>
      <c r="G52" s="167" t="s">
        <v>30</v>
      </c>
      <c r="H52" s="185">
        <v>70</v>
      </c>
      <c r="I52" s="168">
        <v>75</v>
      </c>
      <c r="J52" s="185" t="s">
        <v>344</v>
      </c>
      <c r="M52" s="20"/>
    </row>
    <row r="53" spans="1:13">
      <c r="A53" s="186" t="s">
        <v>355</v>
      </c>
      <c r="B53" s="187" t="s">
        <v>293</v>
      </c>
      <c r="C53" s="165">
        <v>2</v>
      </c>
      <c r="D53" s="166">
        <v>6</v>
      </c>
      <c r="E53" s="187" t="s">
        <v>289</v>
      </c>
      <c r="F53" s="187" t="s">
        <v>30</v>
      </c>
      <c r="G53" s="167" t="s">
        <v>30</v>
      </c>
      <c r="H53" s="188">
        <v>70</v>
      </c>
      <c r="I53" s="168">
        <v>75</v>
      </c>
      <c r="J53" s="188" t="s">
        <v>344</v>
      </c>
      <c r="M53" s="20"/>
    </row>
    <row r="54" spans="1:13">
      <c r="A54" s="189" t="s">
        <v>356</v>
      </c>
      <c r="B54" s="190" t="s">
        <v>293</v>
      </c>
      <c r="C54" s="165">
        <v>2</v>
      </c>
      <c r="D54" s="166">
        <v>10</v>
      </c>
      <c r="E54" s="190" t="s">
        <v>289</v>
      </c>
      <c r="F54" s="190" t="s">
        <v>30</v>
      </c>
      <c r="G54" s="167" t="s">
        <v>30</v>
      </c>
      <c r="H54" s="191">
        <v>70</v>
      </c>
      <c r="I54" s="168">
        <v>75</v>
      </c>
      <c r="J54" s="191"/>
      <c r="M54" s="20"/>
    </row>
    <row r="55" spans="1:13">
      <c r="A55" s="192" t="s">
        <v>357</v>
      </c>
      <c r="B55" s="193" t="s">
        <v>30</v>
      </c>
      <c r="C55" s="165">
        <v>2</v>
      </c>
      <c r="D55" s="166">
        <v>6</v>
      </c>
      <c r="E55" s="193" t="s">
        <v>30</v>
      </c>
      <c r="F55" s="193" t="s">
        <v>30</v>
      </c>
      <c r="G55" s="167" t="s">
        <v>30</v>
      </c>
      <c r="H55" s="194" t="s">
        <v>30</v>
      </c>
      <c r="I55" s="194" t="s">
        <v>30</v>
      </c>
      <c r="J55" s="194"/>
      <c r="M55" s="20"/>
    </row>
    <row r="56" spans="1:13">
      <c r="A56" s="195" t="s">
        <v>358</v>
      </c>
      <c r="B56" s="193" t="s">
        <v>297</v>
      </c>
      <c r="C56" s="165">
        <v>3</v>
      </c>
      <c r="D56" s="166">
        <v>15</v>
      </c>
      <c r="E56" s="193" t="s">
        <v>30</v>
      </c>
      <c r="F56" s="193" t="s">
        <v>290</v>
      </c>
      <c r="G56" s="167" t="s">
        <v>315</v>
      </c>
      <c r="H56" s="194">
        <v>70</v>
      </c>
      <c r="I56" s="168">
        <v>75</v>
      </c>
      <c r="J56" s="194"/>
      <c r="M56" s="20"/>
    </row>
    <row r="57" spans="1:13">
      <c r="A57" s="195" t="s">
        <v>359</v>
      </c>
      <c r="B57" s="193" t="s">
        <v>293</v>
      </c>
      <c r="C57" s="165">
        <v>2</v>
      </c>
      <c r="D57" s="166">
        <v>10</v>
      </c>
      <c r="E57" s="193" t="s">
        <v>289</v>
      </c>
      <c r="F57" s="193" t="s">
        <v>290</v>
      </c>
      <c r="G57" s="167" t="s">
        <v>30</v>
      </c>
      <c r="H57" s="194" t="s">
        <v>30</v>
      </c>
      <c r="I57" s="194" t="s">
        <v>30</v>
      </c>
      <c r="J57" s="194"/>
      <c r="M57" s="20"/>
    </row>
    <row r="58" spans="1:13">
      <c r="A58" s="195" t="s">
        <v>360</v>
      </c>
      <c r="B58" s="193" t="s">
        <v>293</v>
      </c>
      <c r="C58" s="165" t="s">
        <v>30</v>
      </c>
      <c r="D58" s="166">
        <v>10</v>
      </c>
      <c r="E58" s="193" t="s">
        <v>289</v>
      </c>
      <c r="F58" s="193" t="s">
        <v>290</v>
      </c>
      <c r="G58" s="167" t="s">
        <v>30</v>
      </c>
      <c r="H58" s="194" t="s">
        <v>30</v>
      </c>
      <c r="I58" s="194" t="s">
        <v>30</v>
      </c>
      <c r="J58" s="194"/>
      <c r="M58" s="20"/>
    </row>
    <row r="59" spans="1:13">
      <c r="A59" s="195" t="s">
        <v>361</v>
      </c>
      <c r="B59" s="193" t="s">
        <v>293</v>
      </c>
      <c r="C59" s="165" t="s">
        <v>30</v>
      </c>
      <c r="D59" s="166">
        <v>8</v>
      </c>
      <c r="E59" s="193" t="s">
        <v>289</v>
      </c>
      <c r="F59" s="193" t="s">
        <v>30</v>
      </c>
      <c r="G59" s="167" t="s">
        <v>30</v>
      </c>
      <c r="H59" s="194" t="s">
        <v>30</v>
      </c>
      <c r="I59" s="194" t="s">
        <v>30</v>
      </c>
      <c r="J59" s="194" t="s">
        <v>362</v>
      </c>
      <c r="M59" s="20"/>
    </row>
    <row r="60" spans="1:13">
      <c r="A60" s="195" t="s">
        <v>363</v>
      </c>
      <c r="B60" s="193" t="s">
        <v>30</v>
      </c>
      <c r="C60" s="165">
        <v>2</v>
      </c>
      <c r="D60" s="166">
        <v>4</v>
      </c>
      <c r="E60" s="193" t="s">
        <v>30</v>
      </c>
      <c r="F60" s="193" t="s">
        <v>30</v>
      </c>
      <c r="G60" s="167" t="s">
        <v>294</v>
      </c>
      <c r="H60" s="194">
        <v>70</v>
      </c>
      <c r="I60" s="168">
        <v>75</v>
      </c>
      <c r="J60" s="194"/>
      <c r="M60" s="20"/>
    </row>
    <row r="61" spans="1:13">
      <c r="A61" s="195" t="s">
        <v>364</v>
      </c>
      <c r="B61" s="193" t="s">
        <v>293</v>
      </c>
      <c r="C61" s="165">
        <v>2</v>
      </c>
      <c r="D61" s="166">
        <v>12</v>
      </c>
      <c r="E61" s="193" t="s">
        <v>289</v>
      </c>
      <c r="F61" s="193" t="s">
        <v>290</v>
      </c>
      <c r="G61" s="167" t="s">
        <v>30</v>
      </c>
      <c r="H61" s="194">
        <v>68</v>
      </c>
      <c r="I61" s="168">
        <v>75</v>
      </c>
      <c r="J61" s="194" t="s">
        <v>304</v>
      </c>
      <c r="M61" s="20"/>
    </row>
    <row r="62" spans="1:13">
      <c r="A62" s="195" t="s">
        <v>365</v>
      </c>
      <c r="B62" s="193" t="s">
        <v>30</v>
      </c>
      <c r="C62" s="165">
        <v>2</v>
      </c>
      <c r="D62" s="166">
        <v>6</v>
      </c>
      <c r="E62" s="193" t="s">
        <v>30</v>
      </c>
      <c r="F62" s="193" t="s">
        <v>30</v>
      </c>
      <c r="G62" s="167" t="s">
        <v>30</v>
      </c>
      <c r="H62" s="194" t="s">
        <v>30</v>
      </c>
      <c r="I62" s="194" t="s">
        <v>30</v>
      </c>
      <c r="J62" s="194"/>
      <c r="M62" s="20"/>
    </row>
    <row r="63" spans="1:13">
      <c r="A63" s="195" t="s">
        <v>366</v>
      </c>
      <c r="B63" s="193" t="s">
        <v>293</v>
      </c>
      <c r="C63" s="165">
        <v>2</v>
      </c>
      <c r="D63" s="166">
        <v>12</v>
      </c>
      <c r="E63" s="193" t="s">
        <v>289</v>
      </c>
      <c r="F63" s="193" t="s">
        <v>290</v>
      </c>
      <c r="G63" s="167" t="s">
        <v>294</v>
      </c>
      <c r="H63" s="194">
        <v>72</v>
      </c>
      <c r="I63" s="168">
        <v>78</v>
      </c>
      <c r="J63" s="194"/>
      <c r="M63" s="20"/>
    </row>
    <row r="64" spans="1:13">
      <c r="A64" s="195" t="s">
        <v>367</v>
      </c>
      <c r="B64" s="193" t="s">
        <v>297</v>
      </c>
      <c r="C64" s="165">
        <v>2</v>
      </c>
      <c r="D64" s="166">
        <v>6</v>
      </c>
      <c r="E64" s="193" t="s">
        <v>30</v>
      </c>
      <c r="F64" s="193" t="s">
        <v>290</v>
      </c>
      <c r="G64" s="167" t="s">
        <v>310</v>
      </c>
      <c r="H64" s="194">
        <v>72</v>
      </c>
      <c r="I64" s="168">
        <v>78</v>
      </c>
      <c r="J64" s="194"/>
      <c r="M64" s="20"/>
    </row>
    <row r="65" spans="1:13">
      <c r="A65" s="195" t="s">
        <v>368</v>
      </c>
      <c r="B65" s="193" t="s">
        <v>33</v>
      </c>
      <c r="C65" s="165">
        <v>2</v>
      </c>
      <c r="D65" s="166">
        <v>10</v>
      </c>
      <c r="E65" s="193" t="s">
        <v>30</v>
      </c>
      <c r="F65" s="193" t="s">
        <v>290</v>
      </c>
      <c r="G65" s="167" t="s">
        <v>30</v>
      </c>
      <c r="H65" s="194" t="s">
        <v>30</v>
      </c>
      <c r="I65" s="194" t="s">
        <v>30</v>
      </c>
      <c r="J65" s="194"/>
      <c r="M65" s="20"/>
    </row>
    <row r="66" spans="1:13">
      <c r="A66" s="195" t="s">
        <v>369</v>
      </c>
      <c r="B66" s="193" t="s">
        <v>30</v>
      </c>
      <c r="C66" s="165">
        <v>2</v>
      </c>
      <c r="D66" s="166">
        <v>6</v>
      </c>
      <c r="E66" s="193" t="s">
        <v>30</v>
      </c>
      <c r="F66" s="193" t="s">
        <v>290</v>
      </c>
      <c r="G66" s="167" t="s">
        <v>310</v>
      </c>
      <c r="H66" s="194">
        <v>72</v>
      </c>
      <c r="I66" s="168">
        <v>78</v>
      </c>
      <c r="J66" s="194"/>
      <c r="M66" s="20"/>
    </row>
    <row r="67" spans="1:13">
      <c r="A67" s="195" t="s">
        <v>370</v>
      </c>
      <c r="B67" s="193" t="s">
        <v>293</v>
      </c>
      <c r="C67" s="165" t="s">
        <v>30</v>
      </c>
      <c r="D67" s="166">
        <v>10</v>
      </c>
      <c r="E67" s="193" t="s">
        <v>289</v>
      </c>
      <c r="F67" s="193" t="s">
        <v>290</v>
      </c>
      <c r="G67" s="167" t="s">
        <v>30</v>
      </c>
      <c r="H67" s="194">
        <v>70</v>
      </c>
      <c r="I67" s="168">
        <v>75</v>
      </c>
      <c r="J67" s="194" t="s">
        <v>371</v>
      </c>
      <c r="M67" s="20"/>
    </row>
    <row r="68" spans="1:13">
      <c r="A68" s="195" t="s">
        <v>372</v>
      </c>
      <c r="B68" s="193" t="s">
        <v>30</v>
      </c>
      <c r="C68" s="165" t="s">
        <v>30</v>
      </c>
      <c r="D68" s="166">
        <v>2</v>
      </c>
      <c r="E68" s="193" t="s">
        <v>30</v>
      </c>
      <c r="F68" s="193" t="s">
        <v>30</v>
      </c>
      <c r="G68" s="167" t="s">
        <v>30</v>
      </c>
      <c r="H68" s="194" t="s">
        <v>30</v>
      </c>
      <c r="I68" s="194" t="s">
        <v>30</v>
      </c>
      <c r="J68" s="194"/>
      <c r="M68" s="20"/>
    </row>
    <row r="69" spans="1:13">
      <c r="A69" s="195" t="s">
        <v>373</v>
      </c>
      <c r="B69" s="193" t="s">
        <v>293</v>
      </c>
      <c r="C69" s="165">
        <v>2</v>
      </c>
      <c r="D69" s="166">
        <v>6</v>
      </c>
      <c r="E69" s="193" t="s">
        <v>289</v>
      </c>
      <c r="F69" s="193" t="s">
        <v>290</v>
      </c>
      <c r="G69" s="167" t="s">
        <v>30</v>
      </c>
      <c r="H69" s="194" t="s">
        <v>30</v>
      </c>
      <c r="I69" s="194" t="s">
        <v>30</v>
      </c>
      <c r="J69" s="194"/>
      <c r="M69" s="20"/>
    </row>
    <row r="70" spans="1:13">
      <c r="A70" s="195" t="s">
        <v>374</v>
      </c>
      <c r="B70" s="193" t="s">
        <v>293</v>
      </c>
      <c r="C70" s="165" t="s">
        <v>30</v>
      </c>
      <c r="D70" s="166">
        <v>6</v>
      </c>
      <c r="E70" s="193" t="s">
        <v>289</v>
      </c>
      <c r="F70" s="193" t="s">
        <v>290</v>
      </c>
      <c r="G70" s="167" t="s">
        <v>30</v>
      </c>
      <c r="H70" s="194">
        <v>70</v>
      </c>
      <c r="I70" s="168">
        <v>75</v>
      </c>
      <c r="J70" s="194"/>
      <c r="M70" s="20"/>
    </row>
    <row r="71" spans="1:13">
      <c r="A71" s="195" t="s">
        <v>375</v>
      </c>
      <c r="B71" s="193" t="s">
        <v>293</v>
      </c>
      <c r="C71" s="165">
        <v>2</v>
      </c>
      <c r="D71" s="166">
        <v>6</v>
      </c>
      <c r="E71" s="193" t="s">
        <v>289</v>
      </c>
      <c r="F71" s="193" t="s">
        <v>30</v>
      </c>
      <c r="G71" s="167" t="s">
        <v>30</v>
      </c>
      <c r="H71" s="194">
        <v>70</v>
      </c>
      <c r="I71" s="168">
        <v>75</v>
      </c>
      <c r="J71" s="194"/>
      <c r="M71" s="20"/>
    </row>
    <row r="72" spans="1:13">
      <c r="A72" s="195" t="s">
        <v>376</v>
      </c>
      <c r="B72" s="165" t="s">
        <v>30</v>
      </c>
      <c r="C72" s="165" t="s">
        <v>30</v>
      </c>
      <c r="D72" s="166">
        <v>2</v>
      </c>
      <c r="E72" s="193" t="s">
        <v>30</v>
      </c>
      <c r="F72" s="193" t="s">
        <v>30</v>
      </c>
      <c r="G72" s="193" t="s">
        <v>30</v>
      </c>
      <c r="H72" s="193" t="s">
        <v>30</v>
      </c>
      <c r="I72" s="193" t="s">
        <v>30</v>
      </c>
      <c r="J72" s="194" t="s">
        <v>377</v>
      </c>
      <c r="M72" s="20"/>
    </row>
    <row r="73" spans="1:13">
      <c r="A73" s="195" t="s">
        <v>378</v>
      </c>
      <c r="B73" s="193" t="s">
        <v>30</v>
      </c>
      <c r="C73" s="165">
        <v>2</v>
      </c>
      <c r="D73" s="166">
        <v>6</v>
      </c>
      <c r="E73" s="193" t="s">
        <v>30</v>
      </c>
      <c r="F73" s="193" t="s">
        <v>30</v>
      </c>
      <c r="G73" s="167" t="s">
        <v>30</v>
      </c>
      <c r="H73" s="194">
        <v>70</v>
      </c>
      <c r="I73" s="168">
        <v>75</v>
      </c>
      <c r="J73" s="194"/>
      <c r="M73" s="20"/>
    </row>
    <row r="74" spans="1:13">
      <c r="A74" s="195" t="s">
        <v>379</v>
      </c>
      <c r="B74" s="193" t="s">
        <v>30</v>
      </c>
      <c r="C74" s="165">
        <v>2</v>
      </c>
      <c r="D74" s="166">
        <v>6</v>
      </c>
      <c r="E74" s="193" t="s">
        <v>30</v>
      </c>
      <c r="F74" s="193" t="s">
        <v>30</v>
      </c>
      <c r="G74" s="167" t="s">
        <v>30</v>
      </c>
      <c r="H74" s="194">
        <v>70</v>
      </c>
      <c r="I74" s="168">
        <v>75</v>
      </c>
      <c r="J74" s="194"/>
      <c r="M74" s="20"/>
    </row>
    <row r="75" spans="1:13">
      <c r="A75" s="195" t="s">
        <v>380</v>
      </c>
      <c r="B75" s="193" t="s">
        <v>297</v>
      </c>
      <c r="C75" s="165">
        <v>4</v>
      </c>
      <c r="D75" s="166">
        <v>20</v>
      </c>
      <c r="E75" s="193" t="s">
        <v>30</v>
      </c>
      <c r="F75" s="193" t="s">
        <v>290</v>
      </c>
      <c r="G75" s="167" t="s">
        <v>315</v>
      </c>
      <c r="H75" s="194">
        <v>68</v>
      </c>
      <c r="I75" s="168">
        <v>75</v>
      </c>
      <c r="J75" s="194"/>
      <c r="M75" s="20"/>
    </row>
    <row r="76" spans="1:13">
      <c r="A76" s="195" t="s">
        <v>381</v>
      </c>
      <c r="B76" s="193" t="s">
        <v>297</v>
      </c>
      <c r="C76" s="165">
        <v>4</v>
      </c>
      <c r="D76" s="166">
        <v>20</v>
      </c>
      <c r="E76" s="193" t="s">
        <v>30</v>
      </c>
      <c r="F76" s="193" t="s">
        <v>290</v>
      </c>
      <c r="G76" s="167" t="s">
        <v>315</v>
      </c>
      <c r="H76" s="194">
        <v>68</v>
      </c>
      <c r="I76" s="168">
        <v>75</v>
      </c>
      <c r="J76" s="194" t="s">
        <v>316</v>
      </c>
      <c r="M76" s="20"/>
    </row>
    <row r="77" spans="1:13">
      <c r="A77" s="195" t="s">
        <v>382</v>
      </c>
      <c r="B77" s="193" t="s">
        <v>30</v>
      </c>
      <c r="C77" s="165" t="s">
        <v>30</v>
      </c>
      <c r="D77" s="166">
        <v>2</v>
      </c>
      <c r="E77" s="193" t="s">
        <v>30</v>
      </c>
      <c r="F77" s="193" t="s">
        <v>30</v>
      </c>
      <c r="G77" s="167" t="s">
        <v>30</v>
      </c>
      <c r="H77" s="194" t="s">
        <v>30</v>
      </c>
      <c r="I77" s="194" t="s">
        <v>30</v>
      </c>
      <c r="J77" s="194"/>
      <c r="M77" s="20"/>
    </row>
    <row r="78" spans="1:13">
      <c r="A78" s="195" t="s">
        <v>383</v>
      </c>
      <c r="B78" s="193" t="s">
        <v>30</v>
      </c>
      <c r="C78" s="165">
        <v>2</v>
      </c>
      <c r="D78" s="166">
        <v>6</v>
      </c>
      <c r="E78" s="193" t="s">
        <v>30</v>
      </c>
      <c r="F78" s="193" t="s">
        <v>290</v>
      </c>
      <c r="G78" s="167" t="s">
        <v>30</v>
      </c>
      <c r="H78" s="194" t="s">
        <v>30</v>
      </c>
      <c r="I78" s="194" t="s">
        <v>30</v>
      </c>
      <c r="J78" s="194"/>
      <c r="M78" s="20"/>
    </row>
    <row r="79" spans="1:13">
      <c r="A79" s="195" t="s">
        <v>384</v>
      </c>
      <c r="B79" s="193" t="s">
        <v>30</v>
      </c>
      <c r="C79" s="165">
        <v>2</v>
      </c>
      <c r="D79" s="166">
        <v>4</v>
      </c>
      <c r="E79" s="193" t="s">
        <v>30</v>
      </c>
      <c r="F79" s="193" t="s">
        <v>30</v>
      </c>
      <c r="G79" s="167" t="s">
        <v>294</v>
      </c>
      <c r="H79" s="194">
        <v>70</v>
      </c>
      <c r="I79" s="168">
        <v>75</v>
      </c>
      <c r="J79" s="194" t="s">
        <v>440</v>
      </c>
      <c r="M79" s="20"/>
    </row>
    <row r="80" spans="1:13">
      <c r="A80" s="196" t="s">
        <v>385</v>
      </c>
      <c r="B80" s="197" t="s">
        <v>30</v>
      </c>
      <c r="C80" s="165">
        <v>2</v>
      </c>
      <c r="D80" s="166">
        <v>6</v>
      </c>
      <c r="E80" s="197" t="s">
        <v>30</v>
      </c>
      <c r="F80" s="197" t="s">
        <v>30</v>
      </c>
      <c r="G80" s="167" t="s">
        <v>30</v>
      </c>
      <c r="H80" s="198" t="s">
        <v>30</v>
      </c>
      <c r="I80" s="198" t="s">
        <v>30</v>
      </c>
      <c r="J80" s="198"/>
      <c r="M80" s="20"/>
    </row>
    <row r="81" spans="1:13">
      <c r="A81" s="199" t="s">
        <v>386</v>
      </c>
      <c r="B81" s="200" t="s">
        <v>297</v>
      </c>
      <c r="C81" s="165">
        <v>2</v>
      </c>
      <c r="D81" s="166">
        <v>4</v>
      </c>
      <c r="E81" s="200" t="s">
        <v>30</v>
      </c>
      <c r="F81" s="200" t="s">
        <v>30</v>
      </c>
      <c r="G81" s="167" t="s">
        <v>30</v>
      </c>
      <c r="H81" s="201" t="s">
        <v>30</v>
      </c>
      <c r="I81" s="201" t="s">
        <v>30</v>
      </c>
      <c r="J81" s="201" t="s">
        <v>387</v>
      </c>
      <c r="M81" s="20"/>
    </row>
    <row r="82" spans="1:13">
      <c r="A82" s="202" t="s">
        <v>388</v>
      </c>
      <c r="B82" s="203" t="s">
        <v>30</v>
      </c>
      <c r="C82" s="165">
        <v>2</v>
      </c>
      <c r="D82" s="166">
        <v>4</v>
      </c>
      <c r="E82" s="203" t="s">
        <v>30</v>
      </c>
      <c r="F82" s="203" t="s">
        <v>30</v>
      </c>
      <c r="G82" s="167" t="s">
        <v>30</v>
      </c>
      <c r="H82" s="204" t="s">
        <v>30</v>
      </c>
      <c r="I82" s="204" t="s">
        <v>30</v>
      </c>
      <c r="J82" s="204"/>
      <c r="M82" s="20"/>
    </row>
    <row r="83" spans="1:13">
      <c r="A83" s="205" t="s">
        <v>389</v>
      </c>
      <c r="B83" s="206" t="s">
        <v>297</v>
      </c>
      <c r="C83" s="165" t="s">
        <v>30</v>
      </c>
      <c r="D83" s="166" t="s">
        <v>30</v>
      </c>
      <c r="E83" s="206" t="s">
        <v>30</v>
      </c>
      <c r="F83" s="206" t="s">
        <v>30</v>
      </c>
      <c r="G83" s="167" t="s">
        <v>390</v>
      </c>
      <c r="H83" s="207">
        <v>68</v>
      </c>
      <c r="I83" s="207">
        <v>68</v>
      </c>
      <c r="J83" s="207" t="s">
        <v>387</v>
      </c>
      <c r="M83" s="20"/>
    </row>
    <row r="84" spans="1:13">
      <c r="A84" s="208" t="s">
        <v>391</v>
      </c>
      <c r="B84" s="209" t="s">
        <v>293</v>
      </c>
      <c r="C84" s="165" t="s">
        <v>30</v>
      </c>
      <c r="D84" s="166">
        <v>30</v>
      </c>
      <c r="E84" s="209" t="s">
        <v>289</v>
      </c>
      <c r="F84" s="209" t="s">
        <v>290</v>
      </c>
      <c r="G84" s="167" t="s">
        <v>390</v>
      </c>
      <c r="H84" s="210">
        <v>68</v>
      </c>
      <c r="I84" s="210">
        <v>68</v>
      </c>
      <c r="J84" s="210" t="s">
        <v>387</v>
      </c>
      <c r="M84" s="20"/>
    </row>
    <row r="85" spans="1:13">
      <c r="A85" s="211" t="s">
        <v>392</v>
      </c>
      <c r="B85" s="212" t="s">
        <v>293</v>
      </c>
      <c r="C85" s="165" t="s">
        <v>30</v>
      </c>
      <c r="D85" s="166">
        <v>12</v>
      </c>
      <c r="E85" s="212" t="s">
        <v>289</v>
      </c>
      <c r="F85" s="212" t="s">
        <v>30</v>
      </c>
      <c r="G85" s="167" t="s">
        <v>30</v>
      </c>
      <c r="H85" s="213" t="s">
        <v>30</v>
      </c>
      <c r="I85" s="213" t="s">
        <v>30</v>
      </c>
      <c r="J85" s="213" t="s">
        <v>393</v>
      </c>
      <c r="M85" s="20"/>
    </row>
    <row r="86" spans="1:13">
      <c r="A86" s="214" t="s">
        <v>394</v>
      </c>
      <c r="B86" s="215" t="s">
        <v>293</v>
      </c>
      <c r="C86" s="165" t="s">
        <v>30</v>
      </c>
      <c r="D86" s="166">
        <v>12</v>
      </c>
      <c r="E86" s="215" t="s">
        <v>289</v>
      </c>
      <c r="F86" s="215" t="s">
        <v>30</v>
      </c>
      <c r="G86" s="167" t="s">
        <v>30</v>
      </c>
      <c r="H86" s="216" t="s">
        <v>30</v>
      </c>
      <c r="I86" s="216" t="s">
        <v>30</v>
      </c>
      <c r="J86" s="216" t="s">
        <v>387</v>
      </c>
      <c r="M86" s="20"/>
    </row>
    <row r="87" spans="1:13">
      <c r="A87" s="217" t="s">
        <v>395</v>
      </c>
      <c r="B87" s="218" t="s">
        <v>297</v>
      </c>
      <c r="C87" s="165" t="s">
        <v>30</v>
      </c>
      <c r="D87" s="166">
        <v>30</v>
      </c>
      <c r="E87" s="218" t="s">
        <v>30</v>
      </c>
      <c r="F87" s="218" t="s">
        <v>30</v>
      </c>
      <c r="G87" s="167" t="s">
        <v>390</v>
      </c>
      <c r="H87" s="219">
        <v>68</v>
      </c>
      <c r="I87" s="219">
        <v>68</v>
      </c>
      <c r="J87" s="219" t="s">
        <v>387</v>
      </c>
      <c r="M87" s="20"/>
    </row>
    <row r="88" spans="1:13">
      <c r="A88" s="220" t="s">
        <v>396</v>
      </c>
      <c r="B88" s="221" t="s">
        <v>297</v>
      </c>
      <c r="C88" s="165" t="s">
        <v>30</v>
      </c>
      <c r="D88" s="166">
        <v>30</v>
      </c>
      <c r="E88" s="221" t="s">
        <v>30</v>
      </c>
      <c r="F88" s="221" t="s">
        <v>290</v>
      </c>
      <c r="G88" s="167" t="s">
        <v>390</v>
      </c>
      <c r="H88" s="222">
        <v>68</v>
      </c>
      <c r="I88" s="222">
        <v>68</v>
      </c>
      <c r="J88" s="222" t="s">
        <v>387</v>
      </c>
      <c r="M88" s="20"/>
    </row>
    <row r="89" spans="1:13">
      <c r="A89" s="223" t="s">
        <v>397</v>
      </c>
      <c r="B89" s="224" t="s">
        <v>30</v>
      </c>
      <c r="C89" s="165" t="s">
        <v>30</v>
      </c>
      <c r="D89" s="166" t="s">
        <v>30</v>
      </c>
      <c r="E89" s="224" t="s">
        <v>30</v>
      </c>
      <c r="F89" s="224" t="s">
        <v>30</v>
      </c>
      <c r="G89" s="167" t="s">
        <v>30</v>
      </c>
      <c r="H89" s="225" t="s">
        <v>30</v>
      </c>
      <c r="I89" s="225" t="s">
        <v>30</v>
      </c>
      <c r="J89" s="225"/>
      <c r="M89" s="20"/>
    </row>
    <row r="90" spans="1:13">
      <c r="A90" s="226" t="s">
        <v>398</v>
      </c>
      <c r="B90" s="227" t="s">
        <v>293</v>
      </c>
      <c r="C90" s="165">
        <v>2</v>
      </c>
      <c r="D90" s="166">
        <v>6</v>
      </c>
      <c r="E90" s="227" t="s">
        <v>30</v>
      </c>
      <c r="F90" s="227" t="s">
        <v>30</v>
      </c>
      <c r="G90" s="167" t="s">
        <v>30</v>
      </c>
      <c r="H90" s="228">
        <v>70</v>
      </c>
      <c r="I90" s="168">
        <v>75</v>
      </c>
      <c r="J90" s="228"/>
      <c r="M90" s="20"/>
    </row>
    <row r="91" spans="1:13">
      <c r="A91" s="229" t="s">
        <v>399</v>
      </c>
      <c r="B91" s="230" t="s">
        <v>293</v>
      </c>
      <c r="C91" s="165">
        <v>2</v>
      </c>
      <c r="D91" s="166">
        <v>6</v>
      </c>
      <c r="E91" s="230" t="s">
        <v>30</v>
      </c>
      <c r="F91" s="230" t="s">
        <v>30</v>
      </c>
      <c r="G91" s="167" t="s">
        <v>325</v>
      </c>
      <c r="H91" s="231">
        <v>72</v>
      </c>
      <c r="I91" s="168">
        <v>80</v>
      </c>
      <c r="J91" s="231"/>
      <c r="M91" s="20"/>
    </row>
    <row r="92" spans="1:13">
      <c r="A92" s="232" t="s">
        <v>400</v>
      </c>
      <c r="B92" s="233" t="s">
        <v>30</v>
      </c>
      <c r="C92" s="165">
        <v>2</v>
      </c>
      <c r="D92" s="166">
        <v>6</v>
      </c>
      <c r="E92" s="233" t="s">
        <v>289</v>
      </c>
      <c r="F92" s="233" t="s">
        <v>290</v>
      </c>
      <c r="G92" s="167" t="s">
        <v>315</v>
      </c>
      <c r="H92" s="234">
        <v>70</v>
      </c>
      <c r="I92" s="168">
        <v>75</v>
      </c>
      <c r="J92" s="234"/>
      <c r="M92" s="20"/>
    </row>
    <row r="93" spans="1:13">
      <c r="A93" s="235" t="s">
        <v>401</v>
      </c>
      <c r="B93" s="236" t="s">
        <v>293</v>
      </c>
      <c r="C93" s="165">
        <v>2</v>
      </c>
      <c r="D93" s="166">
        <v>12</v>
      </c>
      <c r="E93" s="236" t="s">
        <v>289</v>
      </c>
      <c r="F93" s="236" t="s">
        <v>30</v>
      </c>
      <c r="G93" s="167" t="s">
        <v>30</v>
      </c>
      <c r="H93" s="237" t="s">
        <v>30</v>
      </c>
      <c r="I93" s="237" t="s">
        <v>30</v>
      </c>
      <c r="J93" s="237" t="s">
        <v>441</v>
      </c>
      <c r="M93" s="20"/>
    </row>
    <row r="94" spans="1:13">
      <c r="A94" s="238" t="s">
        <v>402</v>
      </c>
      <c r="B94" s="239" t="s">
        <v>297</v>
      </c>
      <c r="C94" s="165">
        <v>3</v>
      </c>
      <c r="D94" s="166">
        <v>15</v>
      </c>
      <c r="E94" s="239" t="s">
        <v>30</v>
      </c>
      <c r="F94" s="239" t="s">
        <v>290</v>
      </c>
      <c r="G94" s="167" t="s">
        <v>315</v>
      </c>
      <c r="H94" s="240">
        <v>70</v>
      </c>
      <c r="I94" s="168">
        <v>75</v>
      </c>
      <c r="J94" s="240" t="s">
        <v>403</v>
      </c>
      <c r="M94" s="20"/>
    </row>
    <row r="95" spans="1:13">
      <c r="A95" s="241" t="s">
        <v>404</v>
      </c>
      <c r="B95" s="242" t="s">
        <v>405</v>
      </c>
      <c r="C95" s="165" t="s">
        <v>30</v>
      </c>
      <c r="D95" s="166">
        <v>10</v>
      </c>
      <c r="E95" s="242" t="s">
        <v>30</v>
      </c>
      <c r="F95" s="242" t="s">
        <v>290</v>
      </c>
      <c r="G95" s="167" t="s">
        <v>30</v>
      </c>
      <c r="H95" s="243" t="s">
        <v>30</v>
      </c>
      <c r="I95" s="243" t="s">
        <v>30</v>
      </c>
      <c r="J95" s="243" t="s">
        <v>406</v>
      </c>
      <c r="M95" s="20"/>
    </row>
    <row r="96" spans="1:13">
      <c r="A96" s="244" t="s">
        <v>407</v>
      </c>
      <c r="B96" s="245" t="s">
        <v>297</v>
      </c>
      <c r="C96" s="165">
        <v>2</v>
      </c>
      <c r="D96" s="166">
        <v>12</v>
      </c>
      <c r="E96" s="245" t="s">
        <v>30</v>
      </c>
      <c r="F96" s="245" t="s">
        <v>290</v>
      </c>
      <c r="G96" s="167" t="s">
        <v>294</v>
      </c>
      <c r="H96" s="246">
        <v>70</v>
      </c>
      <c r="I96" s="168">
        <v>75</v>
      </c>
      <c r="J96" s="246" t="s">
        <v>406</v>
      </c>
      <c r="M96" s="20"/>
    </row>
    <row r="97" spans="1:13">
      <c r="A97" s="247" t="s">
        <v>408</v>
      </c>
      <c r="B97" s="248" t="s">
        <v>293</v>
      </c>
      <c r="C97" s="165">
        <v>2</v>
      </c>
      <c r="D97" s="166">
        <v>12</v>
      </c>
      <c r="E97" s="248" t="s">
        <v>289</v>
      </c>
      <c r="F97" s="248" t="s">
        <v>30</v>
      </c>
      <c r="G97" s="167" t="s">
        <v>294</v>
      </c>
      <c r="H97" s="249">
        <v>70</v>
      </c>
      <c r="I97" s="168">
        <v>75</v>
      </c>
      <c r="J97" s="249" t="s">
        <v>442</v>
      </c>
      <c r="M97" s="20"/>
    </row>
    <row r="98" spans="1:13">
      <c r="A98" s="250" t="s">
        <v>409</v>
      </c>
      <c r="B98" s="251" t="s">
        <v>30</v>
      </c>
      <c r="C98" s="165">
        <v>2</v>
      </c>
      <c r="D98" s="166">
        <v>6</v>
      </c>
      <c r="E98" s="251" t="s">
        <v>30</v>
      </c>
      <c r="F98" s="251" t="s">
        <v>290</v>
      </c>
      <c r="G98" s="167" t="s">
        <v>315</v>
      </c>
      <c r="H98" s="252">
        <v>70</v>
      </c>
      <c r="I98" s="168">
        <v>75</v>
      </c>
      <c r="J98" s="252"/>
      <c r="M98" s="20"/>
    </row>
    <row r="99" spans="1:13">
      <c r="A99" s="253" t="s">
        <v>410</v>
      </c>
      <c r="B99" s="254" t="s">
        <v>30</v>
      </c>
      <c r="C99" s="165">
        <v>2</v>
      </c>
      <c r="D99" s="166">
        <v>6</v>
      </c>
      <c r="E99" s="254" t="s">
        <v>30</v>
      </c>
      <c r="F99" s="254" t="s">
        <v>30</v>
      </c>
      <c r="G99" s="167" t="s">
        <v>30</v>
      </c>
      <c r="H99" s="255" t="s">
        <v>30</v>
      </c>
      <c r="I99" s="255" t="s">
        <v>30</v>
      </c>
      <c r="J99" s="255"/>
      <c r="M99" s="20"/>
    </row>
    <row r="100" spans="1:13">
      <c r="A100" s="256" t="s">
        <v>411</v>
      </c>
      <c r="B100" s="257" t="s">
        <v>30</v>
      </c>
      <c r="C100" s="165">
        <v>4</v>
      </c>
      <c r="D100" s="166">
        <v>4</v>
      </c>
      <c r="E100" s="257" t="s">
        <v>30</v>
      </c>
      <c r="F100" s="257" t="s">
        <v>30</v>
      </c>
      <c r="G100" s="167" t="s">
        <v>30</v>
      </c>
      <c r="H100" s="258">
        <v>70</v>
      </c>
      <c r="I100" s="168">
        <v>75</v>
      </c>
      <c r="J100" s="258"/>
      <c r="M100" s="20"/>
    </row>
    <row r="101" spans="1:13">
      <c r="A101" s="259" t="s">
        <v>412</v>
      </c>
      <c r="B101" s="260" t="s">
        <v>30</v>
      </c>
      <c r="C101" s="165">
        <v>2</v>
      </c>
      <c r="D101" s="166">
        <v>2</v>
      </c>
      <c r="E101" s="260" t="s">
        <v>30</v>
      </c>
      <c r="F101" s="260" t="s">
        <v>30</v>
      </c>
      <c r="G101" s="167" t="s">
        <v>30</v>
      </c>
      <c r="H101" s="261">
        <v>70</v>
      </c>
      <c r="I101" s="168">
        <v>75</v>
      </c>
      <c r="J101" s="261"/>
      <c r="M101" s="20"/>
    </row>
    <row r="102" spans="1:13">
      <c r="A102" s="262" t="s">
        <v>413</v>
      </c>
      <c r="B102" s="263" t="s">
        <v>30</v>
      </c>
      <c r="C102" s="165" t="s">
        <v>30</v>
      </c>
      <c r="D102" s="166">
        <v>4</v>
      </c>
      <c r="E102" s="263" t="s">
        <v>30</v>
      </c>
      <c r="F102" s="263" t="s">
        <v>30</v>
      </c>
      <c r="G102" s="167" t="s">
        <v>30</v>
      </c>
      <c r="H102" s="264" t="s">
        <v>30</v>
      </c>
      <c r="I102" s="264" t="s">
        <v>30</v>
      </c>
      <c r="J102" s="264"/>
      <c r="M102" s="20"/>
    </row>
    <row r="103" spans="1:13">
      <c r="A103" s="265" t="s">
        <v>414</v>
      </c>
      <c r="B103" s="266" t="s">
        <v>30</v>
      </c>
      <c r="C103" s="165">
        <v>2</v>
      </c>
      <c r="D103" s="166">
        <v>6</v>
      </c>
      <c r="E103" s="266" t="s">
        <v>30</v>
      </c>
      <c r="F103" s="266" t="s">
        <v>30</v>
      </c>
      <c r="G103" s="167" t="s">
        <v>30</v>
      </c>
      <c r="H103" s="267" t="s">
        <v>30</v>
      </c>
      <c r="I103" s="267" t="s">
        <v>30</v>
      </c>
      <c r="J103" s="267"/>
      <c r="M103" s="20"/>
    </row>
    <row r="104" spans="1:13">
      <c r="A104" s="268" t="s">
        <v>415</v>
      </c>
      <c r="B104" s="269" t="s">
        <v>30</v>
      </c>
      <c r="C104" s="270">
        <v>2</v>
      </c>
      <c r="D104" s="271">
        <v>4</v>
      </c>
      <c r="E104" s="269" t="s">
        <v>30</v>
      </c>
      <c r="F104" s="269" t="s">
        <v>30</v>
      </c>
      <c r="G104" s="272" t="s">
        <v>30</v>
      </c>
      <c r="H104" s="267" t="s">
        <v>30</v>
      </c>
      <c r="I104" s="267" t="s">
        <v>30</v>
      </c>
      <c r="J104" s="168"/>
      <c r="M104" s="20"/>
    </row>
    <row r="105" spans="1:13">
      <c r="A105" s="268" t="s">
        <v>416</v>
      </c>
      <c r="B105" s="269" t="s">
        <v>293</v>
      </c>
      <c r="C105" s="270" t="s">
        <v>30</v>
      </c>
      <c r="D105" s="271">
        <v>10</v>
      </c>
      <c r="E105" s="269" t="s">
        <v>289</v>
      </c>
      <c r="F105" s="269" t="s">
        <v>290</v>
      </c>
      <c r="G105" s="272" t="s">
        <v>30</v>
      </c>
      <c r="H105" s="267" t="s">
        <v>30</v>
      </c>
      <c r="I105" s="267" t="s">
        <v>30</v>
      </c>
      <c r="J105" s="273"/>
      <c r="M105" s="20"/>
    </row>
    <row r="106" spans="1:13">
      <c r="A106" s="274" t="s">
        <v>417</v>
      </c>
      <c r="B106" s="275" t="s">
        <v>293</v>
      </c>
      <c r="C106" s="270" t="s">
        <v>30</v>
      </c>
      <c r="D106" s="271">
        <v>10</v>
      </c>
      <c r="E106" s="275" t="s">
        <v>289</v>
      </c>
      <c r="F106" s="275" t="s">
        <v>290</v>
      </c>
      <c r="G106" s="272" t="s">
        <v>30</v>
      </c>
      <c r="H106" s="267" t="s">
        <v>30</v>
      </c>
      <c r="I106" s="267" t="s">
        <v>30</v>
      </c>
      <c r="J106" s="273"/>
      <c r="M106" s="20"/>
    </row>
    <row r="107" spans="1:13">
      <c r="A107" s="274" t="s">
        <v>418</v>
      </c>
      <c r="B107" s="275" t="s">
        <v>293</v>
      </c>
      <c r="C107" s="270">
        <v>2</v>
      </c>
      <c r="D107" s="271">
        <v>6</v>
      </c>
      <c r="E107" s="275" t="s">
        <v>289</v>
      </c>
      <c r="F107" s="275" t="s">
        <v>290</v>
      </c>
      <c r="G107" s="272" t="s">
        <v>30</v>
      </c>
      <c r="H107" s="267">
        <v>72</v>
      </c>
      <c r="I107" s="276">
        <v>78</v>
      </c>
      <c r="J107" s="276"/>
      <c r="M107" s="20"/>
    </row>
    <row r="108" spans="1:13">
      <c r="A108" s="277" t="s">
        <v>419</v>
      </c>
      <c r="B108" s="278" t="s">
        <v>293</v>
      </c>
      <c r="C108" s="270">
        <v>2</v>
      </c>
      <c r="D108" s="271">
        <v>10</v>
      </c>
      <c r="E108" s="278" t="s">
        <v>289</v>
      </c>
      <c r="F108" s="278" t="s">
        <v>290</v>
      </c>
      <c r="G108" s="272" t="s">
        <v>30</v>
      </c>
      <c r="H108" s="267" t="s">
        <v>30</v>
      </c>
      <c r="I108" s="267" t="s">
        <v>30</v>
      </c>
      <c r="J108" s="276"/>
      <c r="M108" s="20"/>
    </row>
    <row r="109" spans="1:13">
      <c r="A109" s="277" t="s">
        <v>420</v>
      </c>
      <c r="B109" s="278" t="s">
        <v>30</v>
      </c>
      <c r="C109" s="270">
        <v>2</v>
      </c>
      <c r="D109" s="271">
        <v>6</v>
      </c>
      <c r="E109" s="278" t="s">
        <v>289</v>
      </c>
      <c r="F109" s="278" t="s">
        <v>30</v>
      </c>
      <c r="G109" s="272" t="s">
        <v>30</v>
      </c>
      <c r="H109" s="267" t="s">
        <v>30</v>
      </c>
      <c r="I109" s="267" t="s">
        <v>30</v>
      </c>
      <c r="J109" s="279"/>
      <c r="M109" s="20"/>
    </row>
    <row r="110" spans="1:13">
      <c r="A110" s="280" t="s">
        <v>421</v>
      </c>
      <c r="B110" s="281" t="s">
        <v>30</v>
      </c>
      <c r="C110" s="270">
        <v>2</v>
      </c>
      <c r="D110" s="271">
        <v>6</v>
      </c>
      <c r="E110" s="281" t="s">
        <v>30</v>
      </c>
      <c r="F110" s="281" t="s">
        <v>30</v>
      </c>
      <c r="G110" s="272" t="s">
        <v>30</v>
      </c>
      <c r="H110" s="267" t="s">
        <v>30</v>
      </c>
      <c r="I110" s="267" t="s">
        <v>30</v>
      </c>
      <c r="J110" s="279"/>
      <c r="M110" s="20"/>
    </row>
    <row r="111" spans="1:13">
      <c r="A111" s="280" t="s">
        <v>422</v>
      </c>
      <c r="B111" s="281" t="s">
        <v>297</v>
      </c>
      <c r="C111" s="270">
        <v>2</v>
      </c>
      <c r="D111" s="271">
        <v>4</v>
      </c>
      <c r="E111" s="281" t="s">
        <v>30</v>
      </c>
      <c r="F111" s="281" t="s">
        <v>30</v>
      </c>
      <c r="G111" s="272" t="s">
        <v>294</v>
      </c>
      <c r="H111" s="267">
        <v>72</v>
      </c>
      <c r="I111" s="282">
        <v>78</v>
      </c>
      <c r="J111" s="282"/>
      <c r="M111" s="20"/>
    </row>
    <row r="112" spans="1:13">
      <c r="A112" s="283" t="s">
        <v>423</v>
      </c>
      <c r="B112" s="281" t="s">
        <v>293</v>
      </c>
      <c r="C112" s="270" t="s">
        <v>30</v>
      </c>
      <c r="D112" s="271">
        <v>10</v>
      </c>
      <c r="E112" s="281" t="s">
        <v>289</v>
      </c>
      <c r="F112" s="281" t="s">
        <v>290</v>
      </c>
      <c r="G112" s="272" t="s">
        <v>30</v>
      </c>
      <c r="H112" s="267" t="s">
        <v>30</v>
      </c>
      <c r="I112" s="267" t="s">
        <v>30</v>
      </c>
      <c r="J112" s="282"/>
      <c r="M112" s="20"/>
    </row>
    <row r="113" spans="1:13">
      <c r="A113" s="283" t="s">
        <v>424</v>
      </c>
      <c r="B113" s="281" t="s">
        <v>30</v>
      </c>
      <c r="C113" s="270">
        <v>2</v>
      </c>
      <c r="D113" s="271">
        <v>6</v>
      </c>
      <c r="E113" s="281" t="s">
        <v>30</v>
      </c>
      <c r="F113" s="281" t="s">
        <v>290</v>
      </c>
      <c r="G113" s="272" t="s">
        <v>30</v>
      </c>
      <c r="H113" s="267" t="s">
        <v>30</v>
      </c>
      <c r="I113" s="267" t="s">
        <v>30</v>
      </c>
      <c r="J113" s="282"/>
      <c r="M113" s="20"/>
    </row>
    <row r="114" spans="1:13">
      <c r="A114" s="283" t="s">
        <v>425</v>
      </c>
      <c r="B114" s="281" t="s">
        <v>293</v>
      </c>
      <c r="C114" s="270" t="s">
        <v>30</v>
      </c>
      <c r="D114" s="271">
        <v>10</v>
      </c>
      <c r="E114" s="281" t="s">
        <v>289</v>
      </c>
      <c r="F114" s="281" t="s">
        <v>290</v>
      </c>
      <c r="G114" s="272" t="s">
        <v>30</v>
      </c>
      <c r="H114" s="267" t="s">
        <v>30</v>
      </c>
      <c r="I114" s="267" t="s">
        <v>30</v>
      </c>
      <c r="J114" s="282"/>
      <c r="M114" s="20"/>
    </row>
    <row r="115" spans="1:13">
      <c r="A115" s="283" t="s">
        <v>426</v>
      </c>
      <c r="B115" s="281" t="s">
        <v>297</v>
      </c>
      <c r="C115" s="270">
        <v>3</v>
      </c>
      <c r="D115" s="271">
        <v>15</v>
      </c>
      <c r="E115" s="281" t="s">
        <v>30</v>
      </c>
      <c r="F115" s="281" t="s">
        <v>290</v>
      </c>
      <c r="G115" s="272" t="s">
        <v>315</v>
      </c>
      <c r="H115" s="267">
        <v>70</v>
      </c>
      <c r="I115" s="282">
        <v>75</v>
      </c>
      <c r="J115" s="282" t="s">
        <v>427</v>
      </c>
      <c r="M115" s="20"/>
    </row>
    <row r="116" spans="1:13">
      <c r="A116" s="283" t="s">
        <v>428</v>
      </c>
      <c r="B116" s="281" t="s">
        <v>30</v>
      </c>
      <c r="C116" s="270">
        <v>2</v>
      </c>
      <c r="D116" s="271">
        <v>6</v>
      </c>
      <c r="E116" s="281" t="s">
        <v>30</v>
      </c>
      <c r="F116" s="281" t="s">
        <v>30</v>
      </c>
      <c r="G116" s="272" t="s">
        <v>315</v>
      </c>
      <c r="H116" s="267">
        <v>70</v>
      </c>
      <c r="I116" s="282">
        <v>75</v>
      </c>
      <c r="J116" s="282" t="s">
        <v>33</v>
      </c>
      <c r="M116" s="20"/>
    </row>
    <row r="117" spans="1:13">
      <c r="A117" s="283" t="s">
        <v>429</v>
      </c>
      <c r="B117" s="281" t="s">
        <v>30</v>
      </c>
      <c r="C117" s="270">
        <v>2</v>
      </c>
      <c r="D117" s="271">
        <v>6</v>
      </c>
      <c r="E117" s="281" t="s">
        <v>30</v>
      </c>
      <c r="F117" s="281" t="s">
        <v>30</v>
      </c>
      <c r="G117" s="272" t="s">
        <v>294</v>
      </c>
      <c r="H117" s="267">
        <v>70</v>
      </c>
      <c r="I117" s="282">
        <v>75</v>
      </c>
      <c r="J117" s="282" t="s">
        <v>332</v>
      </c>
      <c r="M117" s="20"/>
    </row>
    <row r="118" spans="1:13">
      <c r="A118" s="283" t="s">
        <v>430</v>
      </c>
      <c r="B118" s="281" t="s">
        <v>293</v>
      </c>
      <c r="C118" s="270">
        <v>2</v>
      </c>
      <c r="D118" s="271">
        <v>12</v>
      </c>
      <c r="E118" s="281" t="s">
        <v>289</v>
      </c>
      <c r="F118" s="281" t="s">
        <v>30</v>
      </c>
      <c r="G118" s="272" t="s">
        <v>294</v>
      </c>
      <c r="H118" s="267">
        <v>70</v>
      </c>
      <c r="I118" s="282">
        <v>75</v>
      </c>
      <c r="J118" s="282" t="s">
        <v>441</v>
      </c>
      <c r="M118" s="20"/>
    </row>
    <row r="119" spans="1:13">
      <c r="A119" s="283" t="s">
        <v>431</v>
      </c>
      <c r="B119" s="281" t="s">
        <v>30</v>
      </c>
      <c r="C119" s="270">
        <v>2</v>
      </c>
      <c r="D119" s="271">
        <v>6</v>
      </c>
      <c r="E119" s="281" t="s">
        <v>30</v>
      </c>
      <c r="F119" s="281" t="s">
        <v>30</v>
      </c>
      <c r="G119" s="272" t="s">
        <v>30</v>
      </c>
      <c r="H119" s="267" t="s">
        <v>30</v>
      </c>
      <c r="I119" s="267" t="s">
        <v>30</v>
      </c>
      <c r="J119" s="282"/>
      <c r="M119" s="20"/>
    </row>
    <row r="120" spans="1:13">
      <c r="A120" s="283" t="s">
        <v>432</v>
      </c>
      <c r="B120" s="281" t="s">
        <v>30</v>
      </c>
      <c r="C120" s="270">
        <v>2</v>
      </c>
      <c r="D120" s="271">
        <v>2</v>
      </c>
      <c r="E120" s="281" t="s">
        <v>30</v>
      </c>
      <c r="F120" s="281" t="s">
        <v>30</v>
      </c>
      <c r="G120" s="272" t="s">
        <v>30</v>
      </c>
      <c r="H120" s="267" t="s">
        <v>30</v>
      </c>
      <c r="I120" s="267" t="s">
        <v>30</v>
      </c>
      <c r="J120" s="282"/>
      <c r="M120" s="20"/>
    </row>
    <row r="121" spans="1:13">
      <c r="A121" s="283" t="s">
        <v>433</v>
      </c>
      <c r="B121" s="281" t="s">
        <v>293</v>
      </c>
      <c r="C121" s="270">
        <v>2</v>
      </c>
      <c r="D121" s="271">
        <v>12</v>
      </c>
      <c r="E121" s="281" t="s">
        <v>289</v>
      </c>
      <c r="F121" s="281" t="s">
        <v>290</v>
      </c>
      <c r="G121" s="272" t="s">
        <v>30</v>
      </c>
      <c r="H121" s="267" t="s">
        <v>30</v>
      </c>
      <c r="I121" s="267" t="s">
        <v>30</v>
      </c>
      <c r="J121" s="282"/>
      <c r="M121" s="20"/>
    </row>
    <row r="122" spans="1:13">
      <c r="A122" s="283" t="s">
        <v>434</v>
      </c>
      <c r="B122" s="281" t="s">
        <v>293</v>
      </c>
      <c r="C122" s="270">
        <v>2</v>
      </c>
      <c r="D122" s="271">
        <v>10</v>
      </c>
      <c r="E122" s="281" t="s">
        <v>289</v>
      </c>
      <c r="F122" s="281" t="s">
        <v>30</v>
      </c>
      <c r="G122" s="272" t="s">
        <v>30</v>
      </c>
      <c r="H122" s="267" t="s">
        <v>30</v>
      </c>
      <c r="I122" s="267" t="s">
        <v>30</v>
      </c>
      <c r="J122" s="282" t="s">
        <v>441</v>
      </c>
      <c r="M122" s="20"/>
    </row>
    <row r="123" spans="1:13">
      <c r="A123" s="283" t="s">
        <v>435</v>
      </c>
      <c r="B123" s="281" t="s">
        <v>293</v>
      </c>
      <c r="C123" s="270" t="s">
        <v>30</v>
      </c>
      <c r="D123" s="271">
        <v>10</v>
      </c>
      <c r="E123" s="281" t="s">
        <v>289</v>
      </c>
      <c r="F123" s="281" t="s">
        <v>290</v>
      </c>
      <c r="G123" s="272" t="s">
        <v>30</v>
      </c>
      <c r="H123" s="267" t="s">
        <v>30</v>
      </c>
      <c r="I123" s="267" t="s">
        <v>30</v>
      </c>
      <c r="J123" s="282"/>
      <c r="M123" s="20"/>
    </row>
    <row r="124" spans="1:13">
      <c r="A124" s="283" t="s">
        <v>436</v>
      </c>
      <c r="B124" s="281" t="s">
        <v>30</v>
      </c>
      <c r="C124" s="270">
        <v>2</v>
      </c>
      <c r="D124" s="271">
        <v>6</v>
      </c>
      <c r="E124" s="281" t="s">
        <v>30</v>
      </c>
      <c r="F124" s="281" t="s">
        <v>290</v>
      </c>
      <c r="G124" s="272" t="s">
        <v>437</v>
      </c>
      <c r="H124" s="267">
        <v>70</v>
      </c>
      <c r="I124" s="282">
        <v>75</v>
      </c>
      <c r="J124" s="282"/>
      <c r="M124" s="20"/>
    </row>
    <row r="125" spans="1:13">
      <c r="A125" s="284" t="s">
        <v>438</v>
      </c>
      <c r="B125" s="281" t="s">
        <v>30</v>
      </c>
      <c r="C125" s="270">
        <v>2</v>
      </c>
      <c r="D125" s="271">
        <v>6</v>
      </c>
      <c r="E125" s="281" t="s">
        <v>30</v>
      </c>
      <c r="F125" s="281" t="s">
        <v>30</v>
      </c>
      <c r="G125" s="272" t="s">
        <v>294</v>
      </c>
      <c r="H125" s="267">
        <v>72</v>
      </c>
      <c r="I125" s="282">
        <v>78</v>
      </c>
      <c r="J125" s="282"/>
      <c r="M125" s="20"/>
    </row>
    <row r="126" spans="1:13">
      <c r="A126" s="290" t="s">
        <v>445</v>
      </c>
      <c r="B126" s="285" t="s">
        <v>30</v>
      </c>
      <c r="C126" s="286">
        <v>2</v>
      </c>
      <c r="D126" s="287">
        <v>6</v>
      </c>
      <c r="E126" s="285" t="s">
        <v>30</v>
      </c>
      <c r="F126" s="285" t="s">
        <v>30</v>
      </c>
      <c r="G126" s="288" t="s">
        <v>30</v>
      </c>
      <c r="H126" s="289" t="s">
        <v>30</v>
      </c>
      <c r="I126" s="289" t="s">
        <v>30</v>
      </c>
      <c r="J126" s="289"/>
      <c r="M126" s="20"/>
    </row>
    <row r="127" spans="1:13">
      <c r="A127" s="284" t="s">
        <v>439</v>
      </c>
      <c r="B127" s="281" t="s">
        <v>297</v>
      </c>
      <c r="C127" s="270">
        <v>3</v>
      </c>
      <c r="D127" s="271">
        <v>15</v>
      </c>
      <c r="E127" s="281" t="s">
        <v>30</v>
      </c>
      <c r="F127" s="281" t="s">
        <v>290</v>
      </c>
      <c r="G127" s="272" t="s">
        <v>294</v>
      </c>
      <c r="H127" s="282">
        <v>70</v>
      </c>
      <c r="I127" s="282">
        <v>75</v>
      </c>
      <c r="J127" s="282"/>
      <c r="M127" s="20"/>
    </row>
    <row r="128" spans="1:13">
      <c r="M128" s="20"/>
    </row>
    <row r="129" spans="13:13">
      <c r="M129" s="20"/>
    </row>
    <row r="130" spans="13:13">
      <c r="M130" s="20"/>
    </row>
    <row r="131" spans="13:13">
      <c r="M131" s="20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zoomScale="145" zoomScaleNormal="145" workbookViewId="0">
      <selection activeCell="N15" sqref="N15"/>
    </sheetView>
  </sheetViews>
  <sheetFormatPr defaultColWidth="8.85546875" defaultRowHeight="12.75"/>
  <cols>
    <col min="13" max="13" width="14.7109375" bestFit="1" customWidth="1"/>
    <col min="14" max="14" width="12" bestFit="1" customWidth="1"/>
  </cols>
  <sheetData>
    <row r="4" spans="1:18">
      <c r="A4" s="27" t="s">
        <v>142</v>
      </c>
      <c r="B4" s="28"/>
      <c r="C4" s="28"/>
      <c r="D4" s="28"/>
      <c r="E4" s="28"/>
      <c r="F4" s="28"/>
      <c r="G4" s="28"/>
      <c r="H4" s="28"/>
      <c r="I4" s="28"/>
      <c r="J4" s="28"/>
      <c r="K4" s="28"/>
    </row>
    <row r="5" spans="1:18">
      <c r="A5" s="380" t="s">
        <v>143</v>
      </c>
      <c r="B5" s="382" t="s">
        <v>144</v>
      </c>
      <c r="C5" s="383"/>
      <c r="D5" s="383"/>
      <c r="E5" s="383"/>
      <c r="F5" s="383"/>
      <c r="G5" s="383"/>
      <c r="H5" s="383"/>
      <c r="I5" s="383"/>
      <c r="J5" s="383"/>
      <c r="K5" s="384"/>
      <c r="P5" s="16" t="s">
        <v>157</v>
      </c>
    </row>
    <row r="6" spans="1:18">
      <c r="A6" s="381"/>
      <c r="B6" s="38">
        <v>0</v>
      </c>
      <c r="C6" s="29">
        <v>0.1</v>
      </c>
      <c r="D6" s="29">
        <v>0.2</v>
      </c>
      <c r="E6" s="29">
        <v>0.3</v>
      </c>
      <c r="F6" s="29">
        <v>0.4</v>
      </c>
      <c r="G6" s="29">
        <v>0.5</v>
      </c>
      <c r="H6" s="29">
        <v>0.6</v>
      </c>
      <c r="I6" s="29">
        <v>0.7</v>
      </c>
      <c r="J6" s="29">
        <v>0.8</v>
      </c>
      <c r="K6" s="29">
        <v>0.9</v>
      </c>
      <c r="M6" t="s">
        <v>148</v>
      </c>
    </row>
    <row r="7" spans="1:18" ht="14.25">
      <c r="A7" s="30">
        <v>35</v>
      </c>
      <c r="B7" s="31">
        <v>13.01</v>
      </c>
      <c r="C7" s="31">
        <v>13.05</v>
      </c>
      <c r="D7" s="31">
        <v>13.1</v>
      </c>
      <c r="E7" s="31">
        <v>13.14</v>
      </c>
      <c r="F7" s="31">
        <v>13.18</v>
      </c>
      <c r="G7" s="31">
        <v>13.23</v>
      </c>
      <c r="H7" s="31">
        <v>13.27</v>
      </c>
      <c r="I7" s="31">
        <v>13.31</v>
      </c>
      <c r="J7" s="31">
        <v>13.35</v>
      </c>
      <c r="K7" s="31">
        <v>13.4</v>
      </c>
      <c r="M7" t="s">
        <v>146</v>
      </c>
      <c r="N7">
        <f>FLOOR(AHU_Psych!O12,1)</f>
        <v>41</v>
      </c>
      <c r="P7" s="385" t="s">
        <v>58</v>
      </c>
      <c r="Q7" s="386"/>
      <c r="R7" s="387"/>
    </row>
    <row r="8" spans="1:18" ht="14.25">
      <c r="A8" s="32">
        <v>36</v>
      </c>
      <c r="B8" s="33">
        <v>13.44</v>
      </c>
      <c r="C8" s="33">
        <v>13.48</v>
      </c>
      <c r="D8" s="33">
        <v>13.53</v>
      </c>
      <c r="E8" s="33">
        <v>13.57</v>
      </c>
      <c r="F8" s="33">
        <v>13.61</v>
      </c>
      <c r="G8" s="33">
        <v>13.66</v>
      </c>
      <c r="H8" s="33">
        <v>13.7</v>
      </c>
      <c r="I8" s="33">
        <v>13.75</v>
      </c>
      <c r="J8" s="33">
        <v>13.79</v>
      </c>
      <c r="K8" s="33">
        <v>13.83</v>
      </c>
      <c r="M8" t="s">
        <v>147</v>
      </c>
      <c r="N8" s="37">
        <f>ROUND(AHU_Psych!O12 - N7,1)</f>
        <v>0.1</v>
      </c>
      <c r="P8" s="8" t="s">
        <v>37</v>
      </c>
      <c r="Q8" s="9" t="s">
        <v>59</v>
      </c>
      <c r="R8" s="9" t="s">
        <v>81</v>
      </c>
    </row>
    <row r="9" spans="1:18">
      <c r="A9" s="32">
        <v>37</v>
      </c>
      <c r="B9" s="33">
        <v>13.87</v>
      </c>
      <c r="C9" s="33">
        <v>13.91</v>
      </c>
      <c r="D9" s="33">
        <v>13.96</v>
      </c>
      <c r="E9" s="33">
        <v>14</v>
      </c>
      <c r="F9" s="33">
        <v>14.05</v>
      </c>
      <c r="G9" s="33">
        <v>14.09</v>
      </c>
      <c r="H9" s="33">
        <v>14.14</v>
      </c>
      <c r="I9" s="33">
        <v>14.18</v>
      </c>
      <c r="J9" s="33">
        <v>14.23</v>
      </c>
      <c r="K9" s="33">
        <v>14.27</v>
      </c>
      <c r="P9" s="4">
        <v>1</v>
      </c>
      <c r="Q9" s="10">
        <v>6</v>
      </c>
      <c r="R9" s="10">
        <v>30</v>
      </c>
    </row>
    <row r="10" spans="1:18">
      <c r="A10" s="32">
        <v>38</v>
      </c>
      <c r="B10" s="33">
        <v>14.32</v>
      </c>
      <c r="C10" s="33">
        <v>14.37</v>
      </c>
      <c r="D10" s="33">
        <v>14.41</v>
      </c>
      <c r="E10" s="33">
        <v>14.46</v>
      </c>
      <c r="F10" s="33">
        <v>14.5</v>
      </c>
      <c r="G10" s="33">
        <v>14.55</v>
      </c>
      <c r="H10" s="33">
        <v>14.59</v>
      </c>
      <c r="I10" s="33">
        <v>14.64</v>
      </c>
      <c r="J10" s="33">
        <v>14.68</v>
      </c>
      <c r="K10" s="33">
        <v>14.73</v>
      </c>
      <c r="P10" s="4">
        <v>400</v>
      </c>
      <c r="Q10" s="10">
        <v>8</v>
      </c>
      <c r="R10" s="10">
        <v>30</v>
      </c>
    </row>
    <row r="11" spans="1:18">
      <c r="A11" s="34">
        <v>39</v>
      </c>
      <c r="B11" s="35">
        <v>14.77</v>
      </c>
      <c r="C11" s="35">
        <v>14.82</v>
      </c>
      <c r="D11" s="35">
        <v>14.86</v>
      </c>
      <c r="E11" s="35">
        <v>14.91</v>
      </c>
      <c r="F11" s="35">
        <v>14.95</v>
      </c>
      <c r="G11" s="35">
        <v>15</v>
      </c>
      <c r="H11" s="35">
        <v>15.05</v>
      </c>
      <c r="I11" s="35">
        <v>15.09</v>
      </c>
      <c r="J11" s="35">
        <v>15.14</v>
      </c>
      <c r="K11" s="35">
        <v>15.18</v>
      </c>
      <c r="P11" s="4">
        <v>700</v>
      </c>
      <c r="Q11" s="10">
        <v>10</v>
      </c>
      <c r="R11" s="10">
        <v>35</v>
      </c>
    </row>
    <row r="12" spans="1:18">
      <c r="A12" s="30">
        <v>40</v>
      </c>
      <c r="B12" s="31">
        <v>15.23</v>
      </c>
      <c r="C12" s="31">
        <v>15.28</v>
      </c>
      <c r="D12" s="31">
        <v>15.32</v>
      </c>
      <c r="E12" s="31">
        <v>15.37</v>
      </c>
      <c r="F12" s="31">
        <v>15.42</v>
      </c>
      <c r="G12" s="31">
        <v>15.46</v>
      </c>
      <c r="H12" s="31">
        <v>15.51</v>
      </c>
      <c r="I12" s="31">
        <v>15.56</v>
      </c>
      <c r="J12" s="31">
        <v>15.6</v>
      </c>
      <c r="K12" s="31">
        <v>15.65</v>
      </c>
      <c r="P12" s="4">
        <v>1000</v>
      </c>
      <c r="Q12" s="10">
        <v>12</v>
      </c>
      <c r="R12" s="10">
        <v>45</v>
      </c>
    </row>
    <row r="13" spans="1:18">
      <c r="A13" s="32">
        <v>41</v>
      </c>
      <c r="B13" s="33">
        <v>15.7</v>
      </c>
      <c r="C13" s="33">
        <v>15.75</v>
      </c>
      <c r="D13" s="33">
        <v>15.8</v>
      </c>
      <c r="E13" s="33">
        <v>15.84</v>
      </c>
      <c r="F13" s="33">
        <v>15.89</v>
      </c>
      <c r="G13" s="33">
        <v>15.94</v>
      </c>
      <c r="H13" s="33">
        <v>15.99</v>
      </c>
      <c r="I13" s="33">
        <v>16.03</v>
      </c>
      <c r="J13" s="33">
        <v>16.079999999999998</v>
      </c>
      <c r="K13" s="33">
        <v>16.13</v>
      </c>
      <c r="P13" s="4">
        <v>1500</v>
      </c>
      <c r="Q13" s="10">
        <v>14</v>
      </c>
      <c r="R13" s="10">
        <v>55</v>
      </c>
    </row>
    <row r="14" spans="1:18" ht="13.5" thickBot="1">
      <c r="A14" s="32">
        <v>42</v>
      </c>
      <c r="B14" s="33">
        <v>16.170000000000002</v>
      </c>
      <c r="C14" s="33">
        <v>16.22</v>
      </c>
      <c r="D14" s="33">
        <v>16.27</v>
      </c>
      <c r="E14" s="33">
        <v>16.32</v>
      </c>
      <c r="F14" s="33">
        <v>16.36</v>
      </c>
      <c r="G14" s="33">
        <v>16.41</v>
      </c>
      <c r="H14" s="33">
        <v>16.46</v>
      </c>
      <c r="I14" s="33">
        <v>16.510000000000002</v>
      </c>
      <c r="J14" s="33">
        <v>16.559999999999999</v>
      </c>
      <c r="K14" s="33">
        <v>16.61</v>
      </c>
      <c r="P14" s="11">
        <v>2100</v>
      </c>
      <c r="Q14" s="12">
        <v>16</v>
      </c>
      <c r="R14" s="12">
        <v>60</v>
      </c>
    </row>
    <row r="15" spans="1:18">
      <c r="A15" s="32">
        <v>43</v>
      </c>
      <c r="B15" s="33">
        <v>16.66</v>
      </c>
      <c r="C15" s="33">
        <v>16.71</v>
      </c>
      <c r="D15" s="33">
        <v>16.760000000000002</v>
      </c>
      <c r="E15" s="33">
        <v>16.809999999999999</v>
      </c>
      <c r="F15" s="33">
        <v>16.86</v>
      </c>
      <c r="G15" s="33">
        <v>16.91</v>
      </c>
      <c r="H15" s="33">
        <v>16.96</v>
      </c>
      <c r="I15" s="33">
        <v>17</v>
      </c>
      <c r="J15" s="33">
        <v>17.05</v>
      </c>
      <c r="K15" s="33">
        <v>17.100000000000001</v>
      </c>
    </row>
    <row r="16" spans="1:18">
      <c r="A16" s="34">
        <v>44</v>
      </c>
      <c r="B16" s="35">
        <v>17.149999999999999</v>
      </c>
      <c r="C16" s="35">
        <v>17.2</v>
      </c>
      <c r="D16" s="35">
        <v>17.25</v>
      </c>
      <c r="E16" s="35">
        <v>17.3</v>
      </c>
      <c r="F16" s="35">
        <v>17.350000000000001</v>
      </c>
      <c r="G16" s="35">
        <v>17.399999999999999</v>
      </c>
      <c r="H16" s="35">
        <v>17.45</v>
      </c>
      <c r="I16" s="35">
        <v>17.5</v>
      </c>
      <c r="J16" s="35">
        <v>17.55</v>
      </c>
      <c r="K16" s="35">
        <v>17.600000000000001</v>
      </c>
    </row>
    <row r="17" spans="1:16">
      <c r="A17" s="30">
        <v>45</v>
      </c>
      <c r="B17" s="31">
        <v>17.649999999999999</v>
      </c>
      <c r="C17" s="31">
        <v>17.7</v>
      </c>
      <c r="D17" s="31">
        <v>17.75</v>
      </c>
      <c r="E17" s="31">
        <v>17.8</v>
      </c>
      <c r="F17" s="31">
        <v>17.850000000000001</v>
      </c>
      <c r="G17" s="31">
        <v>17.91</v>
      </c>
      <c r="H17" s="31">
        <v>17.96</v>
      </c>
      <c r="I17" s="31">
        <v>18.010000000000002</v>
      </c>
      <c r="J17" s="31">
        <v>18.059999999999999</v>
      </c>
      <c r="K17" s="31">
        <v>18.11</v>
      </c>
    </row>
    <row r="18" spans="1:16">
      <c r="A18" s="32">
        <v>46</v>
      </c>
      <c r="B18" s="33">
        <v>18.16</v>
      </c>
      <c r="C18" s="33">
        <v>18.21</v>
      </c>
      <c r="D18" s="33">
        <v>18.260000000000002</v>
      </c>
      <c r="E18" s="33">
        <v>18.32</v>
      </c>
      <c r="F18" s="33">
        <v>18.37</v>
      </c>
      <c r="G18" s="33">
        <v>18.420000000000002</v>
      </c>
      <c r="H18" s="33">
        <v>18.47</v>
      </c>
      <c r="I18" s="33">
        <v>18.52</v>
      </c>
      <c r="J18" s="33">
        <v>18.579999999999998</v>
      </c>
      <c r="K18" s="33">
        <v>18.63</v>
      </c>
      <c r="P18" s="16" t="s">
        <v>224</v>
      </c>
    </row>
    <row r="19" spans="1:16">
      <c r="A19" s="32">
        <v>47</v>
      </c>
      <c r="B19" s="33">
        <v>18.68</v>
      </c>
      <c r="C19" s="33">
        <v>18.73</v>
      </c>
      <c r="D19" s="33">
        <v>18.79</v>
      </c>
      <c r="E19" s="33">
        <v>18.84</v>
      </c>
      <c r="F19" s="33">
        <v>18.89</v>
      </c>
      <c r="G19" s="33">
        <v>18.95</v>
      </c>
      <c r="H19" s="33">
        <v>19</v>
      </c>
      <c r="I19" s="33">
        <v>19.05</v>
      </c>
      <c r="J19" s="33">
        <v>19.100000000000001</v>
      </c>
      <c r="K19" s="33">
        <v>19.16</v>
      </c>
    </row>
    <row r="20" spans="1:16">
      <c r="A20" s="32">
        <v>48</v>
      </c>
      <c r="B20" s="33">
        <v>19.21</v>
      </c>
      <c r="C20" s="33">
        <v>19.260000000000002</v>
      </c>
      <c r="D20" s="33">
        <v>19.32</v>
      </c>
      <c r="E20" s="33">
        <v>19.37</v>
      </c>
      <c r="F20" s="33">
        <v>19.43</v>
      </c>
      <c r="G20" s="33">
        <v>19.48</v>
      </c>
      <c r="H20" s="33">
        <v>19.53</v>
      </c>
      <c r="I20" s="33">
        <v>16.59</v>
      </c>
      <c r="J20" s="33">
        <v>19.64</v>
      </c>
      <c r="K20" s="33">
        <v>19.7</v>
      </c>
    </row>
    <row r="21" spans="1:16">
      <c r="A21" s="34">
        <v>49</v>
      </c>
      <c r="B21" s="35">
        <v>19.75</v>
      </c>
      <c r="C21" s="35">
        <v>19.809999999999999</v>
      </c>
      <c r="D21" s="35">
        <v>19.86</v>
      </c>
      <c r="E21" s="35">
        <v>19.920000000000002</v>
      </c>
      <c r="F21" s="35">
        <v>19.97</v>
      </c>
      <c r="G21" s="35">
        <v>20.03</v>
      </c>
      <c r="H21" s="35">
        <v>20.079999999999998</v>
      </c>
      <c r="I21" s="35">
        <v>20.14</v>
      </c>
      <c r="J21" s="35">
        <v>20.190000000000001</v>
      </c>
      <c r="K21" s="35">
        <v>20.25</v>
      </c>
    </row>
    <row r="22" spans="1:16">
      <c r="A22" s="30">
        <v>50</v>
      </c>
      <c r="B22" s="31">
        <v>20.3</v>
      </c>
      <c r="C22" s="31">
        <v>20.36</v>
      </c>
      <c r="D22" s="31">
        <v>20.41</v>
      </c>
      <c r="E22" s="31">
        <v>20.47</v>
      </c>
      <c r="F22" s="31">
        <v>20.52</v>
      </c>
      <c r="G22" s="31">
        <v>20.58</v>
      </c>
      <c r="H22" s="31">
        <v>20.64</v>
      </c>
      <c r="I22" s="31">
        <v>20.69</v>
      </c>
      <c r="J22" s="31">
        <v>20.75</v>
      </c>
      <c r="K22" s="31">
        <v>20.8</v>
      </c>
    </row>
    <row r="23" spans="1:16">
      <c r="A23" s="32">
        <v>51</v>
      </c>
      <c r="B23" s="33">
        <v>20.86</v>
      </c>
      <c r="C23" s="33">
        <v>20.92</v>
      </c>
      <c r="D23" s="33">
        <v>20.97</v>
      </c>
      <c r="E23" s="33">
        <v>21.03</v>
      </c>
      <c r="F23" s="33">
        <v>21.09</v>
      </c>
      <c r="G23" s="33">
        <v>21.15</v>
      </c>
      <c r="H23" s="33">
        <v>21.2</v>
      </c>
      <c r="I23" s="33">
        <v>21.26</v>
      </c>
      <c r="J23" s="33">
        <v>21.32</v>
      </c>
      <c r="K23" s="33">
        <v>21.38</v>
      </c>
    </row>
    <row r="24" spans="1:16">
      <c r="A24" s="32">
        <v>52</v>
      </c>
      <c r="B24" s="33">
        <v>21.44</v>
      </c>
      <c r="C24" s="33">
        <v>21.5</v>
      </c>
      <c r="D24" s="33">
        <v>21.56</v>
      </c>
      <c r="E24" s="33">
        <v>21.62</v>
      </c>
      <c r="F24" s="33">
        <v>21.67</v>
      </c>
      <c r="G24" s="33">
        <v>21.73</v>
      </c>
      <c r="H24" s="33">
        <v>21.79</v>
      </c>
      <c r="I24" s="33">
        <v>21.85</v>
      </c>
      <c r="J24" s="33">
        <v>21.91</v>
      </c>
      <c r="K24" s="33">
        <v>21.97</v>
      </c>
    </row>
    <row r="25" spans="1:16">
      <c r="A25" s="32">
        <v>53</v>
      </c>
      <c r="B25" s="33">
        <v>22.02</v>
      </c>
      <c r="C25" s="33">
        <v>22.08</v>
      </c>
      <c r="D25" s="33">
        <v>22.14</v>
      </c>
      <c r="E25" s="33">
        <v>22.2</v>
      </c>
      <c r="F25" s="33">
        <v>22.26</v>
      </c>
      <c r="G25" s="33">
        <v>22.32</v>
      </c>
      <c r="H25" s="33">
        <v>22.38</v>
      </c>
      <c r="I25" s="33">
        <v>22.44</v>
      </c>
      <c r="J25" s="33">
        <v>22.5</v>
      </c>
      <c r="K25" s="33">
        <v>22.56</v>
      </c>
    </row>
    <row r="26" spans="1:16">
      <c r="A26" s="34">
        <v>54</v>
      </c>
      <c r="B26" s="35">
        <v>22.62</v>
      </c>
      <c r="C26" s="35">
        <v>22.68</v>
      </c>
      <c r="D26" s="35">
        <v>22.74</v>
      </c>
      <c r="E26" s="35">
        <v>22.8</v>
      </c>
      <c r="F26" s="35">
        <v>22.86</v>
      </c>
      <c r="G26" s="35">
        <v>22.92</v>
      </c>
      <c r="H26" s="35">
        <v>22.98</v>
      </c>
      <c r="I26" s="35">
        <v>23.04</v>
      </c>
      <c r="J26" s="35">
        <v>23.1</v>
      </c>
      <c r="K26" s="35">
        <v>23.16</v>
      </c>
    </row>
    <row r="27" spans="1:16">
      <c r="A27" s="30">
        <v>55</v>
      </c>
      <c r="B27" s="31">
        <v>23.22</v>
      </c>
      <c r="C27" s="31">
        <v>23.28</v>
      </c>
      <c r="D27" s="31">
        <v>23.34</v>
      </c>
      <c r="E27" s="31">
        <v>23.41</v>
      </c>
      <c r="F27" s="31">
        <v>23.47</v>
      </c>
      <c r="G27" s="31">
        <v>23.53</v>
      </c>
      <c r="H27" s="31">
        <v>23.59</v>
      </c>
      <c r="I27" s="31">
        <v>23.65</v>
      </c>
      <c r="J27" s="31">
        <v>23.72</v>
      </c>
      <c r="K27" s="31">
        <v>23.78</v>
      </c>
    </row>
    <row r="28" spans="1:16">
      <c r="A28" s="32">
        <v>56</v>
      </c>
      <c r="B28" s="33">
        <v>23.84</v>
      </c>
      <c r="C28" s="33">
        <v>23.9</v>
      </c>
      <c r="D28" s="33">
        <v>23.97</v>
      </c>
      <c r="E28" s="33">
        <v>24.03</v>
      </c>
      <c r="F28" s="33">
        <v>24.1</v>
      </c>
      <c r="G28" s="33">
        <v>24.16</v>
      </c>
      <c r="H28" s="33">
        <v>24.22</v>
      </c>
      <c r="I28" s="33">
        <v>24.29</v>
      </c>
      <c r="J28" s="33">
        <v>24.35</v>
      </c>
      <c r="K28" s="33">
        <v>24.42</v>
      </c>
    </row>
    <row r="29" spans="1:16">
      <c r="A29" s="32">
        <v>57</v>
      </c>
      <c r="B29" s="33">
        <v>24.48</v>
      </c>
      <c r="C29" s="33">
        <v>24.54</v>
      </c>
      <c r="D29" s="33">
        <v>24.61</v>
      </c>
      <c r="E29" s="33">
        <v>24.67</v>
      </c>
      <c r="F29" s="33">
        <v>24.74</v>
      </c>
      <c r="G29" s="33">
        <v>24.8</v>
      </c>
      <c r="H29" s="33">
        <v>24.86</v>
      </c>
      <c r="I29" s="33">
        <v>24.93</v>
      </c>
      <c r="J29" s="33">
        <v>24.99</v>
      </c>
      <c r="K29" s="33">
        <v>25.06</v>
      </c>
    </row>
    <row r="30" spans="1:16">
      <c r="A30" s="32">
        <v>58</v>
      </c>
      <c r="B30" s="33">
        <v>25.12</v>
      </c>
      <c r="C30" s="33">
        <v>25.19</v>
      </c>
      <c r="D30" s="33">
        <v>25.25</v>
      </c>
      <c r="E30" s="33">
        <v>25.32</v>
      </c>
      <c r="F30" s="33">
        <v>25.38</v>
      </c>
      <c r="G30" s="33">
        <v>25.45</v>
      </c>
      <c r="H30" s="33">
        <v>25.52</v>
      </c>
      <c r="I30" s="33">
        <v>25.58</v>
      </c>
      <c r="J30" s="33">
        <v>25.65</v>
      </c>
      <c r="K30" s="33">
        <v>25.71</v>
      </c>
    </row>
    <row r="31" spans="1:16">
      <c r="A31" s="34">
        <v>59</v>
      </c>
      <c r="B31" s="35">
        <v>25.78</v>
      </c>
      <c r="C31" s="35">
        <v>25.85</v>
      </c>
      <c r="D31" s="35">
        <v>25.92</v>
      </c>
      <c r="E31" s="35">
        <v>25.98</v>
      </c>
      <c r="F31" s="35">
        <v>26.05</v>
      </c>
      <c r="G31" s="35">
        <v>26.12</v>
      </c>
      <c r="H31" s="35">
        <v>26.19</v>
      </c>
      <c r="I31" s="35">
        <v>26.26</v>
      </c>
      <c r="J31" s="35">
        <v>26.32</v>
      </c>
      <c r="K31" s="35">
        <v>26.39</v>
      </c>
    </row>
    <row r="32" spans="1:16">
      <c r="A32" s="30">
        <v>60</v>
      </c>
      <c r="B32" s="31">
        <v>26.46</v>
      </c>
      <c r="C32" s="31">
        <v>26.53</v>
      </c>
      <c r="D32" s="31">
        <v>26.6</v>
      </c>
      <c r="E32" s="31">
        <v>26.67</v>
      </c>
      <c r="F32" s="31">
        <v>26.74</v>
      </c>
      <c r="G32" s="31">
        <v>26.81</v>
      </c>
      <c r="H32" s="31">
        <v>26.87</v>
      </c>
      <c r="I32" s="31">
        <v>26.94</v>
      </c>
      <c r="J32" s="31">
        <v>27.01</v>
      </c>
      <c r="K32" s="31">
        <v>27.08</v>
      </c>
    </row>
    <row r="33" spans="1:11">
      <c r="A33" s="32">
        <v>61</v>
      </c>
      <c r="B33" s="33">
        <v>27.15</v>
      </c>
      <c r="C33" s="33">
        <v>27.22</v>
      </c>
      <c r="D33" s="33">
        <v>27.29</v>
      </c>
      <c r="E33" s="33">
        <v>27.36</v>
      </c>
      <c r="F33" s="33">
        <v>27.43</v>
      </c>
      <c r="G33" s="33">
        <v>27.5</v>
      </c>
      <c r="H33" s="33">
        <v>27.57</v>
      </c>
      <c r="I33" s="33">
        <v>27.64</v>
      </c>
      <c r="J33" s="33">
        <v>27.71</v>
      </c>
      <c r="K33" s="33">
        <v>27.78</v>
      </c>
    </row>
    <row r="34" spans="1:11">
      <c r="A34" s="32">
        <v>62</v>
      </c>
      <c r="B34" s="33">
        <v>27.85</v>
      </c>
      <c r="C34" s="33">
        <v>27.92</v>
      </c>
      <c r="D34" s="33">
        <v>27.99</v>
      </c>
      <c r="E34" s="33">
        <v>28.07</v>
      </c>
      <c r="F34" s="33">
        <v>28.14</v>
      </c>
      <c r="G34" s="33">
        <v>28.21</v>
      </c>
      <c r="H34" s="33">
        <v>28.28</v>
      </c>
      <c r="I34" s="33">
        <v>28.35</v>
      </c>
      <c r="J34" s="33">
        <v>28.43</v>
      </c>
      <c r="K34" s="33">
        <v>28.5</v>
      </c>
    </row>
    <row r="35" spans="1:11">
      <c r="A35" s="32">
        <v>63</v>
      </c>
      <c r="B35" s="33">
        <v>28.57</v>
      </c>
      <c r="C35" s="33">
        <v>28.64</v>
      </c>
      <c r="D35" s="33">
        <v>28.72</v>
      </c>
      <c r="E35" s="33">
        <v>28.79</v>
      </c>
      <c r="F35" s="33">
        <v>28.87</v>
      </c>
      <c r="G35" s="33">
        <v>28.94</v>
      </c>
      <c r="H35" s="33">
        <v>29.01</v>
      </c>
      <c r="I35" s="33">
        <v>29.09</v>
      </c>
      <c r="J35" s="33">
        <v>29.16</v>
      </c>
      <c r="K35" s="33">
        <v>29.24</v>
      </c>
    </row>
    <row r="36" spans="1:11">
      <c r="A36" s="34">
        <v>64</v>
      </c>
      <c r="B36" s="35">
        <v>29.31</v>
      </c>
      <c r="C36" s="35">
        <v>29.39</v>
      </c>
      <c r="D36" s="35">
        <v>29.46</v>
      </c>
      <c r="E36" s="35">
        <v>29.54</v>
      </c>
      <c r="F36" s="35">
        <v>29.61</v>
      </c>
      <c r="G36" s="35">
        <v>29.69</v>
      </c>
      <c r="H36" s="35">
        <v>29.76</v>
      </c>
      <c r="I36" s="35">
        <v>29.84</v>
      </c>
      <c r="J36" s="35">
        <v>29.91</v>
      </c>
      <c r="K36" s="35">
        <v>29.99</v>
      </c>
    </row>
    <row r="37" spans="1:11">
      <c r="A37" s="30">
        <v>65</v>
      </c>
      <c r="B37" s="31">
        <v>30.06</v>
      </c>
      <c r="C37" s="31">
        <v>30.14</v>
      </c>
      <c r="D37" s="31">
        <v>30.21</v>
      </c>
      <c r="E37" s="31">
        <v>30.29</v>
      </c>
      <c r="F37" s="31">
        <v>30.37</v>
      </c>
      <c r="G37" s="31">
        <v>30.45</v>
      </c>
      <c r="H37" s="31">
        <v>30.52</v>
      </c>
      <c r="I37" s="31">
        <v>30.6</v>
      </c>
      <c r="J37" s="31">
        <v>30.68</v>
      </c>
      <c r="K37" s="31">
        <v>30.75</v>
      </c>
    </row>
    <row r="38" spans="1:11">
      <c r="A38" s="32">
        <v>66</v>
      </c>
      <c r="B38" s="33">
        <v>30.83</v>
      </c>
      <c r="C38" s="33">
        <v>30.91</v>
      </c>
      <c r="D38" s="33">
        <v>30.99</v>
      </c>
      <c r="E38" s="33">
        <v>31.07</v>
      </c>
      <c r="F38" s="33">
        <v>31.15</v>
      </c>
      <c r="G38" s="33">
        <v>31.23</v>
      </c>
      <c r="H38" s="33">
        <v>31.3</v>
      </c>
      <c r="I38" s="33">
        <v>31.38</v>
      </c>
      <c r="J38" s="33">
        <v>31.46</v>
      </c>
      <c r="K38" s="33">
        <v>31.54</v>
      </c>
    </row>
    <row r="39" spans="1:11">
      <c r="A39" s="32">
        <v>67</v>
      </c>
      <c r="B39" s="33">
        <v>31.62</v>
      </c>
      <c r="C39" s="33">
        <v>31.7</v>
      </c>
      <c r="D39" s="33">
        <v>31.78</v>
      </c>
      <c r="E39" s="33">
        <v>31.86</v>
      </c>
      <c r="F39" s="33">
        <v>31.94</v>
      </c>
      <c r="G39" s="33">
        <v>32.020000000000003</v>
      </c>
      <c r="H39" s="33">
        <v>32.1</v>
      </c>
      <c r="I39" s="33">
        <v>32.18</v>
      </c>
      <c r="J39" s="33">
        <v>32.26</v>
      </c>
      <c r="K39" s="33">
        <v>32.340000000000003</v>
      </c>
    </row>
    <row r="40" spans="1:11">
      <c r="A40" s="32">
        <v>68</v>
      </c>
      <c r="B40" s="33">
        <v>32.42</v>
      </c>
      <c r="C40" s="33">
        <v>32.5</v>
      </c>
      <c r="D40" s="33">
        <v>32.590000000000003</v>
      </c>
      <c r="E40" s="33">
        <v>32.67</v>
      </c>
      <c r="F40" s="33">
        <v>32.75</v>
      </c>
      <c r="G40" s="33">
        <v>32.840000000000003</v>
      </c>
      <c r="H40" s="33">
        <v>32.92</v>
      </c>
      <c r="I40" s="33">
        <v>33</v>
      </c>
      <c r="J40" s="33">
        <v>33.08</v>
      </c>
      <c r="K40" s="33">
        <v>33.17</v>
      </c>
    </row>
    <row r="41" spans="1:11">
      <c r="A41" s="34">
        <v>69</v>
      </c>
      <c r="B41" s="35">
        <v>33.25</v>
      </c>
      <c r="C41" s="35">
        <v>33.33</v>
      </c>
      <c r="D41" s="35">
        <v>33.42</v>
      </c>
      <c r="E41" s="35">
        <v>33.5</v>
      </c>
      <c r="F41" s="35">
        <v>33.590000000000003</v>
      </c>
      <c r="G41" s="35">
        <v>33.67</v>
      </c>
      <c r="H41" s="35">
        <v>33.75</v>
      </c>
      <c r="I41" s="35">
        <v>33.840000000000003</v>
      </c>
      <c r="J41" s="35">
        <v>33.92</v>
      </c>
      <c r="K41" s="35">
        <v>34.01</v>
      </c>
    </row>
    <row r="42" spans="1:11">
      <c r="A42" s="30">
        <v>70</v>
      </c>
      <c r="B42" s="31">
        <v>34.090000000000003</v>
      </c>
      <c r="C42" s="31">
        <v>34.18</v>
      </c>
      <c r="D42" s="31">
        <v>34.26</v>
      </c>
      <c r="E42" s="31">
        <v>34.35</v>
      </c>
      <c r="F42" s="31">
        <v>34.43</v>
      </c>
      <c r="G42" s="31">
        <v>34.520000000000003</v>
      </c>
      <c r="H42" s="31">
        <v>34.61</v>
      </c>
      <c r="I42" s="31">
        <v>34.69</v>
      </c>
      <c r="J42" s="31">
        <v>34.78</v>
      </c>
      <c r="K42" s="31">
        <v>34.86</v>
      </c>
    </row>
    <row r="43" spans="1:11">
      <c r="A43" s="32">
        <v>71</v>
      </c>
      <c r="B43" s="33">
        <v>34.950000000000003</v>
      </c>
      <c r="C43" s="33">
        <v>35.04</v>
      </c>
      <c r="D43" s="33">
        <v>35.130000000000003</v>
      </c>
      <c r="E43" s="33">
        <v>35.21</v>
      </c>
      <c r="F43" s="33">
        <v>35.299999999999997</v>
      </c>
      <c r="G43" s="33">
        <v>35.39</v>
      </c>
      <c r="H43" s="33">
        <v>35.479999999999997</v>
      </c>
      <c r="I43" s="33">
        <v>35.57</v>
      </c>
      <c r="J43" s="33">
        <v>35.65</v>
      </c>
      <c r="K43" s="33">
        <v>35.74</v>
      </c>
    </row>
    <row r="44" spans="1:11">
      <c r="A44" s="32">
        <v>72</v>
      </c>
      <c r="B44" s="33">
        <v>35.83</v>
      </c>
      <c r="C44" s="33">
        <v>35.92</v>
      </c>
      <c r="D44" s="33">
        <v>36.01</v>
      </c>
      <c r="E44" s="33">
        <v>36.1</v>
      </c>
      <c r="F44" s="33">
        <v>36.19</v>
      </c>
      <c r="G44" s="33">
        <v>36.29</v>
      </c>
      <c r="H44" s="33">
        <v>36.380000000000003</v>
      </c>
      <c r="I44" s="33">
        <v>36.47</v>
      </c>
      <c r="J44" s="33">
        <v>36.56</v>
      </c>
      <c r="K44" s="33">
        <v>36.65</v>
      </c>
    </row>
    <row r="45" spans="1:11">
      <c r="A45" s="32">
        <v>73</v>
      </c>
      <c r="B45" s="33">
        <v>36.74</v>
      </c>
      <c r="C45" s="33">
        <v>36.83</v>
      </c>
      <c r="D45" s="33">
        <v>36.92</v>
      </c>
      <c r="E45" s="33">
        <v>37.020000000000003</v>
      </c>
      <c r="F45" s="33">
        <v>37.11</v>
      </c>
      <c r="G45" s="33">
        <v>37.200000000000003</v>
      </c>
      <c r="H45" s="33">
        <v>37.29</v>
      </c>
      <c r="I45" s="33">
        <v>37.380000000000003</v>
      </c>
      <c r="J45" s="33">
        <v>37.479999999999997</v>
      </c>
      <c r="K45" s="33">
        <v>37.57</v>
      </c>
    </row>
    <row r="46" spans="1:11">
      <c r="A46" s="34">
        <v>74</v>
      </c>
      <c r="B46" s="35">
        <v>37.659999999999997</v>
      </c>
      <c r="C46" s="35">
        <v>37.76</v>
      </c>
      <c r="D46" s="35">
        <v>37.85</v>
      </c>
      <c r="E46" s="35">
        <v>37.950000000000003</v>
      </c>
      <c r="F46" s="35">
        <v>38.04</v>
      </c>
      <c r="G46" s="35">
        <v>38.14</v>
      </c>
      <c r="H46" s="35">
        <v>38.229999999999997</v>
      </c>
      <c r="I46" s="35">
        <v>38.33</v>
      </c>
      <c r="J46" s="35">
        <v>38.42</v>
      </c>
      <c r="K46" s="35">
        <v>38.520000000000003</v>
      </c>
    </row>
    <row r="47" spans="1:11">
      <c r="A47" s="30">
        <v>75</v>
      </c>
      <c r="B47" s="31">
        <v>38.61</v>
      </c>
      <c r="C47" s="31">
        <v>38.71</v>
      </c>
      <c r="D47" s="31">
        <v>38.799999999999997</v>
      </c>
      <c r="E47" s="31">
        <v>38.9</v>
      </c>
      <c r="F47" s="31">
        <v>38.99</v>
      </c>
      <c r="G47" s="31">
        <v>39.090000000000003</v>
      </c>
      <c r="H47" s="31">
        <v>39.19</v>
      </c>
      <c r="I47" s="31">
        <v>39.28</v>
      </c>
      <c r="J47" s="31">
        <v>39.380000000000003</v>
      </c>
      <c r="K47" s="31">
        <v>39.47</v>
      </c>
    </row>
    <row r="48" spans="1:11">
      <c r="A48" s="32">
        <v>76</v>
      </c>
      <c r="B48" s="33">
        <v>39.57</v>
      </c>
      <c r="C48" s="33">
        <v>39.67</v>
      </c>
      <c r="D48" s="33">
        <v>39.770000000000003</v>
      </c>
      <c r="E48" s="33">
        <v>39.869999999999997</v>
      </c>
      <c r="F48" s="33">
        <v>39.97</v>
      </c>
      <c r="G48" s="33">
        <v>40.07</v>
      </c>
      <c r="H48" s="33">
        <v>40.17</v>
      </c>
      <c r="I48" s="33">
        <v>40.270000000000003</v>
      </c>
      <c r="J48" s="33">
        <v>40.369999999999997</v>
      </c>
      <c r="K48" s="33">
        <v>40.47</v>
      </c>
    </row>
    <row r="49" spans="1:11">
      <c r="A49" s="32">
        <v>77</v>
      </c>
      <c r="B49" s="33">
        <v>40.57</v>
      </c>
      <c r="C49" s="33">
        <v>40.67</v>
      </c>
      <c r="D49" s="33">
        <v>40.770000000000003</v>
      </c>
      <c r="E49" s="33">
        <v>40.869999999999997</v>
      </c>
      <c r="F49" s="33">
        <v>40.97</v>
      </c>
      <c r="G49" s="33">
        <v>41.08</v>
      </c>
      <c r="H49" s="33">
        <v>41.18</v>
      </c>
      <c r="I49" s="33">
        <v>41.28</v>
      </c>
      <c r="J49" s="33">
        <v>41.38</v>
      </c>
      <c r="K49" s="33">
        <v>41.48</v>
      </c>
    </row>
    <row r="50" spans="1:11">
      <c r="A50" s="32">
        <v>78</v>
      </c>
      <c r="B50" s="33">
        <v>41.58</v>
      </c>
      <c r="C50" s="33">
        <v>41.68</v>
      </c>
      <c r="D50" s="33">
        <v>41.79</v>
      </c>
      <c r="E50" s="33">
        <v>41.89</v>
      </c>
      <c r="F50" s="33">
        <v>42</v>
      </c>
      <c r="G50" s="33">
        <v>42.1</v>
      </c>
      <c r="H50" s="33">
        <v>42.2</v>
      </c>
      <c r="I50" s="33">
        <v>42.31</v>
      </c>
      <c r="J50" s="33">
        <v>42.41</v>
      </c>
      <c r="K50" s="33">
        <v>42.52</v>
      </c>
    </row>
    <row r="51" spans="1:11">
      <c r="A51" s="34">
        <v>79</v>
      </c>
      <c r="B51" s="35">
        <v>42.62</v>
      </c>
      <c r="C51" s="35">
        <v>42.73</v>
      </c>
      <c r="D51" s="35">
        <v>42.83</v>
      </c>
      <c r="E51" s="35">
        <v>42.94</v>
      </c>
      <c r="F51" s="35">
        <v>43.05</v>
      </c>
      <c r="G51" s="35">
        <v>43.16</v>
      </c>
      <c r="H51" s="35">
        <v>43.26</v>
      </c>
      <c r="I51" s="35">
        <v>43.37</v>
      </c>
      <c r="J51" s="35">
        <v>43.48</v>
      </c>
      <c r="K51" s="35">
        <v>43.58</v>
      </c>
    </row>
    <row r="52" spans="1:11">
      <c r="A52" s="30">
        <v>80</v>
      </c>
      <c r="B52" s="31">
        <v>43.69</v>
      </c>
      <c r="C52" s="31">
        <v>43.8</v>
      </c>
      <c r="D52" s="31">
        <v>43.91</v>
      </c>
      <c r="E52" s="31">
        <v>44.02</v>
      </c>
      <c r="F52" s="31">
        <v>44.13</v>
      </c>
      <c r="G52" s="31">
        <v>44.24</v>
      </c>
      <c r="H52" s="31">
        <v>44.34</v>
      </c>
      <c r="I52" s="31">
        <v>44.45</v>
      </c>
      <c r="J52" s="31">
        <v>44.56</v>
      </c>
      <c r="K52" s="31">
        <v>44.67</v>
      </c>
    </row>
    <row r="53" spans="1:11">
      <c r="A53" s="32">
        <v>81</v>
      </c>
      <c r="B53" s="33">
        <v>44.78</v>
      </c>
      <c r="C53" s="33">
        <v>44.89</v>
      </c>
      <c r="D53" s="33">
        <v>45</v>
      </c>
      <c r="E53" s="33">
        <v>45.12</v>
      </c>
      <c r="F53" s="33">
        <v>45.23</v>
      </c>
      <c r="G53" s="33">
        <v>45.34</v>
      </c>
      <c r="H53" s="33">
        <v>45.45</v>
      </c>
      <c r="I53" s="33">
        <v>45.56</v>
      </c>
      <c r="J53" s="33">
        <v>45.68</v>
      </c>
      <c r="K53" s="33">
        <v>45.79</v>
      </c>
    </row>
    <row r="54" spans="1:11">
      <c r="A54" s="32">
        <v>82</v>
      </c>
      <c r="B54" s="33">
        <v>45.9</v>
      </c>
      <c r="C54" s="33">
        <v>46.01</v>
      </c>
      <c r="D54" s="33">
        <v>46.13</v>
      </c>
      <c r="E54" s="33">
        <v>46.24</v>
      </c>
      <c r="F54" s="33">
        <v>46.36</v>
      </c>
      <c r="G54" s="33">
        <v>46.47</v>
      </c>
      <c r="H54" s="33">
        <v>46.58</v>
      </c>
      <c r="I54" s="33">
        <v>46.7</v>
      </c>
      <c r="J54" s="33">
        <v>46.81</v>
      </c>
      <c r="K54" s="33">
        <v>46.93</v>
      </c>
    </row>
    <row r="55" spans="1:11">
      <c r="A55" s="32">
        <v>83</v>
      </c>
      <c r="B55" s="33">
        <v>47.04</v>
      </c>
      <c r="C55" s="33">
        <v>47.16</v>
      </c>
      <c r="D55" s="33">
        <v>47.28</v>
      </c>
      <c r="E55" s="33">
        <v>47.39</v>
      </c>
      <c r="F55" s="33">
        <v>47.51</v>
      </c>
      <c r="G55" s="33">
        <v>47.63</v>
      </c>
      <c r="H55" s="33">
        <v>47.75</v>
      </c>
      <c r="I55" s="33">
        <v>47.87</v>
      </c>
      <c r="J55" s="33">
        <v>47.98</v>
      </c>
      <c r="K55" s="33">
        <v>48.1</v>
      </c>
    </row>
    <row r="56" spans="1:11">
      <c r="A56" s="32">
        <v>84</v>
      </c>
      <c r="B56" s="33">
        <v>48.22</v>
      </c>
      <c r="C56" s="33">
        <v>48.34</v>
      </c>
      <c r="D56" s="33">
        <v>48.46</v>
      </c>
      <c r="E56" s="33">
        <v>48.58</v>
      </c>
      <c r="F56" s="33">
        <v>48.7</v>
      </c>
      <c r="G56" s="33">
        <v>48.83</v>
      </c>
      <c r="H56" s="33">
        <v>48.95</v>
      </c>
      <c r="I56" s="33">
        <v>49.07</v>
      </c>
      <c r="J56" s="33">
        <v>49.19</v>
      </c>
      <c r="K56" s="33">
        <v>49.31</v>
      </c>
    </row>
    <row r="57" spans="1:11">
      <c r="A57" s="34">
        <v>85</v>
      </c>
      <c r="B57" s="35">
        <v>49.43</v>
      </c>
      <c r="C57" s="35">
        <v>49.55</v>
      </c>
      <c r="D57" s="35">
        <v>49.68</v>
      </c>
      <c r="E57" s="35">
        <v>49.8</v>
      </c>
      <c r="F57" s="35">
        <v>49.92</v>
      </c>
      <c r="G57" s="35">
        <v>50.05</v>
      </c>
      <c r="H57" s="35">
        <v>50.17</v>
      </c>
      <c r="I57" s="35">
        <v>50.29</v>
      </c>
      <c r="J57" s="35">
        <v>50.41</v>
      </c>
      <c r="K57" s="35">
        <v>50.54</v>
      </c>
    </row>
    <row r="58" spans="1:11">
      <c r="A58" s="36" t="s">
        <v>145</v>
      </c>
      <c r="B58" s="28"/>
      <c r="C58" s="28"/>
      <c r="D58" s="28"/>
      <c r="E58" s="28"/>
      <c r="F58" s="28"/>
      <c r="G58" s="28"/>
      <c r="H58" s="28"/>
      <c r="I58" s="28"/>
      <c r="J58" s="28"/>
      <c r="K58" s="28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16</vt:i4>
      </vt:variant>
    </vt:vector>
  </HeadingPairs>
  <TitlesOfParts>
    <vt:vector size="27" baseType="lpstr">
      <vt:lpstr>INPUT_OUTPUTS</vt:lpstr>
      <vt:lpstr>Generic</vt:lpstr>
      <vt:lpstr>AHU 1</vt:lpstr>
      <vt:lpstr>AHU 2</vt:lpstr>
      <vt:lpstr>AHU 3</vt:lpstr>
      <vt:lpstr>AHU_Psych</vt:lpstr>
      <vt:lpstr>62.1_SINGLE_ZONE</vt:lpstr>
      <vt:lpstr>62.1_MULTI_ZONE</vt:lpstr>
      <vt:lpstr>ASHRAE Table</vt:lpstr>
      <vt:lpstr>UMC Table 4-A</vt:lpstr>
      <vt:lpstr>DO NOT TOUCH</vt:lpstr>
      <vt:lpstr>'AHU 3'!_CAV1.</vt:lpstr>
      <vt:lpstr>Generic!_CAV1.</vt:lpstr>
      <vt:lpstr>'AHU 3'!AHU_1AC_AV</vt:lpstr>
      <vt:lpstr>Generic!AHU_1AC_AV</vt:lpstr>
      <vt:lpstr>'62.1_MULTI_ZONE'!AHUs</vt:lpstr>
      <vt:lpstr>'AHU 2'!AHUs</vt:lpstr>
      <vt:lpstr>'AHU 3'!CAV_1A_SCHEDULE</vt:lpstr>
      <vt:lpstr>Generic!CAV_1A_SCHEDULE</vt:lpstr>
      <vt:lpstr>'AHU 3'!Print_Area</vt:lpstr>
      <vt:lpstr>AHU_Psych!Print_Area</vt:lpstr>
      <vt:lpstr>Generic!Print_Area</vt:lpstr>
      <vt:lpstr>'UMC Table 4-A'!Print_Area</vt:lpstr>
      <vt:lpstr>'AHU 3'!Print_Titles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 Patil</cp:lastModifiedBy>
  <cp:lastPrinted>2023-05-01T23:48:38Z</cp:lastPrinted>
  <dcterms:created xsi:type="dcterms:W3CDTF">2001-05-17T15:02:58Z</dcterms:created>
  <dcterms:modified xsi:type="dcterms:W3CDTF">2023-05-01T23:48:41Z</dcterms:modified>
  <cp:category/>
</cp:coreProperties>
</file>