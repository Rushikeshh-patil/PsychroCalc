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5F046D0B-1E05-4271-87D8-D9244A4DEF15}" xr6:coauthVersionLast="47" xr6:coauthVersionMax="47" xr10:uidLastSave="{00000000-0000-0000-0000-000000000000}"/>
  <bookViews>
    <workbookView xWindow="30612" yWindow="-120" windowWidth="30936" windowHeight="16776" xr2:uid="{2EB21B22-F590-4FA8-BE3E-3367B96D3AC4}"/>
  </bookViews>
  <sheets>
    <sheet name="AH1_VAV_SCHEDULES" sheetId="2" r:id="rId1"/>
    <sheet name="Sheet1" sheetId="1" r:id="rId2"/>
  </sheets>
  <externalReferences>
    <externalReference r:id="rId3"/>
    <externalReference r:id="rId4"/>
  </externalReferences>
  <definedNames>
    <definedName name="_CAV1">#REF!</definedName>
    <definedName name="_CAV1.">#REF!</definedName>
    <definedName name="_CAV2">#REF!</definedName>
    <definedName name="_CAV3">#REF!</definedName>
    <definedName name="_CAV4">#REF!</definedName>
    <definedName name="AHU_1AC_AV">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>#REF!</definedName>
    <definedName name="Space_air_rates">'[2]Table 6-1 Rates'!$A$5:$F$84</definedName>
    <definedName name="Space_index">#REF!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" i="2" l="1"/>
  <c r="J16" i="2"/>
  <c r="I16" i="2"/>
  <c r="E16" i="2"/>
  <c r="F16" i="2" s="1"/>
  <c r="R16" i="2" s="1"/>
  <c r="D16" i="2"/>
  <c r="H16" i="2" s="1"/>
  <c r="M16" i="2" s="1"/>
  <c r="N16" i="2" s="1"/>
  <c r="O16" i="2" s="1"/>
  <c r="P16" i="2" s="1"/>
  <c r="S15" i="2"/>
  <c r="J15" i="2"/>
  <c r="I15" i="2"/>
  <c r="E15" i="2"/>
  <c r="F15" i="2" s="1"/>
  <c r="R15" i="2" s="1"/>
  <c r="D15" i="2"/>
  <c r="H15" i="2" s="1"/>
  <c r="M15" i="2" s="1"/>
  <c r="N15" i="2" s="1"/>
  <c r="O15" i="2" s="1"/>
  <c r="P15" i="2" s="1"/>
  <c r="S14" i="2"/>
  <c r="J14" i="2"/>
  <c r="I14" i="2"/>
  <c r="E14" i="2"/>
  <c r="F14" i="2" s="1"/>
  <c r="R14" i="2" s="1"/>
  <c r="D14" i="2"/>
  <c r="H14" i="2" s="1"/>
  <c r="M14" i="2" s="1"/>
  <c r="N14" i="2" s="1"/>
  <c r="O14" i="2" s="1"/>
  <c r="P14" i="2" s="1"/>
  <c r="S13" i="2"/>
  <c r="J13" i="2"/>
  <c r="I13" i="2"/>
  <c r="E13" i="2"/>
  <c r="F13" i="2" s="1"/>
  <c r="R13" i="2" s="1"/>
  <c r="D13" i="2"/>
  <c r="H13" i="2" s="1"/>
  <c r="M13" i="2" s="1"/>
  <c r="N13" i="2" s="1"/>
  <c r="O13" i="2" s="1"/>
  <c r="P13" i="2" s="1"/>
  <c r="S12" i="2"/>
  <c r="J12" i="2"/>
  <c r="I12" i="2"/>
  <c r="H12" i="2"/>
  <c r="M12" i="2" s="1"/>
  <c r="N12" i="2" s="1"/>
  <c r="O12" i="2" s="1"/>
  <c r="P12" i="2" s="1"/>
  <c r="F12" i="2"/>
  <c r="R12" i="2" s="1"/>
  <c r="E12" i="2"/>
  <c r="D12" i="2"/>
  <c r="S11" i="2"/>
  <c r="J11" i="2"/>
  <c r="I11" i="2"/>
  <c r="E11" i="2"/>
  <c r="F11" i="2" s="1"/>
  <c r="R11" i="2" s="1"/>
  <c r="D11" i="2"/>
  <c r="H11" i="2" s="1"/>
  <c r="M11" i="2" s="1"/>
  <c r="N11" i="2" s="1"/>
  <c r="O11" i="2" s="1"/>
  <c r="P11" i="2" s="1"/>
  <c r="S10" i="2"/>
  <c r="J10" i="2"/>
  <c r="I10" i="2"/>
  <c r="E10" i="2"/>
  <c r="F10" i="2" s="1"/>
  <c r="R10" i="2" s="1"/>
  <c r="D10" i="2"/>
  <c r="H10" i="2" s="1"/>
  <c r="M10" i="2" s="1"/>
  <c r="N10" i="2" s="1"/>
  <c r="O10" i="2" s="1"/>
  <c r="P10" i="2" s="1"/>
  <c r="S9" i="2"/>
  <c r="J9" i="2"/>
  <c r="I9" i="2"/>
  <c r="E9" i="2"/>
  <c r="F9" i="2" s="1"/>
  <c r="R9" i="2" s="1"/>
  <c r="D9" i="2"/>
  <c r="H9" i="2" s="1"/>
  <c r="M9" i="2" s="1"/>
  <c r="N9" i="2" s="1"/>
  <c r="O9" i="2" s="1"/>
  <c r="P9" i="2" s="1"/>
  <c r="S8" i="2"/>
  <c r="J8" i="2"/>
  <c r="I8" i="2"/>
  <c r="E8" i="2"/>
  <c r="F8" i="2" s="1"/>
  <c r="R8" i="2" s="1"/>
  <c r="D8" i="2"/>
  <c r="H8" i="2" s="1"/>
  <c r="M8" i="2" s="1"/>
  <c r="N8" i="2" s="1"/>
  <c r="O8" i="2" s="1"/>
  <c r="P8" i="2" s="1"/>
  <c r="S7" i="2"/>
  <c r="J7" i="2"/>
  <c r="I7" i="2"/>
  <c r="H7" i="2"/>
  <c r="M7" i="2" s="1"/>
  <c r="N7" i="2" s="1"/>
  <c r="O7" i="2" s="1"/>
  <c r="P7" i="2" s="1"/>
  <c r="F7" i="2"/>
  <c r="R7" i="2" s="1"/>
  <c r="E7" i="2"/>
  <c r="D7" i="2"/>
  <c r="T6" i="2"/>
  <c r="S6" i="2"/>
  <c r="Q6" i="2"/>
  <c r="L6" i="2"/>
  <c r="M6" i="2" s="1"/>
  <c r="N6" i="2" s="1"/>
  <c r="O6" i="2" s="1"/>
  <c r="P6" i="2" s="1"/>
  <c r="K6" i="2"/>
  <c r="J6" i="2"/>
  <c r="I6" i="2"/>
  <c r="G6" i="2"/>
  <c r="E6" i="2"/>
  <c r="F6" i="2" s="1"/>
  <c r="R6" i="2" s="1"/>
  <c r="D6" i="2"/>
  <c r="H6" i="2" s="1"/>
  <c r="S5" i="2"/>
  <c r="J5" i="2"/>
  <c r="I5" i="2"/>
  <c r="E5" i="2" l="1"/>
  <c r="F5" i="2" s="1"/>
  <c r="R5" i="2" s="1"/>
  <c r="D5" i="2" l="1"/>
  <c r="H5" i="2" s="1"/>
  <c r="M5" i="2" s="1"/>
  <c r="M17" i="2" s="1"/>
  <c r="N5" i="2" l="1"/>
  <c r="O5" i="2" s="1"/>
  <c r="O17" i="2"/>
  <c r="P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tc={751C3FC0-CE3F-4555-8820-2EB8705E0EB3}</author>
  </authors>
  <commentList>
    <comment ref="A4" authorId="0" shapeId="0" xr:uid="{751C3FC0-CE3F-4555-8820-2EB8705E0EB3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sharedStrings.xml><?xml version="1.0" encoding="utf-8"?>
<sst xmlns="http://schemas.openxmlformats.org/spreadsheetml/2006/main" count="70" uniqueCount="38">
  <si>
    <t xml:space="preserve">SOUND SENSITIVE ROOMS? </t>
  </si>
  <si>
    <t>NO</t>
  </si>
  <si>
    <t>ZONE</t>
  </si>
  <si>
    <t>BASIS OF DESIGN 
MANUFACTURER</t>
  </si>
  <si>
    <t>DESCRIPTION</t>
  </si>
  <si>
    <t>MIN VAV
(CFM)</t>
  </si>
  <si>
    <t>MAX VAV
(CFM)</t>
  </si>
  <si>
    <t>VAV INLET SIZE
(IN)</t>
  </si>
  <si>
    <t>MAX TOTAL VAV PD 
(IN W.G.)</t>
  </si>
  <si>
    <t>HEATING AIRFLOW 
(CFM)</t>
  </si>
  <si>
    <t>EWT</t>
  </si>
  <si>
    <t>DESIGN 
LWT</t>
  </si>
  <si>
    <t>EAT</t>
  </si>
  <si>
    <t>DESIGN 
LAT</t>
  </si>
  <si>
    <t>MIN MBH</t>
  </si>
  <si>
    <t>AGPM</t>
  </si>
  <si>
    <t>GPM</t>
  </si>
  <si>
    <t>BRANCH SIZE (IN)</t>
  </si>
  <si>
    <t>MAX WATER 
PD (FT)</t>
  </si>
  <si>
    <t>OPER 
WEIGHT
(LBS)</t>
  </si>
  <si>
    <t>MTG 
DETAIL</t>
  </si>
  <si>
    <t>REMARKS</t>
  </si>
  <si>
    <t>VAV-1-01</t>
  </si>
  <si>
    <t>TITUS</t>
  </si>
  <si>
    <t>SINGLE DUCT REHEAT ZONE</t>
  </si>
  <si>
    <t>1, 2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</si>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</sst>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12"/>
      <color rgb="FF00B050"/>
      <name val="Calibri"/>
      <family val="2"/>
    </font>
    <font>
      <sz val="10"/>
      <name val="Arial"/>
    </font>
    <font>
      <sz val="12"/>
      <name val="Arial"/>
      <family val="2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2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0" fontId="2" fillId="0" borderId="0" xfId="1"/>
    <xf numFmtId="0" fontId="3" fillId="0" borderId="1" xfId="1" applyFont="1" applyBorder="1" applyAlignment="1">
      <alignment horizontal="center" vertical="center"/>
    </xf>
    <xf numFmtId="49" fontId="4" fillId="2" borderId="1" xfId="1" applyNumberFormat="1" applyFont="1" applyFill="1" applyBorder="1" applyAlignment="1" applyProtection="1">
      <alignment horizontal="center" vertical="center"/>
      <protection locked="0"/>
    </xf>
    <xf numFmtId="0" fontId="5" fillId="3" borderId="1" xfId="1" applyFont="1" applyFill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/>
      <protection locked="0"/>
    </xf>
    <xf numFmtId="0" fontId="3" fillId="0" borderId="1" xfId="1" applyFont="1" applyBorder="1" applyAlignment="1" applyProtection="1">
      <alignment horizontal="center" vertical="center"/>
      <protection locked="0"/>
    </xf>
    <xf numFmtId="164" fontId="3" fillId="0" borderId="1" xfId="1" applyNumberFormat="1" applyFont="1" applyBorder="1" applyAlignment="1" applyProtection="1">
      <alignment horizontal="center" vertical="center"/>
      <protection locked="0"/>
    </xf>
    <xf numFmtId="2" fontId="3" fillId="0" borderId="1" xfId="1" applyNumberFormat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horizontal="center" vertical="center" wrapText="1"/>
      <protection locked="0"/>
    </xf>
    <xf numFmtId="0" fontId="3" fillId="0" borderId="3" xfId="1" applyFont="1" applyBorder="1" applyAlignment="1" applyProtection="1">
      <alignment horizontal="center" vertical="center"/>
      <protection locked="0"/>
    </xf>
    <xf numFmtId="164" fontId="3" fillId="0" borderId="3" xfId="1" applyNumberFormat="1" applyFont="1" applyBorder="1" applyAlignment="1" applyProtection="1">
      <alignment horizontal="center" vertical="center"/>
      <protection locked="0"/>
    </xf>
    <xf numFmtId="0" fontId="3" fillId="0" borderId="4" xfId="1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E2086697-2753-47F8-B219-C244A6025941}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0</xdr:row>
          <xdr:rowOff>60960</xdr:rowOff>
        </xdr:from>
        <xdr:to>
          <xdr:col>1</xdr:col>
          <xdr:colOff>1074420</xdr:colOff>
          <xdr:row>2</xdr:row>
          <xdr:rowOff>91440</xdr:rowOff>
        </xdr:to>
        <xdr:sp macro="" textlink="">
          <xdr:nvSpPr>
            <xdr:cNvPr id="2049" name="Button 1" descr="HUMIDIFIC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07E320A-5978-4B5B-9ED9-BF28F370D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%20Projects\PsychroCalc\AHU%20Calc%20Sheet.xlsm" TargetMode="External"/><Relationship Id="rId1" Type="http://schemas.openxmlformats.org/officeDocument/2006/relationships/externalLinkPath" Target="AHU%20Calc%20Shee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23602\23602.09%20SM%20B2%20DDC\Calculations\HVAC\VENTILATION%20CALC_ZIYAD\Ventillation%20Calcs%20Building%202%20-%20AH-201%20asdasd.xls" TargetMode="External"/><Relationship Id="rId1" Type="http://schemas.openxmlformats.org/officeDocument/2006/relationships/externalLinkPath" Target="file:///P:\23602\23602.09%20SM%20B2%20DDC\Calculations\HVAC\VENTILATION%20CALC_ZIYAD\Ventillation%20Calcs%20Building%202%20-%20AH-201%20asdas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_OUTPUTS"/>
      <sheetName val="Humidifier_Schedule"/>
      <sheetName val="AshraeTable4a"/>
      <sheetName val="CAV_SCHEDULES"/>
      <sheetName val="62.1_MULTI_ZONE"/>
      <sheetName val="VAV_SCHEDULES"/>
      <sheetName val="Room Temperature"/>
      <sheetName val="AH1"/>
      <sheetName val="AHU_SCHEDULES"/>
      <sheetName val="Sequences"/>
      <sheetName val="HCAI_Fan_Power"/>
      <sheetName val="62.1_SINGLE_ZONE"/>
      <sheetName val="Title_24"/>
      <sheetName val="CH_and_Boiler_Schedule "/>
      <sheetName val="Misc_Rooms"/>
      <sheetName val="FCU_SCHEDULES"/>
      <sheetName val="CALIFORNIA_TABLE"/>
      <sheetName val="ASHRAE Table"/>
      <sheetName val="UMC Table 4-A"/>
      <sheetName val="DO NOT TOUCH"/>
    </sheetNames>
    <definedNames>
      <definedName name="AddRowsToTableWithUserInput"/>
    </definedNames>
    <sheetDataSet>
      <sheetData sheetId="0">
        <row r="16">
          <cell r="C16">
            <v>140</v>
          </cell>
        </row>
        <row r="17">
          <cell r="C17">
            <v>110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9">
          <cell r="C9">
            <v>1</v>
          </cell>
          <cell r="D9">
            <v>6</v>
          </cell>
          <cell r="E9">
            <v>30</v>
          </cell>
        </row>
        <row r="10">
          <cell r="C10">
            <v>400</v>
          </cell>
          <cell r="D10">
            <v>8</v>
          </cell>
          <cell r="E10">
            <v>30</v>
          </cell>
        </row>
        <row r="11">
          <cell r="C11">
            <v>700</v>
          </cell>
          <cell r="D11">
            <v>10</v>
          </cell>
          <cell r="E11">
            <v>35</v>
          </cell>
        </row>
        <row r="12">
          <cell r="C12">
            <v>1000</v>
          </cell>
          <cell r="D12">
            <v>12</v>
          </cell>
          <cell r="E12">
            <v>45</v>
          </cell>
        </row>
        <row r="13">
          <cell r="C13">
            <v>1500</v>
          </cell>
          <cell r="D13">
            <v>14</v>
          </cell>
          <cell r="E13">
            <v>55</v>
          </cell>
        </row>
        <row r="14">
          <cell r="C14">
            <v>2100</v>
          </cell>
          <cell r="D14">
            <v>16</v>
          </cell>
          <cell r="E14">
            <v>60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rections"/>
      <sheetName val="Vot Calculation"/>
      <sheetName val="Table 6-1 Rates"/>
      <sheetName val="LEED Comments-1"/>
      <sheetName val="LEED Comments-2"/>
      <sheetName val="LEED Comments-3"/>
      <sheetName val="LEED Comments-4"/>
    </sheetNames>
    <sheetDataSet>
      <sheetData sheetId="0" refreshError="1"/>
      <sheetData sheetId="1" refreshError="1"/>
      <sheetData sheetId="2">
        <row r="5">
          <cell r="A5" t="e">
            <v>#N/A</v>
          </cell>
          <cell r="B5">
            <v>5</v>
          </cell>
          <cell r="C5">
            <v>0.06</v>
          </cell>
          <cell r="D5">
            <v>5</v>
          </cell>
          <cell r="E5">
            <v>0.3</v>
          </cell>
          <cell r="F5">
            <v>5</v>
          </cell>
        </row>
        <row r="6">
          <cell r="A6" t="e">
            <v>#N/A</v>
          </cell>
          <cell r="B6">
            <v>5</v>
          </cell>
          <cell r="C6">
            <v>0.06</v>
          </cell>
          <cell r="D6">
            <v>2.5</v>
          </cell>
          <cell r="E6">
            <v>0.3</v>
          </cell>
          <cell r="F6">
            <v>5</v>
          </cell>
        </row>
        <row r="7">
          <cell r="A7" t="e">
            <v>#N/A</v>
          </cell>
          <cell r="B7">
            <v>5</v>
          </cell>
          <cell r="C7">
            <v>0.06</v>
          </cell>
          <cell r="D7">
            <v>3.8</v>
          </cell>
          <cell r="E7">
            <v>0.3</v>
          </cell>
          <cell r="F7">
            <v>30</v>
          </cell>
        </row>
        <row r="8">
          <cell r="A8" t="str">
            <v>Nurse Station</v>
          </cell>
          <cell r="B8">
            <v>5</v>
          </cell>
          <cell r="C8">
            <v>0.06</v>
          </cell>
          <cell r="D8">
            <v>3.8</v>
          </cell>
          <cell r="E8">
            <v>0.3</v>
          </cell>
          <cell r="F8">
            <v>15</v>
          </cell>
        </row>
        <row r="9">
          <cell r="A9" t="str">
            <v>Procedure Room</v>
          </cell>
          <cell r="B9">
            <v>5</v>
          </cell>
          <cell r="C9">
            <v>0.15</v>
          </cell>
          <cell r="D9">
            <v>5</v>
          </cell>
          <cell r="E9">
            <v>0.3</v>
          </cell>
          <cell r="F9">
            <v>5</v>
          </cell>
        </row>
        <row r="10">
          <cell r="A10" t="str">
            <v>Barracks sleeping areas</v>
          </cell>
          <cell r="B10">
            <v>5</v>
          </cell>
          <cell r="C10">
            <v>0.06</v>
          </cell>
          <cell r="D10">
            <v>2.5</v>
          </cell>
          <cell r="E10">
            <v>0.3</v>
          </cell>
          <cell r="F10">
            <v>20</v>
          </cell>
        </row>
        <row r="11">
          <cell r="A11" t="str">
            <v>Bars, cocktail lounges</v>
          </cell>
          <cell r="B11">
            <v>7.5</v>
          </cell>
          <cell r="C11">
            <v>0.18</v>
          </cell>
          <cell r="D11">
            <v>3.8</v>
          </cell>
          <cell r="E11">
            <v>0.9</v>
          </cell>
          <cell r="F11">
            <v>100</v>
          </cell>
        </row>
        <row r="12">
          <cell r="A12" t="str">
            <v>Beauty and nail salons</v>
          </cell>
          <cell r="B12">
            <v>20</v>
          </cell>
          <cell r="C12">
            <v>0.12</v>
          </cell>
          <cell r="D12">
            <v>10</v>
          </cell>
          <cell r="E12">
            <v>0.6</v>
          </cell>
          <cell r="F12">
            <v>25</v>
          </cell>
        </row>
        <row r="13">
          <cell r="A13" t="str">
            <v>Bedroom/living room</v>
          </cell>
          <cell r="B13">
            <v>5</v>
          </cell>
          <cell r="C13">
            <v>0.06</v>
          </cell>
          <cell r="D13">
            <v>2.5</v>
          </cell>
          <cell r="E13">
            <v>0.3</v>
          </cell>
          <cell r="F13">
            <v>10</v>
          </cell>
        </row>
        <row r="14">
          <cell r="A14" t="str">
            <v>Booking/waiting</v>
          </cell>
          <cell r="B14">
            <v>7.5</v>
          </cell>
          <cell r="C14">
            <v>0.06</v>
          </cell>
          <cell r="D14">
            <v>3.8</v>
          </cell>
          <cell r="E14">
            <v>0.3</v>
          </cell>
          <cell r="F14">
            <v>50</v>
          </cell>
        </row>
        <row r="15">
          <cell r="A15" t="str">
            <v>Bowling alley (seating)</v>
          </cell>
          <cell r="B15">
            <v>10</v>
          </cell>
          <cell r="C15">
            <v>0.12</v>
          </cell>
          <cell r="D15">
            <v>5</v>
          </cell>
          <cell r="E15">
            <v>0.6</v>
          </cell>
          <cell r="F15">
            <v>40</v>
          </cell>
        </row>
        <row r="16">
          <cell r="A16" t="str">
            <v>Break rooms</v>
          </cell>
          <cell r="B16">
            <v>5</v>
          </cell>
          <cell r="C16">
            <v>0.06</v>
          </cell>
          <cell r="D16">
            <v>2.5</v>
          </cell>
          <cell r="E16">
            <v>0.6</v>
          </cell>
          <cell r="F16">
            <v>25</v>
          </cell>
        </row>
        <row r="17">
          <cell r="A17" t="str">
            <v>Cafeteria/fast-food dining</v>
          </cell>
          <cell r="B17">
            <v>7.5</v>
          </cell>
          <cell r="C17">
            <v>0.18</v>
          </cell>
          <cell r="D17">
            <v>3.8</v>
          </cell>
          <cell r="E17">
            <v>0.9</v>
          </cell>
          <cell r="F17">
            <v>100</v>
          </cell>
        </row>
        <row r="18">
          <cell r="A18" t="str">
            <v>Cell</v>
          </cell>
          <cell r="B18">
            <v>5</v>
          </cell>
          <cell r="C18">
            <v>0.12</v>
          </cell>
          <cell r="D18">
            <v>2.5</v>
          </cell>
          <cell r="E18">
            <v>0.6</v>
          </cell>
          <cell r="F18">
            <v>25</v>
          </cell>
        </row>
        <row r="19">
          <cell r="A19" t="str">
            <v>Classrooms (age 9 plus)</v>
          </cell>
          <cell r="B19">
            <v>10</v>
          </cell>
          <cell r="C19">
            <v>0.12</v>
          </cell>
          <cell r="D19">
            <v>5</v>
          </cell>
          <cell r="E19">
            <v>0.6</v>
          </cell>
          <cell r="F19">
            <v>35</v>
          </cell>
        </row>
        <row r="20">
          <cell r="A20" t="str">
            <v>Classrooms (ages 5–8)</v>
          </cell>
          <cell r="B20">
            <v>10</v>
          </cell>
          <cell r="C20">
            <v>0.12</v>
          </cell>
          <cell r="D20">
            <v>5</v>
          </cell>
          <cell r="E20">
            <v>0.6</v>
          </cell>
          <cell r="F20">
            <v>25</v>
          </cell>
        </row>
        <row r="21">
          <cell r="A21" t="str">
            <v>Coffee stations</v>
          </cell>
          <cell r="B21">
            <v>5</v>
          </cell>
          <cell r="C21">
            <v>0.06</v>
          </cell>
          <cell r="D21">
            <v>2.5</v>
          </cell>
          <cell r="E21">
            <v>0.3</v>
          </cell>
          <cell r="F21">
            <v>20</v>
          </cell>
        </row>
        <row r="22">
          <cell r="A22" t="str">
            <v>Coin-operated laundries</v>
          </cell>
          <cell r="B22">
            <v>7.5</v>
          </cell>
          <cell r="C22">
            <v>0.06</v>
          </cell>
          <cell r="D22">
            <v>3.8</v>
          </cell>
          <cell r="E22">
            <v>0.6</v>
          </cell>
          <cell r="F22">
            <v>20</v>
          </cell>
        </row>
        <row r="23">
          <cell r="A23" t="str">
            <v>Common corridors</v>
          </cell>
          <cell r="B23">
            <v>0</v>
          </cell>
          <cell r="C23">
            <v>0.06</v>
          </cell>
          <cell r="D23">
            <v>0</v>
          </cell>
          <cell r="E23">
            <v>0.3</v>
          </cell>
        </row>
        <row r="24">
          <cell r="A24" t="str">
            <v>Computer (not printing)</v>
          </cell>
          <cell r="B24">
            <v>5</v>
          </cell>
          <cell r="C24">
            <v>0.06</v>
          </cell>
          <cell r="D24">
            <v>2.5</v>
          </cell>
          <cell r="E24">
            <v>0.3</v>
          </cell>
          <cell r="F24">
            <v>4</v>
          </cell>
        </row>
        <row r="25">
          <cell r="A25" t="str">
            <v>Computer lab</v>
          </cell>
          <cell r="B25">
            <v>10</v>
          </cell>
          <cell r="C25">
            <v>0.12</v>
          </cell>
          <cell r="D25">
            <v>5</v>
          </cell>
          <cell r="E25">
            <v>0.6</v>
          </cell>
          <cell r="F25">
            <v>25</v>
          </cell>
        </row>
        <row r="26">
          <cell r="A26" t="str">
            <v>Conference/meeting</v>
          </cell>
          <cell r="B26">
            <v>5</v>
          </cell>
          <cell r="C26">
            <v>0.06</v>
          </cell>
          <cell r="D26">
            <v>2.5</v>
          </cell>
          <cell r="E26">
            <v>0.3</v>
          </cell>
          <cell r="F26">
            <v>50</v>
          </cell>
        </row>
        <row r="27">
          <cell r="A27" t="str">
            <v>Corridors</v>
          </cell>
          <cell r="B27">
            <v>0</v>
          </cell>
          <cell r="C27">
            <v>0.06</v>
          </cell>
          <cell r="D27">
            <v>0</v>
          </cell>
          <cell r="E27">
            <v>0.3</v>
          </cell>
          <cell r="F27">
            <v>0</v>
          </cell>
        </row>
        <row r="28">
          <cell r="A28" t="str">
            <v>Courtrooms</v>
          </cell>
          <cell r="B28">
            <v>5</v>
          </cell>
          <cell r="C28">
            <v>0.06</v>
          </cell>
          <cell r="D28">
            <v>2.5</v>
          </cell>
          <cell r="E28">
            <v>0.3</v>
          </cell>
          <cell r="F28">
            <v>70</v>
          </cell>
        </row>
        <row r="29">
          <cell r="A29" t="str">
            <v>Daycare (through age 4)</v>
          </cell>
          <cell r="B29">
            <v>10</v>
          </cell>
          <cell r="C29">
            <v>0.18</v>
          </cell>
          <cell r="D29">
            <v>5</v>
          </cell>
          <cell r="E29">
            <v>0.9</v>
          </cell>
          <cell r="F29">
            <v>25</v>
          </cell>
        </row>
        <row r="30">
          <cell r="A30" t="str">
            <v>Daycare sickroom</v>
          </cell>
          <cell r="B30">
            <v>10</v>
          </cell>
          <cell r="C30">
            <v>0.18</v>
          </cell>
          <cell r="D30">
            <v>5</v>
          </cell>
          <cell r="E30">
            <v>0.9</v>
          </cell>
          <cell r="F30">
            <v>25</v>
          </cell>
        </row>
        <row r="31">
          <cell r="A31" t="str">
            <v>Dayroom</v>
          </cell>
          <cell r="B31">
            <v>5</v>
          </cell>
          <cell r="C31">
            <v>0.06</v>
          </cell>
          <cell r="D31">
            <v>2.5</v>
          </cell>
          <cell r="E31">
            <v>0.3</v>
          </cell>
          <cell r="F31">
            <v>30</v>
          </cell>
        </row>
        <row r="32">
          <cell r="A32" t="str">
            <v>Disco/dance floors</v>
          </cell>
          <cell r="B32">
            <v>20</v>
          </cell>
          <cell r="C32">
            <v>0.06</v>
          </cell>
          <cell r="D32">
            <v>10</v>
          </cell>
          <cell r="E32">
            <v>0.3</v>
          </cell>
          <cell r="F32">
            <v>100</v>
          </cell>
        </row>
        <row r="33">
          <cell r="A33" t="str">
            <v>Dwelling unit</v>
          </cell>
          <cell r="B33">
            <v>5</v>
          </cell>
          <cell r="C33">
            <v>0.06</v>
          </cell>
          <cell r="D33">
            <v>2.5</v>
          </cell>
          <cell r="E33">
            <v>0.3</v>
          </cell>
          <cell r="F33">
            <v>2</v>
          </cell>
        </row>
        <row r="34">
          <cell r="A34" t="str">
            <v>Electrical equipment rooms</v>
          </cell>
          <cell r="B34">
            <v>0</v>
          </cell>
          <cell r="C34">
            <v>0.06</v>
          </cell>
          <cell r="D34">
            <v>0</v>
          </cell>
          <cell r="E34">
            <v>0.3</v>
          </cell>
          <cell r="F34">
            <v>0</v>
          </cell>
        </row>
        <row r="35">
          <cell r="A35" t="str">
            <v>Elevator machine rooms</v>
          </cell>
          <cell r="B35">
            <v>0</v>
          </cell>
          <cell r="C35">
            <v>0.12</v>
          </cell>
          <cell r="D35">
            <v>0</v>
          </cell>
          <cell r="E35">
            <v>0.6</v>
          </cell>
          <cell r="F35">
            <v>0</v>
          </cell>
        </row>
        <row r="36">
          <cell r="A36" t="str">
            <v>Gambling casinos</v>
          </cell>
          <cell r="B36">
            <v>7.5</v>
          </cell>
          <cell r="C36">
            <v>0.18</v>
          </cell>
          <cell r="D36">
            <v>3.8</v>
          </cell>
          <cell r="E36">
            <v>0.9</v>
          </cell>
          <cell r="F36">
            <v>120</v>
          </cell>
        </row>
        <row r="37">
          <cell r="A37" t="str">
            <v>Game arcades</v>
          </cell>
          <cell r="B37">
            <v>7.5</v>
          </cell>
          <cell r="C37">
            <v>0.18</v>
          </cell>
          <cell r="D37">
            <v>3.8</v>
          </cell>
          <cell r="E37">
            <v>0.9</v>
          </cell>
          <cell r="F37">
            <v>20</v>
          </cell>
        </row>
        <row r="38">
          <cell r="A38" t="str">
            <v>General manufacturing (excludes heavy industrial and processes using chemicals)</v>
          </cell>
          <cell r="B38">
            <v>10</v>
          </cell>
          <cell r="C38">
            <v>0.18</v>
          </cell>
          <cell r="D38">
            <v>5</v>
          </cell>
          <cell r="E38">
            <v>0.9</v>
          </cell>
          <cell r="F38">
            <v>7</v>
          </cell>
        </row>
        <row r="39">
          <cell r="A39" t="str">
            <v>Guard stations</v>
          </cell>
          <cell r="B39">
            <v>5</v>
          </cell>
          <cell r="C39">
            <v>0.06</v>
          </cell>
          <cell r="D39">
            <v>2.5</v>
          </cell>
          <cell r="E39">
            <v>0.3</v>
          </cell>
          <cell r="F39">
            <v>15</v>
          </cell>
        </row>
        <row r="40">
          <cell r="A40" t="str">
            <v>Gym, stadium (play area)</v>
          </cell>
          <cell r="B40">
            <v>0</v>
          </cell>
          <cell r="C40">
            <v>0.3</v>
          </cell>
          <cell r="D40">
            <v>0</v>
          </cell>
          <cell r="E40">
            <v>1.5</v>
          </cell>
          <cell r="F40">
            <v>30</v>
          </cell>
        </row>
        <row r="41">
          <cell r="A41" t="str">
            <v>Health club/aerobics room</v>
          </cell>
          <cell r="B41">
            <v>20</v>
          </cell>
          <cell r="C41">
            <v>0.06</v>
          </cell>
          <cell r="D41">
            <v>10</v>
          </cell>
          <cell r="E41">
            <v>0.3</v>
          </cell>
          <cell r="F41">
            <v>40</v>
          </cell>
        </row>
        <row r="42">
          <cell r="A42" t="str">
            <v>Health club/weight rooms</v>
          </cell>
          <cell r="B42">
            <v>20</v>
          </cell>
          <cell r="C42">
            <v>0.06</v>
          </cell>
          <cell r="D42">
            <v>10</v>
          </cell>
          <cell r="E42">
            <v>0.3</v>
          </cell>
          <cell r="F42">
            <v>10</v>
          </cell>
        </row>
        <row r="43">
          <cell r="A43" t="str">
            <v>Kitchen (cooking)</v>
          </cell>
          <cell r="B43">
            <v>7.5</v>
          </cell>
          <cell r="C43">
            <v>0.12</v>
          </cell>
          <cell r="D43">
            <v>3.8</v>
          </cell>
          <cell r="E43">
            <v>0.6</v>
          </cell>
          <cell r="F43">
            <v>20</v>
          </cell>
        </row>
        <row r="44">
          <cell r="A44" t="str">
            <v>Laundry rooms within dwelling units</v>
          </cell>
          <cell r="B44">
            <v>5</v>
          </cell>
          <cell r="C44">
            <v>0.12</v>
          </cell>
          <cell r="D44">
            <v>2.5</v>
          </cell>
          <cell r="E44">
            <v>0.6</v>
          </cell>
          <cell r="F44">
            <v>10</v>
          </cell>
        </row>
        <row r="45">
          <cell r="A45" t="str">
            <v>Laundry rooms, central</v>
          </cell>
          <cell r="B45">
            <v>5</v>
          </cell>
          <cell r="C45">
            <v>0.12</v>
          </cell>
          <cell r="D45">
            <v>2.5</v>
          </cell>
          <cell r="E45">
            <v>0.6</v>
          </cell>
          <cell r="F45">
            <v>10</v>
          </cell>
        </row>
        <row r="46">
          <cell r="A46" t="str">
            <v>Lecture classroom</v>
          </cell>
          <cell r="B46">
            <v>7.5</v>
          </cell>
          <cell r="C46">
            <v>0.06</v>
          </cell>
          <cell r="D46">
            <v>3.8</v>
          </cell>
          <cell r="E46">
            <v>0.3</v>
          </cell>
          <cell r="F46">
            <v>65</v>
          </cell>
        </row>
        <row r="47">
          <cell r="A47" t="str">
            <v>Lecture hall (fixed seats)</v>
          </cell>
          <cell r="B47">
            <v>7.5</v>
          </cell>
          <cell r="C47">
            <v>0.06</v>
          </cell>
          <cell r="D47">
            <v>3.8</v>
          </cell>
          <cell r="E47">
            <v>0.3</v>
          </cell>
          <cell r="F47">
            <v>150</v>
          </cell>
        </row>
        <row r="48">
          <cell r="A48" t="str">
            <v>Legislative chambers</v>
          </cell>
          <cell r="B48">
            <v>5</v>
          </cell>
          <cell r="C48">
            <v>0.06</v>
          </cell>
          <cell r="D48">
            <v>2.5</v>
          </cell>
          <cell r="E48">
            <v>0.3</v>
          </cell>
          <cell r="F48">
            <v>50</v>
          </cell>
        </row>
        <row r="49">
          <cell r="A49" t="str">
            <v>Libraries</v>
          </cell>
          <cell r="B49">
            <v>5</v>
          </cell>
          <cell r="C49">
            <v>0.12</v>
          </cell>
          <cell r="D49">
            <v>2.5</v>
          </cell>
          <cell r="E49">
            <v>0.6</v>
          </cell>
          <cell r="F49">
            <v>10</v>
          </cell>
        </row>
        <row r="50">
          <cell r="A50" t="str">
            <v>Lobbies</v>
          </cell>
          <cell r="B50">
            <v>5</v>
          </cell>
          <cell r="C50">
            <v>0.06</v>
          </cell>
          <cell r="D50">
            <v>2.5</v>
          </cell>
          <cell r="E50">
            <v>0.3</v>
          </cell>
          <cell r="F50">
            <v>150</v>
          </cell>
        </row>
        <row r="51">
          <cell r="A51" t="str">
            <v>Lobbies/prefunction</v>
          </cell>
          <cell r="B51">
            <v>7.5</v>
          </cell>
          <cell r="C51">
            <v>0.06</v>
          </cell>
          <cell r="D51">
            <v>3.8</v>
          </cell>
          <cell r="E51">
            <v>0.3</v>
          </cell>
          <cell r="F51">
            <v>30</v>
          </cell>
        </row>
        <row r="52">
          <cell r="A52" t="str">
            <v>Main entry lobbies</v>
          </cell>
          <cell r="B52">
            <v>5</v>
          </cell>
          <cell r="C52">
            <v>0.06</v>
          </cell>
          <cell r="D52">
            <v>2.5</v>
          </cell>
          <cell r="E52">
            <v>0.3</v>
          </cell>
          <cell r="F52">
            <v>10</v>
          </cell>
        </row>
        <row r="53">
          <cell r="A53" t="str">
            <v>Mall common areas</v>
          </cell>
          <cell r="B53">
            <v>7.5</v>
          </cell>
          <cell r="C53">
            <v>0.06</v>
          </cell>
          <cell r="D53">
            <v>3.8</v>
          </cell>
          <cell r="E53">
            <v>0.3</v>
          </cell>
          <cell r="F53">
            <v>40</v>
          </cell>
        </row>
        <row r="54">
          <cell r="A54" t="str">
            <v>Media center</v>
          </cell>
          <cell r="B54">
            <v>10</v>
          </cell>
          <cell r="C54">
            <v>0.12</v>
          </cell>
          <cell r="D54">
            <v>5</v>
          </cell>
          <cell r="E54">
            <v>0.6</v>
          </cell>
          <cell r="F54">
            <v>25</v>
          </cell>
        </row>
        <row r="55">
          <cell r="A55" t="str">
            <v>Multipurpose assembly</v>
          </cell>
          <cell r="B55">
            <v>5</v>
          </cell>
          <cell r="C55">
            <v>0.06</v>
          </cell>
          <cell r="D55">
            <v>2.5</v>
          </cell>
          <cell r="E55">
            <v>0.3</v>
          </cell>
          <cell r="F55">
            <v>120</v>
          </cell>
        </row>
        <row r="56">
          <cell r="A56" t="str">
            <v>Multi-use assembly</v>
          </cell>
          <cell r="B56">
            <v>7.5</v>
          </cell>
          <cell r="C56">
            <v>0.06</v>
          </cell>
          <cell r="D56">
            <v>3.8</v>
          </cell>
          <cell r="E56">
            <v>0.3</v>
          </cell>
          <cell r="F56">
            <v>100</v>
          </cell>
        </row>
        <row r="57">
          <cell r="A57" t="str">
            <v>Museums (children’s)</v>
          </cell>
          <cell r="B57">
            <v>7.5</v>
          </cell>
          <cell r="C57">
            <v>0.12</v>
          </cell>
          <cell r="D57">
            <v>3.8</v>
          </cell>
          <cell r="E57">
            <v>0.6</v>
          </cell>
          <cell r="F57">
            <v>40</v>
          </cell>
        </row>
        <row r="58">
          <cell r="A58" t="str">
            <v>Museums/galleries</v>
          </cell>
          <cell r="B58">
            <v>7.5</v>
          </cell>
          <cell r="C58">
            <v>0.06</v>
          </cell>
          <cell r="D58">
            <v>3.8</v>
          </cell>
          <cell r="E58">
            <v>0.3</v>
          </cell>
          <cell r="F58">
            <v>40</v>
          </cell>
        </row>
        <row r="59">
          <cell r="A59" t="str">
            <v>Music/theater/dance</v>
          </cell>
          <cell r="B59">
            <v>10</v>
          </cell>
          <cell r="C59">
            <v>0.06</v>
          </cell>
          <cell r="D59">
            <v>5</v>
          </cell>
          <cell r="E59">
            <v>0.3</v>
          </cell>
          <cell r="F59">
            <v>35</v>
          </cell>
        </row>
        <row r="60">
          <cell r="A60" t="str">
            <v>Occupiable storage rooms for liquids or gels</v>
          </cell>
          <cell r="B60">
            <v>5</v>
          </cell>
          <cell r="C60">
            <v>0.12</v>
          </cell>
          <cell r="D60">
            <v>2.5</v>
          </cell>
          <cell r="E60">
            <v>0.6</v>
          </cell>
          <cell r="F60">
            <v>2</v>
          </cell>
        </row>
        <row r="61">
          <cell r="A61" t="str">
            <v>Occupiable storage rooms for dry materials</v>
          </cell>
          <cell r="B61">
            <v>5</v>
          </cell>
          <cell r="C61">
            <v>0.06</v>
          </cell>
          <cell r="D61">
            <v>2.5</v>
          </cell>
          <cell r="E61">
            <v>0.3</v>
          </cell>
          <cell r="F61">
            <v>2</v>
          </cell>
        </row>
        <row r="62">
          <cell r="A62" t="str">
            <v>Office space</v>
          </cell>
          <cell r="B62">
            <v>5</v>
          </cell>
          <cell r="C62">
            <v>0.06</v>
          </cell>
          <cell r="D62">
            <v>2.5</v>
          </cell>
          <cell r="E62">
            <v>0.3</v>
          </cell>
          <cell r="F62">
            <v>5</v>
          </cell>
        </row>
        <row r="63">
          <cell r="A63" t="str">
            <v>Pet shops (animal areas)</v>
          </cell>
          <cell r="B63">
            <v>7.5</v>
          </cell>
          <cell r="C63">
            <v>0.18</v>
          </cell>
          <cell r="D63">
            <v>3.8</v>
          </cell>
          <cell r="E63">
            <v>0.9</v>
          </cell>
          <cell r="F63">
            <v>10</v>
          </cell>
        </row>
        <row r="64">
          <cell r="A64" t="str">
            <v>Pharmacy (prep. area)</v>
          </cell>
          <cell r="B64">
            <v>5</v>
          </cell>
          <cell r="C64">
            <v>0.18</v>
          </cell>
          <cell r="D64">
            <v>2.5</v>
          </cell>
          <cell r="E64">
            <v>0.9</v>
          </cell>
          <cell r="F64">
            <v>10</v>
          </cell>
        </row>
        <row r="65">
          <cell r="A65" t="str">
            <v>Photo studios</v>
          </cell>
          <cell r="B65">
            <v>5</v>
          </cell>
          <cell r="C65">
            <v>0.12</v>
          </cell>
          <cell r="D65">
            <v>2.5</v>
          </cell>
          <cell r="E65">
            <v>0.6</v>
          </cell>
          <cell r="F65">
            <v>10</v>
          </cell>
        </row>
        <row r="66">
          <cell r="A66" t="str">
            <v>Places of religious worship</v>
          </cell>
          <cell r="B66">
            <v>5</v>
          </cell>
          <cell r="C66">
            <v>0.06</v>
          </cell>
          <cell r="D66">
            <v>2.5</v>
          </cell>
          <cell r="E66">
            <v>0.3</v>
          </cell>
          <cell r="F66">
            <v>120</v>
          </cell>
        </row>
        <row r="67">
          <cell r="A67" t="str">
            <v>Reception areas</v>
          </cell>
          <cell r="B67">
            <v>5</v>
          </cell>
          <cell r="C67">
            <v>0.06</v>
          </cell>
          <cell r="D67">
            <v>2.5</v>
          </cell>
          <cell r="E67">
            <v>0.3</v>
          </cell>
          <cell r="F67">
            <v>30</v>
          </cell>
        </row>
        <row r="68">
          <cell r="A68" t="str">
            <v>Restaurant dining rooms</v>
          </cell>
          <cell r="B68">
            <v>7.5</v>
          </cell>
          <cell r="C68">
            <v>0.18</v>
          </cell>
          <cell r="D68">
            <v>3.8</v>
          </cell>
          <cell r="E68">
            <v>0.9</v>
          </cell>
          <cell r="F68">
            <v>70</v>
          </cell>
        </row>
        <row r="69">
          <cell r="A69" t="str">
            <v>Sales</v>
          </cell>
          <cell r="B69">
            <v>7.5</v>
          </cell>
          <cell r="C69">
            <v>0.12</v>
          </cell>
          <cell r="D69">
            <v>3.8</v>
          </cell>
          <cell r="E69">
            <v>0.6</v>
          </cell>
          <cell r="F69">
            <v>15</v>
          </cell>
        </row>
        <row r="70">
          <cell r="A70" t="str">
            <v>Science laboratories</v>
          </cell>
          <cell r="B70">
            <v>10</v>
          </cell>
          <cell r="C70">
            <v>0.18</v>
          </cell>
          <cell r="D70">
            <v>5</v>
          </cell>
          <cell r="E70">
            <v>0.9</v>
          </cell>
          <cell r="F70">
            <v>25</v>
          </cell>
        </row>
        <row r="71">
          <cell r="A71" t="str">
            <v>Shipping/receiving</v>
          </cell>
          <cell r="C71">
            <v>0.12</v>
          </cell>
          <cell r="D71">
            <v>5</v>
          </cell>
          <cell r="E71">
            <v>0.6</v>
          </cell>
          <cell r="F71">
            <v>0</v>
          </cell>
        </row>
        <row r="72">
          <cell r="A72" t="str">
            <v>Sorting, packing, light assembly</v>
          </cell>
          <cell r="B72">
            <v>7.5</v>
          </cell>
          <cell r="C72">
            <v>0.12</v>
          </cell>
          <cell r="D72">
            <v>3.8</v>
          </cell>
          <cell r="E72">
            <v>0.6</v>
          </cell>
          <cell r="F72">
            <v>7</v>
          </cell>
        </row>
        <row r="73">
          <cell r="A73" t="str">
            <v>Spectator areas</v>
          </cell>
          <cell r="B73">
            <v>7.5</v>
          </cell>
          <cell r="C73">
            <v>0.06</v>
          </cell>
          <cell r="D73">
            <v>3.8</v>
          </cell>
          <cell r="E73">
            <v>0.3</v>
          </cell>
          <cell r="F73">
            <v>150</v>
          </cell>
        </row>
        <row r="74">
          <cell r="A74" t="str">
            <v>Sports arena (play area)</v>
          </cell>
          <cell r="B74">
            <v>0</v>
          </cell>
          <cell r="C74">
            <v>0.3</v>
          </cell>
          <cell r="D74">
            <v>0</v>
          </cell>
          <cell r="E74">
            <v>1.5</v>
          </cell>
          <cell r="F74">
            <v>0</v>
          </cell>
        </row>
        <row r="75">
          <cell r="A75" t="str">
            <v>Stages, studios</v>
          </cell>
          <cell r="B75">
            <v>10</v>
          </cell>
          <cell r="C75">
            <v>0.06</v>
          </cell>
          <cell r="D75">
            <v>5</v>
          </cell>
          <cell r="E75">
            <v>0.3</v>
          </cell>
          <cell r="F75">
            <v>70</v>
          </cell>
        </row>
        <row r="76">
          <cell r="A76" t="str">
            <v>Storage rooms</v>
          </cell>
          <cell r="B76">
            <v>0</v>
          </cell>
          <cell r="C76">
            <v>0.12</v>
          </cell>
          <cell r="D76">
            <v>0</v>
          </cell>
          <cell r="E76">
            <v>0.6</v>
          </cell>
          <cell r="F76">
            <v>0</v>
          </cell>
        </row>
        <row r="77">
          <cell r="A77" t="str">
            <v>Supermarket</v>
          </cell>
          <cell r="B77">
            <v>7.5</v>
          </cell>
          <cell r="C77">
            <v>0.06</v>
          </cell>
          <cell r="D77">
            <v>3.8</v>
          </cell>
          <cell r="E77">
            <v>0.3</v>
          </cell>
          <cell r="F77">
            <v>8</v>
          </cell>
        </row>
        <row r="78">
          <cell r="A78" t="str">
            <v>Swimming (pool &amp; deck)</v>
          </cell>
          <cell r="B78">
            <v>0</v>
          </cell>
          <cell r="C78">
            <v>0.48</v>
          </cell>
          <cell r="D78">
            <v>0</v>
          </cell>
          <cell r="E78">
            <v>2.4</v>
          </cell>
          <cell r="F78">
            <v>0</v>
          </cell>
        </row>
        <row r="79">
          <cell r="A79" t="str">
            <v>Telephone closets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</row>
        <row r="80">
          <cell r="A80" t="str">
            <v>Telephone/data entry</v>
          </cell>
          <cell r="B80">
            <v>5</v>
          </cell>
          <cell r="C80">
            <v>0.06</v>
          </cell>
          <cell r="D80">
            <v>2.5</v>
          </cell>
          <cell r="E80">
            <v>0.3</v>
          </cell>
          <cell r="F80">
            <v>60</v>
          </cell>
        </row>
        <row r="81">
          <cell r="A81" t="str">
            <v>Transportation waiting</v>
          </cell>
          <cell r="B81">
            <v>7.5</v>
          </cell>
          <cell r="C81">
            <v>0.06</v>
          </cell>
          <cell r="D81">
            <v>3.8</v>
          </cell>
          <cell r="E81">
            <v>0.3</v>
          </cell>
          <cell r="F81">
            <v>100</v>
          </cell>
        </row>
        <row r="82">
          <cell r="A82" t="str">
            <v>University/college laboratories</v>
          </cell>
          <cell r="B82">
            <v>10</v>
          </cell>
          <cell r="C82">
            <v>0.18</v>
          </cell>
          <cell r="D82">
            <v>5</v>
          </cell>
          <cell r="E82">
            <v>0.9</v>
          </cell>
          <cell r="F82">
            <v>25</v>
          </cell>
        </row>
        <row r="83">
          <cell r="A83" t="str">
            <v>Warehouses</v>
          </cell>
          <cell r="B83">
            <v>0</v>
          </cell>
          <cell r="C83">
            <v>0.06</v>
          </cell>
          <cell r="D83">
            <v>5</v>
          </cell>
          <cell r="E83">
            <v>0.3</v>
          </cell>
          <cell r="F83">
            <v>0</v>
          </cell>
        </row>
        <row r="84">
          <cell r="A84" t="str">
            <v>Wood/metal shop</v>
          </cell>
          <cell r="B84">
            <v>10</v>
          </cell>
          <cell r="C84">
            <v>0.18</v>
          </cell>
          <cell r="D84">
            <v>5</v>
          </cell>
          <cell r="E84">
            <v>0.9</v>
          </cell>
          <cell r="F84">
            <v>20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DA1250C5-CCA1-46B4-A2A5-D788DF2CAE5F}" userId="S::rdp352@nyu.edu::e20300c4-5136-4b7e-8e5f-b0b27a3a319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359B83-DE4A-40B3-8331-86FAF97015CE}" name="AH1_VAV_table" displayName="AH1_VAV_table" ref="A4:T17" totalsRowCount="1" headerRowDxfId="45" dataDxfId="44" totalsRowDxfId="43" headerRowBorderDxfId="41" tableBorderDxfId="42" totalsRowBorderDxfId="40">
  <autoFilter ref="A4:T16" xr:uid="{13D566E9-CE9D-4920-9557-440C01DE1A40}"/>
  <tableColumns count="20">
    <tableColumn id="1" xr3:uid="{A191C6DD-7CDE-452B-8E58-D445AEFABCDC}" name="ZONE" totalsRowLabel="Total" dataDxfId="38" totalsRowDxfId="39"/>
    <tableColumn id="2" xr3:uid="{D9E7DA36-D707-4AC7-BC2A-D21C70EAEAEE}" name="BASIS OF DESIGN _x000a_MANUFACTURER" dataDxfId="36" totalsRowDxfId="37"/>
    <tableColumn id="3" xr3:uid="{39FEB1A4-C3DC-457F-B7E2-25D530E86DC1}" name="DESCRIPTION" dataDxfId="34" totalsRowDxfId="35"/>
    <tableColumn id="18" xr3:uid="{681916D9-1A7D-4969-A9E2-5CDF8816CEBE}" name="MIN VAV_x000a_(CFM)" dataDxfId="32" totalsRowDxfId="33">
      <calculatedColumnFormula>SUMIF([1]!Ahu_Ashrae_Generic[Zone],AH1_VAV_table[[#This Row],[ZONE]],[1]!Ahu_Ashrae_Generic[DESIGN VAV MIN SA(CFM)])</calculatedColumnFormula>
    </tableColumn>
    <tableColumn id="20" xr3:uid="{F5627C80-394F-40BA-9207-247EF3A4EBB0}" name="MAX VAV_x000a_(CFM)" dataDxfId="30" totalsRowDxfId="31">
      <calculatedColumnFormula>SUMIF([1]!Ahu_Ashrae_Generic[Zone],AH1_VAV_table[[#This Row],[ZONE]],[1]!Ahu_Ashrae_Generic[DESIGN VAV MAX SA(CFM)])</calculatedColumnFormula>
    </tableColumn>
    <tableColumn id="5" xr3:uid="{98C237E8-73B5-43D0-B5B7-279F44CF3FC1}" name="VAV INLET SIZE_x000a_(IN)" dataDxfId="28" totalsRowDxfId="29">
      <calculatedColumnFormula>IFERROR((VLOOKUP(AH1_VAV_table[[#This Row],[MAX VAV
(CFM)]],'[1]DO NOT TOUCH'!$C$9:$D$14,2,TRUE)),"TBD")</calculatedColumnFormula>
    </tableColumn>
    <tableColumn id="6" xr3:uid="{4F1F0359-09F1-438D-AAC0-C2A846C557D1}" name="MAX TOTAL VAV PD _x000a_(IN W.G.)" dataDxfId="26" totalsRowDxfId="27">
      <calculatedColumnFormula>G4</calculatedColumnFormula>
    </tableColumn>
    <tableColumn id="19" xr3:uid="{120549A2-161A-4730-89A3-8D7E63137C8A}" name="HEATING AIRFLOW _x000a_(CFM)" dataDxfId="24" totalsRowDxfId="25">
      <calculatedColumnFormula>AH1_VAV_table[[#This Row],[MIN VAV
(CFM)]]</calculatedColumnFormula>
    </tableColumn>
    <tableColumn id="7" xr3:uid="{FDB11511-00A3-430B-AC96-6CF06982D90A}" name="EWT" dataDxfId="22" totalsRowDxfId="23">
      <calculatedColumnFormula>[1]INPUT_OUTPUTS!$C$16</calculatedColumnFormula>
    </tableColumn>
    <tableColumn id="8" xr3:uid="{5124B20F-DF64-4CE6-998E-7CCAF6A6DCF6}" name="DESIGN _x000a_LWT" dataDxfId="20" totalsRowDxfId="21">
      <calculatedColumnFormula>[1]INPUT_OUTPUTS!$C$17</calculatedColumnFormula>
    </tableColumn>
    <tableColumn id="9" xr3:uid="{BEB2CD65-BDCD-4A19-A635-312B6EFDE975}" name="EAT" dataDxfId="18" totalsRowDxfId="19">
      <calculatedColumnFormula>K4</calculatedColumnFormula>
    </tableColumn>
    <tableColumn id="10" xr3:uid="{10DE91A4-2E23-4C3D-95FB-6AD4D797DB62}" name="DESIGN _x000a_LAT" dataDxfId="16" totalsRowDxfId="17">
      <calculatedColumnFormula>L4</calculatedColumnFormula>
    </tableColumn>
    <tableColumn id="11" xr3:uid="{3FF3629A-38BF-44D8-A932-18E61B55B2E6}" name="MIN MBH" totalsRowFunction="sum" dataDxfId="14" totalsRowDxfId="15">
      <calculatedColumnFormula>MROUND((1.08*(L5-K5)*AH1_VAV_table[[#This Row],[HEATING AIRFLOW 
(CFM)]])/1000,0.1)</calculatedColumnFormula>
    </tableColumn>
    <tableColumn id="12" xr3:uid="{579F94B1-EED8-463C-B6FF-58B64C727503}" name="AGPM" dataDxfId="12" totalsRowDxfId="13">
      <calculatedColumnFormula>(M5*1000)/(500*(I5-J5))</calculatedColumnFormula>
    </tableColumn>
    <tableColumn id="13" xr3:uid="{018EB0E6-3D89-447F-95B7-63B0E353BBAF}" name="GPM" totalsRowFunction="sum" dataDxfId="10" totalsRowDxfId="11">
      <calculatedColumnFormula>IF(N5&lt;0.5,0.5,N5)</calculatedColumnFormula>
    </tableColumn>
    <tableColumn id="4" xr3:uid="{A0EDA4D1-B088-4DDC-9BB6-AA02F30670EF}" name="BRANCH SIZE (IN)" dataDxfId="8" totalsRowDxfId="9">
      <calculatedColumnFormula>IF($D$2 = "YES",(_xlfn.XLOOKUP(AH1_VAV_table[[#This Row],[GPM]],[1]!Hydronic_Pipe_Size[SOUND SENSITIVE],[1]!Hydronic_Pipe_Size[SIZE],"Not Found",1)),(_xlfn.XLOOKUP(AH1_VAV_table[[#This Row],[GPM]],[1]!Hydronic_Pipe_Size[GPM],[1]!Hydronic_Pipe_Size[SIZE],"Not Found",1)))</calculatedColumnFormula>
    </tableColumn>
    <tableColumn id="14" xr3:uid="{95F8317B-C204-4132-A007-7897B7438284}" name="MAX WATER _x000a_PD (FT)" dataDxfId="6" totalsRowDxfId="7">
      <calculatedColumnFormula>Q4</calculatedColumnFormula>
    </tableColumn>
    <tableColumn id="15" xr3:uid="{A7E65A41-1B3D-4CF6-A1C1-C79E4DB33DA1}" name="OPER _x000a_WEIGHT_x000a_(LBS)" dataDxfId="4" totalsRowDxfId="5">
      <calculatedColumnFormula>IFERROR((_xlfn.XLOOKUP(F5,'[1]DO NOT TOUCH'!$D$9:$D$14,'[1]DO NOT TOUCH'!$E$9:$E$14,)),"TBD")</calculatedColumnFormula>
    </tableColumn>
    <tableColumn id="16" xr3:uid="{B09E8E74-1322-47D0-9304-63E819F19BC5}" name="MTG _x000a_DETAIL" dataDxfId="2" totalsRowDxfId="3">
      <calculatedColumnFormula>[1]INPUT_OUTPUTS!$C$19</calculatedColumnFormula>
    </tableColumn>
    <tableColumn id="17" xr3:uid="{A5C2A69D-6EA7-43B6-809F-3F25D34EB2A8}" name="REMARKS" dataDxfId="0" totalsRowDxfId="1">
      <calculatedColumnFormula>T4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4" dT="2023-01-20T03:02:14.75" personId="{DA1250C5-CCA1-46B4-A2A5-D788DF2CAE5F}" id="{751C3FC0-CE3F-4555-8820-2EB8705E0EB3}">
    <text>Increase or decrease number of rows in this table to match the number of zones.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B94C-C2F7-4A21-AE3A-86897BEDC704}">
  <sheetPr codeName="Sheet14">
    <tabColor rgb="FF0000FF"/>
  </sheetPr>
  <dimension ref="A2:T17"/>
  <sheetViews>
    <sheetView showGridLines="0" showRowColHeaders="0" tabSelected="1" zoomScale="90" zoomScaleNormal="85" workbookViewId="0">
      <selection activeCell="F24" sqref="F24"/>
    </sheetView>
  </sheetViews>
  <sheetFormatPr defaultRowHeight="13.2" x14ac:dyDescent="0.25"/>
  <cols>
    <col min="1" max="1" width="12.109375" style="1" bestFit="1" customWidth="1"/>
    <col min="2" max="2" width="26.5546875" style="1" bestFit="1" customWidth="1"/>
    <col min="3" max="3" width="33.44140625" style="1" bestFit="1" customWidth="1"/>
    <col min="4" max="4" width="15.33203125" style="1" bestFit="1" customWidth="1"/>
    <col min="5" max="5" width="16.109375" style="1" bestFit="1" customWidth="1"/>
    <col min="6" max="6" width="12.5546875" style="1" bestFit="1" customWidth="1"/>
    <col min="7" max="7" width="15.109375" style="1" bestFit="1" customWidth="1"/>
    <col min="8" max="8" width="16.44140625" style="1" bestFit="1" customWidth="1"/>
    <col min="9" max="9" width="11" style="1" bestFit="1" customWidth="1"/>
    <col min="10" max="10" width="13" style="1" bestFit="1" customWidth="1"/>
    <col min="11" max="11" width="10.44140625" style="1" bestFit="1" customWidth="1"/>
    <col min="12" max="12" width="13" style="1" bestFit="1" customWidth="1"/>
    <col min="13" max="13" width="11.109375" style="1" bestFit="1" customWidth="1"/>
    <col min="14" max="14" width="12.5546875" style="1" bestFit="1" customWidth="1"/>
    <col min="15" max="15" width="11" style="1" bestFit="1" customWidth="1"/>
    <col min="16" max="16" width="12.5546875" style="1" bestFit="1" customWidth="1"/>
    <col min="17" max="17" width="13.5546875" style="1" bestFit="1" customWidth="1"/>
    <col min="18" max="18" width="12.6640625" style="1" bestFit="1" customWidth="1"/>
    <col min="19" max="19" width="12.5546875" style="1" bestFit="1" customWidth="1"/>
    <col min="20" max="16384" width="8.88671875" style="1"/>
  </cols>
  <sheetData>
    <row r="2" spans="1:20" ht="15.6" x14ac:dyDescent="0.25">
      <c r="C2" s="2" t="s">
        <v>0</v>
      </c>
      <c r="D2" s="3" t="s">
        <v>1</v>
      </c>
    </row>
    <row r="4" spans="1:20" ht="45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  <c r="J4" s="4" t="s">
        <v>11</v>
      </c>
      <c r="K4" s="4" t="s">
        <v>12</v>
      </c>
      <c r="L4" s="4" t="s">
        <v>13</v>
      </c>
      <c r="M4" s="4" t="s">
        <v>14</v>
      </c>
      <c r="N4" s="4" t="s">
        <v>15</v>
      </c>
      <c r="O4" s="4" t="s">
        <v>16</v>
      </c>
      <c r="P4" s="4" t="s">
        <v>17</v>
      </c>
      <c r="Q4" s="4" t="s">
        <v>18</v>
      </c>
      <c r="R4" s="4" t="s">
        <v>19</v>
      </c>
      <c r="S4" s="4" t="s">
        <v>20</v>
      </c>
      <c r="T4" s="4" t="s">
        <v>21</v>
      </c>
    </row>
    <row r="5" spans="1:20" ht="15" x14ac:dyDescent="0.25">
      <c r="A5" s="5" t="s">
        <v>22</v>
      </c>
      <c r="B5" s="5" t="s">
        <v>23</v>
      </c>
      <c r="C5" s="5" t="s">
        <v>24</v>
      </c>
      <c r="D5" s="6">
        <f ca="1">SUMIF([1]!Ahu_Ashrae_Generic[Zone],AH1_VAV_table[[#This Row],[ZONE]],[1]!Ahu_Ashrae_Generic[DESIGN VAV MIN SA(CFM)])</f>
        <v>3015</v>
      </c>
      <c r="E5" s="5">
        <f ca="1">SUMIF([1]!Ahu_Ashrae_Generic[Zone],AH1_VAV_table[[#This Row],[ZONE]],[1]!Ahu_Ashrae_Generic[DESIGN VAV MAX SA(CFM)])</f>
        <v>6850</v>
      </c>
      <c r="F5" s="7">
        <f ca="1">IFERROR((VLOOKUP(AH1_VAV_table[[#This Row],[MAX VAV
(CFM)]],'[1]DO NOT TOUCH'!$C$9:$D$14,2,TRUE)),"TBD")</f>
        <v>16</v>
      </c>
      <c r="G5" s="7">
        <v>0.5</v>
      </c>
      <c r="H5" s="7">
        <f ca="1">AH1_VAV_table[[#This Row],[MIN VAV
(CFM)]]</f>
        <v>3015</v>
      </c>
      <c r="I5" s="7">
        <f>[1]INPUT_OUTPUTS!$C$16</f>
        <v>140</v>
      </c>
      <c r="J5" s="7">
        <f>[1]INPUT_OUTPUTS!$C$17</f>
        <v>110</v>
      </c>
      <c r="K5" s="7">
        <v>55</v>
      </c>
      <c r="L5" s="7">
        <v>80</v>
      </c>
      <c r="M5" s="7">
        <f ca="1">MROUND((1.08*(L5-K5)*AH1_VAV_table[[#This Row],[HEATING AIRFLOW 
(CFM)]])/1000,0.1)</f>
        <v>81.400000000000006</v>
      </c>
      <c r="N5" s="8">
        <f t="shared" ref="N5:N16" ca="1" si="0">(M5*1000)/(500*(I5-J5))</f>
        <v>5.4266666666666667</v>
      </c>
      <c r="O5" s="8">
        <f t="shared" ref="O5:O16" ca="1" si="1">IF(N5&lt;0.5,0.5,N5)</f>
        <v>5.4266666666666667</v>
      </c>
      <c r="P5" s="9">
        <f ca="1"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1</v>
      </c>
      <c r="Q5" s="8">
        <v>5</v>
      </c>
      <c r="R5" s="8">
        <f ca="1">IFERROR((_xlfn.XLOOKUP(F5,'[1]DO NOT TOUCH'!$D$9:$D$14,'[1]DO NOT TOUCH'!$E$9:$E$14,)),"TBD")</f>
        <v>60</v>
      </c>
      <c r="S5" s="8">
        <f>[1]INPUT_OUTPUTS!$C$19</f>
        <v>0</v>
      </c>
      <c r="T5" s="7" t="s">
        <v>25</v>
      </c>
    </row>
    <row r="6" spans="1:20" ht="15" x14ac:dyDescent="0.25">
      <c r="A6" s="5" t="s">
        <v>26</v>
      </c>
      <c r="B6" s="5" t="s">
        <v>23</v>
      </c>
      <c r="C6" s="5" t="s">
        <v>24</v>
      </c>
      <c r="D6" s="6">
        <f>SUMIF([1]!Ahu_Ashrae_Generic[Zone],AH1_VAV_table[[#This Row],[ZONE]],[1]!Ahu_Ashrae_Generic[DESIGN VAV MIN SA(CFM)])</f>
        <v>0</v>
      </c>
      <c r="E6" s="5">
        <f>SUMIF([1]!Ahu_Ashrae_Generic[Zone],AH1_VAV_table[[#This Row],[ZONE]],[1]!Ahu_Ashrae_Generic[DESIGN VAV MAX SA(CFM)])</f>
        <v>0</v>
      </c>
      <c r="F6" s="7" t="str">
        <f>IFERROR((VLOOKUP(AH1_VAV_table[[#This Row],[MAX VAV
(CFM)]],'[1]DO NOT TOUCH'!$C$9:$D$14,2,TRUE)),"TBD")</f>
        <v>TBD</v>
      </c>
      <c r="G6" s="7">
        <f>G5</f>
        <v>0.5</v>
      </c>
      <c r="H6" s="7">
        <f>AH1_VAV_table[[#This Row],[MIN VAV
(CFM)]]</f>
        <v>0</v>
      </c>
      <c r="I6" s="7">
        <f>[1]INPUT_OUTPUTS!$C$16</f>
        <v>140</v>
      </c>
      <c r="J6" s="7">
        <f>[1]INPUT_OUTPUTS!$C$17</f>
        <v>110</v>
      </c>
      <c r="K6" s="7">
        <f>K5</f>
        <v>55</v>
      </c>
      <c r="L6" s="7">
        <f>L5</f>
        <v>80</v>
      </c>
      <c r="M6" s="7">
        <f>MROUND((1.08*(L6-K6)*AH1_VAV_table[[#This Row],[HEATING AIRFLOW 
(CFM)]])/1000,0.1)</f>
        <v>0</v>
      </c>
      <c r="N6" s="8">
        <f t="shared" si="0"/>
        <v>0</v>
      </c>
      <c r="O6" s="8">
        <f t="shared" si="1"/>
        <v>0.5</v>
      </c>
      <c r="P6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6" s="8">
        <f>Q5</f>
        <v>5</v>
      </c>
      <c r="R6" s="8" t="str">
        <f>IFERROR((_xlfn.XLOOKUP(F6,'[1]DO NOT TOUCH'!$D$9:$D$14,'[1]DO NOT TOUCH'!$E$9:$E$14,)),"TBD")</f>
        <v>TBD</v>
      </c>
      <c r="S6" s="8">
        <f>[1]INPUT_OUTPUTS!$C$19</f>
        <v>0</v>
      </c>
      <c r="T6" s="7" t="str">
        <f>T5</f>
        <v>1, 2</v>
      </c>
    </row>
    <row r="7" spans="1:20" ht="15" x14ac:dyDescent="0.25">
      <c r="A7" s="5" t="s">
        <v>27</v>
      </c>
      <c r="B7" s="5" t="s">
        <v>23</v>
      </c>
      <c r="C7" s="5" t="s">
        <v>24</v>
      </c>
      <c r="D7" s="6">
        <f>SUMIF([1]!Ahu_Ashrae_Generic[Zone],AH1_VAV_table[[#This Row],[ZONE]],[1]!Ahu_Ashrae_Generic[DESIGN VAV MIN SA(CFM)])</f>
        <v>0</v>
      </c>
      <c r="E7" s="5">
        <f>SUMIF([1]!Ahu_Ashrae_Generic[Zone],AH1_VAV_table[[#This Row],[ZONE]],[1]!Ahu_Ashrae_Generic[DESIGN VAV MAX SA(CFM)])</f>
        <v>0</v>
      </c>
      <c r="F7" s="7" t="str">
        <f>IFERROR((VLOOKUP(AH1_VAV_table[[#This Row],[MAX VAV
(CFM)]],'[1]DO NOT TOUCH'!$C$9:$D$14,2,TRUE)),"TBD")</f>
        <v>TBD</v>
      </c>
      <c r="G7" s="7">
        <v>0.5</v>
      </c>
      <c r="H7" s="7">
        <f>AH1_VAV_table[[#This Row],[MIN VAV
(CFM)]]</f>
        <v>0</v>
      </c>
      <c r="I7" s="7">
        <f>[1]INPUT_OUTPUTS!$C$16</f>
        <v>140</v>
      </c>
      <c r="J7" s="7">
        <f>[1]INPUT_OUTPUTS!$C$17</f>
        <v>110</v>
      </c>
      <c r="K7" s="7">
        <v>55</v>
      </c>
      <c r="L7" s="7">
        <v>80</v>
      </c>
      <c r="M7" s="7">
        <f>MROUND((1.08*(L7-K7)*AH1_VAV_table[[#This Row],[HEATING AIRFLOW 
(CFM)]])/1000,0.1)</f>
        <v>0</v>
      </c>
      <c r="N7" s="8">
        <f t="shared" si="0"/>
        <v>0</v>
      </c>
      <c r="O7" s="8">
        <f t="shared" si="1"/>
        <v>0.5</v>
      </c>
      <c r="P7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7" s="8">
        <v>5</v>
      </c>
      <c r="R7" s="8" t="str">
        <f>IFERROR((_xlfn.XLOOKUP(F7,'[1]DO NOT TOUCH'!$D$9:$D$14,'[1]DO NOT TOUCH'!$E$9:$E$14,)),"TBD")</f>
        <v>TBD</v>
      </c>
      <c r="S7" s="8">
        <f>[1]INPUT_OUTPUTS!$C$19</f>
        <v>0</v>
      </c>
      <c r="T7" s="7" t="s">
        <v>25</v>
      </c>
    </row>
    <row r="8" spans="1:20" ht="15" x14ac:dyDescent="0.25">
      <c r="A8" s="5" t="s">
        <v>28</v>
      </c>
      <c r="B8" s="5" t="s">
        <v>23</v>
      </c>
      <c r="C8" s="5" t="s">
        <v>24</v>
      </c>
      <c r="D8" s="6">
        <f>SUMIF([1]!Ahu_Ashrae_Generic[Zone],AH1_VAV_table[[#This Row],[ZONE]],[1]!Ahu_Ashrae_Generic[DESIGN VAV MIN SA(CFM)])</f>
        <v>0</v>
      </c>
      <c r="E8" s="5">
        <f>SUMIF([1]!Ahu_Ashrae_Generic[Zone],AH1_VAV_table[[#This Row],[ZONE]],[1]!Ahu_Ashrae_Generic[DESIGN VAV MAX SA(CFM)])</f>
        <v>0</v>
      </c>
      <c r="F8" s="7" t="str">
        <f>IFERROR((VLOOKUP(AH1_VAV_table[[#This Row],[MAX VAV
(CFM)]],'[1]DO NOT TOUCH'!$C$9:$D$14,2,TRUE)),"TBD")</f>
        <v>TBD</v>
      </c>
      <c r="G8" s="7">
        <v>0.5</v>
      </c>
      <c r="H8" s="7">
        <f>AH1_VAV_table[[#This Row],[MIN VAV
(CFM)]]</f>
        <v>0</v>
      </c>
      <c r="I8" s="7">
        <f>[1]INPUT_OUTPUTS!$C$16</f>
        <v>140</v>
      </c>
      <c r="J8" s="7">
        <f>[1]INPUT_OUTPUTS!$C$17</f>
        <v>110</v>
      </c>
      <c r="K8" s="7">
        <v>55</v>
      </c>
      <c r="L8" s="7">
        <v>80</v>
      </c>
      <c r="M8" s="7">
        <f>MROUND((1.08*(L8-K8)*AH1_VAV_table[[#This Row],[HEATING AIRFLOW 
(CFM)]])/1000,0.1)</f>
        <v>0</v>
      </c>
      <c r="N8" s="8">
        <f t="shared" si="0"/>
        <v>0</v>
      </c>
      <c r="O8" s="8">
        <f t="shared" si="1"/>
        <v>0.5</v>
      </c>
      <c r="P8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8" s="8">
        <v>5</v>
      </c>
      <c r="R8" s="8" t="str">
        <f>IFERROR((_xlfn.XLOOKUP(F8,'[1]DO NOT TOUCH'!$D$9:$D$14,'[1]DO NOT TOUCH'!$E$9:$E$14,)),"TBD")</f>
        <v>TBD</v>
      </c>
      <c r="S8" s="8">
        <f>[1]INPUT_OUTPUTS!$C$19</f>
        <v>0</v>
      </c>
      <c r="T8" s="7" t="s">
        <v>25</v>
      </c>
    </row>
    <row r="9" spans="1:20" ht="15" x14ac:dyDescent="0.25">
      <c r="A9" s="5" t="s">
        <v>29</v>
      </c>
      <c r="B9" s="5" t="s">
        <v>23</v>
      </c>
      <c r="C9" s="5" t="s">
        <v>24</v>
      </c>
      <c r="D9" s="6">
        <f>SUMIF([1]!Ahu_Ashrae_Generic[Zone],AH1_VAV_table[[#This Row],[ZONE]],[1]!Ahu_Ashrae_Generic[DESIGN VAV MIN SA(CFM)])</f>
        <v>0</v>
      </c>
      <c r="E9" s="5">
        <f>SUMIF([1]!Ahu_Ashrae_Generic[Zone],AH1_VAV_table[[#This Row],[ZONE]],[1]!Ahu_Ashrae_Generic[DESIGN VAV MAX SA(CFM)])</f>
        <v>0</v>
      </c>
      <c r="F9" s="7" t="str">
        <f>IFERROR((VLOOKUP(AH1_VAV_table[[#This Row],[MAX VAV
(CFM)]],'[1]DO NOT TOUCH'!$C$9:$D$14,2,TRUE)),"TBD")</f>
        <v>TBD</v>
      </c>
      <c r="G9" s="7">
        <v>0.5</v>
      </c>
      <c r="H9" s="7">
        <f>AH1_VAV_table[[#This Row],[MIN VAV
(CFM)]]</f>
        <v>0</v>
      </c>
      <c r="I9" s="7">
        <f>[1]INPUT_OUTPUTS!$C$16</f>
        <v>140</v>
      </c>
      <c r="J9" s="7">
        <f>[1]INPUT_OUTPUTS!$C$17</f>
        <v>110</v>
      </c>
      <c r="K9" s="7">
        <v>55</v>
      </c>
      <c r="L9" s="7">
        <v>80</v>
      </c>
      <c r="M9" s="7">
        <f>MROUND((1.08*(L9-K9)*AH1_VAV_table[[#This Row],[HEATING AIRFLOW 
(CFM)]])/1000,0.1)</f>
        <v>0</v>
      </c>
      <c r="N9" s="8">
        <f t="shared" si="0"/>
        <v>0</v>
      </c>
      <c r="O9" s="8">
        <f t="shared" si="1"/>
        <v>0.5</v>
      </c>
      <c r="P9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9" s="8">
        <v>5</v>
      </c>
      <c r="R9" s="8" t="str">
        <f>IFERROR((_xlfn.XLOOKUP(F9,'[1]DO NOT TOUCH'!$D$9:$D$14,'[1]DO NOT TOUCH'!$E$9:$E$14,)),"TBD")</f>
        <v>TBD</v>
      </c>
      <c r="S9" s="8">
        <f>[1]INPUT_OUTPUTS!$C$19</f>
        <v>0</v>
      </c>
      <c r="T9" s="7" t="s">
        <v>25</v>
      </c>
    </row>
    <row r="10" spans="1:20" ht="15" x14ac:dyDescent="0.25">
      <c r="A10" s="5" t="s">
        <v>30</v>
      </c>
      <c r="B10" s="5" t="s">
        <v>23</v>
      </c>
      <c r="C10" s="5" t="s">
        <v>24</v>
      </c>
      <c r="D10" s="6">
        <f>SUMIF([1]!Ahu_Ashrae_Generic[Zone],AH1_VAV_table[[#This Row],[ZONE]],[1]!Ahu_Ashrae_Generic[DESIGN VAV MIN SA(CFM)])</f>
        <v>0</v>
      </c>
      <c r="E10" s="5">
        <f>SUMIF([1]!Ahu_Ashrae_Generic[Zone],AH1_VAV_table[[#This Row],[ZONE]],[1]!Ahu_Ashrae_Generic[DESIGN VAV MAX SA(CFM)])</f>
        <v>0</v>
      </c>
      <c r="F10" s="7" t="str">
        <f>IFERROR((VLOOKUP(AH1_VAV_table[[#This Row],[MAX VAV
(CFM)]],'[1]DO NOT TOUCH'!$C$9:$D$14,2,TRUE)),"TBD")</f>
        <v>TBD</v>
      </c>
      <c r="G10" s="7">
        <v>0.5</v>
      </c>
      <c r="H10" s="7">
        <f>AH1_VAV_table[[#This Row],[MIN VAV
(CFM)]]</f>
        <v>0</v>
      </c>
      <c r="I10" s="7">
        <f>[1]INPUT_OUTPUTS!$C$16</f>
        <v>140</v>
      </c>
      <c r="J10" s="7">
        <f>[1]INPUT_OUTPUTS!$C$17</f>
        <v>110</v>
      </c>
      <c r="K10" s="7">
        <v>55</v>
      </c>
      <c r="L10" s="7">
        <v>80</v>
      </c>
      <c r="M10" s="7">
        <f>MROUND((1.08*(L10-K10)*AH1_VAV_table[[#This Row],[HEATING AIRFLOW 
(CFM)]])/1000,0.1)</f>
        <v>0</v>
      </c>
      <c r="N10" s="8">
        <f t="shared" si="0"/>
        <v>0</v>
      </c>
      <c r="O10" s="8">
        <f t="shared" si="1"/>
        <v>0.5</v>
      </c>
      <c r="P10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10" s="8">
        <v>5</v>
      </c>
      <c r="R10" s="8" t="str">
        <f>IFERROR((_xlfn.XLOOKUP(F10,'[1]DO NOT TOUCH'!$D$9:$D$14,'[1]DO NOT TOUCH'!$E$9:$E$14,)),"TBD")</f>
        <v>TBD</v>
      </c>
      <c r="S10" s="8">
        <f>[1]INPUT_OUTPUTS!$C$19</f>
        <v>0</v>
      </c>
      <c r="T10" s="7" t="s">
        <v>25</v>
      </c>
    </row>
    <row r="11" spans="1:20" ht="15" x14ac:dyDescent="0.25">
      <c r="A11" s="5" t="s">
        <v>31</v>
      </c>
      <c r="B11" s="5" t="s">
        <v>23</v>
      </c>
      <c r="C11" s="5" t="s">
        <v>24</v>
      </c>
      <c r="D11" s="6">
        <f>SUMIF([1]!Ahu_Ashrae_Generic[Zone],AH1_VAV_table[[#This Row],[ZONE]],[1]!Ahu_Ashrae_Generic[DESIGN VAV MIN SA(CFM)])</f>
        <v>0</v>
      </c>
      <c r="E11" s="5">
        <f>SUMIF([1]!Ahu_Ashrae_Generic[Zone],AH1_VAV_table[[#This Row],[ZONE]],[1]!Ahu_Ashrae_Generic[DESIGN VAV MAX SA(CFM)])</f>
        <v>0</v>
      </c>
      <c r="F11" s="7" t="str">
        <f>IFERROR((VLOOKUP(AH1_VAV_table[[#This Row],[MAX VAV
(CFM)]],'[1]DO NOT TOUCH'!$C$9:$D$14,2,TRUE)),"TBD")</f>
        <v>TBD</v>
      </c>
      <c r="G11" s="7">
        <v>0.5</v>
      </c>
      <c r="H11" s="7">
        <f>AH1_VAV_table[[#This Row],[MIN VAV
(CFM)]]</f>
        <v>0</v>
      </c>
      <c r="I11" s="7">
        <f>[1]INPUT_OUTPUTS!$C$16</f>
        <v>140</v>
      </c>
      <c r="J11" s="7">
        <f>[1]INPUT_OUTPUTS!$C$17</f>
        <v>110</v>
      </c>
      <c r="K11" s="7">
        <v>55</v>
      </c>
      <c r="L11" s="7">
        <v>80</v>
      </c>
      <c r="M11" s="7">
        <f>MROUND((1.08*(L11-K11)*AH1_VAV_table[[#This Row],[HEATING AIRFLOW 
(CFM)]])/1000,0.1)</f>
        <v>0</v>
      </c>
      <c r="N11" s="8">
        <f t="shared" si="0"/>
        <v>0</v>
      </c>
      <c r="O11" s="8">
        <f t="shared" si="1"/>
        <v>0.5</v>
      </c>
      <c r="P11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11" s="8">
        <v>5</v>
      </c>
      <c r="R11" s="8" t="str">
        <f>IFERROR((_xlfn.XLOOKUP(F11,'[1]DO NOT TOUCH'!$D$9:$D$14,'[1]DO NOT TOUCH'!$E$9:$E$14,)),"TBD")</f>
        <v>TBD</v>
      </c>
      <c r="S11" s="8">
        <f>[1]INPUT_OUTPUTS!$C$19</f>
        <v>0</v>
      </c>
      <c r="T11" s="7" t="s">
        <v>25</v>
      </c>
    </row>
    <row r="12" spans="1:20" ht="15" x14ac:dyDescent="0.25">
      <c r="A12" s="5" t="s">
        <v>32</v>
      </c>
      <c r="B12" s="5" t="s">
        <v>23</v>
      </c>
      <c r="C12" s="5" t="s">
        <v>24</v>
      </c>
      <c r="D12" s="6">
        <f>SUMIF([1]!Ahu_Ashrae_Generic[Zone],AH1_VAV_table[[#This Row],[ZONE]],[1]!Ahu_Ashrae_Generic[DESIGN VAV MIN SA(CFM)])</f>
        <v>0</v>
      </c>
      <c r="E12" s="5">
        <f>SUMIF([1]!Ahu_Ashrae_Generic[Zone],AH1_VAV_table[[#This Row],[ZONE]],[1]!Ahu_Ashrae_Generic[DESIGN VAV MAX SA(CFM)])</f>
        <v>0</v>
      </c>
      <c r="F12" s="7" t="str">
        <f>IFERROR((VLOOKUP(AH1_VAV_table[[#This Row],[MAX VAV
(CFM)]],'[1]DO NOT TOUCH'!$C$9:$D$14,2,TRUE)),"TBD")</f>
        <v>TBD</v>
      </c>
      <c r="G12" s="7">
        <v>0.5</v>
      </c>
      <c r="H12" s="7">
        <f>AH1_VAV_table[[#This Row],[MIN VAV
(CFM)]]</f>
        <v>0</v>
      </c>
      <c r="I12" s="7">
        <f>[1]INPUT_OUTPUTS!$C$16</f>
        <v>140</v>
      </c>
      <c r="J12" s="7">
        <f>[1]INPUT_OUTPUTS!$C$17</f>
        <v>110</v>
      </c>
      <c r="K12" s="7">
        <v>55</v>
      </c>
      <c r="L12" s="7">
        <v>80</v>
      </c>
      <c r="M12" s="7">
        <f>MROUND((1.08*(L12-K12)*AH1_VAV_table[[#This Row],[HEATING AIRFLOW 
(CFM)]])/1000,0.1)</f>
        <v>0</v>
      </c>
      <c r="N12" s="8">
        <f t="shared" si="0"/>
        <v>0</v>
      </c>
      <c r="O12" s="8">
        <f t="shared" si="1"/>
        <v>0.5</v>
      </c>
      <c r="P12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12" s="8">
        <v>5</v>
      </c>
      <c r="R12" s="8" t="str">
        <f>IFERROR((_xlfn.XLOOKUP(F12,'[1]DO NOT TOUCH'!$D$9:$D$14,'[1]DO NOT TOUCH'!$E$9:$E$14,)),"TBD")</f>
        <v>TBD</v>
      </c>
      <c r="S12" s="8">
        <f>[1]INPUT_OUTPUTS!$C$19</f>
        <v>0</v>
      </c>
      <c r="T12" s="7" t="s">
        <v>25</v>
      </c>
    </row>
    <row r="13" spans="1:20" ht="15" x14ac:dyDescent="0.25">
      <c r="A13" s="5" t="s">
        <v>33</v>
      </c>
      <c r="B13" s="5" t="s">
        <v>23</v>
      </c>
      <c r="C13" s="5" t="s">
        <v>24</v>
      </c>
      <c r="D13" s="6">
        <f>SUMIF([1]!Ahu_Ashrae_Generic[Zone],AH1_VAV_table[[#This Row],[ZONE]],[1]!Ahu_Ashrae_Generic[DESIGN VAV MIN SA(CFM)])</f>
        <v>0</v>
      </c>
      <c r="E13" s="5">
        <f>SUMIF([1]!Ahu_Ashrae_Generic[Zone],AH1_VAV_table[[#This Row],[ZONE]],[1]!Ahu_Ashrae_Generic[DESIGN VAV MAX SA(CFM)])</f>
        <v>0</v>
      </c>
      <c r="F13" s="7" t="str">
        <f>IFERROR((VLOOKUP(AH1_VAV_table[[#This Row],[MAX VAV
(CFM)]],'[1]DO NOT TOUCH'!$C$9:$D$14,2,TRUE)),"TBD")</f>
        <v>TBD</v>
      </c>
      <c r="G13" s="7">
        <v>0.5</v>
      </c>
      <c r="H13" s="7">
        <f>AH1_VAV_table[[#This Row],[MIN VAV
(CFM)]]</f>
        <v>0</v>
      </c>
      <c r="I13" s="7">
        <f>[1]INPUT_OUTPUTS!$C$16</f>
        <v>140</v>
      </c>
      <c r="J13" s="7">
        <f>[1]INPUT_OUTPUTS!$C$17</f>
        <v>110</v>
      </c>
      <c r="K13" s="7">
        <v>55</v>
      </c>
      <c r="L13" s="7">
        <v>80</v>
      </c>
      <c r="M13" s="7">
        <f>MROUND((1.08*(L13-K13)*AH1_VAV_table[[#This Row],[HEATING AIRFLOW 
(CFM)]])/1000,0.1)</f>
        <v>0</v>
      </c>
      <c r="N13" s="8">
        <f t="shared" si="0"/>
        <v>0</v>
      </c>
      <c r="O13" s="8">
        <f t="shared" si="1"/>
        <v>0.5</v>
      </c>
      <c r="P13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13" s="8">
        <v>5</v>
      </c>
      <c r="R13" s="8" t="str">
        <f>IFERROR((_xlfn.XLOOKUP(F13,'[1]DO NOT TOUCH'!$D$9:$D$14,'[1]DO NOT TOUCH'!$E$9:$E$14,)),"TBD")</f>
        <v>TBD</v>
      </c>
      <c r="S13" s="8">
        <f>[1]INPUT_OUTPUTS!$C$19</f>
        <v>0</v>
      </c>
      <c r="T13" s="7" t="s">
        <v>25</v>
      </c>
    </row>
    <row r="14" spans="1:20" ht="15" x14ac:dyDescent="0.25">
      <c r="A14" s="5" t="s">
        <v>34</v>
      </c>
      <c r="B14" s="5" t="s">
        <v>23</v>
      </c>
      <c r="C14" s="5" t="s">
        <v>24</v>
      </c>
      <c r="D14" s="6">
        <f>SUMIF([1]!Ahu_Ashrae_Generic[Zone],AH1_VAV_table[[#This Row],[ZONE]],[1]!Ahu_Ashrae_Generic[DESIGN VAV MIN SA(CFM)])</f>
        <v>0</v>
      </c>
      <c r="E14" s="5">
        <f>SUMIF([1]!Ahu_Ashrae_Generic[Zone],AH1_VAV_table[[#This Row],[ZONE]],[1]!Ahu_Ashrae_Generic[DESIGN VAV MAX SA(CFM)])</f>
        <v>0</v>
      </c>
      <c r="F14" s="7" t="str">
        <f>IFERROR((VLOOKUP(AH1_VAV_table[[#This Row],[MAX VAV
(CFM)]],'[1]DO NOT TOUCH'!$C$9:$D$14,2,TRUE)),"TBD")</f>
        <v>TBD</v>
      </c>
      <c r="G14" s="7">
        <v>0.5</v>
      </c>
      <c r="H14" s="7">
        <f>AH1_VAV_table[[#This Row],[MIN VAV
(CFM)]]</f>
        <v>0</v>
      </c>
      <c r="I14" s="7">
        <f>[1]INPUT_OUTPUTS!$C$16</f>
        <v>140</v>
      </c>
      <c r="J14" s="7">
        <f>[1]INPUT_OUTPUTS!$C$17</f>
        <v>110</v>
      </c>
      <c r="K14" s="7">
        <v>55</v>
      </c>
      <c r="L14" s="7">
        <v>80</v>
      </c>
      <c r="M14" s="7">
        <f>MROUND((1.08*(L14-K14)*AH1_VAV_table[[#This Row],[HEATING AIRFLOW 
(CFM)]])/1000,0.1)</f>
        <v>0</v>
      </c>
      <c r="N14" s="8">
        <f t="shared" si="0"/>
        <v>0</v>
      </c>
      <c r="O14" s="8">
        <f t="shared" si="1"/>
        <v>0.5</v>
      </c>
      <c r="P14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14" s="8">
        <v>5</v>
      </c>
      <c r="R14" s="8" t="str">
        <f>IFERROR((_xlfn.XLOOKUP(F14,'[1]DO NOT TOUCH'!$D$9:$D$14,'[1]DO NOT TOUCH'!$E$9:$E$14,)),"TBD")</f>
        <v>TBD</v>
      </c>
      <c r="S14" s="8">
        <f>[1]INPUT_OUTPUTS!$C$19</f>
        <v>0</v>
      </c>
      <c r="T14" s="7" t="s">
        <v>25</v>
      </c>
    </row>
    <row r="15" spans="1:20" ht="15" x14ac:dyDescent="0.25">
      <c r="A15" s="5" t="s">
        <v>35</v>
      </c>
      <c r="B15" s="5" t="s">
        <v>23</v>
      </c>
      <c r="C15" s="5" t="s">
        <v>24</v>
      </c>
      <c r="D15" s="6">
        <f>SUMIF([1]!Ahu_Ashrae_Generic[Zone],AH1_VAV_table[[#This Row],[ZONE]],[1]!Ahu_Ashrae_Generic[DESIGN VAV MIN SA(CFM)])</f>
        <v>0</v>
      </c>
      <c r="E15" s="5">
        <f>SUMIF([1]!Ahu_Ashrae_Generic[Zone],AH1_VAV_table[[#This Row],[ZONE]],[1]!Ahu_Ashrae_Generic[DESIGN VAV MAX SA(CFM)])</f>
        <v>0</v>
      </c>
      <c r="F15" s="7" t="str">
        <f>IFERROR((VLOOKUP(AH1_VAV_table[[#This Row],[MAX VAV
(CFM)]],'[1]DO NOT TOUCH'!$C$9:$D$14,2,TRUE)),"TBD")</f>
        <v>TBD</v>
      </c>
      <c r="G15" s="7">
        <v>0.5</v>
      </c>
      <c r="H15" s="7">
        <f>AH1_VAV_table[[#This Row],[MIN VAV
(CFM)]]</f>
        <v>0</v>
      </c>
      <c r="I15" s="7">
        <f>[1]INPUT_OUTPUTS!$C$16</f>
        <v>140</v>
      </c>
      <c r="J15" s="7">
        <f>[1]INPUT_OUTPUTS!$C$17</f>
        <v>110</v>
      </c>
      <c r="K15" s="7">
        <v>55</v>
      </c>
      <c r="L15" s="7">
        <v>80</v>
      </c>
      <c r="M15" s="7">
        <f>MROUND((1.08*(L15-K15)*AH1_VAV_table[[#This Row],[HEATING AIRFLOW 
(CFM)]])/1000,0.1)</f>
        <v>0</v>
      </c>
      <c r="N15" s="8">
        <f t="shared" si="0"/>
        <v>0</v>
      </c>
      <c r="O15" s="8">
        <f t="shared" si="1"/>
        <v>0.5</v>
      </c>
      <c r="P15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15" s="8">
        <v>5</v>
      </c>
      <c r="R15" s="8" t="str">
        <f>IFERROR((_xlfn.XLOOKUP(F15,'[1]DO NOT TOUCH'!$D$9:$D$14,'[1]DO NOT TOUCH'!$E$9:$E$14,)),"TBD")</f>
        <v>TBD</v>
      </c>
      <c r="S15" s="8">
        <f>[1]INPUT_OUTPUTS!$C$19</f>
        <v>0</v>
      </c>
      <c r="T15" s="7" t="s">
        <v>25</v>
      </c>
    </row>
    <row r="16" spans="1:20" ht="15" x14ac:dyDescent="0.25">
      <c r="A16" s="5" t="s">
        <v>36</v>
      </c>
      <c r="B16" s="5" t="s">
        <v>23</v>
      </c>
      <c r="C16" s="5" t="s">
        <v>24</v>
      </c>
      <c r="D16" s="6">
        <f>SUMIF([1]!Ahu_Ashrae_Generic[Zone],AH1_VAV_table[[#This Row],[ZONE]],[1]!Ahu_Ashrae_Generic[DESIGN VAV MIN SA(CFM)])</f>
        <v>0</v>
      </c>
      <c r="E16" s="5">
        <f>SUMIF([1]!Ahu_Ashrae_Generic[Zone],AH1_VAV_table[[#This Row],[ZONE]],[1]!Ahu_Ashrae_Generic[DESIGN VAV MAX SA(CFM)])</f>
        <v>0</v>
      </c>
      <c r="F16" s="7" t="str">
        <f>IFERROR((VLOOKUP(AH1_VAV_table[[#This Row],[MAX VAV
(CFM)]],'[1]DO NOT TOUCH'!$C$9:$D$14,2,TRUE)),"TBD")</f>
        <v>TBD</v>
      </c>
      <c r="G16" s="7">
        <v>0.5</v>
      </c>
      <c r="H16" s="7">
        <f>AH1_VAV_table[[#This Row],[MIN VAV
(CFM)]]</f>
        <v>0</v>
      </c>
      <c r="I16" s="7">
        <f>[1]INPUT_OUTPUTS!$C$16</f>
        <v>140</v>
      </c>
      <c r="J16" s="7">
        <f>[1]INPUT_OUTPUTS!$C$17</f>
        <v>110</v>
      </c>
      <c r="K16" s="7">
        <v>55</v>
      </c>
      <c r="L16" s="7">
        <v>80</v>
      </c>
      <c r="M16" s="7">
        <f>MROUND((1.08*(L16-K16)*AH1_VAV_table[[#This Row],[HEATING AIRFLOW 
(CFM)]])/1000,0.1)</f>
        <v>0</v>
      </c>
      <c r="N16" s="8">
        <f t="shared" si="0"/>
        <v>0</v>
      </c>
      <c r="O16" s="8">
        <f t="shared" si="1"/>
        <v>0.5</v>
      </c>
      <c r="P16" s="9">
        <f>IF($D$2 = "YES",(_xlfn.XLOOKUP(AH1_VAV_table[[#This Row],[GPM]],[1]!Hydronic_Pipe_Size[SOUND SENSITIVE],[1]!Hydronic_Pipe_Size[SIZE],"Not Found",1)),(_xlfn.XLOOKUP(AH1_VAV_table[[#This Row],[GPM]],[1]!Hydronic_Pipe_Size[GPM],[1]!Hydronic_Pipe_Size[SIZE],"Not Found",1)))</f>
        <v>0.75</v>
      </c>
      <c r="Q16" s="8">
        <v>5</v>
      </c>
      <c r="R16" s="8" t="str">
        <f>IFERROR((_xlfn.XLOOKUP(F16,'[1]DO NOT TOUCH'!$D$9:$D$14,'[1]DO NOT TOUCH'!$E$9:$E$14,)),"TBD")</f>
        <v>TBD</v>
      </c>
      <c r="S16" s="8">
        <f>[1]INPUT_OUTPUTS!$C$19</f>
        <v>0</v>
      </c>
      <c r="T16" s="7" t="s">
        <v>25</v>
      </c>
    </row>
    <row r="17" spans="1:20" ht="15" x14ac:dyDescent="0.25">
      <c r="A17" s="10" t="s">
        <v>37</v>
      </c>
      <c r="B17" s="11"/>
      <c r="C17" s="11"/>
      <c r="D17" s="11"/>
      <c r="E17" s="12"/>
      <c r="F17" s="12"/>
      <c r="G17" s="12"/>
      <c r="H17" s="12"/>
      <c r="I17" s="12"/>
      <c r="J17" s="12"/>
      <c r="K17" s="12"/>
      <c r="L17" s="12"/>
      <c r="M17" s="12">
        <f ca="1">SUBTOTAL(109,AH1_VAV_table[MIN MBH])</f>
        <v>81.400000000000006</v>
      </c>
      <c r="N17" s="12"/>
      <c r="O17" s="13">
        <f ca="1">SUBTOTAL(109,AH1_VAV_table[GPM])</f>
        <v>10.926666666666666</v>
      </c>
      <c r="P17" s="13"/>
      <c r="Q17" s="12"/>
      <c r="R17" s="12"/>
      <c r="S17" s="12"/>
      <c r="T17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AddRowsToTableWithUserInput" altText="HUMIDIFICATION">
                <anchor moveWithCells="1" sizeWithCells="1">
                  <from>
                    <xdr:col>0</xdr:col>
                    <xdr:colOff>579120</xdr:colOff>
                    <xdr:row>0</xdr:row>
                    <xdr:rowOff>60960</xdr:rowOff>
                  </from>
                  <to>
                    <xdr:col>1</xdr:col>
                    <xdr:colOff>1074420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ABD58-6FDC-4A9D-8F2E-84675C809FB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AH1_VAV_SCHEDULES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Rushikesh Patil</dc:creator>
  <cp:lastModifiedBy>Rushikesh Patil</cp:lastModifiedBy>
  <dcterms:created xsi:type="dcterms:W3CDTF">2024-08-27T14:44:25Z</dcterms:created>
  <dcterms:modified xsi:type="dcterms:W3CDTF">2024-08-27T14:44:25Z</dcterms:modified>
</cp:coreProperties>
</file>