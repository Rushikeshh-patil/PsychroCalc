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116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ushikesh/Documents/PsychroCalc/"/>
    </mc:Choice>
  </mc:AlternateContent>
  <xr:revisionPtr revIDLastSave="0" documentId="13_ncr:1_{8663FE39-F27B-2F48-AEE4-7EB367ED667F}" xr6:coauthVersionLast="47" xr6:coauthVersionMax="47" xr10:uidLastSave="{00000000-0000-0000-0000-000000000000}"/>
  <bookViews>
    <workbookView xWindow="0" yWindow="500" windowWidth="38400" windowHeight="21100" activeTab="1" xr2:uid="{00000000-000D-0000-FFFF-FFFF00000000}"/>
  </bookViews>
  <sheets>
    <sheet name="INPUT_OUTPUTS" sheetId="64" r:id="rId1"/>
    <sheet name="AHU 1" sheetId="48" r:id="rId2"/>
    <sheet name="Generic" sheetId="99" r:id="rId3"/>
    <sheet name="Psych" sheetId="45" r:id="rId4"/>
    <sheet name="UMC Table 4-A" sheetId="37" state="hidden" r:id="rId5"/>
    <sheet name="DO NOT TOUCH" sheetId="63" state="hidden" r:id="rId6"/>
  </sheets>
  <definedNames>
    <definedName name="_CAV1">#REF!</definedName>
    <definedName name="_CAV1." localSheetId="2">Generic!$AD$5:$AT$48</definedName>
    <definedName name="_CAV1.">'AHU 1'!$AD$5:$AT$48</definedName>
    <definedName name="_CAV2">#REF!</definedName>
    <definedName name="_CAV3">#REF!</definedName>
    <definedName name="_CAV4">#REF!</definedName>
    <definedName name="_xlcn.WorksheetConnection_RevampedAHUPsycCalcsHCAI.xlsmAHU_Options1" hidden="1">AHU_Options[]</definedName>
    <definedName name="_xlcn.WorksheetConnection_RevampedAHUPsycCalcsHCAI.xlsmTable71" hidden="1">Table7[]</definedName>
    <definedName name="AHU_1AC_AV" localSheetId="2">Generic!$AC$7:$AO$43</definedName>
    <definedName name="AHU_1AC_AV">'AHU 1'!$AC$7:$AO$43</definedName>
    <definedName name="AHUs" localSheetId="3">Table7[TAG]</definedName>
    <definedName name="AHUs">Table7[TAG]</definedName>
    <definedName name="CAV_1A_SCHEDULE" localSheetId="2">Generic!$AD$5:$AT$48</definedName>
    <definedName name="CAV_1A_SCHEDULE">'AHU 1'!$AD$5:$AT$48</definedName>
    <definedName name="CAV_1B_SCHEDULE">#REF!</definedName>
    <definedName name="CAV_1C_SCHEDULE">#REF!</definedName>
    <definedName name="CAV_2_SCHEDULE">#REF!</definedName>
    <definedName name="CAV_3_SCHEDULE">#REF!</definedName>
    <definedName name="_xlnm.Print_Area" localSheetId="1">'AHU 1'!$D$4:$V$17</definedName>
    <definedName name="_xlnm.Print_Area" localSheetId="2">Generic!$D$4:$V$17</definedName>
    <definedName name="_xlnm.Print_Area" localSheetId="3">Psych!$A$8:$BF$13</definedName>
    <definedName name="_xlnm.Print_Area" localSheetId="4">'UMC Table 4-A'!$A$5:$E$139</definedName>
    <definedName name="_xlnm.Print_Titles" localSheetId="1">'AHU 1'!$3:$6</definedName>
    <definedName name="_xlnm.Print_Titles" localSheetId="2">Generic!$3:$6</definedName>
    <definedName name="_xlnm.Print_Titles" localSheetId="4">'UMC Table 4-A'!$A:$B,'UMC Table 4-A'!$5:$9</definedName>
    <definedName name="table_4_a">'UMC Table 4-A'!$A$10:$E$139</definedName>
    <definedName name="VENTILATION_SCHEDULE_AHU_3">#REF!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Table7" name="Table7" connection="WorksheetConnection_Revamped AHU Psyc Calcs (HCAI).xlsm!Table7"/>
          <x15:modelTable id="AHU_Options" name="AHU_Options" connection="WorksheetConnection_Revamped AHU Psyc Calcs (HCAI).xlsm!AHU_Options"/>
        </x15:modelTables>
        <x15:modelRelationships>
          <x15:modelRelationship fromTable="AHU_Options" fromColumn="AHU NAME" toTable="Table7" toColumn="TAG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G11" i="48" l="1"/>
  <c r="AG12" i="48"/>
  <c r="AG13" i="48"/>
  <c r="AG14" i="48"/>
  <c r="AG15" i="48"/>
  <c r="AG16" i="48"/>
  <c r="AG17" i="48"/>
  <c r="AG18" i="48"/>
  <c r="AG19" i="48"/>
  <c r="AG20" i="48"/>
  <c r="AG21" i="48"/>
  <c r="AG22" i="48"/>
  <c r="AG23" i="48"/>
  <c r="AG24" i="48"/>
  <c r="AG25" i="48"/>
  <c r="AG26" i="48"/>
  <c r="AG27" i="48"/>
  <c r="AG28" i="48"/>
  <c r="AG29" i="48"/>
  <c r="AG30" i="48"/>
  <c r="AG31" i="48"/>
  <c r="AG32" i="48"/>
  <c r="AG33" i="48"/>
  <c r="AG34" i="48"/>
  <c r="AG35" i="48"/>
  <c r="AG36" i="48"/>
  <c r="AG37" i="48"/>
  <c r="AG38" i="48"/>
  <c r="AG39" i="48"/>
  <c r="AG40" i="48"/>
  <c r="AG41" i="48"/>
  <c r="AG42" i="48"/>
  <c r="AG43" i="48"/>
  <c r="AG44" i="48"/>
  <c r="AE12" i="45"/>
  <c r="E18" i="99"/>
  <c r="AR44" i="99"/>
  <c r="AJ44" i="99"/>
  <c r="AI44" i="99"/>
  <c r="AF44" i="99"/>
  <c r="AG44" i="99" s="1"/>
  <c r="AQ44" i="99" s="1"/>
  <c r="AR43" i="99"/>
  <c r="AJ43" i="99"/>
  <c r="AI43" i="99"/>
  <c r="AF43" i="99"/>
  <c r="AG43" i="99" s="1"/>
  <c r="AQ43" i="99" s="1"/>
  <c r="AR42" i="99"/>
  <c r="AJ42" i="99"/>
  <c r="AI42" i="99"/>
  <c r="AF42" i="99"/>
  <c r="AG42" i="99" s="1"/>
  <c r="AQ42" i="99" s="1"/>
  <c r="AR41" i="99"/>
  <c r="AJ41" i="99"/>
  <c r="AI41" i="99"/>
  <c r="AF41" i="99"/>
  <c r="AG41" i="99" s="1"/>
  <c r="AQ41" i="99" s="1"/>
  <c r="AR40" i="99"/>
  <c r="AJ40" i="99"/>
  <c r="AI40" i="99"/>
  <c r="AF40" i="99"/>
  <c r="AG40" i="99" s="1"/>
  <c r="AQ40" i="99" s="1"/>
  <c r="AR39" i="99"/>
  <c r="AJ39" i="99"/>
  <c r="AI39" i="99"/>
  <c r="AF39" i="99"/>
  <c r="AG39" i="99" s="1"/>
  <c r="AQ39" i="99" s="1"/>
  <c r="AR38" i="99"/>
  <c r="AJ38" i="99"/>
  <c r="AI38" i="99"/>
  <c r="AF38" i="99"/>
  <c r="AG38" i="99" s="1"/>
  <c r="AQ38" i="99" s="1"/>
  <c r="AR37" i="99"/>
  <c r="AJ37" i="99"/>
  <c r="AI37" i="99"/>
  <c r="AF37" i="99"/>
  <c r="AG37" i="99" s="1"/>
  <c r="AQ37" i="99" s="1"/>
  <c r="AR36" i="99"/>
  <c r="AJ36" i="99"/>
  <c r="AI36" i="99"/>
  <c r="AF36" i="99"/>
  <c r="AG36" i="99" s="1"/>
  <c r="AQ36" i="99" s="1"/>
  <c r="AR35" i="99"/>
  <c r="AJ35" i="99"/>
  <c r="AI35" i="99"/>
  <c r="AF35" i="99"/>
  <c r="AG35" i="99" s="1"/>
  <c r="AQ35" i="99" s="1"/>
  <c r="AR34" i="99"/>
  <c r="AJ34" i="99"/>
  <c r="AI34" i="99"/>
  <c r="AG34" i="99"/>
  <c r="AQ34" i="99" s="1"/>
  <c r="AF34" i="99"/>
  <c r="AR33" i="99"/>
  <c r="AJ33" i="99"/>
  <c r="AI33" i="99"/>
  <c r="AF33" i="99"/>
  <c r="AG33" i="99" s="1"/>
  <c r="AQ33" i="99" s="1"/>
  <c r="AR32" i="99"/>
  <c r="AJ32" i="99"/>
  <c r="AI32" i="99"/>
  <c r="AF32" i="99"/>
  <c r="AG32" i="99" s="1"/>
  <c r="AQ32" i="99" s="1"/>
  <c r="AR31" i="99"/>
  <c r="AJ31" i="99"/>
  <c r="AI31" i="99"/>
  <c r="AF31" i="99"/>
  <c r="AG31" i="99" s="1"/>
  <c r="AQ31" i="99" s="1"/>
  <c r="AR30" i="99"/>
  <c r="AJ30" i="99"/>
  <c r="AI30" i="99"/>
  <c r="AF30" i="99"/>
  <c r="AG30" i="99" s="1"/>
  <c r="AQ30" i="99" s="1"/>
  <c r="AR29" i="99"/>
  <c r="AJ29" i="99"/>
  <c r="AI29" i="99"/>
  <c r="AF29" i="99"/>
  <c r="AG29" i="99" s="1"/>
  <c r="AQ29" i="99" s="1"/>
  <c r="AR28" i="99"/>
  <c r="AJ28" i="99"/>
  <c r="AI28" i="99"/>
  <c r="AF28" i="99"/>
  <c r="AG28" i="99" s="1"/>
  <c r="AQ28" i="99" s="1"/>
  <c r="AR27" i="99"/>
  <c r="AJ27" i="99"/>
  <c r="AI27" i="99"/>
  <c r="AF27" i="99"/>
  <c r="AG27" i="99" s="1"/>
  <c r="AQ27" i="99" s="1"/>
  <c r="AR26" i="99"/>
  <c r="AJ26" i="99"/>
  <c r="AI26" i="99"/>
  <c r="AF26" i="99"/>
  <c r="AG26" i="99" s="1"/>
  <c r="AQ26" i="99" s="1"/>
  <c r="AR25" i="99"/>
  <c r="AJ25" i="99"/>
  <c r="AI25" i="99"/>
  <c r="AF25" i="99"/>
  <c r="AG25" i="99" s="1"/>
  <c r="AQ25" i="99" s="1"/>
  <c r="AR24" i="99"/>
  <c r="AJ24" i="99"/>
  <c r="AI24" i="99"/>
  <c r="AF24" i="99"/>
  <c r="AG24" i="99" s="1"/>
  <c r="AQ24" i="99" s="1"/>
  <c r="AR23" i="99"/>
  <c r="AJ23" i="99"/>
  <c r="AI23" i="99"/>
  <c r="AF23" i="99"/>
  <c r="AG23" i="99" s="1"/>
  <c r="AQ23" i="99" s="1"/>
  <c r="AR22" i="99"/>
  <c r="AJ22" i="99"/>
  <c r="AI22" i="99"/>
  <c r="AF22" i="99"/>
  <c r="AG22" i="99" s="1"/>
  <c r="AQ22" i="99" s="1"/>
  <c r="AR21" i="99"/>
  <c r="AJ21" i="99"/>
  <c r="AI21" i="99"/>
  <c r="AF21" i="99"/>
  <c r="AG21" i="99" s="1"/>
  <c r="AQ21" i="99" s="1"/>
  <c r="AR20" i="99"/>
  <c r="AJ20" i="99"/>
  <c r="AI20" i="99"/>
  <c r="AG20" i="99"/>
  <c r="AQ20" i="99" s="1"/>
  <c r="AF20" i="99"/>
  <c r="AR19" i="99"/>
  <c r="AJ19" i="99"/>
  <c r="AI19" i="99"/>
  <c r="AF19" i="99"/>
  <c r="AG19" i="99" s="1"/>
  <c r="AQ19" i="99" s="1"/>
  <c r="AR18" i="99"/>
  <c r="AJ18" i="99"/>
  <c r="AI18" i="99"/>
  <c r="AF18" i="99"/>
  <c r="AG18" i="99" s="1"/>
  <c r="AQ18" i="99" s="1"/>
  <c r="AR17" i="99"/>
  <c r="AJ17" i="99"/>
  <c r="AI17" i="99"/>
  <c r="AF17" i="99"/>
  <c r="AG17" i="99" s="1"/>
  <c r="AQ17" i="99" s="1"/>
  <c r="Q17" i="99"/>
  <c r="O17" i="99"/>
  <c r="P17" i="99" s="1"/>
  <c r="N17" i="99"/>
  <c r="L17" i="99"/>
  <c r="H17" i="99"/>
  <c r="I17" i="99" s="1"/>
  <c r="G17" i="99"/>
  <c r="K17" i="99" s="1"/>
  <c r="AR16" i="99"/>
  <c r="AJ16" i="99"/>
  <c r="AI16" i="99"/>
  <c r="AF16" i="99"/>
  <c r="AG16" i="99" s="1"/>
  <c r="AQ16" i="99" s="1"/>
  <c r="Q16" i="99"/>
  <c r="P16" i="99"/>
  <c r="O16" i="99"/>
  <c r="N16" i="99"/>
  <c r="L16" i="99"/>
  <c r="H16" i="99"/>
  <c r="I16" i="99" s="1"/>
  <c r="G16" i="99"/>
  <c r="K16" i="99" s="1"/>
  <c r="AR15" i="99"/>
  <c r="AJ15" i="99"/>
  <c r="AI15" i="99"/>
  <c r="AF15" i="99"/>
  <c r="AG15" i="99" s="1"/>
  <c r="AQ15" i="99" s="1"/>
  <c r="Q15" i="99"/>
  <c r="P15" i="99"/>
  <c r="O15" i="99"/>
  <c r="N15" i="99"/>
  <c r="L15" i="99"/>
  <c r="H15" i="99"/>
  <c r="I15" i="99" s="1"/>
  <c r="G15" i="99"/>
  <c r="K15" i="99" s="1"/>
  <c r="AR14" i="99"/>
  <c r="AJ14" i="99"/>
  <c r="AI14" i="99"/>
  <c r="AF14" i="99"/>
  <c r="AG14" i="99" s="1"/>
  <c r="AQ14" i="99" s="1"/>
  <c r="Q14" i="99"/>
  <c r="O14" i="99"/>
  <c r="P14" i="99" s="1"/>
  <c r="N14" i="99"/>
  <c r="L14" i="99"/>
  <c r="H14" i="99"/>
  <c r="I14" i="99" s="1"/>
  <c r="G14" i="99"/>
  <c r="K14" i="99" s="1"/>
  <c r="AR13" i="99"/>
  <c r="AJ13" i="99"/>
  <c r="AI13" i="99"/>
  <c r="AF13" i="99"/>
  <c r="AG13" i="99" s="1"/>
  <c r="AQ13" i="99" s="1"/>
  <c r="Q13" i="99"/>
  <c r="O13" i="99"/>
  <c r="P13" i="99" s="1"/>
  <c r="N13" i="99"/>
  <c r="L13" i="99"/>
  <c r="H13" i="99"/>
  <c r="I13" i="99" s="1"/>
  <c r="G13" i="99"/>
  <c r="K13" i="99" s="1"/>
  <c r="AR12" i="99"/>
  <c r="AJ12" i="99"/>
  <c r="AI12" i="99"/>
  <c r="AF12" i="99"/>
  <c r="AG12" i="99" s="1"/>
  <c r="AQ12" i="99" s="1"/>
  <c r="Q12" i="99"/>
  <c r="O12" i="99"/>
  <c r="P12" i="99" s="1"/>
  <c r="N12" i="99"/>
  <c r="L12" i="99"/>
  <c r="H12" i="99"/>
  <c r="I12" i="99" s="1"/>
  <c r="G12" i="99"/>
  <c r="K12" i="99" s="1"/>
  <c r="AR11" i="99"/>
  <c r="AJ11" i="99"/>
  <c r="AI11" i="99"/>
  <c r="AF11" i="99"/>
  <c r="AG11" i="99" s="1"/>
  <c r="AQ11" i="99" s="1"/>
  <c r="Q11" i="99"/>
  <c r="O11" i="99"/>
  <c r="P11" i="99" s="1"/>
  <c r="N11" i="99"/>
  <c r="L11" i="99"/>
  <c r="H11" i="99"/>
  <c r="I11" i="99" s="1"/>
  <c r="G11" i="99"/>
  <c r="K11" i="99" s="1"/>
  <c r="AR10" i="99"/>
  <c r="AJ10" i="99"/>
  <c r="AI10" i="99"/>
  <c r="AF10" i="99"/>
  <c r="AG10" i="99" s="1"/>
  <c r="AQ10" i="99" s="1"/>
  <c r="Q10" i="99"/>
  <c r="O10" i="99"/>
  <c r="P10" i="99" s="1"/>
  <c r="N10" i="99"/>
  <c r="L10" i="99"/>
  <c r="H10" i="99"/>
  <c r="I10" i="99" s="1"/>
  <c r="G10" i="99"/>
  <c r="K10" i="99" s="1"/>
  <c r="AR9" i="99"/>
  <c r="AK9" i="99"/>
  <c r="AK10" i="99" s="1"/>
  <c r="AK11" i="99" s="1"/>
  <c r="AK12" i="99" s="1"/>
  <c r="AK13" i="99" s="1"/>
  <c r="AK14" i="99" s="1"/>
  <c r="AK15" i="99" s="1"/>
  <c r="AK16" i="99" s="1"/>
  <c r="AK17" i="99" s="1"/>
  <c r="AK18" i="99" s="1"/>
  <c r="AK19" i="99" s="1"/>
  <c r="AK20" i="99" s="1"/>
  <c r="AK21" i="99" s="1"/>
  <c r="AK22" i="99" s="1"/>
  <c r="AK23" i="99" s="1"/>
  <c r="AK24" i="99" s="1"/>
  <c r="AK25" i="99" s="1"/>
  <c r="AK26" i="99" s="1"/>
  <c r="AK27" i="99" s="1"/>
  <c r="AK28" i="99" s="1"/>
  <c r="AK29" i="99" s="1"/>
  <c r="AK30" i="99" s="1"/>
  <c r="AK31" i="99" s="1"/>
  <c r="AK32" i="99" s="1"/>
  <c r="AK33" i="99" s="1"/>
  <c r="AK34" i="99" s="1"/>
  <c r="AK35" i="99" s="1"/>
  <c r="AK36" i="99" s="1"/>
  <c r="AK37" i="99" s="1"/>
  <c r="AK38" i="99" s="1"/>
  <c r="AK39" i="99" s="1"/>
  <c r="AK40" i="99" s="1"/>
  <c r="AK41" i="99" s="1"/>
  <c r="AK42" i="99" s="1"/>
  <c r="AK43" i="99" s="1"/>
  <c r="AK44" i="99" s="1"/>
  <c r="AJ9" i="99"/>
  <c r="AI9" i="99"/>
  <c r="AF9" i="99"/>
  <c r="AG9" i="99" s="1"/>
  <c r="AQ9" i="99" s="1"/>
  <c r="Q9" i="99"/>
  <c r="R9" i="99" s="1"/>
  <c r="O9" i="99"/>
  <c r="P9" i="99" s="1"/>
  <c r="N9" i="99"/>
  <c r="L9" i="99"/>
  <c r="H9" i="99"/>
  <c r="I9" i="99" s="1"/>
  <c r="G9" i="99"/>
  <c r="K9" i="99" s="1"/>
  <c r="AS8" i="99"/>
  <c r="AS9" i="99" s="1"/>
  <c r="AS10" i="99" s="1"/>
  <c r="AS11" i="99" s="1"/>
  <c r="AS12" i="99" s="1"/>
  <c r="AS13" i="99" s="1"/>
  <c r="AS14" i="99" s="1"/>
  <c r="AS15" i="99" s="1"/>
  <c r="AS16" i="99" s="1"/>
  <c r="AS17" i="99" s="1"/>
  <c r="AS18" i="99" s="1"/>
  <c r="AS19" i="99" s="1"/>
  <c r="AS20" i="99" s="1"/>
  <c r="AS21" i="99" s="1"/>
  <c r="AS22" i="99" s="1"/>
  <c r="AS23" i="99" s="1"/>
  <c r="AS24" i="99" s="1"/>
  <c r="AS25" i="99" s="1"/>
  <c r="AS26" i="99" s="1"/>
  <c r="AS27" i="99" s="1"/>
  <c r="AS28" i="99" s="1"/>
  <c r="AS29" i="99" s="1"/>
  <c r="AS30" i="99" s="1"/>
  <c r="AS31" i="99" s="1"/>
  <c r="AS32" i="99" s="1"/>
  <c r="AS33" i="99" s="1"/>
  <c r="AS34" i="99" s="1"/>
  <c r="AS35" i="99" s="1"/>
  <c r="AS36" i="99" s="1"/>
  <c r="AS37" i="99" s="1"/>
  <c r="AS38" i="99" s="1"/>
  <c r="AS39" i="99" s="1"/>
  <c r="AS40" i="99" s="1"/>
  <c r="AS41" i="99" s="1"/>
  <c r="AS42" i="99" s="1"/>
  <c r="AS43" i="99" s="1"/>
  <c r="AS44" i="99" s="1"/>
  <c r="AR8" i="99"/>
  <c r="AP8" i="99"/>
  <c r="AP9" i="99" s="1"/>
  <c r="AP10" i="99" s="1"/>
  <c r="AP11" i="99" s="1"/>
  <c r="AP12" i="99" s="1"/>
  <c r="AP13" i="99" s="1"/>
  <c r="AP14" i="99" s="1"/>
  <c r="AP15" i="99" s="1"/>
  <c r="AP16" i="99" s="1"/>
  <c r="AP17" i="99" s="1"/>
  <c r="AP18" i="99" s="1"/>
  <c r="AP19" i="99" s="1"/>
  <c r="AP20" i="99" s="1"/>
  <c r="AP21" i="99" s="1"/>
  <c r="AP22" i="99" s="1"/>
  <c r="AP23" i="99" s="1"/>
  <c r="AP24" i="99" s="1"/>
  <c r="AP25" i="99" s="1"/>
  <c r="AP26" i="99" s="1"/>
  <c r="AP27" i="99" s="1"/>
  <c r="AP28" i="99" s="1"/>
  <c r="AP29" i="99" s="1"/>
  <c r="AP30" i="99" s="1"/>
  <c r="AP31" i="99" s="1"/>
  <c r="AP32" i="99" s="1"/>
  <c r="AP33" i="99" s="1"/>
  <c r="AP34" i="99" s="1"/>
  <c r="AP35" i="99" s="1"/>
  <c r="AP36" i="99" s="1"/>
  <c r="AP37" i="99" s="1"/>
  <c r="AP38" i="99" s="1"/>
  <c r="AP39" i="99" s="1"/>
  <c r="AP40" i="99" s="1"/>
  <c r="AP41" i="99" s="1"/>
  <c r="AP42" i="99" s="1"/>
  <c r="AP43" i="99" s="1"/>
  <c r="AP44" i="99" s="1"/>
  <c r="AL8" i="99"/>
  <c r="AL9" i="99" s="1"/>
  <c r="AK8" i="99"/>
  <c r="AJ8" i="99"/>
  <c r="AI8" i="99"/>
  <c r="AH8" i="99"/>
  <c r="AH9" i="99" s="1"/>
  <c r="AH10" i="99" s="1"/>
  <c r="AH11" i="99" s="1"/>
  <c r="AH12" i="99" s="1"/>
  <c r="AH13" i="99" s="1"/>
  <c r="AH14" i="99" s="1"/>
  <c r="AH15" i="99" s="1"/>
  <c r="AH16" i="99" s="1"/>
  <c r="AH17" i="99" s="1"/>
  <c r="AH18" i="99" s="1"/>
  <c r="AH19" i="99" s="1"/>
  <c r="AH20" i="99" s="1"/>
  <c r="AH21" i="99" s="1"/>
  <c r="AH22" i="99" s="1"/>
  <c r="AH23" i="99" s="1"/>
  <c r="AH24" i="99" s="1"/>
  <c r="AH25" i="99" s="1"/>
  <c r="AH26" i="99" s="1"/>
  <c r="AH27" i="99" s="1"/>
  <c r="AH28" i="99" s="1"/>
  <c r="AH29" i="99" s="1"/>
  <c r="AH30" i="99" s="1"/>
  <c r="AH31" i="99" s="1"/>
  <c r="AH32" i="99" s="1"/>
  <c r="AH33" i="99" s="1"/>
  <c r="AH34" i="99" s="1"/>
  <c r="AH35" i="99" s="1"/>
  <c r="AH36" i="99" s="1"/>
  <c r="AH37" i="99" s="1"/>
  <c r="AH38" i="99" s="1"/>
  <c r="AH39" i="99" s="1"/>
  <c r="AH40" i="99" s="1"/>
  <c r="AH41" i="99" s="1"/>
  <c r="AH42" i="99" s="1"/>
  <c r="AH43" i="99" s="1"/>
  <c r="AH44" i="99" s="1"/>
  <c r="AF8" i="99"/>
  <c r="AG8" i="99" s="1"/>
  <c r="AQ8" i="99" s="1"/>
  <c r="Q8" i="99"/>
  <c r="O8" i="99"/>
  <c r="P8" i="99" s="1"/>
  <c r="N8" i="99"/>
  <c r="L8" i="99"/>
  <c r="H8" i="99"/>
  <c r="I8" i="99" s="1"/>
  <c r="G8" i="99"/>
  <c r="K8" i="99" s="1"/>
  <c r="AR7" i="99"/>
  <c r="AJ7" i="99"/>
  <c r="AI7" i="99"/>
  <c r="AF7" i="99"/>
  <c r="AM7" i="99" s="1"/>
  <c r="Q7" i="99"/>
  <c r="U7" i="99" s="1"/>
  <c r="O7" i="99"/>
  <c r="P7" i="99" s="1"/>
  <c r="N7" i="99"/>
  <c r="L7" i="99"/>
  <c r="H7" i="99"/>
  <c r="I7" i="99" s="1"/>
  <c r="G7" i="99"/>
  <c r="K7" i="99" s="1"/>
  <c r="AF12" i="45"/>
  <c r="AG12" i="45" s="1"/>
  <c r="M12" i="45"/>
  <c r="L12" i="45"/>
  <c r="J12" i="45"/>
  <c r="I12" i="45"/>
  <c r="N12" i="45"/>
  <c r="E18" i="48"/>
  <c r="L8" i="48"/>
  <c r="L9" i="48"/>
  <c r="L10" i="48"/>
  <c r="L11" i="48"/>
  <c r="L12" i="48"/>
  <c r="L13" i="48"/>
  <c r="L14" i="48"/>
  <c r="L15" i="48"/>
  <c r="L16" i="48"/>
  <c r="L17" i="48"/>
  <c r="AI8" i="48"/>
  <c r="AJ8" i="48"/>
  <c r="AI9" i="48"/>
  <c r="AJ9" i="48"/>
  <c r="AI10" i="48"/>
  <c r="AJ10" i="48"/>
  <c r="AI11" i="48"/>
  <c r="AJ11" i="48"/>
  <c r="AI12" i="48"/>
  <c r="AJ12" i="48"/>
  <c r="AI13" i="48"/>
  <c r="AJ13" i="48"/>
  <c r="AI14" i="48"/>
  <c r="AJ14" i="48"/>
  <c r="AI15" i="48"/>
  <c r="AJ15" i="48"/>
  <c r="AI16" i="48"/>
  <c r="AJ16" i="48"/>
  <c r="AI17" i="48"/>
  <c r="AJ17" i="48"/>
  <c r="AI18" i="48"/>
  <c r="AJ18" i="48"/>
  <c r="AI19" i="48"/>
  <c r="AJ19" i="48"/>
  <c r="AI20" i="48"/>
  <c r="AJ20" i="48"/>
  <c r="AI21" i="48"/>
  <c r="AJ21" i="48"/>
  <c r="AI22" i="48"/>
  <c r="AJ22" i="48"/>
  <c r="AI23" i="48"/>
  <c r="AJ23" i="48"/>
  <c r="AI24" i="48"/>
  <c r="AJ24" i="48"/>
  <c r="AI25" i="48"/>
  <c r="AJ25" i="48"/>
  <c r="AI26" i="48"/>
  <c r="AJ26" i="48"/>
  <c r="AI27" i="48"/>
  <c r="AJ27" i="48"/>
  <c r="AI28" i="48"/>
  <c r="AJ28" i="48"/>
  <c r="AI29" i="48"/>
  <c r="AJ29" i="48"/>
  <c r="AI30" i="48"/>
  <c r="AJ30" i="48"/>
  <c r="AI31" i="48"/>
  <c r="AJ31" i="48"/>
  <c r="AI32" i="48"/>
  <c r="AJ32" i="48"/>
  <c r="AI33" i="48"/>
  <c r="AJ33" i="48"/>
  <c r="AI34" i="48"/>
  <c r="AJ34" i="48"/>
  <c r="AI35" i="48"/>
  <c r="AJ35" i="48"/>
  <c r="AI36" i="48"/>
  <c r="AJ36" i="48"/>
  <c r="AI37" i="48"/>
  <c r="AJ37" i="48"/>
  <c r="AI38" i="48"/>
  <c r="AJ38" i="48"/>
  <c r="AI39" i="48"/>
  <c r="AJ39" i="48"/>
  <c r="AI40" i="48"/>
  <c r="AJ40" i="48"/>
  <c r="AI41" i="48"/>
  <c r="AJ41" i="48"/>
  <c r="AI42" i="48"/>
  <c r="AJ42" i="48"/>
  <c r="AI43" i="48"/>
  <c r="AJ43" i="48"/>
  <c r="AI44" i="48"/>
  <c r="AJ44" i="48"/>
  <c r="AJ7" i="48"/>
  <c r="AI7" i="48"/>
  <c r="AY12" i="45"/>
  <c r="AX12" i="45"/>
  <c r="AO12" i="45"/>
  <c r="Z12" i="45"/>
  <c r="AN12" i="45"/>
  <c r="Y12" i="45"/>
  <c r="U12" i="45"/>
  <c r="AG7" i="99" l="1"/>
  <c r="AQ7" i="99" s="1"/>
  <c r="R12" i="99"/>
  <c r="AM8" i="99"/>
  <c r="R13" i="99"/>
  <c r="Z13" i="99" s="1"/>
  <c r="R10" i="99"/>
  <c r="AN8" i="99"/>
  <c r="AO8" i="99" s="1"/>
  <c r="S13" i="99"/>
  <c r="V13" i="99" s="1"/>
  <c r="X13" i="99"/>
  <c r="S12" i="99"/>
  <c r="Z12" i="99"/>
  <c r="X12" i="99"/>
  <c r="AM9" i="99"/>
  <c r="AN9" i="99" s="1"/>
  <c r="AO9" i="99" s="1"/>
  <c r="AL10" i="99"/>
  <c r="S10" i="99"/>
  <c r="Z10" i="99"/>
  <c r="X10" i="99"/>
  <c r="S9" i="99"/>
  <c r="X9" i="99"/>
  <c r="Z9" i="99"/>
  <c r="R7" i="99"/>
  <c r="U11" i="99"/>
  <c r="P18" i="99"/>
  <c r="AY2" i="99" s="1"/>
  <c r="AN7" i="99"/>
  <c r="AO7" i="99" s="1"/>
  <c r="U15" i="99"/>
  <c r="T15" i="99"/>
  <c r="R15" i="99"/>
  <c r="U13" i="99"/>
  <c r="T13" i="99"/>
  <c r="U17" i="99"/>
  <c r="R17" i="99"/>
  <c r="U8" i="99"/>
  <c r="R11" i="99"/>
  <c r="T11" i="99" s="1"/>
  <c r="R8" i="99"/>
  <c r="U16" i="99"/>
  <c r="R16" i="99"/>
  <c r="U9" i="99"/>
  <c r="T9" i="99"/>
  <c r="U10" i="99"/>
  <c r="T10" i="99"/>
  <c r="U12" i="99"/>
  <c r="T12" i="99"/>
  <c r="U14" i="99"/>
  <c r="R14" i="99"/>
  <c r="O8" i="48"/>
  <c r="P8" i="48" s="1"/>
  <c r="G8" i="48"/>
  <c r="K8" i="48" s="1"/>
  <c r="AH8" i="48"/>
  <c r="AH9" i="48" s="1"/>
  <c r="AH10" i="48" s="1"/>
  <c r="AH11" i="48" s="1"/>
  <c r="AH12" i="48" s="1"/>
  <c r="AH13" i="48" s="1"/>
  <c r="AH14" i="48" s="1"/>
  <c r="AH15" i="48" s="1"/>
  <c r="AH16" i="48" s="1"/>
  <c r="AH17" i="48" s="1"/>
  <c r="AH18" i="48" s="1"/>
  <c r="AH19" i="48" s="1"/>
  <c r="AH20" i="48" s="1"/>
  <c r="AH21" i="48" s="1"/>
  <c r="AH22" i="48" s="1"/>
  <c r="AH23" i="48" s="1"/>
  <c r="AH24" i="48" s="1"/>
  <c r="AH25" i="48" s="1"/>
  <c r="AH26" i="48" s="1"/>
  <c r="AH27" i="48" s="1"/>
  <c r="AH28" i="48" s="1"/>
  <c r="AH29" i="48" s="1"/>
  <c r="AH30" i="48" s="1"/>
  <c r="AH31" i="48" s="1"/>
  <c r="AH32" i="48" s="1"/>
  <c r="AH33" i="48" s="1"/>
  <c r="AH34" i="48" s="1"/>
  <c r="AH35" i="48" s="1"/>
  <c r="AH36" i="48" s="1"/>
  <c r="AH37" i="48" s="1"/>
  <c r="AH38" i="48" s="1"/>
  <c r="AH39" i="48" s="1"/>
  <c r="AH40" i="48" s="1"/>
  <c r="AH41" i="48" s="1"/>
  <c r="AH42" i="48" s="1"/>
  <c r="AH43" i="48" s="1"/>
  <c r="AH44" i="48" s="1"/>
  <c r="AK8" i="48"/>
  <c r="AL8" i="48"/>
  <c r="AL9" i="48" s="1"/>
  <c r="AL10" i="48" s="1"/>
  <c r="AL11" i="48" s="1"/>
  <c r="AL12" i="48" s="1"/>
  <c r="AP8" i="48"/>
  <c r="AP9" i="48" s="1"/>
  <c r="AP10" i="48" s="1"/>
  <c r="AP11" i="48" s="1"/>
  <c r="AP12" i="48" s="1"/>
  <c r="AP13" i="48" s="1"/>
  <c r="AP14" i="48" s="1"/>
  <c r="AP15" i="48" s="1"/>
  <c r="AP16" i="48" s="1"/>
  <c r="AP17" i="48" s="1"/>
  <c r="AP18" i="48" s="1"/>
  <c r="AP19" i="48" s="1"/>
  <c r="AP20" i="48" s="1"/>
  <c r="AP21" i="48" s="1"/>
  <c r="AP22" i="48" s="1"/>
  <c r="AP23" i="48" s="1"/>
  <c r="AP24" i="48" s="1"/>
  <c r="AP25" i="48" s="1"/>
  <c r="AP26" i="48" s="1"/>
  <c r="AP27" i="48" s="1"/>
  <c r="AP28" i="48" s="1"/>
  <c r="AP29" i="48" s="1"/>
  <c r="AP30" i="48" s="1"/>
  <c r="AP31" i="48" s="1"/>
  <c r="AP32" i="48" s="1"/>
  <c r="AP33" i="48" s="1"/>
  <c r="AP34" i="48" s="1"/>
  <c r="AP35" i="48" s="1"/>
  <c r="AP36" i="48" s="1"/>
  <c r="AP37" i="48" s="1"/>
  <c r="AP38" i="48" s="1"/>
  <c r="AP39" i="48" s="1"/>
  <c r="AP40" i="48" s="1"/>
  <c r="AP41" i="48" s="1"/>
  <c r="AP42" i="48" s="1"/>
  <c r="AP43" i="48" s="1"/>
  <c r="AP44" i="48" s="1"/>
  <c r="V10" i="99" l="1"/>
  <c r="W10" i="99" s="1"/>
  <c r="W13" i="99"/>
  <c r="U18" i="99"/>
  <c r="S8" i="99"/>
  <c r="X8" i="99"/>
  <c r="Z8" i="99"/>
  <c r="V9" i="99"/>
  <c r="W9" i="99" s="1"/>
  <c r="Y9" i="99"/>
  <c r="V12" i="99"/>
  <c r="W12" i="99" s="1"/>
  <c r="Z14" i="99"/>
  <c r="S14" i="99"/>
  <c r="X14" i="99"/>
  <c r="R18" i="99"/>
  <c r="X7" i="99"/>
  <c r="Z7" i="99"/>
  <c r="S7" i="99"/>
  <c r="AL11" i="99"/>
  <c r="AM10" i="99"/>
  <c r="T8" i="99"/>
  <c r="T7" i="99"/>
  <c r="T14" i="99"/>
  <c r="S11" i="99"/>
  <c r="X11" i="99"/>
  <c r="Z11" i="99"/>
  <c r="Z16" i="99"/>
  <c r="S16" i="99"/>
  <c r="X16" i="99"/>
  <c r="Y12" i="99"/>
  <c r="Z17" i="99"/>
  <c r="S17" i="99"/>
  <c r="X17" i="99"/>
  <c r="T17" i="99"/>
  <c r="Y13" i="99"/>
  <c r="T16" i="99"/>
  <c r="Z15" i="99"/>
  <c r="S15" i="99"/>
  <c r="X15" i="99"/>
  <c r="Y10" i="99"/>
  <c r="R8" i="48"/>
  <c r="U8" i="48"/>
  <c r="AK9" i="48"/>
  <c r="AK10" i="48" s="1"/>
  <c r="AL13" i="48"/>
  <c r="T18" i="99" l="1"/>
  <c r="AX2" i="99" s="1"/>
  <c r="Y4" i="99" s="1"/>
  <c r="W16" i="99"/>
  <c r="V8" i="99"/>
  <c r="W8" i="99" s="1"/>
  <c r="Y8" i="99"/>
  <c r="V15" i="99"/>
  <c r="W15" i="99" s="1"/>
  <c r="Y15" i="99"/>
  <c r="W7" i="99"/>
  <c r="AN10" i="99"/>
  <c r="AO10" i="99" s="1"/>
  <c r="V16" i="99"/>
  <c r="Y16" i="99"/>
  <c r="V17" i="99"/>
  <c r="W17" i="99" s="1"/>
  <c r="Y17" i="99"/>
  <c r="V11" i="99"/>
  <c r="W11" i="99" s="1"/>
  <c r="Y11" i="99"/>
  <c r="S18" i="99"/>
  <c r="AW2" i="99" s="1"/>
  <c r="V7" i="99"/>
  <c r="Y7" i="99"/>
  <c r="V14" i="99"/>
  <c r="W14" i="99" s="1"/>
  <c r="Y14" i="99"/>
  <c r="AM11" i="99"/>
  <c r="AN11" i="99" s="1"/>
  <c r="AO11" i="99" s="1"/>
  <c r="AL12" i="99"/>
  <c r="T8" i="48"/>
  <c r="Z8" i="48"/>
  <c r="X8" i="48"/>
  <c r="S8" i="48"/>
  <c r="Y8" i="48" s="1"/>
  <c r="AK11" i="48"/>
  <c r="AL14" i="48"/>
  <c r="M10" i="37"/>
  <c r="V18" i="99" l="1"/>
  <c r="AM12" i="99"/>
  <c r="AN12" i="99" s="1"/>
  <c r="AO12" i="99" s="1"/>
  <c r="AL13" i="99"/>
  <c r="V8" i="48"/>
  <c r="AL15" i="48"/>
  <c r="AK12" i="48"/>
  <c r="G11" i="48"/>
  <c r="K11" i="48" s="1"/>
  <c r="O11" i="48"/>
  <c r="P11" i="48" s="1"/>
  <c r="U11" i="48"/>
  <c r="G15" i="48"/>
  <c r="K15" i="48" s="1"/>
  <c r="O15" i="48"/>
  <c r="P15" i="48" s="1"/>
  <c r="G9" i="48"/>
  <c r="K9" i="48" s="1"/>
  <c r="O9" i="48"/>
  <c r="P9" i="48" s="1"/>
  <c r="G12" i="48"/>
  <c r="K12" i="48" s="1"/>
  <c r="O12" i="48"/>
  <c r="P12" i="48" s="1"/>
  <c r="G13" i="48"/>
  <c r="K13" i="48" s="1"/>
  <c r="O13" i="48"/>
  <c r="P13" i="48" s="1"/>
  <c r="G14" i="48"/>
  <c r="K14" i="48" s="1"/>
  <c r="O14" i="48"/>
  <c r="P14" i="48" s="1"/>
  <c r="G16" i="48"/>
  <c r="K16" i="48" s="1"/>
  <c r="O16" i="48"/>
  <c r="P16" i="48" s="1"/>
  <c r="G17" i="48"/>
  <c r="K17" i="48" s="1"/>
  <c r="O17" i="48"/>
  <c r="P17" i="48" s="1"/>
  <c r="AL14" i="99" l="1"/>
  <c r="AM13" i="99"/>
  <c r="AN13" i="99" s="1"/>
  <c r="AO13" i="99" s="1"/>
  <c r="U9" i="48"/>
  <c r="R11" i="48"/>
  <c r="U17" i="48"/>
  <c r="U16" i="48"/>
  <c r="U14" i="48"/>
  <c r="U13" i="48"/>
  <c r="U12" i="48"/>
  <c r="AK13" i="48"/>
  <c r="AL16" i="48"/>
  <c r="U15" i="48"/>
  <c r="R15" i="48" s="1"/>
  <c r="R9" i="48"/>
  <c r="R14" i="48"/>
  <c r="R16" i="48"/>
  <c r="R13" i="48"/>
  <c r="R12" i="48"/>
  <c r="R17" i="48"/>
  <c r="O10" i="48"/>
  <c r="P10" i="48" s="1"/>
  <c r="G10" i="48"/>
  <c r="K10" i="48" s="1"/>
  <c r="O7" i="48"/>
  <c r="P7" i="48" s="1"/>
  <c r="L7" i="48"/>
  <c r="G7" i="48"/>
  <c r="K7" i="48" s="1"/>
  <c r="AJ12" i="45"/>
  <c r="AM14" i="99" l="1"/>
  <c r="AL15" i="99"/>
  <c r="P18" i="48"/>
  <c r="AY2" i="48" s="1"/>
  <c r="H12" i="45" s="1"/>
  <c r="AF19" i="48"/>
  <c r="T11" i="48"/>
  <c r="Z11" i="48"/>
  <c r="X11" i="48"/>
  <c r="X13" i="48"/>
  <c r="Z13" i="48"/>
  <c r="AF18" i="48"/>
  <c r="X14" i="48"/>
  <c r="Z14" i="48"/>
  <c r="Z17" i="48"/>
  <c r="X17" i="48"/>
  <c r="Z9" i="48"/>
  <c r="X9" i="48"/>
  <c r="X16" i="48"/>
  <c r="Z16" i="48"/>
  <c r="Z12" i="48"/>
  <c r="X12" i="48"/>
  <c r="X15" i="48"/>
  <c r="Z15" i="48"/>
  <c r="S15" i="48"/>
  <c r="Y15" i="48" s="1"/>
  <c r="T15" i="48"/>
  <c r="S13" i="48"/>
  <c r="Y13" i="48" s="1"/>
  <c r="T13" i="48"/>
  <c r="AF34" i="48"/>
  <c r="S16" i="48"/>
  <c r="Y16" i="48" s="1"/>
  <c r="T16" i="48"/>
  <c r="AF33" i="48"/>
  <c r="AF41" i="48"/>
  <c r="AF43" i="48"/>
  <c r="AF35" i="48"/>
  <c r="AF39" i="48"/>
  <c r="S17" i="48"/>
  <c r="Y17" i="48" s="1"/>
  <c r="T17" i="48"/>
  <c r="S14" i="48"/>
  <c r="Y14" i="48" s="1"/>
  <c r="T14" i="48"/>
  <c r="AF40" i="48"/>
  <c r="S12" i="48"/>
  <c r="AF12" i="48" s="1"/>
  <c r="T12" i="48"/>
  <c r="S9" i="48"/>
  <c r="T9" i="48"/>
  <c r="AF44" i="48"/>
  <c r="AF38" i="48"/>
  <c r="AF37" i="48"/>
  <c r="AF21" i="48"/>
  <c r="S11" i="48"/>
  <c r="Y11" i="48" s="1"/>
  <c r="AF28" i="48"/>
  <c r="AF27" i="48"/>
  <c r="AF29" i="48"/>
  <c r="AF32" i="48"/>
  <c r="AF23" i="48"/>
  <c r="AF20" i="48"/>
  <c r="AF24" i="48"/>
  <c r="AF36" i="48"/>
  <c r="U7" i="48"/>
  <c r="U10" i="48"/>
  <c r="AL17" i="48"/>
  <c r="AK14" i="48"/>
  <c r="R10" i="48"/>
  <c r="R7" i="48"/>
  <c r="AF14" i="48" l="1"/>
  <c r="AQ14" i="48" s="1"/>
  <c r="AF17" i="48"/>
  <c r="AQ17" i="48" s="1"/>
  <c r="AF13" i="48"/>
  <c r="AQ13" i="48" s="1"/>
  <c r="AF15" i="48"/>
  <c r="AQ15" i="48" s="1"/>
  <c r="AM15" i="99"/>
  <c r="AN15" i="99" s="1"/>
  <c r="AO15" i="99" s="1"/>
  <c r="AL16" i="99"/>
  <c r="AN14" i="99"/>
  <c r="AO14" i="99" s="1"/>
  <c r="R18" i="48"/>
  <c r="U18" i="48"/>
  <c r="V15" i="48"/>
  <c r="S7" i="48"/>
  <c r="X7" i="48"/>
  <c r="AF30" i="48"/>
  <c r="AF8" i="48"/>
  <c r="Y9" i="48"/>
  <c r="AF16" i="48"/>
  <c r="AQ16" i="48" s="1"/>
  <c r="AF26" i="48"/>
  <c r="AF31" i="48"/>
  <c r="Z10" i="48"/>
  <c r="X10" i="48"/>
  <c r="AF22" i="48"/>
  <c r="AF25" i="48"/>
  <c r="AF11" i="48"/>
  <c r="AQ11" i="48" s="1"/>
  <c r="Y12" i="48"/>
  <c r="S10" i="48"/>
  <c r="T10" i="48"/>
  <c r="V11" i="48"/>
  <c r="AF10" i="48"/>
  <c r="AG10" i="48" s="1"/>
  <c r="AQ10" i="48" s="1"/>
  <c r="AM12" i="48"/>
  <c r="AN12" i="48" s="1"/>
  <c r="AO12" i="48" s="1"/>
  <c r="T7" i="48"/>
  <c r="AF42" i="48"/>
  <c r="V9" i="48"/>
  <c r="AK15" i="48"/>
  <c r="AL18" i="48"/>
  <c r="V17" i="48"/>
  <c r="V13" i="48"/>
  <c r="V12" i="48"/>
  <c r="V16" i="48"/>
  <c r="V14" i="48"/>
  <c r="Z7" i="48"/>
  <c r="AM14" i="48" l="1"/>
  <c r="AN14" i="48" s="1"/>
  <c r="AO14" i="48" s="1"/>
  <c r="AM13" i="48"/>
  <c r="AN13" i="48" s="1"/>
  <c r="AO13" i="48" s="1"/>
  <c r="AM16" i="99"/>
  <c r="AN16" i="99" s="1"/>
  <c r="AO16" i="99" s="1"/>
  <c r="AL17" i="99"/>
  <c r="K12" i="45"/>
  <c r="BB12" i="45" s="1"/>
  <c r="AF7" i="48"/>
  <c r="AG7" i="48" s="1"/>
  <c r="AQ7" i="48" s="1"/>
  <c r="S18" i="48"/>
  <c r="AW2" i="48" s="1"/>
  <c r="B12" i="45" s="1"/>
  <c r="T18" i="48"/>
  <c r="AX2" i="48" s="1"/>
  <c r="D12" i="45" s="1"/>
  <c r="AG8" i="48"/>
  <c r="AQ8" i="48" s="1"/>
  <c r="AM11" i="48"/>
  <c r="AN11" i="48" s="1"/>
  <c r="AO11" i="48" s="1"/>
  <c r="AF9" i="48"/>
  <c r="Y10" i="48"/>
  <c r="AM8" i="48"/>
  <c r="AN8" i="48" s="1"/>
  <c r="AO8" i="48" s="1"/>
  <c r="AM10" i="48"/>
  <c r="AN10" i="48" s="1"/>
  <c r="AO10" i="48" s="1"/>
  <c r="AL19" i="48"/>
  <c r="AK16" i="48"/>
  <c r="AM15" i="48"/>
  <c r="AN15" i="48" s="1"/>
  <c r="AO15" i="48" s="1"/>
  <c r="V10" i="48"/>
  <c r="V7" i="48"/>
  <c r="Y7" i="48"/>
  <c r="AM7" i="48" l="1"/>
  <c r="AN7" i="48" s="1"/>
  <c r="AO7" i="48" s="1"/>
  <c r="AL18" i="99"/>
  <c r="AM17" i="99"/>
  <c r="AN17" i="99" s="1"/>
  <c r="AO17" i="99" s="1"/>
  <c r="B13" i="45"/>
  <c r="V18" i="48"/>
  <c r="AM9" i="48"/>
  <c r="AN9" i="48" s="1"/>
  <c r="AO9" i="48" s="1"/>
  <c r="AG9" i="48"/>
  <c r="AQ9" i="48" s="1"/>
  <c r="AK17" i="48"/>
  <c r="AM16" i="48"/>
  <c r="AN16" i="48" s="1"/>
  <c r="AO16" i="48" s="1"/>
  <c r="AL20" i="48"/>
  <c r="AM18" i="99" l="1"/>
  <c r="AN18" i="99" s="1"/>
  <c r="AO18" i="99" s="1"/>
  <c r="AL19" i="99"/>
  <c r="AL21" i="48"/>
  <c r="AK18" i="48"/>
  <c r="AM17" i="48"/>
  <c r="P21" i="48"/>
  <c r="O12" i="45"/>
  <c r="Q12" i="45" s="1"/>
  <c r="R12" i="45" s="1"/>
  <c r="W12" i="45" s="1"/>
  <c r="AA12" i="45" s="1"/>
  <c r="AL20" i="99" l="1"/>
  <c r="AM19" i="99"/>
  <c r="AN19" i="99" s="1"/>
  <c r="AO19" i="99" s="1"/>
  <c r="AN17" i="48"/>
  <c r="AO17" i="48" s="1"/>
  <c r="AL22" i="48"/>
  <c r="AK19" i="48"/>
  <c r="AM18" i="48"/>
  <c r="AN18" i="48" s="1"/>
  <c r="AO18" i="48" s="1"/>
  <c r="AT12" i="45"/>
  <c r="AC12" i="45"/>
  <c r="AD12" i="45" s="1"/>
  <c r="AL12" i="45" s="1"/>
  <c r="AB12" i="45"/>
  <c r="AK12" i="45" s="1"/>
  <c r="P12" i="45"/>
  <c r="V12" i="45" s="1"/>
  <c r="X12" i="45" s="1"/>
  <c r="AU12" i="45"/>
  <c r="N7" i="63"/>
  <c r="AM12" i="45" l="1"/>
  <c r="AR12" i="45" s="1"/>
  <c r="AM20" i="99"/>
  <c r="AN20" i="99" s="1"/>
  <c r="AO20" i="99" s="1"/>
  <c r="AL21" i="99"/>
  <c r="AA13" i="45"/>
  <c r="N8" i="63"/>
  <c r="AK20" i="48"/>
  <c r="AM19" i="48"/>
  <c r="AN19" i="48" s="1"/>
  <c r="AO19" i="48" s="1"/>
  <c r="AL23" i="48"/>
  <c r="AP12" i="45"/>
  <c r="AW12" i="45"/>
  <c r="AW13" i="45" s="1"/>
  <c r="AL22" i="99" l="1"/>
  <c r="AM21" i="99"/>
  <c r="AN21" i="99" s="1"/>
  <c r="AO21" i="99" s="1"/>
  <c r="AP13" i="45"/>
  <c r="AS12" i="45"/>
  <c r="AS13" i="45" s="1"/>
  <c r="K8" i="64" s="1"/>
  <c r="AL24" i="48"/>
  <c r="AK21" i="48"/>
  <c r="AM20" i="48"/>
  <c r="AN20" i="48" s="1"/>
  <c r="AO20" i="48" s="1"/>
  <c r="AQ12" i="45"/>
  <c r="AQ13" i="45" s="1"/>
  <c r="K7" i="64" s="1"/>
  <c r="AZ12" i="45"/>
  <c r="AZ13" i="45" s="1"/>
  <c r="AM22" i="99" l="1"/>
  <c r="AN22" i="99" s="1"/>
  <c r="AO22" i="99" s="1"/>
  <c r="AL23" i="99"/>
  <c r="AK22" i="48"/>
  <c r="AM21" i="48"/>
  <c r="AN21" i="48" s="1"/>
  <c r="AO21" i="48" s="1"/>
  <c r="AL25" i="48"/>
  <c r="AL24" i="99" l="1"/>
  <c r="AM23" i="99"/>
  <c r="AN23" i="99" s="1"/>
  <c r="AO23" i="99" s="1"/>
  <c r="AL26" i="48"/>
  <c r="AK23" i="48"/>
  <c r="AM22" i="48"/>
  <c r="AN22" i="48" s="1"/>
  <c r="AO22" i="48" s="1"/>
  <c r="AM24" i="99" l="1"/>
  <c r="AN24" i="99" s="1"/>
  <c r="AO24" i="99" s="1"/>
  <c r="AL25" i="99"/>
  <c r="AK24" i="48"/>
  <c r="AM23" i="48"/>
  <c r="AN23" i="48" s="1"/>
  <c r="AO23" i="48" s="1"/>
  <c r="AL27" i="48"/>
  <c r="AL26" i="99" l="1"/>
  <c r="AM25" i="99"/>
  <c r="AN25" i="99" s="1"/>
  <c r="AO25" i="99" s="1"/>
  <c r="AL28" i="48"/>
  <c r="AK25" i="48"/>
  <c r="AM24" i="48"/>
  <c r="AN24" i="48" s="1"/>
  <c r="AO24" i="48" s="1"/>
  <c r="AL27" i="99" l="1"/>
  <c r="AM26" i="99"/>
  <c r="AN26" i="99" s="1"/>
  <c r="AO26" i="99" s="1"/>
  <c r="AK26" i="48"/>
  <c r="AM25" i="48"/>
  <c r="AN25" i="48" s="1"/>
  <c r="AO25" i="48" s="1"/>
  <c r="AL29" i="48"/>
  <c r="AL28" i="99" l="1"/>
  <c r="AM27" i="99"/>
  <c r="AN27" i="99" s="1"/>
  <c r="AO27" i="99" s="1"/>
  <c r="AL30" i="48"/>
  <c r="AK27" i="48"/>
  <c r="AM26" i="48"/>
  <c r="AN26" i="48" s="1"/>
  <c r="AO26" i="48" s="1"/>
  <c r="AL29" i="99" l="1"/>
  <c r="AM28" i="99"/>
  <c r="AN28" i="99" s="1"/>
  <c r="AO28" i="99" s="1"/>
  <c r="AK28" i="48"/>
  <c r="AM27" i="48"/>
  <c r="AN27" i="48" s="1"/>
  <c r="AO27" i="48" s="1"/>
  <c r="AL31" i="48"/>
  <c r="AL30" i="99" l="1"/>
  <c r="AM29" i="99"/>
  <c r="AN29" i="99" s="1"/>
  <c r="AO29" i="99" s="1"/>
  <c r="AL32" i="48"/>
  <c r="AK29" i="48"/>
  <c r="AM28" i="48"/>
  <c r="AN28" i="48" s="1"/>
  <c r="AO28" i="48" s="1"/>
  <c r="AL31" i="99" l="1"/>
  <c r="AM30" i="99"/>
  <c r="AN30" i="99" s="1"/>
  <c r="AO30" i="99" s="1"/>
  <c r="AK30" i="48"/>
  <c r="AM29" i="48"/>
  <c r="AN29" i="48" s="1"/>
  <c r="AO29" i="48" s="1"/>
  <c r="AL33" i="48"/>
  <c r="AL32" i="99" l="1"/>
  <c r="AM31" i="99"/>
  <c r="AN31" i="99" s="1"/>
  <c r="AO31" i="99" s="1"/>
  <c r="AL34" i="48"/>
  <c r="AK31" i="48"/>
  <c r="AM30" i="48"/>
  <c r="AN30" i="48" s="1"/>
  <c r="AO30" i="48" s="1"/>
  <c r="AM32" i="99" l="1"/>
  <c r="AN32" i="99" s="1"/>
  <c r="AO32" i="99" s="1"/>
  <c r="AL33" i="99"/>
  <c r="AK32" i="48"/>
  <c r="AM31" i="48"/>
  <c r="AN31" i="48" s="1"/>
  <c r="AO31" i="48" s="1"/>
  <c r="AL35" i="48"/>
  <c r="AL34" i="99" l="1"/>
  <c r="AM33" i="99"/>
  <c r="AN33" i="99" s="1"/>
  <c r="AO33" i="99" s="1"/>
  <c r="AL36" i="48"/>
  <c r="AK33" i="48"/>
  <c r="AM32" i="48"/>
  <c r="AN32" i="48" s="1"/>
  <c r="AO32" i="48" s="1"/>
  <c r="AL35" i="99" l="1"/>
  <c r="AM34" i="99"/>
  <c r="AN34" i="99" s="1"/>
  <c r="AO34" i="99" s="1"/>
  <c r="AK34" i="48"/>
  <c r="AM33" i="48"/>
  <c r="AN33" i="48" s="1"/>
  <c r="AO33" i="48" s="1"/>
  <c r="AL37" i="48"/>
  <c r="AL36" i="99" l="1"/>
  <c r="AM35" i="99"/>
  <c r="AN35" i="99" s="1"/>
  <c r="AO35" i="99" s="1"/>
  <c r="AL38" i="48"/>
  <c r="AK35" i="48"/>
  <c r="AM34" i="48"/>
  <c r="AN34" i="48" s="1"/>
  <c r="AO34" i="48" s="1"/>
  <c r="AL37" i="99" l="1"/>
  <c r="AM36" i="99"/>
  <c r="AN36" i="99" s="1"/>
  <c r="AO36" i="99" s="1"/>
  <c r="AK36" i="48"/>
  <c r="AM35" i="48"/>
  <c r="AN35" i="48" s="1"/>
  <c r="AO35" i="48" s="1"/>
  <c r="AL39" i="48"/>
  <c r="AM37" i="99" l="1"/>
  <c r="AN37" i="99" s="1"/>
  <c r="AO37" i="99" s="1"/>
  <c r="AL38" i="99"/>
  <c r="AL40" i="48"/>
  <c r="AK37" i="48"/>
  <c r="AM36" i="48"/>
  <c r="AN36" i="48" s="1"/>
  <c r="AO36" i="48" s="1"/>
  <c r="AM38" i="99" l="1"/>
  <c r="AN38" i="99" s="1"/>
  <c r="AO38" i="99" s="1"/>
  <c r="AL39" i="99"/>
  <c r="AK38" i="48"/>
  <c r="AM37" i="48"/>
  <c r="AN37" i="48" s="1"/>
  <c r="AO37" i="48" s="1"/>
  <c r="AL41" i="48"/>
  <c r="AM39" i="99" l="1"/>
  <c r="AN39" i="99" s="1"/>
  <c r="AO39" i="99" s="1"/>
  <c r="AL40" i="99"/>
  <c r="AL42" i="48"/>
  <c r="AK39" i="48"/>
  <c r="AM38" i="48"/>
  <c r="AN38" i="48" s="1"/>
  <c r="AO38" i="48" s="1"/>
  <c r="AM40" i="99" l="1"/>
  <c r="AN40" i="99" s="1"/>
  <c r="AO40" i="99" s="1"/>
  <c r="AL41" i="99"/>
  <c r="AK40" i="48"/>
  <c r="AM39" i="48"/>
  <c r="AN39" i="48" s="1"/>
  <c r="AO39" i="48" s="1"/>
  <c r="AL43" i="48"/>
  <c r="AL44" i="48" s="1"/>
  <c r="AM41" i="99" l="1"/>
  <c r="AN41" i="99" s="1"/>
  <c r="AO41" i="99" s="1"/>
  <c r="AL42" i="99"/>
  <c r="AK41" i="48"/>
  <c r="AM40" i="48"/>
  <c r="AN40" i="48" s="1"/>
  <c r="AO40" i="48" s="1"/>
  <c r="AM42" i="99" l="1"/>
  <c r="AN42" i="99" s="1"/>
  <c r="AO42" i="99" s="1"/>
  <c r="AL43" i="99"/>
  <c r="AK42" i="48"/>
  <c r="AM41" i="48"/>
  <c r="AN41" i="48" s="1"/>
  <c r="AO41" i="48" s="1"/>
  <c r="AM43" i="99" l="1"/>
  <c r="AN43" i="99" s="1"/>
  <c r="AO43" i="99" s="1"/>
  <c r="AL44" i="99"/>
  <c r="AM44" i="99" s="1"/>
  <c r="AK43" i="48"/>
  <c r="AK44" i="48" s="1"/>
  <c r="AM44" i="48" s="1"/>
  <c r="AM42" i="48"/>
  <c r="AN42" i="48" s="1"/>
  <c r="AO42" i="48" s="1"/>
  <c r="AN44" i="99" l="1"/>
  <c r="AO44" i="99" s="1"/>
  <c r="AO45" i="99" s="1"/>
  <c r="BA2" i="99" s="1"/>
  <c r="AM45" i="99"/>
  <c r="BB2" i="99" s="1"/>
  <c r="AN44" i="48"/>
  <c r="AO44" i="48" s="1"/>
  <c r="AM43" i="48"/>
  <c r="AM45" i="48" s="1"/>
  <c r="BB2" i="48" s="1"/>
  <c r="BF12" i="45" s="1"/>
  <c r="AN43" i="48" l="1"/>
  <c r="AO43" i="48" s="1"/>
  <c r="AO45" i="48" s="1"/>
  <c r="BA2" i="48" s="1"/>
  <c r="BE12" i="45" s="1"/>
  <c r="BF13" i="45" l="1"/>
  <c r="K9" i="64" s="1"/>
  <c r="BE13" i="45"/>
  <c r="K10" i="6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tc={B37CAC9B-C8DA-454B-8E05-93926FDA1639}</author>
    <author>Shraddha Patil</author>
    <author>tc={F7D0549E-4995-492F-A550-4FDEA7D3D767}</author>
  </authors>
  <commentList>
    <comment ref="B5" authorId="0" shapeId="0" xr:uid="{B37CAC9B-C8DA-454B-8E05-93926FDA16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Replace this with the actual source</t>
      </text>
    </comment>
    <comment ref="E10" authorId="1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  <comment ref="B23" authorId="2" shapeId="0" xr:uid="{F7D0549E-4995-492F-A550-4FDEA7D3D767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tc={DDBD82AE-C8F4-3D4C-9167-10A6463EA45D}</author>
    <author>tc={875D9AE4-27EA-7148-928B-1A52D5B56735}</author>
    <author>tc={362B3BD9-EA2F-E048-A252-80575E4BA5C1}</author>
    <author>tc={D32447AF-E888-6D40-9EF5-6B3BE0554C91}</author>
    <author>tc={1932F005-E5DD-8949-B5C9-6FDEB8B88A22}</author>
    <author>tc={A8F52013-F732-5E4E-9136-646B105AF9F9}</author>
    <author>tc={0F7418DC-4934-974D-ADA3-005A9F18D45E}</author>
    <author>tc={3BB204D3-C328-AC4A-92B0-97B28C18BD87}</author>
    <author>tc={B3EC2ACE-3B1B-7349-B173-7A5A8D6D6450}</author>
    <author>tc={C933BE8F-67EB-5D4A-BED8-AE9377D2563D}</author>
    <author>tc={E6EB6E46-87C2-3842-82EC-7B6320B053BB}</author>
  </authors>
  <commentList>
    <comment ref="B6" authorId="0" shapeId="0" xr:uid="{DDBD82AE-C8F4-3D4C-9167-10A6463EA45D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1" shapeId="0" xr:uid="{875D9AE4-27EA-7148-928B-1A52D5B56735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2" shapeId="0" xr:uid="{362B3BD9-EA2F-E048-A252-80575E4BA5C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3" shapeId="0" xr:uid="{D32447AF-E888-6D40-9EF5-6B3BE0554C9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4" shapeId="0" xr:uid="{1932F005-E5DD-8949-B5C9-6FDEB8B88A2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5" shapeId="0" xr:uid="{A8F52013-F732-5E4E-9136-646B105AF9F9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6" shapeId="0" xr:uid="{0F7418DC-4934-974D-ADA3-005A9F18D45E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7" shapeId="0" xr:uid="{3BB204D3-C328-AC4A-92B0-97B28C18BD8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8" shapeId="0" xr:uid="{B3EC2ACE-3B1B-7349-B173-7A5A8D6D6450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9" shapeId="0" xr:uid="{C933BE8F-67EB-5D4A-BED8-AE9377D2563D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  <comment ref="P19" authorId="10" shapeId="0" xr:uid="{E6EB6E46-87C2-3842-82EC-7B6320B053B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tc={E58C7751-D100-3043-8A2B-D49980DE41F8}</author>
    <author>tc={DB117495-74B2-6A48-B3E7-18DECDA1C8F1}</author>
    <author>tc={78537B5D-0C1E-7543-954D-57E0882F58A8}</author>
    <author>tc={20356944-402C-084B-8ECC-E64EE43C2BF7}</author>
    <author>tc={F825E008-475F-ED47-92CB-81749DF35284}</author>
    <author>tc={9E0A5074-AF0B-9F42-BE2C-0A73C11674B7}</author>
    <author>tc={48FA2B7B-833F-634C-9610-94B91957B95A}</author>
    <author>tc={9DF007F6-7F62-A74C-9CF0-09469FE2BFFE}</author>
    <author>tc={57D29A12-2EB9-234C-B32E-45CA7306F2B4}</author>
    <author>tc={B740EF93-38A1-D64A-9021-E067C964D4E8}</author>
    <author>tc={D477A2FA-7217-544F-9033-B0C7EEB110D7}</author>
  </authors>
  <commentList>
    <comment ref="Z4" authorId="0" shapeId="0" xr:uid="{E58C7751-D100-3043-8A2B-D49980DE41F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DB117495-74B2-6A48-B3E7-18DECDA1C8F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78537B5D-0C1E-7543-954D-57E0882F58A8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20356944-402C-084B-8ECC-E64EE43C2BF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F825E008-475F-ED47-92CB-81749DF35284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9E0A5074-AF0B-9F42-BE2C-0A73C11674B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6" shapeId="0" xr:uid="{48FA2B7B-833F-634C-9610-94B91957B95A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7" shapeId="0" xr:uid="{9DF007F6-7F62-A74C-9CF0-09469FE2BFFE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8" shapeId="0" xr:uid="{57D29A12-2EB9-234C-B32E-45CA7306F2B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9" shapeId="0" xr:uid="{B740EF93-38A1-D64A-9021-E067C964D4E8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10" shapeId="0" xr:uid="{D477A2FA-7217-544F-9033-B0C7EEB110D7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  <author>tc={F2D31235-4F3A-43BA-8D0F-AFF518BEBF36}</author>
  </authors>
  <commentList>
    <comment ref="F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G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BA12" authorId="2" shapeId="0" xr:uid="{F2D31235-4F3A-43BA-8D0F-AFF518BEBF36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WINTER OA AT 50% AND INDOOR AT 40% HUMIDITY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88DF15-FA31-4230-9B8F-8FBF1647F4D9}" keepAlive="1" name="Query - AHU_Options" description="Connection to the 'AHU_Options' query in the workbook." type="5" refreshedVersion="0" background="1">
    <dbPr connection="Provider=Microsoft.Mashup.OleDb.1;Data Source=$Workbook$;Location=AHU_Options;Extended Properties=&quot;&quot;" command="SELECT * FROM [AHU_Options]"/>
  </connection>
  <connection id="2" xr16:uid="{E9E41313-5BF1-4BC5-A3B9-15B9712FB65B}" keepAlive="1" name="Query - Table7" description="Connection to the 'Table7' query in the workbook." type="5" refreshedVersion="0" background="1" saveData="1">
    <dbPr connection="Provider=Microsoft.Mashup.OleDb.1;Data Source=$Workbook$;Location=Table7;Extended Properties=&quot;&quot;" command="SELECT * FROM [Table7]"/>
  </connection>
  <connection id="3" xr16:uid="{8873E1C3-0056-4C07-843C-79E646B62FE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D7AF6AC-B45C-4D72-94A6-D4276AD79CF6}" name="WorksheetConnection_Revamped AHU Psyc Calcs (HCAI).xlsm!AHU_Options" type="102" refreshedVersion="8" minRefreshableVersion="5">
    <extLst>
      <ext xmlns:x15="http://schemas.microsoft.com/office/spreadsheetml/2010/11/main" uri="{DE250136-89BD-433C-8126-D09CA5730AF9}">
        <x15:connection id="AHU_Options">
          <x15:rangePr sourceName="_xlcn.WorksheetConnection_RevampedAHUPsycCalcsHCAI.xlsmAHU_Options1"/>
        </x15:connection>
      </ext>
    </extLst>
  </connection>
  <connection id="5" xr16:uid="{6E518B32-0A99-4F08-AC1A-6B5E128D9D4E}" name="WorksheetConnection_Revamped AHU Psyc Calcs (HCAI).xlsm!Table7" type="102" refreshedVersion="8" minRefreshableVersion="5">
    <extLst>
      <ext xmlns:x15="http://schemas.microsoft.com/office/spreadsheetml/2010/11/main" uri="{DE250136-89BD-433C-8126-D09CA5730AF9}">
        <x15:connection id="Table7">
          <x15:rangePr sourceName="_xlcn.WorksheetConnection_RevampedAHUPsycCalcsHCAI.xlsmTable71"/>
        </x15:connection>
      </ext>
    </extLst>
  </connection>
</connections>
</file>

<file path=xl/sharedStrings.xml><?xml version="1.0" encoding="utf-8"?>
<sst xmlns="http://schemas.openxmlformats.org/spreadsheetml/2006/main" count="1231" uniqueCount="444">
  <si>
    <t>HG
(FT)</t>
  </si>
  <si>
    <t xml:space="preserve">VENTILATION AIR SUPPLY      </t>
  </si>
  <si>
    <t>Table 4-A</t>
  </si>
  <si>
    <t>Area Designation</t>
  </si>
  <si>
    <t>Air Balance Rerationship to Adjacent Areas</t>
  </si>
  <si>
    <t>Conditioned Air Not 100% O.S.A.</t>
  </si>
  <si>
    <t>All Air Exhausted Directly To Outdoors</t>
  </si>
  <si>
    <t>Minimum Air Changes of Outdoor Air per Hour</t>
  </si>
  <si>
    <t>Minimum Total Air Changes per Hour</t>
  </si>
  <si>
    <t>DB</t>
  </si>
  <si>
    <t>ROOM</t>
  </si>
  <si>
    <t>Table 4-A - Pressure Relationship and Ventilation Requirements For General Acute Care Hospitals, Skilled Nursing Facillities, Intermediate Care Facilitis, Correctional Treatment Centers, Outpatient Facilities and Licensed Clinics.</t>
  </si>
  <si>
    <t>1 CFM/SF</t>
  </si>
  <si>
    <t>RA CFM</t>
  </si>
  <si>
    <t>EA CFM</t>
  </si>
  <si>
    <t>Transfer Air CFM</t>
  </si>
  <si>
    <t>Balance?</t>
  </si>
  <si>
    <t>OSA CFM</t>
  </si>
  <si>
    <t>Across Unit</t>
  </si>
  <si>
    <t>Unit Loads - Psych</t>
  </si>
  <si>
    <t>Supply Air</t>
  </si>
  <si>
    <t>Entering Air</t>
  </si>
  <si>
    <t>Leaving Air</t>
  </si>
  <si>
    <t>Qs</t>
  </si>
  <si>
    <t>Qt</t>
  </si>
  <si>
    <t>(CFM)</t>
  </si>
  <si>
    <t>(˚F db)</t>
  </si>
  <si>
    <t>(˚F wb)</t>
  </si>
  <si>
    <t>(h)</t>
  </si>
  <si>
    <t>(Btu/hr)</t>
  </si>
  <si>
    <t>(Tons)</t>
  </si>
  <si>
    <t>WB</t>
  </si>
  <si>
    <t>CFM/Ton</t>
  </si>
  <si>
    <t>CFM/SF</t>
  </si>
  <si>
    <t>ACH/hr</t>
  </si>
  <si>
    <t>Across Heating Coil</t>
  </si>
  <si>
    <t>z</t>
  </si>
  <si>
    <t>NR</t>
  </si>
  <si>
    <t>Code requires 10, best practice 12</t>
  </si>
  <si>
    <t>ROOM #</t>
  </si>
  <si>
    <t>100%
EA</t>
  </si>
  <si>
    <t>P</t>
  </si>
  <si>
    <t>Changed from 20 to 15 min. total ACH</t>
  </si>
  <si>
    <t>(aa) "Nurse station pressure relationship and ventillation requirements shall match the area in which it is located."</t>
  </si>
  <si>
    <t>GPM</t>
  </si>
  <si>
    <t>EWT</t>
  </si>
  <si>
    <t>EAT</t>
  </si>
  <si>
    <t>CFM</t>
  </si>
  <si>
    <t>2019 CALIFORNIA MECHANICAL CODE</t>
  </si>
  <si>
    <t>OUTSIDE AIR AND CFM DATA</t>
  </si>
  <si>
    <t>SENSIBLE COOLING COIL PERFORMANCE</t>
  </si>
  <si>
    <t>DEHUMIDIFICATION COOLING COIL PERFORMANCE</t>
  </si>
  <si>
    <t>FINAL VALUES</t>
  </si>
  <si>
    <t>HEATING</t>
  </si>
  <si>
    <t>ZONE RE-HEATING COILS</t>
  </si>
  <si>
    <t>Exfiltration Air</t>
  </si>
  <si>
    <t>Across Cooling Coil</t>
  </si>
  <si>
    <t>Unit Loads - E-Pro</t>
  </si>
  <si>
    <t>Unit Loads - Psych (sensible)</t>
  </si>
  <si>
    <t>Unit Loads - Psych (dehumidification)</t>
  </si>
  <si>
    <t>Room Setpoint</t>
  </si>
  <si>
    <t>Summer Outside Air (dehumidification)</t>
  </si>
  <si>
    <t>Winter Outside</t>
  </si>
  <si>
    <t>Ql</t>
  </si>
  <si>
    <t>(MBH)</t>
  </si>
  <si>
    <t>SUMMER DESIGN</t>
  </si>
  <si>
    <t>WINTER DESIGN</t>
  </si>
  <si>
    <t>COOLING</t>
  </si>
  <si>
    <t>MCDB</t>
  </si>
  <si>
    <t>HR</t>
  </si>
  <si>
    <t>OSA PERCENT</t>
  </si>
  <si>
    <t>OA PERCENT</t>
  </si>
  <si>
    <t>V-Lookup</t>
  </si>
  <si>
    <t>Size</t>
  </si>
  <si>
    <t>LACTATION</t>
  </si>
  <si>
    <t>ADMIN (NOT PER TABLE 4A)</t>
  </si>
  <si>
    <t>NOURISHMENT AREA OR ROOM</t>
  </si>
  <si>
    <t>SOILED OR DECONTAMINATION ROOM</t>
  </si>
  <si>
    <t>TOILET ROOM</t>
  </si>
  <si>
    <t>SOILED LINEN SORTING AND STORAGE</t>
  </si>
  <si>
    <t>NO REQUIREMENT FOR CONTINUOUS DIRECTIONAL CONTROL</t>
  </si>
  <si>
    <t>NEGATIVE</t>
  </si>
  <si>
    <t>CALCULATED SA CFM</t>
  </si>
  <si>
    <t>ADDITIONAL FOR MEETING %OA</t>
  </si>
  <si>
    <t>POSITIVE</t>
  </si>
  <si>
    <t>DESIGN CHECK</t>
  </si>
  <si>
    <t>AIR CALCULATION</t>
  </si>
  <si>
    <t>ROOM INFO</t>
  </si>
  <si>
    <t>CODE REQUIREMENTS</t>
  </si>
  <si>
    <t>REMARKS</t>
  </si>
  <si>
    <t>HUMIDIFICATION</t>
  </si>
  <si>
    <t>LBS/HR</t>
  </si>
  <si>
    <t>Total Size</t>
  </si>
  <si>
    <t>Moisture Difference Per 1000 CFM</t>
  </si>
  <si>
    <t>PATIENT CORRIDOR</t>
  </si>
  <si>
    <t>MEDICATION ROOM</t>
  </si>
  <si>
    <t>PHARMACY (B)</t>
  </si>
  <si>
    <t>NON-HAZARDOUS STERILE PROCESSING (PER USP)</t>
  </si>
  <si>
    <t>NON-HD POSITIVE PRESSURE ANTE ROOM (PER USP)</t>
  </si>
  <si>
    <t>MIN MBH</t>
  </si>
  <si>
    <t>DESIGN 
LAT</t>
  </si>
  <si>
    <t>DESIGN 
LWT</t>
  </si>
  <si>
    <t>PATIENT ROOM</t>
  </si>
  <si>
    <t>SF ESP</t>
  </si>
  <si>
    <t>RF ESP</t>
  </si>
  <si>
    <t>CLEAN LINEN STORAGE</t>
  </si>
  <si>
    <t>PRE - HEATING</t>
  </si>
  <si>
    <t>CLEAN WORKROOM OR CLEAN HOLDING (SUPPORT)</t>
  </si>
  <si>
    <t>NURSE STATION (AA)</t>
  </si>
  <si>
    <t>SECLUSION ROOM</t>
  </si>
  <si>
    <t>EXAMINATION ROOM</t>
  </si>
  <si>
    <t>AIRBORNE INFECTION ISOLATION ROOM (U)</t>
  </si>
  <si>
    <t>AIRBORNE INFECTION ISOLATION ANTEROOM (U)</t>
  </si>
  <si>
    <t xml:space="preserve">LAUNDRY, GENERAL </t>
  </si>
  <si>
    <t>MAX WATER 
PD (FT)</t>
  </si>
  <si>
    <t>OPER 
WEIGHT
(LBS)</t>
  </si>
  <si>
    <t>MTG 
DETAIL</t>
  </si>
  <si>
    <t>MAX TOTAL CAV PD 
(IN W.G.)</t>
  </si>
  <si>
    <t>BASIS OF DESIGN 
MANUFACTURER</t>
  </si>
  <si>
    <t>DESCRIPTION</t>
  </si>
  <si>
    <t>WEIGHT</t>
  </si>
  <si>
    <t>TITUS</t>
  </si>
  <si>
    <t>1, 2</t>
  </si>
  <si>
    <t xml:space="preserve"> CONSTANT AIR VOLUME TERMINAL UNIT SCHEDULE</t>
  </si>
  <si>
    <r>
      <t>AREA 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</si>
  <si>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 xml:space="preserve">
1.   PROVIDE 2-WAY CONTROL VALVES UNLESS NOTED OTHERWISE. REFER TO FLOOR PLANS FOR 3-WAY CONTROL VALVE LOCATIONS.
2.   MAXIMUM CAV SUPPLY DISCHARGE NOISE CRITERIA SHALL BE NC 25 IN ACCORDANCE WITH ARI STANDARD 88-98.
</t>
  </si>
  <si>
    <t>CAV INLET SIZE</t>
  </si>
  <si>
    <t>SINGLE DUCT REHEAT ZONE</t>
  </si>
  <si>
    <t>(E)</t>
  </si>
  <si>
    <t>NEGATIVE U</t>
  </si>
  <si>
    <t>(AA)</t>
  </si>
  <si>
    <t>AIRBORNE INFECTION ISOLATION TREATMENT/EXAM ROOM</t>
  </si>
  <si>
    <t>ANGIOGRAPHY ROOM</t>
  </si>
  <si>
    <t>BATHING ROOM</t>
  </si>
  <si>
    <t>BATHROOM</t>
  </si>
  <si>
    <t>BEDPAN ROOM</t>
  </si>
  <si>
    <t>BLOOD BANK/TISSURE STORAGE</t>
  </si>
  <si>
    <t>BLOOD DRAW/PHLEBOTOMY</t>
  </si>
  <si>
    <t>BRONCHOSCOPY, SPUTUM COLLECTION, AND PENTAMIDINE ADMINISTRATION (N)</t>
  </si>
  <si>
    <t>CARDIAC CATHETERIZATION LAB</t>
  </si>
  <si>
    <t>CLEAN WORKROOM (CENTRAL MEDICAL AND SURGICAL SUPPLY SPACE)</t>
  </si>
  <si>
    <t>CRITICAL AND INTENSIVE CARE</t>
  </si>
  <si>
    <t>CT SCAN</t>
  </si>
  <si>
    <t>DARKROOM (G)</t>
  </si>
  <si>
    <t>DELIVERY ROOM (CAESAREAN) (M), (N), (O)</t>
  </si>
  <si>
    <t>DIALYSIS TREATMENT AREA</t>
  </si>
  <si>
    <t>DIALYZER REPROCESSING ROOM</t>
  </si>
  <si>
    <t>DIETARY STORAGE</t>
  </si>
  <si>
    <t>ELECTROCONVULSIVE THERAPY PROCEDURE ROOM</t>
  </si>
  <si>
    <t>EMERGENCY DEPARTMENT EXAM/TREATMENT ROOM (P)</t>
  </si>
  <si>
    <t>ENDOSCOPE CLEANING</t>
  </si>
  <si>
    <t>ER DECONTAMINATION</t>
  </si>
  <si>
    <t>ER WAITING ROOMS</t>
  </si>
  <si>
    <t>FAST TRACK ROOM</t>
  </si>
  <si>
    <t>FLUOROSCOPY ROOM</t>
  </si>
  <si>
    <t>FOOD PREPARATION CENTER (I)</t>
  </si>
  <si>
    <t>GAMMA CAMERA</t>
  </si>
  <si>
    <t>GASTROINTESTINAL ENDOSCOPY PROCEDURE ROOM (X)</t>
  </si>
  <si>
    <t>HAZARDOUS MATERIAL STORAGE</t>
  </si>
  <si>
    <t>HYDROTHERAPY</t>
  </si>
  <si>
    <t>INFUSION ROOM</t>
  </si>
  <si>
    <t>INTERMEDIATE CARE (S)</t>
  </si>
  <si>
    <t>INTERVENTIONAL IMAGING PROCEDURE ROOM</t>
  </si>
  <si>
    <t>IV PREP. ROOM</t>
  </si>
  <si>
    <t>JANITOR'S CLOSET, HOUSEKEEPING</t>
  </si>
  <si>
    <t>LABOR/DELIVERY/RECOVERY (LDR) (S)</t>
  </si>
  <si>
    <t>LABOR/DELIVERY/RECOVERY/POSTPARTUM (LDRP) (S)</t>
  </si>
  <si>
    <t>LABORATORY: BACTERIOLOGY (V)</t>
  </si>
  <si>
    <t>LABORATORY: BIOCHEMISTRY (V)</t>
  </si>
  <si>
    <t>LABORATORY: CYTOLOGY (V)</t>
  </si>
  <si>
    <t>LABORATORY: GENERAL (V)</t>
  </si>
  <si>
    <t>LABORATORY: GLASS WASHING</t>
  </si>
  <si>
    <t>LABORATORY: HISTOLOGY (V)</t>
  </si>
  <si>
    <t>LABORATORY: INFECTIOUS DISEASE AND VIRUS</t>
  </si>
  <si>
    <t>LABORATORY: MEDIA TRANSFER (V)</t>
  </si>
  <si>
    <t>LABORATORY: MICROBIOLOGY (V)</t>
  </si>
  <si>
    <t>LABORATORY: NUCLEAR MEDICINE (V)</t>
  </si>
  <si>
    <t>LABORATORY: PATHOLOGY (V)</t>
  </si>
  <si>
    <t>LABORATORY: SEROLOGY (V)</t>
  </si>
  <si>
    <t>LABORATORY: STERILIZING</t>
  </si>
  <si>
    <t>LASER EYE ROOM</t>
  </si>
  <si>
    <t>LINEN AND TRASH CHUTE ROOM</t>
  </si>
  <si>
    <t>MEDICAL / ANESTHESIA GAS STORAGE (R)</t>
  </si>
  <si>
    <t>MORGUES AND AUTOPSY ROOMS (N)</t>
  </si>
  <si>
    <t>MRI ROOM</t>
  </si>
  <si>
    <t>NEGATIVE-PRESSURE X-RAY ROOM</t>
  </si>
  <si>
    <t>NEWBORN INTENSIVE CARE</t>
  </si>
  <si>
    <t>NEWBORN INTENSIVE CARE FORMULA ROOM</t>
  </si>
  <si>
    <t>NEWBORN/WELL BABY NURSERY SUITE</t>
  </si>
  <si>
    <t>NONREFRIGERATED BODY-HOLDING ROOM (H)</t>
  </si>
  <si>
    <t>NUCLEAR MEDICINE (GAMMA, PET, SPECT)</t>
  </si>
  <si>
    <t>NUCLEAR MEDICINE HOT LAB</t>
  </si>
  <si>
    <t>NUCLEAR MEDICINE TREATMENT ROOM</t>
  </si>
  <si>
    <t>OBSERVATION</t>
  </si>
  <si>
    <t>OCCUPATIONAL THERAPY</t>
  </si>
  <si>
    <t>OPERATING ROOM, HYBRID OPERATING ROOM (M) (N), (O)</t>
  </si>
  <si>
    <t>OPERATING /SURGICAL CYSTOSCOPIC ROOM (M), (N), (O)</t>
  </si>
  <si>
    <t>PATIENT HOLDING PREPARATION</t>
  </si>
  <si>
    <t>PEDIATRIC PLAY AREA</t>
  </si>
  <si>
    <t>DRUG ROOM</t>
  </si>
  <si>
    <t>HD ANTE ROOM (B)</t>
  </si>
  <si>
    <t>HD BUFFER ROOM (B)</t>
  </si>
  <si>
    <t>HD SEGREGATED COMPOUNDING AREA (AB)</t>
  </si>
  <si>
    <t>HD STORAGE (B)</t>
  </si>
  <si>
    <t>NON-HD ANTE ROOM (B)</t>
  </si>
  <si>
    <t>NON-HD BUFFER ROOM (B)</t>
  </si>
  <si>
    <t>NON-HD SEGREGATED COMPOUNDING AREA (B)</t>
  </si>
  <si>
    <t>PHYSICAL THERAPY (NURSING FACILITY)</t>
  </si>
  <si>
    <t>PHYSICAL THERAPY (DIAGNOSTIC AND TREATMENT)</t>
  </si>
  <si>
    <t>POST-ANESTHESIA CARE UNIT</t>
  </si>
  <si>
    <t>PRE-SCREENING AREA</t>
  </si>
  <si>
    <t>PROCEDURE ROOM (O), (D)</t>
  </si>
  <si>
    <t>PROTECTIVE ENVIRONMENT ANTEROOM (T)</t>
  </si>
  <si>
    <t>PROTECTIVE ENVIRONMENT ROOM (T)</t>
  </si>
  <si>
    <t>RADIOLOGY WAITING ROOMS</t>
  </si>
  <si>
    <t>RECOVERY ROOM</t>
  </si>
  <si>
    <t>RECREATION/ACTIVITY ROOM</t>
  </si>
  <si>
    <t>RESIDENT GATHERING/ACTIVITY/DINING (NURSING FACILITY)</t>
  </si>
  <si>
    <t>RESIDENT ROOM (NURSING FACILITY)</t>
  </si>
  <si>
    <t>RESIDENT UNIT CORRIDOR (NURSING FACILITY)</t>
  </si>
  <si>
    <t>SEMI-RESTRICTED CORRIDOR</t>
  </si>
  <si>
    <t>SHOWER ROOM</t>
  </si>
  <si>
    <t>SOILED WORKROOM OR SOILED HOLDING, UTILITY ROOM</t>
  </si>
  <si>
    <t>SPECIAL PURPOSE ROOM (SNF &amp; ICF ONLY)</t>
  </si>
  <si>
    <t>SPEECH THERAPY/AUDIOLOGY ROOM</t>
  </si>
  <si>
    <t>STERILE STORAGE</t>
  </si>
  <si>
    <t>STERILIZER EQUIPMENT ROOM</t>
  </si>
  <si>
    <t>SUBSTERILE SERVICE AREA</t>
  </si>
  <si>
    <t>TRAUMA/CARDIAC ROOM (CRISI OR SHOCK) (C)</t>
  </si>
  <si>
    <t>TREATMENT ROOM (SURGERY AND CRITICAL CARE (P)</t>
  </si>
  <si>
    <t>TREATMENT ROOM (DIAGNOSTIC AND TREATMENT) (X)</t>
  </si>
  <si>
    <t>TRIAGE</t>
  </si>
  <si>
    <t>ULTRASOUND ROOM</t>
  </si>
  <si>
    <t>UNSTERILE SUPPLY</t>
  </si>
  <si>
    <t>WAITING AREA (NUCLEAR MEDICINE)</t>
  </si>
  <si>
    <t>WAITING AREA, PRIMARY CARE CLINIC</t>
  </si>
  <si>
    <t>WAREWASHING</t>
  </si>
  <si>
    <t>WOUND INTENSIVE CARE (BURN UNIT)</t>
  </si>
  <si>
    <t>X-RAY (DIAGNOSTIC AND TREATMENT)</t>
  </si>
  <si>
    <t>X-RAY (SURGERY/CRITICAL CARE AND CATHERIZATION)</t>
  </si>
  <si>
    <t>NO REQUIREMENT</t>
  </si>
  <si>
    <t>YES</t>
  </si>
  <si>
    <t>YES (Q)</t>
  </si>
  <si>
    <t>YES (Q), (W)</t>
  </si>
  <si>
    <t>ZONE</t>
  </si>
  <si>
    <t>TOTAL AC/HR</t>
  </si>
  <si>
    <t>CRICU
EA</t>
  </si>
  <si>
    <t>LOAD CFM</t>
  </si>
  <si>
    <t>AC/HR CFM</t>
  </si>
  <si>
    <t>4-A DESIGNATION</t>
  </si>
  <si>
    <t>AIRBALANCE RELATIONSHIP</t>
  </si>
  <si>
    <t>MINIMUM OSA CHANGES PER HOUR</t>
  </si>
  <si>
    <t>ALL AIR EXHAUSTED</t>
  </si>
  <si>
    <t>DESIGN SA CFM</t>
  </si>
  <si>
    <t>CHILLED WATER</t>
  </si>
  <si>
    <t>LWT</t>
  </si>
  <si>
    <t>FLOW</t>
  </si>
  <si>
    <t>HOT WATER</t>
  </si>
  <si>
    <t>CAV-1-01</t>
  </si>
  <si>
    <t>CAV-1-02</t>
  </si>
  <si>
    <t>CAV-1-03</t>
  </si>
  <si>
    <t>CAV-1-04</t>
  </si>
  <si>
    <t>CAV-1-05</t>
  </si>
  <si>
    <t>CAV-1-06</t>
  </si>
  <si>
    <t>CAV-1-07</t>
  </si>
  <si>
    <t>CAV-1-08</t>
  </si>
  <si>
    <t>CAV-1-09</t>
  </si>
  <si>
    <t>CAV-1-10</t>
  </si>
  <si>
    <t>CAV-1-11</t>
  </si>
  <si>
    <t>CAV-1-12</t>
  </si>
  <si>
    <t>CAV-1-13</t>
  </si>
  <si>
    <t>CAV-1-14</t>
  </si>
  <si>
    <t>CAV-1-15</t>
  </si>
  <si>
    <t>CAV-1-16</t>
  </si>
  <si>
    <t>CAV-1-17</t>
  </si>
  <si>
    <t>CAV-1-18</t>
  </si>
  <si>
    <t>CAV-1-19</t>
  </si>
  <si>
    <t>CAV-1-20</t>
  </si>
  <si>
    <t>CAV-1-21</t>
  </si>
  <si>
    <t>CAV-1-22</t>
  </si>
  <si>
    <t>CAV-1-23</t>
  </si>
  <si>
    <t>CAV-1-24</t>
  </si>
  <si>
    <t>CAV-1-25</t>
  </si>
  <si>
    <t>CAV-1-26</t>
  </si>
  <si>
    <t>CAV-1-27</t>
  </si>
  <si>
    <t>CAV-1-28</t>
  </si>
  <si>
    <t>CAV-1-29</t>
  </si>
  <si>
    <t>CAV-1-30</t>
  </si>
  <si>
    <t>CAV-1-31</t>
  </si>
  <si>
    <t>CAV-1-32</t>
  </si>
  <si>
    <t>CAV-1-33</t>
  </si>
  <si>
    <t>CAV-1-34</t>
  </si>
  <si>
    <t>CAV-1-35</t>
  </si>
  <si>
    <t>CAV-1-36</t>
  </si>
  <si>
    <t>CAV-1-37</t>
  </si>
  <si>
    <t>SEE AHU-1 CALCS</t>
  </si>
  <si>
    <t xml:space="preserve"> VENTILATION SCHEDULE AHU-1</t>
  </si>
  <si>
    <t>CAV-1-38</t>
  </si>
  <si>
    <t>-</t>
  </si>
  <si>
    <r>
      <rPr>
        <b/>
        <sz val="9.5"/>
        <rFont val="Arial"/>
        <family val="2"/>
      </rPr>
      <t>Enthalpy in BTU per Pound of Dry Air</t>
    </r>
  </si>
  <si>
    <r>
      <rPr>
        <b/>
        <sz val="9.5"/>
        <rFont val="Arial"/>
        <family val="2"/>
      </rPr>
      <t xml:space="preserve">Wet Bulb
</t>
    </r>
    <r>
      <rPr>
        <b/>
        <sz val="9.5"/>
        <rFont val="Arial"/>
        <family val="2"/>
      </rPr>
      <t>Temperature F</t>
    </r>
  </si>
  <si>
    <r>
      <rPr>
        <b/>
        <sz val="9.5"/>
        <rFont val="Arial"/>
        <family val="2"/>
      </rPr>
      <t>Tenths of a Degree F</t>
    </r>
  </si>
  <si>
    <r>
      <rPr>
        <sz val="9.5"/>
        <rFont val="Arial"/>
        <family val="2"/>
      </rPr>
      <t>Interpolated to tenths of degrees from 1963 edition ASHRAE Guide and Data Book.  Published by the American Heating, Refrigerating and Air Conditioning Engineers, Inc. Society</t>
    </r>
  </si>
  <si>
    <t>WHOLE VALUE</t>
  </si>
  <si>
    <t>FRACTION</t>
  </si>
  <si>
    <t>SENSIBLE</t>
  </si>
  <si>
    <t>CHWS</t>
  </si>
  <si>
    <t>F</t>
  </si>
  <si>
    <t>CHWR</t>
  </si>
  <si>
    <t>HHWS</t>
  </si>
  <si>
    <t>HHWR</t>
  </si>
  <si>
    <t>Air Handler Safety</t>
  </si>
  <si>
    <t>%</t>
  </si>
  <si>
    <t>DUMMY</t>
  </si>
  <si>
    <t>cav weights and size</t>
  </si>
  <si>
    <t>Total</t>
  </si>
  <si>
    <t>CAV Detail Ref</t>
  </si>
  <si>
    <t>C1/M-501</t>
  </si>
  <si>
    <t>AGPM</t>
  </si>
  <si>
    <t>DUMMY1</t>
  </si>
  <si>
    <t>DUMMY2</t>
  </si>
  <si>
    <t>DUMMY3</t>
  </si>
  <si>
    <t>DUMMY5</t>
  </si>
  <si>
    <t>DUMMY6</t>
  </si>
  <si>
    <t>DUMMY8</t>
  </si>
  <si>
    <t>DUMMY9</t>
  </si>
  <si>
    <t>WITH SAFETY</t>
  </si>
  <si>
    <t>TAG</t>
  </si>
  <si>
    <t>(CFM)2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</si>
  <si>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</si>
  <si>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</si>
  <si>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</si>
  <si>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</si>
  <si>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</si>
  <si>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</si>
  <si>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</si>
  <si>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</si>
  <si>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</si>
  <si>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</si>
  <si>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(˚F db)13</t>
  </si>
  <si>
    <t>(˚F wb)14</t>
  </si>
  <si>
    <t>(h)15</t>
  </si>
  <si>
    <t>(Btu/hr)16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</si>
  <si>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</si>
  <si>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</si>
  <si>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</si>
  <si>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</si>
  <si>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</si>
  <si>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</si>
  <si>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</si>
  <si>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</si>
  <si>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(Btu/hr)25</t>
  </si>
  <si>
    <t>(Btu/hr)26</t>
  </si>
  <si>
    <t>(Btu/hr)27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</si>
  <si>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</si>
  <si>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</si>
  <si>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</si>
  <si>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</si>
  <si>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</si>
  <si>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</si>
  <si>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</si>
  <si>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</si>
  <si>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(CFM)36</t>
  </si>
  <si>
    <t>(˚F db)37</t>
  </si>
  <si>
    <t>(˚F db)38</t>
  </si>
  <si>
    <t>(˚F db)39</t>
  </si>
  <si>
    <t>(˚F db)40</t>
  </si>
  <si>
    <t>GPM41</t>
  </si>
  <si>
    <t>LBS/HR42</t>
  </si>
  <si>
    <t>(˚F db)43</t>
  </si>
  <si>
    <t>(˚F db)45</t>
  </si>
  <si>
    <t>(mbh)46</t>
  </si>
  <si>
    <t>GPM MAX</t>
  </si>
  <si>
    <t>MAX GPM</t>
  </si>
  <si>
    <t>INPUTS</t>
  </si>
  <si>
    <t>PROJECT DETAILS</t>
  </si>
  <si>
    <t>OUTPUTS</t>
  </si>
  <si>
    <t>CHW Plant</t>
  </si>
  <si>
    <t>Tons</t>
  </si>
  <si>
    <t>HHW Plant</t>
  </si>
  <si>
    <t>Mbh</t>
  </si>
  <si>
    <t>CHW Pump Flow</t>
  </si>
  <si>
    <t>Gpm</t>
  </si>
  <si>
    <t>HHW Pump Flow</t>
  </si>
  <si>
    <t>(˚F db)46</t>
  </si>
  <si>
    <t>HHW Reheat Coil GPM</t>
  </si>
  <si>
    <t>AHU LIST</t>
  </si>
  <si>
    <t>DEHUMIDIFICATION</t>
  </si>
  <si>
    <t>Outside Air</t>
  </si>
  <si>
    <t xml:space="preserve">
Chilled Water </t>
  </si>
  <si>
    <t>Unit Size</t>
  </si>
  <si>
    <t>MAX
Unit Size</t>
  </si>
  <si>
    <t>AHU 1</t>
  </si>
  <si>
    <t>SA</t>
  </si>
  <si>
    <t>RA</t>
  </si>
  <si>
    <t>OA</t>
  </si>
  <si>
    <t>MBH</t>
  </si>
  <si>
    <t>CENTRAL PLANT DETAILS</t>
  </si>
  <si>
    <t>Date:</t>
  </si>
  <si>
    <t>Project Name:</t>
  </si>
  <si>
    <t>*OUTSIDE AIR TABLE - MUST BE FROM ASHRAE OR RFP</t>
  </si>
  <si>
    <t>Enter here</t>
  </si>
  <si>
    <t>SURVEY / FEEDBACK</t>
  </si>
  <si>
    <t>SUPPLY FAN VFD</t>
  </si>
  <si>
    <t>AHU NAME</t>
  </si>
  <si>
    <t>RETURN FAN</t>
  </si>
  <si>
    <t>RETURN FAN VFD</t>
  </si>
  <si>
    <t>AHU-1</t>
  </si>
  <si>
    <t>NO</t>
  </si>
  <si>
    <t>ECONOMIZER</t>
  </si>
  <si>
    <t>HEAT RECOVERY</t>
  </si>
  <si>
    <t>PREHEAT COIL</t>
  </si>
  <si>
    <t>REHEAT COIL</t>
  </si>
  <si>
    <t>SUPPLY SMOKE</t>
  </si>
  <si>
    <t>RETURN SMOKE</t>
  </si>
  <si>
    <t>SINGLE POWER</t>
  </si>
  <si>
    <t>UV LIGHTS</t>
  </si>
  <si>
    <t xml:space="preserve">PRE FILTER </t>
  </si>
  <si>
    <t>FINAL FILTER</t>
  </si>
  <si>
    <t>ATFP DAMPERS</t>
  </si>
  <si>
    <t>HUMIDIFIER</t>
  </si>
  <si>
    <t>HEPA FILTER</t>
  </si>
  <si>
    <t>RETURN CONFIG</t>
  </si>
  <si>
    <t>DISCHARGE CONFIG</t>
  </si>
  <si>
    <t xml:space="preserve">END </t>
  </si>
  <si>
    <t>SIDE</t>
  </si>
  <si>
    <t>DOWN</t>
  </si>
  <si>
    <t>MERV 8</t>
  </si>
  <si>
    <t>MERV 9</t>
  </si>
  <si>
    <t>MERV 10</t>
  </si>
  <si>
    <t>MERV 11</t>
  </si>
  <si>
    <t>MERV 12</t>
  </si>
  <si>
    <t>MERV 13</t>
  </si>
  <si>
    <t>MERV 14</t>
  </si>
  <si>
    <t>PLATE FRAME HEAT EXCHANGER</t>
  </si>
  <si>
    <t>ENTHALPY WHEEL</t>
  </si>
  <si>
    <t>AHU OPTIONS MATRIX</t>
  </si>
  <si>
    <t>AREA (FT²)</t>
  </si>
  <si>
    <t>TRANSFER AIR CFM</t>
  </si>
  <si>
    <t>BALANCE?</t>
  </si>
  <si>
    <t>ACH/HR</t>
  </si>
  <si>
    <t>TBD</t>
  </si>
  <si>
    <t>TOTAL</t>
  </si>
  <si>
    <t>CURRENT % OA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</si>
</sst>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&quot;N/A&quot;"/>
  </numFmts>
  <fonts count="59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0"/>
      <color indexed="60"/>
      <name val="Arial"/>
      <family val="2"/>
    </font>
    <font>
      <b/>
      <sz val="12"/>
      <name val="Arial Narrow"/>
      <family val="2"/>
    </font>
    <font>
      <sz val="8"/>
      <name val="Arial Narrow"/>
      <family val="2"/>
    </font>
    <font>
      <b/>
      <sz val="9"/>
      <name val="Arial Narrow"/>
      <family val="2"/>
    </font>
    <font>
      <sz val="5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8"/>
      <color rgb="FFFF000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sz val="10"/>
      <color rgb="FFFF0000"/>
      <name val="Arial"/>
      <family val="2"/>
    </font>
    <font>
      <sz val="24"/>
      <name val="Arial"/>
      <family val="2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b/>
      <u/>
      <sz val="10"/>
      <color theme="1"/>
      <name val="Arial"/>
      <family val="2"/>
    </font>
    <font>
      <b/>
      <u/>
      <sz val="12"/>
      <name val="Arial"/>
      <family val="2"/>
    </font>
    <font>
      <sz val="11"/>
      <color rgb="FF9C5700"/>
      <name val="Century Gothic"/>
      <family val="2"/>
      <scheme val="minor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24"/>
      <color theme="1"/>
      <name val="Arial"/>
      <family val="2"/>
    </font>
    <font>
      <sz val="12"/>
      <color theme="1"/>
      <name val="Calibri"/>
      <family val="2"/>
    </font>
    <font>
      <sz val="12"/>
      <color rgb="FFC00000"/>
      <name val="Arial"/>
      <family val="2"/>
    </font>
    <font>
      <b/>
      <sz val="9.5"/>
      <name val="Arial"/>
      <family val="2"/>
    </font>
    <font>
      <b/>
      <sz val="9.5"/>
      <color rgb="FF000000"/>
      <name val="Arial"/>
      <family val="2"/>
    </font>
    <font>
      <sz val="9.5"/>
      <color rgb="FF000000"/>
      <name val="Arial"/>
      <family val="2"/>
    </font>
    <font>
      <sz val="9.5"/>
      <name val="Arial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0"/>
      <color theme="3" tint="0.39997558519241921"/>
      <name val="Arial"/>
      <family val="2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sz val="11"/>
      <color theme="1"/>
      <name val="Century Gothic"/>
      <family val="2"/>
      <scheme val="minor"/>
    </font>
    <font>
      <sz val="11"/>
      <color theme="3" tint="0.39997558519241921"/>
      <name val="Century Gothic"/>
      <family val="2"/>
      <scheme val="minor"/>
    </font>
    <font>
      <sz val="11"/>
      <color theme="3" tint="0.39997558519241921"/>
      <name val="Calibri (Body)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sz val="12"/>
      <color rgb="FF000000"/>
      <name val="Calibri"/>
      <family val="2"/>
    </font>
    <font>
      <b/>
      <sz val="10"/>
      <color rgb="FF000000"/>
      <name val="Tahoma"/>
      <family val="2"/>
    </font>
    <font>
      <b/>
      <sz val="12"/>
      <color rgb="FFFF0000"/>
      <name val="Calibri"/>
      <family val="2"/>
    </font>
    <font>
      <sz val="12"/>
      <color rgb="FF00B050"/>
      <name val="Calibri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  <font>
      <u/>
      <sz val="10"/>
      <color theme="10"/>
      <name val="Arial"/>
      <family val="2"/>
    </font>
    <font>
      <u/>
      <sz val="8"/>
      <color theme="10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u/>
      <sz val="8"/>
      <name val="Arial"/>
      <family val="2"/>
    </font>
    <font>
      <sz val="12"/>
      <name val="Century Gothic"/>
      <family val="2"/>
      <scheme val="minor"/>
    </font>
    <font>
      <sz val="12"/>
      <color rgb="FFFF0000"/>
      <name val="Arial"/>
      <family val="2"/>
    </font>
    <font>
      <sz val="12"/>
      <color indexed="60"/>
      <name val="Arial"/>
      <family val="2"/>
    </font>
    <font>
      <b/>
      <u/>
      <sz val="12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9"/>
      </patternFill>
    </fill>
  </fills>
  <borders count="5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64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/>
      <bottom style="thin">
        <color indexed="22"/>
      </bottom>
      <diagonal/>
    </border>
    <border>
      <left style="thin">
        <color indexed="23"/>
      </left>
      <right style="thin">
        <color indexed="64"/>
      </right>
      <top/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2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2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23"/>
      </right>
      <top style="thin">
        <color indexed="64"/>
      </top>
      <bottom style="thin">
        <color indexed="55"/>
      </bottom>
      <diagonal/>
    </border>
    <border>
      <left style="thin">
        <color indexed="23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23"/>
      </right>
      <top/>
      <bottom style="thin">
        <color indexed="22"/>
      </bottom>
      <diagonal/>
    </border>
    <border>
      <left style="thin">
        <color indexed="64"/>
      </left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 style="thin">
        <color indexed="23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5">
    <xf numFmtId="0" fontId="0" fillId="0" borderId="0"/>
    <xf numFmtId="0" fontId="17" fillId="7" borderId="0"/>
    <xf numFmtId="0" fontId="21" fillId="10" borderId="0" applyNumberFormat="0" applyBorder="0" applyAlignment="0" applyProtection="0"/>
    <xf numFmtId="9" fontId="32" fillId="0" borderId="0" applyFont="0" applyFill="0" applyBorder="0" applyAlignment="0" applyProtection="0"/>
    <xf numFmtId="0" fontId="50" fillId="0" borderId="0" applyNumberFormat="0" applyFill="0" applyBorder="0" applyAlignment="0" applyProtection="0"/>
  </cellStyleXfs>
  <cellXfs count="301">
    <xf numFmtId="0" fontId="0" fillId="0" borderId="0" xfId="0"/>
    <xf numFmtId="0" fontId="0" fillId="0" borderId="0" xfId="0" applyAlignment="1">
      <alignment horizontal="center"/>
    </xf>
    <xf numFmtId="0" fontId="5" fillId="0" borderId="0" xfId="0" applyFont="1"/>
    <xf numFmtId="0" fontId="8" fillId="2" borderId="1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5" fillId="0" borderId="6" xfId="0" quotePrefix="1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164" fontId="3" fillId="0" borderId="0" xfId="0" applyNumberFormat="1" applyFont="1" applyAlignment="1">
      <alignment horizontal="right" shrinkToFit="1"/>
    </xf>
    <xf numFmtId="0" fontId="2" fillId="0" borderId="0" xfId="0" applyFont="1" applyAlignment="1">
      <alignment horizontal="center"/>
    </xf>
    <xf numFmtId="164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4" fontId="3" fillId="0" borderId="0" xfId="0" applyNumberFormat="1" applyFont="1" applyAlignment="1">
      <alignment horizontal="center" shrinkToFit="1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/>
    </xf>
    <xf numFmtId="164" fontId="1" fillId="0" borderId="0" xfId="0" applyNumberFormat="1" applyFont="1" applyAlignment="1" applyProtection="1">
      <alignment horizontal="center" shrinkToFit="1"/>
      <protection locked="0"/>
    </xf>
    <xf numFmtId="0" fontId="9" fillId="0" borderId="5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6" fillId="0" borderId="23" xfId="0" applyFont="1" applyBorder="1" applyAlignment="1">
      <alignment horizontal="right" vertical="center" indent="1"/>
    </xf>
    <xf numFmtId="0" fontId="7" fillId="0" borderId="23" xfId="0" applyFont="1" applyBorder="1" applyAlignment="1">
      <alignment horizontal="right" indent="1"/>
    </xf>
    <xf numFmtId="0" fontId="5" fillId="0" borderId="23" xfId="0" applyFont="1" applyBorder="1"/>
    <xf numFmtId="0" fontId="5" fillId="6" borderId="6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6" fontId="0" fillId="0" borderId="19" xfId="0" applyNumberForma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6" borderId="26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8" fillId="2" borderId="28" xfId="0" applyFont="1" applyFill="1" applyBorder="1" applyAlignment="1">
      <alignment horizontal="center" vertical="center"/>
    </xf>
    <xf numFmtId="0" fontId="8" fillId="2" borderId="29" xfId="0" applyFont="1" applyFill="1" applyBorder="1" applyAlignment="1">
      <alignment horizontal="center" vertical="center"/>
    </xf>
    <xf numFmtId="0" fontId="5" fillId="0" borderId="30" xfId="0" applyFont="1" applyBorder="1" applyAlignment="1">
      <alignment vertical="center"/>
    </xf>
    <xf numFmtId="0" fontId="5" fillId="0" borderId="31" xfId="0" applyFont="1" applyBorder="1" applyAlignment="1">
      <alignment vertical="center"/>
    </xf>
    <xf numFmtId="0" fontId="5" fillId="0" borderId="26" xfId="0" quotePrefix="1" applyFont="1" applyBorder="1" applyAlignment="1">
      <alignment horizontal="center" vertical="center"/>
    </xf>
    <xf numFmtId="0" fontId="5" fillId="0" borderId="32" xfId="0" applyFont="1" applyBorder="1" applyAlignment="1">
      <alignment vertical="center"/>
    </xf>
    <xf numFmtId="0" fontId="5" fillId="0" borderId="34" xfId="0" applyFont="1" applyBorder="1"/>
    <xf numFmtId="0" fontId="5" fillId="0" borderId="33" xfId="0" applyFont="1" applyBorder="1" applyAlignment="1">
      <alignment vertical="center"/>
    </xf>
    <xf numFmtId="168" fontId="5" fillId="0" borderId="8" xfId="0" applyNumberFormat="1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9" fontId="1" fillId="5" borderId="17" xfId="0" quotePrefix="1" applyNumberFormat="1" applyFont="1" applyFill="1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right"/>
    </xf>
    <xf numFmtId="0" fontId="13" fillId="0" borderId="0" xfId="0" applyFont="1"/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0" fontId="0" fillId="0" borderId="14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5" fontId="12" fillId="0" borderId="13" xfId="0" applyNumberFormat="1" applyFont="1" applyBorder="1" applyAlignment="1">
      <alignment horizontal="center" vertical="center"/>
    </xf>
    <xf numFmtId="0" fontId="12" fillId="4" borderId="13" xfId="0" applyFont="1" applyFill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" fontId="12" fillId="0" borderId="13" xfId="0" applyNumberFormat="1" applyFont="1" applyBorder="1" applyAlignment="1">
      <alignment horizontal="center" vertical="center"/>
    </xf>
    <xf numFmtId="166" fontId="0" fillId="0" borderId="15" xfId="0" applyNumberFormat="1" applyBorder="1" applyAlignment="1">
      <alignment horizontal="center" vertical="center"/>
    </xf>
    <xf numFmtId="0" fontId="15" fillId="9" borderId="40" xfId="0" applyFont="1" applyFill="1" applyBorder="1" applyAlignment="1">
      <alignment horizontal="center" vertical="center"/>
    </xf>
    <xf numFmtId="0" fontId="15" fillId="9" borderId="42" xfId="0" applyFont="1" applyFill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9" fillId="4" borderId="0" xfId="0" applyFont="1" applyFill="1" applyAlignment="1">
      <alignment horizontal="right"/>
    </xf>
    <xf numFmtId="0" fontId="19" fillId="4" borderId="0" xfId="0" applyFont="1" applyFill="1" applyAlignment="1">
      <alignment horizontal="left"/>
    </xf>
    <xf numFmtId="0" fontId="1" fillId="2" borderId="17" xfId="0" applyFont="1" applyFill="1" applyBorder="1" applyAlignment="1">
      <alignment horizontal="center" vertical="center" wrapText="1"/>
    </xf>
    <xf numFmtId="0" fontId="20" fillId="4" borderId="17" xfId="0" applyFont="1" applyFill="1" applyBorder="1" applyAlignment="1">
      <alignment horizontal="center" vertical="center" wrapText="1"/>
    </xf>
    <xf numFmtId="3" fontId="20" fillId="4" borderId="14" xfId="0" applyNumberFormat="1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/>
    <xf numFmtId="1" fontId="18" fillId="0" borderId="25" xfId="0" applyNumberFormat="1" applyFont="1" applyBorder="1" applyAlignment="1">
      <alignment horizontal="center" vertical="center" wrapText="1"/>
    </xf>
    <xf numFmtId="1" fontId="18" fillId="0" borderId="13" xfId="0" applyNumberFormat="1" applyFont="1" applyBorder="1" applyAlignment="1">
      <alignment horizontal="center" vertical="center" wrapText="1"/>
    </xf>
    <xf numFmtId="3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/>
    <xf numFmtId="0" fontId="12" fillId="10" borderId="0" xfId="2" applyFont="1" applyAlignment="1">
      <alignment horizontal="center" vertical="center"/>
    </xf>
    <xf numFmtId="165" fontId="12" fillId="10" borderId="0" xfId="2" applyNumberFormat="1" applyFont="1" applyAlignment="1">
      <alignment horizontal="center" vertical="center"/>
    </xf>
    <xf numFmtId="0" fontId="18" fillId="6" borderId="0" xfId="0" applyFont="1" applyFill="1" applyAlignment="1">
      <alignment horizontal="center"/>
    </xf>
    <xf numFmtId="0" fontId="18" fillId="6" borderId="0" xfId="0" applyFont="1" applyFill="1" applyAlignment="1">
      <alignment horizontal="center" vertical="center"/>
    </xf>
    <xf numFmtId="0" fontId="18" fillId="6" borderId="0" xfId="0" applyFont="1" applyFill="1"/>
    <xf numFmtId="0" fontId="24" fillId="0" borderId="13" xfId="0" applyFont="1" applyBorder="1" applyAlignment="1">
      <alignment horizontal="center" vertical="center" wrapText="1"/>
    </xf>
    <xf numFmtId="0" fontId="24" fillId="0" borderId="13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 wrapText="1"/>
    </xf>
    <xf numFmtId="0" fontId="24" fillId="0" borderId="13" xfId="0" applyFont="1" applyBorder="1" applyAlignment="1">
      <alignment horizontal="center"/>
    </xf>
    <xf numFmtId="164" fontId="24" fillId="0" borderId="13" xfId="0" applyNumberFormat="1" applyFont="1" applyBorder="1" applyAlignment="1">
      <alignment horizontal="right" shrinkToFit="1"/>
    </xf>
    <xf numFmtId="0" fontId="5" fillId="0" borderId="0" xfId="0" applyFont="1" applyAlignment="1">
      <alignment horizontal="center" vertical="center"/>
    </xf>
    <xf numFmtId="0" fontId="0" fillId="0" borderId="13" xfId="0" applyBorder="1"/>
    <xf numFmtId="0" fontId="24" fillId="0" borderId="19" xfId="0" applyFont="1" applyBorder="1" applyAlignment="1">
      <alignment horizontal="center"/>
    </xf>
    <xf numFmtId="0" fontId="24" fillId="0" borderId="19" xfId="0" applyFont="1" applyBorder="1" applyAlignment="1">
      <alignment horizontal="center" vertical="center" wrapText="1"/>
    </xf>
    <xf numFmtId="164" fontId="24" fillId="0" borderId="19" xfId="0" applyNumberFormat="1" applyFont="1" applyBorder="1" applyAlignment="1">
      <alignment horizontal="right" shrinkToFit="1"/>
    </xf>
    <xf numFmtId="0" fontId="23" fillId="0" borderId="25" xfId="0" applyFont="1" applyBorder="1" applyAlignment="1">
      <alignment horizontal="center" vertical="center" wrapText="1"/>
    </xf>
    <xf numFmtId="0" fontId="24" fillId="0" borderId="19" xfId="0" applyFont="1" applyBorder="1" applyAlignment="1">
      <alignment horizontal="center" vertical="center"/>
    </xf>
    <xf numFmtId="164" fontId="24" fillId="0" borderId="19" xfId="0" applyNumberFormat="1" applyFont="1" applyBorder="1" applyAlignment="1">
      <alignment horizontal="center" vertical="center" shrinkToFit="1"/>
    </xf>
    <xf numFmtId="164" fontId="24" fillId="0" borderId="13" xfId="0" applyNumberFormat="1" applyFont="1" applyBorder="1" applyAlignment="1">
      <alignment horizontal="center" vertical="center" shrinkToFit="1"/>
    </xf>
    <xf numFmtId="0" fontId="1" fillId="0" borderId="13" xfId="0" applyFont="1" applyBorder="1" applyAlignment="1">
      <alignment horizontal="center" vertical="center"/>
    </xf>
    <xf numFmtId="0" fontId="28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165" fontId="29" fillId="0" borderId="53" xfId="0" applyNumberFormat="1" applyFont="1" applyBorder="1" applyAlignment="1">
      <alignment horizontal="center" vertical="top" shrinkToFit="1"/>
    </xf>
    <xf numFmtId="1" fontId="30" fillId="0" borderId="48" xfId="0" applyNumberFormat="1" applyFont="1" applyBorder="1" applyAlignment="1">
      <alignment horizontal="center" vertical="top" shrinkToFit="1"/>
    </xf>
    <xf numFmtId="2" fontId="30" fillId="0" borderId="48" xfId="0" applyNumberFormat="1" applyFont="1" applyBorder="1" applyAlignment="1">
      <alignment horizontal="center" vertical="top" shrinkToFit="1"/>
    </xf>
    <xf numFmtId="1" fontId="30" fillId="0" borderId="54" xfId="0" applyNumberFormat="1" applyFont="1" applyBorder="1" applyAlignment="1">
      <alignment horizontal="center" vertical="top" shrinkToFit="1"/>
    </xf>
    <xf numFmtId="2" fontId="30" fillId="0" borderId="54" xfId="0" applyNumberFormat="1" applyFont="1" applyBorder="1" applyAlignment="1">
      <alignment horizontal="center" vertical="top" shrinkToFit="1"/>
    </xf>
    <xf numFmtId="1" fontId="30" fillId="0" borderId="52" xfId="0" applyNumberFormat="1" applyFont="1" applyBorder="1" applyAlignment="1">
      <alignment horizontal="center" vertical="top" shrinkToFit="1"/>
    </xf>
    <xf numFmtId="2" fontId="30" fillId="0" borderId="52" xfId="0" applyNumberFormat="1" applyFont="1" applyBorder="1" applyAlignment="1">
      <alignment horizontal="center" vertical="top" shrinkToFit="1"/>
    </xf>
    <xf numFmtId="0" fontId="31" fillId="0" borderId="0" xfId="0" applyFont="1" applyAlignment="1">
      <alignment horizontal="left" vertical="top"/>
    </xf>
    <xf numFmtId="0" fontId="0" fillId="0" borderId="0" xfId="0" quotePrefix="1"/>
    <xf numFmtId="1" fontId="29" fillId="0" borderId="53" xfId="0" applyNumberFormat="1" applyFont="1" applyBorder="1" applyAlignment="1">
      <alignment horizontal="center" vertical="top" shrinkToFit="1"/>
    </xf>
    <xf numFmtId="2" fontId="12" fillId="0" borderId="13" xfId="0" applyNumberFormat="1" applyFont="1" applyBorder="1" applyAlignment="1">
      <alignment horizontal="center" vertical="center"/>
    </xf>
    <xf numFmtId="49" fontId="1" fillId="0" borderId="13" xfId="0" applyNumberFormat="1" applyFont="1" applyBorder="1" applyAlignment="1">
      <alignment horizontal="center" vertical="center" wrapText="1"/>
    </xf>
    <xf numFmtId="3" fontId="12" fillId="0" borderId="13" xfId="0" applyNumberFormat="1" applyFont="1" applyBorder="1" applyAlignment="1">
      <alignment horizontal="center" vertical="center"/>
    </xf>
    <xf numFmtId="167" fontId="12" fillId="0" borderId="13" xfId="0" applyNumberFormat="1" applyFont="1" applyBorder="1" applyAlignment="1">
      <alignment horizontal="center" vertical="center"/>
    </xf>
    <xf numFmtId="1" fontId="12" fillId="0" borderId="13" xfId="0" applyNumberFormat="1" applyFont="1" applyBorder="1" applyAlignment="1" applyProtection="1">
      <alignment horizontal="center" vertical="center"/>
      <protection locked="0"/>
    </xf>
    <xf numFmtId="0" fontId="12" fillId="0" borderId="0" xfId="0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34" fillId="0" borderId="13" xfId="0" applyFont="1" applyBorder="1" applyAlignment="1">
      <alignment horizontal="center" vertical="center"/>
    </xf>
    <xf numFmtId="164" fontId="35" fillId="0" borderId="19" xfId="0" applyNumberFormat="1" applyFont="1" applyBorder="1" applyAlignment="1">
      <alignment horizontal="center" shrinkToFit="1"/>
    </xf>
    <xf numFmtId="164" fontId="35" fillId="0" borderId="13" xfId="0" applyNumberFormat="1" applyFont="1" applyBorder="1" applyAlignment="1">
      <alignment horizontal="center" shrinkToFit="1"/>
    </xf>
    <xf numFmtId="164" fontId="35" fillId="0" borderId="13" xfId="0" applyNumberFormat="1" applyFont="1" applyBorder="1" applyAlignment="1" applyProtection="1">
      <alignment horizontal="center" vertical="center" wrapText="1"/>
      <protection locked="0"/>
    </xf>
    <xf numFmtId="1" fontId="35" fillId="0" borderId="13" xfId="0" applyNumberFormat="1" applyFont="1" applyBorder="1" applyAlignment="1" applyProtection="1">
      <alignment horizontal="center" vertical="center" wrapText="1"/>
      <protection locked="0"/>
    </xf>
    <xf numFmtId="0" fontId="34" fillId="0" borderId="27" xfId="0" applyFont="1" applyBorder="1" applyAlignment="1">
      <alignment horizontal="center" vertical="center" wrapText="1"/>
    </xf>
    <xf numFmtId="0" fontId="35" fillId="0" borderId="39" xfId="0" applyFont="1" applyBorder="1" applyAlignment="1">
      <alignment horizontal="center" vertical="center"/>
    </xf>
    <xf numFmtId="0" fontId="35" fillId="0" borderId="39" xfId="0" applyFont="1" applyBorder="1" applyAlignment="1">
      <alignment horizontal="center" vertical="center" shrinkToFit="1"/>
    </xf>
    <xf numFmtId="0" fontId="24" fillId="0" borderId="39" xfId="0" applyFont="1" applyBorder="1" applyAlignment="1">
      <alignment horizontal="center"/>
    </xf>
    <xf numFmtId="0" fontId="24" fillId="0" borderId="39" xfId="0" applyFont="1" applyBorder="1" applyAlignment="1">
      <alignment horizontal="center" vertical="center" wrapText="1"/>
    </xf>
    <xf numFmtId="0" fontId="27" fillId="0" borderId="39" xfId="0" applyFont="1" applyBorder="1" applyAlignment="1">
      <alignment horizontal="center" shrinkToFit="1"/>
    </xf>
    <xf numFmtId="0" fontId="24" fillId="0" borderId="39" xfId="0" applyFont="1" applyBorder="1" applyAlignment="1">
      <alignment horizontal="right" shrinkToFit="1"/>
    </xf>
    <xf numFmtId="0" fontId="27" fillId="0" borderId="39" xfId="0" applyFont="1" applyBorder="1" applyAlignment="1">
      <alignment horizontal="center"/>
    </xf>
    <xf numFmtId="0" fontId="23" fillId="0" borderId="39" xfId="0" applyFont="1" applyBorder="1" applyAlignment="1">
      <alignment horizontal="center" vertical="center" wrapText="1"/>
    </xf>
    <xf numFmtId="0" fontId="0" fillId="0" borderId="39" xfId="0" applyBorder="1" applyAlignment="1">
      <alignment horizontal="center" vertical="center"/>
    </xf>
    <xf numFmtId="0" fontId="18" fillId="6" borderId="13" xfId="0" applyFont="1" applyFill="1" applyBorder="1" applyAlignment="1" applyProtection="1">
      <alignment horizontal="center" vertical="center" wrapText="1"/>
      <protection locked="0"/>
    </xf>
    <xf numFmtId="0" fontId="23" fillId="0" borderId="13" xfId="0" applyFont="1" applyBorder="1" applyAlignment="1" applyProtection="1">
      <alignment horizontal="center" vertical="center" wrapText="1"/>
      <protection locked="0"/>
    </xf>
    <xf numFmtId="0" fontId="24" fillId="0" borderId="13" xfId="0" applyFont="1" applyBorder="1" applyAlignment="1" applyProtection="1">
      <alignment horizontal="center" vertical="center"/>
      <protection locked="0"/>
    </xf>
    <xf numFmtId="165" fontId="24" fillId="0" borderId="13" xfId="0" applyNumberFormat="1" applyFont="1" applyBorder="1" applyAlignment="1" applyProtection="1">
      <alignment horizontal="center" vertical="center"/>
      <protection locked="0"/>
    </xf>
    <xf numFmtId="0" fontId="23" fillId="0" borderId="16" xfId="0" applyFont="1" applyBorder="1" applyAlignment="1" applyProtection="1">
      <alignment horizontal="center" vertical="center" wrapText="1"/>
      <protection locked="0"/>
    </xf>
    <xf numFmtId="0" fontId="24" fillId="0" borderId="22" xfId="0" applyFont="1" applyBorder="1" applyAlignment="1" applyProtection="1">
      <alignment horizontal="center" vertical="center"/>
      <protection locked="0"/>
    </xf>
    <xf numFmtId="0" fontId="23" fillId="0" borderId="47" xfId="0" applyFont="1" applyBorder="1" applyAlignment="1" applyProtection="1">
      <alignment horizontal="center" vertical="center" wrapText="1"/>
      <protection locked="0"/>
    </xf>
    <xf numFmtId="0" fontId="23" fillId="0" borderId="37" xfId="0" applyFont="1" applyBorder="1" applyAlignment="1" applyProtection="1">
      <alignment horizontal="center" vertical="center" wrapText="1"/>
      <protection locked="0"/>
    </xf>
    <xf numFmtId="0" fontId="24" fillId="0" borderId="37" xfId="0" applyFont="1" applyBorder="1" applyAlignment="1" applyProtection="1">
      <alignment horizontal="center" vertical="center"/>
      <protection locked="0"/>
    </xf>
    <xf numFmtId="165" fontId="24" fillId="0" borderId="37" xfId="0" applyNumberFormat="1" applyFont="1" applyBorder="1" applyAlignment="1" applyProtection="1">
      <alignment horizontal="center" vertical="center"/>
      <protection locked="0"/>
    </xf>
    <xf numFmtId="0" fontId="24" fillId="0" borderId="36" xfId="0" applyFont="1" applyBorder="1" applyAlignment="1" applyProtection="1">
      <alignment horizontal="center" vertical="center"/>
      <protection locked="0"/>
    </xf>
    <xf numFmtId="0" fontId="18" fillId="6" borderId="12" xfId="0" applyFont="1" applyFill="1" applyBorder="1" applyAlignment="1" applyProtection="1">
      <alignment horizontal="center" vertical="center"/>
      <protection locked="0"/>
    </xf>
    <xf numFmtId="0" fontId="23" fillId="6" borderId="12" xfId="0" applyFont="1" applyFill="1" applyBorder="1" applyAlignment="1" applyProtection="1">
      <alignment horizontal="left" vertical="center"/>
      <protection locked="0"/>
    </xf>
    <xf numFmtId="0" fontId="23" fillId="6" borderId="27" xfId="0" applyFont="1" applyFill="1" applyBorder="1" applyAlignment="1" applyProtection="1">
      <alignment horizontal="center" vertical="center"/>
      <protection locked="0"/>
    </xf>
    <xf numFmtId="0" fontId="23" fillId="6" borderId="39" xfId="0" applyFont="1" applyFill="1" applyBorder="1" applyAlignment="1" applyProtection="1">
      <alignment horizontal="center" vertical="center" wrapText="1"/>
      <protection locked="0"/>
    </xf>
    <xf numFmtId="0" fontId="23" fillId="6" borderId="24" xfId="0" applyFont="1" applyFill="1" applyBorder="1" applyAlignment="1" applyProtection="1">
      <alignment horizontal="center" vertical="center" wrapText="1"/>
      <protection locked="0"/>
    </xf>
    <xf numFmtId="0" fontId="23" fillId="6" borderId="12" xfId="0" applyFont="1" applyFill="1" applyBorder="1" applyAlignment="1" applyProtection="1">
      <alignment horizontal="center" vertical="center" wrapText="1"/>
      <protection locked="0"/>
    </xf>
    <xf numFmtId="9" fontId="23" fillId="11" borderId="27" xfId="0" applyNumberFormat="1" applyFont="1" applyFill="1" applyBorder="1" applyAlignment="1" applyProtection="1">
      <alignment horizontal="center" vertical="center" wrapText="1"/>
      <protection locked="0"/>
    </xf>
    <xf numFmtId="0" fontId="23" fillId="11" borderId="24" xfId="0" applyFont="1" applyFill="1" applyBorder="1" applyAlignment="1" applyProtection="1">
      <alignment horizontal="center" vertical="center" wrapText="1"/>
      <protection locked="0"/>
    </xf>
    <xf numFmtId="0" fontId="23" fillId="6" borderId="27" xfId="0" applyFont="1" applyFill="1" applyBorder="1" applyAlignment="1" applyProtection="1">
      <alignment horizontal="center" vertical="center" wrapText="1"/>
      <protection locked="0"/>
    </xf>
    <xf numFmtId="0" fontId="18" fillId="6" borderId="12" xfId="0" applyFont="1" applyFill="1" applyBorder="1" applyAlignment="1" applyProtection="1">
      <alignment horizontal="center" vertical="center" wrapText="1"/>
      <protection locked="0"/>
    </xf>
    <xf numFmtId="0" fontId="18" fillId="6" borderId="27" xfId="0" applyFont="1" applyFill="1" applyBorder="1" applyAlignment="1" applyProtection="1">
      <alignment horizontal="center" vertical="center" wrapText="1"/>
      <protection locked="0"/>
    </xf>
    <xf numFmtId="0" fontId="18" fillId="6" borderId="24" xfId="0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/>
    <xf numFmtId="0" fontId="0" fillId="0" borderId="0" xfId="0" applyAlignment="1">
      <alignment vertical="center" wrapText="1"/>
    </xf>
    <xf numFmtId="10" fontId="0" fillId="0" borderId="0" xfId="0" applyNumberFormat="1"/>
    <xf numFmtId="165" fontId="39" fillId="0" borderId="13" xfId="0" applyNumberFormat="1" applyFont="1" applyBorder="1" applyAlignment="1" applyProtection="1">
      <alignment horizontal="center" vertical="center"/>
      <protection locked="0"/>
    </xf>
    <xf numFmtId="165" fontId="1" fillId="0" borderId="13" xfId="0" applyNumberFormat="1" applyFont="1" applyBorder="1" applyAlignment="1">
      <alignment horizontal="center" vertical="center"/>
    </xf>
    <xf numFmtId="1" fontId="1" fillId="0" borderId="13" xfId="0" applyNumberFormat="1" applyFont="1" applyBorder="1" applyAlignment="1">
      <alignment horizontal="center" vertical="center"/>
    </xf>
    <xf numFmtId="0" fontId="23" fillId="0" borderId="57" xfId="0" applyFont="1" applyBorder="1" applyAlignment="1" applyProtection="1">
      <alignment horizontal="center" vertical="center" wrapText="1"/>
      <protection locked="0"/>
    </xf>
    <xf numFmtId="0" fontId="23" fillId="0" borderId="56" xfId="0" applyFont="1" applyBorder="1" applyAlignment="1" applyProtection="1">
      <alignment horizontal="center" vertical="center" wrapText="1"/>
      <protection locked="0"/>
    </xf>
    <xf numFmtId="0" fontId="24" fillId="0" borderId="56" xfId="0" applyFont="1" applyBorder="1" applyAlignment="1" applyProtection="1">
      <alignment horizontal="center" vertical="center"/>
      <protection locked="0"/>
    </xf>
    <xf numFmtId="0" fontId="24" fillId="0" borderId="58" xfId="0" applyFont="1" applyBorder="1" applyAlignment="1" applyProtection="1">
      <alignment horizontal="center" vertical="center"/>
      <protection locked="0"/>
    </xf>
    <xf numFmtId="165" fontId="24" fillId="0" borderId="56" xfId="0" applyNumberFormat="1" applyFont="1" applyBorder="1" applyAlignment="1" applyProtection="1">
      <alignment horizontal="center" vertical="center"/>
      <protection locked="0"/>
    </xf>
    <xf numFmtId="0" fontId="16" fillId="0" borderId="13" xfId="0" applyFont="1" applyBorder="1" applyAlignment="1">
      <alignment horizontal="center" vertical="center"/>
    </xf>
    <xf numFmtId="0" fontId="16" fillId="0" borderId="0" xfId="0" applyFont="1"/>
    <xf numFmtId="0" fontId="41" fillId="0" borderId="0" xfId="0" applyFont="1"/>
    <xf numFmtId="49" fontId="18" fillId="0" borderId="13" xfId="0" applyNumberFormat="1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/>
    </xf>
    <xf numFmtId="0" fontId="38" fillId="0" borderId="13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1" fontId="37" fillId="0" borderId="13" xfId="0" applyNumberFormat="1" applyFont="1" applyBorder="1" applyAlignment="1">
      <alignment horizontal="center" vertical="center"/>
    </xf>
    <xf numFmtId="1" fontId="18" fillId="0" borderId="13" xfId="0" applyNumberFormat="1" applyFont="1" applyBorder="1" applyAlignment="1">
      <alignment horizontal="center" vertical="center"/>
    </xf>
    <xf numFmtId="0" fontId="33" fillId="0" borderId="55" xfId="0" applyFont="1" applyBorder="1" applyAlignment="1">
      <alignment horizontal="center" vertical="center"/>
    </xf>
    <xf numFmtId="3" fontId="33" fillId="0" borderId="55" xfId="0" applyNumberFormat="1" applyFont="1" applyBorder="1" applyAlignment="1">
      <alignment horizontal="center" vertical="center"/>
    </xf>
    <xf numFmtId="0" fontId="33" fillId="0" borderId="55" xfId="0" applyFont="1" applyBorder="1" applyAlignment="1" applyProtection="1">
      <alignment horizontal="center" vertical="center"/>
      <protection locked="0"/>
    </xf>
    <xf numFmtId="165" fontId="33" fillId="0" borderId="55" xfId="0" applyNumberFormat="1" applyFont="1" applyBorder="1" applyAlignment="1">
      <alignment horizontal="center" vertical="center"/>
    </xf>
    <xf numFmtId="0" fontId="33" fillId="4" borderId="55" xfId="0" applyFont="1" applyFill="1" applyBorder="1" applyAlignment="1">
      <alignment horizontal="center" vertical="center"/>
    </xf>
    <xf numFmtId="1" fontId="33" fillId="0" borderId="55" xfId="0" applyNumberFormat="1" applyFont="1" applyBorder="1" applyAlignment="1">
      <alignment horizontal="center" vertical="center"/>
    </xf>
    <xf numFmtId="164" fontId="24" fillId="0" borderId="39" xfId="0" applyNumberFormat="1" applyFont="1" applyBorder="1" applyAlignment="1">
      <alignment horizontal="center" shrinkToFit="1"/>
    </xf>
    <xf numFmtId="1" fontId="35" fillId="0" borderId="39" xfId="0" applyNumberFormat="1" applyFont="1" applyBorder="1" applyAlignment="1" applyProtection="1">
      <alignment horizontal="center" vertical="center" wrapText="1"/>
      <protection locked="0"/>
    </xf>
    <xf numFmtId="1" fontId="27" fillId="0" borderId="39" xfId="0" applyNumberFormat="1" applyFont="1" applyBorder="1" applyAlignment="1">
      <alignment horizontal="center" vertical="center" wrapText="1"/>
    </xf>
    <xf numFmtId="1" fontId="18" fillId="0" borderId="39" xfId="0" applyNumberFormat="1" applyFont="1" applyBorder="1" applyAlignment="1">
      <alignment horizontal="center" vertical="center" wrapText="1"/>
    </xf>
    <xf numFmtId="3" fontId="0" fillId="0" borderId="0" xfId="0" applyNumberFormat="1"/>
    <xf numFmtId="1" fontId="0" fillId="0" borderId="0" xfId="0" applyNumberFormat="1"/>
    <xf numFmtId="165" fontId="38" fillId="0" borderId="13" xfId="0" applyNumberFormat="1" applyFont="1" applyBorder="1" applyAlignment="1">
      <alignment horizontal="center" vertical="center"/>
    </xf>
    <xf numFmtId="0" fontId="16" fillId="0" borderId="13" xfId="0" applyFont="1" applyBorder="1" applyAlignment="1">
      <alignment horizontal="left"/>
    </xf>
    <xf numFmtId="0" fontId="16" fillId="0" borderId="22" xfId="0" applyFont="1" applyBorder="1"/>
    <xf numFmtId="165" fontId="16" fillId="0" borderId="22" xfId="0" applyNumberFormat="1" applyFont="1" applyBorder="1"/>
    <xf numFmtId="0" fontId="16" fillId="0" borderId="16" xfId="0" applyFont="1" applyBorder="1"/>
    <xf numFmtId="0" fontId="0" fillId="0" borderId="0" xfId="0" applyAlignment="1">
      <alignment horizontal="left"/>
    </xf>
    <xf numFmtId="0" fontId="16" fillId="0" borderId="0" xfId="0" applyFont="1" applyAlignment="1">
      <alignment horizontal="right"/>
    </xf>
    <xf numFmtId="165" fontId="49" fillId="0" borderId="55" xfId="0" applyNumberFormat="1" applyFont="1" applyBorder="1" applyAlignment="1">
      <alignment horizontal="center" vertical="center"/>
    </xf>
    <xf numFmtId="165" fontId="48" fillId="0" borderId="13" xfId="0" applyNumberFormat="1" applyFont="1" applyBorder="1" applyAlignment="1" applyProtection="1">
      <alignment horizontal="center" vertical="center"/>
      <protection locked="0"/>
    </xf>
    <xf numFmtId="0" fontId="48" fillId="0" borderId="13" xfId="0" applyFont="1" applyBorder="1" applyAlignment="1" applyProtection="1">
      <alignment horizontal="center" vertical="center"/>
      <protection locked="0"/>
    </xf>
    <xf numFmtId="9" fontId="48" fillId="0" borderId="13" xfId="3" applyFont="1" applyBorder="1" applyAlignment="1" applyProtection="1">
      <alignment horizontal="center" vertical="center"/>
      <protection locked="0"/>
    </xf>
    <xf numFmtId="0" fontId="16" fillId="0" borderId="15" xfId="0" applyFont="1" applyBorder="1" applyAlignment="1">
      <alignment horizontal="center" vertical="center" wrapText="1"/>
    </xf>
    <xf numFmtId="0" fontId="16" fillId="0" borderId="43" xfId="0" applyFont="1" applyBorder="1" applyAlignment="1">
      <alignment horizontal="center" vertical="center" wrapText="1"/>
    </xf>
    <xf numFmtId="0" fontId="48" fillId="0" borderId="13" xfId="0" applyFont="1" applyBorder="1" applyAlignment="1">
      <alignment horizontal="center" vertical="center"/>
    </xf>
    <xf numFmtId="0" fontId="48" fillId="0" borderId="22" xfId="0" applyFont="1" applyBorder="1" applyAlignment="1">
      <alignment horizontal="center" vertical="center"/>
    </xf>
    <xf numFmtId="0" fontId="53" fillId="0" borderId="46" xfId="0" applyFont="1" applyBorder="1" applyAlignment="1">
      <alignment horizontal="center" vertical="center" wrapText="1"/>
    </xf>
    <xf numFmtId="0" fontId="52" fillId="0" borderId="16" xfId="0" applyFont="1" applyBorder="1" applyAlignment="1">
      <alignment horizontal="center" vertical="center"/>
    </xf>
    <xf numFmtId="0" fontId="23" fillId="6" borderId="12" xfId="0" applyFont="1" applyFill="1" applyBorder="1" applyAlignment="1" applyProtection="1">
      <alignment horizontal="center" vertical="center"/>
      <protection locked="0"/>
    </xf>
    <xf numFmtId="0" fontId="35" fillId="0" borderId="13" xfId="0" applyFont="1" applyBorder="1" applyAlignment="1">
      <alignment horizontal="center" vertical="center"/>
    </xf>
    <xf numFmtId="1" fontId="23" fillId="0" borderId="25" xfId="0" applyNumberFormat="1" applyFont="1" applyBorder="1" applyAlignment="1">
      <alignment horizontal="center" vertical="center" wrapText="1"/>
    </xf>
    <xf numFmtId="166" fontId="24" fillId="0" borderId="19" xfId="0" applyNumberFormat="1" applyFont="1" applyBorder="1" applyAlignment="1">
      <alignment horizontal="center" vertical="center"/>
    </xf>
    <xf numFmtId="166" fontId="24" fillId="0" borderId="15" xfId="0" applyNumberFormat="1" applyFont="1" applyBorder="1" applyAlignment="1">
      <alignment horizontal="center" vertical="center"/>
    </xf>
    <xf numFmtId="166" fontId="24" fillId="0" borderId="13" xfId="0" applyNumberFormat="1" applyFont="1" applyBorder="1" applyAlignment="1">
      <alignment horizontal="center" vertical="center"/>
    </xf>
    <xf numFmtId="1" fontId="23" fillId="0" borderId="13" xfId="0" applyNumberFormat="1" applyFont="1" applyBorder="1" applyAlignment="1">
      <alignment horizontal="center" vertical="center" wrapText="1"/>
    </xf>
    <xf numFmtId="0" fontId="35" fillId="0" borderId="27" xfId="0" applyFont="1" applyBorder="1" applyAlignment="1">
      <alignment horizontal="center" vertical="center" wrapText="1"/>
    </xf>
    <xf numFmtId="1" fontId="23" fillId="0" borderId="39" xfId="0" applyNumberFormat="1" applyFont="1" applyBorder="1" applyAlignment="1">
      <alignment horizontal="center" vertical="center" wrapText="1"/>
    </xf>
    <xf numFmtId="0" fontId="24" fillId="0" borderId="39" xfId="0" applyFont="1" applyBorder="1" applyAlignment="1">
      <alignment horizontal="center" vertical="center"/>
    </xf>
    <xf numFmtId="0" fontId="48" fillId="0" borderId="0" xfId="0" applyFont="1" applyAlignment="1" applyProtection="1">
      <alignment horizontal="left"/>
      <protection locked="0"/>
    </xf>
    <xf numFmtId="14" fontId="48" fillId="0" borderId="0" xfId="0" applyNumberFormat="1" applyFont="1" applyAlignment="1" applyProtection="1">
      <alignment horizontal="left"/>
      <protection locked="0"/>
    </xf>
    <xf numFmtId="0" fontId="47" fillId="0" borderId="22" xfId="0" applyFont="1" applyBorder="1" applyAlignment="1">
      <alignment horizontal="center" vertical="center"/>
    </xf>
    <xf numFmtId="0" fontId="47" fillId="0" borderId="20" xfId="0" applyFont="1" applyBorder="1" applyAlignment="1">
      <alignment horizontal="center" vertical="center"/>
    </xf>
    <xf numFmtId="0" fontId="47" fillId="0" borderId="16" xfId="0" applyFont="1" applyBorder="1" applyAlignment="1">
      <alignment horizontal="center" vertical="center"/>
    </xf>
    <xf numFmtId="0" fontId="47" fillId="0" borderId="13" xfId="0" applyFont="1" applyBorder="1" applyAlignment="1">
      <alignment horizontal="center" vertical="center"/>
    </xf>
    <xf numFmtId="0" fontId="46" fillId="0" borderId="0" xfId="0" applyFont="1" applyAlignment="1">
      <alignment horizontal="left"/>
    </xf>
    <xf numFmtId="0" fontId="16" fillId="0" borderId="13" xfId="0" applyFont="1" applyBorder="1" applyAlignment="1">
      <alignment horizontal="center" vertical="center"/>
    </xf>
    <xf numFmtId="165" fontId="48" fillId="0" borderId="37" xfId="0" applyNumberFormat="1" applyFont="1" applyBorder="1" applyAlignment="1" applyProtection="1">
      <alignment horizontal="center" vertical="center"/>
      <protection locked="0"/>
    </xf>
    <xf numFmtId="165" fontId="48" fillId="0" borderId="15" xfId="0" applyNumberFormat="1" applyFont="1" applyBorder="1" applyAlignment="1" applyProtection="1">
      <alignment horizontal="center" vertical="center"/>
      <protection locked="0"/>
    </xf>
    <xf numFmtId="0" fontId="54" fillId="0" borderId="13" xfId="0" applyFont="1" applyBorder="1" applyAlignment="1">
      <alignment horizontal="center" vertical="center"/>
    </xf>
    <xf numFmtId="0" fontId="51" fillId="0" borderId="0" xfId="4" applyFont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23" fillId="0" borderId="36" xfId="0" applyFont="1" applyBorder="1" applyAlignment="1" applyProtection="1">
      <alignment horizontal="left" vertical="top" wrapText="1"/>
      <protection locked="0"/>
    </xf>
    <xf numFmtId="0" fontId="23" fillId="0" borderId="44" xfId="0" applyFont="1" applyBorder="1" applyAlignment="1" applyProtection="1">
      <alignment horizontal="left" vertical="top" wrapText="1"/>
      <protection locked="0"/>
    </xf>
    <xf numFmtId="0" fontId="23" fillId="0" borderId="45" xfId="0" applyFont="1" applyBorder="1" applyAlignment="1" applyProtection="1">
      <alignment horizontal="left" vertical="top" wrapText="1"/>
      <protection locked="0"/>
    </xf>
    <xf numFmtId="0" fontId="23" fillId="0" borderId="34" xfId="0" applyFont="1" applyBorder="1" applyAlignment="1" applyProtection="1">
      <alignment horizontal="left" vertical="top" wrapText="1"/>
      <protection locked="0"/>
    </xf>
    <xf numFmtId="0" fontId="23" fillId="0" borderId="0" xfId="0" applyFont="1" applyAlignment="1" applyProtection="1">
      <alignment horizontal="left" vertical="top" wrapText="1"/>
      <protection locked="0"/>
    </xf>
    <xf numFmtId="0" fontId="23" fillId="0" borderId="41" xfId="0" applyFont="1" applyBorder="1" applyAlignment="1" applyProtection="1">
      <alignment horizontal="left" vertical="top" wrapText="1"/>
      <protection locked="0"/>
    </xf>
    <xf numFmtId="0" fontId="23" fillId="0" borderId="43" xfId="0" applyFont="1" applyBorder="1" applyAlignment="1" applyProtection="1">
      <alignment horizontal="left" vertical="top" wrapText="1"/>
      <protection locked="0"/>
    </xf>
    <xf numFmtId="0" fontId="23" fillId="0" borderId="21" xfId="0" applyFont="1" applyBorder="1" applyAlignment="1" applyProtection="1">
      <alignment horizontal="left" vertical="top" wrapText="1"/>
      <protection locked="0"/>
    </xf>
    <xf numFmtId="0" fontId="23" fillId="0" borderId="46" xfId="0" applyFont="1" applyBorder="1" applyAlignment="1" applyProtection="1">
      <alignment horizontal="left" vertical="top" wrapText="1"/>
      <protection locked="0"/>
    </xf>
    <xf numFmtId="0" fontId="14" fillId="0" borderId="22" xfId="0" applyFont="1" applyBorder="1" applyAlignment="1">
      <alignment horizontal="left" vertical="center"/>
    </xf>
    <xf numFmtId="0" fontId="14" fillId="0" borderId="20" xfId="0" applyFont="1" applyBorder="1" applyAlignment="1">
      <alignment horizontal="left" vertical="center"/>
    </xf>
    <xf numFmtId="0" fontId="14" fillId="0" borderId="16" xfId="0" applyFont="1" applyBorder="1" applyAlignment="1">
      <alignment horizontal="left" vertical="center"/>
    </xf>
    <xf numFmtId="0" fontId="24" fillId="0" borderId="13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16" xfId="0" applyFon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6" xfId="0" applyBorder="1" applyAlignment="1">
      <alignment horizontal="center"/>
    </xf>
    <xf numFmtId="0" fontId="25" fillId="0" borderId="13" xfId="0" applyFont="1" applyBorder="1" applyAlignment="1">
      <alignment horizontal="left" vertical="center"/>
    </xf>
    <xf numFmtId="0" fontId="1" fillId="0" borderId="13" xfId="0" applyFont="1" applyBorder="1" applyAlignment="1">
      <alignment horizontal="center" vertical="center"/>
    </xf>
    <xf numFmtId="49" fontId="1" fillId="0" borderId="13" xfId="0" applyNumberFormat="1" applyFont="1" applyBorder="1" applyAlignment="1">
      <alignment horizontal="center" vertical="center" wrapText="1"/>
    </xf>
    <xf numFmtId="0" fontId="40" fillId="0" borderId="13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1" fontId="12" fillId="0" borderId="13" xfId="0" applyNumberFormat="1" applyFont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center" vertical="center" wrapText="1"/>
    </xf>
    <xf numFmtId="0" fontId="8" fillId="2" borderId="30" xfId="0" applyFont="1" applyFill="1" applyBorder="1" applyAlignment="1">
      <alignment horizontal="center" vertical="center" wrapText="1"/>
    </xf>
    <xf numFmtId="0" fontId="8" fillId="2" borderId="31" xfId="0" applyFont="1" applyFill="1" applyBorder="1" applyAlignment="1">
      <alignment horizontal="center" vertical="center" wrapText="1"/>
    </xf>
    <xf numFmtId="0" fontId="8" fillId="2" borderId="32" xfId="0" applyFont="1" applyFill="1" applyBorder="1" applyAlignment="1">
      <alignment horizontal="center" vertical="center" wrapText="1"/>
    </xf>
    <xf numFmtId="0" fontId="8" fillId="2" borderId="33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left" vertical="top"/>
    </xf>
    <xf numFmtId="0" fontId="5" fillId="0" borderId="0" xfId="0" applyFont="1" applyAlignment="1">
      <alignment horizontal="left" vertical="center" wrapText="1" indent="1"/>
    </xf>
    <xf numFmtId="0" fontId="5" fillId="0" borderId="23" xfId="0" applyFont="1" applyBorder="1" applyAlignment="1">
      <alignment horizontal="left" vertical="center" wrapText="1" indent="1"/>
    </xf>
    <xf numFmtId="0" fontId="8" fillId="2" borderId="9" xfId="0" applyFont="1" applyFill="1" applyBorder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 wrapText="1"/>
    </xf>
    <xf numFmtId="0" fontId="8" fillId="2" borderId="11" xfId="0" applyFont="1" applyFill="1" applyBorder="1" applyAlignment="1">
      <alignment horizontal="center" vertical="center" wrapText="1"/>
    </xf>
    <xf numFmtId="0" fontId="0" fillId="0" borderId="48" xfId="0" applyBorder="1" applyAlignment="1">
      <alignment horizontal="left" vertical="top" wrapText="1"/>
    </xf>
    <xf numFmtId="0" fontId="0" fillId="0" borderId="52" xfId="0" applyBorder="1" applyAlignment="1">
      <alignment horizontal="left" vertical="top" wrapText="1"/>
    </xf>
    <xf numFmtId="0" fontId="28" fillId="0" borderId="49" xfId="0" applyFont="1" applyBorder="1" applyAlignment="1">
      <alignment horizontal="left" vertical="top" wrapText="1" indent="18"/>
    </xf>
    <xf numFmtId="0" fontId="28" fillId="0" borderId="50" xfId="0" applyFont="1" applyBorder="1" applyAlignment="1">
      <alignment horizontal="left" vertical="top" wrapText="1" indent="18"/>
    </xf>
    <xf numFmtId="0" fontId="28" fillId="0" borderId="51" xfId="0" applyFont="1" applyBorder="1" applyAlignment="1">
      <alignment horizontal="left" vertical="top" wrapText="1" indent="18"/>
    </xf>
    <xf numFmtId="0" fontId="15" fillId="8" borderId="22" xfId="0" applyFont="1" applyFill="1" applyBorder="1" applyAlignment="1">
      <alignment horizontal="center"/>
    </xf>
    <xf numFmtId="0" fontId="15" fillId="8" borderId="20" xfId="0" applyFont="1" applyFill="1" applyBorder="1" applyAlignment="1">
      <alignment horizontal="center"/>
    </xf>
    <xf numFmtId="0" fontId="15" fillId="8" borderId="16" xfId="0" applyFont="1" applyFill="1" applyBorder="1" applyAlignment="1">
      <alignment horizontal="center"/>
    </xf>
    <xf numFmtId="0" fontId="24" fillId="0" borderId="0" xfId="0" applyFont="1"/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horizontal="left" vertical="center"/>
    </xf>
    <xf numFmtId="0" fontId="24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right"/>
    </xf>
    <xf numFmtId="165" fontId="55" fillId="10" borderId="0" xfId="2" applyNumberFormat="1" applyFont="1" applyAlignment="1">
      <alignment horizontal="center" vertical="center"/>
    </xf>
    <xf numFmtId="0" fontId="55" fillId="10" borderId="0" xfId="2" applyFont="1" applyAlignment="1">
      <alignment horizontal="center" vertical="center"/>
    </xf>
    <xf numFmtId="0" fontId="23" fillId="0" borderId="0" xfId="0" applyFont="1"/>
    <xf numFmtId="0" fontId="24" fillId="0" borderId="13" xfId="0" applyFont="1" applyBorder="1"/>
    <xf numFmtId="0" fontId="24" fillId="0" borderId="22" xfId="0" applyFont="1" applyBorder="1" applyAlignment="1">
      <alignment horizontal="center"/>
    </xf>
    <xf numFmtId="0" fontId="24" fillId="0" borderId="20" xfId="0" applyFont="1" applyBorder="1" applyAlignment="1">
      <alignment horizontal="center"/>
    </xf>
    <xf numFmtId="0" fontId="24" fillId="0" borderId="16" xfId="0" applyFont="1" applyBorder="1" applyAlignment="1">
      <alignment horizontal="center"/>
    </xf>
    <xf numFmtId="0" fontId="23" fillId="0" borderId="13" xfId="0" applyFont="1" applyBorder="1" applyAlignment="1">
      <alignment horizontal="left" vertical="center"/>
    </xf>
    <xf numFmtId="0" fontId="23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 vertical="center"/>
    </xf>
    <xf numFmtId="0" fontId="23" fillId="6" borderId="13" xfId="0" applyFont="1" applyFill="1" applyBorder="1" applyAlignment="1" applyProtection="1">
      <alignment horizontal="center" vertical="center" wrapText="1"/>
      <protection locked="0"/>
    </xf>
    <xf numFmtId="0" fontId="23" fillId="6" borderId="0" xfId="0" applyFont="1" applyFill="1"/>
    <xf numFmtId="0" fontId="56" fillId="0" borderId="0" xfId="0" applyFont="1"/>
    <xf numFmtId="0" fontId="56" fillId="0" borderId="0" xfId="0" applyFont="1" applyAlignment="1">
      <alignment horizontal="center" vertical="center"/>
    </xf>
    <xf numFmtId="164" fontId="24" fillId="0" borderId="0" xfId="0" applyNumberFormat="1" applyFont="1" applyAlignment="1" applyProtection="1">
      <alignment horizontal="center" shrinkToFit="1"/>
      <protection locked="0"/>
    </xf>
    <xf numFmtId="164" fontId="57" fillId="0" borderId="0" xfId="0" applyNumberFormat="1" applyFont="1" applyAlignment="1">
      <alignment horizontal="center" shrinkToFit="1"/>
    </xf>
    <xf numFmtId="164" fontId="57" fillId="0" borderId="0" xfId="0" applyNumberFormat="1" applyFont="1" applyAlignment="1">
      <alignment horizontal="right" shrinkToFit="1"/>
    </xf>
    <xf numFmtId="3" fontId="24" fillId="0" borderId="0" xfId="0" applyNumberFormat="1" applyFont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0" fontId="56" fillId="0" borderId="0" xfId="0" applyFont="1" applyAlignment="1">
      <alignment vertical="center"/>
    </xf>
    <xf numFmtId="0" fontId="58" fillId="4" borderId="0" xfId="0" applyFont="1" applyFill="1" applyAlignment="1">
      <alignment horizontal="right"/>
    </xf>
    <xf numFmtId="2" fontId="24" fillId="0" borderId="0" xfId="0" applyNumberFormat="1" applyFont="1"/>
  </cellXfs>
  <cellStyles count="5">
    <cellStyle name="DiRootsParameterNotFound" xfId="1" xr:uid="{104907A8-2D4D-4252-804C-87DEA72DE229}"/>
    <cellStyle name="Hyperlink" xfId="4" builtinId="8"/>
    <cellStyle name="Neutral" xfId="2" builtinId="28"/>
    <cellStyle name="Normal" xfId="0" builtinId="0"/>
    <cellStyle name="Percent" xfId="3" builtinId="5"/>
  </cellStyles>
  <dxfs count="3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2"/>
        <family val="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border outline="0">
        <left style="medium">
          <color rgb="FF000000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</border>
    </dxf>
    <dxf>
      <font>
        <strike val="0"/>
        <outline val="0"/>
        <shadow val="0"/>
        <u val="none"/>
        <vertAlign val="baseline"/>
        <sz val="10"/>
        <color theme="1"/>
      </font>
      <fill>
        <patternFill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2</xdr:row>
          <xdr:rowOff>101600</xdr:rowOff>
        </xdr:from>
        <xdr:to>
          <xdr:col>19</xdr:col>
          <xdr:colOff>444500</xdr:colOff>
          <xdr:row>4</xdr:row>
          <xdr:rowOff>139700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 pitchFamily="2" charset="0"/>
                  <a:cs typeface="Calibri" pitchFamily="2" charset="0"/>
                </a:rPr>
                <a:t>GENERATE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431800</xdr:colOff>
          <xdr:row>2</xdr:row>
          <xdr:rowOff>114300</xdr:rowOff>
        </xdr:from>
        <xdr:to>
          <xdr:col>14</xdr:col>
          <xdr:colOff>635000</xdr:colOff>
          <xdr:row>4</xdr:row>
          <xdr:rowOff>101600</xdr:rowOff>
        </xdr:to>
        <xdr:sp macro="" textlink="">
          <xdr:nvSpPr>
            <xdr:cNvPr id="15371" name="Button 11" descr="HUMIDIFICATION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0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 pitchFamily="2" charset="0"/>
                  <a:cs typeface="Calibri" pitchFamily="2" charset="0"/>
                </a:rPr>
                <a:t>ADD AHU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2</xdr:row>
          <xdr:rowOff>101600</xdr:rowOff>
        </xdr:from>
        <xdr:to>
          <xdr:col>17</xdr:col>
          <xdr:colOff>101600</xdr:colOff>
          <xdr:row>4</xdr:row>
          <xdr:rowOff>127000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0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REMOVE LAST AHU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25400</xdr:rowOff>
        </xdr:from>
        <xdr:to>
          <xdr:col>1</xdr:col>
          <xdr:colOff>254000</xdr:colOff>
          <xdr:row>5</xdr:row>
          <xdr:rowOff>50800</xdr:rowOff>
        </xdr:to>
        <xdr:sp macro="" textlink="">
          <xdr:nvSpPr>
            <xdr:cNvPr id="2060" name="Button 12" descr="HUMIDIFICATION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4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Pre-Heat Coil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152400</xdr:rowOff>
        </xdr:from>
        <xdr:to>
          <xdr:col>1</xdr:col>
          <xdr:colOff>88900</xdr:colOff>
          <xdr:row>3</xdr:row>
          <xdr:rowOff>0</xdr:rowOff>
        </xdr:to>
        <xdr:sp macro="" textlink="">
          <xdr:nvSpPr>
            <xdr:cNvPr id="2058" name="Button 10" descr="HUMIDIFICATION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4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Humidification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 Patil" id="{F37BE4D7-C0F5-405A-A860-1164F50E938E}" userId="S::rush@scengineers.net::6ec2fef7-5d9e-4354-a6a7-1b1d9da54397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7755F1-7D0D-48B8-9F51-548BD5F89DD0}" name="AHU_Options" displayName="AHU_Options" ref="B25:T26" totalsRowShown="0" headerRowDxfId="330" dataDxfId="328" headerRowBorderDxfId="329" tableBorderDxfId="327" totalsRowBorderDxfId="326">
  <autoFilter ref="B25:T26" xr:uid="{917755F1-7D0D-48B8-9F51-548BD5F89D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17E8A70B-31DB-4E62-8AE7-B7490EBADF0B}" name="AHU NAME" dataDxfId="325"/>
    <tableColumn id="18" xr3:uid="{366DBBF2-20A8-4D60-93FE-3D5A81578DB0}" name="DISCHARGE CONFIG" dataDxfId="324"/>
    <tableColumn id="19" xr3:uid="{0CEE3843-A0BB-4053-8B60-160B8D23C3A1}" name="RETURN CONFIG" dataDxfId="323"/>
    <tableColumn id="2" xr3:uid="{A907651C-1565-4CA5-8395-FBF4A48F82DF}" name="SUPPLY FAN VFD" dataDxfId="322"/>
    <tableColumn id="3" xr3:uid="{A1BA734B-6B37-4C81-BB00-B96C74EABC9E}" name="RETURN FAN" dataDxfId="321"/>
    <tableColumn id="4" xr3:uid="{1A2A118E-5D50-4E1F-8178-C4EFA7C8AFB2}" name="RETURN FAN VFD" dataDxfId="320"/>
    <tableColumn id="5" xr3:uid="{9789DB90-BB58-4C9A-84AA-733010BD2ABF}" name="ECONOMIZER" dataDxfId="319"/>
    <tableColumn id="6" xr3:uid="{7F342EF1-E9D4-4167-9F2C-FB7ECDD16AC5}" name="HEAT RECOVERY" dataDxfId="318"/>
    <tableColumn id="7" xr3:uid="{26A7AB30-2773-4D3A-B047-D020B43C98AD}" name="PREHEAT COIL" dataDxfId="317"/>
    <tableColumn id="8" xr3:uid="{698E1BCF-A037-4D50-BC22-BF171E579A40}" name="REHEAT COIL" dataDxfId="316"/>
    <tableColumn id="9" xr3:uid="{E1206B26-EAF7-482D-90C7-BD9B25AC7DF4}" name="SUPPLY SMOKE" dataDxfId="315"/>
    <tableColumn id="10" xr3:uid="{3C1D9E90-D1DB-4131-ACF1-AE091BA0F570}" name="RETURN SMOKE" dataDxfId="314"/>
    <tableColumn id="11" xr3:uid="{42FFA5A3-94D2-4855-A74E-B15F86BB7CA6}" name="SINGLE POWER" dataDxfId="313"/>
    <tableColumn id="12" xr3:uid="{A9CF85BF-E075-40CD-A3D8-8F54B4742E17}" name="UV LIGHTS" dataDxfId="312"/>
    <tableColumn id="13" xr3:uid="{E6598DEC-673D-4041-8DFD-65E1B4E86C00}" name="PRE FILTER " dataDxfId="311"/>
    <tableColumn id="14" xr3:uid="{A42CA4AB-ECDB-4F8E-9F88-493EE19C6264}" name="FINAL FILTER" dataDxfId="310"/>
    <tableColumn id="15" xr3:uid="{7E317255-F402-493B-BA5E-6339E59F2B79}" name="ATFP DAMPERS" dataDxfId="309"/>
    <tableColumn id="16" xr3:uid="{F81087CC-928B-4AE1-A5CB-B814D3F9D515}" name="HUMIDIFIER" dataDxfId="308"/>
    <tableColumn id="17" xr3:uid="{6D8362BD-1A4B-4899-83CC-017029BF5237}" name="HEPA FILTER" dataDxfId="30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4E3D6C-149E-4F0C-99B8-D02F54E8F335}" name="AHU1_TABLE4A" displayName="AHU1_TABLE4A" ref="B6:Z18" totalsRowCount="1" headerRowDxfId="306" tableBorderDxfId="305">
  <autoFilter ref="B6:Z17" xr:uid="{524E3D6C-149E-4F0C-99B8-D02F54E8F335}"/>
  <sortState xmlns:xlrd2="http://schemas.microsoft.com/office/spreadsheetml/2017/richdata2" ref="B7:Z17">
    <sortCondition ref="B6:B17"/>
  </sortState>
  <tableColumns count="25">
    <tableColumn id="2" xr3:uid="{499CAF51-68AD-4912-B105-E6CB04E68473}" name="ZONE" dataDxfId="304" totalsRowDxfId="191"/>
    <tableColumn id="3" xr3:uid="{49758621-BBD6-4E64-B5EB-30AAEEEAC7DB}" name="ROOM" dataDxfId="303" totalsRowDxfId="190"/>
    <tableColumn id="4" xr3:uid="{07AB65A5-3070-4259-B9E3-B3A0821D46DB}" name="ROOM #" dataDxfId="302" totalsRowDxfId="189"/>
    <tableColumn id="5" xr3:uid="{6BD4501F-F2C8-4DE6-94B2-70EECF81DC26}" name="AREA (FT²)" totalsRowFunction="sum" dataDxfId="301" totalsRowDxfId="188"/>
    <tableColumn id="6" xr3:uid="{0305DB12-480F-4DBE-B0BB-D944D44E3761}" name="HG_x000a_(FT)" dataDxfId="300" totalsRowDxfId="187"/>
    <tableColumn id="7" xr3:uid="{0E2CEBD9-8207-49B7-828E-FED991A3EF1B}" name="TOTAL AC/HR" dataDxfId="299" totalsRowDxfId="186"/>
    <tableColumn id="8" xr3:uid="{B39F50FE-C65C-4C16-996E-B6A311DB49BB}" name="100%_x000a_EA" dataDxfId="298" totalsRowDxfId="185"/>
    <tableColumn id="9" xr3:uid="{8D97FF71-56B9-4380-92A5-7F58032041F8}" name="CRICU_x000a_EA" dataDxfId="297" totalsRowDxfId="184"/>
    <tableColumn id="10" xr3:uid="{DF05C704-DE23-4E47-A5C6-4F757C38BE24}" name="LOAD CFM" dataDxfId="296" totalsRowDxfId="183"/>
    <tableColumn id="11" xr3:uid="{C013AEA1-36DC-4A80-866F-AF6BEEE8A018}" name="AC/HR CFM" dataDxfId="295" totalsRowDxfId="182"/>
    <tableColumn id="12" xr3:uid="{2DFD819A-C977-4FA7-9725-9D06ABE7E8E7}" name="1 CFM/SF" dataDxfId="294" totalsRowDxfId="181"/>
    <tableColumn id="13" xr3:uid="{A50C5E1C-6A55-44C9-8312-028575630C03}" name="4-A DESIGNATION" dataDxfId="293" totalsRowDxfId="180"/>
    <tableColumn id="14" xr3:uid="{7C4ABC5D-F6B9-4FFF-9A67-D601283681B7}" name="AIRBALANCE RELATIONSHIP" dataDxfId="292" totalsRowDxfId="179"/>
    <tableColumn id="15" xr3:uid="{D17D3851-5B53-4906-9ED4-998CD7BF6D54}" name="MINIMUM OSA CHANGES PER HOUR" dataDxfId="291" totalsRowDxfId="178"/>
    <tableColumn id="16" xr3:uid="{5712ECF0-F7FD-4E19-ABEA-95FC2E37BF38}" name="OSA CFM" totalsRowFunction="sum" dataDxfId="290" totalsRowDxfId="177"/>
    <tableColumn id="17" xr3:uid="{CCE3CBFF-D4D8-46EC-83F1-4E5A27EE107F}" name="ALL AIR EXHAUSTED" dataDxfId="289" totalsRowDxfId="176"/>
    <tableColumn id="18" xr3:uid="{AC02FE2F-24A9-4273-9C14-9BADDC50ABF2}" name="CALCULATED SA CFM" totalsRowFunction="sum" dataDxfId="288" totalsRowDxfId="175"/>
    <tableColumn id="19" xr3:uid="{D2E7ABF0-6C07-417C-B186-691CC143A6B0}" name="DESIGN SA CFM" totalsRowFunction="sum" dataDxfId="287" totalsRowDxfId="174"/>
    <tableColumn id="20" xr3:uid="{DF4B9159-EFFC-40F0-9FC4-33EA3C26F8BE}" name="RA CFM" totalsRowFunction="sum" dataDxfId="286" totalsRowDxfId="173">
      <calculatedColumnFormula>IF(Q7="Yes",0,IF(N7="Positive",IF(0.1*R7&gt;50,R7-0.1*R7,R7-50),IF(N7="Negative",IF(0.1*R7&gt;50,R7+0.1*R7,R7+50),R7)))</calculatedColumnFormula>
    </tableColumn>
    <tableColumn id="21" xr3:uid="{585522D4-7D9C-417D-9D5A-271A48E132B9}" name="EA CFM" totalsRowFunction="sum" dataDxfId="285" totalsRowDxfId="172"/>
    <tableColumn id="22" xr3:uid="{6B6AF6EB-931D-4C93-89A9-561F9C32BB12}" name="TRANSFER AIR CFM" totalsRowFunction="sum" dataDxfId="284" totalsRowDxfId="171"/>
    <tableColumn id="23" xr3:uid="{39003D3E-BBD2-4F77-B42A-2E9AAC1B3F5F}" name="BALANCE?" dataDxfId="283" totalsRowDxfId="170"/>
    <tableColumn id="24" xr3:uid="{624F2EC9-EDEF-4331-8F08-3623018EE046}" name="CFM/SF" dataDxfId="282" totalsRowDxfId="169"/>
    <tableColumn id="25" xr3:uid="{224933E3-CC52-4D9F-904F-939C4C4561E9}" name="OSA PERCENT" dataDxfId="281" totalsRowDxfId="168"/>
    <tableColumn id="26" xr3:uid="{3F8BC55D-461B-40F9-A13B-0B2D7B2DEE28}" name="ACH/HR" dataDxfId="280" totalsRowDxfId="167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A2B6BA6-0EAB-2349-A085-FD569408EC9D}" name="AHU1_CAV_SCHEDULE" displayName="AHU1_CAV_SCHEDULE" ref="AC6:AS45" totalsRowCount="1" headerRowDxfId="279" dataDxfId="277" headerRowBorderDxfId="278" tableBorderDxfId="276" totalsRowBorderDxfId="275">
  <autoFilter ref="AC6:AS44" xr:uid="{2A2B6BA6-0EAB-2349-A085-FD569408EC9D}"/>
  <tableColumns count="17">
    <tableColumn id="1" xr3:uid="{95D9C8F3-85BF-7348-B9D8-30B40B154BA0}" name="ZONE" totalsRowLabel="TOTAL" dataDxfId="274" totalsRowDxfId="166"/>
    <tableColumn id="2" xr3:uid="{34C7498F-5EF8-014B-8B1C-DCBE6607BBC2}" name="BASIS OF DESIGN _x000a_MANUFACTURER" dataDxfId="273" totalsRowDxfId="165"/>
    <tableColumn id="3" xr3:uid="{8D44A577-B62E-C643-BDBD-7C71640AF7DD}" name="DESCRIPTION" dataDxfId="272" totalsRowDxfId="164"/>
    <tableColumn id="4" xr3:uid="{A85908E5-E973-6C41-AED9-F99DFF123237}" name="CFM" dataDxfId="271" totalsRowDxfId="163">
      <calculatedColumnFormula>SUMIF($B$7:$B$17,AC7,$S$7:$S$17)</calculatedColumnFormula>
    </tableColumn>
    <tableColumn id="5" xr3:uid="{C26D28ED-C133-154D-B0D2-6FAC49106BF4}" name="CAV INLET SIZE" dataDxfId="270" totalsRowDxfId="162">
      <calculatedColumnFormula>IFERROR((VLOOKUP(AF7,'DO NOT TOUCH'!$P$9:$Q$14,2,TRUE)),"TBD")</calculatedColumnFormula>
    </tableColumn>
    <tableColumn id="6" xr3:uid="{6ECDE356-225C-A24E-86F4-F7792C922A11}" name="MAX TOTAL CAV PD _x000a_(IN W.G.)" dataDxfId="269" totalsRowDxfId="161">
      <calculatedColumnFormula>AH6</calculatedColumnFormula>
    </tableColumn>
    <tableColumn id="7" xr3:uid="{6F655F52-D807-FF44-9E81-17EE8D10DF07}" name="EWT" dataDxfId="268" totalsRowDxfId="160">
      <calculatedColumnFormula>INPUT_OUTPUTS!$C$16</calculatedColumnFormula>
    </tableColumn>
    <tableColumn id="8" xr3:uid="{B969B290-D7B8-B049-BD43-F28721191F95}" name="DESIGN _x000a_LWT" dataDxfId="267" totalsRowDxfId="159">
      <calculatedColumnFormula>INPUT_OUTPUTS!$C$17</calculatedColumnFormula>
    </tableColumn>
    <tableColumn id="9" xr3:uid="{B1987597-E6E5-0645-B303-001D7440884A}" name="EAT" dataDxfId="266" totalsRowDxfId="158">
      <calculatedColumnFormula>AK6</calculatedColumnFormula>
    </tableColumn>
    <tableColumn id="10" xr3:uid="{23D60126-7A10-3A4F-A6F6-8D88FC3D7BF2}" name="DESIGN _x000a_LAT" dataDxfId="265" totalsRowDxfId="157">
      <calculatedColumnFormula>AL6</calculatedColumnFormula>
    </tableColumn>
    <tableColumn id="11" xr3:uid="{FCA3CDCB-EF7A-AF4E-A008-4CE5DE083146}" name="MIN MBH" totalsRowFunction="sum" dataDxfId="264" totalsRowDxfId="156">
      <calculatedColumnFormula>MROUND((1.08*(AL7-AK7)*AF7)/1000,0.1)</calculatedColumnFormula>
    </tableColumn>
    <tableColumn id="12" xr3:uid="{E12D8355-62CD-9A45-8AA8-A6C3960814AB}" name="AGPM" dataDxfId="263" totalsRowDxfId="155">
      <calculatedColumnFormula>(AM7*1000)/(500*(AI7-AJ7))</calculatedColumnFormula>
    </tableColumn>
    <tableColumn id="13" xr3:uid="{8B58FDB3-AB0C-084D-93CC-883797C9E61A}" name="GPM" totalsRowFunction="sum" dataDxfId="262" totalsRowDxfId="154">
      <calculatedColumnFormula>IF(AN7&lt;0.5,0.5,AN7)</calculatedColumnFormula>
    </tableColumn>
    <tableColumn id="14" xr3:uid="{16D8B3A9-2DD2-EA40-91A2-B427BDC9DA7F}" name="MAX WATER _x000a_PD (FT)" dataDxfId="261" totalsRowDxfId="153">
      <calculatedColumnFormula>AP6</calculatedColumnFormula>
    </tableColumn>
    <tableColumn id="15" xr3:uid="{12A7883C-5AA1-F34A-AF87-208908C77F47}" name="OPER _x000a_WEIGHT_x000a_(LBS)" dataDxfId="260" totalsRowDxfId="152">
      <calculatedColumnFormula>IFERROR((_xlfn.XLOOKUP(AG7,'DO NOT TOUCH'!$Q$9:$Q$14,'DO NOT TOUCH'!$R$9:$R$14,)),"TBD")</calculatedColumnFormula>
    </tableColumn>
    <tableColumn id="16" xr3:uid="{1DEE7EFC-9697-DF4F-9AB3-B7AA6F3AD8F6}" name="MTG _x000a_DETAIL" dataDxfId="259" totalsRowDxfId="151">
      <calculatedColumnFormula>INPUT_OUTPUTS!$C$19</calculatedColumnFormula>
    </tableColumn>
    <tableColumn id="17" xr3:uid="{4FFF90F0-EA71-194F-A327-10021D7AF629}" name="REMARKS" dataDxfId="258" totalsRowDxfId="150">
      <calculatedColumnFormula>AS6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894EE0CB-68C1-474D-A940-BD44736E3BAA}" name="TABLE4A43" displayName="TABLE4A43" ref="B6:Z18" totalsRowCount="1" headerRowDxfId="149" dataDxfId="147" totalsRowDxfId="148" tableBorderDxfId="257">
  <autoFilter ref="B6:Z17" xr:uid="{524E3D6C-149E-4F0C-99B8-D02F54E8F335}"/>
  <sortState xmlns:xlrd2="http://schemas.microsoft.com/office/spreadsheetml/2017/richdata2" ref="B7:Z17">
    <sortCondition ref="B6:B17"/>
  </sortState>
  <tableColumns count="25">
    <tableColumn id="2" xr3:uid="{22C7799E-DFE7-0046-A424-0E41D791266C}" name="ZONE" dataDxfId="49" totalsRowDxfId="48"/>
    <tableColumn id="3" xr3:uid="{62F86706-BFED-8849-B203-1462C07A11D1}" name="ROOM" dataDxfId="47" totalsRowDxfId="46"/>
    <tableColumn id="4" xr3:uid="{BA8CC09C-8989-7449-815E-02DA3EBCCE73}" name="ROOM #" dataDxfId="45" totalsRowDxfId="44"/>
    <tableColumn id="5" xr3:uid="{2A5847B7-C8C2-7D4C-9B9E-AF0D4F961528}" name="AREA (FT²)" totalsRowFunction="sum" dataDxfId="43" totalsRowDxfId="42"/>
    <tableColumn id="6" xr3:uid="{6F4863D2-E26C-4B4A-8A7E-6808FF9E98AF}" name="HG_x000a_(FT)" dataDxfId="41" totalsRowDxfId="40"/>
    <tableColumn id="7" xr3:uid="{D114EF5A-EB4D-E240-9D9D-BD8D88BBD5D0}" name="TOTAL AC/HR" dataDxfId="39" totalsRowDxfId="38">
      <calculatedColumnFormula>VLOOKUP($M7,'UMC Table 4-A'!$A$10:$E$139,4,FALSE)</calculatedColumnFormula>
    </tableColumn>
    <tableColumn id="8" xr3:uid="{C41C1A8A-07D2-F847-ADC4-523F6DA3A59A}" name="100%_x000a_EA" dataDxfId="37" totalsRowDxfId="36">
      <calculatedColumnFormula>VLOOKUP($M7,'UMC Table 4-A'!$A$10:$E$139,5,FALSE)</calculatedColumnFormula>
    </tableColumn>
    <tableColumn id="9" xr3:uid="{C2F85DE3-5208-7A42-B5B3-6BD44EDE360A}" name="CRICU_x000a_EA" dataDxfId="35" totalsRowDxfId="34">
      <calculatedColumnFormula>IF(H7="Yes",K7,"-")</calculatedColumnFormula>
    </tableColumn>
    <tableColumn id="10" xr3:uid="{DB9587E5-51D0-9E49-B476-3D1DEB286854}" name="LOAD CFM" dataDxfId="33" totalsRowDxfId="32"/>
    <tableColumn id="11" xr3:uid="{C2B72E76-A1B2-864A-8E40-94D30E0904B2}" name="AC/HR CFM" dataDxfId="31" totalsRowDxfId="30">
      <calculatedColumnFormula>IF(G7&lt;&gt;"NR",ROUNDUP((E7*F7*G7)/60,-1),0)</calculatedColumnFormula>
    </tableColumn>
    <tableColumn id="12" xr3:uid="{4166323B-03BF-624D-B936-3007427F886B}" name="1 CFM/SF" dataDxfId="29" totalsRowDxfId="28">
      <calculatedColumnFormula>E7</calculatedColumnFormula>
    </tableColumn>
    <tableColumn id="13" xr3:uid="{EF99C6F8-178D-B74B-9494-D87EECB93536}" name="4-A DESIGNATION" dataDxfId="27" totalsRowDxfId="26"/>
    <tableColumn id="14" xr3:uid="{58966974-3F49-C846-8C54-D89C6D09D35B}" name="AIRBALANCE RELATIONSHIP" dataDxfId="25" totalsRowDxfId="24">
      <calculatedColumnFormula>VLOOKUP($M7,'UMC Table 4-A'!$A$10:$E$139,2,FALSE)</calculatedColumnFormula>
    </tableColumn>
    <tableColumn id="15" xr3:uid="{5E77F12B-AF22-DE47-96B1-F2CCA63C5F3B}" name="MINIMUM OSA CHANGES PER HOUR" dataDxfId="23" totalsRowDxfId="22">
      <calculatedColumnFormula>VLOOKUP($M7,'UMC Table 4-A'!$A$10:$E$139,3,FALSE)</calculatedColumnFormula>
    </tableColumn>
    <tableColumn id="16" xr3:uid="{EB149268-2DAB-9145-9B3F-A075A9E0BB62}" name="OSA CFM" totalsRowFunction="sum" dataDxfId="21" totalsRowDxfId="20">
      <calculatedColumnFormula>IF(O7&lt;&gt;"NR",ROUNDUP((E7*F7*O7)/60,-1),0)</calculatedColumnFormula>
    </tableColumn>
    <tableColumn id="17" xr3:uid="{D7D5D4AD-5D2F-1947-A1EC-864FB51133D3}" name="ALL AIR EXHAUSTED" dataDxfId="19" totalsRowDxfId="18">
      <calculatedColumnFormula>VLOOKUP($M7,'UMC Table 4-A'!$A$10:$E$139,5,FALSE)</calculatedColumnFormula>
    </tableColumn>
    <tableColumn id="18" xr3:uid="{8E64C3DD-B984-C34D-950D-988E6756EC90}" name="CALCULATED SA CFM" totalsRowFunction="sum" dataDxfId="17" totalsRowDxfId="16">
      <calculatedColumnFormula>IF(N7="Negative",IF(OR(M7="Toilet room",M7="Janitor's closet, housekeeping"),0,IF(0.1*U7&gt;50,220-0.1*U7,U7-50)),IF(Q7="Yes",0,CEILING(MAX(J7:L7),5)))</calculatedColumnFormula>
    </tableColumn>
    <tableColumn id="19" xr3:uid="{E8C6C3AF-DA37-294C-9EDD-CF2B2D5B970A}" name="DESIGN SA CFM" totalsRowFunction="sum" dataDxfId="15" totalsRowDxfId="14">
      <calculatedColumnFormula>R7</calculatedColumnFormula>
    </tableColumn>
    <tableColumn id="20" xr3:uid="{DD8A54C1-53C5-BC42-BBC6-13ABBEB44ADF}" name="RA CFM" totalsRowFunction="sum" dataDxfId="13" totalsRowDxfId="12">
      <calculatedColumnFormula>IF(Q7="Yes",0,IF(N7="Positive",IF(0.1*R7&gt;50,R7-0.1*R7,R7-50),IF(N7="Negative",IF(0.1*R7&gt;50,R7+0.1*R7,R7+50),R7)))</calculatedColumnFormula>
    </tableColumn>
    <tableColumn id="21" xr3:uid="{8868FABE-CA00-2B4B-80AA-4865D9483ACE}" name="EA CFM" totalsRowFunction="sum" dataDxfId="11" totalsRowDxfId="10">
      <calculatedColumnFormula>IF(Q7="Yes",I7,0)</calculatedColumnFormula>
    </tableColumn>
    <tableColumn id="22" xr3:uid="{D9078ABF-02C8-5649-BF43-2635E4E43CD3}" name="Transfer Air CFM" totalsRowFunction="sum" dataDxfId="9" totalsRowDxfId="8">
      <calculatedColumnFormula>S7-T7-U7</calculatedColumnFormula>
    </tableColumn>
    <tableColumn id="23" xr3:uid="{420D3664-0F81-6346-9798-DAAD4438D382}" name="Balance?" dataDxfId="7" totalsRowDxfId="6">
      <calculatedColumnFormula>IF(R7-T7-U7+V7=0,"Yes","No")</calculatedColumnFormula>
    </tableColumn>
    <tableColumn id="24" xr3:uid="{2B06E20E-4173-5744-A06B-F45C3B6E4E06}" name="CFM/SF" dataDxfId="5" totalsRowDxfId="4">
      <calculatedColumnFormula>IFERROR(R7/E7,"-")</calculatedColumnFormula>
    </tableColumn>
    <tableColumn id="25" xr3:uid="{1CCCE25F-6BF2-294F-9C7E-94799BF60C61}" name="OSA PERCENT" dataDxfId="3" totalsRowDxfId="2"/>
    <tableColumn id="26" xr3:uid="{A9787315-1554-5F47-9583-71F6447BADE7}" name="ACH/hr" dataDxfId="1" totalsRowDxfId="0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F808008B-AD6D-2742-B35D-781B9D31167A}" name="AHU1_CAV_SCHEDULE44" displayName="AHU1_CAV_SCHEDULE44" ref="AC6:AS45" totalsRowCount="1" headerRowDxfId="112" dataDxfId="110" totalsRowDxfId="111" headerRowBorderDxfId="256" tableBorderDxfId="255" totalsRowBorderDxfId="254">
  <autoFilter ref="AC6:AS44" xr:uid="{2A2B6BA6-0EAB-2349-A085-FD569408EC9D}"/>
  <tableColumns count="17">
    <tableColumn id="1" xr3:uid="{C25C46EE-18B7-234F-90BC-9CFAECF0D77B}" name="ZONE" totalsRowLabel="Total" dataDxfId="146" totalsRowDxfId="145"/>
    <tableColumn id="2" xr3:uid="{FF1D057E-CF59-234B-BE6D-5179D70CBEFE}" name="BASIS OF DESIGN _x000a_MANUFACTURER" dataDxfId="144" totalsRowDxfId="143"/>
    <tableColumn id="3" xr3:uid="{76C3F628-FC7A-644D-A84B-B7D2DF32CB78}" name="DESCRIPTION" dataDxfId="142" totalsRowDxfId="141"/>
    <tableColumn id="4" xr3:uid="{648F5A5B-AB00-7445-B77F-BC8AA4FAF8E5}" name="CFM" dataDxfId="140" totalsRowDxfId="139">
      <calculatedColumnFormula>SUMIF($B$7:$B$17,AC7,$S$7:$S$17)</calculatedColumnFormula>
    </tableColumn>
    <tableColumn id="5" xr3:uid="{B8C6F18E-27B7-5C47-A6AA-896E053D5DD5}" name="CAV INLET SIZE" dataDxfId="138" totalsRowDxfId="137">
      <calculatedColumnFormula>IFERROR((VLOOKUP(AF7,'DO NOT TOUCH'!$P$9:$Q$14,2,TRUE)),"TBD")</calculatedColumnFormula>
    </tableColumn>
    <tableColumn id="6" xr3:uid="{9B933B17-72C0-114F-B80C-4F0E9DEE45DA}" name="MAX TOTAL CAV PD _x000a_(IN W.G.)" dataDxfId="136" totalsRowDxfId="135">
      <calculatedColumnFormula>AH6</calculatedColumnFormula>
    </tableColumn>
    <tableColumn id="7" xr3:uid="{B18295A8-1F00-1048-BB1F-85CE741F6991}" name="EWT" dataDxfId="134" totalsRowDxfId="133">
      <calculatedColumnFormula>INPUT_OUTPUTS!$C$16</calculatedColumnFormula>
    </tableColumn>
    <tableColumn id="8" xr3:uid="{71AC2984-1F71-FE45-8BF4-5C296E523C25}" name="DESIGN _x000a_LWT" dataDxfId="132" totalsRowDxfId="131">
      <calculatedColumnFormula>INPUT_OUTPUTS!$C$17</calculatedColumnFormula>
    </tableColumn>
    <tableColumn id="9" xr3:uid="{ECBF8CE3-146D-7E4C-B125-10414FE35F41}" name="EAT" dataDxfId="130" totalsRowDxfId="129">
      <calculatedColumnFormula>AK6</calculatedColumnFormula>
    </tableColumn>
    <tableColumn id="10" xr3:uid="{15F58DEE-0A56-6E49-9C7C-E911663EA507}" name="DESIGN _x000a_LAT" dataDxfId="128" totalsRowDxfId="127">
      <calculatedColumnFormula>AL6</calculatedColumnFormula>
    </tableColumn>
    <tableColumn id="11" xr3:uid="{914895A5-B38D-0743-8A44-8F92020558DF}" name="MIN MBH" totalsRowFunction="sum" dataDxfId="126" totalsRowDxfId="125">
      <calculatedColumnFormula>MROUND((1.08*(AL7-AK7)*AF7)/1000,0.1)</calculatedColumnFormula>
    </tableColumn>
    <tableColumn id="12" xr3:uid="{CD0348BA-B462-F447-A201-4DC3F6D405EA}" name="AGPM" dataDxfId="124" totalsRowDxfId="123">
      <calculatedColumnFormula>(AM7*1000)/(500*(AI7-AJ7))</calculatedColumnFormula>
    </tableColumn>
    <tableColumn id="13" xr3:uid="{08FCAA37-BE69-A645-B7B4-97E57511637E}" name="GPM" totalsRowFunction="sum" dataDxfId="122" totalsRowDxfId="121">
      <calculatedColumnFormula>IF(AN7&lt;0.5,0.5,AN7)</calculatedColumnFormula>
    </tableColumn>
    <tableColumn id="14" xr3:uid="{36DECC85-96C7-1F40-8C0A-6358A371661E}" name="MAX WATER _x000a_PD (FT)" dataDxfId="120" totalsRowDxfId="119">
      <calculatedColumnFormula>AP6</calculatedColumnFormula>
    </tableColumn>
    <tableColumn id="15" xr3:uid="{40BE04EB-CA2B-BD46-A2A8-B5618F6EB628}" name="OPER _x000a_WEIGHT_x000a_(LBS)" dataDxfId="118" totalsRowDxfId="117">
      <calculatedColumnFormula>IFERROR((_xlfn.XLOOKUP(AG7,'DO NOT TOUCH'!$Q$9:$Q$14,'DO NOT TOUCH'!$R$9:$R$14,)),"TBD")</calculatedColumnFormula>
    </tableColumn>
    <tableColumn id="16" xr3:uid="{FCE60676-46C3-2C4E-9399-C8250EC74D56}" name="MTG _x000a_DETAIL" dataDxfId="116" totalsRowDxfId="115">
      <calculatedColumnFormula>INPUT_OUTPUTS!$C$19</calculatedColumnFormula>
    </tableColumn>
    <tableColumn id="17" xr3:uid="{F5AE1D75-89DB-1E44-A1ED-A1A5537714F6}" name="REMARKS" dataDxfId="114" totalsRowDxfId="113">
      <calculatedColumnFormula>AS6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Table7" displayName="Table7" ref="A11:BF13" totalsRowCount="1" headerRowDxfId="253" dataDxfId="251" headerRowBorderDxfId="252" tableBorderDxfId="250">
  <autoFilter ref="A11:BF12" xr:uid="{E6D9D33A-2DE5-364A-B78C-5DD7A614D29B}"/>
  <tableColumns count="58">
    <tableColumn id="1" xr3:uid="{75084425-A44B-8E45-87AE-08AECD33E09D}" name="TAG" totalsRowLabel="Total" dataDxfId="249" totalsRowDxfId="109"/>
    <tableColumn id="2" xr3:uid="{C741F4EF-D022-3147-B8E2-8A68ED8EF0CC}" name="(CFM)" totalsRowFunction="sum" dataDxfId="248" totalsRowDxfId="108">
      <calculatedColumnFormula>#REF!</calculatedColumnFormula>
    </tableColumn>
    <tableColumn id="3" xr3:uid="{C6A2D6A3-4809-A245-A511-1795421C653D}" name="SF ESP" dataDxfId="247" totalsRowDxfId="107"/>
    <tableColumn id="4" xr3:uid="{8F33E354-148B-E049-A9AB-2FEBF1D2ABCF}" name="(CFM)2" dataDxfId="246" totalsRowDxfId="106">
      <calculatedColumnFormula>#REF!</calculatedColumnFormula>
    </tableColumn>
    <tableColumn id="5" xr3:uid="{484AF528-CB4D-ED45-8EAC-187579FFF5C8}" name="RF ESP" dataDxfId="245" totalsRowDxfId="105"/>
    <tableColumn id="6" xr3:uid="{44289BD7-7B7A-5040-A9C3-A81E708605BA}" name="(˚F db)" dataDxfId="244" totalsRowDxfId="104"/>
    <tableColumn id="7" xr3:uid="{A118C93B-9473-8340-A213-7536CC01FA69}" name="(˚F wb)" dataDxfId="243" totalsRowDxfId="103"/>
    <tableColumn id="8" xr3:uid="{BA4E1C0D-A98F-C94F-B5DE-2C36AC9D0BA3}" name="(CFM)3" dataDxfId="242" totalsRowDxfId="102">
      <calculatedColumnFormula>#REF!</calculatedColumnFormula>
    </tableColumn>
    <tableColumn id="9" xr3:uid="{8E2A683D-7B4C-954E-A75A-56B4A8A15F0B}" name="(˚F db)4" dataDxfId="241" totalsRowDxfId="101">
      <calculatedColumnFormula>INPUT_OUTPUTS!$C$8</calculatedColumnFormula>
    </tableColumn>
    <tableColumn id="10" xr3:uid="{D83D5AD6-51F5-5E4B-BE3C-C238ECC50CFF}" name="(˚F wb)5" dataDxfId="240" totalsRowDxfId="100">
      <calculatedColumnFormula>INPUT_OUTPUTS!$C$9</calculatedColumnFormula>
    </tableColumn>
    <tableColumn id="11" xr3:uid="{58DDBF84-EFFA-734F-B069-FD929AE8505B}" name="(CFM)6" dataDxfId="239" totalsRowDxfId="99">
      <calculatedColumnFormula>Table7[[#This Row],[(CFM)3]]</calculatedColumnFormula>
    </tableColumn>
    <tableColumn id="12" xr3:uid="{7D7925B1-33E7-A84F-AAEC-67A01BBE986C}" name="(˚F db)7" dataDxfId="238" totalsRowDxfId="98">
      <calculatedColumnFormula>INPUT_OUTPUTS!$C$10</calculatedColumnFormula>
    </tableColumn>
    <tableColumn id="13" xr3:uid="{9E21E0BF-E9C5-C54C-9B8C-005C0935E109}" name="(˚F wb)8" dataDxfId="237" totalsRowDxfId="97">
      <calculatedColumnFormula>INPUT_OUTPUTS!$C$11</calculatedColumnFormula>
    </tableColumn>
    <tableColumn id="14" xr3:uid="{AC23D981-3B01-5147-97B6-3252A7FC953B}" name="(˚F db)9" dataDxfId="236" totalsRowDxfId="96">
      <calculatedColumnFormula>INPUT_OUTPUTS!$F$8</calculatedColumnFormula>
    </tableColumn>
    <tableColumn id="15" xr3:uid="{DB54E7DD-3A47-6447-A89B-94C85E52BE7D}" name="(CFM)10" dataDxfId="235" totalsRowDxfId="95">
      <calculatedColumnFormula>D12+H12-B12</calculatedColumnFormula>
    </tableColumn>
    <tableColumn id="16" xr3:uid="{4FEC2D7C-9758-744F-A9BF-FBA46547E062}" name="(˚F db)11" dataDxfId="234" totalsRowDxfId="94">
      <calculatedColumnFormula>F12*((D12-O12)/B12) + I12*(H12/B12)</calculatedColumnFormula>
    </tableColumn>
    <tableColumn id="17" xr3:uid="{B005BDD5-39CF-2B47-842F-C982BA9FC7E1}" name="(˚F wb)12" dataDxfId="233" totalsRowDxfId="93">
      <calculatedColumnFormula>TRUNC(G12*((D12-O12)/B12) + J12*(H12/B12),1)</calculatedColumnFormula>
    </tableColumn>
    <tableColumn id="18" xr3:uid="{5AC4E564-0F72-0E49-B041-B5DE3FD4DD18}" name="(h)" dataDxfId="232" totalsRowDxfId="92">
      <calculatedColumnFormula>VLOOKUP(FLOOR(Q12,1),'DO NOT TOUCH'!$A$7:$K$57,MATCH(ROUND((Q12-FLOOR(Q12,1)),1),'DO NOT TOUCH'!$A$6:$K$6,0),FALSE)</calculatedColumnFormula>
    </tableColumn>
    <tableColumn id="19" xr3:uid="{1CF6B834-F9E4-7943-9908-D52F6A59E930}" name="(˚F db)13" dataDxfId="231" totalsRowDxfId="91"/>
    <tableColumn id="20" xr3:uid="{069031AB-30B0-304F-BA24-44B4C6E6101C}" name="(˚F wb)14" dataDxfId="230" totalsRowDxfId="90"/>
    <tableColumn id="21" xr3:uid="{1EA24A2B-BE77-6945-9098-6C4501A9902F}" name="(h)15" dataDxfId="229" totalsRowDxfId="89">
      <calculatedColumnFormula>VLOOKUP(FLOOR(T12,1),'DO NOT TOUCH'!$A$7:$K$57,MATCH(ROUND((T12-FLOOR(T12,1)),1),'DO NOT TOUCH'!$A$6:$K$6,0),FALSE)</calculatedColumnFormula>
    </tableColumn>
    <tableColumn id="22" xr3:uid="{05796239-DA0D-E349-ADE3-8A1B87E96861}" name="(Btu/hr)" dataDxfId="228" totalsRowDxfId="88">
      <calculatedColumnFormula>B12*1.085*(P12-S12)</calculatedColumnFormula>
    </tableColumn>
    <tableColumn id="23" xr3:uid="{02C21CA2-732A-8C4C-93ED-640017544BD3}" name="(Btu/hr)16" dataDxfId="227" totalsRowDxfId="87">
      <calculatedColumnFormula>4.5*B12*(R12-U12)</calculatedColumnFormula>
    </tableColumn>
    <tableColumn id="24" xr3:uid="{80183150-6317-2C46-B9FB-5600693E1D79}" name="(Tons)" dataDxfId="226" totalsRowDxfId="86">
      <calculatedColumnFormula>IF(W12&lt;V12,"INVALID POINT",W12/12000)</calculatedColumnFormula>
    </tableColumn>
    <tableColumn id="25" xr3:uid="{8AF1DEDF-1446-A54C-A718-1F4A80DCED1F}" name="(˚F db)17" dataDxfId="225" totalsRowDxfId="85">
      <calculatedColumnFormula>INPUT_OUTPUTS!$C$14</calculatedColumnFormula>
    </tableColumn>
    <tableColumn id="26" xr3:uid="{30713AF6-10A7-A640-9A81-7C9C656F28C6}" name="(˚F db)18" dataDxfId="224" totalsRowDxfId="84">
      <calculatedColumnFormula>INPUT_OUTPUTS!$C$15</calculatedColumnFormula>
    </tableColumn>
    <tableColumn id="27" xr3:uid="{07E9B9A3-68BD-0040-B64A-445B4F7DB78B}" name="GPM" totalsRowFunction="sum" dataDxfId="223" totalsRowDxfId="83">
      <calculatedColumnFormula>W12/(500*(Z12-Y12))</calculatedColumnFormula>
    </tableColumn>
    <tableColumn id="28" xr3:uid="{63A1C04A-F0C1-344B-9C91-CDCBB09CC808}" name="(˚F db)19" dataDxfId="222" totalsRowDxfId="82">
      <calculatedColumnFormula>F12*((D12-O12)/B12) + L12*(H12/B12)</calculatedColumnFormula>
    </tableColumn>
    <tableColumn id="29" xr3:uid="{6B8C516D-DE70-BF40-8E5C-0B23062187E5}" name="(˚F wb)20" dataDxfId="221" totalsRowDxfId="81">
      <calculatedColumnFormula>G12*((D12-O12)/B12) + M12*(H12/B12)</calculatedColumnFormula>
    </tableColumn>
    <tableColumn id="30" xr3:uid="{045EE11E-9647-ED4C-9652-8752BBE74982}" name="(h)21" dataDxfId="220" totalsRowDxfId="80">
      <calculatedColumnFormula>VLOOKUP(FLOOR(AC12,1),'DO NOT TOUCH'!$A$7:$K$57,MATCH(ROUND((AC12-FLOOR(AC12,1)),1),'DO NOT TOUCH'!$A$6:$K$6,0),FALSE)</calculatedColumnFormula>
    </tableColumn>
    <tableColumn id="31" xr3:uid="{1C877888-78C7-FA4C-A946-1B9EDB031094}" name="(˚F db)22" dataDxfId="219" totalsRowDxfId="79">
      <calculatedColumnFormula>Table7[[#This Row],[(˚F db)13]]</calculatedColumnFormula>
    </tableColumn>
    <tableColumn id="32" xr3:uid="{5E7C32E8-28E9-554C-93A3-4ED479273F5C}" name="(˚F wb)23" dataDxfId="218" totalsRowDxfId="78">
      <calculatedColumnFormula>Table7[[#This Row],[(˚F wb)14]]</calculatedColumnFormula>
    </tableColumn>
    <tableColumn id="33" xr3:uid="{7EB81F19-A30A-5844-B465-95995C2169F1}" name="(h)24" dataDxfId="217" totalsRowDxfId="77">
      <calculatedColumnFormula>VLOOKUP(FLOOR(AF12,1),'DO NOT TOUCH'!$A$7:$K$57,MATCH(ROUND((AF12-FLOOR(AF12,1)),1),'DO NOT TOUCH'!$A$6:$K$6,0),FALSE)</calculatedColumnFormula>
    </tableColumn>
    <tableColumn id="34" xr3:uid="{B355558B-3486-9847-B0B8-723450137594}" name="(Btu/hr)25" dataDxfId="216" totalsRowDxfId="76"/>
    <tableColumn id="35" xr3:uid="{7A2C2E1E-1049-4241-8E5F-76BCC1035FE0}" name="(Btu/hr)26" dataDxfId="215" totalsRowDxfId="75"/>
    <tableColumn id="36" xr3:uid="{E80AE8D9-52CE-214F-8CAE-BBC7A25C1206}" name="(Btu/hr)27" dataDxfId="214" totalsRowDxfId="74">
      <calculatedColumnFormula>AI12+AH12</calculatedColumnFormula>
    </tableColumn>
    <tableColumn id="37" xr3:uid="{B86C10F8-CA05-8945-8F0F-F9E339D5FA04}" name="(Btu/hr)28" dataDxfId="213" totalsRowDxfId="73">
      <calculatedColumnFormula>B12*1.085*(AB12-AE12)</calculatedColumnFormula>
    </tableColumn>
    <tableColumn id="38" xr3:uid="{3C9101C2-66E5-5844-8571-55FD8B0FA8E4}" name="(Btu/hr)29" dataDxfId="212" totalsRowDxfId="72">
      <calculatedColumnFormula>4.5*B12*(AD12-AG12)</calculatedColumnFormula>
    </tableColumn>
    <tableColumn id="39" xr3:uid="{611DF507-C49C-8E40-9B22-204394B4D484}" name="(Tons)30" dataDxfId="211" totalsRowDxfId="71">
      <calculatedColumnFormula>IF(AL12&lt;AK12,"INVALID POINT",AL12/12000)</calculatedColumnFormula>
    </tableColumn>
    <tableColumn id="40" xr3:uid="{8D69DAB9-C665-1C40-8BEE-2F67013BDA9E}" name="(˚F db)31" dataDxfId="210" totalsRowDxfId="70">
      <calculatedColumnFormula>INPUT_OUTPUTS!$C$14</calculatedColumnFormula>
    </tableColumn>
    <tableColumn id="41" xr3:uid="{2C7A8B9E-09E2-C245-8AD4-9B511603B988}" name="(˚F db)32" dataDxfId="209" totalsRowDxfId="69">
      <calculatedColumnFormula>INPUT_OUTPUTS!$C$15</calculatedColumnFormula>
    </tableColumn>
    <tableColumn id="42" xr3:uid="{97B72D8E-BA89-4E4A-B5D1-F02C61433D68}" name="GPM33" totalsRowFunction="sum" dataDxfId="208" totalsRowDxfId="68">
      <calculatedColumnFormula>AL12/(500*(AO12-AN12))</calculatedColumnFormula>
    </tableColumn>
    <tableColumn id="43" xr3:uid="{EE7A438B-ECC2-DF4B-9129-EA55728EFC2E}" name="(Tons)34" totalsRowFunction="sum" dataDxfId="207" totalsRowDxfId="67">
      <calculatedColumnFormula>MAX(AM12,X12)</calculatedColumnFormula>
    </tableColumn>
    <tableColumn id="44" xr3:uid="{B68CC7E9-570D-A84E-8670-D3C2DEA54479}" name="(CFM)35" dataDxfId="206" totalsRowDxfId="66">
      <calculatedColumnFormula>B12/AM12</calculatedColumnFormula>
    </tableColumn>
    <tableColumn id="59" xr3:uid="{2F2BA6E3-EE55-BA45-94DB-4A9361068B22}" name="GPM MAX" totalsRowFunction="sum" dataDxfId="205" totalsRowDxfId="65">
      <calculatedColumnFormula>MAX(Table7[[#This Row],[GPM33]],Table7[[#This Row],[GPM]])</calculatedColumnFormula>
    </tableColumn>
    <tableColumn id="45" xr3:uid="{033D6B36-8B19-EB4B-A1E7-E7585C21489B}" name="(CFM)36" dataDxfId="204" totalsRowDxfId="64">
      <calculatedColumnFormula>B12</calculatedColumnFormula>
    </tableColumn>
    <tableColumn id="46" xr3:uid="{940C5796-789D-5B4A-9FCD-445173CBE38B}" name="(˚F db)37" dataDxfId="203" totalsRowDxfId="63">
      <calculatedColumnFormula>F12*((D12-O12)/B12) + N12*(H12/B12)</calculatedColumnFormula>
    </tableColumn>
    <tableColumn id="47" xr3:uid="{33252E21-E95C-E84B-AA5C-160823174238}" name="(˚F db)38" dataDxfId="202" totalsRowDxfId="62"/>
    <tableColumn id="48" xr3:uid="{F5FF0CC7-9CD6-DC4B-9AC8-6CF9532FE75F}" name="(MBH)" totalsRowFunction="sum" dataDxfId="201" totalsRowDxfId="61">
      <calculatedColumnFormula>AT12*1.085*(AV12-AU12)/1000</calculatedColumnFormula>
    </tableColumn>
    <tableColumn id="49" xr3:uid="{41191CD7-30B2-EE4D-850D-B2169746F6D6}" name="(˚F db)39" dataDxfId="200" totalsRowDxfId="60">
      <calculatedColumnFormula>INPUT_OUTPUTS!$C$16</calculatedColumnFormula>
    </tableColumn>
    <tableColumn id="50" xr3:uid="{4D3CE10E-9198-0E44-849F-6C7B4A36B8CE}" name="(˚F db)40" dataDxfId="199" totalsRowDxfId="59">
      <calculatedColumnFormula>INPUT_OUTPUTS!$C$17</calculatedColumnFormula>
    </tableColumn>
    <tableColumn id="51" xr3:uid="{01E8F924-565C-4D42-9E39-E87365245FFA}" name="GPM41" totalsRowFunction="sum" dataDxfId="198" totalsRowDxfId="58">
      <calculatedColumnFormula>(AW12*1000)/(500*(AX12-AY12))</calculatedColumnFormula>
    </tableColumn>
    <tableColumn id="52" xr3:uid="{682AB22E-7AB3-E544-B158-3A216817586F}" name="LBS/HR" dataDxfId="197" totalsRowDxfId="57"/>
    <tableColumn id="53" xr3:uid="{9FA51183-6547-7247-B2B7-FE2572F6FDB0}" name="LBS/HR42" dataDxfId="196" totalsRowDxfId="56">
      <calculatedColumnFormula>BA12*(K12/1000)</calculatedColumnFormula>
    </tableColumn>
    <tableColumn id="54" xr3:uid="{D0D7EAE6-3EA2-E244-8B8D-01899554629D}" name="(˚F db)43" dataDxfId="195" totalsRowDxfId="55"/>
    <tableColumn id="56" xr3:uid="{0D1DB506-119B-7043-BE7D-652B0413152C}" name="(˚F db)45" dataDxfId="194" totalsRowDxfId="54"/>
    <tableColumn id="60" xr3:uid="{3575FFB4-394C-DC4E-9487-884A377EB86A}" name="(˚F db)46" totalsRowFunction="sum" dataDxfId="193" totalsRowDxfId="53">
      <calculatedColumnFormula>AHU1_CAV_SCHEDULE[[#Totals],[GPM]]</calculatedColumnFormula>
    </tableColumn>
    <tableColumn id="57" xr3:uid="{C012C8FF-93AB-B94F-BC98-7474F441DD8E}" name="(mbh)46" totalsRowFunction="sum" dataDxfId="192" totalsRowDxfId="52">
      <calculatedColumnFormula>AHU1_CAV_SCHEDULE[[#Totals],[MIN MBH]]</calculatedColumnFormula>
    </tableColumn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3-02-04T00:58:32.97" personId="{9818FCBF-2832-490A-8648-B86041484521}" id="{B37CAC9B-C8DA-454B-8E05-93926FDA1639}">
    <text>Replace this with the actual source</text>
  </threadedComment>
  <threadedComment ref="B23" dT="2023-02-04T00:57:56.22" personId="{9818FCBF-2832-490A-8648-B86041484521}" id="{F7D0549E-4995-492F-A550-4FDEA7D3D767}">
    <text>PM to manually select various options. These options will be used in the generate email function.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6" dT="2023-01-20T01:58:59.17" personId="{4EB4B6F3-1969-DB48-B081-3832009A33BA}" id="{DDBD82AE-C8F4-3D4C-9167-10A6463EA45D}">
    <text>Import zone from Revit</text>
  </threadedComment>
  <threadedComment ref="C6" dT="2023-01-20T01:59:19.81" personId="{4EB4B6F3-1969-DB48-B081-3832009A33BA}" id="{875D9AE4-27EA-7148-928B-1A52D5B56735}">
    <text>Import room from Revit</text>
  </threadedComment>
  <threadedComment ref="D6" dT="2023-01-20T01:59:37.35" personId="{4EB4B6F3-1969-DB48-B081-3832009A33BA}" id="{362B3BD9-EA2F-E048-A252-80575E4BA5C1}">
    <text>Import room number from Revit</text>
  </threadedComment>
  <threadedComment ref="E6" dT="2023-01-20T01:59:56.66" personId="{4EB4B6F3-1969-DB48-B081-3832009A33BA}" id="{D32447AF-E888-6D40-9EF5-6B3BE0554C91}">
    <text>Import Area from Revit</text>
  </threadedComment>
  <threadedComment ref="F6" dT="2023-01-20T02:00:11.73" personId="{4EB4B6F3-1969-DB48-B081-3832009A33BA}" id="{1932F005-E5DD-8949-B5C9-6FDEB8B88A22}">
    <text>Import height from Revit</text>
  </threadedComment>
  <threadedComment ref="S6" dT="2023-01-20T02:57:22.76" personId="{4EB4B6F3-1969-DB48-B081-3832009A33BA}" id="{A8F52013-F732-5E4E-9136-646B105AF9F9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0F7418DC-4934-974D-ADA3-005A9F18D45E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3BB204D3-C328-AC4A-92B0-97B28C18BD87}">
    <text xml:space="preserve">Usually automatic, but check and edit as necessary. </text>
  </threadedComment>
  <threadedComment ref="Y6" dT="2023-01-20T02:57:47.98" personId="{4EB4B6F3-1969-DB48-B081-3832009A33BA}" id="{B3EC2ACE-3B1B-7349-B173-7A5A8D6D6450}">
    <text>All cells in this column must be green</text>
  </threadedComment>
  <threadedComment ref="AC6" dT="2023-01-20T03:02:14.75" personId="{4EB4B6F3-1969-DB48-B081-3832009A33BA}" id="{C933BE8F-67EB-5D4A-BED8-AE9377D2563D}">
    <text>Increase or decrease number of rows in this table to match the number of zones.</text>
  </threadedComment>
  <threadedComment ref="P19" dT="2023-01-20T02:10:44.44" personId="{4EB4B6F3-1969-DB48-B081-3832009A33BA}" id="{E6EB6E46-87C2-3842-82EC-7B6320B053BB}">
    <text xml:space="preserve">This is a manual number added here when the percent outside air needs to be increased. 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Z4" dT="2023-01-20T02:10:44.44" personId="{4EB4B6F3-1969-DB48-B081-3832009A33BA}" id="{E58C7751-D100-3043-8A2B-D49980DE41F8}">
    <text xml:space="preserve">This is a manual number added here when the percent outside air needs to be increased. </text>
  </threadedComment>
  <threadedComment ref="B6" dT="2023-01-20T01:58:59.17" personId="{4EB4B6F3-1969-DB48-B081-3832009A33BA}" id="{DB117495-74B2-6A48-B3E7-18DECDA1C8F1}">
    <text>Import zone from Revit</text>
  </threadedComment>
  <threadedComment ref="C6" dT="2023-01-20T01:59:19.81" personId="{4EB4B6F3-1969-DB48-B081-3832009A33BA}" id="{78537B5D-0C1E-7543-954D-57E0882F58A8}">
    <text>Import room from Revit</text>
  </threadedComment>
  <threadedComment ref="D6" dT="2023-01-20T01:59:37.35" personId="{4EB4B6F3-1969-DB48-B081-3832009A33BA}" id="{20356944-402C-084B-8ECC-E64EE43C2BF7}">
    <text>Import room number from Revit</text>
  </threadedComment>
  <threadedComment ref="E6" dT="2023-01-20T01:59:56.66" personId="{4EB4B6F3-1969-DB48-B081-3832009A33BA}" id="{F825E008-475F-ED47-92CB-81749DF35284}">
    <text>Import Area from Revit</text>
  </threadedComment>
  <threadedComment ref="F6" dT="2023-01-20T02:00:11.73" personId="{4EB4B6F3-1969-DB48-B081-3832009A33BA}" id="{9E0A5074-AF0B-9F42-BE2C-0A73C11674B7}">
    <text>Import height from Revit</text>
  </threadedComment>
  <threadedComment ref="S6" dT="2023-01-20T02:57:22.76" personId="{4EB4B6F3-1969-DB48-B081-3832009A33BA}" id="{48FA2B7B-833F-634C-9610-94B91957B95A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9DF007F6-7F62-A74C-9CF0-09469FE2BFFE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57D29A12-2EB9-234C-B32E-45CA7306F2B4}">
    <text xml:space="preserve">Usually automatic, but check and edit as necessary. </text>
  </threadedComment>
  <threadedComment ref="Y6" dT="2023-01-20T02:57:47.98" personId="{4EB4B6F3-1969-DB48-B081-3832009A33BA}" id="{B740EF93-38A1-D64A-9021-E067C964D4E8}">
    <text>All cells in this column must be green</text>
  </threadedComment>
  <threadedComment ref="AC6" dT="2023-01-20T03:02:14.75" personId="{4EB4B6F3-1969-DB48-B081-3832009A33BA}" id="{D477A2FA-7217-544F-9033-B0C7EEB110D7}">
    <text>Increase or decrease number of rows in this table to match the number of zones.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F11" dT="2023-01-20T00:11:27.69" personId="{9818FCBF-2832-490A-8648-B86041484521}" id="{84D71866-A333-4CD0-9197-88E7042E5A29}">
    <text xml:space="preserve">This is desired room temperature. Input based on RFP or ASHRAE. </text>
  </threadedComment>
  <threadedComment ref="G11" dT="2023-01-20T00:11:36.80" personId="{9818FCBF-2832-490A-8648-B86041484521}" id="{437746F2-980E-42E9-9E62-943E879A051B}">
    <text xml:space="preserve">This is desired room temperature. Input based on RFP or ASHRAE. </text>
  </threadedComment>
  <threadedComment ref="BA12" dT="2022-09-20T22:32:15.58" personId="{F37BE4D7-C0F5-405A-A860-1164F50E938E}" id="{F2D31235-4F3A-43BA-8D0F-AFF518BEBF36}">
    <text>BASED ON WINTER OA AT 50% AND INDOOR AT 40% HUMIDITY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s.office.com/r/P66hCumLFp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microsoft.com/office/2017/10/relationships/threadedComment" Target="../threadedComments/threadedComment1.xml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3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4.xml"/><Relationship Id="rId3" Type="http://schemas.openxmlformats.org/officeDocument/2006/relationships/vmlDrawing" Target="../drawings/vmlDrawing4.vml"/><Relationship Id="rId7" Type="http://schemas.openxmlformats.org/officeDocument/2006/relationships/comments" Target="../comments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>
    <tabColor theme="2"/>
  </sheetPr>
  <dimension ref="B2:Y27"/>
  <sheetViews>
    <sheetView showGridLines="0" showRowColHeaders="0" zoomScale="125" zoomScaleNormal="125" workbookViewId="0">
      <pane xSplit="26" ySplit="41" topLeftCell="AA45" activePane="bottomRight" state="frozen"/>
      <selection pane="topRight" activeCell="AA1" sqref="AA1"/>
      <selection pane="bottomLeft" activeCell="A42" sqref="A42"/>
      <selection pane="bottomRight" activeCell="O34" sqref="O34"/>
    </sheetView>
  </sheetViews>
  <sheetFormatPr baseColWidth="10" defaultColWidth="8.83203125" defaultRowHeight="13"/>
  <cols>
    <col min="1" max="1" width="3.83203125" customWidth="1"/>
    <col min="2" max="2" width="14.33203125" bestFit="1" customWidth="1"/>
    <col min="3" max="3" width="11.5" customWidth="1"/>
    <col min="4" max="4" width="10.33203125" customWidth="1"/>
    <col min="5" max="5" width="12.6640625" customWidth="1"/>
    <col min="6" max="6" width="9.6640625" customWidth="1"/>
    <col min="7" max="7" width="11.5" customWidth="1"/>
    <col min="8" max="8" width="11" customWidth="1"/>
    <col min="9" max="9" width="9.5" customWidth="1"/>
    <col min="10" max="10" width="12.5" bestFit="1" customWidth="1"/>
    <col min="11" max="14" width="9.5" customWidth="1"/>
    <col min="15" max="16" width="10.5" customWidth="1"/>
    <col min="17" max="17" width="13.5" bestFit="1" customWidth="1"/>
    <col min="18" max="19" width="10.33203125" customWidth="1"/>
    <col min="22" max="24" width="0" hidden="1" customWidth="1"/>
    <col min="25" max="25" width="32.1640625" hidden="1" customWidth="1"/>
  </cols>
  <sheetData>
    <row r="2" spans="2:25">
      <c r="B2" s="191" t="s">
        <v>399</v>
      </c>
      <c r="C2" s="212" t="s">
        <v>401</v>
      </c>
      <c r="D2" s="212"/>
      <c r="E2" s="191" t="s">
        <v>398</v>
      </c>
      <c r="F2" s="213">
        <v>44949</v>
      </c>
      <c r="G2" s="212"/>
    </row>
    <row r="3" spans="2:25">
      <c r="B3" s="74"/>
      <c r="C3" s="190"/>
      <c r="D3" s="190"/>
      <c r="V3" s="74" t="s">
        <v>241</v>
      </c>
      <c r="W3" s="74" t="s">
        <v>424</v>
      </c>
      <c r="X3" s="74" t="s">
        <v>427</v>
      </c>
      <c r="Y3" s="74" t="s">
        <v>434</v>
      </c>
    </row>
    <row r="4" spans="2:25">
      <c r="B4" s="214" t="s">
        <v>374</v>
      </c>
      <c r="C4" s="215"/>
      <c r="D4" s="215"/>
      <c r="E4" s="215"/>
      <c r="F4" s="215"/>
      <c r="G4" s="216"/>
      <c r="J4" s="217" t="s">
        <v>376</v>
      </c>
      <c r="K4" s="217"/>
      <c r="L4" s="217"/>
      <c r="V4" s="74" t="s">
        <v>408</v>
      </c>
      <c r="W4" s="74" t="s">
        <v>425</v>
      </c>
      <c r="X4" s="74" t="s">
        <v>428</v>
      </c>
      <c r="Y4" s="74" t="s">
        <v>435</v>
      </c>
    </row>
    <row r="5" spans="2:25">
      <c r="B5" s="218" t="s">
        <v>400</v>
      </c>
      <c r="C5" s="218"/>
      <c r="D5" s="218"/>
      <c r="E5" s="218"/>
      <c r="F5" s="218"/>
      <c r="G5" s="218"/>
      <c r="S5" s="74"/>
      <c r="W5" s="74" t="s">
        <v>426</v>
      </c>
      <c r="X5" s="74" t="s">
        <v>429</v>
      </c>
    </row>
    <row r="6" spans="2:25">
      <c r="B6" s="14"/>
      <c r="D6" s="17"/>
      <c r="E6" s="17"/>
      <c r="F6" s="14"/>
      <c r="J6" s="224" t="s">
        <v>397</v>
      </c>
      <c r="K6" s="225"/>
      <c r="L6" s="226"/>
      <c r="S6" s="74"/>
      <c r="X6" s="74" t="s">
        <v>430</v>
      </c>
    </row>
    <row r="7" spans="2:25">
      <c r="B7" s="217" t="s">
        <v>65</v>
      </c>
      <c r="C7" s="217"/>
      <c r="D7" s="217"/>
      <c r="E7" s="217" t="s">
        <v>66</v>
      </c>
      <c r="F7" s="217"/>
      <c r="G7" s="217"/>
      <c r="J7" s="187" t="s">
        <v>377</v>
      </c>
      <c r="K7" s="188">
        <f>Table7[[#Totals],[(Tons)34]]</f>
        <v>47.341124999999991</v>
      </c>
      <c r="L7" s="189" t="s">
        <v>378</v>
      </c>
      <c r="X7" s="74" t="s">
        <v>431</v>
      </c>
    </row>
    <row r="8" spans="2:25">
      <c r="B8" s="219" t="s">
        <v>67</v>
      </c>
      <c r="C8" s="193">
        <v>91</v>
      </c>
      <c r="D8" s="164" t="s">
        <v>9</v>
      </c>
      <c r="E8" s="219" t="s">
        <v>53</v>
      </c>
      <c r="F8" s="220">
        <v>38.9</v>
      </c>
      <c r="G8" s="219" t="s">
        <v>68</v>
      </c>
      <c r="J8" s="187" t="s">
        <v>381</v>
      </c>
      <c r="K8" s="188">
        <f>Table7[[#Totals],[GPM MAX]]</f>
        <v>113.61869999999998</v>
      </c>
      <c r="L8" s="189" t="s">
        <v>382</v>
      </c>
      <c r="X8" s="74" t="s">
        <v>432</v>
      </c>
    </row>
    <row r="9" spans="2:25">
      <c r="B9" s="219"/>
      <c r="C9" s="193">
        <v>71</v>
      </c>
      <c r="D9" s="164" t="s">
        <v>31</v>
      </c>
      <c r="E9" s="219"/>
      <c r="F9" s="221"/>
      <c r="G9" s="219"/>
      <c r="J9" s="187" t="s">
        <v>379</v>
      </c>
      <c r="K9" s="188">
        <f>Table7[[#Totals],[(mbh)46]]</f>
        <v>454.09999999999991</v>
      </c>
      <c r="L9" s="189" t="s">
        <v>380</v>
      </c>
      <c r="X9" s="74" t="s">
        <v>433</v>
      </c>
    </row>
    <row r="10" spans="2:25">
      <c r="B10" s="219" t="s">
        <v>387</v>
      </c>
      <c r="C10" s="194">
        <v>80.400000000000006</v>
      </c>
      <c r="D10" s="164" t="s">
        <v>68</v>
      </c>
      <c r="E10" s="219" t="s">
        <v>90</v>
      </c>
      <c r="F10" s="193">
        <v>57.2</v>
      </c>
      <c r="G10" s="164" t="s">
        <v>68</v>
      </c>
      <c r="J10" s="187" t="s">
        <v>383</v>
      </c>
      <c r="K10" s="188">
        <f>Table7[[#Totals],[(˚F db)46]]</f>
        <v>36.205000000000005</v>
      </c>
      <c r="L10" s="189" t="s">
        <v>382</v>
      </c>
    </row>
    <row r="11" spans="2:25">
      <c r="B11" s="219"/>
      <c r="C11" s="194">
        <v>68.900000000000006</v>
      </c>
      <c r="D11" s="164" t="s">
        <v>31</v>
      </c>
      <c r="E11" s="219"/>
      <c r="F11" s="193">
        <v>12.7</v>
      </c>
      <c r="G11" s="164" t="s">
        <v>69</v>
      </c>
      <c r="J11" s="165"/>
      <c r="K11" s="165"/>
      <c r="L11" s="165"/>
    </row>
    <row r="12" spans="2:25">
      <c r="B12" s="14"/>
      <c r="D12" s="17"/>
      <c r="E12" s="17"/>
      <c r="J12" s="165"/>
      <c r="K12" s="165"/>
      <c r="L12" s="165"/>
    </row>
    <row r="13" spans="2:25">
      <c r="B13" s="217" t="s">
        <v>375</v>
      </c>
      <c r="C13" s="217"/>
      <c r="D13" s="217"/>
    </row>
    <row r="14" spans="2:25">
      <c r="B14" s="186" t="s">
        <v>306</v>
      </c>
      <c r="C14" s="194">
        <v>42</v>
      </c>
      <c r="D14" s="164" t="s">
        <v>307</v>
      </c>
    </row>
    <row r="15" spans="2:25">
      <c r="B15" s="186" t="s">
        <v>308</v>
      </c>
      <c r="C15" s="194">
        <v>52</v>
      </c>
      <c r="D15" s="164" t="s">
        <v>307</v>
      </c>
    </row>
    <row r="16" spans="2:25">
      <c r="B16" s="186" t="s">
        <v>309</v>
      </c>
      <c r="C16" s="194">
        <v>140</v>
      </c>
      <c r="D16" s="164" t="s">
        <v>307</v>
      </c>
    </row>
    <row r="17" spans="2:20">
      <c r="B17" s="186" t="s">
        <v>310</v>
      </c>
      <c r="C17" s="194">
        <v>100</v>
      </c>
      <c r="D17" s="164" t="s">
        <v>307</v>
      </c>
    </row>
    <row r="18" spans="2:20">
      <c r="B18" s="186" t="s">
        <v>311</v>
      </c>
      <c r="C18" s="195">
        <v>1.2</v>
      </c>
      <c r="D18" s="164" t="s">
        <v>312</v>
      </c>
    </row>
    <row r="19" spans="2:20">
      <c r="B19" s="186" t="s">
        <v>316</v>
      </c>
      <c r="C19" s="195" t="s">
        <v>317</v>
      </c>
      <c r="D19" s="164" t="s">
        <v>298</v>
      </c>
      <c r="H19" s="165"/>
      <c r="I19" s="165"/>
      <c r="J19" s="165"/>
      <c r="K19" s="165"/>
      <c r="L19" s="165"/>
    </row>
    <row r="20" spans="2:20">
      <c r="H20" s="165"/>
      <c r="I20" s="165"/>
      <c r="J20" s="223" t="s">
        <v>402</v>
      </c>
      <c r="K20" s="223"/>
      <c r="L20" s="165"/>
    </row>
    <row r="21" spans="2:20">
      <c r="H21" s="165"/>
      <c r="I21" s="165"/>
      <c r="J21" s="165"/>
      <c r="K21" s="165"/>
      <c r="L21" s="165"/>
    </row>
    <row r="23" spans="2:20">
      <c r="B23" s="222" t="s">
        <v>436</v>
      </c>
      <c r="C23" s="222"/>
      <c r="D23" s="222"/>
      <c r="E23" s="222"/>
      <c r="F23" s="222"/>
      <c r="G23" s="222"/>
      <c r="H23" s="222"/>
      <c r="I23" s="222"/>
      <c r="J23" s="222"/>
      <c r="K23" s="222"/>
      <c r="L23" s="222"/>
      <c r="M23" s="222"/>
      <c r="N23" s="222"/>
      <c r="O23" s="222"/>
      <c r="P23" s="222"/>
      <c r="Q23" s="222"/>
      <c r="R23" s="222"/>
      <c r="S23" s="222"/>
      <c r="T23" s="222"/>
    </row>
    <row r="24" spans="2:20">
      <c r="B24" s="165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</row>
    <row r="25" spans="2:20" ht="24">
      <c r="B25" s="200" t="s">
        <v>404</v>
      </c>
      <c r="C25" s="196" t="s">
        <v>423</v>
      </c>
      <c r="D25" s="196" t="s">
        <v>422</v>
      </c>
      <c r="E25" s="196" t="s">
        <v>403</v>
      </c>
      <c r="F25" s="196" t="s">
        <v>405</v>
      </c>
      <c r="G25" s="196" t="s">
        <v>406</v>
      </c>
      <c r="H25" s="196" t="s">
        <v>409</v>
      </c>
      <c r="I25" s="196" t="s">
        <v>410</v>
      </c>
      <c r="J25" s="196" t="s">
        <v>411</v>
      </c>
      <c r="K25" s="196" t="s">
        <v>412</v>
      </c>
      <c r="L25" s="196" t="s">
        <v>413</v>
      </c>
      <c r="M25" s="196" t="s">
        <v>414</v>
      </c>
      <c r="N25" s="196" t="s">
        <v>415</v>
      </c>
      <c r="O25" s="196" t="s">
        <v>416</v>
      </c>
      <c r="P25" s="196" t="s">
        <v>417</v>
      </c>
      <c r="Q25" s="196" t="s">
        <v>418</v>
      </c>
      <c r="R25" s="196" t="s">
        <v>419</v>
      </c>
      <c r="S25" s="196" t="s">
        <v>420</v>
      </c>
      <c r="T25" s="197" t="s">
        <v>421</v>
      </c>
    </row>
    <row r="26" spans="2:20">
      <c r="B26" s="201" t="s">
        <v>407</v>
      </c>
      <c r="C26" s="194" t="s">
        <v>425</v>
      </c>
      <c r="D26" s="198" t="s">
        <v>424</v>
      </c>
      <c r="E26" s="198" t="s">
        <v>241</v>
      </c>
      <c r="F26" s="198" t="s">
        <v>241</v>
      </c>
      <c r="G26" s="198" t="s">
        <v>241</v>
      </c>
      <c r="H26" s="198" t="s">
        <v>241</v>
      </c>
      <c r="I26" s="198" t="s">
        <v>241</v>
      </c>
      <c r="J26" s="198" t="s">
        <v>241</v>
      </c>
      <c r="K26" s="198" t="s">
        <v>241</v>
      </c>
      <c r="L26" s="198" t="s">
        <v>408</v>
      </c>
      <c r="M26" s="198" t="s">
        <v>408</v>
      </c>
      <c r="N26" s="198" t="s">
        <v>241</v>
      </c>
      <c r="O26" s="198" t="s">
        <v>408</v>
      </c>
      <c r="P26" s="198" t="s">
        <v>427</v>
      </c>
      <c r="Q26" s="198" t="s">
        <v>433</v>
      </c>
      <c r="R26" s="198" t="s">
        <v>241</v>
      </c>
      <c r="S26" s="198" t="s">
        <v>408</v>
      </c>
      <c r="T26" s="199" t="s">
        <v>408</v>
      </c>
    </row>
    <row r="27" spans="2:20">
      <c r="K27" s="165"/>
      <c r="L27" s="165"/>
      <c r="M27" s="165"/>
      <c r="N27" s="165"/>
    </row>
  </sheetData>
  <mergeCells count="17">
    <mergeCell ref="B23:T23"/>
    <mergeCell ref="J20:K20"/>
    <mergeCell ref="J6:L6"/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  <mergeCell ref="E10:E11"/>
    <mergeCell ref="F8:F9"/>
  </mergeCells>
  <phoneticPr fontId="16" type="noConversion"/>
  <dataValidations count="6">
    <dataValidation type="decimal" operator="lessThanOrEqual" allowBlank="1" showInputMessage="1" showErrorMessage="1" sqref="C8:C11 F8:F11" xr:uid="{B46BD661-27D5-EA4A-98D9-A97E7ED39DFB}">
      <formula1>600</formula1>
    </dataValidation>
    <dataValidation type="whole" operator="lessThanOrEqual" allowBlank="1" showInputMessage="1" showErrorMessage="1" sqref="C14:C17" xr:uid="{74E3A6C0-DA95-3548-BE04-1A70A06AA0B7}">
      <formula1>600</formula1>
    </dataValidation>
    <dataValidation type="list" allowBlank="1" showInputMessage="1" showErrorMessage="1" sqref="E26:O26 R26:T26" xr:uid="{57C62CAF-236A-4438-B44C-4554C59AA83F}">
      <formula1>$V$3:$V$4</formula1>
    </dataValidation>
    <dataValidation type="list" allowBlank="1" showInputMessage="1" showErrorMessage="1" sqref="C26:D26" xr:uid="{AB1B10D3-F427-400A-82FF-B6F1F44366B6}">
      <formula1>$W$3:$W$5</formula1>
    </dataValidation>
    <dataValidation type="list" allowBlank="1" showInputMessage="1" showErrorMessage="1" sqref="P26" xr:uid="{1BE18A46-D051-4CA4-B717-7C8319AC5967}">
      <formula1>$X$3:$X$6</formula1>
    </dataValidation>
    <dataValidation type="list" allowBlank="1" showInputMessage="1" showErrorMessage="1" sqref="Q26" xr:uid="{7B280275-1915-41C0-BE13-14BD3110A14F}">
      <formula1>$X$7:$X$9</formula1>
    </dataValidation>
  </dataValidations>
  <hyperlinks>
    <hyperlink ref="J20" r:id="rId1" display="SURVEY" xr:uid="{85CD794C-812E-4F58-88D3-ACECA4BCAFD1}"/>
  </hyperlinks>
  <pageMargins left="0.7" right="0.7" top="0.75" bottom="0.75" header="0.3" footer="0.3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_paragraph">
                <anchor moveWithCells="1" sizeWithCells="1">
                  <from>
                    <xdr:col>17</xdr:col>
                    <xdr:colOff>342900</xdr:colOff>
                    <xdr:row>2</xdr:row>
                    <xdr:rowOff>101600</xdr:rowOff>
                  </from>
                  <to>
                    <xdr:col>19</xdr:col>
                    <xdr:colOff>444500</xdr:colOff>
                    <xdr:row>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6" name="Button 11">
              <controlPr defaultSize="0" print="0" autoFill="0" autoPict="0" macro="[0]!ahuadd" altText="HUMIDIFICATION">
                <anchor moveWithCells="1" sizeWithCells="1">
                  <from>
                    <xdr:col>12</xdr:col>
                    <xdr:colOff>431800</xdr:colOff>
                    <xdr:row>2</xdr:row>
                    <xdr:rowOff>114300</xdr:rowOff>
                  </from>
                  <to>
                    <xdr:col>14</xdr:col>
                    <xdr:colOff>635000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7" name="Button 13">
              <controlPr defaultSize="0" print="0" autoFill="0" autoPict="0" macro="[0]!ahuremove">
                <anchor moveWithCells="1" sizeWithCells="1">
                  <from>
                    <xdr:col>15</xdr:col>
                    <xdr:colOff>254000</xdr:colOff>
                    <xdr:row>2</xdr:row>
                    <xdr:rowOff>101600</xdr:rowOff>
                  </from>
                  <to>
                    <xdr:col>17</xdr:col>
                    <xdr:colOff>101600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64C23-7EBD-4E63-AFC7-0168FFAA5D70}">
  <sheetPr codeName="Sheet6">
    <tabColor indexed="43"/>
    <pageSetUpPr fitToPage="1"/>
  </sheetPr>
  <dimension ref="A1:BB104"/>
  <sheetViews>
    <sheetView showGridLines="0" tabSelected="1" zoomScaleNormal="85" zoomScaleSheetLayoutView="50" zoomScalePageLayoutView="80" workbookViewId="0">
      <selection activeCell="P36" sqref="P36"/>
    </sheetView>
  </sheetViews>
  <sheetFormatPr baseColWidth="10" defaultColWidth="8.83203125" defaultRowHeight="13"/>
  <cols>
    <col min="1" max="1" width="2.83203125" customWidth="1"/>
    <col min="2" max="2" width="12.6640625" customWidth="1"/>
    <col min="3" max="3" width="9.83203125" style="15" bestFit="1" customWidth="1"/>
    <col min="4" max="4" width="14" style="73" bestFit="1" customWidth="1"/>
    <col min="5" max="5" width="16" style="15" bestFit="1" customWidth="1"/>
    <col min="6" max="6" width="9.83203125" style="15" bestFit="1" customWidth="1"/>
    <col min="7" max="7" width="12.6640625" hidden="1" customWidth="1"/>
    <col min="8" max="8" width="11.5" style="18" hidden="1" customWidth="1"/>
    <col min="9" max="9" width="7.6640625" hidden="1" customWidth="1"/>
    <col min="10" max="10" width="7.6640625" customWidth="1"/>
    <col min="11" max="11" width="11.83203125" style="1" hidden="1" customWidth="1"/>
    <col min="12" max="12" width="12.6640625" hidden="1" customWidth="1"/>
    <col min="13" max="13" width="21.83203125" bestFit="1" customWidth="1"/>
    <col min="14" max="14" width="71.5" style="1" hidden="1" customWidth="1"/>
    <col min="15" max="15" width="25.5" style="1" hidden="1" customWidth="1"/>
    <col min="16" max="16" width="12.83203125" customWidth="1"/>
    <col min="17" max="17" width="13" hidden="1" customWidth="1"/>
    <col min="18" max="18" width="18" customWidth="1"/>
    <col min="19" max="19" width="22.83203125" style="1" customWidth="1"/>
    <col min="20" max="20" width="16.5" style="1" customWidth="1"/>
    <col min="21" max="21" width="10.1640625" style="15" customWidth="1"/>
    <col min="22" max="22" width="10" style="1" customWidth="1"/>
    <col min="23" max="23" width="18" style="67" customWidth="1"/>
    <col min="24" max="24" width="11.33203125" customWidth="1"/>
    <col min="25" max="25" width="9.83203125" style="15" customWidth="1"/>
    <col min="26" max="26" width="15.83203125" style="15" customWidth="1"/>
    <col min="27" max="27" width="9.5" style="15" customWidth="1"/>
    <col min="28" max="28" width="22.5" style="15" bestFit="1" customWidth="1"/>
    <col min="29" max="29" width="11.5" style="15" bestFit="1" customWidth="1"/>
    <col min="30" max="30" width="18.5" style="68" bestFit="1" customWidth="1"/>
    <col min="31" max="31" width="22" style="68" bestFit="1" customWidth="1"/>
    <col min="32" max="32" width="7.33203125" style="68" customWidth="1"/>
    <col min="33" max="33" width="18" style="46" customWidth="1"/>
    <col min="34" max="34" width="9.83203125" style="46" customWidth="1"/>
    <col min="35" max="35" width="14.1640625" style="46" bestFit="1" customWidth="1"/>
    <col min="36" max="36" width="8.5" hidden="1" customWidth="1"/>
    <col min="37" max="37" width="9.33203125" customWidth="1"/>
    <col min="38" max="38" width="7.1640625" customWidth="1"/>
    <col min="39" max="39" width="5.83203125" customWidth="1"/>
    <col min="40" max="40" width="5.83203125" hidden="1" customWidth="1"/>
    <col min="41" max="41" width="8.83203125" customWidth="1"/>
    <col min="42" max="42" width="8.33203125" bestFit="1" customWidth="1"/>
    <col min="43" max="43" width="9.6640625" bestFit="1" customWidth="1"/>
    <col min="44" max="44" width="10.5" bestFit="1" customWidth="1"/>
    <col min="45" max="45" width="12.5" customWidth="1"/>
    <col min="46" max="46" width="12.83203125" bestFit="1" customWidth="1"/>
    <col min="49" max="51" width="9.33203125" bestFit="1" customWidth="1"/>
  </cols>
  <sheetData>
    <row r="1" spans="1:54">
      <c r="AW1" s="74" t="s">
        <v>393</v>
      </c>
      <c r="AX1" s="74" t="s">
        <v>394</v>
      </c>
      <c r="AY1" s="74" t="s">
        <v>395</v>
      </c>
      <c r="BA1" s="74" t="s">
        <v>44</v>
      </c>
      <c r="BB1" s="74" t="s">
        <v>396</v>
      </c>
    </row>
    <row r="2" spans="1:54" ht="17" thickBot="1">
      <c r="AW2" s="66">
        <f>ROUNDUP(S18*INPUT_OUTPUTS!$C$18,-2)</f>
        <v>16900</v>
      </c>
      <c r="AX2" s="66">
        <f>ROUNDUP(T18*INPUT_OUTPUTS!$C$18,-2)</f>
        <v>16900</v>
      </c>
      <c r="AY2" s="65">
        <f>ROUNDUP((P18*INPUT_OUTPUTS!C18)+P19,-2)</f>
        <v>5700</v>
      </c>
      <c r="BA2" s="76">
        <f>AHU1_CAV_SCHEDULE[[#Totals],[GPM]]</f>
        <v>36.205000000000005</v>
      </c>
      <c r="BB2" s="75">
        <f>AHU1_CAV_SCHEDULE[[#Totals],[MIN MBH]]</f>
        <v>454.09999999999991</v>
      </c>
    </row>
    <row r="3" spans="1:54" ht="15.75" customHeight="1">
      <c r="C3"/>
      <c r="H3"/>
      <c r="K3"/>
      <c r="N3"/>
      <c r="O3"/>
      <c r="S3"/>
      <c r="T3"/>
      <c r="U3"/>
      <c r="V3"/>
      <c r="W3" s="69"/>
      <c r="Y3"/>
      <c r="Z3"/>
      <c r="AA3"/>
    </row>
    <row r="4" spans="1:54" ht="30">
      <c r="C4"/>
      <c r="D4" s="236" t="s">
        <v>296</v>
      </c>
      <c r="E4" s="237"/>
      <c r="F4" s="237"/>
      <c r="G4" s="237"/>
      <c r="H4" s="237"/>
      <c r="I4" s="237"/>
      <c r="J4" s="237"/>
      <c r="K4" s="237"/>
      <c r="L4" s="237"/>
      <c r="M4" s="237"/>
      <c r="N4" s="237"/>
      <c r="O4" s="237"/>
      <c r="P4" s="237"/>
      <c r="Q4" s="237"/>
      <c r="R4" s="237"/>
      <c r="S4" s="237"/>
      <c r="T4" s="237"/>
      <c r="U4" s="237"/>
      <c r="V4" s="238"/>
      <c r="W4" s="69"/>
      <c r="Y4"/>
      <c r="Z4"/>
      <c r="AA4"/>
    </row>
    <row r="5" spans="1:54" ht="30">
      <c r="B5" s="86"/>
      <c r="C5" s="86"/>
      <c r="D5" s="240" t="s">
        <v>87</v>
      </c>
      <c r="E5" s="241"/>
      <c r="F5" s="241"/>
      <c r="G5" s="242"/>
      <c r="H5" s="239" t="s">
        <v>88</v>
      </c>
      <c r="I5" s="239"/>
      <c r="J5" s="239"/>
      <c r="K5" s="239"/>
      <c r="L5" s="239"/>
      <c r="M5" s="239"/>
      <c r="N5" s="239"/>
      <c r="O5" s="239"/>
      <c r="P5" s="239"/>
      <c r="Q5" s="239"/>
      <c r="R5" s="239"/>
      <c r="S5" s="240" t="s">
        <v>86</v>
      </c>
      <c r="T5" s="241"/>
      <c r="U5" s="241"/>
      <c r="V5" s="242"/>
      <c r="W5" s="86"/>
      <c r="X5" s="243" t="s">
        <v>85</v>
      </c>
      <c r="Y5" s="244"/>
      <c r="Z5" s="245"/>
      <c r="AC5" s="246" t="s">
        <v>123</v>
      </c>
      <c r="AD5" s="246"/>
      <c r="AE5" s="246"/>
      <c r="AF5" s="246"/>
      <c r="AG5" s="246"/>
      <c r="AH5" s="246"/>
      <c r="AI5" s="246"/>
      <c r="AJ5" s="246"/>
      <c r="AK5" s="246"/>
      <c r="AL5" s="246"/>
      <c r="AM5" s="246"/>
      <c r="AN5" s="246"/>
      <c r="AO5" s="246"/>
      <c r="AP5" s="246"/>
      <c r="AQ5" s="246"/>
      <c r="AR5" s="246"/>
      <c r="AS5" s="246"/>
    </row>
    <row r="6" spans="1:54" s="79" customFormat="1" ht="53" customHeight="1" thickBot="1">
      <c r="A6" s="77"/>
      <c r="B6" s="141" t="s">
        <v>244</v>
      </c>
      <c r="C6" s="142" t="s">
        <v>10</v>
      </c>
      <c r="D6" s="143" t="s">
        <v>39</v>
      </c>
      <c r="E6" s="144" t="s">
        <v>437</v>
      </c>
      <c r="F6" s="145" t="s">
        <v>0</v>
      </c>
      <c r="G6" s="146" t="s">
        <v>245</v>
      </c>
      <c r="H6" s="147" t="s">
        <v>40</v>
      </c>
      <c r="I6" s="148" t="s">
        <v>246</v>
      </c>
      <c r="J6" s="146" t="s">
        <v>247</v>
      </c>
      <c r="K6" s="146" t="s">
        <v>248</v>
      </c>
      <c r="L6" s="146" t="s">
        <v>12</v>
      </c>
      <c r="M6" s="149" t="s">
        <v>249</v>
      </c>
      <c r="N6" s="144" t="s">
        <v>250</v>
      </c>
      <c r="O6" s="144" t="s">
        <v>251</v>
      </c>
      <c r="P6" s="144" t="s">
        <v>17</v>
      </c>
      <c r="Q6" s="145" t="s">
        <v>252</v>
      </c>
      <c r="R6" s="149" t="s">
        <v>82</v>
      </c>
      <c r="S6" s="149" t="s">
        <v>253</v>
      </c>
      <c r="T6" s="144" t="s">
        <v>13</v>
      </c>
      <c r="U6" s="145" t="s">
        <v>14</v>
      </c>
      <c r="V6" s="150" t="s">
        <v>438</v>
      </c>
      <c r="W6" s="150" t="s">
        <v>439</v>
      </c>
      <c r="X6" s="151" t="s">
        <v>33</v>
      </c>
      <c r="Y6" s="151" t="s">
        <v>70</v>
      </c>
      <c r="Z6" s="152" t="s">
        <v>440</v>
      </c>
      <c r="AA6" s="78"/>
      <c r="AB6" s="78"/>
      <c r="AC6" s="130" t="s">
        <v>244</v>
      </c>
      <c r="AD6" s="130" t="s">
        <v>118</v>
      </c>
      <c r="AE6" s="130" t="s">
        <v>119</v>
      </c>
      <c r="AF6" s="130" t="s">
        <v>47</v>
      </c>
      <c r="AG6" s="130" t="s">
        <v>126</v>
      </c>
      <c r="AH6" s="130" t="s">
        <v>117</v>
      </c>
      <c r="AI6" s="130" t="s">
        <v>45</v>
      </c>
      <c r="AJ6" s="130" t="s">
        <v>101</v>
      </c>
      <c r="AK6" s="130" t="s">
        <v>46</v>
      </c>
      <c r="AL6" s="130" t="s">
        <v>100</v>
      </c>
      <c r="AM6" s="130" t="s">
        <v>99</v>
      </c>
      <c r="AN6" s="130" t="s">
        <v>318</v>
      </c>
      <c r="AO6" s="130" t="s">
        <v>44</v>
      </c>
      <c r="AP6" s="130" t="s">
        <v>114</v>
      </c>
      <c r="AQ6" s="130" t="s">
        <v>115</v>
      </c>
      <c r="AR6" s="130" t="s">
        <v>116</v>
      </c>
      <c r="AS6" s="130" t="s">
        <v>89</v>
      </c>
    </row>
    <row r="7" spans="1:54" ht="15" customHeight="1">
      <c r="B7" s="115" t="s">
        <v>258</v>
      </c>
      <c r="C7" s="115" t="s">
        <v>313</v>
      </c>
      <c r="D7" s="115">
        <v>1234</v>
      </c>
      <c r="E7" s="115">
        <v>1000</v>
      </c>
      <c r="F7" s="115">
        <v>10</v>
      </c>
      <c r="G7" s="87">
        <f>VLOOKUP($M7,'UMC Table 4-A'!$A$10:$E$139,4,FALSE)</f>
        <v>4</v>
      </c>
      <c r="H7" s="87" t="s">
        <v>37</v>
      </c>
      <c r="I7" s="88" t="s">
        <v>298</v>
      </c>
      <c r="J7" s="116">
        <v>0</v>
      </c>
      <c r="K7" s="92">
        <f t="shared" ref="K7:K17" si="0">IF(G7&lt;&gt;"NR",ROUNDUP((E7*F7*G7)/60,-1),0)</f>
        <v>670</v>
      </c>
      <c r="L7" s="89">
        <f>E7</f>
        <v>1000</v>
      </c>
      <c r="M7" s="83" t="s">
        <v>102</v>
      </c>
      <c r="N7" s="87" t="s">
        <v>80</v>
      </c>
      <c r="O7" s="91">
        <f>VLOOKUP($M7,'UMC Table 4-A'!$A$10:$E$139,3,FALSE)</f>
        <v>2</v>
      </c>
      <c r="P7" s="92">
        <f t="shared" ref="P7:P17" si="1">IF(O7&lt;&gt;"NR",ROUNDUP((E7*F7*O7)/60,-1),0)</f>
        <v>340</v>
      </c>
      <c r="Q7" s="91" t="s">
        <v>37</v>
      </c>
      <c r="R7" s="90">
        <f t="shared" ref="R7:R17" si="2">IF(N7="Negative",IF(OR(M7="Toilet room",M7="Janitor's closet, housekeeping"),0,IF(0.1*U7&gt;50,220-0.1*U7,U7-50)),IF(Q7="Yes",0,CEILING(MAX(J7:L7),5)))</f>
        <v>1000</v>
      </c>
      <c r="S7" s="119">
        <f t="shared" ref="S7:S17" si="3">R7</f>
        <v>1000</v>
      </c>
      <c r="T7" s="118">
        <f t="shared" ref="T7:T17" si="4">IF(Q7="Yes",0,IF(N7="Positive",IF(0.1*R7&gt;50,R7-0.1*R7,R7-50),IF(N7="Negative",IF(0.1*R7&gt;50,R7+0.1*R7,R7+50),R7)))</f>
        <v>1000</v>
      </c>
      <c r="U7" s="119">
        <f t="shared" ref="U7:U17" si="5">IF(Q7="Yes",I7,0)</f>
        <v>0</v>
      </c>
      <c r="V7" s="70">
        <f t="shared" ref="V7:V17" si="6">S7-T7-U7</f>
        <v>0</v>
      </c>
      <c r="W7" s="29" t="s">
        <v>241</v>
      </c>
      <c r="X7" s="30">
        <f>IFERROR(R7/E7,"-")</f>
        <v>1</v>
      </c>
      <c r="Y7" s="56">
        <f t="shared" ref="Y7" si="7">(P7/S7)*100</f>
        <v>34</v>
      </c>
      <c r="Z7" s="28">
        <f t="shared" ref="Z7" si="8">R7/E7/F7*60</f>
        <v>6</v>
      </c>
      <c r="AC7" s="131" t="s">
        <v>258</v>
      </c>
      <c r="AD7" s="131" t="s">
        <v>121</v>
      </c>
      <c r="AE7" s="131" t="s">
        <v>127</v>
      </c>
      <c r="AF7" s="132">
        <f>SUMIF($B$7:$B$17,AC7,$S$7:$S$17)</f>
        <v>1000</v>
      </c>
      <c r="AG7" s="132">
        <f>IFERROR((VLOOKUP(AF7,'DO NOT TOUCH'!$P$9:$Q$14,2,TRUE)),"TBD")</f>
        <v>12</v>
      </c>
      <c r="AH7" s="132">
        <v>0.5</v>
      </c>
      <c r="AI7" s="132">
        <f>INPUT_OUTPUTS!$C$16</f>
        <v>140</v>
      </c>
      <c r="AJ7" s="132">
        <f>INPUT_OUTPUTS!$C$17</f>
        <v>100</v>
      </c>
      <c r="AK7" s="132">
        <v>55</v>
      </c>
      <c r="AL7" s="132">
        <v>85</v>
      </c>
      <c r="AM7" s="132">
        <f t="shared" ref="AM7:AM44" si="9">MROUND((1.08*(AL7-AK7)*AF7)/1000,0.1)</f>
        <v>32.4</v>
      </c>
      <c r="AN7" s="133">
        <f>(AM7*1000)/(500*(AI7-AJ7))</f>
        <v>1.62</v>
      </c>
      <c r="AO7" s="133">
        <f>IF(AN7&lt;0.5,0.5,AN7)</f>
        <v>1.62</v>
      </c>
      <c r="AP7" s="133">
        <v>5</v>
      </c>
      <c r="AQ7" s="133">
        <f>IFERROR((_xlfn.XLOOKUP(AG7,'DO NOT TOUCH'!$Q$9:$Q$14,'DO NOT TOUCH'!$R$9:$R$14,)),"TBD")</f>
        <v>45</v>
      </c>
      <c r="AR7" s="133" t="s">
        <v>317</v>
      </c>
      <c r="AS7" s="132" t="s">
        <v>122</v>
      </c>
    </row>
    <row r="8" spans="1:54" ht="15" customHeight="1">
      <c r="B8" s="115" t="s">
        <v>259</v>
      </c>
      <c r="C8" s="115" t="s">
        <v>313</v>
      </c>
      <c r="D8" s="115">
        <v>1234</v>
      </c>
      <c r="E8" s="115">
        <v>1000</v>
      </c>
      <c r="F8" s="115">
        <v>10</v>
      </c>
      <c r="G8" s="83">
        <f>VLOOKUP($M8,'UMC Table 4-A'!$A$10:$E$139,4,FALSE)</f>
        <v>4</v>
      </c>
      <c r="H8" s="83" t="s">
        <v>37</v>
      </c>
      <c r="I8" s="80" t="s">
        <v>298</v>
      </c>
      <c r="J8" s="117">
        <v>0</v>
      </c>
      <c r="K8" s="93">
        <f t="shared" si="0"/>
        <v>670</v>
      </c>
      <c r="L8" s="84">
        <f t="shared" ref="L8:L17" si="10">E8</f>
        <v>1000</v>
      </c>
      <c r="M8" s="83" t="s">
        <v>102</v>
      </c>
      <c r="N8" s="83" t="s">
        <v>80</v>
      </c>
      <c r="O8" s="81">
        <f>VLOOKUP($M8,'UMC Table 4-A'!$A$10:$E$139,3,FALSE)</f>
        <v>2</v>
      </c>
      <c r="P8" s="93">
        <f t="shared" si="1"/>
        <v>340</v>
      </c>
      <c r="Q8" s="81" t="s">
        <v>37</v>
      </c>
      <c r="R8" s="82">
        <f t="shared" si="2"/>
        <v>1000</v>
      </c>
      <c r="S8" s="119">
        <f t="shared" si="3"/>
        <v>1000</v>
      </c>
      <c r="T8" s="119">
        <f t="shared" si="4"/>
        <v>1000</v>
      </c>
      <c r="U8" s="119">
        <f t="shared" si="5"/>
        <v>0</v>
      </c>
      <c r="V8" s="71">
        <f t="shared" si="6"/>
        <v>0</v>
      </c>
      <c r="W8" s="27" t="s">
        <v>241</v>
      </c>
      <c r="X8" s="28">
        <f>IFERROR(R8/E8,"-")</f>
        <v>1</v>
      </c>
      <c r="Y8" s="56">
        <f>IFERROR(((P8/S8)*100),"-")</f>
        <v>34</v>
      </c>
      <c r="Z8" s="28">
        <f>IFERROR((R8/E8/F8*60),"-")</f>
        <v>6</v>
      </c>
      <c r="AC8" s="131" t="s">
        <v>259</v>
      </c>
      <c r="AD8" s="131" t="s">
        <v>121</v>
      </c>
      <c r="AE8" s="131" t="s">
        <v>127</v>
      </c>
      <c r="AF8" s="132">
        <f>SUMIF($B$7:$B$17,AC8,$S$7:$S$17)</f>
        <v>1000</v>
      </c>
      <c r="AG8" s="132">
        <f>IFERROR((VLOOKUP(AF8,'DO NOT TOUCH'!$P$9:$Q$14,2,TRUE)),"TBD")</f>
        <v>12</v>
      </c>
      <c r="AH8" s="132">
        <f>AH7</f>
        <v>0.5</v>
      </c>
      <c r="AI8" s="132">
        <f>INPUT_OUTPUTS!$C$16</f>
        <v>140</v>
      </c>
      <c r="AJ8" s="132">
        <f>INPUT_OUTPUTS!$C$17</f>
        <v>100</v>
      </c>
      <c r="AK8" s="132">
        <f t="shared" ref="AK8:AL8" si="11">AK7</f>
        <v>55</v>
      </c>
      <c r="AL8" s="132">
        <f t="shared" si="11"/>
        <v>85</v>
      </c>
      <c r="AM8" s="132">
        <f t="shared" si="9"/>
        <v>32.4</v>
      </c>
      <c r="AN8" s="133">
        <f>(AM8*1000)/(500*(AI8-AJ8))</f>
        <v>1.62</v>
      </c>
      <c r="AO8" s="133">
        <f t="shared" ref="AO8:AO43" si="12">IF(AN8&lt;0.5,0.5,AN8)</f>
        <v>1.62</v>
      </c>
      <c r="AP8" s="133">
        <f>AP7</f>
        <v>5</v>
      </c>
      <c r="AQ8" s="133">
        <f>IFERROR((_xlfn.XLOOKUP(AG8,'DO NOT TOUCH'!$Q$9:$Q$14,'DO NOT TOUCH'!$R$9:$R$14,)),"TBD")</f>
        <v>45</v>
      </c>
      <c r="AR8" s="133" t="s">
        <v>317</v>
      </c>
      <c r="AS8" s="132" t="s">
        <v>122</v>
      </c>
    </row>
    <row r="9" spans="1:54" ht="15" customHeight="1">
      <c r="B9" s="115" t="s">
        <v>260</v>
      </c>
      <c r="C9" s="115" t="s">
        <v>313</v>
      </c>
      <c r="D9" s="115">
        <v>1234</v>
      </c>
      <c r="E9" s="115">
        <v>1000</v>
      </c>
      <c r="F9" s="115">
        <v>10</v>
      </c>
      <c r="G9" s="83">
        <f>VLOOKUP($M9,'UMC Table 4-A'!$A$10:$E$139,4,FALSE)</f>
        <v>4</v>
      </c>
      <c r="H9" s="83" t="s">
        <v>37</v>
      </c>
      <c r="I9" s="80" t="s">
        <v>298</v>
      </c>
      <c r="J9" s="117">
        <v>0</v>
      </c>
      <c r="K9" s="93">
        <f t="shared" si="0"/>
        <v>670</v>
      </c>
      <c r="L9" s="84">
        <f t="shared" si="10"/>
        <v>1000</v>
      </c>
      <c r="M9" s="83" t="s">
        <v>102</v>
      </c>
      <c r="N9" s="83" t="s">
        <v>80</v>
      </c>
      <c r="O9" s="81">
        <f>VLOOKUP($M9,'UMC Table 4-A'!$A$10:$E$139,3,FALSE)</f>
        <v>2</v>
      </c>
      <c r="P9" s="93">
        <f t="shared" si="1"/>
        <v>340</v>
      </c>
      <c r="Q9" s="81" t="s">
        <v>37</v>
      </c>
      <c r="R9" s="82">
        <f t="shared" si="2"/>
        <v>1000</v>
      </c>
      <c r="S9" s="119">
        <f t="shared" si="3"/>
        <v>1000</v>
      </c>
      <c r="T9" s="119">
        <f t="shared" si="4"/>
        <v>1000</v>
      </c>
      <c r="U9" s="119">
        <f t="shared" si="5"/>
        <v>0</v>
      </c>
      <c r="V9" s="71">
        <f t="shared" si="6"/>
        <v>0</v>
      </c>
      <c r="W9" s="27" t="s">
        <v>241</v>
      </c>
      <c r="X9" s="28">
        <f t="shared" ref="X9:X17" si="13">IFERROR(R9/E9,"-")</f>
        <v>1</v>
      </c>
      <c r="Y9" s="56">
        <f t="shared" ref="Y9:Y17" si="14">IFERROR(((P9/S9)*100),"-")</f>
        <v>34</v>
      </c>
      <c r="Z9" s="28">
        <f t="shared" ref="Z9:Z17" si="15">IFERROR((R9/E9/F9*60),"-")</f>
        <v>6</v>
      </c>
      <c r="AC9" s="131" t="s">
        <v>260</v>
      </c>
      <c r="AD9" s="131" t="s">
        <v>121</v>
      </c>
      <c r="AE9" s="131" t="s">
        <v>127</v>
      </c>
      <c r="AF9" s="132">
        <f>SUMIF($B$7:$B$17,AC9,$S$7:$S$17)</f>
        <v>1000</v>
      </c>
      <c r="AG9" s="132">
        <f>IFERROR((VLOOKUP(AF9,'DO NOT TOUCH'!$P$9:$Q$14,2,TRUE)),"TBD")</f>
        <v>12</v>
      </c>
      <c r="AH9" s="132">
        <f t="shared" ref="AH9:AH44" si="16">AH8</f>
        <v>0.5</v>
      </c>
      <c r="AI9" s="132">
        <f>INPUT_OUTPUTS!$C$16</f>
        <v>140</v>
      </c>
      <c r="AJ9" s="132">
        <f>INPUT_OUTPUTS!$C$17</f>
        <v>100</v>
      </c>
      <c r="AK9" s="132">
        <f t="shared" ref="AK9:AL9" si="17">AK8</f>
        <v>55</v>
      </c>
      <c r="AL9" s="132">
        <f t="shared" si="17"/>
        <v>85</v>
      </c>
      <c r="AM9" s="132">
        <f t="shared" si="9"/>
        <v>32.4</v>
      </c>
      <c r="AN9" s="133">
        <f t="shared" ref="AN9:AN43" si="18">(AM9*1000)/(500*(AI9-AJ9))</f>
        <v>1.62</v>
      </c>
      <c r="AO9" s="133">
        <f t="shared" si="12"/>
        <v>1.62</v>
      </c>
      <c r="AP9" s="133">
        <f t="shared" ref="AP9:AP44" si="19">AP8</f>
        <v>5</v>
      </c>
      <c r="AQ9" s="133">
        <f>IFERROR((_xlfn.XLOOKUP(AG9,'DO NOT TOUCH'!$Q$9:$Q$14,'DO NOT TOUCH'!$R$9:$R$14,)),"TBD")</f>
        <v>45</v>
      </c>
      <c r="AR9" s="133" t="s">
        <v>317</v>
      </c>
      <c r="AS9" s="132" t="s">
        <v>122</v>
      </c>
    </row>
    <row r="10" spans="1:54" ht="15" customHeight="1">
      <c r="B10" s="115" t="s">
        <v>261</v>
      </c>
      <c r="C10" s="115" t="s">
        <v>313</v>
      </c>
      <c r="D10" s="115">
        <v>1234</v>
      </c>
      <c r="E10" s="115">
        <v>567</v>
      </c>
      <c r="F10" s="115">
        <v>10</v>
      </c>
      <c r="G10" s="83">
        <f>VLOOKUP($M10,'UMC Table 4-A'!$A$10:$E$139,4,FALSE)</f>
        <v>4</v>
      </c>
      <c r="H10" s="83" t="s">
        <v>37</v>
      </c>
      <c r="I10" s="80" t="s">
        <v>298</v>
      </c>
      <c r="J10" s="117">
        <v>0</v>
      </c>
      <c r="K10" s="93">
        <f t="shared" si="0"/>
        <v>380</v>
      </c>
      <c r="L10" s="84">
        <f t="shared" si="10"/>
        <v>567</v>
      </c>
      <c r="M10" s="83" t="s">
        <v>102</v>
      </c>
      <c r="N10" s="83" t="s">
        <v>80</v>
      </c>
      <c r="O10" s="81">
        <f>VLOOKUP($M10,'UMC Table 4-A'!$A$10:$E$139,3,FALSE)</f>
        <v>2</v>
      </c>
      <c r="P10" s="93">
        <f t="shared" si="1"/>
        <v>190</v>
      </c>
      <c r="Q10" s="81" t="s">
        <v>37</v>
      </c>
      <c r="R10" s="82">
        <f t="shared" si="2"/>
        <v>570</v>
      </c>
      <c r="S10" s="119">
        <f t="shared" si="3"/>
        <v>570</v>
      </c>
      <c r="T10" s="119">
        <f t="shared" si="4"/>
        <v>570</v>
      </c>
      <c r="U10" s="119">
        <f t="shared" si="5"/>
        <v>0</v>
      </c>
      <c r="V10" s="71">
        <f t="shared" si="6"/>
        <v>0</v>
      </c>
      <c r="W10" s="27" t="s">
        <v>241</v>
      </c>
      <c r="X10" s="28">
        <f t="shared" si="13"/>
        <v>1.0052910052910053</v>
      </c>
      <c r="Y10" s="56">
        <f t="shared" si="14"/>
        <v>33.333333333333329</v>
      </c>
      <c r="Z10" s="28">
        <f t="shared" si="15"/>
        <v>6.0317460317460325</v>
      </c>
      <c r="AC10" s="131" t="s">
        <v>261</v>
      </c>
      <c r="AD10" s="131" t="s">
        <v>121</v>
      </c>
      <c r="AE10" s="131" t="s">
        <v>127</v>
      </c>
      <c r="AF10" s="132">
        <f>SUMIF($B$7:$B$17,AC10,$S$7:$S$17)</f>
        <v>570</v>
      </c>
      <c r="AG10" s="132">
        <f>IFERROR((VLOOKUP(AF10,'DO NOT TOUCH'!$P$9:$Q$14,2,TRUE)),"TBD")</f>
        <v>8</v>
      </c>
      <c r="AH10" s="132">
        <f t="shared" si="16"/>
        <v>0.5</v>
      </c>
      <c r="AI10" s="132">
        <f>INPUT_OUTPUTS!$C$16</f>
        <v>140</v>
      </c>
      <c r="AJ10" s="132">
        <f>INPUT_OUTPUTS!$C$17</f>
        <v>100</v>
      </c>
      <c r="AK10" s="132">
        <f t="shared" ref="AK10:AL10" si="20">AK9</f>
        <v>55</v>
      </c>
      <c r="AL10" s="132">
        <f t="shared" si="20"/>
        <v>85</v>
      </c>
      <c r="AM10" s="132">
        <f t="shared" si="9"/>
        <v>18.5</v>
      </c>
      <c r="AN10" s="133">
        <f t="shared" si="18"/>
        <v>0.92500000000000004</v>
      </c>
      <c r="AO10" s="133">
        <f t="shared" si="12"/>
        <v>0.92500000000000004</v>
      </c>
      <c r="AP10" s="133">
        <f t="shared" si="19"/>
        <v>5</v>
      </c>
      <c r="AQ10" s="133">
        <f>IFERROR((_xlfn.XLOOKUP(AG10,'DO NOT TOUCH'!$Q$9:$Q$14,'DO NOT TOUCH'!$R$9:$R$14,)),"TBD")</f>
        <v>30</v>
      </c>
      <c r="AR10" s="133" t="s">
        <v>317</v>
      </c>
      <c r="AS10" s="132" t="s">
        <v>122</v>
      </c>
    </row>
    <row r="11" spans="1:54" ht="15" customHeight="1">
      <c r="B11" s="115" t="s">
        <v>262</v>
      </c>
      <c r="C11" s="115" t="s">
        <v>313</v>
      </c>
      <c r="D11" s="115">
        <v>1234</v>
      </c>
      <c r="E11" s="115">
        <v>1000</v>
      </c>
      <c r="F11" s="115">
        <v>10</v>
      </c>
      <c r="G11" s="83">
        <f>VLOOKUP($M11,'UMC Table 4-A'!$A$10:$E$139,4,FALSE)</f>
        <v>4</v>
      </c>
      <c r="H11" s="83" t="s">
        <v>37</v>
      </c>
      <c r="I11" s="80" t="s">
        <v>298</v>
      </c>
      <c r="J11" s="117">
        <v>0</v>
      </c>
      <c r="K11" s="93">
        <f t="shared" si="0"/>
        <v>670</v>
      </c>
      <c r="L11" s="84">
        <f t="shared" si="10"/>
        <v>1000</v>
      </c>
      <c r="M11" s="83" t="s">
        <v>102</v>
      </c>
      <c r="N11" s="83" t="s">
        <v>80</v>
      </c>
      <c r="O11" s="81">
        <f>VLOOKUP($M11,'UMC Table 4-A'!$A$10:$E$139,3,FALSE)</f>
        <v>2</v>
      </c>
      <c r="P11" s="93">
        <f t="shared" si="1"/>
        <v>340</v>
      </c>
      <c r="Q11" s="81" t="s">
        <v>37</v>
      </c>
      <c r="R11" s="82">
        <f t="shared" si="2"/>
        <v>1000</v>
      </c>
      <c r="S11" s="119">
        <f t="shared" si="3"/>
        <v>1000</v>
      </c>
      <c r="T11" s="119">
        <f t="shared" si="4"/>
        <v>1000</v>
      </c>
      <c r="U11" s="119">
        <f t="shared" si="5"/>
        <v>0</v>
      </c>
      <c r="V11" s="71">
        <f t="shared" si="6"/>
        <v>0</v>
      </c>
      <c r="W11" s="27" t="s">
        <v>241</v>
      </c>
      <c r="X11" s="28">
        <f t="shared" si="13"/>
        <v>1</v>
      </c>
      <c r="Y11" s="56">
        <f t="shared" si="14"/>
        <v>34</v>
      </c>
      <c r="Z11" s="28">
        <f t="shared" si="15"/>
        <v>6</v>
      </c>
      <c r="AC11" s="131" t="s">
        <v>262</v>
      </c>
      <c r="AD11" s="131" t="s">
        <v>121</v>
      </c>
      <c r="AE11" s="131" t="s">
        <v>127</v>
      </c>
      <c r="AF11" s="132">
        <f>SUMIF($B$7:$B$17,AC11,$S$7:$S$17)</f>
        <v>1000</v>
      </c>
      <c r="AG11" s="132">
        <f>IFERROR((VLOOKUP(AF11,'DO NOT TOUCH'!$P$9:$Q$14,2,TRUE)),"TBD")</f>
        <v>12</v>
      </c>
      <c r="AH11" s="132">
        <f t="shared" si="16"/>
        <v>0.5</v>
      </c>
      <c r="AI11" s="132">
        <f>INPUT_OUTPUTS!$C$16</f>
        <v>140</v>
      </c>
      <c r="AJ11" s="132">
        <f>INPUT_OUTPUTS!$C$17</f>
        <v>100</v>
      </c>
      <c r="AK11" s="132">
        <f t="shared" ref="AK11:AL11" si="21">AK10</f>
        <v>55</v>
      </c>
      <c r="AL11" s="132">
        <f t="shared" si="21"/>
        <v>85</v>
      </c>
      <c r="AM11" s="132">
        <f t="shared" si="9"/>
        <v>32.4</v>
      </c>
      <c r="AN11" s="133">
        <f t="shared" si="18"/>
        <v>1.62</v>
      </c>
      <c r="AO11" s="133">
        <f t="shared" si="12"/>
        <v>1.62</v>
      </c>
      <c r="AP11" s="133">
        <f t="shared" si="19"/>
        <v>5</v>
      </c>
      <c r="AQ11" s="133">
        <f>IFERROR((_xlfn.XLOOKUP(AG11,'DO NOT TOUCH'!$Q$9:$Q$14,'DO NOT TOUCH'!$R$9:$R$14,)),"TBD")</f>
        <v>45</v>
      </c>
      <c r="AR11" s="133" t="s">
        <v>317</v>
      </c>
      <c r="AS11" s="132" t="s">
        <v>122</v>
      </c>
    </row>
    <row r="12" spans="1:54" ht="15" customHeight="1">
      <c r="B12" s="115" t="s">
        <v>263</v>
      </c>
      <c r="C12" s="115" t="s">
        <v>313</v>
      </c>
      <c r="D12" s="115">
        <v>1234</v>
      </c>
      <c r="E12" s="115">
        <v>4444</v>
      </c>
      <c r="F12" s="115">
        <v>10</v>
      </c>
      <c r="G12" s="83">
        <f>VLOOKUP($M12,'UMC Table 4-A'!$A$10:$E$139,4,FALSE)</f>
        <v>4</v>
      </c>
      <c r="H12" s="83" t="s">
        <v>37</v>
      </c>
      <c r="I12" s="80" t="s">
        <v>298</v>
      </c>
      <c r="J12" s="117">
        <v>0</v>
      </c>
      <c r="K12" s="93">
        <f t="shared" si="0"/>
        <v>2970</v>
      </c>
      <c r="L12" s="84">
        <f t="shared" si="10"/>
        <v>4444</v>
      </c>
      <c r="M12" s="83" t="s">
        <v>102</v>
      </c>
      <c r="N12" s="83" t="s">
        <v>80</v>
      </c>
      <c r="O12" s="81">
        <f>VLOOKUP($M12,'UMC Table 4-A'!$A$10:$E$139,3,FALSE)</f>
        <v>2</v>
      </c>
      <c r="P12" s="93">
        <f t="shared" si="1"/>
        <v>1490</v>
      </c>
      <c r="Q12" s="81" t="s">
        <v>37</v>
      </c>
      <c r="R12" s="82">
        <f t="shared" si="2"/>
        <v>4445</v>
      </c>
      <c r="S12" s="119">
        <f t="shared" si="3"/>
        <v>4445</v>
      </c>
      <c r="T12" s="119">
        <f t="shared" si="4"/>
        <v>4445</v>
      </c>
      <c r="U12" s="119">
        <f t="shared" si="5"/>
        <v>0</v>
      </c>
      <c r="V12" s="71">
        <f t="shared" si="6"/>
        <v>0</v>
      </c>
      <c r="W12" s="27" t="s">
        <v>241</v>
      </c>
      <c r="X12" s="28">
        <f t="shared" si="13"/>
        <v>1.0002250225022502</v>
      </c>
      <c r="Y12" s="56">
        <f t="shared" si="14"/>
        <v>33.520809898762657</v>
      </c>
      <c r="Z12" s="28">
        <f t="shared" si="15"/>
        <v>6.0013501350135012</v>
      </c>
      <c r="AC12" s="131" t="s">
        <v>263</v>
      </c>
      <c r="AD12" s="131" t="s">
        <v>121</v>
      </c>
      <c r="AE12" s="131" t="s">
        <v>127</v>
      </c>
      <c r="AF12" s="132">
        <f>SUMIF($B$7:$B$17,AC12,$S$7:$S$17)</f>
        <v>4445</v>
      </c>
      <c r="AG12" s="132">
        <f>IFERROR((VLOOKUP(AF12,'DO NOT TOUCH'!$P$9:$Q$14,2,TRUE)),"TBD")</f>
        <v>16</v>
      </c>
      <c r="AH12" s="132">
        <f t="shared" si="16"/>
        <v>0.5</v>
      </c>
      <c r="AI12" s="132">
        <f>INPUT_OUTPUTS!$C$16</f>
        <v>140</v>
      </c>
      <c r="AJ12" s="132">
        <f>INPUT_OUTPUTS!$C$17</f>
        <v>100</v>
      </c>
      <c r="AK12" s="132">
        <f t="shared" ref="AK12:AL12" si="22">AK11</f>
        <v>55</v>
      </c>
      <c r="AL12" s="132">
        <f t="shared" si="22"/>
        <v>85</v>
      </c>
      <c r="AM12" s="132">
        <f t="shared" si="9"/>
        <v>144</v>
      </c>
      <c r="AN12" s="133">
        <f t="shared" si="18"/>
        <v>7.2</v>
      </c>
      <c r="AO12" s="133">
        <f t="shared" si="12"/>
        <v>7.2</v>
      </c>
      <c r="AP12" s="133">
        <f t="shared" si="19"/>
        <v>5</v>
      </c>
      <c r="AQ12" s="133" t="s">
        <v>441</v>
      </c>
      <c r="AR12" s="133" t="s">
        <v>317</v>
      </c>
      <c r="AS12" s="132" t="s">
        <v>122</v>
      </c>
    </row>
    <row r="13" spans="1:54" ht="15" customHeight="1">
      <c r="B13" s="115" t="s">
        <v>264</v>
      </c>
      <c r="C13" s="115" t="s">
        <v>313</v>
      </c>
      <c r="D13" s="115">
        <v>1234</v>
      </c>
      <c r="E13" s="115">
        <v>1000</v>
      </c>
      <c r="F13" s="115">
        <v>10</v>
      </c>
      <c r="G13" s="83">
        <f>VLOOKUP($M13,'UMC Table 4-A'!$A$10:$E$139,4,FALSE)</f>
        <v>4</v>
      </c>
      <c r="H13" s="83" t="s">
        <v>37</v>
      </c>
      <c r="I13" s="80" t="s">
        <v>298</v>
      </c>
      <c r="J13" s="117">
        <v>0</v>
      </c>
      <c r="K13" s="93">
        <f t="shared" si="0"/>
        <v>670</v>
      </c>
      <c r="L13" s="84">
        <f t="shared" si="10"/>
        <v>1000</v>
      </c>
      <c r="M13" s="83" t="s">
        <v>102</v>
      </c>
      <c r="N13" s="83" t="s">
        <v>80</v>
      </c>
      <c r="O13" s="81">
        <f>VLOOKUP($M13,'UMC Table 4-A'!$A$10:$E$139,3,FALSE)</f>
        <v>2</v>
      </c>
      <c r="P13" s="93">
        <f t="shared" si="1"/>
        <v>340</v>
      </c>
      <c r="Q13" s="81" t="s">
        <v>37</v>
      </c>
      <c r="R13" s="82">
        <f t="shared" si="2"/>
        <v>1000</v>
      </c>
      <c r="S13" s="119">
        <f t="shared" si="3"/>
        <v>1000</v>
      </c>
      <c r="T13" s="119">
        <f t="shared" si="4"/>
        <v>1000</v>
      </c>
      <c r="U13" s="119">
        <f t="shared" si="5"/>
        <v>0</v>
      </c>
      <c r="V13" s="71">
        <f t="shared" si="6"/>
        <v>0</v>
      </c>
      <c r="W13" s="27" t="s">
        <v>241</v>
      </c>
      <c r="X13" s="28">
        <f t="shared" si="13"/>
        <v>1</v>
      </c>
      <c r="Y13" s="56">
        <f t="shared" si="14"/>
        <v>34</v>
      </c>
      <c r="Z13" s="28">
        <f t="shared" si="15"/>
        <v>6</v>
      </c>
      <c r="AC13" s="134" t="s">
        <v>264</v>
      </c>
      <c r="AD13" s="131" t="s">
        <v>121</v>
      </c>
      <c r="AE13" s="131" t="s">
        <v>127</v>
      </c>
      <c r="AF13" s="132">
        <f>SUMIF($B$7:$B$17,AC13,$S$7:$S$17)</f>
        <v>1000</v>
      </c>
      <c r="AG13" s="132">
        <f>IFERROR((VLOOKUP(AF13,'DO NOT TOUCH'!$P$9:$Q$14,2,TRUE)),"TBD")</f>
        <v>12</v>
      </c>
      <c r="AH13" s="132">
        <f t="shared" si="16"/>
        <v>0.5</v>
      </c>
      <c r="AI13" s="132">
        <f>INPUT_OUTPUTS!$C$16</f>
        <v>140</v>
      </c>
      <c r="AJ13" s="132">
        <f>INPUT_OUTPUTS!$C$17</f>
        <v>100</v>
      </c>
      <c r="AK13" s="132">
        <f t="shared" ref="AK13:AL13" si="23">AK12</f>
        <v>55</v>
      </c>
      <c r="AL13" s="132">
        <f t="shared" si="23"/>
        <v>85</v>
      </c>
      <c r="AM13" s="132">
        <f t="shared" si="9"/>
        <v>32.4</v>
      </c>
      <c r="AN13" s="133">
        <f t="shared" si="18"/>
        <v>1.62</v>
      </c>
      <c r="AO13" s="133">
        <f t="shared" si="12"/>
        <v>1.62</v>
      </c>
      <c r="AP13" s="133">
        <f t="shared" si="19"/>
        <v>5</v>
      </c>
      <c r="AQ13" s="133">
        <f>IFERROR((_xlfn.XLOOKUP(AG13,'DO NOT TOUCH'!$Q$9:$Q$14,'DO NOT TOUCH'!$R$9:$R$14,)),"TBD")</f>
        <v>45</v>
      </c>
      <c r="AR13" s="133" t="s">
        <v>317</v>
      </c>
      <c r="AS13" s="135" t="s">
        <v>122</v>
      </c>
    </row>
    <row r="14" spans="1:54" ht="15" customHeight="1">
      <c r="B14" s="115" t="s">
        <v>265</v>
      </c>
      <c r="C14" s="115" t="s">
        <v>313</v>
      </c>
      <c r="D14" s="115">
        <v>1234</v>
      </c>
      <c r="E14" s="115">
        <v>1000</v>
      </c>
      <c r="F14" s="115">
        <v>10</v>
      </c>
      <c r="G14" s="83">
        <f>VLOOKUP($M14,'UMC Table 4-A'!$A$10:$E$139,4,FALSE)</f>
        <v>4</v>
      </c>
      <c r="H14" s="83" t="s">
        <v>37</v>
      </c>
      <c r="I14" s="80" t="s">
        <v>298</v>
      </c>
      <c r="J14" s="117">
        <v>0</v>
      </c>
      <c r="K14" s="93">
        <f t="shared" si="0"/>
        <v>670</v>
      </c>
      <c r="L14" s="84">
        <f t="shared" si="10"/>
        <v>1000</v>
      </c>
      <c r="M14" s="83" t="s">
        <v>102</v>
      </c>
      <c r="N14" s="83" t="s">
        <v>80</v>
      </c>
      <c r="O14" s="81">
        <f>VLOOKUP($M14,'UMC Table 4-A'!$A$10:$E$139,3,FALSE)</f>
        <v>2</v>
      </c>
      <c r="P14" s="93">
        <f t="shared" si="1"/>
        <v>340</v>
      </c>
      <c r="Q14" s="81" t="s">
        <v>37</v>
      </c>
      <c r="R14" s="82">
        <f t="shared" si="2"/>
        <v>1000</v>
      </c>
      <c r="S14" s="119">
        <f t="shared" si="3"/>
        <v>1000</v>
      </c>
      <c r="T14" s="119">
        <f t="shared" si="4"/>
        <v>1000</v>
      </c>
      <c r="U14" s="119">
        <f t="shared" si="5"/>
        <v>0</v>
      </c>
      <c r="V14" s="71">
        <f t="shared" si="6"/>
        <v>0</v>
      </c>
      <c r="W14" s="27" t="s">
        <v>241</v>
      </c>
      <c r="X14" s="28">
        <f t="shared" si="13"/>
        <v>1</v>
      </c>
      <c r="Y14" s="56">
        <f t="shared" si="14"/>
        <v>34</v>
      </c>
      <c r="Z14" s="28">
        <f t="shared" si="15"/>
        <v>6</v>
      </c>
      <c r="AC14" s="134" t="s">
        <v>265</v>
      </c>
      <c r="AD14" s="131" t="s">
        <v>121</v>
      </c>
      <c r="AE14" s="131" t="s">
        <v>127</v>
      </c>
      <c r="AF14" s="132">
        <f>SUMIF($B$7:$B$17,AC14,$S$7:$S$17)</f>
        <v>1000</v>
      </c>
      <c r="AG14" s="132">
        <f>IFERROR((VLOOKUP(AF14,'DO NOT TOUCH'!$P$9:$Q$14,2,TRUE)),"TBD")</f>
        <v>12</v>
      </c>
      <c r="AH14" s="132">
        <f t="shared" si="16"/>
        <v>0.5</v>
      </c>
      <c r="AI14" s="132">
        <f>INPUT_OUTPUTS!$C$16</f>
        <v>140</v>
      </c>
      <c r="AJ14" s="132">
        <f>INPUT_OUTPUTS!$C$17</f>
        <v>100</v>
      </c>
      <c r="AK14" s="132">
        <f t="shared" ref="AK14:AL14" si="24">AK13</f>
        <v>55</v>
      </c>
      <c r="AL14" s="132">
        <f t="shared" si="24"/>
        <v>85</v>
      </c>
      <c r="AM14" s="132">
        <f t="shared" si="9"/>
        <v>32.4</v>
      </c>
      <c r="AN14" s="133">
        <f t="shared" si="18"/>
        <v>1.62</v>
      </c>
      <c r="AO14" s="133">
        <f t="shared" si="12"/>
        <v>1.62</v>
      </c>
      <c r="AP14" s="133">
        <f t="shared" si="19"/>
        <v>5</v>
      </c>
      <c r="AQ14" s="133">
        <f>IFERROR((_xlfn.XLOOKUP(AG14,'DO NOT TOUCH'!$Q$9:$Q$14,'DO NOT TOUCH'!$R$9:$R$14,)),"TBD")</f>
        <v>45</v>
      </c>
      <c r="AR14" s="133" t="s">
        <v>317</v>
      </c>
      <c r="AS14" s="135" t="s">
        <v>122</v>
      </c>
    </row>
    <row r="15" spans="1:54" ht="15" customHeight="1">
      <c r="B15" s="115" t="s">
        <v>266</v>
      </c>
      <c r="C15" s="115" t="s">
        <v>313</v>
      </c>
      <c r="D15" s="115">
        <v>1234</v>
      </c>
      <c r="E15" s="115">
        <v>1000</v>
      </c>
      <c r="F15" s="115">
        <v>10</v>
      </c>
      <c r="G15" s="83">
        <f>VLOOKUP($M15,'UMC Table 4-A'!$A$10:$E$139,4,FALSE)</f>
        <v>4</v>
      </c>
      <c r="H15" s="83" t="s">
        <v>37</v>
      </c>
      <c r="I15" s="80" t="s">
        <v>298</v>
      </c>
      <c r="J15" s="117">
        <v>0</v>
      </c>
      <c r="K15" s="93">
        <f t="shared" si="0"/>
        <v>670</v>
      </c>
      <c r="L15" s="84">
        <f t="shared" si="10"/>
        <v>1000</v>
      </c>
      <c r="M15" s="83" t="s">
        <v>102</v>
      </c>
      <c r="N15" s="83" t="s">
        <v>80</v>
      </c>
      <c r="O15" s="81">
        <f>VLOOKUP($M15,'UMC Table 4-A'!$A$10:$E$139,3,FALSE)</f>
        <v>2</v>
      </c>
      <c r="P15" s="93">
        <f t="shared" si="1"/>
        <v>340</v>
      </c>
      <c r="Q15" s="81" t="s">
        <v>37</v>
      </c>
      <c r="R15" s="82">
        <f t="shared" si="2"/>
        <v>1000</v>
      </c>
      <c r="S15" s="119">
        <f t="shared" si="3"/>
        <v>1000</v>
      </c>
      <c r="T15" s="119">
        <f t="shared" si="4"/>
        <v>1000</v>
      </c>
      <c r="U15" s="119">
        <f t="shared" si="5"/>
        <v>0</v>
      </c>
      <c r="V15" s="71">
        <f t="shared" si="6"/>
        <v>0</v>
      </c>
      <c r="W15" s="27" t="s">
        <v>241</v>
      </c>
      <c r="X15" s="28">
        <f t="shared" si="13"/>
        <v>1</v>
      </c>
      <c r="Y15" s="56">
        <f t="shared" si="14"/>
        <v>34</v>
      </c>
      <c r="Z15" s="28">
        <f t="shared" si="15"/>
        <v>6</v>
      </c>
      <c r="AC15" s="134" t="s">
        <v>266</v>
      </c>
      <c r="AD15" s="131" t="s">
        <v>121</v>
      </c>
      <c r="AE15" s="131" t="s">
        <v>127</v>
      </c>
      <c r="AF15" s="132">
        <f>SUMIF($B$7:$B$17,AC15,$S$7:$S$17)</f>
        <v>1000</v>
      </c>
      <c r="AG15" s="132">
        <f>IFERROR((VLOOKUP(AF15,'DO NOT TOUCH'!$P$9:$Q$14,2,TRUE)),"TBD")</f>
        <v>12</v>
      </c>
      <c r="AH15" s="132">
        <f t="shared" si="16"/>
        <v>0.5</v>
      </c>
      <c r="AI15" s="132">
        <f>INPUT_OUTPUTS!$C$16</f>
        <v>140</v>
      </c>
      <c r="AJ15" s="132">
        <f>INPUT_OUTPUTS!$C$17</f>
        <v>100</v>
      </c>
      <c r="AK15" s="132">
        <f t="shared" ref="AK15:AL15" si="25">AK14</f>
        <v>55</v>
      </c>
      <c r="AL15" s="132">
        <f t="shared" si="25"/>
        <v>85</v>
      </c>
      <c r="AM15" s="132">
        <f t="shared" si="9"/>
        <v>32.4</v>
      </c>
      <c r="AN15" s="133">
        <f t="shared" si="18"/>
        <v>1.62</v>
      </c>
      <c r="AO15" s="133">
        <f t="shared" si="12"/>
        <v>1.62</v>
      </c>
      <c r="AP15" s="133">
        <f t="shared" si="19"/>
        <v>5</v>
      </c>
      <c r="AQ15" s="133">
        <f>IFERROR((_xlfn.XLOOKUP(AG15,'DO NOT TOUCH'!$Q$9:$Q$14,'DO NOT TOUCH'!$R$9:$R$14,)),"TBD")</f>
        <v>45</v>
      </c>
      <c r="AR15" s="133" t="s">
        <v>317</v>
      </c>
      <c r="AS15" s="135" t="s">
        <v>122</v>
      </c>
    </row>
    <row r="16" spans="1:54" ht="15" customHeight="1">
      <c r="B16" s="115" t="s">
        <v>267</v>
      </c>
      <c r="C16" s="115" t="s">
        <v>313</v>
      </c>
      <c r="D16" s="115">
        <v>1234</v>
      </c>
      <c r="E16" s="115">
        <v>1000</v>
      </c>
      <c r="F16" s="115">
        <v>10</v>
      </c>
      <c r="G16" s="83">
        <f>VLOOKUP($M16,'UMC Table 4-A'!$A$10:$E$139,4,FALSE)</f>
        <v>4</v>
      </c>
      <c r="H16" s="83" t="s">
        <v>37</v>
      </c>
      <c r="I16" s="80" t="s">
        <v>298</v>
      </c>
      <c r="J16" s="117">
        <v>0</v>
      </c>
      <c r="K16" s="93">
        <f t="shared" si="0"/>
        <v>670</v>
      </c>
      <c r="L16" s="84">
        <f t="shared" si="10"/>
        <v>1000</v>
      </c>
      <c r="M16" s="83" t="s">
        <v>102</v>
      </c>
      <c r="N16" s="83" t="s">
        <v>80</v>
      </c>
      <c r="O16" s="81">
        <f>VLOOKUP($M16,'UMC Table 4-A'!$A$10:$E$139,3,FALSE)</f>
        <v>2</v>
      </c>
      <c r="P16" s="93">
        <f t="shared" si="1"/>
        <v>340</v>
      </c>
      <c r="Q16" s="81" t="s">
        <v>37</v>
      </c>
      <c r="R16" s="82">
        <f t="shared" si="2"/>
        <v>1000</v>
      </c>
      <c r="S16" s="119">
        <f t="shared" si="3"/>
        <v>1000</v>
      </c>
      <c r="T16" s="119">
        <f t="shared" si="4"/>
        <v>1000</v>
      </c>
      <c r="U16" s="119">
        <f t="shared" si="5"/>
        <v>0</v>
      </c>
      <c r="V16" s="71">
        <f t="shared" si="6"/>
        <v>0</v>
      </c>
      <c r="W16" s="27" t="s">
        <v>241</v>
      </c>
      <c r="X16" s="28">
        <f t="shared" si="13"/>
        <v>1</v>
      </c>
      <c r="Y16" s="56">
        <f t="shared" si="14"/>
        <v>34</v>
      </c>
      <c r="Z16" s="28">
        <f t="shared" si="15"/>
        <v>6</v>
      </c>
      <c r="AC16" s="134" t="s">
        <v>267</v>
      </c>
      <c r="AD16" s="131" t="s">
        <v>121</v>
      </c>
      <c r="AE16" s="131" t="s">
        <v>127</v>
      </c>
      <c r="AF16" s="132">
        <f>SUMIF($B$7:$B$17,AC16,$S$7:$S$17)</f>
        <v>1000</v>
      </c>
      <c r="AG16" s="132">
        <f>IFERROR((VLOOKUP(AF16,'DO NOT TOUCH'!$P$9:$Q$14,2,TRUE)),"TBD")</f>
        <v>12</v>
      </c>
      <c r="AH16" s="132">
        <f t="shared" si="16"/>
        <v>0.5</v>
      </c>
      <c r="AI16" s="132">
        <f>INPUT_OUTPUTS!$C$16</f>
        <v>140</v>
      </c>
      <c r="AJ16" s="132">
        <f>INPUT_OUTPUTS!$C$17</f>
        <v>100</v>
      </c>
      <c r="AK16" s="132">
        <f t="shared" ref="AK16:AL16" si="26">AK15</f>
        <v>55</v>
      </c>
      <c r="AL16" s="132">
        <f t="shared" si="26"/>
        <v>85</v>
      </c>
      <c r="AM16" s="132">
        <f t="shared" si="9"/>
        <v>32.4</v>
      </c>
      <c r="AN16" s="133">
        <f t="shared" si="18"/>
        <v>1.62</v>
      </c>
      <c r="AO16" s="133">
        <f t="shared" si="12"/>
        <v>1.62</v>
      </c>
      <c r="AP16" s="133">
        <f t="shared" si="19"/>
        <v>5</v>
      </c>
      <c r="AQ16" s="133">
        <f>IFERROR((_xlfn.XLOOKUP(AG16,'DO NOT TOUCH'!$Q$9:$Q$14,'DO NOT TOUCH'!$R$9:$R$14,)),"TBD")</f>
        <v>45</v>
      </c>
      <c r="AR16" s="133" t="s">
        <v>317</v>
      </c>
      <c r="AS16" s="135" t="s">
        <v>122</v>
      </c>
    </row>
    <row r="17" spans="2:45" ht="15" customHeight="1">
      <c r="B17" s="115" t="s">
        <v>268</v>
      </c>
      <c r="C17" s="115" t="s">
        <v>313</v>
      </c>
      <c r="D17" s="115">
        <v>1234</v>
      </c>
      <c r="E17" s="115">
        <v>1000</v>
      </c>
      <c r="F17" s="115">
        <v>10</v>
      </c>
      <c r="G17" s="83">
        <f>VLOOKUP($M17,'UMC Table 4-A'!$A$10:$E$139,4,FALSE)</f>
        <v>4</v>
      </c>
      <c r="H17" s="83" t="s">
        <v>37</v>
      </c>
      <c r="I17" s="80" t="s">
        <v>298</v>
      </c>
      <c r="J17" s="117">
        <v>0</v>
      </c>
      <c r="K17" s="93">
        <f t="shared" si="0"/>
        <v>670</v>
      </c>
      <c r="L17" s="84">
        <f t="shared" si="10"/>
        <v>1000</v>
      </c>
      <c r="M17" s="83" t="s">
        <v>102</v>
      </c>
      <c r="N17" s="83" t="s">
        <v>80</v>
      </c>
      <c r="O17" s="81">
        <f>VLOOKUP($M17,'UMC Table 4-A'!$A$10:$E$139,3,FALSE)</f>
        <v>2</v>
      </c>
      <c r="P17" s="93">
        <f t="shared" si="1"/>
        <v>340</v>
      </c>
      <c r="Q17" s="81" t="s">
        <v>37</v>
      </c>
      <c r="R17" s="82">
        <f t="shared" si="2"/>
        <v>1000</v>
      </c>
      <c r="S17" s="119">
        <f t="shared" si="3"/>
        <v>1000</v>
      </c>
      <c r="T17" s="119">
        <f t="shared" si="4"/>
        <v>1000</v>
      </c>
      <c r="U17" s="119">
        <f t="shared" si="5"/>
        <v>0</v>
      </c>
      <c r="V17" s="71">
        <f t="shared" si="6"/>
        <v>0</v>
      </c>
      <c r="W17" s="27" t="s">
        <v>241</v>
      </c>
      <c r="X17" s="28">
        <f t="shared" si="13"/>
        <v>1</v>
      </c>
      <c r="Y17" s="56">
        <f t="shared" si="14"/>
        <v>34</v>
      </c>
      <c r="Z17" s="28">
        <f t="shared" si="15"/>
        <v>6</v>
      </c>
      <c r="AC17" s="134" t="s">
        <v>268</v>
      </c>
      <c r="AD17" s="131" t="s">
        <v>121</v>
      </c>
      <c r="AE17" s="131" t="s">
        <v>127</v>
      </c>
      <c r="AF17" s="132">
        <f>SUMIF($B$7:$B$17,AC17,$S$7:$S$17)</f>
        <v>1000</v>
      </c>
      <c r="AG17" s="132">
        <f>IFERROR((VLOOKUP(AF17,'DO NOT TOUCH'!$P$9:$Q$14,2,TRUE)),"TBD")</f>
        <v>12</v>
      </c>
      <c r="AH17" s="132">
        <f t="shared" si="16"/>
        <v>0.5</v>
      </c>
      <c r="AI17" s="132">
        <f>INPUT_OUTPUTS!$C$16</f>
        <v>140</v>
      </c>
      <c r="AJ17" s="132">
        <f>INPUT_OUTPUTS!$C$17</f>
        <v>100</v>
      </c>
      <c r="AK17" s="132">
        <f t="shared" ref="AK17:AL17" si="27">AK16</f>
        <v>55</v>
      </c>
      <c r="AL17" s="132">
        <f t="shared" si="27"/>
        <v>85</v>
      </c>
      <c r="AM17" s="132">
        <f t="shared" si="9"/>
        <v>32.4</v>
      </c>
      <c r="AN17" s="133">
        <f t="shared" si="18"/>
        <v>1.62</v>
      </c>
      <c r="AO17" s="133">
        <f t="shared" si="12"/>
        <v>1.62</v>
      </c>
      <c r="AP17" s="133">
        <f t="shared" si="19"/>
        <v>5</v>
      </c>
      <c r="AQ17" s="133">
        <f>IFERROR((_xlfn.XLOOKUP(AG17,'DO NOT TOUCH'!$Q$9:$Q$14,'DO NOT TOUCH'!$R$9:$R$14,)),"TBD")</f>
        <v>45</v>
      </c>
      <c r="AR17" s="133" t="s">
        <v>317</v>
      </c>
      <c r="AS17" s="135" t="s">
        <v>122</v>
      </c>
    </row>
    <row r="18" spans="2:45" ht="15" customHeight="1">
      <c r="B18" s="120"/>
      <c r="C18" s="121"/>
      <c r="D18" s="121"/>
      <c r="E18" s="121">
        <f>SUBTOTAL(109,AHU1_TABLE4A[AREA (FT²)])</f>
        <v>14011</v>
      </c>
      <c r="F18" s="122"/>
      <c r="G18" s="123"/>
      <c r="H18" s="123"/>
      <c r="I18" s="124"/>
      <c r="J18" s="125"/>
      <c r="K18" s="126"/>
      <c r="L18" s="126"/>
      <c r="M18" s="127"/>
      <c r="N18" s="123"/>
      <c r="O18" s="123"/>
      <c r="P18" s="179">
        <f>SUBTOTAL(109,AHU1_TABLE4A[OSA CFM])</f>
        <v>4740</v>
      </c>
      <c r="Q18" s="123"/>
      <c r="R18" s="128">
        <f>SUBTOTAL(109,AHU1_TABLE4A[CALCULATED SA CFM])</f>
        <v>14015</v>
      </c>
      <c r="S18" s="180">
        <f>SUBTOTAL(109,AHU1_TABLE4A[DESIGN SA CFM])</f>
        <v>14015</v>
      </c>
      <c r="T18" s="180">
        <f>SUBTOTAL(109,AHU1_TABLE4A[RA CFM])</f>
        <v>14015</v>
      </c>
      <c r="U18" s="181">
        <f>SUBTOTAL(109,AHU1_TABLE4A[EA CFM])</f>
        <v>0</v>
      </c>
      <c r="V18" s="182">
        <f>SUBTOTAL(109,AHU1_TABLE4A[TRANSFER AIR CFM])</f>
        <v>0</v>
      </c>
      <c r="W18" s="129"/>
      <c r="X18" s="129"/>
      <c r="Y18" s="129"/>
      <c r="Z18" s="129"/>
      <c r="AC18" s="134" t="s">
        <v>269</v>
      </c>
      <c r="AD18" s="131" t="s">
        <v>121</v>
      </c>
      <c r="AE18" s="131" t="s">
        <v>127</v>
      </c>
      <c r="AF18" s="132">
        <f>SUMIF($B$7:$B$17,AC18,$S$7:$S$17)</f>
        <v>0</v>
      </c>
      <c r="AG18" s="132" t="str">
        <f>IFERROR((VLOOKUP(AF18,'DO NOT TOUCH'!$P$9:$Q$14,2,TRUE)),"TBD")</f>
        <v>TBD</v>
      </c>
      <c r="AH18" s="132">
        <f t="shared" si="16"/>
        <v>0.5</v>
      </c>
      <c r="AI18" s="132">
        <f>INPUT_OUTPUTS!$C$16</f>
        <v>140</v>
      </c>
      <c r="AJ18" s="132">
        <f>INPUT_OUTPUTS!$C$17</f>
        <v>100</v>
      </c>
      <c r="AK18" s="132">
        <f t="shared" ref="AK18:AL18" si="28">AK17</f>
        <v>55</v>
      </c>
      <c r="AL18" s="132">
        <f t="shared" si="28"/>
        <v>85</v>
      </c>
      <c r="AM18" s="132">
        <f t="shared" si="9"/>
        <v>0</v>
      </c>
      <c r="AN18" s="133">
        <f t="shared" si="18"/>
        <v>0</v>
      </c>
      <c r="AO18" s="133">
        <f t="shared" si="12"/>
        <v>0.5</v>
      </c>
      <c r="AP18" s="133">
        <f t="shared" si="19"/>
        <v>5</v>
      </c>
      <c r="AQ18" s="133" t="s">
        <v>441</v>
      </c>
      <c r="AR18" s="133" t="s">
        <v>317</v>
      </c>
      <c r="AS18" s="135" t="s">
        <v>122</v>
      </c>
    </row>
    <row r="19" spans="2:45" ht="15" customHeight="1" thickBot="1">
      <c r="B19" s="47"/>
      <c r="C19" s="48"/>
      <c r="G19" s="15"/>
      <c r="H19" s="19"/>
      <c r="K19" s="16"/>
      <c r="L19" s="10"/>
      <c r="M19" s="10"/>
      <c r="N19" s="11"/>
      <c r="O19" s="64" t="s">
        <v>83</v>
      </c>
      <c r="P19" s="64">
        <v>0</v>
      </c>
      <c r="R19" s="13"/>
      <c r="S19" s="13"/>
      <c r="T19" s="13"/>
      <c r="U19" s="13"/>
      <c r="V19" s="13"/>
      <c r="W19" s="72"/>
      <c r="X19" s="13"/>
      <c r="Y19" s="12"/>
      <c r="AC19" s="134" t="s">
        <v>270</v>
      </c>
      <c r="AD19" s="131" t="s">
        <v>121</v>
      </c>
      <c r="AE19" s="131" t="s">
        <v>127</v>
      </c>
      <c r="AF19" s="132">
        <f>SUMIF($B$7:$B$17,AC19,$S$7:$S$17)</f>
        <v>0</v>
      </c>
      <c r="AG19" s="132" t="str">
        <f>IFERROR((VLOOKUP(AF19,'DO NOT TOUCH'!$P$9:$Q$14,2,TRUE)),"TBD")</f>
        <v>TBD</v>
      </c>
      <c r="AH19" s="132">
        <f t="shared" si="16"/>
        <v>0.5</v>
      </c>
      <c r="AI19" s="132">
        <f>INPUT_OUTPUTS!$C$16</f>
        <v>140</v>
      </c>
      <c r="AJ19" s="132">
        <f>INPUT_OUTPUTS!$C$17</f>
        <v>100</v>
      </c>
      <c r="AK19" s="132">
        <f t="shared" ref="AK19:AL19" si="29">AK18</f>
        <v>55</v>
      </c>
      <c r="AL19" s="132">
        <f t="shared" si="29"/>
        <v>85</v>
      </c>
      <c r="AM19" s="132">
        <f t="shared" si="9"/>
        <v>0</v>
      </c>
      <c r="AN19" s="133">
        <f t="shared" si="18"/>
        <v>0</v>
      </c>
      <c r="AO19" s="133">
        <f t="shared" si="12"/>
        <v>0.5</v>
      </c>
      <c r="AP19" s="133">
        <f t="shared" si="19"/>
        <v>5</v>
      </c>
      <c r="AQ19" s="133" t="s">
        <v>441</v>
      </c>
      <c r="AR19" s="133" t="s">
        <v>317</v>
      </c>
      <c r="AS19" s="135" t="s">
        <v>122</v>
      </c>
    </row>
    <row r="20" spans="2:45" ht="15" customHeight="1" thickBot="1">
      <c r="B20" s="49"/>
      <c r="C20" s="48"/>
      <c r="G20" s="15"/>
      <c r="H20" s="19"/>
      <c r="K20" s="16"/>
      <c r="L20" s="10"/>
      <c r="M20" s="10"/>
      <c r="N20" s="11"/>
      <c r="O20" s="44" t="s">
        <v>326</v>
      </c>
      <c r="U20" s="1"/>
      <c r="W20" s="15"/>
      <c r="X20" s="15"/>
      <c r="Y20" s="12"/>
      <c r="AC20" s="134" t="s">
        <v>271</v>
      </c>
      <c r="AD20" s="131" t="s">
        <v>121</v>
      </c>
      <c r="AE20" s="131" t="s">
        <v>127</v>
      </c>
      <c r="AF20" s="132">
        <f>SUMIF($B$7:$B$17,AC20,$S$7:$S$17)</f>
        <v>0</v>
      </c>
      <c r="AG20" s="132" t="str">
        <f>IFERROR((VLOOKUP(AF20,'DO NOT TOUCH'!$P$9:$Q$14,2,TRUE)),"TBD")</f>
        <v>TBD</v>
      </c>
      <c r="AH20" s="132">
        <f t="shared" si="16"/>
        <v>0.5</v>
      </c>
      <c r="AI20" s="132">
        <f>INPUT_OUTPUTS!$C$16</f>
        <v>140</v>
      </c>
      <c r="AJ20" s="132">
        <f>INPUT_OUTPUTS!$C$17</f>
        <v>100</v>
      </c>
      <c r="AK20" s="132">
        <f t="shared" ref="AK20:AL20" si="30">AK19</f>
        <v>55</v>
      </c>
      <c r="AL20" s="132">
        <f t="shared" si="30"/>
        <v>85</v>
      </c>
      <c r="AM20" s="132">
        <f t="shared" si="9"/>
        <v>0</v>
      </c>
      <c r="AN20" s="133">
        <f t="shared" si="18"/>
        <v>0</v>
      </c>
      <c r="AO20" s="133">
        <f t="shared" si="12"/>
        <v>0.5</v>
      </c>
      <c r="AP20" s="133">
        <f t="shared" si="19"/>
        <v>5</v>
      </c>
      <c r="AQ20" s="133" t="s">
        <v>441</v>
      </c>
      <c r="AR20" s="133" t="s">
        <v>317</v>
      </c>
      <c r="AS20" s="135" t="s">
        <v>122</v>
      </c>
    </row>
    <row r="21" spans="2:45" ht="15" customHeight="1">
      <c r="B21" s="47"/>
      <c r="C21" s="48"/>
      <c r="O21" s="62" t="s">
        <v>71</v>
      </c>
      <c r="P21" s="63">
        <f>(AY2/AX2)*100</f>
        <v>33.727810650887577</v>
      </c>
      <c r="AC21" s="134" t="s">
        <v>272</v>
      </c>
      <c r="AD21" s="131" t="s">
        <v>121</v>
      </c>
      <c r="AE21" s="131" t="s">
        <v>127</v>
      </c>
      <c r="AF21" s="132">
        <f>SUMIF($B$7:$B$17,AC21,$S$7:$S$17)</f>
        <v>0</v>
      </c>
      <c r="AG21" s="132" t="str">
        <f>IFERROR((VLOOKUP(AF21,'DO NOT TOUCH'!$P$9:$Q$14,2,TRUE)),"TBD")</f>
        <v>TBD</v>
      </c>
      <c r="AH21" s="132">
        <f t="shared" si="16"/>
        <v>0.5</v>
      </c>
      <c r="AI21" s="132">
        <f>INPUT_OUTPUTS!$C$16</f>
        <v>140</v>
      </c>
      <c r="AJ21" s="132">
        <f>INPUT_OUTPUTS!$C$17</f>
        <v>100</v>
      </c>
      <c r="AK21" s="132">
        <f t="shared" ref="AK21:AL21" si="31">AK20</f>
        <v>55</v>
      </c>
      <c r="AL21" s="132">
        <f t="shared" si="31"/>
        <v>85</v>
      </c>
      <c r="AM21" s="132">
        <f t="shared" si="9"/>
        <v>0</v>
      </c>
      <c r="AN21" s="133">
        <f t="shared" si="18"/>
        <v>0</v>
      </c>
      <c r="AO21" s="133">
        <f t="shared" si="12"/>
        <v>0.5</v>
      </c>
      <c r="AP21" s="133">
        <f t="shared" si="19"/>
        <v>5</v>
      </c>
      <c r="AQ21" s="133" t="s">
        <v>441</v>
      </c>
      <c r="AR21" s="133" t="s">
        <v>317</v>
      </c>
      <c r="AS21" s="135" t="s">
        <v>122</v>
      </c>
    </row>
    <row r="22" spans="2:45" ht="15" customHeight="1">
      <c r="K22"/>
      <c r="N22"/>
      <c r="AC22" s="134" t="s">
        <v>273</v>
      </c>
      <c r="AD22" s="131" t="s">
        <v>121</v>
      </c>
      <c r="AE22" s="131" t="s">
        <v>127</v>
      </c>
      <c r="AF22" s="132">
        <f>SUMIF($B$7:$B$17,AC22,$S$7:$S$17)</f>
        <v>0</v>
      </c>
      <c r="AG22" s="132" t="str">
        <f>IFERROR((VLOOKUP(AF22,'DO NOT TOUCH'!$P$9:$Q$14,2,TRUE)),"TBD")</f>
        <v>TBD</v>
      </c>
      <c r="AH22" s="132">
        <f t="shared" si="16"/>
        <v>0.5</v>
      </c>
      <c r="AI22" s="132">
        <f>INPUT_OUTPUTS!$C$16</f>
        <v>140</v>
      </c>
      <c r="AJ22" s="132">
        <f>INPUT_OUTPUTS!$C$17</f>
        <v>100</v>
      </c>
      <c r="AK22" s="132">
        <f t="shared" ref="AK22:AL22" si="32">AK21</f>
        <v>55</v>
      </c>
      <c r="AL22" s="132">
        <f t="shared" si="32"/>
        <v>85</v>
      </c>
      <c r="AM22" s="132">
        <f t="shared" si="9"/>
        <v>0</v>
      </c>
      <c r="AN22" s="133">
        <f t="shared" si="18"/>
        <v>0</v>
      </c>
      <c r="AO22" s="133">
        <f t="shared" si="12"/>
        <v>0.5</v>
      </c>
      <c r="AP22" s="133">
        <f t="shared" si="19"/>
        <v>5</v>
      </c>
      <c r="AQ22" s="133" t="s">
        <v>441</v>
      </c>
      <c r="AR22" s="133" t="s">
        <v>317</v>
      </c>
      <c r="AS22" s="135" t="s">
        <v>122</v>
      </c>
    </row>
    <row r="23" spans="2:45" ht="15" customHeight="1">
      <c r="AC23" s="134" t="s">
        <v>274</v>
      </c>
      <c r="AD23" s="131" t="s">
        <v>121</v>
      </c>
      <c r="AE23" s="131" t="s">
        <v>127</v>
      </c>
      <c r="AF23" s="132">
        <f>SUMIF($B$7:$B$17,AC23,$S$7:$S$17)</f>
        <v>0</v>
      </c>
      <c r="AG23" s="132" t="str">
        <f>IFERROR((VLOOKUP(AF23,'DO NOT TOUCH'!$P$9:$Q$14,2,TRUE)),"TBD")</f>
        <v>TBD</v>
      </c>
      <c r="AH23" s="132">
        <f t="shared" si="16"/>
        <v>0.5</v>
      </c>
      <c r="AI23" s="132">
        <f>INPUT_OUTPUTS!$C$16</f>
        <v>140</v>
      </c>
      <c r="AJ23" s="132">
        <f>INPUT_OUTPUTS!$C$17</f>
        <v>100</v>
      </c>
      <c r="AK23" s="132">
        <f t="shared" ref="AK23:AL23" si="33">AK22</f>
        <v>55</v>
      </c>
      <c r="AL23" s="132">
        <f t="shared" si="33"/>
        <v>85</v>
      </c>
      <c r="AM23" s="132">
        <f t="shared" si="9"/>
        <v>0</v>
      </c>
      <c r="AN23" s="133">
        <f t="shared" si="18"/>
        <v>0</v>
      </c>
      <c r="AO23" s="133">
        <f t="shared" si="12"/>
        <v>0.5</v>
      </c>
      <c r="AP23" s="133">
        <f t="shared" si="19"/>
        <v>5</v>
      </c>
      <c r="AQ23" s="133" t="s">
        <v>441</v>
      </c>
      <c r="AR23" s="133" t="s">
        <v>317</v>
      </c>
      <c r="AS23" s="135" t="s">
        <v>122</v>
      </c>
    </row>
    <row r="24" spans="2:45" ht="15" customHeight="1">
      <c r="AC24" s="134" t="s">
        <v>275</v>
      </c>
      <c r="AD24" s="131" t="s">
        <v>121</v>
      </c>
      <c r="AE24" s="131" t="s">
        <v>127</v>
      </c>
      <c r="AF24" s="132">
        <f>SUMIF($B$7:$B$17,AC24,$S$7:$S$17)</f>
        <v>0</v>
      </c>
      <c r="AG24" s="132" t="str">
        <f>IFERROR((VLOOKUP(AF24,'DO NOT TOUCH'!$P$9:$Q$14,2,TRUE)),"TBD")</f>
        <v>TBD</v>
      </c>
      <c r="AH24" s="132">
        <f t="shared" si="16"/>
        <v>0.5</v>
      </c>
      <c r="AI24" s="132">
        <f>INPUT_OUTPUTS!$C$16</f>
        <v>140</v>
      </c>
      <c r="AJ24" s="132">
        <f>INPUT_OUTPUTS!$C$17</f>
        <v>100</v>
      </c>
      <c r="AK24" s="132">
        <f t="shared" ref="AK24:AL24" si="34">AK23</f>
        <v>55</v>
      </c>
      <c r="AL24" s="132">
        <f t="shared" si="34"/>
        <v>85</v>
      </c>
      <c r="AM24" s="132">
        <f t="shared" si="9"/>
        <v>0</v>
      </c>
      <c r="AN24" s="133">
        <f t="shared" si="18"/>
        <v>0</v>
      </c>
      <c r="AO24" s="133">
        <f t="shared" si="12"/>
        <v>0.5</v>
      </c>
      <c r="AP24" s="133">
        <f t="shared" si="19"/>
        <v>5</v>
      </c>
      <c r="AQ24" s="133" t="s">
        <v>441</v>
      </c>
      <c r="AR24" s="133" t="s">
        <v>317</v>
      </c>
      <c r="AS24" s="135" t="s">
        <v>122</v>
      </c>
    </row>
    <row r="25" spans="2:45" ht="15" customHeight="1">
      <c r="AC25" s="134" t="s">
        <v>276</v>
      </c>
      <c r="AD25" s="131" t="s">
        <v>121</v>
      </c>
      <c r="AE25" s="131" t="s">
        <v>127</v>
      </c>
      <c r="AF25" s="132">
        <f>SUMIF($B$7:$B$17,AC25,$S$7:$S$17)</f>
        <v>0</v>
      </c>
      <c r="AG25" s="132" t="str">
        <f>IFERROR((VLOOKUP(AF25,'DO NOT TOUCH'!$P$9:$Q$14,2,TRUE)),"TBD")</f>
        <v>TBD</v>
      </c>
      <c r="AH25" s="132">
        <f t="shared" si="16"/>
        <v>0.5</v>
      </c>
      <c r="AI25" s="132">
        <f>INPUT_OUTPUTS!$C$16</f>
        <v>140</v>
      </c>
      <c r="AJ25" s="132">
        <f>INPUT_OUTPUTS!$C$17</f>
        <v>100</v>
      </c>
      <c r="AK25" s="132">
        <f t="shared" ref="AK25:AL25" si="35">AK24</f>
        <v>55</v>
      </c>
      <c r="AL25" s="132">
        <f t="shared" si="35"/>
        <v>85</v>
      </c>
      <c r="AM25" s="132">
        <f t="shared" si="9"/>
        <v>0</v>
      </c>
      <c r="AN25" s="133">
        <f t="shared" si="18"/>
        <v>0</v>
      </c>
      <c r="AO25" s="133">
        <f t="shared" si="12"/>
        <v>0.5</v>
      </c>
      <c r="AP25" s="133">
        <f t="shared" si="19"/>
        <v>5</v>
      </c>
      <c r="AQ25" s="133" t="s">
        <v>441</v>
      </c>
      <c r="AR25" s="133" t="s">
        <v>317</v>
      </c>
      <c r="AS25" s="135" t="s">
        <v>122</v>
      </c>
    </row>
    <row r="26" spans="2:45" ht="15" customHeight="1">
      <c r="AC26" s="134" t="s">
        <v>277</v>
      </c>
      <c r="AD26" s="131" t="s">
        <v>121</v>
      </c>
      <c r="AE26" s="131" t="s">
        <v>127</v>
      </c>
      <c r="AF26" s="132">
        <f>SUMIF($B$7:$B$17,AC26,$S$7:$S$17)</f>
        <v>0</v>
      </c>
      <c r="AG26" s="132" t="str">
        <f>IFERROR((VLOOKUP(AF26,'DO NOT TOUCH'!$P$9:$Q$14,2,TRUE)),"TBD")</f>
        <v>TBD</v>
      </c>
      <c r="AH26" s="132">
        <f t="shared" si="16"/>
        <v>0.5</v>
      </c>
      <c r="AI26" s="132">
        <f>INPUT_OUTPUTS!$C$16</f>
        <v>140</v>
      </c>
      <c r="AJ26" s="132">
        <f>INPUT_OUTPUTS!$C$17</f>
        <v>100</v>
      </c>
      <c r="AK26" s="132">
        <f t="shared" ref="AK26:AL26" si="36">AK25</f>
        <v>55</v>
      </c>
      <c r="AL26" s="132">
        <f t="shared" si="36"/>
        <v>85</v>
      </c>
      <c r="AM26" s="132">
        <f t="shared" si="9"/>
        <v>0</v>
      </c>
      <c r="AN26" s="133">
        <f t="shared" si="18"/>
        <v>0</v>
      </c>
      <c r="AO26" s="133">
        <f t="shared" si="12"/>
        <v>0.5</v>
      </c>
      <c r="AP26" s="133">
        <f t="shared" si="19"/>
        <v>5</v>
      </c>
      <c r="AQ26" s="133" t="s">
        <v>441</v>
      </c>
      <c r="AR26" s="133" t="s">
        <v>317</v>
      </c>
      <c r="AS26" s="135" t="s">
        <v>122</v>
      </c>
    </row>
    <row r="27" spans="2:45" ht="15" customHeight="1">
      <c r="AC27" s="134" t="s">
        <v>278</v>
      </c>
      <c r="AD27" s="131" t="s">
        <v>121</v>
      </c>
      <c r="AE27" s="131" t="s">
        <v>127</v>
      </c>
      <c r="AF27" s="132">
        <f>SUMIF($B$7:$B$17,AC27,$S$7:$S$17)</f>
        <v>0</v>
      </c>
      <c r="AG27" s="132" t="str">
        <f>IFERROR((VLOOKUP(AF27,'DO NOT TOUCH'!$P$9:$Q$14,2,TRUE)),"TBD")</f>
        <v>TBD</v>
      </c>
      <c r="AH27" s="132">
        <f t="shared" si="16"/>
        <v>0.5</v>
      </c>
      <c r="AI27" s="132">
        <f>INPUT_OUTPUTS!$C$16</f>
        <v>140</v>
      </c>
      <c r="AJ27" s="132">
        <f>INPUT_OUTPUTS!$C$17</f>
        <v>100</v>
      </c>
      <c r="AK27" s="132">
        <f t="shared" ref="AK27:AL27" si="37">AK26</f>
        <v>55</v>
      </c>
      <c r="AL27" s="132">
        <f t="shared" si="37"/>
        <v>85</v>
      </c>
      <c r="AM27" s="132">
        <f t="shared" si="9"/>
        <v>0</v>
      </c>
      <c r="AN27" s="133">
        <f t="shared" si="18"/>
        <v>0</v>
      </c>
      <c r="AO27" s="133">
        <f t="shared" si="12"/>
        <v>0.5</v>
      </c>
      <c r="AP27" s="133">
        <f t="shared" si="19"/>
        <v>5</v>
      </c>
      <c r="AQ27" s="133" t="s">
        <v>441</v>
      </c>
      <c r="AR27" s="133" t="s">
        <v>317</v>
      </c>
      <c r="AS27" s="135" t="s">
        <v>122</v>
      </c>
    </row>
    <row r="28" spans="2:45" ht="15" customHeight="1">
      <c r="AC28" s="134" t="s">
        <v>279</v>
      </c>
      <c r="AD28" s="131" t="s">
        <v>121</v>
      </c>
      <c r="AE28" s="131" t="s">
        <v>127</v>
      </c>
      <c r="AF28" s="132">
        <f>SUMIF($B$7:$B$17,AC28,$S$7:$S$17)</f>
        <v>0</v>
      </c>
      <c r="AG28" s="132" t="str">
        <f>IFERROR((VLOOKUP(AF28,'DO NOT TOUCH'!$P$9:$Q$14,2,TRUE)),"TBD")</f>
        <v>TBD</v>
      </c>
      <c r="AH28" s="132">
        <f t="shared" si="16"/>
        <v>0.5</v>
      </c>
      <c r="AI28" s="132">
        <f>INPUT_OUTPUTS!$C$16</f>
        <v>140</v>
      </c>
      <c r="AJ28" s="132">
        <f>INPUT_OUTPUTS!$C$17</f>
        <v>100</v>
      </c>
      <c r="AK28" s="132">
        <f t="shared" ref="AK28:AL28" si="38">AK27</f>
        <v>55</v>
      </c>
      <c r="AL28" s="132">
        <f t="shared" si="38"/>
        <v>85</v>
      </c>
      <c r="AM28" s="132">
        <f t="shared" si="9"/>
        <v>0</v>
      </c>
      <c r="AN28" s="133">
        <f t="shared" si="18"/>
        <v>0</v>
      </c>
      <c r="AO28" s="133">
        <f t="shared" si="12"/>
        <v>0.5</v>
      </c>
      <c r="AP28" s="133">
        <f t="shared" si="19"/>
        <v>5</v>
      </c>
      <c r="AQ28" s="133" t="s">
        <v>441</v>
      </c>
      <c r="AR28" s="133" t="s">
        <v>317</v>
      </c>
      <c r="AS28" s="135" t="s">
        <v>122</v>
      </c>
    </row>
    <row r="29" spans="2:45" ht="15" customHeight="1">
      <c r="AC29" s="134" t="s">
        <v>280</v>
      </c>
      <c r="AD29" s="131" t="s">
        <v>121</v>
      </c>
      <c r="AE29" s="131" t="s">
        <v>127</v>
      </c>
      <c r="AF29" s="132">
        <f>SUMIF($B$7:$B$17,AC29,$S$7:$S$17)</f>
        <v>0</v>
      </c>
      <c r="AG29" s="132" t="str">
        <f>IFERROR((VLOOKUP(AF29,'DO NOT TOUCH'!$P$9:$Q$14,2,TRUE)),"TBD")</f>
        <v>TBD</v>
      </c>
      <c r="AH29" s="132">
        <f t="shared" si="16"/>
        <v>0.5</v>
      </c>
      <c r="AI29" s="132">
        <f>INPUT_OUTPUTS!$C$16</f>
        <v>140</v>
      </c>
      <c r="AJ29" s="132">
        <f>INPUT_OUTPUTS!$C$17</f>
        <v>100</v>
      </c>
      <c r="AK29" s="132">
        <f t="shared" ref="AK29:AL29" si="39">AK28</f>
        <v>55</v>
      </c>
      <c r="AL29" s="132">
        <f t="shared" si="39"/>
        <v>85</v>
      </c>
      <c r="AM29" s="132">
        <f t="shared" si="9"/>
        <v>0</v>
      </c>
      <c r="AN29" s="133">
        <f t="shared" si="18"/>
        <v>0</v>
      </c>
      <c r="AO29" s="133">
        <f t="shared" si="12"/>
        <v>0.5</v>
      </c>
      <c r="AP29" s="133">
        <f t="shared" si="19"/>
        <v>5</v>
      </c>
      <c r="AQ29" s="133" t="s">
        <v>441</v>
      </c>
      <c r="AR29" s="133" t="s">
        <v>317</v>
      </c>
      <c r="AS29" s="135" t="s">
        <v>122</v>
      </c>
    </row>
    <row r="30" spans="2:45" ht="15" customHeight="1">
      <c r="AC30" s="134" t="s">
        <v>281</v>
      </c>
      <c r="AD30" s="131" t="s">
        <v>121</v>
      </c>
      <c r="AE30" s="131" t="s">
        <v>127</v>
      </c>
      <c r="AF30" s="132">
        <f>SUMIF($B$7:$B$17,AC30,$S$7:$S$17)</f>
        <v>0</v>
      </c>
      <c r="AG30" s="132" t="str">
        <f>IFERROR((VLOOKUP(AF30,'DO NOT TOUCH'!$P$9:$Q$14,2,TRUE)),"TBD")</f>
        <v>TBD</v>
      </c>
      <c r="AH30" s="132">
        <f t="shared" si="16"/>
        <v>0.5</v>
      </c>
      <c r="AI30" s="132">
        <f>INPUT_OUTPUTS!$C$16</f>
        <v>140</v>
      </c>
      <c r="AJ30" s="132">
        <f>INPUT_OUTPUTS!$C$17</f>
        <v>100</v>
      </c>
      <c r="AK30" s="132">
        <f t="shared" ref="AK30:AL30" si="40">AK29</f>
        <v>55</v>
      </c>
      <c r="AL30" s="132">
        <f t="shared" si="40"/>
        <v>85</v>
      </c>
      <c r="AM30" s="132">
        <f t="shared" si="9"/>
        <v>0</v>
      </c>
      <c r="AN30" s="133">
        <f t="shared" si="18"/>
        <v>0</v>
      </c>
      <c r="AO30" s="133">
        <f t="shared" si="12"/>
        <v>0.5</v>
      </c>
      <c r="AP30" s="133">
        <f t="shared" si="19"/>
        <v>5</v>
      </c>
      <c r="AQ30" s="133" t="s">
        <v>441</v>
      </c>
      <c r="AR30" s="133" t="s">
        <v>317</v>
      </c>
      <c r="AS30" s="135" t="s">
        <v>122</v>
      </c>
    </row>
    <row r="31" spans="2:45" ht="15" customHeight="1">
      <c r="AC31" s="134" t="s">
        <v>282</v>
      </c>
      <c r="AD31" s="131" t="s">
        <v>121</v>
      </c>
      <c r="AE31" s="131" t="s">
        <v>127</v>
      </c>
      <c r="AF31" s="132">
        <f>SUMIF($B$7:$B$17,AC31,$S$7:$S$17)</f>
        <v>0</v>
      </c>
      <c r="AG31" s="132" t="str">
        <f>IFERROR((VLOOKUP(AF31,'DO NOT TOUCH'!$P$9:$Q$14,2,TRUE)),"TBD")</f>
        <v>TBD</v>
      </c>
      <c r="AH31" s="132">
        <f t="shared" si="16"/>
        <v>0.5</v>
      </c>
      <c r="AI31" s="132">
        <f>INPUT_OUTPUTS!$C$16</f>
        <v>140</v>
      </c>
      <c r="AJ31" s="132">
        <f>INPUT_OUTPUTS!$C$17</f>
        <v>100</v>
      </c>
      <c r="AK31" s="132">
        <f t="shared" ref="AK31:AL31" si="41">AK30</f>
        <v>55</v>
      </c>
      <c r="AL31" s="132">
        <f t="shared" si="41"/>
        <v>85</v>
      </c>
      <c r="AM31" s="132">
        <f t="shared" si="9"/>
        <v>0</v>
      </c>
      <c r="AN31" s="133">
        <f t="shared" si="18"/>
        <v>0</v>
      </c>
      <c r="AO31" s="133">
        <f t="shared" si="12"/>
        <v>0.5</v>
      </c>
      <c r="AP31" s="133">
        <f t="shared" si="19"/>
        <v>5</v>
      </c>
      <c r="AQ31" s="133" t="s">
        <v>441</v>
      </c>
      <c r="AR31" s="133" t="s">
        <v>317</v>
      </c>
      <c r="AS31" s="135" t="s">
        <v>122</v>
      </c>
    </row>
    <row r="32" spans="2:45" ht="15" customHeight="1">
      <c r="AC32" s="134" t="s">
        <v>283</v>
      </c>
      <c r="AD32" s="131" t="s">
        <v>121</v>
      </c>
      <c r="AE32" s="131" t="s">
        <v>127</v>
      </c>
      <c r="AF32" s="132">
        <f>SUMIF($B$7:$B$17,AC32,$S$7:$S$17)</f>
        <v>0</v>
      </c>
      <c r="AG32" s="132" t="str">
        <f>IFERROR((VLOOKUP(AF32,'DO NOT TOUCH'!$P$9:$Q$14,2,TRUE)),"TBD")</f>
        <v>TBD</v>
      </c>
      <c r="AH32" s="132">
        <f t="shared" si="16"/>
        <v>0.5</v>
      </c>
      <c r="AI32" s="132">
        <f>INPUT_OUTPUTS!$C$16</f>
        <v>140</v>
      </c>
      <c r="AJ32" s="132">
        <f>INPUT_OUTPUTS!$C$17</f>
        <v>100</v>
      </c>
      <c r="AK32" s="132">
        <f t="shared" ref="AK32:AL32" si="42">AK31</f>
        <v>55</v>
      </c>
      <c r="AL32" s="132">
        <f t="shared" si="42"/>
        <v>85</v>
      </c>
      <c r="AM32" s="132">
        <f t="shared" si="9"/>
        <v>0</v>
      </c>
      <c r="AN32" s="133">
        <f t="shared" si="18"/>
        <v>0</v>
      </c>
      <c r="AO32" s="133">
        <f t="shared" si="12"/>
        <v>0.5</v>
      </c>
      <c r="AP32" s="133">
        <f t="shared" si="19"/>
        <v>5</v>
      </c>
      <c r="AQ32" s="133" t="s">
        <v>441</v>
      </c>
      <c r="AR32" s="133" t="s">
        <v>317</v>
      </c>
      <c r="AS32" s="135" t="s">
        <v>122</v>
      </c>
    </row>
    <row r="33" spans="29:46" ht="15" customHeight="1">
      <c r="AC33" s="134" t="s">
        <v>284</v>
      </c>
      <c r="AD33" s="131" t="s">
        <v>121</v>
      </c>
      <c r="AE33" s="131" t="s">
        <v>127</v>
      </c>
      <c r="AF33" s="132">
        <f>SUMIF($B$7:$B$17,AC33,$S$7:$S$17)</f>
        <v>0</v>
      </c>
      <c r="AG33" s="132" t="str">
        <f>IFERROR((VLOOKUP(AF33,'DO NOT TOUCH'!$P$9:$Q$14,2,TRUE)),"TBD")</f>
        <v>TBD</v>
      </c>
      <c r="AH33" s="132">
        <f t="shared" si="16"/>
        <v>0.5</v>
      </c>
      <c r="AI33" s="132">
        <f>INPUT_OUTPUTS!$C$16</f>
        <v>140</v>
      </c>
      <c r="AJ33" s="132">
        <f>INPUT_OUTPUTS!$C$17</f>
        <v>100</v>
      </c>
      <c r="AK33" s="132">
        <f t="shared" ref="AK33:AL33" si="43">AK32</f>
        <v>55</v>
      </c>
      <c r="AL33" s="132">
        <f t="shared" si="43"/>
        <v>85</v>
      </c>
      <c r="AM33" s="132">
        <f t="shared" si="9"/>
        <v>0</v>
      </c>
      <c r="AN33" s="133">
        <f t="shared" si="18"/>
        <v>0</v>
      </c>
      <c r="AO33" s="133">
        <f t="shared" si="12"/>
        <v>0.5</v>
      </c>
      <c r="AP33" s="133">
        <f t="shared" si="19"/>
        <v>5</v>
      </c>
      <c r="AQ33" s="133" t="s">
        <v>441</v>
      </c>
      <c r="AR33" s="133" t="s">
        <v>317</v>
      </c>
      <c r="AS33" s="135" t="s">
        <v>122</v>
      </c>
    </row>
    <row r="34" spans="29:46" ht="15" customHeight="1">
      <c r="AC34" s="134" t="s">
        <v>285</v>
      </c>
      <c r="AD34" s="131" t="s">
        <v>121</v>
      </c>
      <c r="AE34" s="131" t="s">
        <v>127</v>
      </c>
      <c r="AF34" s="132">
        <f>SUMIF($B$7:$B$17,AC34,$S$7:$S$17)</f>
        <v>0</v>
      </c>
      <c r="AG34" s="132" t="str">
        <f>IFERROR((VLOOKUP(AF34,'DO NOT TOUCH'!$P$9:$Q$14,2,TRUE)),"TBD")</f>
        <v>TBD</v>
      </c>
      <c r="AH34" s="132">
        <f t="shared" si="16"/>
        <v>0.5</v>
      </c>
      <c r="AI34" s="132">
        <f>INPUT_OUTPUTS!$C$16</f>
        <v>140</v>
      </c>
      <c r="AJ34" s="132">
        <f>INPUT_OUTPUTS!$C$17</f>
        <v>100</v>
      </c>
      <c r="AK34" s="132">
        <f t="shared" ref="AK34:AL34" si="44">AK33</f>
        <v>55</v>
      </c>
      <c r="AL34" s="132">
        <f t="shared" si="44"/>
        <v>85</v>
      </c>
      <c r="AM34" s="132">
        <f t="shared" si="9"/>
        <v>0</v>
      </c>
      <c r="AN34" s="133">
        <f t="shared" si="18"/>
        <v>0</v>
      </c>
      <c r="AO34" s="133">
        <f t="shared" si="12"/>
        <v>0.5</v>
      </c>
      <c r="AP34" s="133">
        <f t="shared" si="19"/>
        <v>5</v>
      </c>
      <c r="AQ34" s="133" t="s">
        <v>441</v>
      </c>
      <c r="AR34" s="133" t="s">
        <v>317</v>
      </c>
      <c r="AS34" s="135" t="s">
        <v>122</v>
      </c>
    </row>
    <row r="35" spans="29:46" ht="15" customHeight="1">
      <c r="AC35" s="134" t="s">
        <v>286</v>
      </c>
      <c r="AD35" s="131" t="s">
        <v>121</v>
      </c>
      <c r="AE35" s="131" t="s">
        <v>127</v>
      </c>
      <c r="AF35" s="132">
        <f>SUMIF($B$7:$B$17,AC35,$S$7:$S$17)</f>
        <v>0</v>
      </c>
      <c r="AG35" s="132" t="str">
        <f>IFERROR((VLOOKUP(AF35,'DO NOT TOUCH'!$P$9:$Q$14,2,TRUE)),"TBD")</f>
        <v>TBD</v>
      </c>
      <c r="AH35" s="132">
        <f t="shared" si="16"/>
        <v>0.5</v>
      </c>
      <c r="AI35" s="132">
        <f>INPUT_OUTPUTS!$C$16</f>
        <v>140</v>
      </c>
      <c r="AJ35" s="132">
        <f>INPUT_OUTPUTS!$C$17</f>
        <v>100</v>
      </c>
      <c r="AK35" s="132">
        <f t="shared" ref="AK35:AL35" si="45">AK34</f>
        <v>55</v>
      </c>
      <c r="AL35" s="132">
        <f t="shared" si="45"/>
        <v>85</v>
      </c>
      <c r="AM35" s="132">
        <f t="shared" si="9"/>
        <v>0</v>
      </c>
      <c r="AN35" s="133">
        <f t="shared" si="18"/>
        <v>0</v>
      </c>
      <c r="AO35" s="133">
        <f t="shared" si="12"/>
        <v>0.5</v>
      </c>
      <c r="AP35" s="133">
        <f t="shared" si="19"/>
        <v>5</v>
      </c>
      <c r="AQ35" s="133" t="s">
        <v>441</v>
      </c>
      <c r="AR35" s="133" t="s">
        <v>317</v>
      </c>
      <c r="AS35" s="135" t="s">
        <v>122</v>
      </c>
    </row>
    <row r="36" spans="29:46" ht="15" customHeight="1">
      <c r="AC36" s="134" t="s">
        <v>287</v>
      </c>
      <c r="AD36" s="131" t="s">
        <v>121</v>
      </c>
      <c r="AE36" s="131" t="s">
        <v>127</v>
      </c>
      <c r="AF36" s="132">
        <f>SUMIF($B$7:$B$17,AC36,$S$7:$S$17)</f>
        <v>0</v>
      </c>
      <c r="AG36" s="132" t="str">
        <f>IFERROR((VLOOKUP(AF36,'DO NOT TOUCH'!$P$9:$Q$14,2,TRUE)),"TBD")</f>
        <v>TBD</v>
      </c>
      <c r="AH36" s="132">
        <f t="shared" si="16"/>
        <v>0.5</v>
      </c>
      <c r="AI36" s="132">
        <f>INPUT_OUTPUTS!$C$16</f>
        <v>140</v>
      </c>
      <c r="AJ36" s="132">
        <f>INPUT_OUTPUTS!$C$17</f>
        <v>100</v>
      </c>
      <c r="AK36" s="132">
        <f t="shared" ref="AK36:AL36" si="46">AK35</f>
        <v>55</v>
      </c>
      <c r="AL36" s="132">
        <f t="shared" si="46"/>
        <v>85</v>
      </c>
      <c r="AM36" s="132">
        <f t="shared" si="9"/>
        <v>0</v>
      </c>
      <c r="AN36" s="133">
        <f t="shared" si="18"/>
        <v>0</v>
      </c>
      <c r="AO36" s="133">
        <f t="shared" si="12"/>
        <v>0.5</v>
      </c>
      <c r="AP36" s="133">
        <f t="shared" si="19"/>
        <v>5</v>
      </c>
      <c r="AQ36" s="133" t="s">
        <v>441</v>
      </c>
      <c r="AR36" s="133" t="s">
        <v>317</v>
      </c>
      <c r="AS36" s="135" t="s">
        <v>122</v>
      </c>
    </row>
    <row r="37" spans="29:46" ht="15" customHeight="1">
      <c r="AC37" s="134" t="s">
        <v>288</v>
      </c>
      <c r="AD37" s="131" t="s">
        <v>121</v>
      </c>
      <c r="AE37" s="131" t="s">
        <v>127</v>
      </c>
      <c r="AF37" s="132">
        <f>SUMIF($B$7:$B$17,AC37,$S$7:$S$17)</f>
        <v>0</v>
      </c>
      <c r="AG37" s="132" t="str">
        <f>IFERROR((VLOOKUP(AF37,'DO NOT TOUCH'!$P$9:$Q$14,2,TRUE)),"TBD")</f>
        <v>TBD</v>
      </c>
      <c r="AH37" s="132">
        <f t="shared" si="16"/>
        <v>0.5</v>
      </c>
      <c r="AI37" s="132">
        <f>INPUT_OUTPUTS!$C$16</f>
        <v>140</v>
      </c>
      <c r="AJ37" s="132">
        <f>INPUT_OUTPUTS!$C$17</f>
        <v>100</v>
      </c>
      <c r="AK37" s="132">
        <f t="shared" ref="AK37:AL37" si="47">AK36</f>
        <v>55</v>
      </c>
      <c r="AL37" s="132">
        <f t="shared" si="47"/>
        <v>85</v>
      </c>
      <c r="AM37" s="132">
        <f t="shared" si="9"/>
        <v>0</v>
      </c>
      <c r="AN37" s="133">
        <f t="shared" si="18"/>
        <v>0</v>
      </c>
      <c r="AO37" s="133">
        <f t="shared" si="12"/>
        <v>0.5</v>
      </c>
      <c r="AP37" s="133">
        <f t="shared" si="19"/>
        <v>5</v>
      </c>
      <c r="AQ37" s="133" t="s">
        <v>441</v>
      </c>
      <c r="AR37" s="133" t="s">
        <v>317</v>
      </c>
      <c r="AS37" s="135" t="s">
        <v>122</v>
      </c>
    </row>
    <row r="38" spans="29:46" ht="15" customHeight="1">
      <c r="AC38" s="134" t="s">
        <v>289</v>
      </c>
      <c r="AD38" s="131" t="s">
        <v>121</v>
      </c>
      <c r="AE38" s="131" t="s">
        <v>127</v>
      </c>
      <c r="AF38" s="132">
        <f>SUMIF($B$7:$B$17,AC38,$S$7:$S$17)</f>
        <v>0</v>
      </c>
      <c r="AG38" s="132" t="str">
        <f>IFERROR((VLOOKUP(AF38,'DO NOT TOUCH'!$P$9:$Q$14,2,TRUE)),"TBD")</f>
        <v>TBD</v>
      </c>
      <c r="AH38" s="132">
        <f t="shared" si="16"/>
        <v>0.5</v>
      </c>
      <c r="AI38" s="132">
        <f>INPUT_OUTPUTS!$C$16</f>
        <v>140</v>
      </c>
      <c r="AJ38" s="132">
        <f>INPUT_OUTPUTS!$C$17</f>
        <v>100</v>
      </c>
      <c r="AK38" s="132">
        <f t="shared" ref="AK38:AL38" si="48">AK37</f>
        <v>55</v>
      </c>
      <c r="AL38" s="132">
        <f t="shared" si="48"/>
        <v>85</v>
      </c>
      <c r="AM38" s="132">
        <f t="shared" si="9"/>
        <v>0</v>
      </c>
      <c r="AN38" s="133">
        <f t="shared" si="18"/>
        <v>0</v>
      </c>
      <c r="AO38" s="133">
        <f t="shared" si="12"/>
        <v>0.5</v>
      </c>
      <c r="AP38" s="133">
        <f t="shared" si="19"/>
        <v>5</v>
      </c>
      <c r="AQ38" s="133" t="s">
        <v>441</v>
      </c>
      <c r="AR38" s="133" t="s">
        <v>317</v>
      </c>
      <c r="AS38" s="135" t="s">
        <v>122</v>
      </c>
    </row>
    <row r="39" spans="29:46" ht="15" customHeight="1">
      <c r="AC39" s="134" t="s">
        <v>290</v>
      </c>
      <c r="AD39" s="131" t="s">
        <v>121</v>
      </c>
      <c r="AE39" s="131" t="s">
        <v>127</v>
      </c>
      <c r="AF39" s="132">
        <f>SUMIF($B$7:$B$17,AC39,$S$7:$S$17)</f>
        <v>0</v>
      </c>
      <c r="AG39" s="132" t="str">
        <f>IFERROR((VLOOKUP(AF39,'DO NOT TOUCH'!$P$9:$Q$14,2,TRUE)),"TBD")</f>
        <v>TBD</v>
      </c>
      <c r="AH39" s="132">
        <f t="shared" si="16"/>
        <v>0.5</v>
      </c>
      <c r="AI39" s="132">
        <f>INPUT_OUTPUTS!$C$16</f>
        <v>140</v>
      </c>
      <c r="AJ39" s="132">
        <f>INPUT_OUTPUTS!$C$17</f>
        <v>100</v>
      </c>
      <c r="AK39" s="132">
        <f t="shared" ref="AK39:AL39" si="49">AK38</f>
        <v>55</v>
      </c>
      <c r="AL39" s="132">
        <f t="shared" si="49"/>
        <v>85</v>
      </c>
      <c r="AM39" s="132">
        <f t="shared" si="9"/>
        <v>0</v>
      </c>
      <c r="AN39" s="133">
        <f t="shared" si="18"/>
        <v>0</v>
      </c>
      <c r="AO39" s="133">
        <f t="shared" si="12"/>
        <v>0.5</v>
      </c>
      <c r="AP39" s="133">
        <f t="shared" si="19"/>
        <v>5</v>
      </c>
      <c r="AQ39" s="133" t="s">
        <v>441</v>
      </c>
      <c r="AR39" s="133" t="s">
        <v>317</v>
      </c>
      <c r="AS39" s="135" t="s">
        <v>122</v>
      </c>
    </row>
    <row r="40" spans="29:46" ht="15" customHeight="1">
      <c r="AC40" s="134" t="s">
        <v>291</v>
      </c>
      <c r="AD40" s="131" t="s">
        <v>121</v>
      </c>
      <c r="AE40" s="131" t="s">
        <v>127</v>
      </c>
      <c r="AF40" s="132">
        <f>SUMIF($B$7:$B$17,AC40,$S$7:$S$17)</f>
        <v>0</v>
      </c>
      <c r="AG40" s="132" t="str">
        <f>IFERROR((VLOOKUP(AF40,'DO NOT TOUCH'!$P$9:$Q$14,2,TRUE)),"TBD")</f>
        <v>TBD</v>
      </c>
      <c r="AH40" s="132">
        <f t="shared" si="16"/>
        <v>0.5</v>
      </c>
      <c r="AI40" s="132">
        <f>INPUT_OUTPUTS!$C$16</f>
        <v>140</v>
      </c>
      <c r="AJ40" s="132">
        <f>INPUT_OUTPUTS!$C$17</f>
        <v>100</v>
      </c>
      <c r="AK40" s="132">
        <f t="shared" ref="AK40:AL40" si="50">AK39</f>
        <v>55</v>
      </c>
      <c r="AL40" s="132">
        <f t="shared" si="50"/>
        <v>85</v>
      </c>
      <c r="AM40" s="132">
        <f t="shared" si="9"/>
        <v>0</v>
      </c>
      <c r="AN40" s="133">
        <f t="shared" si="18"/>
        <v>0</v>
      </c>
      <c r="AO40" s="133">
        <f t="shared" si="12"/>
        <v>0.5</v>
      </c>
      <c r="AP40" s="133">
        <f t="shared" si="19"/>
        <v>5</v>
      </c>
      <c r="AQ40" s="133" t="s">
        <v>441</v>
      </c>
      <c r="AR40" s="133" t="s">
        <v>317</v>
      </c>
      <c r="AS40" s="135" t="s">
        <v>122</v>
      </c>
    </row>
    <row r="41" spans="29:46" ht="15" customHeight="1">
      <c r="AC41" s="134" t="s">
        <v>292</v>
      </c>
      <c r="AD41" s="131" t="s">
        <v>121</v>
      </c>
      <c r="AE41" s="131" t="s">
        <v>127</v>
      </c>
      <c r="AF41" s="132">
        <f>SUMIF($B$7:$B$17,AC41,$S$7:$S$17)</f>
        <v>0</v>
      </c>
      <c r="AG41" s="132" t="str">
        <f>IFERROR((VLOOKUP(AF41,'DO NOT TOUCH'!$P$9:$Q$14,2,TRUE)),"TBD")</f>
        <v>TBD</v>
      </c>
      <c r="AH41" s="132">
        <f t="shared" si="16"/>
        <v>0.5</v>
      </c>
      <c r="AI41" s="132">
        <f>INPUT_OUTPUTS!$C$16</f>
        <v>140</v>
      </c>
      <c r="AJ41" s="132">
        <f>INPUT_OUTPUTS!$C$17</f>
        <v>100</v>
      </c>
      <c r="AK41" s="132">
        <f t="shared" ref="AK41:AL41" si="51">AK40</f>
        <v>55</v>
      </c>
      <c r="AL41" s="132">
        <f t="shared" si="51"/>
        <v>85</v>
      </c>
      <c r="AM41" s="132">
        <f t="shared" si="9"/>
        <v>0</v>
      </c>
      <c r="AN41" s="133">
        <f t="shared" si="18"/>
        <v>0</v>
      </c>
      <c r="AO41" s="133">
        <f t="shared" si="12"/>
        <v>0.5</v>
      </c>
      <c r="AP41" s="133">
        <f t="shared" si="19"/>
        <v>5</v>
      </c>
      <c r="AQ41" s="133" t="s">
        <v>441</v>
      </c>
      <c r="AR41" s="133" t="s">
        <v>317</v>
      </c>
      <c r="AS41" s="135" t="s">
        <v>122</v>
      </c>
    </row>
    <row r="42" spans="29:46" ht="15" customHeight="1">
      <c r="AC42" s="134" t="s">
        <v>293</v>
      </c>
      <c r="AD42" s="131" t="s">
        <v>121</v>
      </c>
      <c r="AE42" s="131" t="s">
        <v>127</v>
      </c>
      <c r="AF42" s="132">
        <f>SUMIF($B$7:$B$17,AC42,$S$7:$S$17)</f>
        <v>0</v>
      </c>
      <c r="AG42" s="132" t="str">
        <f>IFERROR((VLOOKUP(AF42,'DO NOT TOUCH'!$P$9:$Q$14,2,TRUE)),"TBD")</f>
        <v>TBD</v>
      </c>
      <c r="AH42" s="132">
        <f t="shared" si="16"/>
        <v>0.5</v>
      </c>
      <c r="AI42" s="132">
        <f>INPUT_OUTPUTS!$C$16</f>
        <v>140</v>
      </c>
      <c r="AJ42" s="132">
        <f>INPUT_OUTPUTS!$C$17</f>
        <v>100</v>
      </c>
      <c r="AK42" s="132">
        <f t="shared" ref="AK42:AL42" si="52">AK41</f>
        <v>55</v>
      </c>
      <c r="AL42" s="132">
        <f t="shared" si="52"/>
        <v>85</v>
      </c>
      <c r="AM42" s="132">
        <f t="shared" si="9"/>
        <v>0</v>
      </c>
      <c r="AN42" s="133">
        <f t="shared" si="18"/>
        <v>0</v>
      </c>
      <c r="AO42" s="133">
        <f t="shared" si="12"/>
        <v>0.5</v>
      </c>
      <c r="AP42" s="133">
        <f t="shared" si="19"/>
        <v>5</v>
      </c>
      <c r="AQ42" s="133" t="s">
        <v>441</v>
      </c>
      <c r="AR42" s="133" t="s">
        <v>317</v>
      </c>
      <c r="AS42" s="135" t="s">
        <v>122</v>
      </c>
    </row>
    <row r="43" spans="29:46" ht="15" customHeight="1">
      <c r="AC43" s="134" t="s">
        <v>294</v>
      </c>
      <c r="AD43" s="131" t="s">
        <v>121</v>
      </c>
      <c r="AE43" s="131" t="s">
        <v>127</v>
      </c>
      <c r="AF43" s="132">
        <f>SUMIF($B$7:$B$17,AC43,$S$7:$S$17)</f>
        <v>0</v>
      </c>
      <c r="AG43" s="132" t="str">
        <f>IFERROR((VLOOKUP(AF43,'DO NOT TOUCH'!$P$9:$Q$14,2,TRUE)),"TBD")</f>
        <v>TBD</v>
      </c>
      <c r="AH43" s="132">
        <f t="shared" si="16"/>
        <v>0.5</v>
      </c>
      <c r="AI43" s="132">
        <f>INPUT_OUTPUTS!$C$16</f>
        <v>140</v>
      </c>
      <c r="AJ43" s="132">
        <f>INPUT_OUTPUTS!$C$17</f>
        <v>100</v>
      </c>
      <c r="AK43" s="132">
        <f t="shared" ref="AK43:AL44" si="53">AK42</f>
        <v>55</v>
      </c>
      <c r="AL43" s="132">
        <f t="shared" si="53"/>
        <v>85</v>
      </c>
      <c r="AM43" s="132">
        <f t="shared" si="9"/>
        <v>0</v>
      </c>
      <c r="AN43" s="133">
        <f t="shared" si="18"/>
        <v>0</v>
      </c>
      <c r="AO43" s="133">
        <f t="shared" si="12"/>
        <v>0.5</v>
      </c>
      <c r="AP43" s="133">
        <f t="shared" si="19"/>
        <v>5</v>
      </c>
      <c r="AQ43" s="133" t="s">
        <v>441</v>
      </c>
      <c r="AR43" s="133" t="s">
        <v>317</v>
      </c>
      <c r="AS43" s="135" t="s">
        <v>122</v>
      </c>
    </row>
    <row r="44" spans="29:46" ht="15" customHeight="1">
      <c r="AC44" s="136" t="s">
        <v>297</v>
      </c>
      <c r="AD44" s="137" t="s">
        <v>121</v>
      </c>
      <c r="AE44" s="137" t="s">
        <v>127</v>
      </c>
      <c r="AF44" s="138">
        <f>SUMIF($B$7:$B$17,AC44,$S$7:$S$17)</f>
        <v>0</v>
      </c>
      <c r="AG44" s="132" t="str">
        <f>IFERROR((VLOOKUP(AF44,'DO NOT TOUCH'!$P$9:$Q$14,2,TRUE)),"TBD")</f>
        <v>TBD</v>
      </c>
      <c r="AH44" s="138">
        <f t="shared" si="16"/>
        <v>0.5</v>
      </c>
      <c r="AI44" s="138">
        <f>INPUT_OUTPUTS!$C$16</f>
        <v>140</v>
      </c>
      <c r="AJ44" s="138">
        <f>INPUT_OUTPUTS!$C$17</f>
        <v>100</v>
      </c>
      <c r="AK44" s="138">
        <f t="shared" si="53"/>
        <v>55</v>
      </c>
      <c r="AL44" s="138">
        <f t="shared" si="53"/>
        <v>85</v>
      </c>
      <c r="AM44" s="138">
        <f t="shared" si="9"/>
        <v>0</v>
      </c>
      <c r="AN44" s="139">
        <f t="shared" ref="AN44" si="54">(AM44*1000)/(500*(AI44-AJ44))</f>
        <v>0</v>
      </c>
      <c r="AO44" s="139">
        <f t="shared" ref="AO44" si="55">IF(AN44&lt;0.5,0.5,AN44)</f>
        <v>0.5</v>
      </c>
      <c r="AP44" s="139">
        <f t="shared" si="19"/>
        <v>5</v>
      </c>
      <c r="AQ44" s="139" t="s">
        <v>441</v>
      </c>
      <c r="AR44" s="133" t="s">
        <v>317</v>
      </c>
      <c r="AS44" s="140" t="s">
        <v>122</v>
      </c>
      <c r="AT44" s="15"/>
    </row>
    <row r="45" spans="29:46" ht="15" customHeight="1">
      <c r="AC45" s="159" t="s">
        <v>442</v>
      </c>
      <c r="AD45" s="160"/>
      <c r="AE45" s="160"/>
      <c r="AF45" s="161"/>
      <c r="AG45" s="161"/>
      <c r="AH45" s="161"/>
      <c r="AI45" s="161"/>
      <c r="AJ45" s="161"/>
      <c r="AK45" s="161"/>
      <c r="AL45" s="161"/>
      <c r="AM45" s="161">
        <f>SUBTOTAL(109,AHU1_CAV_SCHEDULE[MIN MBH])</f>
        <v>454.09999999999991</v>
      </c>
      <c r="AN45" s="161"/>
      <c r="AO45" s="163">
        <f>SUBTOTAL(109,AHU1_CAV_SCHEDULE[GPM])</f>
        <v>36.205000000000005</v>
      </c>
      <c r="AP45" s="161"/>
      <c r="AQ45" s="161"/>
      <c r="AR45" s="161"/>
      <c r="AS45" s="162"/>
      <c r="AT45" s="15"/>
    </row>
    <row r="46" spans="29:46" ht="15" customHeight="1">
      <c r="AC46" s="227" t="s">
        <v>125</v>
      </c>
      <c r="AD46" s="228"/>
      <c r="AE46" s="228"/>
      <c r="AF46" s="228"/>
      <c r="AG46" s="228"/>
      <c r="AH46" s="228"/>
      <c r="AI46" s="228"/>
      <c r="AJ46" s="228"/>
      <c r="AK46" s="228"/>
      <c r="AL46" s="228"/>
      <c r="AM46" s="228"/>
      <c r="AN46" s="228"/>
      <c r="AO46" s="228"/>
      <c r="AP46" s="228"/>
      <c r="AQ46" s="228"/>
      <c r="AR46" s="228"/>
      <c r="AS46" s="229"/>
      <c r="AT46" s="15"/>
    </row>
    <row r="47" spans="29:46" ht="15" customHeight="1">
      <c r="AC47" s="230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2"/>
      <c r="AT47" s="15"/>
    </row>
    <row r="48" spans="29:46" ht="15" customHeight="1">
      <c r="AC48" s="230"/>
      <c r="AD48" s="231"/>
      <c r="AE48" s="231"/>
      <c r="AF48" s="231"/>
      <c r="AG48" s="231"/>
      <c r="AH48" s="231"/>
      <c r="AI48" s="231"/>
      <c r="AJ48" s="231"/>
      <c r="AK48" s="231"/>
      <c r="AL48" s="231"/>
      <c r="AM48" s="231"/>
      <c r="AN48" s="231"/>
      <c r="AO48" s="231"/>
      <c r="AP48" s="231"/>
      <c r="AQ48" s="231"/>
      <c r="AR48" s="231"/>
      <c r="AS48" s="232"/>
      <c r="AT48" s="15"/>
    </row>
    <row r="49" spans="29:46" ht="15" customHeight="1">
      <c r="AC49" s="233"/>
      <c r="AD49" s="234"/>
      <c r="AE49" s="234"/>
      <c r="AF49" s="234"/>
      <c r="AG49" s="234"/>
      <c r="AH49" s="234"/>
      <c r="AI49" s="234"/>
      <c r="AJ49" s="234"/>
      <c r="AK49" s="234"/>
      <c r="AL49" s="234"/>
      <c r="AM49" s="234"/>
      <c r="AN49" s="234"/>
      <c r="AO49" s="234"/>
      <c r="AP49" s="234"/>
      <c r="AQ49" s="234"/>
      <c r="AR49" s="234"/>
      <c r="AS49" s="235"/>
      <c r="AT49" s="15"/>
    </row>
    <row r="50" spans="29:46" ht="15" customHeight="1"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</row>
    <row r="51" spans="29:46" ht="15" customHeight="1"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</row>
    <row r="52" spans="29:46" ht="15" customHeight="1"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</row>
    <row r="53" spans="29:46" ht="15" customHeight="1"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</row>
    <row r="54" spans="29:46" ht="15" customHeight="1"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</row>
    <row r="55" spans="29:46" ht="15" customHeight="1">
      <c r="AC55" s="68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T55" s="15"/>
    </row>
    <row r="56" spans="29:46" ht="15" customHeight="1">
      <c r="AC56" s="68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T56" s="15"/>
    </row>
    <row r="57" spans="29:46" ht="15" customHeight="1">
      <c r="AC57" s="68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T57" s="15"/>
    </row>
    <row r="58" spans="29:46" ht="15" customHeight="1">
      <c r="AC58" s="68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T58" s="15"/>
    </row>
    <row r="59" spans="29:46" ht="15" customHeight="1">
      <c r="AC59" s="68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T59" s="15"/>
    </row>
    <row r="60" spans="29:46" ht="15" customHeight="1">
      <c r="AC60" s="68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T60" s="15"/>
    </row>
    <row r="61" spans="29:46" ht="15" customHeight="1">
      <c r="AC61" s="68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T61" s="15"/>
    </row>
    <row r="62" spans="29:46" ht="15" customHeight="1">
      <c r="AC62" s="68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T62" s="15"/>
    </row>
    <row r="63" spans="29:46" ht="15" customHeight="1">
      <c r="AC63" s="68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T63" s="15"/>
    </row>
    <row r="64" spans="29:46" ht="15" customHeight="1">
      <c r="AC64" s="68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T64" s="15"/>
    </row>
    <row r="65" spans="27:47" ht="15" customHeight="1">
      <c r="AC65" s="68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T65" s="15"/>
    </row>
    <row r="66" spans="27:47" ht="15" customHeight="1">
      <c r="AC66" s="68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T66" s="15"/>
    </row>
    <row r="67" spans="27:47" ht="15" customHeight="1">
      <c r="AC67" s="68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T67" s="15"/>
    </row>
    <row r="68" spans="27:47" ht="15" customHeight="1">
      <c r="AC68" s="68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T68" s="15"/>
    </row>
    <row r="69" spans="27:47" ht="15" customHeight="1">
      <c r="AC69" s="68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T69" s="15"/>
    </row>
    <row r="70" spans="27:47" ht="15" customHeight="1">
      <c r="AC70" s="68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T70" s="15"/>
    </row>
    <row r="71" spans="27:47" ht="15" customHeight="1">
      <c r="AA71" s="51"/>
      <c r="AC71" s="68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T71" s="15"/>
    </row>
    <row r="72" spans="27:47" ht="15" customHeight="1">
      <c r="AC72" s="68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T72" s="15"/>
    </row>
    <row r="73" spans="27:47" ht="15" customHeight="1">
      <c r="AC73" s="68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T73" s="15"/>
    </row>
    <row r="74" spans="27:47" ht="15" customHeight="1">
      <c r="AC74" s="68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T74" s="15"/>
    </row>
    <row r="75" spans="27:47" ht="15" customHeight="1">
      <c r="AC75" s="68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T75" s="15"/>
    </row>
    <row r="76" spans="27:47" ht="15" customHeight="1">
      <c r="AC76" s="68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T76" s="15"/>
    </row>
    <row r="77" spans="27:47" ht="15" customHeight="1">
      <c r="AC77" s="68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T77" s="15"/>
    </row>
    <row r="78" spans="27:47" ht="15" customHeight="1">
      <c r="AC78" s="68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T78" s="15"/>
    </row>
    <row r="79" spans="27:47" ht="15" customHeight="1">
      <c r="AC79" s="68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T79" s="15"/>
    </row>
    <row r="80" spans="27:47">
      <c r="AA80" s="13"/>
      <c r="AC80" s="68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U80" s="15"/>
    </row>
    <row r="81" spans="27:47" ht="15" customHeight="1">
      <c r="AA81" s="13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U81" s="15"/>
    </row>
    <row r="82" spans="27:47" ht="15" customHeight="1">
      <c r="AA82" s="12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U82" s="15"/>
    </row>
    <row r="83" spans="27:47" ht="15" customHeight="1"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U83" s="15"/>
    </row>
    <row r="84" spans="27:47" ht="15" customHeight="1"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U84" s="15"/>
    </row>
    <row r="85" spans="27:47" ht="15" customHeight="1"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U85" s="15"/>
    </row>
    <row r="86" spans="27:47" ht="15" customHeight="1"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U86" s="15"/>
    </row>
    <row r="87" spans="27:47" ht="15" customHeight="1"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U87" s="15"/>
    </row>
    <row r="88" spans="27:47" ht="15" customHeight="1"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U88" s="15"/>
    </row>
    <row r="89" spans="27:47" ht="15" customHeight="1"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U89" s="15"/>
    </row>
    <row r="90" spans="27:47" ht="15" customHeight="1"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U90" s="15"/>
    </row>
    <row r="91" spans="27:47" ht="15" customHeight="1"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U91" s="15"/>
    </row>
    <row r="92" spans="27:47" ht="15" customHeight="1"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U92" s="15"/>
    </row>
    <row r="93" spans="27:47" ht="15" customHeight="1"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U93" s="15"/>
    </row>
    <row r="94" spans="27:47" ht="15" customHeight="1"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U94" s="15"/>
    </row>
    <row r="95" spans="27:47" ht="15" customHeight="1"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U95" s="15"/>
    </row>
    <row r="96" spans="27:47" ht="15" customHeight="1"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U96" s="15"/>
    </row>
    <row r="97" spans="33:47" ht="15" customHeight="1"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U97" s="15"/>
    </row>
    <row r="98" spans="33:47" ht="15.75" customHeight="1"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U98" s="15"/>
    </row>
    <row r="99" spans="33:47"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U99" s="15"/>
    </row>
    <row r="100" spans="33:47"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U100" s="15"/>
    </row>
    <row r="101" spans="33:47"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U101" s="15"/>
    </row>
    <row r="102" spans="33:47" ht="15" customHeight="1"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U102" s="15"/>
    </row>
    <row r="103" spans="33:47"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</row>
    <row r="104" spans="33:47">
      <c r="AP104" s="45"/>
      <c r="AQ104" s="45"/>
      <c r="AR104" s="45"/>
      <c r="AS104" s="45"/>
    </row>
  </sheetData>
  <dataConsolidate topLabels="1">
    <dataRefs count="1">
      <dataRef ref="C8:D86" sheet="AHU 1"/>
    </dataRefs>
  </dataConsolidate>
  <mergeCells count="7">
    <mergeCell ref="AC46:AS49"/>
    <mergeCell ref="D4:V4"/>
    <mergeCell ref="H5:R5"/>
    <mergeCell ref="D5:G5"/>
    <mergeCell ref="S5:V5"/>
    <mergeCell ref="X5:Z5"/>
    <mergeCell ref="AC5:AS5"/>
  </mergeCells>
  <phoneticPr fontId="16" type="noConversion"/>
  <conditionalFormatting sqref="Y7:Y17">
    <cfRule type="cellIs" dxfId="51" priority="325" operator="greaterThan">
      <formula>$P$21</formula>
    </cfRule>
  </conditionalFormatting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ignoredErrors>
    <ignoredError sqref="S7:U17" unlockedFormula="1"/>
  </ignoredErrors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EC6434B1-75D5-4F39-B2B0-242E6B2E3865}">
          <x14:formula1>
            <xm:f>'UMC Table 4-A'!$A$10:$A$139</xm:f>
          </x14:formula1>
          <xm:sqref>M7:M17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2C547-3971-EE4C-876C-6377D5D4B36C}">
  <sheetPr codeName="Sheet7">
    <tabColor indexed="43"/>
    <pageSetUpPr fitToPage="1"/>
  </sheetPr>
  <dimension ref="A1:BB104"/>
  <sheetViews>
    <sheetView showGridLines="0" zoomScale="75" zoomScaleNormal="69" zoomScaleSheetLayoutView="50" zoomScalePageLayoutView="80" workbookViewId="0">
      <pane ySplit="6" topLeftCell="A7" activePane="bottomLeft" state="frozen"/>
      <selection pane="bottomLeft" activeCell="T36" sqref="T36"/>
    </sheetView>
  </sheetViews>
  <sheetFormatPr baseColWidth="10" defaultColWidth="8.83203125" defaultRowHeight="16"/>
  <cols>
    <col min="1" max="1" width="2.83203125" style="272" customWidth="1"/>
    <col min="2" max="2" width="12.6640625" style="272" customWidth="1"/>
    <col min="3" max="3" width="9.83203125" style="273" bestFit="1" customWidth="1"/>
    <col min="4" max="4" width="14" style="274" bestFit="1" customWidth="1"/>
    <col min="5" max="5" width="16" style="273" bestFit="1" customWidth="1"/>
    <col min="6" max="6" width="9.83203125" style="273" bestFit="1" customWidth="1"/>
    <col min="7" max="7" width="12.6640625" style="272" hidden="1" customWidth="1"/>
    <col min="8" max="8" width="11.5" style="275" hidden="1" customWidth="1"/>
    <col min="9" max="9" width="7.6640625" style="272" hidden="1" customWidth="1"/>
    <col min="10" max="10" width="7.6640625" style="272" customWidth="1"/>
    <col min="11" max="11" width="11.83203125" style="275" hidden="1" customWidth="1"/>
    <col min="12" max="12" width="12.6640625" style="272" hidden="1" customWidth="1"/>
    <col min="13" max="13" width="18.1640625" style="272" bestFit="1" customWidth="1"/>
    <col min="14" max="14" width="64.33203125" style="275" hidden="1" customWidth="1"/>
    <col min="15" max="15" width="25.5" style="275" hidden="1" customWidth="1"/>
    <col min="16" max="16" width="12.83203125" style="272" customWidth="1"/>
    <col min="17" max="17" width="13" style="272" hidden="1" customWidth="1"/>
    <col min="18" max="18" width="18" style="272" customWidth="1"/>
    <col min="19" max="19" width="22.83203125" style="275" customWidth="1"/>
    <col min="20" max="20" width="16.5" style="275" customWidth="1"/>
    <col min="21" max="21" width="10.1640625" style="273" customWidth="1"/>
    <col min="22" max="22" width="10" style="275" customWidth="1"/>
    <col min="23" max="23" width="18" style="276" customWidth="1"/>
    <col min="24" max="24" width="17" style="272" bestFit="1" customWidth="1"/>
    <col min="25" max="25" width="15.83203125" style="273" bestFit="1" customWidth="1"/>
    <col min="26" max="26" width="15.83203125" style="273" customWidth="1"/>
    <col min="27" max="27" width="9.5" style="273" customWidth="1"/>
    <col min="28" max="28" width="22.5" style="273" bestFit="1" customWidth="1"/>
    <col min="29" max="29" width="10.1640625" style="273" bestFit="1" customWidth="1"/>
    <col min="30" max="30" width="18.5" style="277" bestFit="1" customWidth="1"/>
    <col min="31" max="31" width="22" style="277" bestFit="1" customWidth="1"/>
    <col min="32" max="32" width="7.33203125" style="277" customWidth="1"/>
    <col min="33" max="33" width="18" style="278" customWidth="1"/>
    <col min="34" max="34" width="9.83203125" style="278" customWidth="1"/>
    <col min="35" max="35" width="14.1640625" style="278" bestFit="1" customWidth="1"/>
    <col min="36" max="36" width="8.5" style="272" hidden="1" customWidth="1"/>
    <col min="37" max="37" width="9.33203125" style="272" customWidth="1"/>
    <col min="38" max="38" width="7.1640625" style="272" customWidth="1"/>
    <col min="39" max="39" width="5.83203125" style="272" customWidth="1"/>
    <col min="40" max="40" width="5.83203125" style="272" hidden="1" customWidth="1"/>
    <col min="41" max="41" width="8.83203125" style="272" customWidth="1"/>
    <col min="42" max="42" width="8.33203125" style="272" bestFit="1" customWidth="1"/>
    <col min="43" max="43" width="9.6640625" style="272" bestFit="1" customWidth="1"/>
    <col min="44" max="44" width="10.5" style="272" bestFit="1" customWidth="1"/>
    <col min="45" max="45" width="12.5" style="272" customWidth="1"/>
    <col min="46" max="46" width="12.83203125" style="272" bestFit="1" customWidth="1"/>
    <col min="47" max="48" width="8.83203125" style="272"/>
    <col min="49" max="51" width="9.33203125" style="272" bestFit="1" customWidth="1"/>
    <col min="52" max="16384" width="8.83203125" style="272"/>
  </cols>
  <sheetData>
    <row r="1" spans="1:54">
      <c r="AW1" s="272" t="s">
        <v>393</v>
      </c>
      <c r="AX1" s="272" t="s">
        <v>394</v>
      </c>
      <c r="AY1" s="272" t="s">
        <v>395</v>
      </c>
      <c r="BA1" s="272" t="s">
        <v>44</v>
      </c>
      <c r="BB1" s="272" t="s">
        <v>396</v>
      </c>
    </row>
    <row r="2" spans="1:54" ht="17" thickBot="1">
      <c r="AW2" s="66">
        <f>ROUNDUP(S18*INPUT_OUTPUTS!$C$18,-2)</f>
        <v>132000</v>
      </c>
      <c r="AX2" s="66">
        <f>ROUNDUP(T18*INPUT_OUTPUTS!$C$18,-2)</f>
        <v>132000</v>
      </c>
      <c r="AY2" s="65">
        <f>ROUNDUP((P18*INPUT_OUTPUTS!C18)+Z4,-2)</f>
        <v>47100</v>
      </c>
      <c r="BA2" s="279">
        <f>AHU1_CAV_SCHEDULE44[[#Totals],[GPM]]</f>
        <v>19</v>
      </c>
      <c r="BB2" s="280">
        <f>AHU1_CAV_SCHEDULE44[[#Totals],[MIN MBH]]</f>
        <v>0</v>
      </c>
    </row>
    <row r="3" spans="1:54" ht="15.75" customHeight="1">
      <c r="C3" s="272"/>
      <c r="H3" s="272"/>
      <c r="K3" s="272"/>
      <c r="N3" s="272"/>
      <c r="O3" s="272"/>
      <c r="S3" s="272"/>
      <c r="T3" s="272"/>
      <c r="U3" s="272"/>
      <c r="V3" s="272"/>
      <c r="W3" s="281"/>
      <c r="Y3" s="272"/>
      <c r="Z3" s="272"/>
      <c r="AA3" s="272"/>
    </row>
    <row r="4" spans="1:54">
      <c r="B4" s="275"/>
      <c r="C4" s="275"/>
      <c r="D4" s="275"/>
      <c r="E4" s="275"/>
      <c r="F4" s="275"/>
      <c r="G4" s="275"/>
      <c r="I4" s="275"/>
      <c r="J4" s="275"/>
      <c r="L4" s="275"/>
      <c r="M4" s="275"/>
      <c r="P4" s="275"/>
      <c r="Q4" s="275"/>
      <c r="R4" s="275"/>
      <c r="U4" s="275"/>
      <c r="W4" s="275"/>
      <c r="X4" s="83" t="s">
        <v>443</v>
      </c>
      <c r="Y4" s="83">
        <f>(AY2/AX2)*100</f>
        <v>35.68181818181818</v>
      </c>
      <c r="Z4" s="83">
        <v>3200</v>
      </c>
      <c r="AA4" s="272"/>
    </row>
    <row r="5" spans="1:54">
      <c r="B5" s="282"/>
      <c r="C5" s="282"/>
      <c r="D5" s="240" t="s">
        <v>87</v>
      </c>
      <c r="E5" s="241"/>
      <c r="F5" s="241"/>
      <c r="G5" s="242"/>
      <c r="H5" s="239" t="s">
        <v>88</v>
      </c>
      <c r="I5" s="239"/>
      <c r="J5" s="239"/>
      <c r="K5" s="239"/>
      <c r="L5" s="239"/>
      <c r="M5" s="239"/>
      <c r="N5" s="239"/>
      <c r="O5" s="239"/>
      <c r="P5" s="239"/>
      <c r="Q5" s="239"/>
      <c r="R5" s="239"/>
      <c r="S5" s="240" t="s">
        <v>86</v>
      </c>
      <c r="T5" s="241"/>
      <c r="U5" s="241"/>
      <c r="V5" s="242"/>
      <c r="W5" s="282"/>
      <c r="X5" s="283" t="s">
        <v>85</v>
      </c>
      <c r="Y5" s="284"/>
      <c r="Z5" s="285"/>
      <c r="AC5" s="286" t="s">
        <v>123</v>
      </c>
      <c r="AD5" s="286"/>
      <c r="AE5" s="286"/>
      <c r="AF5" s="286"/>
      <c r="AG5" s="286"/>
      <c r="AH5" s="286"/>
      <c r="AI5" s="286"/>
      <c r="AJ5" s="286"/>
      <c r="AK5" s="286"/>
      <c r="AL5" s="286"/>
      <c r="AM5" s="286"/>
      <c r="AN5" s="286"/>
      <c r="AO5" s="286"/>
      <c r="AP5" s="286"/>
      <c r="AQ5" s="286"/>
      <c r="AR5" s="286"/>
      <c r="AS5" s="286"/>
    </row>
    <row r="6" spans="1:54" s="290" customFormat="1" ht="53" customHeight="1" thickBot="1">
      <c r="A6" s="287"/>
      <c r="B6" s="202" t="s">
        <v>244</v>
      </c>
      <c r="C6" s="142" t="s">
        <v>10</v>
      </c>
      <c r="D6" s="143" t="s">
        <v>39</v>
      </c>
      <c r="E6" s="144" t="s">
        <v>124</v>
      </c>
      <c r="F6" s="145" t="s">
        <v>0</v>
      </c>
      <c r="G6" s="146" t="s">
        <v>245</v>
      </c>
      <c r="H6" s="147" t="s">
        <v>40</v>
      </c>
      <c r="I6" s="148" t="s">
        <v>246</v>
      </c>
      <c r="J6" s="146" t="s">
        <v>247</v>
      </c>
      <c r="K6" s="146" t="s">
        <v>248</v>
      </c>
      <c r="L6" s="146" t="s">
        <v>12</v>
      </c>
      <c r="M6" s="149" t="s">
        <v>249</v>
      </c>
      <c r="N6" s="144" t="s">
        <v>250</v>
      </c>
      <c r="O6" s="144" t="s">
        <v>251</v>
      </c>
      <c r="P6" s="144" t="s">
        <v>17</v>
      </c>
      <c r="Q6" s="145" t="s">
        <v>252</v>
      </c>
      <c r="R6" s="149" t="s">
        <v>82</v>
      </c>
      <c r="S6" s="149" t="s">
        <v>253</v>
      </c>
      <c r="T6" s="144" t="s">
        <v>13</v>
      </c>
      <c r="U6" s="145" t="s">
        <v>14</v>
      </c>
      <c r="V6" s="146" t="s">
        <v>15</v>
      </c>
      <c r="W6" s="146" t="s">
        <v>16</v>
      </c>
      <c r="X6" s="149" t="s">
        <v>33</v>
      </c>
      <c r="Y6" s="149" t="s">
        <v>70</v>
      </c>
      <c r="Z6" s="145" t="s">
        <v>34</v>
      </c>
      <c r="AA6" s="288"/>
      <c r="AB6" s="288"/>
      <c r="AC6" s="289" t="s">
        <v>244</v>
      </c>
      <c r="AD6" s="289" t="s">
        <v>118</v>
      </c>
      <c r="AE6" s="289" t="s">
        <v>119</v>
      </c>
      <c r="AF6" s="289" t="s">
        <v>47</v>
      </c>
      <c r="AG6" s="289" t="s">
        <v>126</v>
      </c>
      <c r="AH6" s="289" t="s">
        <v>117</v>
      </c>
      <c r="AI6" s="289" t="s">
        <v>45</v>
      </c>
      <c r="AJ6" s="289" t="s">
        <v>101</v>
      </c>
      <c r="AK6" s="289" t="s">
        <v>46</v>
      </c>
      <c r="AL6" s="289" t="s">
        <v>100</v>
      </c>
      <c r="AM6" s="289" t="s">
        <v>99</v>
      </c>
      <c r="AN6" s="289" t="s">
        <v>318</v>
      </c>
      <c r="AO6" s="289" t="s">
        <v>44</v>
      </c>
      <c r="AP6" s="289" t="s">
        <v>114</v>
      </c>
      <c r="AQ6" s="289" t="s">
        <v>115</v>
      </c>
      <c r="AR6" s="289" t="s">
        <v>116</v>
      </c>
      <c r="AS6" s="289" t="s">
        <v>89</v>
      </c>
    </row>
    <row r="7" spans="1:54" ht="15" customHeight="1">
      <c r="B7" s="203" t="s">
        <v>313</v>
      </c>
      <c r="C7" s="203" t="s">
        <v>313</v>
      </c>
      <c r="D7" s="203">
        <v>1234</v>
      </c>
      <c r="E7" s="203">
        <v>10000</v>
      </c>
      <c r="F7" s="203">
        <v>10</v>
      </c>
      <c r="G7" s="87">
        <f>VLOOKUP($M7,'UMC Table 4-A'!$A$10:$E$139,4,FALSE)</f>
        <v>4</v>
      </c>
      <c r="H7" s="87" t="str">
        <f>VLOOKUP($M7,'UMC Table 4-A'!$A$10:$E$139,5,FALSE)</f>
        <v>NR</v>
      </c>
      <c r="I7" s="88" t="str">
        <f t="shared" ref="I7:I17" si="0">IF(H7="Yes",K7,"-")</f>
        <v>-</v>
      </c>
      <c r="J7" s="116">
        <v>0</v>
      </c>
      <c r="K7" s="92">
        <f t="shared" ref="K7:K17" si="1">IF(G7&lt;&gt;"NR",ROUNDUP((E7*F7*G7)/60,-1),0)</f>
        <v>6670</v>
      </c>
      <c r="L7" s="89">
        <f>E7</f>
        <v>10000</v>
      </c>
      <c r="M7" s="83" t="s">
        <v>102</v>
      </c>
      <c r="N7" s="87" t="str">
        <f>VLOOKUP($M7,'UMC Table 4-A'!$A$10:$E$139,2,FALSE)</f>
        <v>NO REQUIREMENT FOR CONTINUOUS DIRECTIONAL CONTROL</v>
      </c>
      <c r="O7" s="91">
        <f>VLOOKUP($M7,'UMC Table 4-A'!$A$10:$E$139,3,FALSE)</f>
        <v>2</v>
      </c>
      <c r="P7" s="92">
        <f t="shared" ref="P7:P17" si="2">IF(O7&lt;&gt;"NR",ROUNDUP((E7*F7*O7)/60,-1),0)</f>
        <v>3340</v>
      </c>
      <c r="Q7" s="91" t="str">
        <f>VLOOKUP($M7,'UMC Table 4-A'!$A$10:$E$139,5,FALSE)</f>
        <v>NR</v>
      </c>
      <c r="R7" s="90">
        <f t="shared" ref="R7:R17" si="3">IF(N7="Negative",IF(OR(M7="Toilet room",M7="Janitor's closet, housekeeping"),0,IF(0.1*U7&gt;50,220-0.1*U7,U7-50)),IF(Q7="Yes",0,CEILING(MAX(J7:L7),5)))</f>
        <v>10000</v>
      </c>
      <c r="S7" s="119">
        <f t="shared" ref="S7:S17" si="4">R7</f>
        <v>10000</v>
      </c>
      <c r="T7" s="118">
        <f t="shared" ref="T7:T17" si="5">IF(Q7="Yes",0,IF(N7="Positive",IF(0.1*R7&gt;50,R7-0.1*R7,R7-50),IF(N7="Negative",IF(0.1*R7&gt;50,R7+0.1*R7,R7+50),R7)))</f>
        <v>10000</v>
      </c>
      <c r="U7" s="119">
        <f t="shared" ref="U7:U17" si="6">IF(Q7="Yes",I7,0)</f>
        <v>0</v>
      </c>
      <c r="V7" s="204">
        <f t="shared" ref="V7:V17" si="7">S7-T7-U7</f>
        <v>0</v>
      </c>
      <c r="W7" s="91" t="str">
        <f t="shared" ref="W7:W17" si="8">IF(R7-T7-U7+V7=0,"Yes","No")</f>
        <v>Yes</v>
      </c>
      <c r="X7" s="205">
        <f>IFERROR(R7/E7,"-")</f>
        <v>1</v>
      </c>
      <c r="Y7" s="206">
        <f t="shared" ref="Y7" si="9">(P7/S7)*100</f>
        <v>33.4</v>
      </c>
      <c r="Z7" s="207">
        <f t="shared" ref="Z7" si="10">R7/E7/F7*60</f>
        <v>6</v>
      </c>
      <c r="AC7" s="131" t="s">
        <v>258</v>
      </c>
      <c r="AD7" s="131" t="s">
        <v>121</v>
      </c>
      <c r="AE7" s="131" t="s">
        <v>127</v>
      </c>
      <c r="AF7" s="132">
        <f>SUMIF($B$7:$B$17,AC7,$S$7:$S$17)</f>
        <v>0</v>
      </c>
      <c r="AG7" s="132" t="str">
        <f>IFERROR((VLOOKUP(AF7,'DO NOT TOUCH'!$P$9:$Q$14,2,TRUE)),"TBD")</f>
        <v>TBD</v>
      </c>
      <c r="AH7" s="132">
        <v>0.5</v>
      </c>
      <c r="AI7" s="132">
        <f>INPUT_OUTPUTS!$C$16</f>
        <v>140</v>
      </c>
      <c r="AJ7" s="132">
        <f>INPUT_OUTPUTS!$C$17</f>
        <v>100</v>
      </c>
      <c r="AK7" s="132">
        <v>55</v>
      </c>
      <c r="AL7" s="132">
        <v>85</v>
      </c>
      <c r="AM7" s="132">
        <f t="shared" ref="AM7:AM44" si="11">MROUND((1.08*(AL7-AK7)*AF7)/1000,0.1)</f>
        <v>0</v>
      </c>
      <c r="AN7" s="133">
        <f>(AM7*1000)/(500*(AI7-AJ7))</f>
        <v>0</v>
      </c>
      <c r="AO7" s="133">
        <f>IF(AN7&lt;0.5,0.5,AN7)</f>
        <v>0.5</v>
      </c>
      <c r="AP7" s="133">
        <v>5</v>
      </c>
      <c r="AQ7" s="133" t="str">
        <f>IFERROR((_xlfn.XLOOKUP(AG7,'DO NOT TOUCH'!$Q$9:$Q$14,'DO NOT TOUCH'!$R$9:$R$14,)),"TBD")</f>
        <v>TBD</v>
      </c>
      <c r="AR7" s="133" t="str">
        <f>INPUT_OUTPUTS!$C$19</f>
        <v>C1/M-501</v>
      </c>
      <c r="AS7" s="132" t="s">
        <v>122</v>
      </c>
    </row>
    <row r="8" spans="1:54" ht="15" customHeight="1">
      <c r="B8" s="203" t="s">
        <v>313</v>
      </c>
      <c r="C8" s="203" t="s">
        <v>313</v>
      </c>
      <c r="D8" s="203">
        <v>1234</v>
      </c>
      <c r="E8" s="203">
        <v>10000</v>
      </c>
      <c r="F8" s="203">
        <v>9.5</v>
      </c>
      <c r="G8" s="83">
        <f>VLOOKUP($M8,'UMC Table 4-A'!$A$10:$E$139,4,FALSE)</f>
        <v>4</v>
      </c>
      <c r="H8" s="83" t="str">
        <f>VLOOKUP($M8,'UMC Table 4-A'!$A$10:$E$139,5,FALSE)</f>
        <v>NR</v>
      </c>
      <c r="I8" s="80" t="str">
        <f t="shared" si="0"/>
        <v>-</v>
      </c>
      <c r="J8" s="117">
        <v>0</v>
      </c>
      <c r="K8" s="93">
        <f t="shared" si="1"/>
        <v>6340</v>
      </c>
      <c r="L8" s="84">
        <f t="shared" ref="L8:L17" si="12">E8</f>
        <v>10000</v>
      </c>
      <c r="M8" s="83" t="s">
        <v>102</v>
      </c>
      <c r="N8" s="83" t="str">
        <f>VLOOKUP($M8,'UMC Table 4-A'!$A$10:$E$139,2,FALSE)</f>
        <v>NO REQUIREMENT FOR CONTINUOUS DIRECTIONAL CONTROL</v>
      </c>
      <c r="O8" s="81">
        <f>VLOOKUP($M8,'UMC Table 4-A'!$A$10:$E$139,3,FALSE)</f>
        <v>2</v>
      </c>
      <c r="P8" s="93">
        <f t="shared" si="2"/>
        <v>3170</v>
      </c>
      <c r="Q8" s="81" t="str">
        <f>VLOOKUP($M8,'UMC Table 4-A'!$A$10:$E$139,5,FALSE)</f>
        <v>NR</v>
      </c>
      <c r="R8" s="82">
        <f t="shared" si="3"/>
        <v>10000</v>
      </c>
      <c r="S8" s="119">
        <f t="shared" si="4"/>
        <v>10000</v>
      </c>
      <c r="T8" s="119">
        <f t="shared" si="5"/>
        <v>10000</v>
      </c>
      <c r="U8" s="119">
        <f t="shared" si="6"/>
        <v>0</v>
      </c>
      <c r="V8" s="208">
        <f t="shared" si="7"/>
        <v>0</v>
      </c>
      <c r="W8" s="81" t="str">
        <f t="shared" si="8"/>
        <v>Yes</v>
      </c>
      <c r="X8" s="207">
        <f>IFERROR(R8/E8,"-")</f>
        <v>1</v>
      </c>
      <c r="Y8" s="206">
        <f>IFERROR(((P8/S8)*100),"-")</f>
        <v>31.7</v>
      </c>
      <c r="Z8" s="207">
        <f>IFERROR((R8/E8/F8*60),"-")</f>
        <v>6.3157894736842106</v>
      </c>
      <c r="AC8" s="131" t="s">
        <v>259</v>
      </c>
      <c r="AD8" s="131" t="s">
        <v>121</v>
      </c>
      <c r="AE8" s="131" t="s">
        <v>127</v>
      </c>
      <c r="AF8" s="132">
        <f>SUMIF($B$7:$B$17,AC8,$S$7:$S$17)</f>
        <v>0</v>
      </c>
      <c r="AG8" s="132" t="str">
        <f>IFERROR((VLOOKUP(AF8,'DO NOT TOUCH'!$P$9:$Q$14,2,TRUE)),"TBD")</f>
        <v>TBD</v>
      </c>
      <c r="AH8" s="132">
        <f>AH7</f>
        <v>0.5</v>
      </c>
      <c r="AI8" s="132">
        <f>INPUT_OUTPUTS!$C$16</f>
        <v>140</v>
      </c>
      <c r="AJ8" s="132">
        <f>INPUT_OUTPUTS!$C$17</f>
        <v>100</v>
      </c>
      <c r="AK8" s="132">
        <f t="shared" ref="AK8:AL23" si="13">AK7</f>
        <v>55</v>
      </c>
      <c r="AL8" s="132">
        <f t="shared" si="13"/>
        <v>85</v>
      </c>
      <c r="AM8" s="132">
        <f t="shared" si="11"/>
        <v>0</v>
      </c>
      <c r="AN8" s="133">
        <f>(AM8*1000)/(500*(AI8-AJ8))</f>
        <v>0</v>
      </c>
      <c r="AO8" s="133">
        <f t="shared" ref="AO8:AO44" si="14">IF(AN8&lt;0.5,0.5,AN8)</f>
        <v>0.5</v>
      </c>
      <c r="AP8" s="133">
        <f>AP7</f>
        <v>5</v>
      </c>
      <c r="AQ8" s="133" t="str">
        <f>IFERROR((_xlfn.XLOOKUP(AG8,'DO NOT TOUCH'!$Q$9:$Q$14,'DO NOT TOUCH'!$R$9:$R$14,)),"TBD")</f>
        <v>TBD</v>
      </c>
      <c r="AR8" s="133" t="str">
        <f>INPUT_OUTPUTS!$C$19</f>
        <v>C1/M-501</v>
      </c>
      <c r="AS8" s="132" t="str">
        <f>AS7</f>
        <v>1, 2</v>
      </c>
    </row>
    <row r="9" spans="1:54" ht="15" customHeight="1">
      <c r="B9" s="203" t="s">
        <v>319</v>
      </c>
      <c r="C9" s="203" t="s">
        <v>313</v>
      </c>
      <c r="D9" s="203">
        <v>1234</v>
      </c>
      <c r="E9" s="203">
        <v>10000</v>
      </c>
      <c r="F9" s="203">
        <v>10</v>
      </c>
      <c r="G9" s="83">
        <f>VLOOKUP($M9,'UMC Table 4-A'!$A$10:$E$139,4,FALSE)</f>
        <v>4</v>
      </c>
      <c r="H9" s="83" t="str">
        <f>VLOOKUP($M9,'UMC Table 4-A'!$A$10:$E$139,5,FALSE)</f>
        <v>NR</v>
      </c>
      <c r="I9" s="80" t="str">
        <f t="shared" si="0"/>
        <v>-</v>
      </c>
      <c r="J9" s="117">
        <v>0</v>
      </c>
      <c r="K9" s="93">
        <f t="shared" si="1"/>
        <v>6670</v>
      </c>
      <c r="L9" s="84">
        <f t="shared" si="12"/>
        <v>10000</v>
      </c>
      <c r="M9" s="83" t="s">
        <v>102</v>
      </c>
      <c r="N9" s="83" t="str">
        <f>VLOOKUP($M9,'UMC Table 4-A'!$A$10:$E$139,2,FALSE)</f>
        <v>NO REQUIREMENT FOR CONTINUOUS DIRECTIONAL CONTROL</v>
      </c>
      <c r="O9" s="81">
        <f>VLOOKUP($M9,'UMC Table 4-A'!$A$10:$E$139,3,FALSE)</f>
        <v>2</v>
      </c>
      <c r="P9" s="93">
        <f t="shared" si="2"/>
        <v>3340</v>
      </c>
      <c r="Q9" s="81" t="str">
        <f>VLOOKUP($M9,'UMC Table 4-A'!$A$10:$E$139,5,FALSE)</f>
        <v>NR</v>
      </c>
      <c r="R9" s="82">
        <f t="shared" si="3"/>
        <v>10000</v>
      </c>
      <c r="S9" s="119">
        <f t="shared" si="4"/>
        <v>10000</v>
      </c>
      <c r="T9" s="119">
        <f t="shared" si="5"/>
        <v>10000</v>
      </c>
      <c r="U9" s="119">
        <f t="shared" si="6"/>
        <v>0</v>
      </c>
      <c r="V9" s="208">
        <f t="shared" si="7"/>
        <v>0</v>
      </c>
      <c r="W9" s="81" t="str">
        <f t="shared" si="8"/>
        <v>Yes</v>
      </c>
      <c r="X9" s="207">
        <f t="shared" ref="X9:X17" si="15">IFERROR(R9/E9,"-")</f>
        <v>1</v>
      </c>
      <c r="Y9" s="206">
        <f t="shared" ref="Y9:Y17" si="16">IFERROR(((P9/S9)*100),"-")</f>
        <v>33.4</v>
      </c>
      <c r="Z9" s="207">
        <f t="shared" ref="Z9:Z17" si="17">IFERROR((R9/E9/F9*60),"-")</f>
        <v>6</v>
      </c>
      <c r="AC9" s="131" t="s">
        <v>260</v>
      </c>
      <c r="AD9" s="131" t="s">
        <v>121</v>
      </c>
      <c r="AE9" s="131" t="s">
        <v>127</v>
      </c>
      <c r="AF9" s="132">
        <f>SUMIF($B$7:$B$17,AC9,$S$7:$S$17)</f>
        <v>0</v>
      </c>
      <c r="AG9" s="132" t="str">
        <f>IFERROR((VLOOKUP(AF9,'DO NOT TOUCH'!$P$9:$Q$14,2,TRUE)),"TBD")</f>
        <v>TBD</v>
      </c>
      <c r="AH9" s="132">
        <f t="shared" ref="AH9:AH44" si="18">AH8</f>
        <v>0.5</v>
      </c>
      <c r="AI9" s="132">
        <f>INPUT_OUTPUTS!$C$16</f>
        <v>140</v>
      </c>
      <c r="AJ9" s="132">
        <f>INPUT_OUTPUTS!$C$17</f>
        <v>100</v>
      </c>
      <c r="AK9" s="132">
        <f t="shared" si="13"/>
        <v>55</v>
      </c>
      <c r="AL9" s="132">
        <f t="shared" si="13"/>
        <v>85</v>
      </c>
      <c r="AM9" s="132">
        <f t="shared" si="11"/>
        <v>0</v>
      </c>
      <c r="AN9" s="133">
        <f t="shared" ref="AN9:AN44" si="19">(AM9*1000)/(500*(AI9-AJ9))</f>
        <v>0</v>
      </c>
      <c r="AO9" s="133">
        <f t="shared" si="14"/>
        <v>0.5</v>
      </c>
      <c r="AP9" s="133">
        <f t="shared" ref="AP9:AP44" si="20">AP8</f>
        <v>5</v>
      </c>
      <c r="AQ9" s="133" t="str">
        <f>IFERROR((_xlfn.XLOOKUP(AG9,'DO NOT TOUCH'!$Q$9:$Q$14,'DO NOT TOUCH'!$R$9:$R$14,)),"TBD")</f>
        <v>TBD</v>
      </c>
      <c r="AR9" s="133" t="str">
        <f>INPUT_OUTPUTS!$C$19</f>
        <v>C1/M-501</v>
      </c>
      <c r="AS9" s="132" t="str">
        <f t="shared" ref="AS9:AS44" si="21">AS8</f>
        <v>1, 2</v>
      </c>
    </row>
    <row r="10" spans="1:54" ht="15" customHeight="1">
      <c r="B10" s="203" t="s">
        <v>320</v>
      </c>
      <c r="C10" s="203" t="s">
        <v>313</v>
      </c>
      <c r="D10" s="203">
        <v>1234</v>
      </c>
      <c r="E10" s="203">
        <v>10000</v>
      </c>
      <c r="F10" s="203">
        <v>10</v>
      </c>
      <c r="G10" s="83">
        <f>VLOOKUP($M10,'UMC Table 4-A'!$A$10:$E$139,4,FALSE)</f>
        <v>4</v>
      </c>
      <c r="H10" s="83" t="str">
        <f>VLOOKUP($M10,'UMC Table 4-A'!$A$10:$E$139,5,FALSE)</f>
        <v>NR</v>
      </c>
      <c r="I10" s="80" t="str">
        <f t="shared" si="0"/>
        <v>-</v>
      </c>
      <c r="J10" s="117">
        <v>0</v>
      </c>
      <c r="K10" s="93">
        <f t="shared" si="1"/>
        <v>6670</v>
      </c>
      <c r="L10" s="84">
        <f t="shared" si="12"/>
        <v>10000</v>
      </c>
      <c r="M10" s="83" t="s">
        <v>102</v>
      </c>
      <c r="N10" s="83" t="str">
        <f>VLOOKUP($M10,'UMC Table 4-A'!$A$10:$E$139,2,FALSE)</f>
        <v>NO REQUIREMENT FOR CONTINUOUS DIRECTIONAL CONTROL</v>
      </c>
      <c r="O10" s="81">
        <f>VLOOKUP($M10,'UMC Table 4-A'!$A$10:$E$139,3,FALSE)</f>
        <v>2</v>
      </c>
      <c r="P10" s="93">
        <f t="shared" si="2"/>
        <v>3340</v>
      </c>
      <c r="Q10" s="81" t="str">
        <f>VLOOKUP($M10,'UMC Table 4-A'!$A$10:$E$139,5,FALSE)</f>
        <v>NR</v>
      </c>
      <c r="R10" s="82">
        <f t="shared" si="3"/>
        <v>10000</v>
      </c>
      <c r="S10" s="119">
        <f t="shared" si="4"/>
        <v>10000</v>
      </c>
      <c r="T10" s="119">
        <f t="shared" si="5"/>
        <v>10000</v>
      </c>
      <c r="U10" s="119">
        <f t="shared" si="6"/>
        <v>0</v>
      </c>
      <c r="V10" s="208">
        <f t="shared" si="7"/>
        <v>0</v>
      </c>
      <c r="W10" s="81" t="str">
        <f t="shared" si="8"/>
        <v>Yes</v>
      </c>
      <c r="X10" s="207">
        <f t="shared" si="15"/>
        <v>1</v>
      </c>
      <c r="Y10" s="206">
        <f t="shared" si="16"/>
        <v>33.4</v>
      </c>
      <c r="Z10" s="207">
        <f t="shared" si="17"/>
        <v>6</v>
      </c>
      <c r="AC10" s="131" t="s">
        <v>261</v>
      </c>
      <c r="AD10" s="131" t="s">
        <v>121</v>
      </c>
      <c r="AE10" s="131" t="s">
        <v>127</v>
      </c>
      <c r="AF10" s="132">
        <f>SUMIF($B$7:$B$17,AC10,$S$7:$S$17)</f>
        <v>0</v>
      </c>
      <c r="AG10" s="132" t="str">
        <f>IFERROR((VLOOKUP(AF10,'DO NOT TOUCH'!$P$9:$Q$14,2,TRUE)),"TBD")</f>
        <v>TBD</v>
      </c>
      <c r="AH10" s="132">
        <f t="shared" si="18"/>
        <v>0.5</v>
      </c>
      <c r="AI10" s="132">
        <f>INPUT_OUTPUTS!$C$16</f>
        <v>140</v>
      </c>
      <c r="AJ10" s="132">
        <f>INPUT_OUTPUTS!$C$17</f>
        <v>100</v>
      </c>
      <c r="AK10" s="132">
        <f t="shared" si="13"/>
        <v>55</v>
      </c>
      <c r="AL10" s="132">
        <f t="shared" si="13"/>
        <v>85</v>
      </c>
      <c r="AM10" s="132">
        <f t="shared" si="11"/>
        <v>0</v>
      </c>
      <c r="AN10" s="133">
        <f t="shared" si="19"/>
        <v>0</v>
      </c>
      <c r="AO10" s="133">
        <f t="shared" si="14"/>
        <v>0.5</v>
      </c>
      <c r="AP10" s="133">
        <f t="shared" si="20"/>
        <v>5</v>
      </c>
      <c r="AQ10" s="133" t="str">
        <f>IFERROR((_xlfn.XLOOKUP(AG10,'DO NOT TOUCH'!$Q$9:$Q$14,'DO NOT TOUCH'!$R$9:$R$14,)),"TBD")</f>
        <v>TBD</v>
      </c>
      <c r="AR10" s="133" t="str">
        <f>INPUT_OUTPUTS!$C$19</f>
        <v>C1/M-501</v>
      </c>
      <c r="AS10" s="132" t="str">
        <f t="shared" si="21"/>
        <v>1, 2</v>
      </c>
    </row>
    <row r="11" spans="1:54" ht="15" customHeight="1">
      <c r="B11" s="203" t="s">
        <v>321</v>
      </c>
      <c r="C11" s="203" t="s">
        <v>313</v>
      </c>
      <c r="D11" s="203">
        <v>1234</v>
      </c>
      <c r="E11" s="203">
        <v>10000</v>
      </c>
      <c r="F11" s="203">
        <v>10</v>
      </c>
      <c r="G11" s="83">
        <f>VLOOKUP($M11,'UMC Table 4-A'!$A$10:$E$139,4,FALSE)</f>
        <v>4</v>
      </c>
      <c r="H11" s="83" t="str">
        <f>VLOOKUP($M11,'UMC Table 4-A'!$A$10:$E$139,5,FALSE)</f>
        <v>NR</v>
      </c>
      <c r="I11" s="80" t="str">
        <f t="shared" si="0"/>
        <v>-</v>
      </c>
      <c r="J11" s="117">
        <v>0</v>
      </c>
      <c r="K11" s="93">
        <f t="shared" si="1"/>
        <v>6670</v>
      </c>
      <c r="L11" s="84">
        <f t="shared" si="12"/>
        <v>10000</v>
      </c>
      <c r="M11" s="83" t="s">
        <v>102</v>
      </c>
      <c r="N11" s="83" t="str">
        <f>VLOOKUP($M11,'UMC Table 4-A'!$A$10:$E$139,2,FALSE)</f>
        <v>NO REQUIREMENT FOR CONTINUOUS DIRECTIONAL CONTROL</v>
      </c>
      <c r="O11" s="81">
        <f>VLOOKUP($M11,'UMC Table 4-A'!$A$10:$E$139,3,FALSE)</f>
        <v>2</v>
      </c>
      <c r="P11" s="93">
        <f t="shared" si="2"/>
        <v>3340</v>
      </c>
      <c r="Q11" s="81" t="str">
        <f>VLOOKUP($M11,'UMC Table 4-A'!$A$10:$E$139,5,FALSE)</f>
        <v>NR</v>
      </c>
      <c r="R11" s="82">
        <f t="shared" si="3"/>
        <v>10000</v>
      </c>
      <c r="S11" s="119">
        <f t="shared" si="4"/>
        <v>10000</v>
      </c>
      <c r="T11" s="119">
        <f t="shared" si="5"/>
        <v>10000</v>
      </c>
      <c r="U11" s="119">
        <f t="shared" si="6"/>
        <v>0</v>
      </c>
      <c r="V11" s="208">
        <f t="shared" si="7"/>
        <v>0</v>
      </c>
      <c r="W11" s="81" t="str">
        <f t="shared" si="8"/>
        <v>Yes</v>
      </c>
      <c r="X11" s="207">
        <f t="shared" si="15"/>
        <v>1</v>
      </c>
      <c r="Y11" s="206">
        <f t="shared" si="16"/>
        <v>33.4</v>
      </c>
      <c r="Z11" s="207">
        <f t="shared" si="17"/>
        <v>6</v>
      </c>
      <c r="AC11" s="131" t="s">
        <v>262</v>
      </c>
      <c r="AD11" s="131" t="s">
        <v>121</v>
      </c>
      <c r="AE11" s="131" t="s">
        <v>127</v>
      </c>
      <c r="AF11" s="132">
        <f>SUMIF($B$7:$B$17,AC11,$S$7:$S$17)</f>
        <v>0</v>
      </c>
      <c r="AG11" s="132" t="str">
        <f>IFERROR((VLOOKUP(AF11,'DO NOT TOUCH'!$P$9:$Q$14,2,TRUE)),"TBD")</f>
        <v>TBD</v>
      </c>
      <c r="AH11" s="132">
        <f t="shared" si="18"/>
        <v>0.5</v>
      </c>
      <c r="AI11" s="132">
        <f>INPUT_OUTPUTS!$C$16</f>
        <v>140</v>
      </c>
      <c r="AJ11" s="132">
        <f>INPUT_OUTPUTS!$C$17</f>
        <v>100</v>
      </c>
      <c r="AK11" s="132">
        <f t="shared" si="13"/>
        <v>55</v>
      </c>
      <c r="AL11" s="132">
        <f t="shared" si="13"/>
        <v>85</v>
      </c>
      <c r="AM11" s="132">
        <f t="shared" si="11"/>
        <v>0</v>
      </c>
      <c r="AN11" s="133">
        <f t="shared" si="19"/>
        <v>0</v>
      </c>
      <c r="AO11" s="133">
        <f t="shared" si="14"/>
        <v>0.5</v>
      </c>
      <c r="AP11" s="133">
        <f t="shared" si="20"/>
        <v>5</v>
      </c>
      <c r="AQ11" s="133" t="str">
        <f>IFERROR((_xlfn.XLOOKUP(AG11,'DO NOT TOUCH'!$Q$9:$Q$14,'DO NOT TOUCH'!$R$9:$R$14,)),"TBD")</f>
        <v>TBD</v>
      </c>
      <c r="AR11" s="133" t="str">
        <f>INPUT_OUTPUTS!$C$19</f>
        <v>C1/M-501</v>
      </c>
      <c r="AS11" s="132" t="str">
        <f t="shared" si="21"/>
        <v>1, 2</v>
      </c>
    </row>
    <row r="12" spans="1:54" ht="15" customHeight="1">
      <c r="B12" s="203" t="s">
        <v>321</v>
      </c>
      <c r="C12" s="203" t="s">
        <v>313</v>
      </c>
      <c r="D12" s="203">
        <v>1234</v>
      </c>
      <c r="E12" s="203">
        <v>10000</v>
      </c>
      <c r="F12" s="203">
        <v>10</v>
      </c>
      <c r="G12" s="83">
        <f>VLOOKUP($M12,'UMC Table 4-A'!$A$10:$E$139,4,FALSE)</f>
        <v>4</v>
      </c>
      <c r="H12" s="83" t="str">
        <f>VLOOKUP($M12,'UMC Table 4-A'!$A$10:$E$139,5,FALSE)</f>
        <v>NR</v>
      </c>
      <c r="I12" s="80" t="str">
        <f t="shared" si="0"/>
        <v>-</v>
      </c>
      <c r="J12" s="117">
        <v>0</v>
      </c>
      <c r="K12" s="93">
        <f t="shared" si="1"/>
        <v>6670</v>
      </c>
      <c r="L12" s="84">
        <f t="shared" si="12"/>
        <v>10000</v>
      </c>
      <c r="M12" s="83" t="s">
        <v>102</v>
      </c>
      <c r="N12" s="83" t="str">
        <f>VLOOKUP($M12,'UMC Table 4-A'!$A$10:$E$139,2,FALSE)</f>
        <v>NO REQUIREMENT FOR CONTINUOUS DIRECTIONAL CONTROL</v>
      </c>
      <c r="O12" s="81">
        <f>VLOOKUP($M12,'UMC Table 4-A'!$A$10:$E$139,3,FALSE)</f>
        <v>2</v>
      </c>
      <c r="P12" s="93">
        <f t="shared" si="2"/>
        <v>3340</v>
      </c>
      <c r="Q12" s="81" t="str">
        <f>VLOOKUP($M12,'UMC Table 4-A'!$A$10:$E$139,5,FALSE)</f>
        <v>NR</v>
      </c>
      <c r="R12" s="82">
        <f t="shared" si="3"/>
        <v>10000</v>
      </c>
      <c r="S12" s="119">
        <f t="shared" si="4"/>
        <v>10000</v>
      </c>
      <c r="T12" s="119">
        <f t="shared" si="5"/>
        <v>10000</v>
      </c>
      <c r="U12" s="119">
        <f t="shared" si="6"/>
        <v>0</v>
      </c>
      <c r="V12" s="208">
        <f t="shared" si="7"/>
        <v>0</v>
      </c>
      <c r="W12" s="81" t="str">
        <f t="shared" si="8"/>
        <v>Yes</v>
      </c>
      <c r="X12" s="207">
        <f t="shared" si="15"/>
        <v>1</v>
      </c>
      <c r="Y12" s="206">
        <f t="shared" si="16"/>
        <v>33.4</v>
      </c>
      <c r="Z12" s="207">
        <f t="shared" si="17"/>
        <v>6</v>
      </c>
      <c r="AC12" s="131" t="s">
        <v>263</v>
      </c>
      <c r="AD12" s="131" t="s">
        <v>121</v>
      </c>
      <c r="AE12" s="131" t="s">
        <v>127</v>
      </c>
      <c r="AF12" s="132">
        <f>SUMIF($B$7:$B$17,AC12,$S$7:$S$17)</f>
        <v>0</v>
      </c>
      <c r="AG12" s="132" t="str">
        <f>IFERROR((VLOOKUP(AF12,'DO NOT TOUCH'!$P$9:$Q$14,2,TRUE)),"TBD")</f>
        <v>TBD</v>
      </c>
      <c r="AH12" s="132">
        <f t="shared" si="18"/>
        <v>0.5</v>
      </c>
      <c r="AI12" s="132">
        <f>INPUT_OUTPUTS!$C$16</f>
        <v>140</v>
      </c>
      <c r="AJ12" s="132">
        <f>INPUT_OUTPUTS!$C$17</f>
        <v>100</v>
      </c>
      <c r="AK12" s="132">
        <f t="shared" si="13"/>
        <v>55</v>
      </c>
      <c r="AL12" s="132">
        <f t="shared" si="13"/>
        <v>85</v>
      </c>
      <c r="AM12" s="132">
        <f t="shared" si="11"/>
        <v>0</v>
      </c>
      <c r="AN12" s="133">
        <f t="shared" si="19"/>
        <v>0</v>
      </c>
      <c r="AO12" s="133">
        <f t="shared" si="14"/>
        <v>0.5</v>
      </c>
      <c r="AP12" s="133">
        <f t="shared" si="20"/>
        <v>5</v>
      </c>
      <c r="AQ12" s="133" t="str">
        <f>IFERROR((_xlfn.XLOOKUP(AG12,'DO NOT TOUCH'!$Q$9:$Q$14,'DO NOT TOUCH'!$R$9:$R$14,)),"TBD")</f>
        <v>TBD</v>
      </c>
      <c r="AR12" s="133" t="str">
        <f>INPUT_OUTPUTS!$C$19</f>
        <v>C1/M-501</v>
      </c>
      <c r="AS12" s="132" t="str">
        <f t="shared" si="21"/>
        <v>1, 2</v>
      </c>
    </row>
    <row r="13" spans="1:54" ht="15" customHeight="1">
      <c r="B13" s="203" t="s">
        <v>322</v>
      </c>
      <c r="C13" s="203" t="s">
        <v>313</v>
      </c>
      <c r="D13" s="203">
        <v>1234</v>
      </c>
      <c r="E13" s="203">
        <v>10000</v>
      </c>
      <c r="F13" s="203">
        <v>10</v>
      </c>
      <c r="G13" s="83">
        <f>VLOOKUP($M13,'UMC Table 4-A'!$A$10:$E$139,4,FALSE)</f>
        <v>4</v>
      </c>
      <c r="H13" s="83" t="str">
        <f>VLOOKUP($M13,'UMC Table 4-A'!$A$10:$E$139,5,FALSE)</f>
        <v>NR</v>
      </c>
      <c r="I13" s="80" t="str">
        <f t="shared" si="0"/>
        <v>-</v>
      </c>
      <c r="J13" s="117">
        <v>0</v>
      </c>
      <c r="K13" s="93">
        <f t="shared" si="1"/>
        <v>6670</v>
      </c>
      <c r="L13" s="84">
        <f t="shared" si="12"/>
        <v>10000</v>
      </c>
      <c r="M13" s="83" t="s">
        <v>102</v>
      </c>
      <c r="N13" s="83" t="str">
        <f>VLOOKUP($M13,'UMC Table 4-A'!$A$10:$E$139,2,FALSE)</f>
        <v>NO REQUIREMENT FOR CONTINUOUS DIRECTIONAL CONTROL</v>
      </c>
      <c r="O13" s="81">
        <f>VLOOKUP($M13,'UMC Table 4-A'!$A$10:$E$139,3,FALSE)</f>
        <v>2</v>
      </c>
      <c r="P13" s="93">
        <f t="shared" si="2"/>
        <v>3340</v>
      </c>
      <c r="Q13" s="81" t="str">
        <f>VLOOKUP($M13,'UMC Table 4-A'!$A$10:$E$139,5,FALSE)</f>
        <v>NR</v>
      </c>
      <c r="R13" s="82">
        <f t="shared" si="3"/>
        <v>10000</v>
      </c>
      <c r="S13" s="119">
        <f t="shared" si="4"/>
        <v>10000</v>
      </c>
      <c r="T13" s="119">
        <f t="shared" si="5"/>
        <v>10000</v>
      </c>
      <c r="U13" s="119">
        <f t="shared" si="6"/>
        <v>0</v>
      </c>
      <c r="V13" s="208">
        <f t="shared" si="7"/>
        <v>0</v>
      </c>
      <c r="W13" s="81" t="str">
        <f t="shared" si="8"/>
        <v>Yes</v>
      </c>
      <c r="X13" s="207">
        <f t="shared" si="15"/>
        <v>1</v>
      </c>
      <c r="Y13" s="206">
        <f t="shared" si="16"/>
        <v>33.4</v>
      </c>
      <c r="Z13" s="207">
        <f t="shared" si="17"/>
        <v>6</v>
      </c>
      <c r="AC13" s="134" t="s">
        <v>264</v>
      </c>
      <c r="AD13" s="131" t="s">
        <v>121</v>
      </c>
      <c r="AE13" s="131" t="s">
        <v>127</v>
      </c>
      <c r="AF13" s="132">
        <f>SUMIF($B$7:$B$17,AC13,$S$7:$S$17)</f>
        <v>0</v>
      </c>
      <c r="AG13" s="132" t="str">
        <f>IFERROR((VLOOKUP(AF13,'DO NOT TOUCH'!$P$9:$Q$14,2,TRUE)),"TBD")</f>
        <v>TBD</v>
      </c>
      <c r="AH13" s="132">
        <f t="shared" si="18"/>
        <v>0.5</v>
      </c>
      <c r="AI13" s="132">
        <f>INPUT_OUTPUTS!$C$16</f>
        <v>140</v>
      </c>
      <c r="AJ13" s="132">
        <f>INPUT_OUTPUTS!$C$17</f>
        <v>100</v>
      </c>
      <c r="AK13" s="132">
        <f t="shared" si="13"/>
        <v>55</v>
      </c>
      <c r="AL13" s="132">
        <f t="shared" si="13"/>
        <v>85</v>
      </c>
      <c r="AM13" s="132">
        <f t="shared" si="11"/>
        <v>0</v>
      </c>
      <c r="AN13" s="133">
        <f t="shared" si="19"/>
        <v>0</v>
      </c>
      <c r="AO13" s="133">
        <f t="shared" si="14"/>
        <v>0.5</v>
      </c>
      <c r="AP13" s="133">
        <f t="shared" si="20"/>
        <v>5</v>
      </c>
      <c r="AQ13" s="133" t="str">
        <f>IFERROR((_xlfn.XLOOKUP(AG13,'DO NOT TOUCH'!$Q$9:$Q$14,'DO NOT TOUCH'!$R$9:$R$14,)),"TBD")</f>
        <v>TBD</v>
      </c>
      <c r="AR13" s="133" t="str">
        <f>INPUT_OUTPUTS!$C$19</f>
        <v>C1/M-501</v>
      </c>
      <c r="AS13" s="135" t="str">
        <f t="shared" si="21"/>
        <v>1, 2</v>
      </c>
    </row>
    <row r="14" spans="1:54" ht="15" customHeight="1">
      <c r="B14" s="203" t="s">
        <v>323</v>
      </c>
      <c r="C14" s="203" t="s">
        <v>313</v>
      </c>
      <c r="D14" s="203">
        <v>1234</v>
      </c>
      <c r="E14" s="203">
        <v>10000</v>
      </c>
      <c r="F14" s="203">
        <v>10</v>
      </c>
      <c r="G14" s="83">
        <f>VLOOKUP($M14,'UMC Table 4-A'!$A$10:$E$139,4,FALSE)</f>
        <v>4</v>
      </c>
      <c r="H14" s="83" t="str">
        <f>VLOOKUP($M14,'UMC Table 4-A'!$A$10:$E$139,5,FALSE)</f>
        <v>NR</v>
      </c>
      <c r="I14" s="80" t="str">
        <f t="shared" si="0"/>
        <v>-</v>
      </c>
      <c r="J14" s="117">
        <v>0</v>
      </c>
      <c r="K14" s="93">
        <f t="shared" si="1"/>
        <v>6670</v>
      </c>
      <c r="L14" s="84">
        <f t="shared" si="12"/>
        <v>10000</v>
      </c>
      <c r="M14" s="83" t="s">
        <v>102</v>
      </c>
      <c r="N14" s="83" t="str">
        <f>VLOOKUP($M14,'UMC Table 4-A'!$A$10:$E$139,2,FALSE)</f>
        <v>NO REQUIREMENT FOR CONTINUOUS DIRECTIONAL CONTROL</v>
      </c>
      <c r="O14" s="81">
        <f>VLOOKUP($M14,'UMC Table 4-A'!$A$10:$E$139,3,FALSE)</f>
        <v>2</v>
      </c>
      <c r="P14" s="93">
        <f t="shared" si="2"/>
        <v>3340</v>
      </c>
      <c r="Q14" s="81" t="str">
        <f>VLOOKUP($M14,'UMC Table 4-A'!$A$10:$E$139,5,FALSE)</f>
        <v>NR</v>
      </c>
      <c r="R14" s="82">
        <f t="shared" si="3"/>
        <v>10000</v>
      </c>
      <c r="S14" s="119">
        <f t="shared" si="4"/>
        <v>10000</v>
      </c>
      <c r="T14" s="119">
        <f t="shared" si="5"/>
        <v>10000</v>
      </c>
      <c r="U14" s="119">
        <f t="shared" si="6"/>
        <v>0</v>
      </c>
      <c r="V14" s="208">
        <f t="shared" si="7"/>
        <v>0</v>
      </c>
      <c r="W14" s="81" t="str">
        <f t="shared" si="8"/>
        <v>Yes</v>
      </c>
      <c r="X14" s="207">
        <f t="shared" si="15"/>
        <v>1</v>
      </c>
      <c r="Y14" s="206">
        <f t="shared" si="16"/>
        <v>33.4</v>
      </c>
      <c r="Z14" s="207">
        <f t="shared" si="17"/>
        <v>6</v>
      </c>
      <c r="AC14" s="134" t="s">
        <v>265</v>
      </c>
      <c r="AD14" s="131" t="s">
        <v>121</v>
      </c>
      <c r="AE14" s="131" t="s">
        <v>127</v>
      </c>
      <c r="AF14" s="132">
        <f>SUMIF($B$7:$B$17,AC14,$S$7:$S$17)</f>
        <v>0</v>
      </c>
      <c r="AG14" s="132" t="str">
        <f>IFERROR((VLOOKUP(AF14,'DO NOT TOUCH'!$P$9:$Q$14,2,TRUE)),"TBD")</f>
        <v>TBD</v>
      </c>
      <c r="AH14" s="132">
        <f t="shared" si="18"/>
        <v>0.5</v>
      </c>
      <c r="AI14" s="132">
        <f>INPUT_OUTPUTS!$C$16</f>
        <v>140</v>
      </c>
      <c r="AJ14" s="132">
        <f>INPUT_OUTPUTS!$C$17</f>
        <v>100</v>
      </c>
      <c r="AK14" s="132">
        <f t="shared" si="13"/>
        <v>55</v>
      </c>
      <c r="AL14" s="132">
        <f t="shared" si="13"/>
        <v>85</v>
      </c>
      <c r="AM14" s="132">
        <f t="shared" si="11"/>
        <v>0</v>
      </c>
      <c r="AN14" s="133">
        <f t="shared" si="19"/>
        <v>0</v>
      </c>
      <c r="AO14" s="133">
        <f t="shared" si="14"/>
        <v>0.5</v>
      </c>
      <c r="AP14" s="133">
        <f t="shared" si="20"/>
        <v>5</v>
      </c>
      <c r="AQ14" s="133" t="str">
        <f>IFERROR((_xlfn.XLOOKUP(AG14,'DO NOT TOUCH'!$Q$9:$Q$14,'DO NOT TOUCH'!$R$9:$R$14,)),"TBD")</f>
        <v>TBD</v>
      </c>
      <c r="AR14" s="133" t="str">
        <f>INPUT_OUTPUTS!$C$19</f>
        <v>C1/M-501</v>
      </c>
      <c r="AS14" s="135" t="str">
        <f t="shared" si="21"/>
        <v>1, 2</v>
      </c>
    </row>
    <row r="15" spans="1:54" ht="15" customHeight="1">
      <c r="B15" s="203" t="s">
        <v>323</v>
      </c>
      <c r="C15" s="203" t="s">
        <v>313</v>
      </c>
      <c r="D15" s="203">
        <v>1234</v>
      </c>
      <c r="E15" s="203">
        <v>10000</v>
      </c>
      <c r="F15" s="203">
        <v>10</v>
      </c>
      <c r="G15" s="83">
        <f>VLOOKUP($M15,'UMC Table 4-A'!$A$10:$E$139,4,FALSE)</f>
        <v>4</v>
      </c>
      <c r="H15" s="83" t="str">
        <f>VLOOKUP($M15,'UMC Table 4-A'!$A$10:$E$139,5,FALSE)</f>
        <v>NR</v>
      </c>
      <c r="I15" s="80" t="str">
        <f t="shared" si="0"/>
        <v>-</v>
      </c>
      <c r="J15" s="117">
        <v>0</v>
      </c>
      <c r="K15" s="93">
        <f t="shared" si="1"/>
        <v>6670</v>
      </c>
      <c r="L15" s="84">
        <f t="shared" si="12"/>
        <v>10000</v>
      </c>
      <c r="M15" s="83" t="s">
        <v>102</v>
      </c>
      <c r="N15" s="83" t="str">
        <f>VLOOKUP($M15,'UMC Table 4-A'!$A$10:$E$139,2,FALSE)</f>
        <v>NO REQUIREMENT FOR CONTINUOUS DIRECTIONAL CONTROL</v>
      </c>
      <c r="O15" s="81">
        <f>VLOOKUP($M15,'UMC Table 4-A'!$A$10:$E$139,3,FALSE)</f>
        <v>2</v>
      </c>
      <c r="P15" s="93">
        <f t="shared" si="2"/>
        <v>3340</v>
      </c>
      <c r="Q15" s="81" t="str">
        <f>VLOOKUP($M15,'UMC Table 4-A'!$A$10:$E$139,5,FALSE)</f>
        <v>NR</v>
      </c>
      <c r="R15" s="82">
        <f t="shared" si="3"/>
        <v>10000</v>
      </c>
      <c r="S15" s="119">
        <f t="shared" si="4"/>
        <v>10000</v>
      </c>
      <c r="T15" s="119">
        <f t="shared" si="5"/>
        <v>10000</v>
      </c>
      <c r="U15" s="119">
        <f t="shared" si="6"/>
        <v>0</v>
      </c>
      <c r="V15" s="208">
        <f t="shared" si="7"/>
        <v>0</v>
      </c>
      <c r="W15" s="81" t="str">
        <f t="shared" si="8"/>
        <v>Yes</v>
      </c>
      <c r="X15" s="207">
        <f t="shared" si="15"/>
        <v>1</v>
      </c>
      <c r="Y15" s="206">
        <f t="shared" si="16"/>
        <v>33.4</v>
      </c>
      <c r="Z15" s="207">
        <f t="shared" si="17"/>
        <v>6</v>
      </c>
      <c r="AC15" s="134" t="s">
        <v>266</v>
      </c>
      <c r="AD15" s="131" t="s">
        <v>121</v>
      </c>
      <c r="AE15" s="131" t="s">
        <v>127</v>
      </c>
      <c r="AF15" s="132">
        <f>SUMIF($B$7:$B$17,AC15,$S$7:$S$17)</f>
        <v>0</v>
      </c>
      <c r="AG15" s="132" t="str">
        <f>IFERROR((VLOOKUP(AF15,'DO NOT TOUCH'!$P$9:$Q$14,2,TRUE)),"TBD")</f>
        <v>TBD</v>
      </c>
      <c r="AH15" s="132">
        <f t="shared" si="18"/>
        <v>0.5</v>
      </c>
      <c r="AI15" s="132">
        <f>INPUT_OUTPUTS!$C$16</f>
        <v>140</v>
      </c>
      <c r="AJ15" s="132">
        <f>INPUT_OUTPUTS!$C$17</f>
        <v>100</v>
      </c>
      <c r="AK15" s="132">
        <f t="shared" si="13"/>
        <v>55</v>
      </c>
      <c r="AL15" s="132">
        <f t="shared" si="13"/>
        <v>85</v>
      </c>
      <c r="AM15" s="132">
        <f t="shared" si="11"/>
        <v>0</v>
      </c>
      <c r="AN15" s="133">
        <f t="shared" si="19"/>
        <v>0</v>
      </c>
      <c r="AO15" s="133">
        <f t="shared" si="14"/>
        <v>0.5</v>
      </c>
      <c r="AP15" s="133">
        <f t="shared" si="20"/>
        <v>5</v>
      </c>
      <c r="AQ15" s="133" t="str">
        <f>IFERROR((_xlfn.XLOOKUP(AG15,'DO NOT TOUCH'!$Q$9:$Q$14,'DO NOT TOUCH'!$R$9:$R$14,)),"TBD")</f>
        <v>TBD</v>
      </c>
      <c r="AR15" s="133" t="str">
        <f>INPUT_OUTPUTS!$C$19</f>
        <v>C1/M-501</v>
      </c>
      <c r="AS15" s="135" t="str">
        <f t="shared" si="21"/>
        <v>1, 2</v>
      </c>
    </row>
    <row r="16" spans="1:54" ht="15" customHeight="1">
      <c r="B16" s="203" t="s">
        <v>324</v>
      </c>
      <c r="C16" s="203" t="s">
        <v>313</v>
      </c>
      <c r="D16" s="203">
        <v>1234</v>
      </c>
      <c r="E16" s="203">
        <v>10000</v>
      </c>
      <c r="F16" s="203">
        <v>10</v>
      </c>
      <c r="G16" s="83">
        <f>VLOOKUP($M16,'UMC Table 4-A'!$A$10:$E$139,4,FALSE)</f>
        <v>4</v>
      </c>
      <c r="H16" s="83" t="str">
        <f>VLOOKUP($M16,'UMC Table 4-A'!$A$10:$E$139,5,FALSE)</f>
        <v>NR</v>
      </c>
      <c r="I16" s="80" t="str">
        <f t="shared" si="0"/>
        <v>-</v>
      </c>
      <c r="J16" s="117">
        <v>0</v>
      </c>
      <c r="K16" s="93">
        <f t="shared" si="1"/>
        <v>6670</v>
      </c>
      <c r="L16" s="84">
        <f t="shared" si="12"/>
        <v>10000</v>
      </c>
      <c r="M16" s="83" t="s">
        <v>102</v>
      </c>
      <c r="N16" s="83" t="str">
        <f>VLOOKUP($M16,'UMC Table 4-A'!$A$10:$E$139,2,FALSE)</f>
        <v>NO REQUIREMENT FOR CONTINUOUS DIRECTIONAL CONTROL</v>
      </c>
      <c r="O16" s="81">
        <f>VLOOKUP($M16,'UMC Table 4-A'!$A$10:$E$139,3,FALSE)</f>
        <v>2</v>
      </c>
      <c r="P16" s="93">
        <f t="shared" si="2"/>
        <v>3340</v>
      </c>
      <c r="Q16" s="81" t="str">
        <f>VLOOKUP($M16,'UMC Table 4-A'!$A$10:$E$139,5,FALSE)</f>
        <v>NR</v>
      </c>
      <c r="R16" s="82">
        <f t="shared" si="3"/>
        <v>10000</v>
      </c>
      <c r="S16" s="119">
        <f t="shared" si="4"/>
        <v>10000</v>
      </c>
      <c r="T16" s="119">
        <f t="shared" si="5"/>
        <v>10000</v>
      </c>
      <c r="U16" s="119">
        <f t="shared" si="6"/>
        <v>0</v>
      </c>
      <c r="V16" s="208">
        <f t="shared" si="7"/>
        <v>0</v>
      </c>
      <c r="W16" s="81" t="str">
        <f t="shared" si="8"/>
        <v>Yes</v>
      </c>
      <c r="X16" s="207">
        <f t="shared" si="15"/>
        <v>1</v>
      </c>
      <c r="Y16" s="206">
        <f t="shared" si="16"/>
        <v>33.4</v>
      </c>
      <c r="Z16" s="207">
        <f t="shared" si="17"/>
        <v>6</v>
      </c>
      <c r="AC16" s="134" t="s">
        <v>267</v>
      </c>
      <c r="AD16" s="131" t="s">
        <v>121</v>
      </c>
      <c r="AE16" s="131" t="s">
        <v>127</v>
      </c>
      <c r="AF16" s="132">
        <f>SUMIF($B$7:$B$17,AC16,$S$7:$S$17)</f>
        <v>0</v>
      </c>
      <c r="AG16" s="132" t="str">
        <f>IFERROR((VLOOKUP(AF16,'DO NOT TOUCH'!$P$9:$Q$14,2,TRUE)),"TBD")</f>
        <v>TBD</v>
      </c>
      <c r="AH16" s="132">
        <f t="shared" si="18"/>
        <v>0.5</v>
      </c>
      <c r="AI16" s="132">
        <f>INPUT_OUTPUTS!$C$16</f>
        <v>140</v>
      </c>
      <c r="AJ16" s="132">
        <f>INPUT_OUTPUTS!$C$17</f>
        <v>100</v>
      </c>
      <c r="AK16" s="132">
        <f t="shared" si="13"/>
        <v>55</v>
      </c>
      <c r="AL16" s="132">
        <f t="shared" si="13"/>
        <v>85</v>
      </c>
      <c r="AM16" s="132">
        <f t="shared" si="11"/>
        <v>0</v>
      </c>
      <c r="AN16" s="133">
        <f t="shared" si="19"/>
        <v>0</v>
      </c>
      <c r="AO16" s="133">
        <f t="shared" si="14"/>
        <v>0.5</v>
      </c>
      <c r="AP16" s="133">
        <f t="shared" si="20"/>
        <v>5</v>
      </c>
      <c r="AQ16" s="133" t="str">
        <f>IFERROR((_xlfn.XLOOKUP(AG16,'DO NOT TOUCH'!$Q$9:$Q$14,'DO NOT TOUCH'!$R$9:$R$14,)),"TBD")</f>
        <v>TBD</v>
      </c>
      <c r="AR16" s="133" t="str">
        <f>INPUT_OUTPUTS!$C$19</f>
        <v>C1/M-501</v>
      </c>
      <c r="AS16" s="135" t="str">
        <f t="shared" si="21"/>
        <v>1, 2</v>
      </c>
    </row>
    <row r="17" spans="2:45" ht="15" customHeight="1">
      <c r="B17" s="203" t="s">
        <v>325</v>
      </c>
      <c r="C17" s="203" t="s">
        <v>313</v>
      </c>
      <c r="D17" s="203">
        <v>1234</v>
      </c>
      <c r="E17" s="203">
        <v>10000</v>
      </c>
      <c r="F17" s="203">
        <v>10</v>
      </c>
      <c r="G17" s="83">
        <f>VLOOKUP($M17,'UMC Table 4-A'!$A$10:$E$139,4,FALSE)</f>
        <v>4</v>
      </c>
      <c r="H17" s="83" t="str">
        <f>VLOOKUP($M17,'UMC Table 4-A'!$A$10:$E$139,5,FALSE)</f>
        <v>NR</v>
      </c>
      <c r="I17" s="80" t="str">
        <f t="shared" si="0"/>
        <v>-</v>
      </c>
      <c r="J17" s="117">
        <v>0</v>
      </c>
      <c r="K17" s="93">
        <f t="shared" si="1"/>
        <v>6670</v>
      </c>
      <c r="L17" s="84">
        <f t="shared" si="12"/>
        <v>10000</v>
      </c>
      <c r="M17" s="83" t="s">
        <v>102</v>
      </c>
      <c r="N17" s="83" t="str">
        <f>VLOOKUP($M17,'UMC Table 4-A'!$A$10:$E$139,2,FALSE)</f>
        <v>NO REQUIREMENT FOR CONTINUOUS DIRECTIONAL CONTROL</v>
      </c>
      <c r="O17" s="81">
        <f>VLOOKUP($M17,'UMC Table 4-A'!$A$10:$E$139,3,FALSE)</f>
        <v>2</v>
      </c>
      <c r="P17" s="93">
        <f t="shared" si="2"/>
        <v>3340</v>
      </c>
      <c r="Q17" s="81" t="str">
        <f>VLOOKUP($M17,'UMC Table 4-A'!$A$10:$E$139,5,FALSE)</f>
        <v>NR</v>
      </c>
      <c r="R17" s="82">
        <f t="shared" si="3"/>
        <v>10000</v>
      </c>
      <c r="S17" s="119">
        <f t="shared" si="4"/>
        <v>10000</v>
      </c>
      <c r="T17" s="119">
        <f t="shared" si="5"/>
        <v>10000</v>
      </c>
      <c r="U17" s="119">
        <f t="shared" si="6"/>
        <v>0</v>
      </c>
      <c r="V17" s="208">
        <f t="shared" si="7"/>
        <v>0</v>
      </c>
      <c r="W17" s="81" t="str">
        <f t="shared" si="8"/>
        <v>Yes</v>
      </c>
      <c r="X17" s="207">
        <f t="shared" si="15"/>
        <v>1</v>
      </c>
      <c r="Y17" s="206">
        <f t="shared" si="16"/>
        <v>33.4</v>
      </c>
      <c r="Z17" s="207">
        <f t="shared" si="17"/>
        <v>6</v>
      </c>
      <c r="AC17" s="134" t="s">
        <v>268</v>
      </c>
      <c r="AD17" s="131" t="s">
        <v>121</v>
      </c>
      <c r="AE17" s="131" t="s">
        <v>127</v>
      </c>
      <c r="AF17" s="132">
        <f>SUMIF($B$7:$B$17,AC17,$S$7:$S$17)</f>
        <v>0</v>
      </c>
      <c r="AG17" s="132" t="str">
        <f>IFERROR((VLOOKUP(AF17,'DO NOT TOUCH'!$P$9:$Q$14,2,TRUE)),"TBD")</f>
        <v>TBD</v>
      </c>
      <c r="AH17" s="132">
        <f t="shared" si="18"/>
        <v>0.5</v>
      </c>
      <c r="AI17" s="132">
        <f>INPUT_OUTPUTS!$C$16</f>
        <v>140</v>
      </c>
      <c r="AJ17" s="132">
        <f>INPUT_OUTPUTS!$C$17</f>
        <v>100</v>
      </c>
      <c r="AK17" s="132">
        <f t="shared" si="13"/>
        <v>55</v>
      </c>
      <c r="AL17" s="132">
        <f t="shared" si="13"/>
        <v>85</v>
      </c>
      <c r="AM17" s="132">
        <f t="shared" si="11"/>
        <v>0</v>
      </c>
      <c r="AN17" s="133">
        <f t="shared" si="19"/>
        <v>0</v>
      </c>
      <c r="AO17" s="133">
        <f t="shared" si="14"/>
        <v>0.5</v>
      </c>
      <c r="AP17" s="133">
        <f t="shared" si="20"/>
        <v>5</v>
      </c>
      <c r="AQ17" s="133" t="str">
        <f>IFERROR((_xlfn.XLOOKUP(AG17,'DO NOT TOUCH'!$Q$9:$Q$14,'DO NOT TOUCH'!$R$9:$R$14,)),"TBD")</f>
        <v>TBD</v>
      </c>
      <c r="AR17" s="133" t="str">
        <f>INPUT_OUTPUTS!$C$19</f>
        <v>C1/M-501</v>
      </c>
      <c r="AS17" s="135" t="str">
        <f t="shared" si="21"/>
        <v>1, 2</v>
      </c>
    </row>
    <row r="18" spans="2:45" ht="15" customHeight="1">
      <c r="B18" s="209"/>
      <c r="C18" s="121"/>
      <c r="D18" s="121"/>
      <c r="E18" s="121">
        <f>SUBTOTAL(109,TABLE4A43[AREA (FT²)])</f>
        <v>110000</v>
      </c>
      <c r="F18" s="122"/>
      <c r="G18" s="123"/>
      <c r="H18" s="123"/>
      <c r="I18" s="124"/>
      <c r="J18" s="125"/>
      <c r="K18" s="126"/>
      <c r="L18" s="126"/>
      <c r="M18" s="127"/>
      <c r="N18" s="123"/>
      <c r="O18" s="123"/>
      <c r="P18" s="179">
        <f>SUBTOTAL(109,TABLE4A43[OSA CFM])</f>
        <v>36570</v>
      </c>
      <c r="Q18" s="123"/>
      <c r="R18" s="128">
        <f>SUBTOTAL(109,TABLE4A43[CALCULATED SA CFM])</f>
        <v>110000</v>
      </c>
      <c r="S18" s="180">
        <f>SUBTOTAL(109,TABLE4A43[DESIGN SA CFM])</f>
        <v>110000</v>
      </c>
      <c r="T18" s="180">
        <f>SUBTOTAL(109,TABLE4A43[RA CFM])</f>
        <v>110000</v>
      </c>
      <c r="U18" s="181">
        <f>SUBTOTAL(109,TABLE4A43[EA CFM])</f>
        <v>0</v>
      </c>
      <c r="V18" s="210">
        <f>SUBTOTAL(109,TABLE4A43[Transfer Air CFM])</f>
        <v>0</v>
      </c>
      <c r="W18" s="211"/>
      <c r="X18" s="211"/>
      <c r="Y18" s="211"/>
      <c r="Z18" s="211"/>
      <c r="AC18" s="134" t="s">
        <v>269</v>
      </c>
      <c r="AD18" s="131" t="s">
        <v>121</v>
      </c>
      <c r="AE18" s="131" t="s">
        <v>127</v>
      </c>
      <c r="AF18" s="132">
        <f>SUMIF($B$7:$B$17,AC18,$S$7:$S$17)</f>
        <v>0</v>
      </c>
      <c r="AG18" s="132" t="str">
        <f>IFERROR((VLOOKUP(AF18,'DO NOT TOUCH'!$P$9:$Q$14,2,TRUE)),"TBD")</f>
        <v>TBD</v>
      </c>
      <c r="AH18" s="132">
        <f t="shared" si="18"/>
        <v>0.5</v>
      </c>
      <c r="AI18" s="132">
        <f>INPUT_OUTPUTS!$C$16</f>
        <v>140</v>
      </c>
      <c r="AJ18" s="132">
        <f>INPUT_OUTPUTS!$C$17</f>
        <v>100</v>
      </c>
      <c r="AK18" s="132">
        <f t="shared" si="13"/>
        <v>55</v>
      </c>
      <c r="AL18" s="132">
        <f t="shared" si="13"/>
        <v>85</v>
      </c>
      <c r="AM18" s="132">
        <f t="shared" si="11"/>
        <v>0</v>
      </c>
      <c r="AN18" s="133">
        <f t="shared" si="19"/>
        <v>0</v>
      </c>
      <c r="AO18" s="133">
        <f t="shared" si="14"/>
        <v>0.5</v>
      </c>
      <c r="AP18" s="133">
        <f t="shared" si="20"/>
        <v>5</v>
      </c>
      <c r="AQ18" s="133" t="str">
        <f>IFERROR((_xlfn.XLOOKUP(AG18,'DO NOT TOUCH'!$Q$9:$Q$14,'DO NOT TOUCH'!$R$9:$R$14,)),"TBD")</f>
        <v>TBD</v>
      </c>
      <c r="AR18" s="133" t="str">
        <f>INPUT_OUTPUTS!$C$19</f>
        <v>C1/M-501</v>
      </c>
      <c r="AS18" s="135" t="str">
        <f t="shared" si="21"/>
        <v>1, 2</v>
      </c>
    </row>
    <row r="19" spans="2:45" ht="15" customHeight="1">
      <c r="B19" s="291"/>
      <c r="C19" s="292"/>
      <c r="G19" s="273"/>
      <c r="H19" s="293"/>
      <c r="K19" s="294"/>
      <c r="L19" s="295"/>
      <c r="M19" s="295"/>
      <c r="O19" s="272"/>
      <c r="R19" s="296"/>
      <c r="S19" s="296"/>
      <c r="T19" s="272"/>
      <c r="U19" s="272"/>
      <c r="V19" s="272"/>
      <c r="W19" s="272"/>
      <c r="X19" s="296"/>
      <c r="Y19" s="297"/>
      <c r="AC19" s="134" t="s">
        <v>270</v>
      </c>
      <c r="AD19" s="131" t="s">
        <v>121</v>
      </c>
      <c r="AE19" s="131" t="s">
        <v>127</v>
      </c>
      <c r="AF19" s="132">
        <f>SUMIF($B$7:$B$17,AC19,$S$7:$S$17)</f>
        <v>0</v>
      </c>
      <c r="AG19" s="132" t="str">
        <f>IFERROR((VLOOKUP(AF19,'DO NOT TOUCH'!$P$9:$Q$14,2,TRUE)),"TBD")</f>
        <v>TBD</v>
      </c>
      <c r="AH19" s="132">
        <f t="shared" si="18"/>
        <v>0.5</v>
      </c>
      <c r="AI19" s="132">
        <f>INPUT_OUTPUTS!$C$16</f>
        <v>140</v>
      </c>
      <c r="AJ19" s="132">
        <f>INPUT_OUTPUTS!$C$17</f>
        <v>100</v>
      </c>
      <c r="AK19" s="132">
        <f t="shared" si="13"/>
        <v>55</v>
      </c>
      <c r="AL19" s="132">
        <f t="shared" si="13"/>
        <v>85</v>
      </c>
      <c r="AM19" s="132">
        <f t="shared" si="11"/>
        <v>0</v>
      </c>
      <c r="AN19" s="133">
        <f t="shared" si="19"/>
        <v>0</v>
      </c>
      <c r="AO19" s="133">
        <f t="shared" si="14"/>
        <v>0.5</v>
      </c>
      <c r="AP19" s="133">
        <f t="shared" si="20"/>
        <v>5</v>
      </c>
      <c r="AQ19" s="133" t="str">
        <f>IFERROR((_xlfn.XLOOKUP(AG19,'DO NOT TOUCH'!$Q$9:$Q$14,'DO NOT TOUCH'!$R$9:$R$14,)),"TBD")</f>
        <v>TBD</v>
      </c>
      <c r="AR19" s="133" t="str">
        <f>INPUT_OUTPUTS!$C$19</f>
        <v>C1/M-501</v>
      </c>
      <c r="AS19" s="135" t="str">
        <f t="shared" si="21"/>
        <v>1, 2</v>
      </c>
    </row>
    <row r="20" spans="2:45" ht="15" customHeight="1">
      <c r="B20" s="298"/>
      <c r="C20" s="292"/>
      <c r="G20" s="273"/>
      <c r="H20" s="293"/>
      <c r="K20" s="294"/>
      <c r="L20" s="295"/>
      <c r="M20" s="295"/>
      <c r="O20" s="272"/>
      <c r="T20" s="272"/>
      <c r="U20" s="272"/>
      <c r="V20" s="272"/>
      <c r="W20" s="272"/>
      <c r="X20" s="273"/>
      <c r="Y20" s="297"/>
      <c r="AC20" s="134" t="s">
        <v>271</v>
      </c>
      <c r="AD20" s="131" t="s">
        <v>121</v>
      </c>
      <c r="AE20" s="131" t="s">
        <v>127</v>
      </c>
      <c r="AF20" s="132">
        <f>SUMIF($B$7:$B$17,AC20,$S$7:$S$17)</f>
        <v>0</v>
      </c>
      <c r="AG20" s="132" t="str">
        <f>IFERROR((VLOOKUP(AF20,'DO NOT TOUCH'!$P$9:$Q$14,2,TRUE)),"TBD")</f>
        <v>TBD</v>
      </c>
      <c r="AH20" s="132">
        <f t="shared" si="18"/>
        <v>0.5</v>
      </c>
      <c r="AI20" s="132">
        <f>INPUT_OUTPUTS!$C$16</f>
        <v>140</v>
      </c>
      <c r="AJ20" s="132">
        <f>INPUT_OUTPUTS!$C$17</f>
        <v>100</v>
      </c>
      <c r="AK20" s="132">
        <f t="shared" si="13"/>
        <v>55</v>
      </c>
      <c r="AL20" s="132">
        <f t="shared" si="13"/>
        <v>85</v>
      </c>
      <c r="AM20" s="132">
        <f t="shared" si="11"/>
        <v>0</v>
      </c>
      <c r="AN20" s="133">
        <f t="shared" si="19"/>
        <v>0</v>
      </c>
      <c r="AO20" s="133">
        <f t="shared" si="14"/>
        <v>0.5</v>
      </c>
      <c r="AP20" s="133">
        <f t="shared" si="20"/>
        <v>5</v>
      </c>
      <c r="AQ20" s="133" t="str">
        <f>IFERROR((_xlfn.XLOOKUP(AG20,'DO NOT TOUCH'!$Q$9:$Q$14,'DO NOT TOUCH'!$R$9:$R$14,)),"TBD")</f>
        <v>TBD</v>
      </c>
      <c r="AR20" s="133" t="str">
        <f>INPUT_OUTPUTS!$C$19</f>
        <v>C1/M-501</v>
      </c>
      <c r="AS20" s="135" t="str">
        <f t="shared" si="21"/>
        <v>1, 2</v>
      </c>
    </row>
    <row r="21" spans="2:45" ht="15" customHeight="1">
      <c r="B21" s="291"/>
      <c r="C21" s="292"/>
      <c r="O21" s="299" t="s">
        <v>71</v>
      </c>
      <c r="T21" s="272"/>
      <c r="U21" s="272"/>
      <c r="V21" s="272"/>
      <c r="W21" s="272"/>
      <c r="AC21" s="134" t="s">
        <v>272</v>
      </c>
      <c r="AD21" s="131" t="s">
        <v>121</v>
      </c>
      <c r="AE21" s="131" t="s">
        <v>127</v>
      </c>
      <c r="AF21" s="132">
        <f>SUMIF($B$7:$B$17,AC21,$S$7:$S$17)</f>
        <v>0</v>
      </c>
      <c r="AG21" s="132" t="str">
        <f>IFERROR((VLOOKUP(AF21,'DO NOT TOUCH'!$P$9:$Q$14,2,TRUE)),"TBD")</f>
        <v>TBD</v>
      </c>
      <c r="AH21" s="132">
        <f t="shared" si="18"/>
        <v>0.5</v>
      </c>
      <c r="AI21" s="132">
        <f>INPUT_OUTPUTS!$C$16</f>
        <v>140</v>
      </c>
      <c r="AJ21" s="132">
        <f>INPUT_OUTPUTS!$C$17</f>
        <v>100</v>
      </c>
      <c r="AK21" s="132">
        <f t="shared" si="13"/>
        <v>55</v>
      </c>
      <c r="AL21" s="132">
        <f t="shared" si="13"/>
        <v>85</v>
      </c>
      <c r="AM21" s="132">
        <f t="shared" si="11"/>
        <v>0</v>
      </c>
      <c r="AN21" s="133">
        <f t="shared" si="19"/>
        <v>0</v>
      </c>
      <c r="AO21" s="133">
        <f t="shared" si="14"/>
        <v>0.5</v>
      </c>
      <c r="AP21" s="133">
        <f t="shared" si="20"/>
        <v>5</v>
      </c>
      <c r="AQ21" s="133" t="str">
        <f>IFERROR((_xlfn.XLOOKUP(AG21,'DO NOT TOUCH'!$Q$9:$Q$14,'DO NOT TOUCH'!$R$9:$R$14,)),"TBD")</f>
        <v>TBD</v>
      </c>
      <c r="AR21" s="133" t="str">
        <f>INPUT_OUTPUTS!$C$19</f>
        <v>C1/M-501</v>
      </c>
      <c r="AS21" s="135" t="str">
        <f t="shared" si="21"/>
        <v>1, 2</v>
      </c>
    </row>
    <row r="22" spans="2:45" ht="15" customHeight="1">
      <c r="K22" s="272"/>
      <c r="N22" s="272"/>
      <c r="T22" s="272"/>
      <c r="U22" s="272"/>
      <c r="V22" s="272"/>
      <c r="W22" s="272"/>
      <c r="AC22" s="134" t="s">
        <v>273</v>
      </c>
      <c r="AD22" s="131" t="s">
        <v>121</v>
      </c>
      <c r="AE22" s="131" t="s">
        <v>127</v>
      </c>
      <c r="AF22" s="132">
        <f>SUMIF($B$7:$B$17,AC22,$S$7:$S$17)</f>
        <v>0</v>
      </c>
      <c r="AG22" s="132" t="str">
        <f>IFERROR((VLOOKUP(AF22,'DO NOT TOUCH'!$P$9:$Q$14,2,TRUE)),"TBD")</f>
        <v>TBD</v>
      </c>
      <c r="AH22" s="132">
        <f t="shared" si="18"/>
        <v>0.5</v>
      </c>
      <c r="AI22" s="132">
        <f>INPUT_OUTPUTS!$C$16</f>
        <v>140</v>
      </c>
      <c r="AJ22" s="132">
        <f>INPUT_OUTPUTS!$C$17</f>
        <v>100</v>
      </c>
      <c r="AK22" s="132">
        <f t="shared" si="13"/>
        <v>55</v>
      </c>
      <c r="AL22" s="132">
        <f t="shared" si="13"/>
        <v>85</v>
      </c>
      <c r="AM22" s="132">
        <f t="shared" si="11"/>
        <v>0</v>
      </c>
      <c r="AN22" s="133">
        <f t="shared" si="19"/>
        <v>0</v>
      </c>
      <c r="AO22" s="133">
        <f t="shared" si="14"/>
        <v>0.5</v>
      </c>
      <c r="AP22" s="133">
        <f t="shared" si="20"/>
        <v>5</v>
      </c>
      <c r="AQ22" s="133" t="str">
        <f>IFERROR((_xlfn.XLOOKUP(AG22,'DO NOT TOUCH'!$Q$9:$Q$14,'DO NOT TOUCH'!$R$9:$R$14,)),"TBD")</f>
        <v>TBD</v>
      </c>
      <c r="AR22" s="133" t="str">
        <f>INPUT_OUTPUTS!$C$19</f>
        <v>C1/M-501</v>
      </c>
      <c r="AS22" s="135" t="str">
        <f t="shared" si="21"/>
        <v>1, 2</v>
      </c>
    </row>
    <row r="23" spans="2:45" ht="15" customHeight="1">
      <c r="T23" s="272"/>
      <c r="U23" s="272"/>
      <c r="V23" s="272"/>
      <c r="W23" s="272"/>
      <c r="AC23" s="134" t="s">
        <v>274</v>
      </c>
      <c r="AD23" s="131" t="s">
        <v>121</v>
      </c>
      <c r="AE23" s="131" t="s">
        <v>127</v>
      </c>
      <c r="AF23" s="132">
        <f>SUMIF($B$7:$B$17,AC23,$S$7:$S$17)</f>
        <v>0</v>
      </c>
      <c r="AG23" s="132" t="str">
        <f>IFERROR((VLOOKUP(AF23,'DO NOT TOUCH'!$P$9:$Q$14,2,TRUE)),"TBD")</f>
        <v>TBD</v>
      </c>
      <c r="AH23" s="132">
        <f t="shared" si="18"/>
        <v>0.5</v>
      </c>
      <c r="AI23" s="132">
        <f>INPUT_OUTPUTS!$C$16</f>
        <v>140</v>
      </c>
      <c r="AJ23" s="132">
        <f>INPUT_OUTPUTS!$C$17</f>
        <v>100</v>
      </c>
      <c r="AK23" s="132">
        <f t="shared" si="13"/>
        <v>55</v>
      </c>
      <c r="AL23" s="132">
        <f t="shared" si="13"/>
        <v>85</v>
      </c>
      <c r="AM23" s="132">
        <f t="shared" si="11"/>
        <v>0</v>
      </c>
      <c r="AN23" s="133">
        <f t="shared" si="19"/>
        <v>0</v>
      </c>
      <c r="AO23" s="133">
        <f t="shared" si="14"/>
        <v>0.5</v>
      </c>
      <c r="AP23" s="133">
        <f t="shared" si="20"/>
        <v>5</v>
      </c>
      <c r="AQ23" s="133" t="str">
        <f>IFERROR((_xlfn.XLOOKUP(AG23,'DO NOT TOUCH'!$Q$9:$Q$14,'DO NOT TOUCH'!$R$9:$R$14,)),"TBD")</f>
        <v>TBD</v>
      </c>
      <c r="AR23" s="133" t="str">
        <f>INPUT_OUTPUTS!$C$19</f>
        <v>C1/M-501</v>
      </c>
      <c r="AS23" s="135" t="str">
        <f t="shared" si="21"/>
        <v>1, 2</v>
      </c>
    </row>
    <row r="24" spans="2:45" ht="15" customHeight="1">
      <c r="T24" s="272"/>
      <c r="U24" s="272"/>
      <c r="V24" s="272"/>
      <c r="W24" s="272"/>
      <c r="AC24" s="134" t="s">
        <v>275</v>
      </c>
      <c r="AD24" s="131" t="s">
        <v>121</v>
      </c>
      <c r="AE24" s="131" t="s">
        <v>127</v>
      </c>
      <c r="AF24" s="132">
        <f>SUMIF($B$7:$B$17,AC24,$S$7:$S$17)</f>
        <v>0</v>
      </c>
      <c r="AG24" s="132" t="str">
        <f>IFERROR((VLOOKUP(AF24,'DO NOT TOUCH'!$P$9:$Q$14,2,TRUE)),"TBD")</f>
        <v>TBD</v>
      </c>
      <c r="AH24" s="132">
        <f t="shared" si="18"/>
        <v>0.5</v>
      </c>
      <c r="AI24" s="132">
        <f>INPUT_OUTPUTS!$C$16</f>
        <v>140</v>
      </c>
      <c r="AJ24" s="132">
        <f>INPUT_OUTPUTS!$C$17</f>
        <v>100</v>
      </c>
      <c r="AK24" s="132">
        <f t="shared" ref="AK24:AL39" si="22">AK23</f>
        <v>55</v>
      </c>
      <c r="AL24" s="132">
        <f t="shared" si="22"/>
        <v>85</v>
      </c>
      <c r="AM24" s="132">
        <f t="shared" si="11"/>
        <v>0</v>
      </c>
      <c r="AN24" s="133">
        <f t="shared" si="19"/>
        <v>0</v>
      </c>
      <c r="AO24" s="133">
        <f t="shared" si="14"/>
        <v>0.5</v>
      </c>
      <c r="AP24" s="133">
        <f t="shared" si="20"/>
        <v>5</v>
      </c>
      <c r="AQ24" s="133" t="str">
        <f>IFERROR((_xlfn.XLOOKUP(AG24,'DO NOT TOUCH'!$Q$9:$Q$14,'DO NOT TOUCH'!$R$9:$R$14,)),"TBD")</f>
        <v>TBD</v>
      </c>
      <c r="AR24" s="133" t="str">
        <f>INPUT_OUTPUTS!$C$19</f>
        <v>C1/M-501</v>
      </c>
      <c r="AS24" s="135" t="str">
        <f t="shared" si="21"/>
        <v>1, 2</v>
      </c>
    </row>
    <row r="25" spans="2:45" ht="15" customHeight="1">
      <c r="T25" s="272"/>
      <c r="U25" s="272"/>
      <c r="V25" s="272"/>
      <c r="W25" s="272"/>
      <c r="AC25" s="134" t="s">
        <v>276</v>
      </c>
      <c r="AD25" s="131" t="s">
        <v>121</v>
      </c>
      <c r="AE25" s="131" t="s">
        <v>127</v>
      </c>
      <c r="AF25" s="132">
        <f>SUMIF($B$7:$B$17,AC25,$S$7:$S$17)</f>
        <v>0</v>
      </c>
      <c r="AG25" s="132" t="str">
        <f>IFERROR((VLOOKUP(AF25,'DO NOT TOUCH'!$P$9:$Q$14,2,TRUE)),"TBD")</f>
        <v>TBD</v>
      </c>
      <c r="AH25" s="132">
        <f t="shared" si="18"/>
        <v>0.5</v>
      </c>
      <c r="AI25" s="132">
        <f>INPUT_OUTPUTS!$C$16</f>
        <v>140</v>
      </c>
      <c r="AJ25" s="132">
        <f>INPUT_OUTPUTS!$C$17</f>
        <v>100</v>
      </c>
      <c r="AK25" s="132">
        <f t="shared" si="22"/>
        <v>55</v>
      </c>
      <c r="AL25" s="132">
        <f t="shared" si="22"/>
        <v>85</v>
      </c>
      <c r="AM25" s="132">
        <f t="shared" si="11"/>
        <v>0</v>
      </c>
      <c r="AN25" s="133">
        <f t="shared" si="19"/>
        <v>0</v>
      </c>
      <c r="AO25" s="133">
        <f t="shared" si="14"/>
        <v>0.5</v>
      </c>
      <c r="AP25" s="133">
        <f t="shared" si="20"/>
        <v>5</v>
      </c>
      <c r="AQ25" s="133" t="str">
        <f>IFERROR((_xlfn.XLOOKUP(AG25,'DO NOT TOUCH'!$Q$9:$Q$14,'DO NOT TOUCH'!$R$9:$R$14,)),"TBD")</f>
        <v>TBD</v>
      </c>
      <c r="AR25" s="133" t="str">
        <f>INPUT_OUTPUTS!$C$19</f>
        <v>C1/M-501</v>
      </c>
      <c r="AS25" s="135" t="str">
        <f t="shared" si="21"/>
        <v>1, 2</v>
      </c>
    </row>
    <row r="26" spans="2:45" ht="15" customHeight="1">
      <c r="T26" s="272"/>
      <c r="U26" s="272"/>
      <c r="V26" s="272"/>
      <c r="W26" s="272"/>
      <c r="AC26" s="134" t="s">
        <v>277</v>
      </c>
      <c r="AD26" s="131" t="s">
        <v>121</v>
      </c>
      <c r="AE26" s="131" t="s">
        <v>127</v>
      </c>
      <c r="AF26" s="132">
        <f>SUMIF($B$7:$B$17,AC26,$S$7:$S$17)</f>
        <v>0</v>
      </c>
      <c r="AG26" s="132" t="str">
        <f>IFERROR((VLOOKUP(AF26,'DO NOT TOUCH'!$P$9:$Q$14,2,TRUE)),"TBD")</f>
        <v>TBD</v>
      </c>
      <c r="AH26" s="132">
        <f t="shared" si="18"/>
        <v>0.5</v>
      </c>
      <c r="AI26" s="132">
        <f>INPUT_OUTPUTS!$C$16</f>
        <v>140</v>
      </c>
      <c r="AJ26" s="132">
        <f>INPUT_OUTPUTS!$C$17</f>
        <v>100</v>
      </c>
      <c r="AK26" s="132">
        <f t="shared" si="22"/>
        <v>55</v>
      </c>
      <c r="AL26" s="132">
        <f t="shared" si="22"/>
        <v>85</v>
      </c>
      <c r="AM26" s="132">
        <f t="shared" si="11"/>
        <v>0</v>
      </c>
      <c r="AN26" s="133">
        <f t="shared" si="19"/>
        <v>0</v>
      </c>
      <c r="AO26" s="133">
        <f t="shared" si="14"/>
        <v>0.5</v>
      </c>
      <c r="AP26" s="133">
        <f t="shared" si="20"/>
        <v>5</v>
      </c>
      <c r="AQ26" s="133" t="str">
        <f>IFERROR((_xlfn.XLOOKUP(AG26,'DO NOT TOUCH'!$Q$9:$Q$14,'DO NOT TOUCH'!$R$9:$R$14,)),"TBD")</f>
        <v>TBD</v>
      </c>
      <c r="AR26" s="133" t="str">
        <f>INPUT_OUTPUTS!$C$19</f>
        <v>C1/M-501</v>
      </c>
      <c r="AS26" s="135" t="str">
        <f t="shared" si="21"/>
        <v>1, 2</v>
      </c>
    </row>
    <row r="27" spans="2:45" ht="15" customHeight="1">
      <c r="AC27" s="134" t="s">
        <v>278</v>
      </c>
      <c r="AD27" s="131" t="s">
        <v>121</v>
      </c>
      <c r="AE27" s="131" t="s">
        <v>127</v>
      </c>
      <c r="AF27" s="132">
        <f>SUMIF($B$7:$B$17,AC27,$S$7:$S$17)</f>
        <v>0</v>
      </c>
      <c r="AG27" s="132" t="str">
        <f>IFERROR((VLOOKUP(AF27,'DO NOT TOUCH'!$P$9:$Q$14,2,TRUE)),"TBD")</f>
        <v>TBD</v>
      </c>
      <c r="AH27" s="132">
        <f t="shared" si="18"/>
        <v>0.5</v>
      </c>
      <c r="AI27" s="132">
        <f>INPUT_OUTPUTS!$C$16</f>
        <v>140</v>
      </c>
      <c r="AJ27" s="132">
        <f>INPUT_OUTPUTS!$C$17</f>
        <v>100</v>
      </c>
      <c r="AK27" s="132">
        <f t="shared" si="22"/>
        <v>55</v>
      </c>
      <c r="AL27" s="132">
        <f t="shared" si="22"/>
        <v>85</v>
      </c>
      <c r="AM27" s="132">
        <f t="shared" si="11"/>
        <v>0</v>
      </c>
      <c r="AN27" s="133">
        <f t="shared" si="19"/>
        <v>0</v>
      </c>
      <c r="AO27" s="133">
        <f t="shared" si="14"/>
        <v>0.5</v>
      </c>
      <c r="AP27" s="133">
        <f t="shared" si="20"/>
        <v>5</v>
      </c>
      <c r="AQ27" s="133" t="str">
        <f>IFERROR((_xlfn.XLOOKUP(AG27,'DO NOT TOUCH'!$Q$9:$Q$14,'DO NOT TOUCH'!$R$9:$R$14,)),"TBD")</f>
        <v>TBD</v>
      </c>
      <c r="AR27" s="133" t="str">
        <f>INPUT_OUTPUTS!$C$19</f>
        <v>C1/M-501</v>
      </c>
      <c r="AS27" s="135" t="str">
        <f t="shared" si="21"/>
        <v>1, 2</v>
      </c>
    </row>
    <row r="28" spans="2:45" ht="15" customHeight="1">
      <c r="AC28" s="134" t="s">
        <v>279</v>
      </c>
      <c r="AD28" s="131" t="s">
        <v>121</v>
      </c>
      <c r="AE28" s="131" t="s">
        <v>127</v>
      </c>
      <c r="AF28" s="132">
        <f>SUMIF($B$7:$B$17,AC28,$S$7:$S$17)</f>
        <v>0</v>
      </c>
      <c r="AG28" s="132" t="str">
        <f>IFERROR((VLOOKUP(AF28,'DO NOT TOUCH'!$P$9:$Q$14,2,TRUE)),"TBD")</f>
        <v>TBD</v>
      </c>
      <c r="AH28" s="132">
        <f t="shared" si="18"/>
        <v>0.5</v>
      </c>
      <c r="AI28" s="132">
        <f>INPUT_OUTPUTS!$C$16</f>
        <v>140</v>
      </c>
      <c r="AJ28" s="132">
        <f>INPUT_OUTPUTS!$C$17</f>
        <v>100</v>
      </c>
      <c r="AK28" s="132">
        <f t="shared" si="22"/>
        <v>55</v>
      </c>
      <c r="AL28" s="132">
        <f t="shared" si="22"/>
        <v>85</v>
      </c>
      <c r="AM28" s="132">
        <f t="shared" si="11"/>
        <v>0</v>
      </c>
      <c r="AN28" s="133">
        <f t="shared" si="19"/>
        <v>0</v>
      </c>
      <c r="AO28" s="133">
        <f t="shared" si="14"/>
        <v>0.5</v>
      </c>
      <c r="AP28" s="133">
        <f t="shared" si="20"/>
        <v>5</v>
      </c>
      <c r="AQ28" s="133" t="str">
        <f>IFERROR((_xlfn.XLOOKUP(AG28,'DO NOT TOUCH'!$Q$9:$Q$14,'DO NOT TOUCH'!$R$9:$R$14,)),"TBD")</f>
        <v>TBD</v>
      </c>
      <c r="AR28" s="133" t="str">
        <f>INPUT_OUTPUTS!$C$19</f>
        <v>C1/M-501</v>
      </c>
      <c r="AS28" s="135" t="str">
        <f t="shared" si="21"/>
        <v>1, 2</v>
      </c>
    </row>
    <row r="29" spans="2:45" ht="15" customHeight="1">
      <c r="AC29" s="134" t="s">
        <v>280</v>
      </c>
      <c r="AD29" s="131" t="s">
        <v>121</v>
      </c>
      <c r="AE29" s="131" t="s">
        <v>127</v>
      </c>
      <c r="AF29" s="132">
        <f>SUMIF($B$7:$B$17,AC29,$S$7:$S$17)</f>
        <v>0</v>
      </c>
      <c r="AG29" s="132" t="str">
        <f>IFERROR((VLOOKUP(AF29,'DO NOT TOUCH'!$P$9:$Q$14,2,TRUE)),"TBD")</f>
        <v>TBD</v>
      </c>
      <c r="AH29" s="132">
        <f t="shared" si="18"/>
        <v>0.5</v>
      </c>
      <c r="AI29" s="132">
        <f>INPUT_OUTPUTS!$C$16</f>
        <v>140</v>
      </c>
      <c r="AJ29" s="132">
        <f>INPUT_OUTPUTS!$C$17</f>
        <v>100</v>
      </c>
      <c r="AK29" s="132">
        <f t="shared" si="22"/>
        <v>55</v>
      </c>
      <c r="AL29" s="132">
        <f t="shared" si="22"/>
        <v>85</v>
      </c>
      <c r="AM29" s="132">
        <f t="shared" si="11"/>
        <v>0</v>
      </c>
      <c r="AN29" s="133">
        <f t="shared" si="19"/>
        <v>0</v>
      </c>
      <c r="AO29" s="133">
        <f t="shared" si="14"/>
        <v>0.5</v>
      </c>
      <c r="AP29" s="133">
        <f t="shared" si="20"/>
        <v>5</v>
      </c>
      <c r="AQ29" s="133" t="str">
        <f>IFERROR((_xlfn.XLOOKUP(AG29,'DO NOT TOUCH'!$Q$9:$Q$14,'DO NOT TOUCH'!$R$9:$R$14,)),"TBD")</f>
        <v>TBD</v>
      </c>
      <c r="AR29" s="133" t="str">
        <f>INPUT_OUTPUTS!$C$19</f>
        <v>C1/M-501</v>
      </c>
      <c r="AS29" s="135" t="str">
        <f t="shared" si="21"/>
        <v>1, 2</v>
      </c>
    </row>
    <row r="30" spans="2:45" ht="15" customHeight="1">
      <c r="AC30" s="134" t="s">
        <v>281</v>
      </c>
      <c r="AD30" s="131" t="s">
        <v>121</v>
      </c>
      <c r="AE30" s="131" t="s">
        <v>127</v>
      </c>
      <c r="AF30" s="132">
        <f>SUMIF($B$7:$B$17,AC30,$S$7:$S$17)</f>
        <v>0</v>
      </c>
      <c r="AG30" s="132" t="str">
        <f>IFERROR((VLOOKUP(AF30,'DO NOT TOUCH'!$P$9:$Q$14,2,TRUE)),"TBD")</f>
        <v>TBD</v>
      </c>
      <c r="AH30" s="132">
        <f t="shared" si="18"/>
        <v>0.5</v>
      </c>
      <c r="AI30" s="132">
        <f>INPUT_OUTPUTS!$C$16</f>
        <v>140</v>
      </c>
      <c r="AJ30" s="132">
        <f>INPUT_OUTPUTS!$C$17</f>
        <v>100</v>
      </c>
      <c r="AK30" s="132">
        <f t="shared" si="22"/>
        <v>55</v>
      </c>
      <c r="AL30" s="132">
        <f t="shared" si="22"/>
        <v>85</v>
      </c>
      <c r="AM30" s="132">
        <f t="shared" si="11"/>
        <v>0</v>
      </c>
      <c r="AN30" s="133">
        <f t="shared" si="19"/>
        <v>0</v>
      </c>
      <c r="AO30" s="133">
        <f t="shared" si="14"/>
        <v>0.5</v>
      </c>
      <c r="AP30" s="133">
        <f t="shared" si="20"/>
        <v>5</v>
      </c>
      <c r="AQ30" s="133" t="str">
        <f>IFERROR((_xlfn.XLOOKUP(AG30,'DO NOT TOUCH'!$Q$9:$Q$14,'DO NOT TOUCH'!$R$9:$R$14,)),"TBD")</f>
        <v>TBD</v>
      </c>
      <c r="AR30" s="133" t="str">
        <f>INPUT_OUTPUTS!$C$19</f>
        <v>C1/M-501</v>
      </c>
      <c r="AS30" s="135" t="str">
        <f t="shared" si="21"/>
        <v>1, 2</v>
      </c>
    </row>
    <row r="31" spans="2:45" ht="15" customHeight="1">
      <c r="AC31" s="134" t="s">
        <v>282</v>
      </c>
      <c r="AD31" s="131" t="s">
        <v>121</v>
      </c>
      <c r="AE31" s="131" t="s">
        <v>127</v>
      </c>
      <c r="AF31" s="132">
        <f>SUMIF($B$7:$B$17,AC31,$S$7:$S$17)</f>
        <v>0</v>
      </c>
      <c r="AG31" s="132" t="str">
        <f>IFERROR((VLOOKUP(AF31,'DO NOT TOUCH'!$P$9:$Q$14,2,TRUE)),"TBD")</f>
        <v>TBD</v>
      </c>
      <c r="AH31" s="132">
        <f t="shared" si="18"/>
        <v>0.5</v>
      </c>
      <c r="AI31" s="132">
        <f>INPUT_OUTPUTS!$C$16</f>
        <v>140</v>
      </c>
      <c r="AJ31" s="132">
        <f>INPUT_OUTPUTS!$C$17</f>
        <v>100</v>
      </c>
      <c r="AK31" s="132">
        <f t="shared" si="22"/>
        <v>55</v>
      </c>
      <c r="AL31" s="132">
        <f t="shared" si="22"/>
        <v>85</v>
      </c>
      <c r="AM31" s="132">
        <f t="shared" si="11"/>
        <v>0</v>
      </c>
      <c r="AN31" s="133">
        <f t="shared" si="19"/>
        <v>0</v>
      </c>
      <c r="AO31" s="133">
        <f t="shared" si="14"/>
        <v>0.5</v>
      </c>
      <c r="AP31" s="133">
        <f t="shared" si="20"/>
        <v>5</v>
      </c>
      <c r="AQ31" s="133" t="str">
        <f>IFERROR((_xlfn.XLOOKUP(AG31,'DO NOT TOUCH'!$Q$9:$Q$14,'DO NOT TOUCH'!$R$9:$R$14,)),"TBD")</f>
        <v>TBD</v>
      </c>
      <c r="AR31" s="133" t="str">
        <f>INPUT_OUTPUTS!$C$19</f>
        <v>C1/M-501</v>
      </c>
      <c r="AS31" s="135" t="str">
        <f t="shared" si="21"/>
        <v>1, 2</v>
      </c>
    </row>
    <row r="32" spans="2:45" ht="15" customHeight="1">
      <c r="AC32" s="134" t="s">
        <v>283</v>
      </c>
      <c r="AD32" s="131" t="s">
        <v>121</v>
      </c>
      <c r="AE32" s="131" t="s">
        <v>127</v>
      </c>
      <c r="AF32" s="132">
        <f>SUMIF($B$7:$B$17,AC32,$S$7:$S$17)</f>
        <v>0</v>
      </c>
      <c r="AG32" s="132" t="str">
        <f>IFERROR((VLOOKUP(AF32,'DO NOT TOUCH'!$P$9:$Q$14,2,TRUE)),"TBD")</f>
        <v>TBD</v>
      </c>
      <c r="AH32" s="132">
        <f t="shared" si="18"/>
        <v>0.5</v>
      </c>
      <c r="AI32" s="132">
        <f>INPUT_OUTPUTS!$C$16</f>
        <v>140</v>
      </c>
      <c r="AJ32" s="132">
        <f>INPUT_OUTPUTS!$C$17</f>
        <v>100</v>
      </c>
      <c r="AK32" s="132">
        <f t="shared" si="22"/>
        <v>55</v>
      </c>
      <c r="AL32" s="132">
        <f t="shared" si="22"/>
        <v>85</v>
      </c>
      <c r="AM32" s="132">
        <f t="shared" si="11"/>
        <v>0</v>
      </c>
      <c r="AN32" s="133">
        <f t="shared" si="19"/>
        <v>0</v>
      </c>
      <c r="AO32" s="133">
        <f t="shared" si="14"/>
        <v>0.5</v>
      </c>
      <c r="AP32" s="133">
        <f t="shared" si="20"/>
        <v>5</v>
      </c>
      <c r="AQ32" s="133" t="str">
        <f>IFERROR((_xlfn.XLOOKUP(AG32,'DO NOT TOUCH'!$Q$9:$Q$14,'DO NOT TOUCH'!$R$9:$R$14,)),"TBD")</f>
        <v>TBD</v>
      </c>
      <c r="AR32" s="133" t="str">
        <f>INPUT_OUTPUTS!$C$19</f>
        <v>C1/M-501</v>
      </c>
      <c r="AS32" s="135" t="str">
        <f t="shared" si="21"/>
        <v>1, 2</v>
      </c>
    </row>
    <row r="33" spans="29:46" ht="15" customHeight="1">
      <c r="AC33" s="134" t="s">
        <v>284</v>
      </c>
      <c r="AD33" s="131" t="s">
        <v>121</v>
      </c>
      <c r="AE33" s="131" t="s">
        <v>127</v>
      </c>
      <c r="AF33" s="132">
        <f>SUMIF($B$7:$B$17,AC33,$S$7:$S$17)</f>
        <v>0</v>
      </c>
      <c r="AG33" s="132" t="str">
        <f>IFERROR((VLOOKUP(AF33,'DO NOT TOUCH'!$P$9:$Q$14,2,TRUE)),"TBD")</f>
        <v>TBD</v>
      </c>
      <c r="AH33" s="132">
        <f t="shared" si="18"/>
        <v>0.5</v>
      </c>
      <c r="AI33" s="132">
        <f>INPUT_OUTPUTS!$C$16</f>
        <v>140</v>
      </c>
      <c r="AJ33" s="132">
        <f>INPUT_OUTPUTS!$C$17</f>
        <v>100</v>
      </c>
      <c r="AK33" s="132">
        <f t="shared" si="22"/>
        <v>55</v>
      </c>
      <c r="AL33" s="132">
        <f t="shared" si="22"/>
        <v>85</v>
      </c>
      <c r="AM33" s="132">
        <f t="shared" si="11"/>
        <v>0</v>
      </c>
      <c r="AN33" s="133">
        <f t="shared" si="19"/>
        <v>0</v>
      </c>
      <c r="AO33" s="133">
        <f t="shared" si="14"/>
        <v>0.5</v>
      </c>
      <c r="AP33" s="133">
        <f t="shared" si="20"/>
        <v>5</v>
      </c>
      <c r="AQ33" s="133" t="str">
        <f>IFERROR((_xlfn.XLOOKUP(AG33,'DO NOT TOUCH'!$Q$9:$Q$14,'DO NOT TOUCH'!$R$9:$R$14,)),"TBD")</f>
        <v>TBD</v>
      </c>
      <c r="AR33" s="133" t="str">
        <f>INPUT_OUTPUTS!$C$19</f>
        <v>C1/M-501</v>
      </c>
      <c r="AS33" s="135" t="str">
        <f t="shared" si="21"/>
        <v>1, 2</v>
      </c>
    </row>
    <row r="34" spans="29:46" ht="15" customHeight="1">
      <c r="AC34" s="134" t="s">
        <v>285</v>
      </c>
      <c r="AD34" s="131" t="s">
        <v>121</v>
      </c>
      <c r="AE34" s="131" t="s">
        <v>127</v>
      </c>
      <c r="AF34" s="132">
        <f>SUMIF($B$7:$B$17,AC34,$S$7:$S$17)</f>
        <v>0</v>
      </c>
      <c r="AG34" s="132" t="str">
        <f>IFERROR((VLOOKUP(AF34,'DO NOT TOUCH'!$P$9:$Q$14,2,TRUE)),"TBD")</f>
        <v>TBD</v>
      </c>
      <c r="AH34" s="132">
        <f t="shared" si="18"/>
        <v>0.5</v>
      </c>
      <c r="AI34" s="132">
        <f>INPUT_OUTPUTS!$C$16</f>
        <v>140</v>
      </c>
      <c r="AJ34" s="132">
        <f>INPUT_OUTPUTS!$C$17</f>
        <v>100</v>
      </c>
      <c r="AK34" s="132">
        <f t="shared" si="22"/>
        <v>55</v>
      </c>
      <c r="AL34" s="132">
        <f t="shared" si="22"/>
        <v>85</v>
      </c>
      <c r="AM34" s="132">
        <f t="shared" si="11"/>
        <v>0</v>
      </c>
      <c r="AN34" s="133">
        <f t="shared" si="19"/>
        <v>0</v>
      </c>
      <c r="AO34" s="133">
        <f t="shared" si="14"/>
        <v>0.5</v>
      </c>
      <c r="AP34" s="133">
        <f t="shared" si="20"/>
        <v>5</v>
      </c>
      <c r="AQ34" s="133" t="str">
        <f>IFERROR((_xlfn.XLOOKUP(AG34,'DO NOT TOUCH'!$Q$9:$Q$14,'DO NOT TOUCH'!$R$9:$R$14,)),"TBD")</f>
        <v>TBD</v>
      </c>
      <c r="AR34" s="133" t="str">
        <f>INPUT_OUTPUTS!$C$19</f>
        <v>C1/M-501</v>
      </c>
      <c r="AS34" s="135" t="str">
        <f t="shared" si="21"/>
        <v>1, 2</v>
      </c>
    </row>
    <row r="35" spans="29:46" ht="15" customHeight="1">
      <c r="AC35" s="134" t="s">
        <v>286</v>
      </c>
      <c r="AD35" s="131" t="s">
        <v>121</v>
      </c>
      <c r="AE35" s="131" t="s">
        <v>127</v>
      </c>
      <c r="AF35" s="132">
        <f>SUMIF($B$7:$B$17,AC35,$S$7:$S$17)</f>
        <v>0</v>
      </c>
      <c r="AG35" s="132" t="str">
        <f>IFERROR((VLOOKUP(AF35,'DO NOT TOUCH'!$P$9:$Q$14,2,TRUE)),"TBD")</f>
        <v>TBD</v>
      </c>
      <c r="AH35" s="132">
        <f t="shared" si="18"/>
        <v>0.5</v>
      </c>
      <c r="AI35" s="132">
        <f>INPUT_OUTPUTS!$C$16</f>
        <v>140</v>
      </c>
      <c r="AJ35" s="132">
        <f>INPUT_OUTPUTS!$C$17</f>
        <v>100</v>
      </c>
      <c r="AK35" s="132">
        <f t="shared" si="22"/>
        <v>55</v>
      </c>
      <c r="AL35" s="132">
        <f t="shared" si="22"/>
        <v>85</v>
      </c>
      <c r="AM35" s="132">
        <f t="shared" si="11"/>
        <v>0</v>
      </c>
      <c r="AN35" s="133">
        <f t="shared" si="19"/>
        <v>0</v>
      </c>
      <c r="AO35" s="133">
        <f t="shared" si="14"/>
        <v>0.5</v>
      </c>
      <c r="AP35" s="133">
        <f t="shared" si="20"/>
        <v>5</v>
      </c>
      <c r="AQ35" s="133" t="str">
        <f>IFERROR((_xlfn.XLOOKUP(AG35,'DO NOT TOUCH'!$Q$9:$Q$14,'DO NOT TOUCH'!$R$9:$R$14,)),"TBD")</f>
        <v>TBD</v>
      </c>
      <c r="AR35" s="133" t="str">
        <f>INPUT_OUTPUTS!$C$19</f>
        <v>C1/M-501</v>
      </c>
      <c r="AS35" s="135" t="str">
        <f t="shared" si="21"/>
        <v>1, 2</v>
      </c>
    </row>
    <row r="36" spans="29:46" ht="15" customHeight="1">
      <c r="AC36" s="134" t="s">
        <v>287</v>
      </c>
      <c r="AD36" s="131" t="s">
        <v>121</v>
      </c>
      <c r="AE36" s="131" t="s">
        <v>127</v>
      </c>
      <c r="AF36" s="132">
        <f>SUMIF($B$7:$B$17,AC36,$S$7:$S$17)</f>
        <v>0</v>
      </c>
      <c r="AG36" s="132" t="str">
        <f>IFERROR((VLOOKUP(AF36,'DO NOT TOUCH'!$P$9:$Q$14,2,TRUE)),"TBD")</f>
        <v>TBD</v>
      </c>
      <c r="AH36" s="132">
        <f t="shared" si="18"/>
        <v>0.5</v>
      </c>
      <c r="AI36" s="132">
        <f>INPUT_OUTPUTS!$C$16</f>
        <v>140</v>
      </c>
      <c r="AJ36" s="132">
        <f>INPUT_OUTPUTS!$C$17</f>
        <v>100</v>
      </c>
      <c r="AK36" s="132">
        <f t="shared" si="22"/>
        <v>55</v>
      </c>
      <c r="AL36" s="132">
        <f t="shared" si="22"/>
        <v>85</v>
      </c>
      <c r="AM36" s="132">
        <f t="shared" si="11"/>
        <v>0</v>
      </c>
      <c r="AN36" s="133">
        <f t="shared" si="19"/>
        <v>0</v>
      </c>
      <c r="AO36" s="133">
        <f t="shared" si="14"/>
        <v>0.5</v>
      </c>
      <c r="AP36" s="133">
        <f t="shared" si="20"/>
        <v>5</v>
      </c>
      <c r="AQ36" s="133" t="str">
        <f>IFERROR((_xlfn.XLOOKUP(AG36,'DO NOT TOUCH'!$Q$9:$Q$14,'DO NOT TOUCH'!$R$9:$R$14,)),"TBD")</f>
        <v>TBD</v>
      </c>
      <c r="AR36" s="133" t="str">
        <f>INPUT_OUTPUTS!$C$19</f>
        <v>C1/M-501</v>
      </c>
      <c r="AS36" s="135" t="str">
        <f t="shared" si="21"/>
        <v>1, 2</v>
      </c>
    </row>
    <row r="37" spans="29:46" ht="15" customHeight="1">
      <c r="AC37" s="134" t="s">
        <v>288</v>
      </c>
      <c r="AD37" s="131" t="s">
        <v>121</v>
      </c>
      <c r="AE37" s="131" t="s">
        <v>127</v>
      </c>
      <c r="AF37" s="132">
        <f>SUMIF($B$7:$B$17,AC37,$S$7:$S$17)</f>
        <v>0</v>
      </c>
      <c r="AG37" s="132" t="str">
        <f>IFERROR((VLOOKUP(AF37,'DO NOT TOUCH'!$P$9:$Q$14,2,TRUE)),"TBD")</f>
        <v>TBD</v>
      </c>
      <c r="AH37" s="132">
        <f t="shared" si="18"/>
        <v>0.5</v>
      </c>
      <c r="AI37" s="132">
        <f>INPUT_OUTPUTS!$C$16</f>
        <v>140</v>
      </c>
      <c r="AJ37" s="132">
        <f>INPUT_OUTPUTS!$C$17</f>
        <v>100</v>
      </c>
      <c r="AK37" s="132">
        <f t="shared" si="22"/>
        <v>55</v>
      </c>
      <c r="AL37" s="132">
        <f t="shared" si="22"/>
        <v>85</v>
      </c>
      <c r="AM37" s="132">
        <f t="shared" si="11"/>
        <v>0</v>
      </c>
      <c r="AN37" s="133">
        <f t="shared" si="19"/>
        <v>0</v>
      </c>
      <c r="AO37" s="133">
        <f t="shared" si="14"/>
        <v>0.5</v>
      </c>
      <c r="AP37" s="133">
        <f t="shared" si="20"/>
        <v>5</v>
      </c>
      <c r="AQ37" s="133" t="str">
        <f>IFERROR((_xlfn.XLOOKUP(AG37,'DO NOT TOUCH'!$Q$9:$Q$14,'DO NOT TOUCH'!$R$9:$R$14,)),"TBD")</f>
        <v>TBD</v>
      </c>
      <c r="AR37" s="133" t="str">
        <f>INPUT_OUTPUTS!$C$19</f>
        <v>C1/M-501</v>
      </c>
      <c r="AS37" s="135" t="str">
        <f t="shared" si="21"/>
        <v>1, 2</v>
      </c>
    </row>
    <row r="38" spans="29:46" ht="15" customHeight="1">
      <c r="AC38" s="134" t="s">
        <v>289</v>
      </c>
      <c r="AD38" s="131" t="s">
        <v>121</v>
      </c>
      <c r="AE38" s="131" t="s">
        <v>127</v>
      </c>
      <c r="AF38" s="132">
        <f>SUMIF($B$7:$B$17,AC38,$S$7:$S$17)</f>
        <v>0</v>
      </c>
      <c r="AG38" s="132" t="str">
        <f>IFERROR((VLOOKUP(AF38,'DO NOT TOUCH'!$P$9:$Q$14,2,TRUE)),"TBD")</f>
        <v>TBD</v>
      </c>
      <c r="AH38" s="132">
        <f t="shared" si="18"/>
        <v>0.5</v>
      </c>
      <c r="AI38" s="132">
        <f>INPUT_OUTPUTS!$C$16</f>
        <v>140</v>
      </c>
      <c r="AJ38" s="132">
        <f>INPUT_OUTPUTS!$C$17</f>
        <v>100</v>
      </c>
      <c r="AK38" s="132">
        <f t="shared" si="22"/>
        <v>55</v>
      </c>
      <c r="AL38" s="132">
        <f t="shared" si="22"/>
        <v>85</v>
      </c>
      <c r="AM38" s="132">
        <f t="shared" si="11"/>
        <v>0</v>
      </c>
      <c r="AN38" s="133">
        <f t="shared" si="19"/>
        <v>0</v>
      </c>
      <c r="AO38" s="133">
        <f t="shared" si="14"/>
        <v>0.5</v>
      </c>
      <c r="AP38" s="133">
        <f t="shared" si="20"/>
        <v>5</v>
      </c>
      <c r="AQ38" s="133" t="str">
        <f>IFERROR((_xlfn.XLOOKUP(AG38,'DO NOT TOUCH'!$Q$9:$Q$14,'DO NOT TOUCH'!$R$9:$R$14,)),"TBD")</f>
        <v>TBD</v>
      </c>
      <c r="AR38" s="133" t="str">
        <f>INPUT_OUTPUTS!$C$19</f>
        <v>C1/M-501</v>
      </c>
      <c r="AS38" s="135" t="str">
        <f t="shared" si="21"/>
        <v>1, 2</v>
      </c>
    </row>
    <row r="39" spans="29:46" ht="15" customHeight="1">
      <c r="AC39" s="134" t="s">
        <v>290</v>
      </c>
      <c r="AD39" s="131" t="s">
        <v>121</v>
      </c>
      <c r="AE39" s="131" t="s">
        <v>127</v>
      </c>
      <c r="AF39" s="132">
        <f>SUMIF($B$7:$B$17,AC39,$S$7:$S$17)</f>
        <v>0</v>
      </c>
      <c r="AG39" s="132" t="str">
        <f>IFERROR((VLOOKUP(AF39,'DO NOT TOUCH'!$P$9:$Q$14,2,TRUE)),"TBD")</f>
        <v>TBD</v>
      </c>
      <c r="AH39" s="132">
        <f t="shared" si="18"/>
        <v>0.5</v>
      </c>
      <c r="AI39" s="132">
        <f>INPUT_OUTPUTS!$C$16</f>
        <v>140</v>
      </c>
      <c r="AJ39" s="132">
        <f>INPUT_OUTPUTS!$C$17</f>
        <v>100</v>
      </c>
      <c r="AK39" s="132">
        <f t="shared" si="22"/>
        <v>55</v>
      </c>
      <c r="AL39" s="132">
        <f t="shared" si="22"/>
        <v>85</v>
      </c>
      <c r="AM39" s="132">
        <f t="shared" si="11"/>
        <v>0</v>
      </c>
      <c r="AN39" s="133">
        <f t="shared" si="19"/>
        <v>0</v>
      </c>
      <c r="AO39" s="133">
        <f t="shared" si="14"/>
        <v>0.5</v>
      </c>
      <c r="AP39" s="133">
        <f t="shared" si="20"/>
        <v>5</v>
      </c>
      <c r="AQ39" s="133" t="str">
        <f>IFERROR((_xlfn.XLOOKUP(AG39,'DO NOT TOUCH'!$Q$9:$Q$14,'DO NOT TOUCH'!$R$9:$R$14,)),"TBD")</f>
        <v>TBD</v>
      </c>
      <c r="AR39" s="133" t="str">
        <f>INPUT_OUTPUTS!$C$19</f>
        <v>C1/M-501</v>
      </c>
      <c r="AS39" s="135" t="str">
        <f t="shared" si="21"/>
        <v>1, 2</v>
      </c>
    </row>
    <row r="40" spans="29:46" ht="15" customHeight="1">
      <c r="AC40" s="134" t="s">
        <v>291</v>
      </c>
      <c r="AD40" s="131" t="s">
        <v>121</v>
      </c>
      <c r="AE40" s="131" t="s">
        <v>127</v>
      </c>
      <c r="AF40" s="132">
        <f>SUMIF($B$7:$B$17,AC40,$S$7:$S$17)</f>
        <v>0</v>
      </c>
      <c r="AG40" s="132" t="str">
        <f>IFERROR((VLOOKUP(AF40,'DO NOT TOUCH'!$P$9:$Q$14,2,TRUE)),"TBD")</f>
        <v>TBD</v>
      </c>
      <c r="AH40" s="132">
        <f t="shared" si="18"/>
        <v>0.5</v>
      </c>
      <c r="AI40" s="132">
        <f>INPUT_OUTPUTS!$C$16</f>
        <v>140</v>
      </c>
      <c r="AJ40" s="132">
        <f>INPUT_OUTPUTS!$C$17</f>
        <v>100</v>
      </c>
      <c r="AK40" s="132">
        <f t="shared" ref="AK40:AL44" si="23">AK39</f>
        <v>55</v>
      </c>
      <c r="AL40" s="132">
        <f t="shared" si="23"/>
        <v>85</v>
      </c>
      <c r="AM40" s="132">
        <f t="shared" si="11"/>
        <v>0</v>
      </c>
      <c r="AN40" s="133">
        <f t="shared" si="19"/>
        <v>0</v>
      </c>
      <c r="AO40" s="133">
        <f t="shared" si="14"/>
        <v>0.5</v>
      </c>
      <c r="AP40" s="133">
        <f t="shared" si="20"/>
        <v>5</v>
      </c>
      <c r="AQ40" s="133" t="str">
        <f>IFERROR((_xlfn.XLOOKUP(AG40,'DO NOT TOUCH'!$Q$9:$Q$14,'DO NOT TOUCH'!$R$9:$R$14,)),"TBD")</f>
        <v>TBD</v>
      </c>
      <c r="AR40" s="133" t="str">
        <f>INPUT_OUTPUTS!$C$19</f>
        <v>C1/M-501</v>
      </c>
      <c r="AS40" s="135" t="str">
        <f t="shared" si="21"/>
        <v>1, 2</v>
      </c>
    </row>
    <row r="41" spans="29:46" ht="15" customHeight="1">
      <c r="AC41" s="134" t="s">
        <v>292</v>
      </c>
      <c r="AD41" s="131" t="s">
        <v>121</v>
      </c>
      <c r="AE41" s="131" t="s">
        <v>127</v>
      </c>
      <c r="AF41" s="132">
        <f>SUMIF($B$7:$B$17,AC41,$S$7:$S$17)</f>
        <v>0</v>
      </c>
      <c r="AG41" s="132" t="str">
        <f>IFERROR((VLOOKUP(AF41,'DO NOT TOUCH'!$P$9:$Q$14,2,TRUE)),"TBD")</f>
        <v>TBD</v>
      </c>
      <c r="AH41" s="132">
        <f t="shared" si="18"/>
        <v>0.5</v>
      </c>
      <c r="AI41" s="132">
        <f>INPUT_OUTPUTS!$C$16</f>
        <v>140</v>
      </c>
      <c r="AJ41" s="132">
        <f>INPUT_OUTPUTS!$C$17</f>
        <v>100</v>
      </c>
      <c r="AK41" s="132">
        <f t="shared" si="23"/>
        <v>55</v>
      </c>
      <c r="AL41" s="132">
        <f t="shared" si="23"/>
        <v>85</v>
      </c>
      <c r="AM41" s="132">
        <f t="shared" si="11"/>
        <v>0</v>
      </c>
      <c r="AN41" s="133">
        <f t="shared" si="19"/>
        <v>0</v>
      </c>
      <c r="AO41" s="133">
        <f t="shared" si="14"/>
        <v>0.5</v>
      </c>
      <c r="AP41" s="133">
        <f t="shared" si="20"/>
        <v>5</v>
      </c>
      <c r="AQ41" s="133" t="str">
        <f>IFERROR((_xlfn.XLOOKUP(AG41,'DO NOT TOUCH'!$Q$9:$Q$14,'DO NOT TOUCH'!$R$9:$R$14,)),"TBD")</f>
        <v>TBD</v>
      </c>
      <c r="AR41" s="133" t="str">
        <f>INPUT_OUTPUTS!$C$19</f>
        <v>C1/M-501</v>
      </c>
      <c r="AS41" s="135" t="str">
        <f t="shared" si="21"/>
        <v>1, 2</v>
      </c>
    </row>
    <row r="42" spans="29:46" ht="15" customHeight="1">
      <c r="AC42" s="134" t="s">
        <v>293</v>
      </c>
      <c r="AD42" s="131" t="s">
        <v>121</v>
      </c>
      <c r="AE42" s="131" t="s">
        <v>127</v>
      </c>
      <c r="AF42" s="132">
        <f>SUMIF($B$7:$B$17,AC42,$S$7:$S$17)</f>
        <v>0</v>
      </c>
      <c r="AG42" s="132" t="str">
        <f>IFERROR((VLOOKUP(AF42,'DO NOT TOUCH'!$P$9:$Q$14,2,TRUE)),"TBD")</f>
        <v>TBD</v>
      </c>
      <c r="AH42" s="132">
        <f t="shared" si="18"/>
        <v>0.5</v>
      </c>
      <c r="AI42" s="132">
        <f>INPUT_OUTPUTS!$C$16</f>
        <v>140</v>
      </c>
      <c r="AJ42" s="132">
        <f>INPUT_OUTPUTS!$C$17</f>
        <v>100</v>
      </c>
      <c r="AK42" s="132">
        <f t="shared" si="23"/>
        <v>55</v>
      </c>
      <c r="AL42" s="132">
        <f t="shared" si="23"/>
        <v>85</v>
      </c>
      <c r="AM42" s="132">
        <f t="shared" si="11"/>
        <v>0</v>
      </c>
      <c r="AN42" s="133">
        <f t="shared" si="19"/>
        <v>0</v>
      </c>
      <c r="AO42" s="133">
        <f t="shared" si="14"/>
        <v>0.5</v>
      </c>
      <c r="AP42" s="133">
        <f t="shared" si="20"/>
        <v>5</v>
      </c>
      <c r="AQ42" s="133" t="str">
        <f>IFERROR((_xlfn.XLOOKUP(AG42,'DO NOT TOUCH'!$Q$9:$Q$14,'DO NOT TOUCH'!$R$9:$R$14,)),"TBD")</f>
        <v>TBD</v>
      </c>
      <c r="AR42" s="133" t="str">
        <f>INPUT_OUTPUTS!$C$19</f>
        <v>C1/M-501</v>
      </c>
      <c r="AS42" s="135" t="str">
        <f t="shared" si="21"/>
        <v>1, 2</v>
      </c>
    </row>
    <row r="43" spans="29:46" ht="15" customHeight="1">
      <c r="AC43" s="134" t="s">
        <v>294</v>
      </c>
      <c r="AD43" s="131" t="s">
        <v>121</v>
      </c>
      <c r="AE43" s="131" t="s">
        <v>127</v>
      </c>
      <c r="AF43" s="132">
        <f>SUMIF($B$7:$B$17,AC43,$S$7:$S$17)</f>
        <v>0</v>
      </c>
      <c r="AG43" s="132" t="str">
        <f>IFERROR((VLOOKUP(AF43,'DO NOT TOUCH'!$P$9:$Q$14,2,TRUE)),"TBD")</f>
        <v>TBD</v>
      </c>
      <c r="AH43" s="132">
        <f t="shared" si="18"/>
        <v>0.5</v>
      </c>
      <c r="AI43" s="132">
        <f>INPUT_OUTPUTS!$C$16</f>
        <v>140</v>
      </c>
      <c r="AJ43" s="132">
        <f>INPUT_OUTPUTS!$C$17</f>
        <v>100</v>
      </c>
      <c r="AK43" s="132">
        <f t="shared" si="23"/>
        <v>55</v>
      </c>
      <c r="AL43" s="132">
        <f t="shared" si="23"/>
        <v>85</v>
      </c>
      <c r="AM43" s="132">
        <f t="shared" si="11"/>
        <v>0</v>
      </c>
      <c r="AN43" s="133">
        <f t="shared" si="19"/>
        <v>0</v>
      </c>
      <c r="AO43" s="133">
        <f t="shared" si="14"/>
        <v>0.5</v>
      </c>
      <c r="AP43" s="133">
        <f t="shared" si="20"/>
        <v>5</v>
      </c>
      <c r="AQ43" s="133" t="str">
        <f>IFERROR((_xlfn.XLOOKUP(AG43,'DO NOT TOUCH'!$Q$9:$Q$14,'DO NOT TOUCH'!$R$9:$R$14,)),"TBD")</f>
        <v>TBD</v>
      </c>
      <c r="AR43" s="133" t="str">
        <f>INPUT_OUTPUTS!$C$19</f>
        <v>C1/M-501</v>
      </c>
      <c r="AS43" s="135" t="str">
        <f t="shared" si="21"/>
        <v>1, 2</v>
      </c>
    </row>
    <row r="44" spans="29:46" ht="15" customHeight="1">
      <c r="AC44" s="136" t="s">
        <v>297</v>
      </c>
      <c r="AD44" s="137" t="s">
        <v>121</v>
      </c>
      <c r="AE44" s="137" t="s">
        <v>127</v>
      </c>
      <c r="AF44" s="138">
        <f>SUMIF($B$7:$B$17,AC44,$S$7:$S$17)</f>
        <v>0</v>
      </c>
      <c r="AG44" s="138" t="str">
        <f>IFERROR((VLOOKUP(AF44,'DO NOT TOUCH'!$P$9:$Q$14,2,TRUE)),"TBD")</f>
        <v>TBD</v>
      </c>
      <c r="AH44" s="138">
        <f t="shared" si="18"/>
        <v>0.5</v>
      </c>
      <c r="AI44" s="138">
        <f>INPUT_OUTPUTS!$C$16</f>
        <v>140</v>
      </c>
      <c r="AJ44" s="138">
        <f>INPUT_OUTPUTS!$C$17</f>
        <v>100</v>
      </c>
      <c r="AK44" s="138">
        <f t="shared" si="23"/>
        <v>55</v>
      </c>
      <c r="AL44" s="138">
        <f t="shared" si="23"/>
        <v>85</v>
      </c>
      <c r="AM44" s="138">
        <f t="shared" si="11"/>
        <v>0</v>
      </c>
      <c r="AN44" s="139">
        <f t="shared" si="19"/>
        <v>0</v>
      </c>
      <c r="AO44" s="139">
        <f t="shared" si="14"/>
        <v>0.5</v>
      </c>
      <c r="AP44" s="139">
        <f t="shared" si="20"/>
        <v>5</v>
      </c>
      <c r="AQ44" s="139" t="str">
        <f>IFERROR((_xlfn.XLOOKUP(AG44,'DO NOT TOUCH'!$Q$9:$Q$14,'DO NOT TOUCH'!$R$9:$R$14,)),"TBD")</f>
        <v>TBD</v>
      </c>
      <c r="AR44" s="133" t="str">
        <f>INPUT_OUTPUTS!$C$19</f>
        <v>C1/M-501</v>
      </c>
      <c r="AS44" s="140" t="str">
        <f t="shared" si="21"/>
        <v>1, 2</v>
      </c>
      <c r="AT44" s="273"/>
    </row>
    <row r="45" spans="29:46" ht="15" customHeight="1">
      <c r="AC45" s="159" t="s">
        <v>315</v>
      </c>
      <c r="AD45" s="160"/>
      <c r="AE45" s="160"/>
      <c r="AF45" s="161"/>
      <c r="AG45" s="161"/>
      <c r="AH45" s="161"/>
      <c r="AI45" s="161"/>
      <c r="AJ45" s="161"/>
      <c r="AK45" s="161"/>
      <c r="AL45" s="161"/>
      <c r="AM45" s="161">
        <f>SUBTOTAL(109,AHU1_CAV_SCHEDULE44[MIN MBH])</f>
        <v>0</v>
      </c>
      <c r="AN45" s="161"/>
      <c r="AO45" s="163">
        <f>SUBTOTAL(109,AHU1_CAV_SCHEDULE44[GPM])</f>
        <v>19</v>
      </c>
      <c r="AP45" s="161"/>
      <c r="AQ45" s="161"/>
      <c r="AR45" s="161"/>
      <c r="AS45" s="162"/>
      <c r="AT45" s="273"/>
    </row>
    <row r="46" spans="29:46" ht="15" customHeight="1">
      <c r="AC46" s="227" t="s">
        <v>125</v>
      </c>
      <c r="AD46" s="228"/>
      <c r="AE46" s="228"/>
      <c r="AF46" s="228"/>
      <c r="AG46" s="228"/>
      <c r="AH46" s="228"/>
      <c r="AI46" s="228"/>
      <c r="AJ46" s="228"/>
      <c r="AK46" s="228"/>
      <c r="AL46" s="228"/>
      <c r="AM46" s="228"/>
      <c r="AN46" s="228"/>
      <c r="AO46" s="228"/>
      <c r="AP46" s="228"/>
      <c r="AQ46" s="228"/>
      <c r="AR46" s="228"/>
      <c r="AS46" s="229"/>
      <c r="AT46" s="273"/>
    </row>
    <row r="47" spans="29:46" ht="15" customHeight="1">
      <c r="AC47" s="230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2"/>
      <c r="AT47" s="273"/>
    </row>
    <row r="48" spans="29:46" ht="15" customHeight="1">
      <c r="AC48" s="230"/>
      <c r="AD48" s="231"/>
      <c r="AE48" s="231"/>
      <c r="AF48" s="231"/>
      <c r="AG48" s="231"/>
      <c r="AH48" s="231"/>
      <c r="AI48" s="231"/>
      <c r="AJ48" s="231"/>
      <c r="AK48" s="231"/>
      <c r="AL48" s="231"/>
      <c r="AM48" s="231"/>
      <c r="AN48" s="231"/>
      <c r="AO48" s="231"/>
      <c r="AP48" s="231"/>
      <c r="AQ48" s="231"/>
      <c r="AR48" s="231"/>
      <c r="AS48" s="232"/>
      <c r="AT48" s="273"/>
    </row>
    <row r="49" spans="29:46" ht="15" customHeight="1">
      <c r="AC49" s="233"/>
      <c r="AD49" s="234"/>
      <c r="AE49" s="234"/>
      <c r="AF49" s="234"/>
      <c r="AG49" s="234"/>
      <c r="AH49" s="234"/>
      <c r="AI49" s="234"/>
      <c r="AJ49" s="234"/>
      <c r="AK49" s="234"/>
      <c r="AL49" s="234"/>
      <c r="AM49" s="234"/>
      <c r="AN49" s="234"/>
      <c r="AO49" s="234"/>
      <c r="AP49" s="234"/>
      <c r="AQ49" s="234"/>
      <c r="AR49" s="234"/>
      <c r="AS49" s="235"/>
      <c r="AT49" s="273"/>
    </row>
    <row r="50" spans="29:46" ht="15" customHeight="1">
      <c r="AD50" s="273"/>
      <c r="AE50" s="273"/>
      <c r="AF50" s="273"/>
      <c r="AG50" s="273"/>
      <c r="AH50" s="273"/>
      <c r="AI50" s="273"/>
      <c r="AJ50" s="273"/>
      <c r="AK50" s="273"/>
      <c r="AL50" s="273"/>
      <c r="AM50" s="273"/>
      <c r="AN50" s="273"/>
      <c r="AO50" s="273"/>
      <c r="AP50" s="273"/>
      <c r="AQ50" s="273"/>
      <c r="AR50" s="273"/>
      <c r="AS50" s="273"/>
      <c r="AT50" s="273"/>
    </row>
    <row r="51" spans="29:46" ht="15" customHeight="1">
      <c r="AD51" s="273"/>
      <c r="AE51" s="273"/>
      <c r="AF51" s="273"/>
      <c r="AG51" s="273"/>
      <c r="AH51" s="273"/>
      <c r="AI51" s="273"/>
      <c r="AJ51" s="273"/>
      <c r="AK51" s="273"/>
      <c r="AL51" s="273"/>
      <c r="AM51" s="273"/>
      <c r="AN51" s="273"/>
      <c r="AO51" s="273"/>
      <c r="AP51" s="273"/>
      <c r="AQ51" s="273"/>
      <c r="AR51" s="273"/>
      <c r="AS51" s="273"/>
      <c r="AT51" s="273"/>
    </row>
    <row r="52" spans="29:46" ht="15" customHeight="1">
      <c r="AD52" s="273"/>
      <c r="AE52" s="273"/>
      <c r="AF52" s="273"/>
      <c r="AG52" s="273"/>
      <c r="AH52" s="273"/>
      <c r="AI52" s="273"/>
      <c r="AJ52" s="273"/>
      <c r="AK52" s="273"/>
      <c r="AL52" s="273"/>
      <c r="AM52" s="273"/>
      <c r="AN52" s="273"/>
      <c r="AO52" s="273"/>
      <c r="AP52" s="273"/>
      <c r="AQ52" s="273"/>
      <c r="AR52" s="273"/>
      <c r="AS52" s="273"/>
      <c r="AT52" s="273"/>
    </row>
    <row r="53" spans="29:46" ht="15" customHeight="1">
      <c r="AD53" s="273"/>
      <c r="AE53" s="273"/>
      <c r="AF53" s="273"/>
      <c r="AG53" s="273"/>
      <c r="AH53" s="273"/>
      <c r="AI53" s="273"/>
      <c r="AJ53" s="273"/>
      <c r="AK53" s="273"/>
      <c r="AL53" s="273"/>
      <c r="AM53" s="273"/>
      <c r="AN53" s="273"/>
      <c r="AO53" s="273"/>
      <c r="AP53" s="273"/>
      <c r="AQ53" s="273"/>
      <c r="AR53" s="273"/>
      <c r="AS53" s="273"/>
      <c r="AT53" s="273"/>
    </row>
    <row r="54" spans="29:46" ht="15" customHeight="1">
      <c r="AD54" s="273"/>
      <c r="AE54" s="273"/>
      <c r="AF54" s="273"/>
      <c r="AG54" s="273"/>
      <c r="AH54" s="273"/>
      <c r="AI54" s="273"/>
      <c r="AJ54" s="273"/>
      <c r="AK54" s="273"/>
      <c r="AL54" s="273"/>
      <c r="AM54" s="273"/>
      <c r="AN54" s="273"/>
      <c r="AO54" s="273"/>
      <c r="AP54" s="273"/>
      <c r="AQ54" s="273"/>
      <c r="AR54" s="273"/>
      <c r="AS54" s="273"/>
      <c r="AT54" s="273"/>
    </row>
    <row r="55" spans="29:46" ht="15" customHeight="1">
      <c r="AC55" s="277"/>
      <c r="AF55" s="273"/>
      <c r="AG55" s="273"/>
      <c r="AH55" s="273"/>
      <c r="AI55" s="273"/>
      <c r="AJ55" s="273"/>
      <c r="AK55" s="273"/>
      <c r="AL55" s="273"/>
      <c r="AM55" s="273"/>
      <c r="AN55" s="273"/>
      <c r="AO55" s="273"/>
      <c r="AP55" s="273"/>
      <c r="AQ55" s="273"/>
      <c r="AR55" s="273"/>
      <c r="AT55" s="273"/>
    </row>
    <row r="56" spans="29:46" ht="15" customHeight="1">
      <c r="AC56" s="277"/>
      <c r="AF56" s="273"/>
      <c r="AG56" s="273"/>
      <c r="AH56" s="273"/>
      <c r="AI56" s="273"/>
      <c r="AJ56" s="273"/>
      <c r="AK56" s="273"/>
      <c r="AL56" s="273"/>
      <c r="AM56" s="273"/>
      <c r="AN56" s="273"/>
      <c r="AO56" s="273"/>
      <c r="AP56" s="273"/>
      <c r="AQ56" s="273"/>
      <c r="AR56" s="273"/>
      <c r="AT56" s="273"/>
    </row>
    <row r="57" spans="29:46" ht="15" customHeight="1">
      <c r="AC57" s="277"/>
      <c r="AF57" s="273"/>
      <c r="AG57" s="273"/>
      <c r="AH57" s="273"/>
      <c r="AI57" s="273"/>
      <c r="AJ57" s="273"/>
      <c r="AK57" s="273"/>
      <c r="AL57" s="273"/>
      <c r="AM57" s="273"/>
      <c r="AN57" s="273"/>
      <c r="AO57" s="273"/>
      <c r="AP57" s="273"/>
      <c r="AQ57" s="273"/>
      <c r="AR57" s="273"/>
      <c r="AT57" s="273"/>
    </row>
    <row r="58" spans="29:46" ht="15" customHeight="1">
      <c r="AC58" s="277"/>
      <c r="AF58" s="273"/>
      <c r="AG58" s="273"/>
      <c r="AH58" s="273"/>
      <c r="AI58" s="273"/>
      <c r="AJ58" s="273"/>
      <c r="AK58" s="273"/>
      <c r="AL58" s="273"/>
      <c r="AM58" s="273"/>
      <c r="AN58" s="273"/>
      <c r="AO58" s="273"/>
      <c r="AP58" s="273"/>
      <c r="AQ58" s="273"/>
      <c r="AR58" s="273"/>
      <c r="AT58" s="273"/>
    </row>
    <row r="59" spans="29:46" ht="15" customHeight="1">
      <c r="AC59" s="277"/>
      <c r="AF59" s="273"/>
      <c r="AG59" s="273"/>
      <c r="AH59" s="273"/>
      <c r="AI59" s="273"/>
      <c r="AJ59" s="273"/>
      <c r="AK59" s="273"/>
      <c r="AL59" s="273"/>
      <c r="AM59" s="273"/>
      <c r="AN59" s="273"/>
      <c r="AO59" s="273"/>
      <c r="AP59" s="273"/>
      <c r="AQ59" s="273"/>
      <c r="AR59" s="273"/>
      <c r="AT59" s="273"/>
    </row>
    <row r="60" spans="29:46" ht="15" customHeight="1">
      <c r="AC60" s="277"/>
      <c r="AF60" s="273"/>
      <c r="AG60" s="273"/>
      <c r="AH60" s="273"/>
      <c r="AI60" s="273"/>
      <c r="AJ60" s="273"/>
      <c r="AK60" s="273"/>
      <c r="AL60" s="273"/>
      <c r="AM60" s="273"/>
      <c r="AN60" s="273"/>
      <c r="AO60" s="273"/>
      <c r="AP60" s="273"/>
      <c r="AQ60" s="273"/>
      <c r="AR60" s="273"/>
      <c r="AT60" s="273"/>
    </row>
    <row r="61" spans="29:46" ht="15" customHeight="1">
      <c r="AC61" s="277"/>
      <c r="AF61" s="273"/>
      <c r="AG61" s="273"/>
      <c r="AH61" s="273"/>
      <c r="AI61" s="273"/>
      <c r="AJ61" s="273"/>
      <c r="AK61" s="273"/>
      <c r="AL61" s="273"/>
      <c r="AM61" s="273"/>
      <c r="AN61" s="273"/>
      <c r="AO61" s="273"/>
      <c r="AP61" s="273"/>
      <c r="AQ61" s="273"/>
      <c r="AR61" s="273"/>
      <c r="AT61" s="273"/>
    </row>
    <row r="62" spans="29:46" ht="15" customHeight="1">
      <c r="AC62" s="277"/>
      <c r="AF62" s="273"/>
      <c r="AG62" s="273"/>
      <c r="AH62" s="273"/>
      <c r="AI62" s="273"/>
      <c r="AJ62" s="273"/>
      <c r="AK62" s="273"/>
      <c r="AL62" s="273"/>
      <c r="AM62" s="273"/>
      <c r="AN62" s="273"/>
      <c r="AO62" s="273"/>
      <c r="AP62" s="273"/>
      <c r="AQ62" s="273"/>
      <c r="AR62" s="273"/>
      <c r="AT62" s="273"/>
    </row>
    <row r="63" spans="29:46" ht="15" customHeight="1">
      <c r="AC63" s="277"/>
      <c r="AF63" s="273"/>
      <c r="AG63" s="273"/>
      <c r="AH63" s="273"/>
      <c r="AI63" s="273"/>
      <c r="AJ63" s="273"/>
      <c r="AK63" s="273"/>
      <c r="AL63" s="273"/>
      <c r="AM63" s="273"/>
      <c r="AN63" s="273"/>
      <c r="AO63" s="273"/>
      <c r="AP63" s="273"/>
      <c r="AQ63" s="273"/>
      <c r="AR63" s="273"/>
      <c r="AT63" s="273"/>
    </row>
    <row r="64" spans="29:46" ht="15" customHeight="1">
      <c r="AC64" s="277"/>
      <c r="AF64" s="273"/>
      <c r="AG64" s="273"/>
      <c r="AH64" s="273"/>
      <c r="AI64" s="273"/>
      <c r="AJ64" s="273"/>
      <c r="AK64" s="273"/>
      <c r="AL64" s="273"/>
      <c r="AM64" s="273"/>
      <c r="AN64" s="273"/>
      <c r="AO64" s="273"/>
      <c r="AP64" s="273"/>
      <c r="AQ64" s="273"/>
      <c r="AR64" s="273"/>
      <c r="AT64" s="273"/>
    </row>
    <row r="65" spans="27:47" ht="15" customHeight="1">
      <c r="AC65" s="277"/>
      <c r="AF65" s="273"/>
      <c r="AG65" s="273"/>
      <c r="AH65" s="273"/>
      <c r="AI65" s="273"/>
      <c r="AJ65" s="273"/>
      <c r="AK65" s="273"/>
      <c r="AL65" s="273"/>
      <c r="AM65" s="273"/>
      <c r="AN65" s="273"/>
      <c r="AO65" s="273"/>
      <c r="AP65" s="273"/>
      <c r="AQ65" s="273"/>
      <c r="AR65" s="273"/>
      <c r="AT65" s="273"/>
    </row>
    <row r="66" spans="27:47" ht="15" customHeight="1">
      <c r="AC66" s="277"/>
      <c r="AF66" s="273"/>
      <c r="AG66" s="273"/>
      <c r="AH66" s="273"/>
      <c r="AI66" s="273"/>
      <c r="AJ66" s="273"/>
      <c r="AK66" s="273"/>
      <c r="AL66" s="273"/>
      <c r="AM66" s="273"/>
      <c r="AN66" s="273"/>
      <c r="AO66" s="273"/>
      <c r="AP66" s="273"/>
      <c r="AQ66" s="273"/>
      <c r="AR66" s="273"/>
      <c r="AT66" s="273"/>
    </row>
    <row r="67" spans="27:47" ht="15" customHeight="1">
      <c r="AC67" s="277"/>
      <c r="AF67" s="273"/>
      <c r="AG67" s="273"/>
      <c r="AH67" s="273"/>
      <c r="AI67" s="273"/>
      <c r="AJ67" s="273"/>
      <c r="AK67" s="273"/>
      <c r="AL67" s="273"/>
      <c r="AM67" s="273"/>
      <c r="AN67" s="273"/>
      <c r="AO67" s="273"/>
      <c r="AP67" s="273"/>
      <c r="AQ67" s="273"/>
      <c r="AR67" s="273"/>
      <c r="AT67" s="273"/>
    </row>
    <row r="68" spans="27:47" ht="15" customHeight="1">
      <c r="AC68" s="277"/>
      <c r="AF68" s="273"/>
      <c r="AG68" s="273"/>
      <c r="AH68" s="273"/>
      <c r="AI68" s="273"/>
      <c r="AJ68" s="273"/>
      <c r="AK68" s="273"/>
      <c r="AL68" s="273"/>
      <c r="AM68" s="273"/>
      <c r="AN68" s="273"/>
      <c r="AO68" s="273"/>
      <c r="AP68" s="273"/>
      <c r="AQ68" s="273"/>
      <c r="AR68" s="273"/>
      <c r="AT68" s="273"/>
    </row>
    <row r="69" spans="27:47" ht="15" customHeight="1">
      <c r="AC69" s="277"/>
      <c r="AF69" s="273"/>
      <c r="AG69" s="273"/>
      <c r="AH69" s="273"/>
      <c r="AI69" s="273"/>
      <c r="AJ69" s="273"/>
      <c r="AK69" s="273"/>
      <c r="AL69" s="273"/>
      <c r="AM69" s="273"/>
      <c r="AN69" s="273"/>
      <c r="AO69" s="273"/>
      <c r="AP69" s="273"/>
      <c r="AQ69" s="273"/>
      <c r="AR69" s="273"/>
      <c r="AT69" s="273"/>
    </row>
    <row r="70" spans="27:47" ht="15" customHeight="1">
      <c r="AC70" s="277"/>
      <c r="AF70" s="273"/>
      <c r="AG70" s="273"/>
      <c r="AH70" s="273"/>
      <c r="AI70" s="273"/>
      <c r="AJ70" s="273"/>
      <c r="AK70" s="273"/>
      <c r="AL70" s="273"/>
      <c r="AM70" s="273"/>
      <c r="AN70" s="273"/>
      <c r="AO70" s="273"/>
      <c r="AP70" s="273"/>
      <c r="AQ70" s="273"/>
      <c r="AR70" s="273"/>
      <c r="AT70" s="273"/>
    </row>
    <row r="71" spans="27:47" ht="15" customHeight="1">
      <c r="AC71" s="277"/>
      <c r="AF71" s="273"/>
      <c r="AG71" s="273"/>
      <c r="AH71" s="273"/>
      <c r="AI71" s="273"/>
      <c r="AJ71" s="273"/>
      <c r="AK71" s="273"/>
      <c r="AL71" s="273"/>
      <c r="AM71" s="273"/>
      <c r="AN71" s="273"/>
      <c r="AO71" s="273"/>
      <c r="AP71" s="273"/>
      <c r="AQ71" s="273"/>
      <c r="AR71" s="273"/>
      <c r="AT71" s="273"/>
    </row>
    <row r="72" spans="27:47" ht="15" customHeight="1">
      <c r="AC72" s="277"/>
      <c r="AF72" s="273"/>
      <c r="AG72" s="273"/>
      <c r="AH72" s="273"/>
      <c r="AI72" s="273"/>
      <c r="AJ72" s="273"/>
      <c r="AK72" s="273"/>
      <c r="AL72" s="273"/>
      <c r="AM72" s="273"/>
      <c r="AN72" s="273"/>
      <c r="AO72" s="273"/>
      <c r="AP72" s="273"/>
      <c r="AQ72" s="273"/>
      <c r="AR72" s="273"/>
      <c r="AT72" s="273"/>
    </row>
    <row r="73" spans="27:47" ht="15" customHeight="1">
      <c r="AC73" s="277"/>
      <c r="AF73" s="273"/>
      <c r="AG73" s="273"/>
      <c r="AH73" s="273"/>
      <c r="AI73" s="273"/>
      <c r="AJ73" s="273"/>
      <c r="AK73" s="273"/>
      <c r="AL73" s="273"/>
      <c r="AM73" s="273"/>
      <c r="AN73" s="273"/>
      <c r="AO73" s="273"/>
      <c r="AP73" s="273"/>
      <c r="AQ73" s="273"/>
      <c r="AR73" s="273"/>
      <c r="AT73" s="273"/>
    </row>
    <row r="74" spans="27:47" ht="15" customHeight="1">
      <c r="AC74" s="277"/>
      <c r="AF74" s="273"/>
      <c r="AG74" s="273"/>
      <c r="AH74" s="273"/>
      <c r="AI74" s="273"/>
      <c r="AJ74" s="273"/>
      <c r="AK74" s="273"/>
      <c r="AL74" s="273"/>
      <c r="AM74" s="273"/>
      <c r="AN74" s="273"/>
      <c r="AO74" s="273"/>
      <c r="AP74" s="273"/>
      <c r="AQ74" s="273"/>
      <c r="AR74" s="273"/>
      <c r="AT74" s="273"/>
    </row>
    <row r="75" spans="27:47" ht="15" customHeight="1">
      <c r="AC75" s="277"/>
      <c r="AF75" s="273"/>
      <c r="AG75" s="273"/>
      <c r="AH75" s="273"/>
      <c r="AI75" s="273"/>
      <c r="AJ75" s="273"/>
      <c r="AK75" s="273"/>
      <c r="AL75" s="273"/>
      <c r="AM75" s="273"/>
      <c r="AN75" s="273"/>
      <c r="AO75" s="273"/>
      <c r="AP75" s="273"/>
      <c r="AQ75" s="273"/>
      <c r="AR75" s="273"/>
      <c r="AT75" s="273"/>
    </row>
    <row r="76" spans="27:47" ht="15" customHeight="1">
      <c r="AC76" s="277"/>
      <c r="AF76" s="273"/>
      <c r="AG76" s="273"/>
      <c r="AH76" s="273"/>
      <c r="AI76" s="273"/>
      <c r="AJ76" s="273"/>
      <c r="AK76" s="273"/>
      <c r="AL76" s="273"/>
      <c r="AM76" s="273"/>
      <c r="AN76" s="273"/>
      <c r="AO76" s="273"/>
      <c r="AP76" s="273"/>
      <c r="AQ76" s="273"/>
      <c r="AR76" s="273"/>
      <c r="AT76" s="273"/>
    </row>
    <row r="77" spans="27:47" ht="15" customHeight="1">
      <c r="AC77" s="277"/>
      <c r="AF77" s="273"/>
      <c r="AG77" s="273"/>
      <c r="AH77" s="273"/>
      <c r="AI77" s="273"/>
      <c r="AJ77" s="273"/>
      <c r="AK77" s="273"/>
      <c r="AL77" s="273"/>
      <c r="AM77" s="273"/>
      <c r="AN77" s="273"/>
      <c r="AO77" s="273"/>
      <c r="AP77" s="273"/>
      <c r="AQ77" s="273"/>
      <c r="AR77" s="273"/>
      <c r="AT77" s="273"/>
    </row>
    <row r="78" spans="27:47" ht="15" customHeight="1">
      <c r="AC78" s="277"/>
      <c r="AF78" s="273"/>
      <c r="AG78" s="273"/>
      <c r="AH78" s="273"/>
      <c r="AI78" s="273"/>
      <c r="AJ78" s="273"/>
      <c r="AK78" s="273"/>
      <c r="AL78" s="273"/>
      <c r="AM78" s="273"/>
      <c r="AN78" s="273"/>
      <c r="AO78" s="273"/>
      <c r="AP78" s="273"/>
      <c r="AQ78" s="273"/>
      <c r="AR78" s="273"/>
      <c r="AT78" s="273"/>
    </row>
    <row r="79" spans="27:47" ht="15" customHeight="1">
      <c r="AC79" s="277"/>
      <c r="AF79" s="273"/>
      <c r="AG79" s="273"/>
      <c r="AH79" s="273"/>
      <c r="AI79" s="273"/>
      <c r="AJ79" s="273"/>
      <c r="AK79" s="273"/>
      <c r="AL79" s="273"/>
      <c r="AM79" s="273"/>
      <c r="AN79" s="273"/>
      <c r="AO79" s="273"/>
      <c r="AP79" s="273"/>
      <c r="AQ79" s="273"/>
      <c r="AR79" s="273"/>
      <c r="AT79" s="273"/>
    </row>
    <row r="80" spans="27:47">
      <c r="AA80" s="296"/>
      <c r="AC80" s="277"/>
      <c r="AF80" s="273"/>
      <c r="AG80" s="273"/>
      <c r="AH80" s="273"/>
      <c r="AI80" s="273"/>
      <c r="AJ80" s="273"/>
      <c r="AK80" s="273"/>
      <c r="AL80" s="273"/>
      <c r="AM80" s="273"/>
      <c r="AN80" s="273"/>
      <c r="AO80" s="273"/>
      <c r="AP80" s="273"/>
      <c r="AQ80" s="273"/>
      <c r="AR80" s="273"/>
      <c r="AU80" s="273"/>
    </row>
    <row r="81" spans="27:47" ht="15" customHeight="1">
      <c r="AA81" s="296"/>
      <c r="AG81" s="273"/>
      <c r="AH81" s="273"/>
      <c r="AI81" s="273"/>
      <c r="AJ81" s="273"/>
      <c r="AK81" s="273"/>
      <c r="AL81" s="273"/>
      <c r="AM81" s="273"/>
      <c r="AN81" s="273"/>
      <c r="AO81" s="273"/>
      <c r="AP81" s="273"/>
      <c r="AQ81" s="273"/>
      <c r="AR81" s="273"/>
      <c r="AS81" s="273"/>
      <c r="AU81" s="273"/>
    </row>
    <row r="82" spans="27:47" ht="15" customHeight="1">
      <c r="AA82" s="297"/>
      <c r="AG82" s="273"/>
      <c r="AH82" s="273"/>
      <c r="AI82" s="273"/>
      <c r="AJ82" s="273"/>
      <c r="AK82" s="273"/>
      <c r="AL82" s="273"/>
      <c r="AM82" s="273"/>
      <c r="AN82" s="273"/>
      <c r="AO82" s="273"/>
      <c r="AP82" s="273"/>
      <c r="AQ82" s="273"/>
      <c r="AR82" s="273"/>
      <c r="AS82" s="273"/>
      <c r="AU82" s="273"/>
    </row>
    <row r="83" spans="27:47" ht="15" customHeight="1">
      <c r="AG83" s="273"/>
      <c r="AH83" s="273"/>
      <c r="AI83" s="273"/>
      <c r="AJ83" s="273"/>
      <c r="AK83" s="273"/>
      <c r="AL83" s="273"/>
      <c r="AM83" s="273"/>
      <c r="AN83" s="273"/>
      <c r="AO83" s="273"/>
      <c r="AP83" s="273"/>
      <c r="AQ83" s="273"/>
      <c r="AR83" s="273"/>
      <c r="AS83" s="273"/>
      <c r="AU83" s="273"/>
    </row>
    <row r="84" spans="27:47" ht="15" customHeight="1">
      <c r="AG84" s="273"/>
      <c r="AH84" s="273"/>
      <c r="AI84" s="273"/>
      <c r="AJ84" s="273"/>
      <c r="AK84" s="273"/>
      <c r="AL84" s="273"/>
      <c r="AM84" s="273"/>
      <c r="AN84" s="273"/>
      <c r="AO84" s="273"/>
      <c r="AP84" s="273"/>
      <c r="AQ84" s="273"/>
      <c r="AR84" s="273"/>
      <c r="AS84" s="273"/>
      <c r="AU84" s="273"/>
    </row>
    <row r="85" spans="27:47" ht="15" customHeight="1">
      <c r="AG85" s="273"/>
      <c r="AH85" s="273"/>
      <c r="AI85" s="273"/>
      <c r="AJ85" s="273"/>
      <c r="AK85" s="273"/>
      <c r="AL85" s="273"/>
      <c r="AM85" s="273"/>
      <c r="AN85" s="273"/>
      <c r="AO85" s="273"/>
      <c r="AP85" s="273"/>
      <c r="AQ85" s="273"/>
      <c r="AR85" s="273"/>
      <c r="AS85" s="273"/>
      <c r="AU85" s="273"/>
    </row>
    <row r="86" spans="27:47" ht="15" customHeight="1">
      <c r="AG86" s="273"/>
      <c r="AH86" s="273"/>
      <c r="AI86" s="273"/>
      <c r="AJ86" s="273"/>
      <c r="AK86" s="273"/>
      <c r="AL86" s="273"/>
      <c r="AM86" s="273"/>
      <c r="AN86" s="273"/>
      <c r="AO86" s="273"/>
      <c r="AP86" s="273"/>
      <c r="AQ86" s="273"/>
      <c r="AR86" s="273"/>
      <c r="AS86" s="273"/>
      <c r="AU86" s="273"/>
    </row>
    <row r="87" spans="27:47" ht="15" customHeight="1">
      <c r="AG87" s="273"/>
      <c r="AH87" s="273"/>
      <c r="AI87" s="273"/>
      <c r="AJ87" s="273"/>
      <c r="AK87" s="273"/>
      <c r="AL87" s="273"/>
      <c r="AM87" s="273"/>
      <c r="AN87" s="273"/>
      <c r="AO87" s="273"/>
      <c r="AP87" s="273"/>
      <c r="AQ87" s="273"/>
      <c r="AR87" s="273"/>
      <c r="AS87" s="273"/>
      <c r="AU87" s="273"/>
    </row>
    <row r="88" spans="27:47" ht="15" customHeight="1">
      <c r="AG88" s="273"/>
      <c r="AH88" s="273"/>
      <c r="AI88" s="273"/>
      <c r="AJ88" s="273"/>
      <c r="AK88" s="273"/>
      <c r="AL88" s="273"/>
      <c r="AM88" s="273"/>
      <c r="AN88" s="273"/>
      <c r="AO88" s="273"/>
      <c r="AP88" s="273"/>
      <c r="AQ88" s="273"/>
      <c r="AR88" s="273"/>
      <c r="AS88" s="273"/>
      <c r="AU88" s="273"/>
    </row>
    <row r="89" spans="27:47" ht="15" customHeight="1">
      <c r="AG89" s="273"/>
      <c r="AH89" s="273"/>
      <c r="AI89" s="273"/>
      <c r="AJ89" s="273"/>
      <c r="AK89" s="273"/>
      <c r="AL89" s="273"/>
      <c r="AM89" s="273"/>
      <c r="AN89" s="273"/>
      <c r="AO89" s="273"/>
      <c r="AP89" s="273"/>
      <c r="AQ89" s="273"/>
      <c r="AR89" s="273"/>
      <c r="AS89" s="273"/>
      <c r="AU89" s="273"/>
    </row>
    <row r="90" spans="27:47" ht="15" customHeight="1">
      <c r="AG90" s="273"/>
      <c r="AH90" s="273"/>
      <c r="AI90" s="273"/>
      <c r="AJ90" s="273"/>
      <c r="AK90" s="273"/>
      <c r="AL90" s="273"/>
      <c r="AM90" s="273"/>
      <c r="AN90" s="273"/>
      <c r="AO90" s="273"/>
      <c r="AP90" s="273"/>
      <c r="AQ90" s="273"/>
      <c r="AR90" s="273"/>
      <c r="AS90" s="273"/>
      <c r="AU90" s="273"/>
    </row>
    <row r="91" spans="27:47" ht="15" customHeight="1">
      <c r="AG91" s="273"/>
      <c r="AH91" s="273"/>
      <c r="AI91" s="273"/>
      <c r="AJ91" s="273"/>
      <c r="AK91" s="273"/>
      <c r="AL91" s="273"/>
      <c r="AM91" s="273"/>
      <c r="AN91" s="273"/>
      <c r="AO91" s="273"/>
      <c r="AP91" s="273"/>
      <c r="AQ91" s="273"/>
      <c r="AR91" s="273"/>
      <c r="AS91" s="273"/>
      <c r="AU91" s="273"/>
    </row>
    <row r="92" spans="27:47" ht="15" customHeight="1">
      <c r="AG92" s="273"/>
      <c r="AH92" s="273"/>
      <c r="AI92" s="273"/>
      <c r="AJ92" s="273"/>
      <c r="AK92" s="273"/>
      <c r="AL92" s="273"/>
      <c r="AM92" s="273"/>
      <c r="AN92" s="273"/>
      <c r="AO92" s="273"/>
      <c r="AP92" s="273"/>
      <c r="AQ92" s="273"/>
      <c r="AR92" s="273"/>
      <c r="AS92" s="273"/>
      <c r="AU92" s="273"/>
    </row>
    <row r="93" spans="27:47" ht="15" customHeight="1">
      <c r="AG93" s="273"/>
      <c r="AH93" s="273"/>
      <c r="AI93" s="273"/>
      <c r="AJ93" s="273"/>
      <c r="AK93" s="273"/>
      <c r="AL93" s="273"/>
      <c r="AM93" s="273"/>
      <c r="AN93" s="273"/>
      <c r="AO93" s="273"/>
      <c r="AP93" s="273"/>
      <c r="AQ93" s="273"/>
      <c r="AR93" s="273"/>
      <c r="AS93" s="273"/>
      <c r="AU93" s="273"/>
    </row>
    <row r="94" spans="27:47" ht="15" customHeight="1">
      <c r="AG94" s="273"/>
      <c r="AH94" s="273"/>
      <c r="AI94" s="273"/>
      <c r="AJ94" s="273"/>
      <c r="AK94" s="273"/>
      <c r="AL94" s="273"/>
      <c r="AM94" s="273"/>
      <c r="AN94" s="273"/>
      <c r="AO94" s="273"/>
      <c r="AP94" s="273"/>
      <c r="AQ94" s="273"/>
      <c r="AR94" s="273"/>
      <c r="AS94" s="273"/>
      <c r="AU94" s="273"/>
    </row>
    <row r="95" spans="27:47" ht="15" customHeight="1">
      <c r="AG95" s="273"/>
      <c r="AH95" s="273"/>
      <c r="AI95" s="273"/>
      <c r="AJ95" s="273"/>
      <c r="AK95" s="273"/>
      <c r="AL95" s="273"/>
      <c r="AM95" s="273"/>
      <c r="AN95" s="273"/>
      <c r="AO95" s="273"/>
      <c r="AP95" s="273"/>
      <c r="AQ95" s="273"/>
      <c r="AR95" s="273"/>
      <c r="AS95" s="273"/>
      <c r="AU95" s="273"/>
    </row>
    <row r="96" spans="27:47" ht="15" customHeight="1">
      <c r="AG96" s="273"/>
      <c r="AH96" s="273"/>
      <c r="AI96" s="273"/>
      <c r="AJ96" s="273"/>
      <c r="AK96" s="273"/>
      <c r="AL96" s="273"/>
      <c r="AM96" s="273"/>
      <c r="AN96" s="273"/>
      <c r="AO96" s="273"/>
      <c r="AP96" s="273"/>
      <c r="AQ96" s="273"/>
      <c r="AR96" s="273"/>
      <c r="AS96" s="273"/>
      <c r="AU96" s="273"/>
    </row>
    <row r="97" spans="33:47" ht="15" customHeight="1">
      <c r="AG97" s="273"/>
      <c r="AH97" s="273"/>
      <c r="AI97" s="273"/>
      <c r="AJ97" s="273"/>
      <c r="AK97" s="273"/>
      <c r="AL97" s="273"/>
      <c r="AM97" s="273"/>
      <c r="AN97" s="273"/>
      <c r="AO97" s="273"/>
      <c r="AP97" s="273"/>
      <c r="AQ97" s="273"/>
      <c r="AR97" s="273"/>
      <c r="AS97" s="273"/>
      <c r="AU97" s="273"/>
    </row>
    <row r="98" spans="33:47" ht="15.75" customHeight="1">
      <c r="AG98" s="273"/>
      <c r="AH98" s="273"/>
      <c r="AI98" s="273"/>
      <c r="AJ98" s="273"/>
      <c r="AK98" s="273"/>
      <c r="AL98" s="273"/>
      <c r="AM98" s="273"/>
      <c r="AN98" s="273"/>
      <c r="AO98" s="273"/>
      <c r="AP98" s="273"/>
      <c r="AQ98" s="273"/>
      <c r="AR98" s="273"/>
      <c r="AS98" s="273"/>
      <c r="AU98" s="273"/>
    </row>
    <row r="99" spans="33:47">
      <c r="AG99" s="273"/>
      <c r="AH99" s="273"/>
      <c r="AI99" s="273"/>
      <c r="AJ99" s="273"/>
      <c r="AK99" s="273"/>
      <c r="AL99" s="273"/>
      <c r="AM99" s="273"/>
      <c r="AN99" s="273"/>
      <c r="AO99" s="273"/>
      <c r="AP99" s="273"/>
      <c r="AQ99" s="273"/>
      <c r="AR99" s="273"/>
      <c r="AS99" s="273"/>
      <c r="AU99" s="273"/>
    </row>
    <row r="100" spans="33:47">
      <c r="AG100" s="273"/>
      <c r="AH100" s="273"/>
      <c r="AI100" s="273"/>
      <c r="AJ100" s="273"/>
      <c r="AK100" s="273"/>
      <c r="AL100" s="273"/>
      <c r="AM100" s="273"/>
      <c r="AN100" s="273"/>
      <c r="AO100" s="273"/>
      <c r="AP100" s="273"/>
      <c r="AQ100" s="273"/>
      <c r="AR100" s="273"/>
      <c r="AS100" s="273"/>
      <c r="AU100" s="273"/>
    </row>
    <row r="101" spans="33:47">
      <c r="AG101" s="273"/>
      <c r="AH101" s="273"/>
      <c r="AI101" s="273"/>
      <c r="AJ101" s="273"/>
      <c r="AK101" s="273"/>
      <c r="AL101" s="273"/>
      <c r="AM101" s="273"/>
      <c r="AN101" s="273"/>
      <c r="AO101" s="273"/>
      <c r="AP101" s="273"/>
      <c r="AQ101" s="273"/>
      <c r="AR101" s="273"/>
      <c r="AS101" s="273"/>
      <c r="AU101" s="273"/>
    </row>
    <row r="102" spans="33:47" ht="15" customHeight="1">
      <c r="AG102" s="273"/>
      <c r="AH102" s="273"/>
      <c r="AI102" s="273"/>
      <c r="AJ102" s="273"/>
      <c r="AK102" s="273"/>
      <c r="AL102" s="273"/>
      <c r="AM102" s="273"/>
      <c r="AN102" s="273"/>
      <c r="AO102" s="273"/>
      <c r="AP102" s="273"/>
      <c r="AQ102" s="273"/>
      <c r="AR102" s="273"/>
      <c r="AS102" s="273"/>
      <c r="AU102" s="273"/>
    </row>
    <row r="103" spans="33:47">
      <c r="AG103" s="273"/>
      <c r="AH103" s="273"/>
      <c r="AI103" s="273"/>
      <c r="AJ103" s="273"/>
      <c r="AK103" s="273"/>
      <c r="AL103" s="273"/>
      <c r="AM103" s="273"/>
      <c r="AN103" s="273"/>
      <c r="AO103" s="273"/>
      <c r="AP103" s="273"/>
      <c r="AQ103" s="273"/>
      <c r="AR103" s="273"/>
      <c r="AS103" s="273"/>
    </row>
    <row r="104" spans="33:47">
      <c r="AP104" s="300"/>
      <c r="AQ104" s="300"/>
      <c r="AR104" s="300"/>
      <c r="AS104" s="300"/>
    </row>
  </sheetData>
  <dataConsolidate topLabels="1">
    <dataRefs count="1">
      <dataRef ref="C8:D86" sheet="AHU 1"/>
    </dataRefs>
  </dataConsolidate>
  <mergeCells count="6">
    <mergeCell ref="AC46:AS49"/>
    <mergeCell ref="D5:G5"/>
    <mergeCell ref="H5:R5"/>
    <mergeCell ref="S5:V5"/>
    <mergeCell ref="X5:Z5"/>
    <mergeCell ref="AC5:AS5"/>
  </mergeCells>
  <conditionalFormatting sqref="Y7:Y17">
    <cfRule type="cellIs" dxfId="50" priority="326" operator="greaterThan">
      <formula>$Y$4</formula>
    </cfRule>
  </conditionalFormatting>
  <dataValidations count="2">
    <dataValidation type="whole" operator="greaterThan" allowBlank="1" showInputMessage="1" showErrorMessage="1" sqref="E7:E17" xr:uid="{F1A3EF2D-6E55-CD46-BCD9-B9DC49D982F6}">
      <formula1>1</formula1>
    </dataValidation>
    <dataValidation type="decimal" operator="greaterThan" allowBlank="1" showInputMessage="1" showErrorMessage="1" sqref="F7:F17" xr:uid="{F480A03E-CE39-B147-8CA0-34DA77E504E5}">
      <formula1>1</formula1>
    </dataValidation>
  </dataValidations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3315F8CC-E640-E44F-8FD0-662DFDADC281}">
          <x14:formula1>
            <xm:f>'UMC Table 4-A'!$A$10:$A$139</xm:f>
          </x14:formula1>
          <xm:sqref>M7:M17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tabColor rgb="FF0070C0"/>
    <pageSetUpPr fitToPage="1"/>
  </sheetPr>
  <dimension ref="A2:BF34"/>
  <sheetViews>
    <sheetView showGridLines="0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F27" sqref="F27"/>
    </sheetView>
  </sheetViews>
  <sheetFormatPr baseColWidth="10" defaultColWidth="8.83203125" defaultRowHeight="13" outlineLevelCol="3"/>
  <cols>
    <col min="1" max="1" width="14.83203125" bestFit="1" customWidth="1"/>
    <col min="2" max="2" width="13.1640625" bestFit="1" customWidth="1"/>
    <col min="3" max="3" width="11.5" hidden="1" customWidth="1"/>
    <col min="4" max="4" width="11.83203125" bestFit="1" customWidth="1"/>
    <col min="5" max="5" width="15.6640625" hidden="1" customWidth="1"/>
    <col min="6" max="6" width="15.6640625" bestFit="1" customWidth="1"/>
    <col min="7" max="7" width="9.33203125" customWidth="1"/>
    <col min="8" max="8" width="9.1640625" customWidth="1"/>
    <col min="9" max="9" width="9.1640625" hidden="1" customWidth="1"/>
    <col min="10" max="10" width="10" hidden="1" customWidth="1"/>
    <col min="11" max="14" width="9.1640625" hidden="1" customWidth="1"/>
    <col min="15" max="15" width="9.6640625" hidden="1" customWidth="1"/>
    <col min="16" max="16" width="9.33203125" customWidth="1"/>
    <col min="17" max="17" width="9.6640625" customWidth="1"/>
    <col min="18" max="18" width="9.1640625" customWidth="1"/>
    <col min="19" max="19" width="9.33203125" customWidth="1"/>
    <col min="20" max="20" width="9.6640625" customWidth="1"/>
    <col min="21" max="21" width="9.1640625" customWidth="1"/>
    <col min="22" max="23" width="10" customWidth="1"/>
    <col min="24" max="24" width="16.83203125" bestFit="1" customWidth="1"/>
    <col min="25" max="26" width="9.5" hidden="1" customWidth="1"/>
    <col min="27" max="27" width="10" bestFit="1" customWidth="1"/>
    <col min="28" max="28" width="9.33203125" customWidth="1"/>
    <col min="29" max="29" width="9.6640625" customWidth="1"/>
    <col min="30" max="30" width="9.1640625" customWidth="1"/>
    <col min="31" max="31" width="9.33203125" customWidth="1"/>
    <col min="32" max="32" width="9.6640625" customWidth="1"/>
    <col min="33" max="33" width="9.1640625" customWidth="1"/>
    <col min="34" max="36" width="9.1640625" hidden="1" customWidth="1"/>
    <col min="37" max="37" width="10" customWidth="1"/>
    <col min="38" max="38" width="14.6640625" customWidth="1"/>
    <col min="39" max="39" width="16.83203125" bestFit="1" customWidth="1"/>
    <col min="40" max="41" width="9.5" hidden="1" customWidth="1"/>
    <col min="42" max="42" width="12" bestFit="1" customWidth="1"/>
    <col min="43" max="43" width="13.6640625" bestFit="1" customWidth="1"/>
    <col min="44" max="44" width="12.6640625" bestFit="1" customWidth="1"/>
    <col min="45" max="45" width="14.1640625" customWidth="1"/>
    <col min="46" max="46" width="9.1640625" customWidth="1"/>
    <col min="47" max="47" width="9.33203125" customWidth="1"/>
    <col min="48" max="48" width="26" customWidth="1"/>
    <col min="49" max="49" width="17" customWidth="1"/>
    <col min="50" max="51" width="9.5" customWidth="1"/>
    <col min="52" max="52" width="8.33203125" customWidth="1" collapsed="1"/>
    <col min="53" max="53" width="9.6640625" hidden="1" customWidth="1" outlineLevel="3"/>
    <col min="54" max="54" width="10.1640625" hidden="1" customWidth="1" outlineLevel="3" collapsed="1"/>
    <col min="55" max="55" width="9.33203125" customWidth="1" collapsed="1"/>
    <col min="56" max="57" width="22.5" customWidth="1"/>
    <col min="58" max="58" width="10.6640625" bestFit="1" customWidth="1"/>
  </cols>
  <sheetData>
    <row r="2" spans="1:58">
      <c r="B2" s="184"/>
      <c r="D2" s="184"/>
    </row>
    <row r="8" spans="1:58" s="166" customFormat="1" ht="13" customHeight="1">
      <c r="A8" s="248"/>
      <c r="B8" s="249" t="s">
        <v>49</v>
      </c>
      <c r="C8" s="249"/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 t="s">
        <v>50</v>
      </c>
      <c r="Q8" s="249"/>
      <c r="R8" s="249"/>
      <c r="S8" s="249"/>
      <c r="T8" s="249"/>
      <c r="U8" s="249"/>
      <c r="V8" s="249"/>
      <c r="W8" s="249"/>
      <c r="X8" s="249"/>
      <c r="Y8" s="249"/>
      <c r="Z8" s="249"/>
      <c r="AA8" s="249"/>
      <c r="AB8" s="249" t="s">
        <v>51</v>
      </c>
      <c r="AC8" s="249"/>
      <c r="AD8" s="249"/>
      <c r="AE8" s="249"/>
      <c r="AF8" s="249"/>
      <c r="AG8" s="249"/>
      <c r="AH8" s="249"/>
      <c r="AI8" s="249"/>
      <c r="AJ8" s="249"/>
      <c r="AK8" s="249"/>
      <c r="AL8" s="249"/>
      <c r="AM8" s="249"/>
      <c r="AN8" s="249"/>
      <c r="AO8" s="249"/>
      <c r="AP8" s="249"/>
      <c r="AQ8" s="249" t="s">
        <v>52</v>
      </c>
      <c r="AR8" s="249"/>
      <c r="AS8" s="249"/>
      <c r="AT8" s="249" t="s">
        <v>106</v>
      </c>
      <c r="AU8" s="249"/>
      <c r="AV8" s="249"/>
      <c r="AW8" s="249"/>
      <c r="AX8" s="249"/>
      <c r="AY8" s="249"/>
      <c r="AZ8" s="249"/>
      <c r="BA8" s="249" t="s">
        <v>90</v>
      </c>
      <c r="BB8" s="249"/>
      <c r="BC8" s="249" t="s">
        <v>54</v>
      </c>
      <c r="BD8" s="249"/>
      <c r="BE8" s="249"/>
      <c r="BF8" s="249"/>
    </row>
    <row r="9" spans="1:58" s="74" customFormat="1" ht="32.25" customHeight="1">
      <c r="A9" s="248"/>
      <c r="B9" s="247" t="s">
        <v>18</v>
      </c>
      <c r="C9" s="247"/>
      <c r="D9" s="247"/>
      <c r="E9" s="247"/>
      <c r="F9" s="247"/>
      <c r="G9" s="247"/>
      <c r="H9" s="247"/>
      <c r="I9" s="247"/>
      <c r="J9" s="247"/>
      <c r="K9" s="247"/>
      <c r="L9" s="247"/>
      <c r="M9" s="247"/>
      <c r="N9" s="247"/>
      <c r="O9" s="248" t="s">
        <v>55</v>
      </c>
      <c r="P9" s="247" t="s">
        <v>56</v>
      </c>
      <c r="Q9" s="247"/>
      <c r="R9" s="247"/>
      <c r="S9" s="247"/>
      <c r="T9" s="247"/>
      <c r="U9" s="247"/>
      <c r="V9" s="250" t="s">
        <v>58</v>
      </c>
      <c r="W9" s="250"/>
      <c r="X9" s="251" t="s">
        <v>390</v>
      </c>
      <c r="Y9" s="248" t="s">
        <v>389</v>
      </c>
      <c r="Z9" s="248"/>
      <c r="AA9" s="248"/>
      <c r="AB9" s="247" t="s">
        <v>56</v>
      </c>
      <c r="AC9" s="247"/>
      <c r="AD9" s="247"/>
      <c r="AE9" s="247"/>
      <c r="AF9" s="247"/>
      <c r="AG9" s="247"/>
      <c r="AH9" s="247" t="s">
        <v>57</v>
      </c>
      <c r="AI9" s="247"/>
      <c r="AJ9" s="247"/>
      <c r="AK9" s="250" t="s">
        <v>59</v>
      </c>
      <c r="AL9" s="250"/>
      <c r="AM9" s="251" t="s">
        <v>390</v>
      </c>
      <c r="AN9" s="248" t="s">
        <v>254</v>
      </c>
      <c r="AO9" s="248"/>
      <c r="AP9" s="248"/>
      <c r="AQ9" s="251" t="s">
        <v>391</v>
      </c>
      <c r="AR9" s="247" t="s">
        <v>32</v>
      </c>
      <c r="AS9" s="247" t="s">
        <v>373</v>
      </c>
      <c r="AT9" s="94"/>
      <c r="AU9" s="247" t="s">
        <v>35</v>
      </c>
      <c r="AV9" s="247"/>
      <c r="AW9" s="94" t="s">
        <v>19</v>
      </c>
      <c r="AX9" s="248" t="s">
        <v>257</v>
      </c>
      <c r="AY9" s="248"/>
      <c r="AZ9" s="248"/>
      <c r="BA9" s="250" t="s">
        <v>93</v>
      </c>
      <c r="BB9" s="247" t="s">
        <v>92</v>
      </c>
      <c r="BC9" s="94"/>
      <c r="BD9" s="94"/>
      <c r="BE9" s="94"/>
      <c r="BF9" s="52"/>
    </row>
    <row r="10" spans="1:58" s="74" customFormat="1" ht="28">
      <c r="A10" s="248"/>
      <c r="B10" s="108" t="s">
        <v>20</v>
      </c>
      <c r="C10" s="108"/>
      <c r="D10" s="248" t="s">
        <v>60</v>
      </c>
      <c r="E10" s="248"/>
      <c r="F10" s="248"/>
      <c r="G10" s="248"/>
      <c r="H10" s="248" t="s">
        <v>388</v>
      </c>
      <c r="I10" s="248"/>
      <c r="J10" s="248"/>
      <c r="K10" s="248" t="s">
        <v>61</v>
      </c>
      <c r="L10" s="248"/>
      <c r="M10" s="248"/>
      <c r="N10" s="108" t="s">
        <v>62</v>
      </c>
      <c r="O10" s="248"/>
      <c r="P10" s="248" t="s">
        <v>21</v>
      </c>
      <c r="Q10" s="248"/>
      <c r="R10" s="248"/>
      <c r="S10" s="248" t="s">
        <v>22</v>
      </c>
      <c r="T10" s="248"/>
      <c r="U10" s="248"/>
      <c r="V10" s="108" t="s">
        <v>23</v>
      </c>
      <c r="W10" s="108" t="s">
        <v>24</v>
      </c>
      <c r="X10" s="251"/>
      <c r="Y10" s="248"/>
      <c r="Z10" s="248"/>
      <c r="AA10" s="248"/>
      <c r="AB10" s="248" t="s">
        <v>21</v>
      </c>
      <c r="AC10" s="248"/>
      <c r="AD10" s="248"/>
      <c r="AE10" s="248" t="s">
        <v>22</v>
      </c>
      <c r="AF10" s="248"/>
      <c r="AG10" s="248"/>
      <c r="AH10" s="108" t="s">
        <v>23</v>
      </c>
      <c r="AI10" s="108" t="s">
        <v>63</v>
      </c>
      <c r="AJ10" s="108" t="s">
        <v>24</v>
      </c>
      <c r="AK10" s="108" t="s">
        <v>23</v>
      </c>
      <c r="AL10" s="108" t="s">
        <v>24</v>
      </c>
      <c r="AM10" s="251"/>
      <c r="AN10" s="55" t="s">
        <v>45</v>
      </c>
      <c r="AO10" s="55" t="s">
        <v>255</v>
      </c>
      <c r="AP10" s="108" t="s">
        <v>256</v>
      </c>
      <c r="AQ10" s="251"/>
      <c r="AR10" s="247"/>
      <c r="AS10" s="247"/>
      <c r="AT10" s="108" t="s">
        <v>20</v>
      </c>
      <c r="AU10" s="108" t="s">
        <v>21</v>
      </c>
      <c r="AV10" s="108" t="s">
        <v>22</v>
      </c>
      <c r="AW10" s="108" t="s">
        <v>23</v>
      </c>
      <c r="AX10" s="55" t="s">
        <v>45</v>
      </c>
      <c r="AY10" s="55" t="s">
        <v>255</v>
      </c>
      <c r="AZ10" s="108" t="s">
        <v>256</v>
      </c>
      <c r="BA10" s="250"/>
      <c r="BB10" s="247"/>
      <c r="BC10" s="108" t="s">
        <v>21</v>
      </c>
      <c r="BD10" s="108" t="s">
        <v>22</v>
      </c>
      <c r="BE10" s="108" t="s">
        <v>385</v>
      </c>
      <c r="BF10" s="108" t="s">
        <v>23</v>
      </c>
    </row>
    <row r="11" spans="1:58" s="69" customFormat="1" ht="15">
      <c r="A11" s="167" t="s">
        <v>327</v>
      </c>
      <c r="B11" s="168" t="s">
        <v>25</v>
      </c>
      <c r="C11" s="168" t="s">
        <v>103</v>
      </c>
      <c r="D11" s="168" t="s">
        <v>328</v>
      </c>
      <c r="E11" s="168" t="s">
        <v>104</v>
      </c>
      <c r="F11" s="169" t="s">
        <v>26</v>
      </c>
      <c r="G11" s="169" t="s">
        <v>27</v>
      </c>
      <c r="H11" s="168" t="s">
        <v>329</v>
      </c>
      <c r="I11" s="170" t="s">
        <v>330</v>
      </c>
      <c r="J11" s="170" t="s">
        <v>331</v>
      </c>
      <c r="K11" s="168" t="s">
        <v>332</v>
      </c>
      <c r="L11" s="170" t="s">
        <v>333</v>
      </c>
      <c r="M11" s="170" t="s">
        <v>334</v>
      </c>
      <c r="N11" s="170" t="s">
        <v>335</v>
      </c>
      <c r="O11" s="168" t="s">
        <v>336</v>
      </c>
      <c r="P11" s="170" t="s">
        <v>337</v>
      </c>
      <c r="Q11" s="170" t="s">
        <v>338</v>
      </c>
      <c r="R11" s="170" t="s">
        <v>28</v>
      </c>
      <c r="S11" s="169" t="s">
        <v>339</v>
      </c>
      <c r="T11" s="169" t="s">
        <v>340</v>
      </c>
      <c r="U11" s="170" t="s">
        <v>341</v>
      </c>
      <c r="V11" s="168" t="s">
        <v>29</v>
      </c>
      <c r="W11" s="168" t="s">
        <v>342</v>
      </c>
      <c r="X11" s="171" t="s">
        <v>30</v>
      </c>
      <c r="Y11" s="171" t="s">
        <v>343</v>
      </c>
      <c r="Z11" s="171" t="s">
        <v>344</v>
      </c>
      <c r="AA11" s="171" t="s">
        <v>44</v>
      </c>
      <c r="AB11" s="170" t="s">
        <v>345</v>
      </c>
      <c r="AC11" s="170" t="s">
        <v>346</v>
      </c>
      <c r="AD11" s="170" t="s">
        <v>347</v>
      </c>
      <c r="AE11" s="170" t="s">
        <v>348</v>
      </c>
      <c r="AF11" s="170" t="s">
        <v>349</v>
      </c>
      <c r="AG11" s="170" t="s">
        <v>350</v>
      </c>
      <c r="AH11" s="168" t="s">
        <v>351</v>
      </c>
      <c r="AI11" s="168" t="s">
        <v>352</v>
      </c>
      <c r="AJ11" s="168" t="s">
        <v>353</v>
      </c>
      <c r="AK11" s="168" t="s">
        <v>354</v>
      </c>
      <c r="AL11" s="168" t="s">
        <v>355</v>
      </c>
      <c r="AM11" s="168" t="s">
        <v>356</v>
      </c>
      <c r="AN11" s="171" t="s">
        <v>357</v>
      </c>
      <c r="AO11" s="171" t="s">
        <v>358</v>
      </c>
      <c r="AP11" s="171" t="s">
        <v>359</v>
      </c>
      <c r="AQ11" s="168" t="s">
        <v>360</v>
      </c>
      <c r="AR11" s="172" t="s">
        <v>361</v>
      </c>
      <c r="AS11" s="172" t="s">
        <v>372</v>
      </c>
      <c r="AT11" s="168" t="s">
        <v>362</v>
      </c>
      <c r="AU11" s="170" t="s">
        <v>363</v>
      </c>
      <c r="AV11" s="170" t="s">
        <v>364</v>
      </c>
      <c r="AW11" s="168" t="s">
        <v>64</v>
      </c>
      <c r="AX11" s="171" t="s">
        <v>365</v>
      </c>
      <c r="AY11" s="171" t="s">
        <v>366</v>
      </c>
      <c r="AZ11" s="171" t="s">
        <v>367</v>
      </c>
      <c r="BA11" s="168" t="s">
        <v>91</v>
      </c>
      <c r="BB11" s="168" t="s">
        <v>368</v>
      </c>
      <c r="BC11" s="170" t="s">
        <v>369</v>
      </c>
      <c r="BD11" s="170" t="s">
        <v>370</v>
      </c>
      <c r="BE11" s="170" t="s">
        <v>384</v>
      </c>
      <c r="BF11" s="168" t="s">
        <v>371</v>
      </c>
    </row>
    <row r="12" spans="1:58" s="74" customFormat="1" ht="15">
      <c r="A12" s="54" t="s">
        <v>392</v>
      </c>
      <c r="B12" s="109">
        <f>'AHU 1'!$AW$2</f>
        <v>16900</v>
      </c>
      <c r="C12" s="110"/>
      <c r="D12" s="109">
        <f>'AHU 1'!$AX$2</f>
        <v>16900</v>
      </c>
      <c r="E12" s="52"/>
      <c r="F12" s="156">
        <v>78</v>
      </c>
      <c r="G12" s="156">
        <v>60</v>
      </c>
      <c r="H12" s="109">
        <f>'AHU 1'!$AY$2</f>
        <v>5700</v>
      </c>
      <c r="I12" s="52">
        <f>INPUT_OUTPUTS!$C$8</f>
        <v>91</v>
      </c>
      <c r="J12" s="52">
        <f>INPUT_OUTPUTS!$C$9</f>
        <v>71</v>
      </c>
      <c r="K12" s="109">
        <f>Table7[[#This Row],[(CFM)3]]</f>
        <v>5700</v>
      </c>
      <c r="L12" s="52">
        <f>INPUT_OUTPUTS!$C$10</f>
        <v>80.400000000000006</v>
      </c>
      <c r="M12" s="52">
        <f>INPUT_OUTPUTS!$C$11</f>
        <v>68.900000000000006</v>
      </c>
      <c r="N12" s="52">
        <f>INPUT_OUTPUTS!$F$8</f>
        <v>38.9</v>
      </c>
      <c r="O12" s="109">
        <f t="shared" ref="O12" si="0">D12+H12-B12</f>
        <v>5700</v>
      </c>
      <c r="P12" s="52">
        <f t="shared" ref="P12" si="1">F12*((D12-O12)/B12) + I12*(H12/B12)</f>
        <v>82.384615384615387</v>
      </c>
      <c r="Q12" s="52">
        <f t="shared" ref="Q12" si="2">TRUNC(G12*((D12-O12)/B12) + J12*(H12/B12),1)</f>
        <v>63.7</v>
      </c>
      <c r="R12" s="107">
        <f>VLOOKUP(FLOOR(Q12,1),'DO NOT TOUCH'!$A$7:$K$57,MATCH(ROUND((Q12-FLOOR(Q12,1)),1),'DO NOT TOUCH'!$A$6:$K$6,0),FALSE)</f>
        <v>29.09</v>
      </c>
      <c r="S12" s="169">
        <v>55</v>
      </c>
      <c r="T12" s="169">
        <v>52.3</v>
      </c>
      <c r="U12" s="52">
        <f>VLOOKUP(FLOOR(T12,1),'DO NOT TOUCH'!$A$7:$K$57,MATCH(ROUND((T12-FLOOR(T12,1)),1),'DO NOT TOUCH'!$A$6:$K$6,0),FALSE)</f>
        <v>21.62</v>
      </c>
      <c r="V12" s="109">
        <f t="shared" ref="V12" si="3">B12*1.085*(P12-S12)</f>
        <v>502138.00000000006</v>
      </c>
      <c r="W12" s="109">
        <f t="shared" ref="W12" si="4">4.5*B12*(R12-U12)</f>
        <v>568093.49999999988</v>
      </c>
      <c r="X12" s="55">
        <f>IF(W12&lt;V12,"INVALID POINT",W12/12000)</f>
        <v>47.341124999999991</v>
      </c>
      <c r="Y12" s="55">
        <f>INPUT_OUTPUTS!$C$14</f>
        <v>42</v>
      </c>
      <c r="Z12" s="55">
        <f>INPUT_OUTPUTS!$C$15</f>
        <v>52</v>
      </c>
      <c r="AA12" s="157">
        <f t="shared" ref="AA12" si="5">W12/(500*(Z12-Y12))</f>
        <v>113.61869999999998</v>
      </c>
      <c r="AB12" s="52">
        <f t="shared" ref="AB12" si="6">F12*((D12-O12)/B12) + L12*(H12/B12)</f>
        <v>78.809467455621302</v>
      </c>
      <c r="AC12" s="52">
        <f t="shared" ref="AC12" si="7">G12*((D12-O12)/B12) + M12*(H12/B12)</f>
        <v>63.001775147928996</v>
      </c>
      <c r="AD12" s="52">
        <f>VLOOKUP(FLOOR(AC12,1),'DO NOT TOUCH'!$A$7:$K$57,MATCH(ROUND((AC12-FLOOR(AC12,1)),1),'DO NOT TOUCH'!$A$6:$K$6,0),FALSE)</f>
        <v>28.57</v>
      </c>
      <c r="AE12" s="52">
        <f>Table7[[#This Row],[(˚F db)13]]</f>
        <v>55</v>
      </c>
      <c r="AF12" s="52">
        <f>Table7[[#This Row],[(˚F wb)14]]</f>
        <v>52.3</v>
      </c>
      <c r="AG12" s="52">
        <f>VLOOKUP(FLOOR(AF12,1),'DO NOT TOUCH'!$A$7:$K$57,MATCH(ROUND((AF12-FLOOR(AF12,1)),1),'DO NOT TOUCH'!$A$6:$K$6,0),FALSE)</f>
        <v>21.62</v>
      </c>
      <c r="AH12" s="53">
        <v>0</v>
      </c>
      <c r="AI12" s="53">
        <v>0</v>
      </c>
      <c r="AJ12" s="54">
        <f t="shared" ref="AJ12" si="8">AI12+AH12</f>
        <v>0</v>
      </c>
      <c r="AK12" s="109">
        <f t="shared" ref="AK12" si="9">B12*1.085*(AB12-AE12)</f>
        <v>436582.3</v>
      </c>
      <c r="AL12" s="109">
        <f t="shared" ref="AL12" si="10">4.5*B12*(AD12-AG12)</f>
        <v>528547.5</v>
      </c>
      <c r="AM12" s="52">
        <f>IF(AL12&lt;AK12,"INVALID POINT",AL12/12000)</f>
        <v>44.045625000000001</v>
      </c>
      <c r="AN12" s="55">
        <f>INPUT_OUTPUTS!$C$14</f>
        <v>42</v>
      </c>
      <c r="AO12" s="55">
        <f>INPUT_OUTPUTS!$C$15</f>
        <v>52</v>
      </c>
      <c r="AP12" s="157">
        <f t="shared" ref="AP12" si="11">AL12/(500*(AO12-AN12))</f>
        <v>105.70950000000001</v>
      </c>
      <c r="AQ12" s="52">
        <f t="shared" ref="AQ12" si="12">MAX(AM12,X12)</f>
        <v>47.341124999999991</v>
      </c>
      <c r="AR12" s="158">
        <f t="shared" ref="AR12" si="13">B12/AM12</f>
        <v>383.69304556354916</v>
      </c>
      <c r="AS12" s="158">
        <f>MAX(Table7[[#This Row],[GPM33]],Table7[[#This Row],[GPM]])</f>
        <v>113.61869999999998</v>
      </c>
      <c r="AT12" s="109">
        <f t="shared" ref="AT12" si="14">B12</f>
        <v>16900</v>
      </c>
      <c r="AU12" s="52">
        <f t="shared" ref="AU12" si="15">F12*((D12-O12)/B12) + N12*(H12/B12)</f>
        <v>64.812426035502966</v>
      </c>
      <c r="AV12" s="185">
        <v>65</v>
      </c>
      <c r="AW12" s="109">
        <f>AT12*1.085*(AV12-AU12)/1000</f>
        <v>3.43944999999986</v>
      </c>
      <c r="AX12" s="55">
        <f>INPUT_OUTPUTS!$C$16</f>
        <v>140</v>
      </c>
      <c r="AY12" s="55">
        <f>INPUT_OUTPUTS!$C$17</f>
        <v>100</v>
      </c>
      <c r="AZ12" s="157">
        <f t="shared" ref="AZ12" si="16">(AW12*1000)/(500*(AX12-AY12))</f>
        <v>0.17197249999999301</v>
      </c>
      <c r="BA12" s="111"/>
      <c r="BB12" s="55">
        <f t="shared" ref="BB12" si="17">BA12*(K12/1000)</f>
        <v>0</v>
      </c>
      <c r="BC12" s="185">
        <v>55</v>
      </c>
      <c r="BD12" s="52" t="s">
        <v>295</v>
      </c>
      <c r="BE12" s="52">
        <f>'AHU 1'!BA2</f>
        <v>36.205000000000005</v>
      </c>
      <c r="BF12" s="110">
        <f>'AHU 1'!BB2</f>
        <v>454.09999999999991</v>
      </c>
    </row>
    <row r="13" spans="1:58" ht="17" thickBot="1">
      <c r="A13" s="173" t="s">
        <v>315</v>
      </c>
      <c r="B13" s="174">
        <f>SUBTOTAL(109,Table7[(CFM)])</f>
        <v>16900</v>
      </c>
      <c r="C13" s="173"/>
      <c r="D13" s="173"/>
      <c r="E13" s="173"/>
      <c r="F13" s="175"/>
      <c r="G13" s="175"/>
      <c r="H13" s="173"/>
      <c r="I13" s="173"/>
      <c r="J13" s="173"/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  <c r="W13" s="173"/>
      <c r="X13" s="173"/>
      <c r="Y13" s="173"/>
      <c r="Z13" s="173"/>
      <c r="AA13" s="176">
        <f>SUBTOTAL(109,Table7[GPM])</f>
        <v>113.61869999999998</v>
      </c>
      <c r="AB13" s="173"/>
      <c r="AC13" s="173"/>
      <c r="AD13" s="173"/>
      <c r="AE13" s="175"/>
      <c r="AF13" s="175"/>
      <c r="AG13" s="173"/>
      <c r="AH13" s="177"/>
      <c r="AI13" s="177"/>
      <c r="AJ13" s="173"/>
      <c r="AK13" s="173"/>
      <c r="AL13" s="173"/>
      <c r="AM13" s="173"/>
      <c r="AN13" s="173"/>
      <c r="AO13" s="173"/>
      <c r="AP13" s="192">
        <f>SUBTOTAL(109,Table7[GPM33])</f>
        <v>105.70950000000001</v>
      </c>
      <c r="AQ13" s="176">
        <f>SUBTOTAL(109,Table7[(Tons)34])</f>
        <v>47.341124999999991</v>
      </c>
      <c r="AR13" s="173"/>
      <c r="AS13" s="178">
        <f>SUBTOTAL(109,Table7[GPM MAX])</f>
        <v>113.61869999999998</v>
      </c>
      <c r="AT13" s="173"/>
      <c r="AU13" s="173"/>
      <c r="AV13" s="173"/>
      <c r="AW13" s="178">
        <f>SUBTOTAL(109,Table7[(MBH)])</f>
        <v>3.43944999999986</v>
      </c>
      <c r="AX13" s="173"/>
      <c r="AY13" s="173"/>
      <c r="AZ13" s="176">
        <f>SUBTOTAL(109,Table7[GPM41])</f>
        <v>0.17197249999999301</v>
      </c>
      <c r="BA13" s="175"/>
      <c r="BB13" s="173"/>
      <c r="BC13" s="173"/>
      <c r="BD13" s="173"/>
      <c r="BE13" s="176">
        <f>SUBTOTAL(109,Table7[(˚F db)46])</f>
        <v>36.205000000000005</v>
      </c>
      <c r="BF13" s="176">
        <f>SUBTOTAL(109,Table7[(mbh)46])</f>
        <v>454.09999999999991</v>
      </c>
    </row>
    <row r="14" spans="1:58" ht="15" thickTop="1">
      <c r="AL14" s="114"/>
    </row>
    <row r="15" spans="1:58" ht="14">
      <c r="T15" s="113"/>
      <c r="U15" s="113"/>
      <c r="AA15" s="153"/>
      <c r="AF15" s="113"/>
      <c r="AG15" s="113"/>
      <c r="AH15" s="112"/>
      <c r="AM15" s="153"/>
      <c r="AP15" s="153"/>
      <c r="AQ15" s="153"/>
      <c r="AZ15" s="153"/>
    </row>
    <row r="16" spans="1:58" ht="14">
      <c r="T16" s="113"/>
      <c r="U16" s="113"/>
      <c r="AA16" s="153"/>
      <c r="AF16" s="113"/>
      <c r="AG16" s="113"/>
      <c r="AH16" s="112"/>
      <c r="AM16" s="153"/>
      <c r="AP16" s="153"/>
      <c r="AQ16" s="153"/>
      <c r="AZ16" s="153"/>
    </row>
    <row r="20" spans="1:58">
      <c r="O20" s="153"/>
    </row>
    <row r="23" spans="1:58">
      <c r="G23" s="183"/>
    </row>
    <row r="30" spans="1:58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</row>
    <row r="31" spans="1:58">
      <c r="A31" s="154"/>
      <c r="B31" s="154"/>
      <c r="E31" s="155"/>
    </row>
    <row r="32" spans="1:58">
      <c r="A32" s="154"/>
      <c r="B32" s="153"/>
      <c r="E32" s="155"/>
    </row>
    <row r="33" spans="1:5">
      <c r="A33" s="154"/>
      <c r="E33" s="155"/>
    </row>
    <row r="34" spans="1:5">
      <c r="E34" s="155"/>
    </row>
  </sheetData>
  <mergeCells count="33">
    <mergeCell ref="A8:A10"/>
    <mergeCell ref="AS9:AS10"/>
    <mergeCell ref="AQ8:AS8"/>
    <mergeCell ref="B8:O8"/>
    <mergeCell ref="P8:AA8"/>
    <mergeCell ref="AN9:AP9"/>
    <mergeCell ref="AM9:AM10"/>
    <mergeCell ref="AE10:AG10"/>
    <mergeCell ref="D10:G10"/>
    <mergeCell ref="H10:J10"/>
    <mergeCell ref="K10:M10"/>
    <mergeCell ref="X9:X10"/>
    <mergeCell ref="AB8:AP8"/>
    <mergeCell ref="AQ9:AQ10"/>
    <mergeCell ref="AR9:AR10"/>
    <mergeCell ref="P10:R10"/>
    <mergeCell ref="S10:U10"/>
    <mergeCell ref="B9:N9"/>
    <mergeCell ref="O9:O10"/>
    <mergeCell ref="P9:U9"/>
    <mergeCell ref="V9:W9"/>
    <mergeCell ref="AB9:AG9"/>
    <mergeCell ref="AB10:AD10"/>
    <mergeCell ref="Y9:AA10"/>
    <mergeCell ref="BC8:BF8"/>
    <mergeCell ref="AH9:AJ9"/>
    <mergeCell ref="AK9:AL9"/>
    <mergeCell ref="BB9:BB10"/>
    <mergeCell ref="AX9:AZ9"/>
    <mergeCell ref="BA8:BB8"/>
    <mergeCell ref="BA9:BA10"/>
    <mergeCell ref="AT8:AZ8"/>
    <mergeCell ref="AU9:AV9"/>
  </mergeCells>
  <phoneticPr fontId="22" type="noConversion"/>
  <pageMargins left="0.25" right="0.25" top="0.75" bottom="0.75" header="0.3" footer="0.3"/>
  <pageSetup paperSize="119" scale="27" fitToHeight="0" orientation="landscape" r:id="rId1"/>
  <ignoredErrors>
    <ignoredError sqref="BF12 BE12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GroupAndHideColumns" altText="HUMIDIFICATION">
                <anchor moveWithCells="1" sizeWithCells="1">
                  <from>
                    <xdr:col>0</xdr:col>
                    <xdr:colOff>12700</xdr:colOff>
                    <xdr:row>0</xdr:row>
                    <xdr:rowOff>152400</xdr:rowOff>
                  </from>
                  <to>
                    <xdr:col>1</xdr:col>
                    <xdr:colOff>88900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5" name="Button 12">
              <controlPr defaultSize="0" print="0" autoFill="0" autoPict="0" macro="[0]!GroupAndHidepreheat" altText="HUMIDIFICATION">
                <anchor moveWithCells="1" sizeWithCells="1">
                  <from>
                    <xdr:col>0</xdr:col>
                    <xdr:colOff>0</xdr:colOff>
                    <xdr:row>3</xdr:row>
                    <xdr:rowOff>25400</xdr:rowOff>
                  </from>
                  <to>
                    <xdr:col>1</xdr:col>
                    <xdr:colOff>254000</xdr:colOff>
                    <xdr:row>5</xdr:row>
                    <xdr:rowOff>50800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40"/>
  <sheetViews>
    <sheetView showGridLines="0" zoomScale="130" zoomScaleNormal="130" zoomScaleSheetLayoutView="145" workbookViewId="0">
      <pane xSplit="2" ySplit="9" topLeftCell="C115" activePane="bottomRight" state="frozen"/>
      <selection activeCell="N143" sqref="N143"/>
      <selection pane="topRight" activeCell="N143" sqref="N143"/>
      <selection pane="bottomLeft" activeCell="N143" sqref="N143"/>
      <selection pane="bottomRight" activeCell="I91" sqref="I91"/>
    </sheetView>
  </sheetViews>
  <sheetFormatPr baseColWidth="10" defaultColWidth="9.1640625" defaultRowHeight="11"/>
  <cols>
    <col min="1" max="1" width="43.33203125" style="2" customWidth="1"/>
    <col min="2" max="2" width="47.1640625" style="2" customWidth="1"/>
    <col min="3" max="5" width="9.83203125" style="2" customWidth="1"/>
    <col min="6" max="6" width="3" style="2" customWidth="1"/>
    <col min="7" max="12" width="9.1640625" style="2"/>
    <col min="13" max="13" width="34" style="2" bestFit="1" customWidth="1"/>
    <col min="14" max="16384" width="9.1640625" style="2"/>
  </cols>
  <sheetData>
    <row r="1" spans="1:13" ht="16">
      <c r="A1" s="258" t="s">
        <v>1</v>
      </c>
      <c r="B1" s="258"/>
      <c r="C1" s="22"/>
      <c r="D1" s="22"/>
      <c r="F1" s="23" t="s">
        <v>2</v>
      </c>
    </row>
    <row r="2" spans="1:13" ht="16">
      <c r="A2" s="258"/>
      <c r="B2" s="258"/>
      <c r="C2" s="22"/>
      <c r="D2" s="22"/>
      <c r="F2" s="24" t="s">
        <v>48</v>
      </c>
    </row>
    <row r="3" spans="1:13">
      <c r="A3" s="259" t="s">
        <v>11</v>
      </c>
      <c r="B3" s="259"/>
      <c r="C3" s="259"/>
      <c r="D3" s="259"/>
      <c r="E3" s="259"/>
      <c r="F3" s="260"/>
    </row>
    <row r="4" spans="1:13">
      <c r="B4" s="2" t="s">
        <v>36</v>
      </c>
      <c r="F4" s="25"/>
    </row>
    <row r="5" spans="1:13">
      <c r="A5" s="34">
        <v>1</v>
      </c>
      <c r="B5" s="3">
        <v>2</v>
      </c>
      <c r="C5" s="3">
        <v>3</v>
      </c>
      <c r="D5" s="3">
        <v>4</v>
      </c>
      <c r="E5" s="35">
        <v>5</v>
      </c>
    </row>
    <row r="6" spans="1:13">
      <c r="A6" s="254" t="s">
        <v>3</v>
      </c>
      <c r="B6" s="252" t="s">
        <v>4</v>
      </c>
      <c r="C6" s="261" t="s">
        <v>5</v>
      </c>
      <c r="D6" s="261"/>
      <c r="E6" s="262" t="s">
        <v>6</v>
      </c>
    </row>
    <row r="7" spans="1:13">
      <c r="A7" s="255"/>
      <c r="B7" s="252"/>
      <c r="C7" s="252" t="s">
        <v>7</v>
      </c>
      <c r="D7" s="252" t="s">
        <v>8</v>
      </c>
      <c r="E7" s="262"/>
    </row>
    <row r="8" spans="1:13">
      <c r="A8" s="256"/>
      <c r="B8" s="252"/>
      <c r="C8" s="252"/>
      <c r="D8" s="252"/>
      <c r="E8" s="262"/>
    </row>
    <row r="9" spans="1:13">
      <c r="A9" s="257"/>
      <c r="B9" s="253"/>
      <c r="C9" s="253"/>
      <c r="D9" s="253"/>
      <c r="E9" s="263"/>
    </row>
    <row r="10" spans="1:13">
      <c r="A10" s="36" t="s">
        <v>112</v>
      </c>
      <c r="B10" s="4" t="s">
        <v>128</v>
      </c>
      <c r="C10" s="4" t="s">
        <v>37</v>
      </c>
      <c r="D10" s="4">
        <v>10</v>
      </c>
      <c r="E10" s="20" t="s">
        <v>241</v>
      </c>
      <c r="M10" s="85" t="str">
        <f>UPPER(B10)</f>
        <v>(E)</v>
      </c>
    </row>
    <row r="11" spans="1:13">
      <c r="A11" s="36" t="s">
        <v>111</v>
      </c>
      <c r="B11" s="4" t="s">
        <v>129</v>
      </c>
      <c r="C11" s="4">
        <v>2</v>
      </c>
      <c r="D11" s="4">
        <v>12</v>
      </c>
      <c r="E11" s="20" t="s">
        <v>241</v>
      </c>
      <c r="M11" s="85"/>
    </row>
    <row r="12" spans="1:13">
      <c r="A12" s="37" t="s">
        <v>131</v>
      </c>
      <c r="B12" s="4" t="s">
        <v>81</v>
      </c>
      <c r="C12" s="5">
        <v>2</v>
      </c>
      <c r="D12" s="5">
        <v>12</v>
      </c>
      <c r="E12" s="20" t="s">
        <v>241</v>
      </c>
      <c r="M12" s="85"/>
    </row>
    <row r="13" spans="1:13">
      <c r="A13" s="37" t="s">
        <v>132</v>
      </c>
      <c r="B13" s="4" t="s">
        <v>84</v>
      </c>
      <c r="C13" s="5">
        <v>3</v>
      </c>
      <c r="D13" s="5">
        <v>15</v>
      </c>
      <c r="E13" s="20" t="s">
        <v>37</v>
      </c>
      <c r="M13" s="85"/>
    </row>
    <row r="14" spans="1:13">
      <c r="A14" s="37" t="s">
        <v>133</v>
      </c>
      <c r="B14" s="4" t="s">
        <v>81</v>
      </c>
      <c r="C14" s="5" t="s">
        <v>37</v>
      </c>
      <c r="D14" s="5">
        <v>10</v>
      </c>
      <c r="E14" s="20" t="s">
        <v>241</v>
      </c>
      <c r="M14" s="85"/>
    </row>
    <row r="15" spans="1:13">
      <c r="A15" s="37" t="s">
        <v>134</v>
      </c>
      <c r="B15" s="4" t="s">
        <v>81</v>
      </c>
      <c r="C15" s="8" t="s">
        <v>37</v>
      </c>
      <c r="D15" s="6">
        <v>12</v>
      </c>
      <c r="E15" s="7" t="s">
        <v>241</v>
      </c>
      <c r="G15" s="2" t="s">
        <v>38</v>
      </c>
      <c r="M15" s="85"/>
    </row>
    <row r="16" spans="1:13">
      <c r="A16" s="37" t="s">
        <v>135</v>
      </c>
      <c r="B16" s="4" t="s">
        <v>81</v>
      </c>
      <c r="C16" s="8" t="s">
        <v>37</v>
      </c>
      <c r="D16" s="6">
        <v>12</v>
      </c>
      <c r="E16" s="20" t="s">
        <v>241</v>
      </c>
      <c r="G16" s="2" t="s">
        <v>38</v>
      </c>
      <c r="M16" s="85"/>
    </row>
    <row r="17" spans="1:13">
      <c r="A17" s="37" t="s">
        <v>136</v>
      </c>
      <c r="B17" s="4" t="s">
        <v>80</v>
      </c>
      <c r="C17" s="5">
        <v>2</v>
      </c>
      <c r="D17" s="5">
        <v>6</v>
      </c>
      <c r="E17" s="20" t="s">
        <v>37</v>
      </c>
      <c r="M17" s="85"/>
    </row>
    <row r="18" spans="1:13">
      <c r="A18" s="37" t="s">
        <v>137</v>
      </c>
      <c r="B18" s="5" t="s">
        <v>80</v>
      </c>
      <c r="C18" s="5">
        <v>2</v>
      </c>
      <c r="D18" s="5">
        <v>6</v>
      </c>
      <c r="E18" s="20" t="s">
        <v>37</v>
      </c>
      <c r="M18" s="85"/>
    </row>
    <row r="19" spans="1:13">
      <c r="A19" s="37" t="s">
        <v>138</v>
      </c>
      <c r="B19" s="4" t="s">
        <v>81</v>
      </c>
      <c r="C19" s="5">
        <v>2</v>
      </c>
      <c r="D19" s="5">
        <v>12</v>
      </c>
      <c r="E19" s="20" t="s">
        <v>241</v>
      </c>
      <c r="M19" s="85"/>
    </row>
    <row r="20" spans="1:13">
      <c r="A20" s="37" t="s">
        <v>139</v>
      </c>
      <c r="B20" s="4" t="s">
        <v>84</v>
      </c>
      <c r="C20" s="5">
        <v>3</v>
      </c>
      <c r="D20" s="5">
        <v>15</v>
      </c>
      <c r="E20" s="20" t="s">
        <v>37</v>
      </c>
      <c r="G20" s="2" t="s">
        <v>42</v>
      </c>
      <c r="M20" s="85"/>
    </row>
    <row r="21" spans="1:13">
      <c r="A21" s="37" t="s">
        <v>105</v>
      </c>
      <c r="B21" s="4" t="s">
        <v>84</v>
      </c>
      <c r="C21" s="5" t="s">
        <v>37</v>
      </c>
      <c r="D21" s="5">
        <v>2</v>
      </c>
      <c r="E21" s="20" t="s">
        <v>37</v>
      </c>
      <c r="M21" s="85"/>
    </row>
    <row r="22" spans="1:13">
      <c r="A22" s="37" t="s">
        <v>140</v>
      </c>
      <c r="B22" s="4" t="s">
        <v>84</v>
      </c>
      <c r="C22" s="5">
        <v>2</v>
      </c>
      <c r="D22" s="5">
        <v>4</v>
      </c>
      <c r="E22" s="20" t="s">
        <v>37</v>
      </c>
      <c r="M22" s="85"/>
    </row>
    <row r="23" spans="1:13">
      <c r="A23" s="37" t="s">
        <v>107</v>
      </c>
      <c r="B23" s="4" t="s">
        <v>84</v>
      </c>
      <c r="C23" s="5">
        <v>2</v>
      </c>
      <c r="D23" s="5">
        <v>4</v>
      </c>
      <c r="E23" s="20" t="s">
        <v>37</v>
      </c>
      <c r="M23" s="85"/>
    </row>
    <row r="24" spans="1:13">
      <c r="A24" s="37" t="s">
        <v>141</v>
      </c>
      <c r="B24" s="4" t="s">
        <v>80</v>
      </c>
      <c r="C24" s="5">
        <v>2</v>
      </c>
      <c r="D24" s="5">
        <v>6</v>
      </c>
      <c r="E24" s="20" t="s">
        <v>37</v>
      </c>
      <c r="M24" s="85"/>
    </row>
    <row r="25" spans="1:13">
      <c r="A25" s="37" t="s">
        <v>142</v>
      </c>
      <c r="B25" s="4" t="s">
        <v>80</v>
      </c>
      <c r="C25" s="5">
        <v>2</v>
      </c>
      <c r="D25" s="5">
        <v>6</v>
      </c>
      <c r="E25" s="20" t="s">
        <v>37</v>
      </c>
      <c r="M25" s="85"/>
    </row>
    <row r="26" spans="1:13">
      <c r="A26" s="37" t="s">
        <v>143</v>
      </c>
      <c r="B26" s="4" t="s">
        <v>81</v>
      </c>
      <c r="C26" s="5">
        <v>2</v>
      </c>
      <c r="D26" s="5">
        <v>10</v>
      </c>
      <c r="E26" s="20" t="s">
        <v>241</v>
      </c>
      <c r="M26" s="85"/>
    </row>
    <row r="27" spans="1:13">
      <c r="A27" s="37" t="s">
        <v>144</v>
      </c>
      <c r="B27" s="5" t="s">
        <v>84</v>
      </c>
      <c r="C27" s="5">
        <v>4</v>
      </c>
      <c r="D27" s="5">
        <v>20</v>
      </c>
      <c r="E27" s="20" t="s">
        <v>37</v>
      </c>
      <c r="M27" s="85"/>
    </row>
    <row r="28" spans="1:13">
      <c r="A28" s="37" t="s">
        <v>145</v>
      </c>
      <c r="B28" s="5" t="s">
        <v>80</v>
      </c>
      <c r="C28" s="5">
        <v>2</v>
      </c>
      <c r="D28" s="5">
        <v>6</v>
      </c>
      <c r="E28" s="20" t="s">
        <v>37</v>
      </c>
      <c r="M28" s="85"/>
    </row>
    <row r="29" spans="1:13">
      <c r="A29" s="37" t="s">
        <v>146</v>
      </c>
      <c r="B29" s="4" t="s">
        <v>81</v>
      </c>
      <c r="C29" s="5" t="s">
        <v>37</v>
      </c>
      <c r="D29" s="5">
        <v>10</v>
      </c>
      <c r="E29" s="21" t="s">
        <v>241</v>
      </c>
      <c r="M29" s="85"/>
    </row>
    <row r="30" spans="1:13">
      <c r="A30" s="37" t="s">
        <v>147</v>
      </c>
      <c r="B30" s="4" t="s">
        <v>80</v>
      </c>
      <c r="C30" s="8" t="s">
        <v>37</v>
      </c>
      <c r="D30" s="5">
        <v>2</v>
      </c>
      <c r="E30" s="20" t="s">
        <v>37</v>
      </c>
      <c r="M30" s="85"/>
    </row>
    <row r="31" spans="1:13">
      <c r="A31" s="37" t="s">
        <v>148</v>
      </c>
      <c r="B31" s="4" t="s">
        <v>41</v>
      </c>
      <c r="C31" s="5">
        <v>3</v>
      </c>
      <c r="D31" s="5">
        <v>15</v>
      </c>
      <c r="E31" s="20" t="s">
        <v>37</v>
      </c>
      <c r="M31" s="85"/>
    </row>
    <row r="32" spans="1:13">
      <c r="A32" s="37" t="s">
        <v>149</v>
      </c>
      <c r="B32" s="5" t="s">
        <v>80</v>
      </c>
      <c r="C32" s="5">
        <v>2</v>
      </c>
      <c r="D32" s="5">
        <v>6</v>
      </c>
      <c r="E32" s="20" t="s">
        <v>37</v>
      </c>
      <c r="M32" s="85"/>
    </row>
    <row r="33" spans="1:13">
      <c r="A33" s="37" t="s">
        <v>150</v>
      </c>
      <c r="B33" s="5" t="s">
        <v>81</v>
      </c>
      <c r="C33" s="5">
        <v>2</v>
      </c>
      <c r="D33" s="5">
        <v>10</v>
      </c>
      <c r="E33" s="7" t="s">
        <v>241</v>
      </c>
      <c r="M33" s="85"/>
    </row>
    <row r="34" spans="1:13">
      <c r="A34" s="37" t="s">
        <v>151</v>
      </c>
      <c r="B34" s="5" t="s">
        <v>81</v>
      </c>
      <c r="C34" s="5">
        <v>2</v>
      </c>
      <c r="D34" s="5">
        <v>12</v>
      </c>
      <c r="E34" s="7" t="s">
        <v>241</v>
      </c>
      <c r="M34" s="85"/>
    </row>
    <row r="35" spans="1:13">
      <c r="A35" s="37" t="s">
        <v>152</v>
      </c>
      <c r="B35" s="5" t="s">
        <v>81</v>
      </c>
      <c r="C35" s="5">
        <v>2</v>
      </c>
      <c r="D35" s="5">
        <v>12</v>
      </c>
      <c r="E35" s="7" t="s">
        <v>242</v>
      </c>
      <c r="M35" s="85"/>
    </row>
    <row r="36" spans="1:13">
      <c r="A36" s="37" t="s">
        <v>110</v>
      </c>
      <c r="B36" s="5" t="s">
        <v>80</v>
      </c>
      <c r="C36" s="5">
        <v>2</v>
      </c>
      <c r="D36" s="5">
        <v>6</v>
      </c>
      <c r="E36" s="20" t="s">
        <v>37</v>
      </c>
      <c r="M36" s="85"/>
    </row>
    <row r="37" spans="1:13">
      <c r="A37" s="37" t="s">
        <v>153</v>
      </c>
      <c r="B37" s="5" t="s">
        <v>80</v>
      </c>
      <c r="C37" s="5">
        <v>2</v>
      </c>
      <c r="D37" s="5">
        <v>6</v>
      </c>
      <c r="E37" s="20" t="s">
        <v>37</v>
      </c>
      <c r="M37" s="85"/>
    </row>
    <row r="38" spans="1:13">
      <c r="A38" s="37" t="s">
        <v>154</v>
      </c>
      <c r="B38" s="5" t="s">
        <v>81</v>
      </c>
      <c r="C38" s="5">
        <v>2</v>
      </c>
      <c r="D38" s="5">
        <v>6</v>
      </c>
      <c r="E38" s="7" t="s">
        <v>241</v>
      </c>
      <c r="M38" s="85"/>
    </row>
    <row r="39" spans="1:13">
      <c r="A39" s="37" t="s">
        <v>155</v>
      </c>
      <c r="B39" s="5" t="s">
        <v>80</v>
      </c>
      <c r="C39" s="5">
        <v>2</v>
      </c>
      <c r="D39" s="5">
        <v>10</v>
      </c>
      <c r="E39" s="20" t="s">
        <v>37</v>
      </c>
      <c r="M39" s="85"/>
    </row>
    <row r="40" spans="1:13">
      <c r="A40" s="37" t="s">
        <v>156</v>
      </c>
      <c r="B40" s="5" t="s">
        <v>80</v>
      </c>
      <c r="C40" s="5">
        <v>2</v>
      </c>
      <c r="D40" s="5">
        <v>6</v>
      </c>
      <c r="E40" s="20" t="s">
        <v>37</v>
      </c>
      <c r="M40" s="85"/>
    </row>
    <row r="41" spans="1:13">
      <c r="A41" s="37" t="s">
        <v>157</v>
      </c>
      <c r="B41" s="5" t="s">
        <v>80</v>
      </c>
      <c r="C41" s="5">
        <v>2</v>
      </c>
      <c r="D41" s="5">
        <v>6</v>
      </c>
      <c r="E41" s="20" t="s">
        <v>37</v>
      </c>
      <c r="M41" s="85"/>
    </row>
    <row r="42" spans="1:13">
      <c r="A42" s="37" t="s">
        <v>158</v>
      </c>
      <c r="B42" s="5" t="s">
        <v>81</v>
      </c>
      <c r="C42" s="5">
        <v>2</v>
      </c>
      <c r="D42" s="5">
        <v>10</v>
      </c>
      <c r="E42" s="7" t="s">
        <v>241</v>
      </c>
      <c r="M42" s="85"/>
    </row>
    <row r="43" spans="1:13">
      <c r="A43" s="37" t="s">
        <v>159</v>
      </c>
      <c r="B43" s="5" t="s">
        <v>81</v>
      </c>
      <c r="C43" s="5">
        <v>2</v>
      </c>
      <c r="D43" s="5">
        <v>6</v>
      </c>
      <c r="E43" s="20" t="s">
        <v>37</v>
      </c>
      <c r="M43" s="85"/>
    </row>
    <row r="44" spans="1:13">
      <c r="A44" s="37" t="s">
        <v>160</v>
      </c>
      <c r="B44" s="5" t="s">
        <v>84</v>
      </c>
      <c r="C44" s="5">
        <v>2</v>
      </c>
      <c r="D44" s="5">
        <v>6</v>
      </c>
      <c r="E44" s="20" t="s">
        <v>37</v>
      </c>
      <c r="M44" s="85"/>
    </row>
    <row r="45" spans="1:13">
      <c r="A45" s="37" t="s">
        <v>161</v>
      </c>
      <c r="B45" s="5" t="s">
        <v>80</v>
      </c>
      <c r="C45" s="26">
        <v>2</v>
      </c>
      <c r="D45" s="5">
        <v>6</v>
      </c>
      <c r="E45" s="20" t="s">
        <v>37</v>
      </c>
      <c r="M45" s="85"/>
    </row>
    <row r="46" spans="1:13">
      <c r="A46" s="37" t="s">
        <v>162</v>
      </c>
      <c r="B46" s="5" t="s">
        <v>84</v>
      </c>
      <c r="C46" s="26">
        <v>5</v>
      </c>
      <c r="D46" s="5">
        <v>15</v>
      </c>
      <c r="E46" s="20" t="s">
        <v>37</v>
      </c>
      <c r="M46" s="85"/>
    </row>
    <row r="47" spans="1:13">
      <c r="A47" s="37" t="s">
        <v>163</v>
      </c>
      <c r="B47" s="5" t="s">
        <v>84</v>
      </c>
      <c r="C47" s="5">
        <v>2</v>
      </c>
      <c r="D47" s="5">
        <v>6</v>
      </c>
      <c r="E47" s="20" t="s">
        <v>37</v>
      </c>
      <c r="M47" s="85"/>
    </row>
    <row r="48" spans="1:13">
      <c r="A48" s="37" t="s">
        <v>164</v>
      </c>
      <c r="B48" s="5" t="s">
        <v>81</v>
      </c>
      <c r="C48" s="8" t="s">
        <v>37</v>
      </c>
      <c r="D48" s="5">
        <v>10</v>
      </c>
      <c r="E48" s="20" t="s">
        <v>241</v>
      </c>
      <c r="M48" s="85"/>
    </row>
    <row r="49" spans="1:13">
      <c r="A49" s="37" t="s">
        <v>165</v>
      </c>
      <c r="B49" s="5" t="s">
        <v>80</v>
      </c>
      <c r="C49" s="5">
        <v>2</v>
      </c>
      <c r="D49" s="5">
        <v>6</v>
      </c>
      <c r="E49" s="20" t="s">
        <v>37</v>
      </c>
      <c r="M49" s="85"/>
    </row>
    <row r="50" spans="1:13">
      <c r="A50" s="37" t="s">
        <v>166</v>
      </c>
      <c r="B50" s="5" t="s">
        <v>80</v>
      </c>
      <c r="C50" s="5">
        <v>2</v>
      </c>
      <c r="D50" s="5">
        <v>6</v>
      </c>
      <c r="E50" s="20" t="s">
        <v>37</v>
      </c>
      <c r="M50" s="85"/>
    </row>
    <row r="51" spans="1:13">
      <c r="A51" s="37" t="s">
        <v>167</v>
      </c>
      <c r="B51" s="5" t="s">
        <v>81</v>
      </c>
      <c r="C51" s="5">
        <v>2</v>
      </c>
      <c r="D51" s="5">
        <v>6</v>
      </c>
      <c r="E51" s="20" t="s">
        <v>241</v>
      </c>
      <c r="M51" s="85"/>
    </row>
    <row r="52" spans="1:13">
      <c r="A52" s="37" t="s">
        <v>168</v>
      </c>
      <c r="B52" s="5" t="s">
        <v>81</v>
      </c>
      <c r="C52" s="5">
        <v>2</v>
      </c>
      <c r="D52" s="5">
        <v>6</v>
      </c>
      <c r="E52" s="20" t="s">
        <v>241</v>
      </c>
      <c r="M52" s="85"/>
    </row>
    <row r="53" spans="1:13">
      <c r="A53" s="37" t="s">
        <v>169</v>
      </c>
      <c r="B53" s="5" t="s">
        <v>81</v>
      </c>
      <c r="C53" s="5">
        <v>2</v>
      </c>
      <c r="D53" s="5">
        <v>6</v>
      </c>
      <c r="E53" s="7" t="s">
        <v>241</v>
      </c>
      <c r="M53" s="85"/>
    </row>
    <row r="54" spans="1:13">
      <c r="A54" s="37" t="s">
        <v>170</v>
      </c>
      <c r="B54" s="5" t="s">
        <v>81</v>
      </c>
      <c r="C54" s="5">
        <v>2</v>
      </c>
      <c r="D54" s="5">
        <v>6</v>
      </c>
      <c r="E54" s="20" t="s">
        <v>37</v>
      </c>
      <c r="M54" s="85"/>
    </row>
    <row r="55" spans="1:13">
      <c r="A55" s="37" t="s">
        <v>171</v>
      </c>
      <c r="B55" s="5" t="s">
        <v>81</v>
      </c>
      <c r="C55" s="5">
        <v>2</v>
      </c>
      <c r="D55" s="5">
        <v>10</v>
      </c>
      <c r="E55" s="20" t="s">
        <v>241</v>
      </c>
      <c r="M55" s="85"/>
    </row>
    <row r="56" spans="1:13">
      <c r="A56" s="37" t="s">
        <v>172</v>
      </c>
      <c r="B56" s="5" t="s">
        <v>81</v>
      </c>
      <c r="C56" s="5">
        <v>2</v>
      </c>
      <c r="D56" s="5">
        <v>6</v>
      </c>
      <c r="E56" s="7" t="s">
        <v>241</v>
      </c>
      <c r="M56" s="85"/>
    </row>
    <row r="57" spans="1:13">
      <c r="A57" s="37" t="s">
        <v>173</v>
      </c>
      <c r="B57" s="5" t="s">
        <v>81</v>
      </c>
      <c r="C57" s="5">
        <v>2</v>
      </c>
      <c r="D57" s="5">
        <v>6</v>
      </c>
      <c r="E57" s="7" t="s">
        <v>241</v>
      </c>
      <c r="M57" s="85"/>
    </row>
    <row r="58" spans="1:13">
      <c r="A58" s="37" t="s">
        <v>174</v>
      </c>
      <c r="B58" s="5" t="s">
        <v>84</v>
      </c>
      <c r="C58" s="5">
        <v>2</v>
      </c>
      <c r="D58" s="5">
        <v>4</v>
      </c>
      <c r="E58" s="20" t="s">
        <v>37</v>
      </c>
      <c r="M58" s="85"/>
    </row>
    <row r="59" spans="1:13">
      <c r="A59" s="37" t="s">
        <v>175</v>
      </c>
      <c r="B59" s="5" t="s">
        <v>81</v>
      </c>
      <c r="C59" s="5">
        <v>2</v>
      </c>
      <c r="D59" s="5">
        <v>6</v>
      </c>
      <c r="E59" s="7" t="s">
        <v>241</v>
      </c>
      <c r="M59" s="85"/>
    </row>
    <row r="60" spans="1:13">
      <c r="A60" s="37" t="s">
        <v>176</v>
      </c>
      <c r="B60" s="5" t="s">
        <v>81</v>
      </c>
      <c r="C60" s="5">
        <v>2</v>
      </c>
      <c r="D60" s="5">
        <v>6</v>
      </c>
      <c r="E60" s="7" t="s">
        <v>241</v>
      </c>
      <c r="M60" s="85"/>
    </row>
    <row r="61" spans="1:13">
      <c r="A61" s="37" t="s">
        <v>177</v>
      </c>
      <c r="B61" s="5" t="s">
        <v>81</v>
      </c>
      <c r="C61" s="5">
        <v>2</v>
      </c>
      <c r="D61" s="5">
        <v>6</v>
      </c>
      <c r="E61" s="7" t="s">
        <v>241</v>
      </c>
      <c r="M61" s="85"/>
    </row>
    <row r="62" spans="1:13">
      <c r="A62" s="37" t="s">
        <v>178</v>
      </c>
      <c r="B62" s="5" t="s">
        <v>81</v>
      </c>
      <c r="C62" s="5">
        <v>2</v>
      </c>
      <c r="D62" s="5">
        <v>6</v>
      </c>
      <c r="E62" s="7" t="s">
        <v>241</v>
      </c>
      <c r="M62" s="85"/>
    </row>
    <row r="63" spans="1:13">
      <c r="A63" s="37" t="s">
        <v>179</v>
      </c>
      <c r="B63" s="5" t="s">
        <v>81</v>
      </c>
      <c r="C63" s="5">
        <v>2</v>
      </c>
      <c r="D63" s="5">
        <v>10</v>
      </c>
      <c r="E63" s="7" t="s">
        <v>241</v>
      </c>
      <c r="M63" s="85"/>
    </row>
    <row r="64" spans="1:13">
      <c r="A64" s="37" t="s">
        <v>74</v>
      </c>
      <c r="B64" s="5" t="s">
        <v>80</v>
      </c>
      <c r="C64" s="5">
        <v>2</v>
      </c>
      <c r="D64" s="5">
        <v>6</v>
      </c>
      <c r="E64" s="20" t="s">
        <v>37</v>
      </c>
      <c r="M64" s="85"/>
    </row>
    <row r="65" spans="1:13">
      <c r="A65" s="37" t="s">
        <v>180</v>
      </c>
      <c r="B65" s="5" t="s">
        <v>84</v>
      </c>
      <c r="C65" s="5">
        <v>3</v>
      </c>
      <c r="D65" s="5">
        <v>15</v>
      </c>
      <c r="E65" s="20" t="s">
        <v>37</v>
      </c>
      <c r="M65" s="85"/>
    </row>
    <row r="66" spans="1:13">
      <c r="A66" s="37" t="s">
        <v>113</v>
      </c>
      <c r="B66" s="5" t="s">
        <v>81</v>
      </c>
      <c r="C66" s="5">
        <v>2</v>
      </c>
      <c r="D66" s="5">
        <v>10</v>
      </c>
      <c r="E66" s="7" t="s">
        <v>241</v>
      </c>
      <c r="M66" s="85"/>
    </row>
    <row r="67" spans="1:13">
      <c r="A67" s="37" t="s">
        <v>181</v>
      </c>
      <c r="B67" s="5" t="s">
        <v>81</v>
      </c>
      <c r="C67" s="8" t="s">
        <v>37</v>
      </c>
      <c r="D67" s="5">
        <v>10</v>
      </c>
      <c r="E67" s="20" t="s">
        <v>241</v>
      </c>
      <c r="M67" s="85"/>
    </row>
    <row r="68" spans="1:13">
      <c r="A68" s="37" t="s">
        <v>182</v>
      </c>
      <c r="B68" s="5" t="s">
        <v>81</v>
      </c>
      <c r="C68" s="8" t="s">
        <v>37</v>
      </c>
      <c r="D68" s="5">
        <v>8</v>
      </c>
      <c r="E68" s="20" t="s">
        <v>241</v>
      </c>
      <c r="M68" s="85"/>
    </row>
    <row r="69" spans="1:13">
      <c r="A69" s="37" t="s">
        <v>95</v>
      </c>
      <c r="B69" s="5" t="s">
        <v>80</v>
      </c>
      <c r="C69" s="8">
        <v>2</v>
      </c>
      <c r="D69" s="5">
        <v>4</v>
      </c>
      <c r="E69" s="20" t="s">
        <v>37</v>
      </c>
      <c r="M69" s="85"/>
    </row>
    <row r="70" spans="1:13">
      <c r="A70" s="37" t="s">
        <v>183</v>
      </c>
      <c r="B70" s="5" t="s">
        <v>81</v>
      </c>
      <c r="C70" s="5">
        <v>2</v>
      </c>
      <c r="D70" s="5">
        <v>12</v>
      </c>
      <c r="E70" s="7" t="s">
        <v>241</v>
      </c>
      <c r="M70" s="85"/>
    </row>
    <row r="71" spans="1:13">
      <c r="A71" s="37" t="s">
        <v>184</v>
      </c>
      <c r="B71" s="5" t="s">
        <v>80</v>
      </c>
      <c r="C71" s="5">
        <v>2</v>
      </c>
      <c r="D71" s="5">
        <v>6</v>
      </c>
      <c r="E71" s="20" t="s">
        <v>37</v>
      </c>
      <c r="M71" s="85"/>
    </row>
    <row r="72" spans="1:13">
      <c r="A72" s="37" t="s">
        <v>185</v>
      </c>
      <c r="B72" s="5" t="s">
        <v>81</v>
      </c>
      <c r="C72" s="5">
        <v>2</v>
      </c>
      <c r="D72" s="5">
        <v>12</v>
      </c>
      <c r="E72" s="7" t="s">
        <v>241</v>
      </c>
      <c r="M72" s="85"/>
    </row>
    <row r="73" spans="1:13">
      <c r="A73" s="37" t="s">
        <v>186</v>
      </c>
      <c r="B73" s="5" t="s">
        <v>84</v>
      </c>
      <c r="C73" s="5">
        <v>2</v>
      </c>
      <c r="D73" s="5">
        <v>6</v>
      </c>
      <c r="E73" s="20" t="s">
        <v>37</v>
      </c>
      <c r="M73" s="85"/>
    </row>
    <row r="74" spans="1:13">
      <c r="A74" s="37" t="s">
        <v>187</v>
      </c>
      <c r="B74" s="5" t="s">
        <v>41</v>
      </c>
      <c r="C74" s="5">
        <v>2</v>
      </c>
      <c r="D74" s="5">
        <v>10</v>
      </c>
      <c r="E74" s="20" t="s">
        <v>37</v>
      </c>
      <c r="M74" s="85"/>
    </row>
    <row r="75" spans="1:13">
      <c r="A75" s="37" t="s">
        <v>188</v>
      </c>
      <c r="B75" s="5" t="s">
        <v>80</v>
      </c>
      <c r="C75" s="5">
        <v>2</v>
      </c>
      <c r="D75" s="5">
        <v>6</v>
      </c>
      <c r="E75" s="20" t="s">
        <v>37</v>
      </c>
      <c r="M75" s="85"/>
    </row>
    <row r="76" spans="1:13">
      <c r="A76" s="37" t="s">
        <v>189</v>
      </c>
      <c r="B76" s="5" t="s">
        <v>81</v>
      </c>
      <c r="C76" s="5" t="s">
        <v>37</v>
      </c>
      <c r="D76" s="5">
        <v>10</v>
      </c>
      <c r="E76" s="7" t="s">
        <v>241</v>
      </c>
      <c r="M76" s="85"/>
    </row>
    <row r="77" spans="1:13">
      <c r="A77" s="37" t="s">
        <v>76</v>
      </c>
      <c r="B77" s="5" t="s">
        <v>80</v>
      </c>
      <c r="C77" s="5" t="s">
        <v>37</v>
      </c>
      <c r="D77" s="5">
        <v>2</v>
      </c>
      <c r="E77" s="20" t="s">
        <v>37</v>
      </c>
      <c r="M77" s="85"/>
    </row>
    <row r="78" spans="1:13">
      <c r="A78" s="37" t="s">
        <v>190</v>
      </c>
      <c r="B78" s="5" t="s">
        <v>81</v>
      </c>
      <c r="C78" s="5">
        <v>2</v>
      </c>
      <c r="D78" s="5">
        <v>6</v>
      </c>
      <c r="E78" s="7" t="s">
        <v>241</v>
      </c>
      <c r="M78" s="85"/>
    </row>
    <row r="79" spans="1:13">
      <c r="A79" s="37" t="s">
        <v>191</v>
      </c>
      <c r="B79" s="5" t="s">
        <v>81</v>
      </c>
      <c r="C79" s="5" t="s">
        <v>37</v>
      </c>
      <c r="D79" s="5">
        <v>6</v>
      </c>
      <c r="E79" s="7" t="s">
        <v>241</v>
      </c>
      <c r="M79" s="85"/>
    </row>
    <row r="80" spans="1:13">
      <c r="A80" s="37" t="s">
        <v>192</v>
      </c>
      <c r="B80" s="5" t="s">
        <v>81</v>
      </c>
      <c r="C80" s="5">
        <v>2</v>
      </c>
      <c r="D80" s="5">
        <v>6</v>
      </c>
      <c r="E80" s="7" t="s">
        <v>241</v>
      </c>
      <c r="M80" s="85"/>
    </row>
    <row r="81" spans="1:13">
      <c r="A81" s="37" t="s">
        <v>108</v>
      </c>
      <c r="B81" s="5" t="s">
        <v>130</v>
      </c>
      <c r="C81" s="5">
        <v>2</v>
      </c>
      <c r="D81" s="5">
        <v>2</v>
      </c>
      <c r="E81" s="7" t="s">
        <v>130</v>
      </c>
      <c r="G81" s="2" t="s">
        <v>43</v>
      </c>
      <c r="M81" s="85"/>
    </row>
    <row r="82" spans="1:13">
      <c r="A82" s="37" t="s">
        <v>193</v>
      </c>
      <c r="B82" s="5" t="s">
        <v>80</v>
      </c>
      <c r="C82" s="5">
        <v>2</v>
      </c>
      <c r="D82" s="5">
        <v>6</v>
      </c>
      <c r="E82" s="20" t="s">
        <v>37</v>
      </c>
      <c r="M82" s="85"/>
    </row>
    <row r="83" spans="1:13">
      <c r="A83" s="37" t="s">
        <v>194</v>
      </c>
      <c r="B83" s="5" t="s">
        <v>80</v>
      </c>
      <c r="C83" s="5">
        <v>2</v>
      </c>
      <c r="D83" s="5">
        <v>6</v>
      </c>
      <c r="E83" s="20" t="s">
        <v>37</v>
      </c>
      <c r="M83" s="85"/>
    </row>
    <row r="84" spans="1:13">
      <c r="A84" s="37" t="s">
        <v>195</v>
      </c>
      <c r="B84" s="5" t="s">
        <v>84</v>
      </c>
      <c r="C84" s="5">
        <v>4</v>
      </c>
      <c r="D84" s="5">
        <v>20</v>
      </c>
      <c r="E84" s="20" t="s">
        <v>37</v>
      </c>
      <c r="M84" s="85"/>
    </row>
    <row r="85" spans="1:13">
      <c r="A85" s="37" t="s">
        <v>196</v>
      </c>
      <c r="B85" s="5" t="s">
        <v>84</v>
      </c>
      <c r="C85" s="5">
        <v>4</v>
      </c>
      <c r="D85" s="5">
        <v>20</v>
      </c>
      <c r="E85" s="20" t="s">
        <v>37</v>
      </c>
      <c r="M85" s="85"/>
    </row>
    <row r="86" spans="1:13">
      <c r="A86" s="37" t="s">
        <v>94</v>
      </c>
      <c r="B86" s="5" t="s">
        <v>80</v>
      </c>
      <c r="C86" s="5" t="s">
        <v>37</v>
      </c>
      <c r="D86" s="5">
        <v>2</v>
      </c>
      <c r="E86" s="20" t="s">
        <v>37</v>
      </c>
      <c r="M86" s="85"/>
    </row>
    <row r="87" spans="1:13">
      <c r="A87" s="37" t="s">
        <v>197</v>
      </c>
      <c r="B87" s="5" t="s">
        <v>80</v>
      </c>
      <c r="C87" s="5">
        <v>2</v>
      </c>
      <c r="D87" s="5">
        <v>6</v>
      </c>
      <c r="E87" s="20" t="s">
        <v>37</v>
      </c>
      <c r="M87" s="85"/>
    </row>
    <row r="88" spans="1:13">
      <c r="A88" s="37" t="s">
        <v>102</v>
      </c>
      <c r="B88" s="5" t="s">
        <v>80</v>
      </c>
      <c r="C88" s="5">
        <v>2</v>
      </c>
      <c r="D88" s="5">
        <v>4</v>
      </c>
      <c r="E88" s="20" t="s">
        <v>37</v>
      </c>
      <c r="M88" s="85"/>
    </row>
    <row r="89" spans="1:13">
      <c r="A89" s="37" t="s">
        <v>198</v>
      </c>
      <c r="B89" s="5" t="s">
        <v>80</v>
      </c>
      <c r="C89" s="5">
        <v>2</v>
      </c>
      <c r="D89" s="5">
        <v>6</v>
      </c>
      <c r="E89" s="20" t="s">
        <v>37</v>
      </c>
      <c r="M89" s="85"/>
    </row>
    <row r="90" spans="1:13">
      <c r="A90" s="37" t="s">
        <v>96</v>
      </c>
      <c r="B90" s="5" t="s">
        <v>84</v>
      </c>
      <c r="C90" s="5">
        <v>2</v>
      </c>
      <c r="D90" s="5">
        <v>4</v>
      </c>
      <c r="E90" s="20" t="s">
        <v>37</v>
      </c>
      <c r="M90" s="85"/>
    </row>
    <row r="91" spans="1:13">
      <c r="A91" s="37" t="s">
        <v>199</v>
      </c>
      <c r="B91" s="5" t="s">
        <v>80</v>
      </c>
      <c r="C91" s="5">
        <v>2</v>
      </c>
      <c r="D91" s="5">
        <v>4</v>
      </c>
      <c r="E91" s="21" t="s">
        <v>37</v>
      </c>
      <c r="M91" s="85"/>
    </row>
    <row r="92" spans="1:13">
      <c r="A92" s="37" t="s">
        <v>200</v>
      </c>
      <c r="B92" s="5" t="s">
        <v>84</v>
      </c>
      <c r="C92" s="5" t="s">
        <v>37</v>
      </c>
      <c r="D92" s="5" t="s">
        <v>37</v>
      </c>
      <c r="E92" s="21" t="s">
        <v>37</v>
      </c>
      <c r="M92" s="85"/>
    </row>
    <row r="93" spans="1:13">
      <c r="A93" s="37" t="s">
        <v>201</v>
      </c>
      <c r="B93" s="5" t="s">
        <v>81</v>
      </c>
      <c r="C93" s="5" t="s">
        <v>37</v>
      </c>
      <c r="D93" s="5">
        <v>30</v>
      </c>
      <c r="E93" s="21" t="s">
        <v>241</v>
      </c>
      <c r="M93" s="85"/>
    </row>
    <row r="94" spans="1:13">
      <c r="A94" s="37" t="s">
        <v>202</v>
      </c>
      <c r="B94" s="5" t="s">
        <v>81</v>
      </c>
      <c r="C94" s="5" t="s">
        <v>37</v>
      </c>
      <c r="D94" s="5">
        <v>12</v>
      </c>
      <c r="E94" s="21" t="s">
        <v>241</v>
      </c>
      <c r="M94" s="85"/>
    </row>
    <row r="95" spans="1:13">
      <c r="A95" s="37" t="s">
        <v>203</v>
      </c>
      <c r="B95" s="5" t="s">
        <v>81</v>
      </c>
      <c r="C95" s="5" t="s">
        <v>37</v>
      </c>
      <c r="D95" s="5">
        <v>12</v>
      </c>
      <c r="E95" s="21" t="s">
        <v>241</v>
      </c>
      <c r="M95" s="85"/>
    </row>
    <row r="96" spans="1:13">
      <c r="A96" s="37" t="s">
        <v>98</v>
      </c>
      <c r="B96" s="5" t="s">
        <v>84</v>
      </c>
      <c r="C96" s="5" t="s">
        <v>37</v>
      </c>
      <c r="D96" s="5">
        <v>20</v>
      </c>
      <c r="E96" s="21" t="s">
        <v>37</v>
      </c>
      <c r="M96" s="85"/>
    </row>
    <row r="97" spans="1:13">
      <c r="A97" s="37" t="s">
        <v>204</v>
      </c>
      <c r="B97" s="5" t="s">
        <v>84</v>
      </c>
      <c r="C97" s="5" t="s">
        <v>37</v>
      </c>
      <c r="D97" s="5">
        <v>30</v>
      </c>
      <c r="E97" s="21" t="s">
        <v>37</v>
      </c>
      <c r="M97" s="85"/>
    </row>
    <row r="98" spans="1:13">
      <c r="A98" s="37" t="s">
        <v>205</v>
      </c>
      <c r="B98" s="5" t="s">
        <v>84</v>
      </c>
      <c r="C98" s="5" t="s">
        <v>37</v>
      </c>
      <c r="D98" s="5">
        <v>30</v>
      </c>
      <c r="E98" s="21" t="s">
        <v>37</v>
      </c>
      <c r="M98" s="85"/>
    </row>
    <row r="99" spans="1:13">
      <c r="A99" s="37" t="s">
        <v>206</v>
      </c>
      <c r="B99" s="5" t="s">
        <v>80</v>
      </c>
      <c r="C99" s="5" t="s">
        <v>37</v>
      </c>
      <c r="D99" s="5" t="s">
        <v>37</v>
      </c>
      <c r="E99" s="21" t="s">
        <v>37</v>
      </c>
      <c r="M99" s="85"/>
    </row>
    <row r="100" spans="1:13">
      <c r="A100" s="37" t="s">
        <v>207</v>
      </c>
      <c r="B100" s="5" t="s">
        <v>81</v>
      </c>
      <c r="C100" s="5">
        <v>2</v>
      </c>
      <c r="D100" s="5">
        <v>6</v>
      </c>
      <c r="E100" s="20" t="s">
        <v>37</v>
      </c>
      <c r="M100" s="85"/>
    </row>
    <row r="101" spans="1:13">
      <c r="A101" s="37" t="s">
        <v>208</v>
      </c>
      <c r="B101" s="5" t="s">
        <v>81</v>
      </c>
      <c r="C101" s="5">
        <v>2</v>
      </c>
      <c r="D101" s="5">
        <v>6</v>
      </c>
      <c r="E101" s="20" t="s">
        <v>37</v>
      </c>
      <c r="M101" s="85"/>
    </row>
    <row r="102" spans="1:13">
      <c r="A102" s="37" t="s">
        <v>209</v>
      </c>
      <c r="B102" s="5" t="s">
        <v>80</v>
      </c>
      <c r="C102" s="5">
        <v>2</v>
      </c>
      <c r="D102" s="5">
        <v>6</v>
      </c>
      <c r="E102" s="21" t="s">
        <v>241</v>
      </c>
      <c r="M102" s="85"/>
    </row>
    <row r="103" spans="1:13">
      <c r="A103" s="37" t="s">
        <v>210</v>
      </c>
      <c r="B103" s="5" t="s">
        <v>81</v>
      </c>
      <c r="C103" s="5">
        <v>2</v>
      </c>
      <c r="D103" s="5">
        <v>12</v>
      </c>
      <c r="E103" s="21" t="s">
        <v>242</v>
      </c>
      <c r="M103" s="85"/>
    </row>
    <row r="104" spans="1:13">
      <c r="A104" s="37" t="s">
        <v>211</v>
      </c>
      <c r="B104" s="5" t="s">
        <v>84</v>
      </c>
      <c r="C104" s="5">
        <v>3</v>
      </c>
      <c r="D104" s="5">
        <v>15</v>
      </c>
      <c r="E104" s="20" t="s">
        <v>37</v>
      </c>
      <c r="M104" s="85"/>
    </row>
    <row r="105" spans="1:13">
      <c r="A105" s="37" t="s">
        <v>212</v>
      </c>
      <c r="B105" s="5" t="s">
        <v>128</v>
      </c>
      <c r="C105" s="5" t="s">
        <v>37</v>
      </c>
      <c r="D105" s="5">
        <v>10</v>
      </c>
      <c r="E105" s="21" t="s">
        <v>37</v>
      </c>
      <c r="M105" s="85"/>
    </row>
    <row r="106" spans="1:13">
      <c r="A106" s="37" t="s">
        <v>213</v>
      </c>
      <c r="B106" s="5" t="s">
        <v>84</v>
      </c>
      <c r="C106" s="5">
        <v>2</v>
      </c>
      <c r="D106" s="5">
        <v>12</v>
      </c>
      <c r="E106" s="20" t="s">
        <v>37</v>
      </c>
      <c r="M106" s="85"/>
    </row>
    <row r="107" spans="1:13">
      <c r="A107" s="37" t="s">
        <v>214</v>
      </c>
      <c r="B107" s="5" t="s">
        <v>81</v>
      </c>
      <c r="C107" s="5">
        <v>2</v>
      </c>
      <c r="D107" s="5">
        <v>12</v>
      </c>
      <c r="E107" s="20" t="s">
        <v>243</v>
      </c>
      <c r="M107" s="85"/>
    </row>
    <row r="108" spans="1:13">
      <c r="A108" s="37" t="s">
        <v>215</v>
      </c>
      <c r="B108" s="5" t="s">
        <v>80</v>
      </c>
      <c r="C108" s="5">
        <v>2</v>
      </c>
      <c r="D108" s="5">
        <v>6</v>
      </c>
      <c r="E108" s="20" t="s">
        <v>37</v>
      </c>
      <c r="M108" s="85"/>
    </row>
    <row r="109" spans="1:13">
      <c r="A109" s="37" t="s">
        <v>216</v>
      </c>
      <c r="B109" s="5" t="s">
        <v>80</v>
      </c>
      <c r="C109" s="5">
        <v>2</v>
      </c>
      <c r="D109" s="5">
        <v>6</v>
      </c>
      <c r="E109" s="20" t="s">
        <v>37</v>
      </c>
      <c r="M109" s="85"/>
    </row>
    <row r="110" spans="1:13">
      <c r="A110" s="37" t="s">
        <v>217</v>
      </c>
      <c r="B110" s="5" t="s">
        <v>80</v>
      </c>
      <c r="C110" s="5">
        <v>4</v>
      </c>
      <c r="D110" s="5">
        <v>4</v>
      </c>
      <c r="E110" s="20" t="s">
        <v>37</v>
      </c>
      <c r="M110" s="85"/>
    </row>
    <row r="111" spans="1:13">
      <c r="A111" s="37" t="s">
        <v>218</v>
      </c>
      <c r="B111" s="5" t="s">
        <v>80</v>
      </c>
      <c r="C111" s="5">
        <v>2</v>
      </c>
      <c r="D111" s="5">
        <v>2</v>
      </c>
      <c r="E111" s="20" t="s">
        <v>37</v>
      </c>
      <c r="M111" s="85"/>
    </row>
    <row r="112" spans="1:13">
      <c r="A112" s="37" t="s">
        <v>219</v>
      </c>
      <c r="B112" s="5" t="s">
        <v>80</v>
      </c>
      <c r="C112" s="38" t="s">
        <v>37</v>
      </c>
      <c r="D112" s="5">
        <v>4</v>
      </c>
      <c r="E112" s="20" t="s">
        <v>37</v>
      </c>
      <c r="M112" s="85"/>
    </row>
    <row r="113" spans="1:13">
      <c r="A113" s="37" t="s">
        <v>109</v>
      </c>
      <c r="B113" s="5" t="s">
        <v>80</v>
      </c>
      <c r="C113" s="38">
        <v>2</v>
      </c>
      <c r="D113" s="5">
        <v>6</v>
      </c>
      <c r="E113" s="20" t="s">
        <v>37</v>
      </c>
      <c r="M113" s="85"/>
    </row>
    <row r="114" spans="1:13">
      <c r="A114" s="37" t="s">
        <v>220</v>
      </c>
      <c r="B114" s="5" t="s">
        <v>80</v>
      </c>
      <c r="C114" s="5">
        <v>2</v>
      </c>
      <c r="D114" s="5">
        <v>4</v>
      </c>
      <c r="E114" s="20" t="s">
        <v>37</v>
      </c>
      <c r="M114" s="85"/>
    </row>
    <row r="115" spans="1:13">
      <c r="A115" s="39" t="s">
        <v>221</v>
      </c>
      <c r="B115" s="31" t="s">
        <v>81</v>
      </c>
      <c r="C115" s="38" t="s">
        <v>37</v>
      </c>
      <c r="D115" s="31">
        <v>10</v>
      </c>
      <c r="E115" s="20" t="s">
        <v>241</v>
      </c>
      <c r="M115" s="85"/>
    </row>
    <row r="116" spans="1:13">
      <c r="A116" s="39" t="s">
        <v>79</v>
      </c>
      <c r="B116" s="5" t="s">
        <v>81</v>
      </c>
      <c r="C116" s="38" t="s">
        <v>37</v>
      </c>
      <c r="D116" s="31">
        <v>10</v>
      </c>
      <c r="E116" s="7" t="s">
        <v>241</v>
      </c>
      <c r="M116" s="85"/>
    </row>
    <row r="117" spans="1:13">
      <c r="A117" s="39" t="s">
        <v>77</v>
      </c>
      <c r="B117" s="5" t="s">
        <v>81</v>
      </c>
      <c r="C117" s="38">
        <v>2</v>
      </c>
      <c r="D117" s="31">
        <v>6</v>
      </c>
      <c r="E117" s="7" t="s">
        <v>241</v>
      </c>
      <c r="M117" s="85"/>
    </row>
    <row r="118" spans="1:13">
      <c r="A118" s="39" t="s">
        <v>222</v>
      </c>
      <c r="B118" s="31" t="s">
        <v>81</v>
      </c>
      <c r="C118" s="31">
        <v>2</v>
      </c>
      <c r="D118" s="31">
        <v>10</v>
      </c>
      <c r="E118" s="20" t="s">
        <v>241</v>
      </c>
      <c r="M118" s="85"/>
    </row>
    <row r="119" spans="1:13">
      <c r="A119" s="39" t="s">
        <v>223</v>
      </c>
      <c r="B119" s="31" t="s">
        <v>80</v>
      </c>
      <c r="C119" s="31">
        <v>2</v>
      </c>
      <c r="D119" s="31">
        <v>6</v>
      </c>
      <c r="E119" s="20" t="s">
        <v>241</v>
      </c>
      <c r="M119" s="85"/>
    </row>
    <row r="120" spans="1:13">
      <c r="A120" s="39" t="s">
        <v>224</v>
      </c>
      <c r="B120" s="31" t="s">
        <v>80</v>
      </c>
      <c r="C120" s="31">
        <v>2</v>
      </c>
      <c r="D120" s="31">
        <v>6</v>
      </c>
      <c r="E120" s="20" t="s">
        <v>37</v>
      </c>
      <c r="M120" s="85"/>
    </row>
    <row r="121" spans="1:13">
      <c r="A121" s="39" t="s">
        <v>225</v>
      </c>
      <c r="B121" s="31" t="s">
        <v>84</v>
      </c>
      <c r="C121" s="31">
        <v>2</v>
      </c>
      <c r="D121" s="31">
        <v>4</v>
      </c>
      <c r="E121" s="20" t="s">
        <v>37</v>
      </c>
      <c r="M121" s="85"/>
    </row>
    <row r="122" spans="1:13">
      <c r="A122" s="39" t="s">
        <v>226</v>
      </c>
      <c r="B122" s="31" t="s">
        <v>81</v>
      </c>
      <c r="C122" s="38" t="s">
        <v>37</v>
      </c>
      <c r="D122" s="31">
        <v>10</v>
      </c>
      <c r="E122" s="20" t="s">
        <v>241</v>
      </c>
      <c r="M122" s="85"/>
    </row>
    <row r="123" spans="1:13">
      <c r="A123" s="39" t="s">
        <v>227</v>
      </c>
      <c r="B123" s="31" t="s">
        <v>80</v>
      </c>
      <c r="C123" s="31">
        <v>2</v>
      </c>
      <c r="D123" s="31">
        <v>6</v>
      </c>
      <c r="E123" s="20" t="s">
        <v>37</v>
      </c>
      <c r="M123" s="85"/>
    </row>
    <row r="124" spans="1:13">
      <c r="A124" s="39" t="s">
        <v>97</v>
      </c>
      <c r="B124" s="31" t="s">
        <v>84</v>
      </c>
      <c r="C124" s="38">
        <v>2</v>
      </c>
      <c r="D124" s="31">
        <v>30</v>
      </c>
      <c r="E124" s="7" t="s">
        <v>37</v>
      </c>
      <c r="M124" s="85"/>
    </row>
    <row r="125" spans="1:13">
      <c r="A125" s="39" t="s">
        <v>78</v>
      </c>
      <c r="B125" s="31" t="s">
        <v>81</v>
      </c>
      <c r="C125" s="38" t="s">
        <v>37</v>
      </c>
      <c r="D125" s="31">
        <v>10</v>
      </c>
      <c r="E125" s="20" t="s">
        <v>241</v>
      </c>
      <c r="M125" s="85"/>
    </row>
    <row r="126" spans="1:13">
      <c r="A126" s="39" t="s">
        <v>228</v>
      </c>
      <c r="B126" s="31" t="s">
        <v>84</v>
      </c>
      <c r="C126" s="38">
        <v>3</v>
      </c>
      <c r="D126" s="31">
        <v>15</v>
      </c>
      <c r="E126" s="20" t="s">
        <v>37</v>
      </c>
      <c r="M126" s="85"/>
    </row>
    <row r="127" spans="1:13">
      <c r="A127" s="39" t="s">
        <v>229</v>
      </c>
      <c r="B127" s="31" t="s">
        <v>80</v>
      </c>
      <c r="C127" s="38">
        <v>2</v>
      </c>
      <c r="D127" s="31">
        <v>6</v>
      </c>
      <c r="E127" s="20" t="s">
        <v>37</v>
      </c>
      <c r="M127" s="85"/>
    </row>
    <row r="128" spans="1:13">
      <c r="A128" s="39" t="s">
        <v>230</v>
      </c>
      <c r="B128" s="5" t="s">
        <v>80</v>
      </c>
      <c r="C128" s="31">
        <v>2</v>
      </c>
      <c r="D128" s="31">
        <v>6</v>
      </c>
      <c r="E128" s="20" t="s">
        <v>37</v>
      </c>
      <c r="M128" s="85"/>
    </row>
    <row r="129" spans="1:13">
      <c r="A129" s="39" t="s">
        <v>231</v>
      </c>
      <c r="B129" s="31" t="s">
        <v>81</v>
      </c>
      <c r="C129" s="31">
        <v>2</v>
      </c>
      <c r="D129" s="31">
        <v>12</v>
      </c>
      <c r="E129" s="21" t="s">
        <v>242</v>
      </c>
      <c r="M129" s="85"/>
    </row>
    <row r="130" spans="1:13">
      <c r="A130" s="39" t="s">
        <v>232</v>
      </c>
      <c r="B130" s="31" t="s">
        <v>80</v>
      </c>
      <c r="C130" s="31">
        <v>2</v>
      </c>
      <c r="D130" s="31">
        <v>6</v>
      </c>
      <c r="E130" s="20" t="s">
        <v>37</v>
      </c>
      <c r="M130" s="85"/>
    </row>
    <row r="131" spans="1:13">
      <c r="A131" s="39" t="s">
        <v>233</v>
      </c>
      <c r="B131" s="31" t="s">
        <v>80</v>
      </c>
      <c r="C131" s="31">
        <v>2</v>
      </c>
      <c r="D131" s="31">
        <v>2</v>
      </c>
      <c r="E131" s="20" t="s">
        <v>37</v>
      </c>
      <c r="M131" s="85"/>
    </row>
    <row r="132" spans="1:13">
      <c r="A132" s="40" t="s">
        <v>234</v>
      </c>
      <c r="B132" s="31" t="s">
        <v>81</v>
      </c>
      <c r="C132" s="31">
        <v>2</v>
      </c>
      <c r="D132" s="31">
        <v>12</v>
      </c>
      <c r="E132" s="20" t="s">
        <v>241</v>
      </c>
      <c r="M132" s="85"/>
    </row>
    <row r="133" spans="1:13">
      <c r="A133" s="39" t="s">
        <v>235</v>
      </c>
      <c r="B133" s="31" t="s">
        <v>81</v>
      </c>
      <c r="C133" s="31">
        <v>2</v>
      </c>
      <c r="D133" s="31">
        <v>10</v>
      </c>
      <c r="E133" s="21" t="s">
        <v>242</v>
      </c>
      <c r="M133" s="85"/>
    </row>
    <row r="134" spans="1:13">
      <c r="A134" s="39" t="s">
        <v>236</v>
      </c>
      <c r="B134" s="31" t="s">
        <v>81</v>
      </c>
      <c r="C134" s="38" t="s">
        <v>37</v>
      </c>
      <c r="D134" s="31">
        <v>10</v>
      </c>
      <c r="E134" s="20" t="s">
        <v>241</v>
      </c>
      <c r="M134" s="85"/>
    </row>
    <row r="135" spans="1:13">
      <c r="A135" s="39" t="s">
        <v>237</v>
      </c>
      <c r="B135" s="31" t="s">
        <v>80</v>
      </c>
      <c r="C135" s="31">
        <v>2</v>
      </c>
      <c r="D135" s="31">
        <v>6</v>
      </c>
      <c r="E135" s="20" t="s">
        <v>37</v>
      </c>
      <c r="M135" s="85"/>
    </row>
    <row r="136" spans="1:13">
      <c r="A136" s="39" t="s">
        <v>238</v>
      </c>
      <c r="B136" s="31" t="s">
        <v>80</v>
      </c>
      <c r="C136" s="31">
        <v>2</v>
      </c>
      <c r="D136" s="32">
        <v>6</v>
      </c>
      <c r="E136" s="20" t="s">
        <v>37</v>
      </c>
      <c r="M136" s="85"/>
    </row>
    <row r="137" spans="1:13">
      <c r="A137" s="39" t="s">
        <v>239</v>
      </c>
      <c r="B137" s="31" t="s">
        <v>84</v>
      </c>
      <c r="C137" s="31">
        <v>3</v>
      </c>
      <c r="D137" s="32">
        <v>15</v>
      </c>
      <c r="E137" s="20" t="s">
        <v>37</v>
      </c>
      <c r="M137" s="85"/>
    </row>
    <row r="138" spans="1:13">
      <c r="A138" s="41" t="s">
        <v>75</v>
      </c>
      <c r="B138" s="9" t="s">
        <v>80</v>
      </c>
      <c r="C138" s="31">
        <v>2</v>
      </c>
      <c r="D138" s="32">
        <v>6</v>
      </c>
      <c r="E138" s="20" t="s">
        <v>37</v>
      </c>
      <c r="M138" s="85"/>
    </row>
    <row r="139" spans="1:13">
      <c r="A139" s="41" t="s">
        <v>240</v>
      </c>
      <c r="B139" s="9" t="s">
        <v>80</v>
      </c>
      <c r="C139" s="42" t="s">
        <v>37</v>
      </c>
      <c r="D139" s="42">
        <v>6</v>
      </c>
      <c r="E139" s="43" t="s">
        <v>37</v>
      </c>
      <c r="M139" s="85"/>
    </row>
    <row r="140" spans="1:13">
      <c r="A140" s="33"/>
    </row>
  </sheetData>
  <sortState xmlns:xlrd2="http://schemas.microsoft.com/office/spreadsheetml/2017/richdata2" ref="A10:I139">
    <sortCondition ref="A10:A139"/>
  </sortState>
  <mergeCells count="8">
    <mergeCell ref="B6:B9"/>
    <mergeCell ref="A6:A9"/>
    <mergeCell ref="C7:C9"/>
    <mergeCell ref="A1:B2"/>
    <mergeCell ref="A3:F3"/>
    <mergeCell ref="C6:D6"/>
    <mergeCell ref="E6:E9"/>
    <mergeCell ref="D7:D9"/>
  </mergeCells>
  <phoneticPr fontId="0" type="noConversion"/>
  <printOptions verticalCentered="1"/>
  <pageMargins left="0.97" right="0.47" top="0.62" bottom="0.51" header="0.41" footer="0.32"/>
  <pageSetup paperSize="3" scale="94" orientation="landscape" r:id="rId1"/>
  <headerFooter alignWithMargins="0">
    <oddFooter>&amp;L&amp;"Arial Narrow,Regular"&amp;6* Refer to UMC Table 4-A for exact information&amp;R&amp;"Arial Narrow,Regular"&amp;8&amp;D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A4:R58"/>
  <sheetViews>
    <sheetView zoomScale="145" zoomScaleNormal="145" workbookViewId="0">
      <selection activeCell="L15" sqref="L15"/>
    </sheetView>
  </sheetViews>
  <sheetFormatPr baseColWidth="10" defaultColWidth="8.83203125" defaultRowHeight="13"/>
  <cols>
    <col min="13" max="13" width="14.6640625" bestFit="1" customWidth="1"/>
    <col min="14" max="14" width="12" bestFit="1" customWidth="1"/>
  </cols>
  <sheetData>
    <row r="4" spans="1:18">
      <c r="A4" s="95" t="s">
        <v>299</v>
      </c>
      <c r="B4" s="96"/>
      <c r="C4" s="96"/>
      <c r="D4" s="96"/>
      <c r="E4" s="96"/>
      <c r="F4" s="96"/>
      <c r="G4" s="96"/>
      <c r="H4" s="96"/>
      <c r="I4" s="96"/>
      <c r="J4" s="96"/>
      <c r="K4" s="96"/>
    </row>
    <row r="5" spans="1:18">
      <c r="A5" s="264" t="s">
        <v>300</v>
      </c>
      <c r="B5" s="266" t="s">
        <v>301</v>
      </c>
      <c r="C5" s="267"/>
      <c r="D5" s="267"/>
      <c r="E5" s="267"/>
      <c r="F5" s="267"/>
      <c r="G5" s="267"/>
      <c r="H5" s="267"/>
      <c r="I5" s="267"/>
      <c r="J5" s="267"/>
      <c r="K5" s="268"/>
      <c r="P5" s="74" t="s">
        <v>314</v>
      </c>
    </row>
    <row r="6" spans="1:18">
      <c r="A6" s="265"/>
      <c r="B6" s="106">
        <v>0</v>
      </c>
      <c r="C6" s="97">
        <v>0.1</v>
      </c>
      <c r="D6" s="97">
        <v>0.2</v>
      </c>
      <c r="E6" s="97">
        <v>0.3</v>
      </c>
      <c r="F6" s="97">
        <v>0.4</v>
      </c>
      <c r="G6" s="97">
        <v>0.5</v>
      </c>
      <c r="H6" s="97">
        <v>0.6</v>
      </c>
      <c r="I6" s="97">
        <v>0.7</v>
      </c>
      <c r="J6" s="97">
        <v>0.8</v>
      </c>
      <c r="K6" s="97">
        <v>0.9</v>
      </c>
      <c r="M6" t="s">
        <v>305</v>
      </c>
    </row>
    <row r="7" spans="1:18" ht="14">
      <c r="A7" s="98">
        <v>35</v>
      </c>
      <c r="B7" s="99">
        <v>13.01</v>
      </c>
      <c r="C7" s="99">
        <v>13.05</v>
      </c>
      <c r="D7" s="99">
        <v>13.1</v>
      </c>
      <c r="E7" s="99">
        <v>13.14</v>
      </c>
      <c r="F7" s="99">
        <v>13.18</v>
      </c>
      <c r="G7" s="99">
        <v>13.23</v>
      </c>
      <c r="H7" s="99">
        <v>13.27</v>
      </c>
      <c r="I7" s="99">
        <v>13.31</v>
      </c>
      <c r="J7" s="99">
        <v>13.35</v>
      </c>
      <c r="K7" s="99">
        <v>13.4</v>
      </c>
      <c r="M7" t="s">
        <v>303</v>
      </c>
      <c r="N7">
        <f>FLOOR(Psych!Q12,1)</f>
        <v>63</v>
      </c>
      <c r="P7" s="269" t="s">
        <v>72</v>
      </c>
      <c r="Q7" s="270"/>
      <c r="R7" s="271"/>
    </row>
    <row r="8" spans="1:18" ht="14">
      <c r="A8" s="100">
        <v>36</v>
      </c>
      <c r="B8" s="101">
        <v>13.44</v>
      </c>
      <c r="C8" s="101">
        <v>13.48</v>
      </c>
      <c r="D8" s="101">
        <v>13.53</v>
      </c>
      <c r="E8" s="101">
        <v>13.57</v>
      </c>
      <c r="F8" s="101">
        <v>13.61</v>
      </c>
      <c r="G8" s="101">
        <v>13.66</v>
      </c>
      <c r="H8" s="101">
        <v>13.7</v>
      </c>
      <c r="I8" s="101">
        <v>13.75</v>
      </c>
      <c r="J8" s="101">
        <v>13.79</v>
      </c>
      <c r="K8" s="101">
        <v>13.83</v>
      </c>
      <c r="M8" t="s">
        <v>304</v>
      </c>
      <c r="N8" s="105">
        <f>ROUND(Psych!Q12 - N7,1)</f>
        <v>0.7</v>
      </c>
      <c r="P8" s="57" t="s">
        <v>47</v>
      </c>
      <c r="Q8" s="58" t="s">
        <v>73</v>
      </c>
      <c r="R8" s="58" t="s">
        <v>120</v>
      </c>
    </row>
    <row r="9" spans="1:18">
      <c r="A9" s="100">
        <v>37</v>
      </c>
      <c r="B9" s="101">
        <v>13.87</v>
      </c>
      <c r="C9" s="101">
        <v>13.91</v>
      </c>
      <c r="D9" s="101">
        <v>13.96</v>
      </c>
      <c r="E9" s="101">
        <v>14</v>
      </c>
      <c r="F9" s="101">
        <v>14.05</v>
      </c>
      <c r="G9" s="101">
        <v>14.09</v>
      </c>
      <c r="H9" s="101">
        <v>14.14</v>
      </c>
      <c r="I9" s="101">
        <v>14.18</v>
      </c>
      <c r="J9" s="101">
        <v>14.23</v>
      </c>
      <c r="K9" s="101">
        <v>14.27</v>
      </c>
      <c r="P9" s="50">
        <v>1</v>
      </c>
      <c r="Q9" s="59">
        <v>6</v>
      </c>
      <c r="R9" s="59">
        <v>30</v>
      </c>
    </row>
    <row r="10" spans="1:18">
      <c r="A10" s="100">
        <v>38</v>
      </c>
      <c r="B10" s="101">
        <v>14.32</v>
      </c>
      <c r="C10" s="101">
        <v>14.37</v>
      </c>
      <c r="D10" s="101">
        <v>14.41</v>
      </c>
      <c r="E10" s="101">
        <v>14.46</v>
      </c>
      <c r="F10" s="101">
        <v>14.5</v>
      </c>
      <c r="G10" s="101">
        <v>14.55</v>
      </c>
      <c r="H10" s="101">
        <v>14.59</v>
      </c>
      <c r="I10" s="101">
        <v>14.64</v>
      </c>
      <c r="J10" s="101">
        <v>14.68</v>
      </c>
      <c r="K10" s="101">
        <v>14.73</v>
      </c>
      <c r="P10" s="50">
        <v>400</v>
      </c>
      <c r="Q10" s="59">
        <v>8</v>
      </c>
      <c r="R10" s="59">
        <v>30</v>
      </c>
    </row>
    <row r="11" spans="1:18">
      <c r="A11" s="102">
        <v>39</v>
      </c>
      <c r="B11" s="103">
        <v>14.77</v>
      </c>
      <c r="C11" s="103">
        <v>14.82</v>
      </c>
      <c r="D11" s="103">
        <v>14.86</v>
      </c>
      <c r="E11" s="103">
        <v>14.91</v>
      </c>
      <c r="F11" s="103">
        <v>14.95</v>
      </c>
      <c r="G11" s="103">
        <v>15</v>
      </c>
      <c r="H11" s="103">
        <v>15.05</v>
      </c>
      <c r="I11" s="103">
        <v>15.09</v>
      </c>
      <c r="J11" s="103">
        <v>15.14</v>
      </c>
      <c r="K11" s="103">
        <v>15.18</v>
      </c>
      <c r="P11" s="50">
        <v>700</v>
      </c>
      <c r="Q11" s="59">
        <v>10</v>
      </c>
      <c r="R11" s="59">
        <v>35</v>
      </c>
    </row>
    <row r="12" spans="1:18">
      <c r="A12" s="98">
        <v>40</v>
      </c>
      <c r="B12" s="99">
        <v>15.23</v>
      </c>
      <c r="C12" s="99">
        <v>15.28</v>
      </c>
      <c r="D12" s="99">
        <v>15.32</v>
      </c>
      <c r="E12" s="99">
        <v>15.37</v>
      </c>
      <c r="F12" s="99">
        <v>15.42</v>
      </c>
      <c r="G12" s="99">
        <v>15.46</v>
      </c>
      <c r="H12" s="99">
        <v>15.51</v>
      </c>
      <c r="I12" s="99">
        <v>15.56</v>
      </c>
      <c r="J12" s="99">
        <v>15.6</v>
      </c>
      <c r="K12" s="99">
        <v>15.65</v>
      </c>
      <c r="P12" s="50">
        <v>1000</v>
      </c>
      <c r="Q12" s="59">
        <v>12</v>
      </c>
      <c r="R12" s="59">
        <v>45</v>
      </c>
    </row>
    <row r="13" spans="1:18">
      <c r="A13" s="100">
        <v>41</v>
      </c>
      <c r="B13" s="101">
        <v>15.7</v>
      </c>
      <c r="C13" s="101">
        <v>15.75</v>
      </c>
      <c r="D13" s="101">
        <v>15.8</v>
      </c>
      <c r="E13" s="101">
        <v>15.84</v>
      </c>
      <c r="F13" s="101">
        <v>15.89</v>
      </c>
      <c r="G13" s="101">
        <v>15.94</v>
      </c>
      <c r="H13" s="101">
        <v>15.99</v>
      </c>
      <c r="I13" s="101">
        <v>16.03</v>
      </c>
      <c r="J13" s="101">
        <v>16.079999999999998</v>
      </c>
      <c r="K13" s="101">
        <v>16.13</v>
      </c>
      <c r="P13" s="50">
        <v>1500</v>
      </c>
      <c r="Q13" s="59">
        <v>14</v>
      </c>
      <c r="R13" s="59">
        <v>55</v>
      </c>
    </row>
    <row r="14" spans="1:18" ht="14" thickBot="1">
      <c r="A14" s="100">
        <v>42</v>
      </c>
      <c r="B14" s="101">
        <v>16.170000000000002</v>
      </c>
      <c r="C14" s="101">
        <v>16.22</v>
      </c>
      <c r="D14" s="101">
        <v>16.27</v>
      </c>
      <c r="E14" s="101">
        <v>16.32</v>
      </c>
      <c r="F14" s="101">
        <v>16.36</v>
      </c>
      <c r="G14" s="101">
        <v>16.41</v>
      </c>
      <c r="H14" s="101">
        <v>16.46</v>
      </c>
      <c r="I14" s="101">
        <v>16.510000000000002</v>
      </c>
      <c r="J14" s="101">
        <v>16.559999999999999</v>
      </c>
      <c r="K14" s="101">
        <v>16.61</v>
      </c>
      <c r="P14" s="60">
        <v>2100</v>
      </c>
      <c r="Q14" s="61">
        <v>16</v>
      </c>
      <c r="R14" s="61">
        <v>60</v>
      </c>
    </row>
    <row r="15" spans="1:18">
      <c r="A15" s="100">
        <v>43</v>
      </c>
      <c r="B15" s="101">
        <v>16.66</v>
      </c>
      <c r="C15" s="101">
        <v>16.71</v>
      </c>
      <c r="D15" s="101">
        <v>16.760000000000002</v>
      </c>
      <c r="E15" s="101">
        <v>16.809999999999999</v>
      </c>
      <c r="F15" s="101">
        <v>16.86</v>
      </c>
      <c r="G15" s="101">
        <v>16.91</v>
      </c>
      <c r="H15" s="101">
        <v>16.96</v>
      </c>
      <c r="I15" s="101">
        <v>17</v>
      </c>
      <c r="J15" s="101">
        <v>17.05</v>
      </c>
      <c r="K15" s="101">
        <v>17.100000000000001</v>
      </c>
    </row>
    <row r="16" spans="1:18">
      <c r="A16" s="102">
        <v>44</v>
      </c>
      <c r="B16" s="103">
        <v>17.149999999999999</v>
      </c>
      <c r="C16" s="103">
        <v>17.2</v>
      </c>
      <c r="D16" s="103">
        <v>17.25</v>
      </c>
      <c r="E16" s="103">
        <v>17.3</v>
      </c>
      <c r="F16" s="103">
        <v>17.350000000000001</v>
      </c>
      <c r="G16" s="103">
        <v>17.399999999999999</v>
      </c>
      <c r="H16" s="103">
        <v>17.45</v>
      </c>
      <c r="I16" s="103">
        <v>17.5</v>
      </c>
      <c r="J16" s="103">
        <v>17.55</v>
      </c>
      <c r="K16" s="103">
        <v>17.600000000000001</v>
      </c>
    </row>
    <row r="17" spans="1:16">
      <c r="A17" s="98">
        <v>45</v>
      </c>
      <c r="B17" s="99">
        <v>17.649999999999999</v>
      </c>
      <c r="C17" s="99">
        <v>17.7</v>
      </c>
      <c r="D17" s="99">
        <v>17.75</v>
      </c>
      <c r="E17" s="99">
        <v>17.8</v>
      </c>
      <c r="F17" s="99">
        <v>17.850000000000001</v>
      </c>
      <c r="G17" s="99">
        <v>17.91</v>
      </c>
      <c r="H17" s="99">
        <v>17.96</v>
      </c>
      <c r="I17" s="99">
        <v>18.010000000000002</v>
      </c>
      <c r="J17" s="99">
        <v>18.059999999999999</v>
      </c>
      <c r="K17" s="99">
        <v>18.11</v>
      </c>
    </row>
    <row r="18" spans="1:16">
      <c r="A18" s="100">
        <v>46</v>
      </c>
      <c r="B18" s="101">
        <v>18.16</v>
      </c>
      <c r="C18" s="101">
        <v>18.21</v>
      </c>
      <c r="D18" s="101">
        <v>18.260000000000002</v>
      </c>
      <c r="E18" s="101">
        <v>18.32</v>
      </c>
      <c r="F18" s="101">
        <v>18.37</v>
      </c>
      <c r="G18" s="101">
        <v>18.420000000000002</v>
      </c>
      <c r="H18" s="101">
        <v>18.47</v>
      </c>
      <c r="I18" s="101">
        <v>18.52</v>
      </c>
      <c r="J18" s="101">
        <v>18.579999999999998</v>
      </c>
      <c r="K18" s="101">
        <v>18.63</v>
      </c>
      <c r="P18" s="74" t="s">
        <v>386</v>
      </c>
    </row>
    <row r="19" spans="1:16">
      <c r="A19" s="100">
        <v>47</v>
      </c>
      <c r="B19" s="101">
        <v>18.68</v>
      </c>
      <c r="C19" s="101">
        <v>18.73</v>
      </c>
      <c r="D19" s="101">
        <v>18.79</v>
      </c>
      <c r="E19" s="101">
        <v>18.84</v>
      </c>
      <c r="F19" s="101">
        <v>18.89</v>
      </c>
      <c r="G19" s="101">
        <v>18.95</v>
      </c>
      <c r="H19" s="101">
        <v>19</v>
      </c>
      <c r="I19" s="101">
        <v>19.05</v>
      </c>
      <c r="J19" s="101">
        <v>19.100000000000001</v>
      </c>
      <c r="K19" s="101">
        <v>19.16</v>
      </c>
    </row>
    <row r="20" spans="1:16">
      <c r="A20" s="100">
        <v>48</v>
      </c>
      <c r="B20" s="101">
        <v>19.21</v>
      </c>
      <c r="C20" s="101">
        <v>19.260000000000002</v>
      </c>
      <c r="D20" s="101">
        <v>19.32</v>
      </c>
      <c r="E20" s="101">
        <v>19.37</v>
      </c>
      <c r="F20" s="101">
        <v>19.43</v>
      </c>
      <c r="G20" s="101">
        <v>19.48</v>
      </c>
      <c r="H20" s="101">
        <v>19.53</v>
      </c>
      <c r="I20" s="101">
        <v>16.59</v>
      </c>
      <c r="J20" s="101">
        <v>19.64</v>
      </c>
      <c r="K20" s="101">
        <v>19.7</v>
      </c>
    </row>
    <row r="21" spans="1:16">
      <c r="A21" s="102">
        <v>49</v>
      </c>
      <c r="B21" s="103">
        <v>19.75</v>
      </c>
      <c r="C21" s="103">
        <v>19.809999999999999</v>
      </c>
      <c r="D21" s="103">
        <v>19.86</v>
      </c>
      <c r="E21" s="103">
        <v>19.920000000000002</v>
      </c>
      <c r="F21" s="103">
        <v>19.97</v>
      </c>
      <c r="G21" s="103">
        <v>20.03</v>
      </c>
      <c r="H21" s="103">
        <v>20.079999999999998</v>
      </c>
      <c r="I21" s="103">
        <v>20.14</v>
      </c>
      <c r="J21" s="103">
        <v>20.190000000000001</v>
      </c>
      <c r="K21" s="103">
        <v>20.25</v>
      </c>
    </row>
    <row r="22" spans="1:16">
      <c r="A22" s="98">
        <v>50</v>
      </c>
      <c r="B22" s="99">
        <v>20.3</v>
      </c>
      <c r="C22" s="99">
        <v>20.36</v>
      </c>
      <c r="D22" s="99">
        <v>20.41</v>
      </c>
      <c r="E22" s="99">
        <v>20.47</v>
      </c>
      <c r="F22" s="99">
        <v>20.52</v>
      </c>
      <c r="G22" s="99">
        <v>20.58</v>
      </c>
      <c r="H22" s="99">
        <v>20.64</v>
      </c>
      <c r="I22" s="99">
        <v>20.69</v>
      </c>
      <c r="J22" s="99">
        <v>20.75</v>
      </c>
      <c r="K22" s="99">
        <v>20.8</v>
      </c>
    </row>
    <row r="23" spans="1:16">
      <c r="A23" s="100">
        <v>51</v>
      </c>
      <c r="B23" s="101">
        <v>20.86</v>
      </c>
      <c r="C23" s="101">
        <v>20.92</v>
      </c>
      <c r="D23" s="101">
        <v>20.97</v>
      </c>
      <c r="E23" s="101">
        <v>21.03</v>
      </c>
      <c r="F23" s="101">
        <v>21.09</v>
      </c>
      <c r="G23" s="101">
        <v>21.15</v>
      </c>
      <c r="H23" s="101">
        <v>21.2</v>
      </c>
      <c r="I23" s="101">
        <v>21.26</v>
      </c>
      <c r="J23" s="101">
        <v>21.32</v>
      </c>
      <c r="K23" s="101">
        <v>21.38</v>
      </c>
    </row>
    <row r="24" spans="1:16">
      <c r="A24" s="100">
        <v>52</v>
      </c>
      <c r="B24" s="101">
        <v>21.44</v>
      </c>
      <c r="C24" s="101">
        <v>21.5</v>
      </c>
      <c r="D24" s="101">
        <v>21.56</v>
      </c>
      <c r="E24" s="101">
        <v>21.62</v>
      </c>
      <c r="F24" s="101">
        <v>21.67</v>
      </c>
      <c r="G24" s="101">
        <v>21.73</v>
      </c>
      <c r="H24" s="101">
        <v>21.79</v>
      </c>
      <c r="I24" s="101">
        <v>21.85</v>
      </c>
      <c r="J24" s="101">
        <v>21.91</v>
      </c>
      <c r="K24" s="101">
        <v>21.97</v>
      </c>
    </row>
    <row r="25" spans="1:16">
      <c r="A25" s="100">
        <v>53</v>
      </c>
      <c r="B25" s="101">
        <v>22.02</v>
      </c>
      <c r="C25" s="101">
        <v>22.08</v>
      </c>
      <c r="D25" s="101">
        <v>22.14</v>
      </c>
      <c r="E25" s="101">
        <v>22.2</v>
      </c>
      <c r="F25" s="101">
        <v>22.26</v>
      </c>
      <c r="G25" s="101">
        <v>22.32</v>
      </c>
      <c r="H25" s="101">
        <v>22.38</v>
      </c>
      <c r="I25" s="101">
        <v>22.44</v>
      </c>
      <c r="J25" s="101">
        <v>22.5</v>
      </c>
      <c r="K25" s="101">
        <v>22.56</v>
      </c>
    </row>
    <row r="26" spans="1:16">
      <c r="A26" s="102">
        <v>54</v>
      </c>
      <c r="B26" s="103">
        <v>22.62</v>
      </c>
      <c r="C26" s="103">
        <v>22.68</v>
      </c>
      <c r="D26" s="103">
        <v>22.74</v>
      </c>
      <c r="E26" s="103">
        <v>22.8</v>
      </c>
      <c r="F26" s="103">
        <v>22.86</v>
      </c>
      <c r="G26" s="103">
        <v>22.92</v>
      </c>
      <c r="H26" s="103">
        <v>22.98</v>
      </c>
      <c r="I26" s="103">
        <v>23.04</v>
      </c>
      <c r="J26" s="103">
        <v>23.1</v>
      </c>
      <c r="K26" s="103">
        <v>23.16</v>
      </c>
    </row>
    <row r="27" spans="1:16">
      <c r="A27" s="98">
        <v>55</v>
      </c>
      <c r="B27" s="99">
        <v>23.22</v>
      </c>
      <c r="C27" s="99">
        <v>23.28</v>
      </c>
      <c r="D27" s="99">
        <v>23.34</v>
      </c>
      <c r="E27" s="99">
        <v>23.41</v>
      </c>
      <c r="F27" s="99">
        <v>23.47</v>
      </c>
      <c r="G27" s="99">
        <v>23.53</v>
      </c>
      <c r="H27" s="99">
        <v>23.59</v>
      </c>
      <c r="I27" s="99">
        <v>23.65</v>
      </c>
      <c r="J27" s="99">
        <v>23.72</v>
      </c>
      <c r="K27" s="99">
        <v>23.78</v>
      </c>
    </row>
    <row r="28" spans="1:16">
      <c r="A28" s="100">
        <v>56</v>
      </c>
      <c r="B28" s="101">
        <v>23.84</v>
      </c>
      <c r="C28" s="101">
        <v>23.9</v>
      </c>
      <c r="D28" s="101">
        <v>23.97</v>
      </c>
      <c r="E28" s="101">
        <v>24.03</v>
      </c>
      <c r="F28" s="101">
        <v>24.1</v>
      </c>
      <c r="G28" s="101">
        <v>24.16</v>
      </c>
      <c r="H28" s="101">
        <v>24.22</v>
      </c>
      <c r="I28" s="101">
        <v>24.29</v>
      </c>
      <c r="J28" s="101">
        <v>24.35</v>
      </c>
      <c r="K28" s="101">
        <v>24.42</v>
      </c>
    </row>
    <row r="29" spans="1:16">
      <c r="A29" s="100">
        <v>57</v>
      </c>
      <c r="B29" s="101">
        <v>24.48</v>
      </c>
      <c r="C29" s="101">
        <v>24.54</v>
      </c>
      <c r="D29" s="101">
        <v>24.61</v>
      </c>
      <c r="E29" s="101">
        <v>24.67</v>
      </c>
      <c r="F29" s="101">
        <v>24.74</v>
      </c>
      <c r="G29" s="101">
        <v>24.8</v>
      </c>
      <c r="H29" s="101">
        <v>24.86</v>
      </c>
      <c r="I29" s="101">
        <v>24.93</v>
      </c>
      <c r="J29" s="101">
        <v>24.99</v>
      </c>
      <c r="K29" s="101">
        <v>25.06</v>
      </c>
    </row>
    <row r="30" spans="1:16">
      <c r="A30" s="100">
        <v>58</v>
      </c>
      <c r="B30" s="101">
        <v>25.12</v>
      </c>
      <c r="C30" s="101">
        <v>25.19</v>
      </c>
      <c r="D30" s="101">
        <v>25.25</v>
      </c>
      <c r="E30" s="101">
        <v>25.32</v>
      </c>
      <c r="F30" s="101">
        <v>25.38</v>
      </c>
      <c r="G30" s="101">
        <v>25.45</v>
      </c>
      <c r="H30" s="101">
        <v>25.52</v>
      </c>
      <c r="I30" s="101">
        <v>25.58</v>
      </c>
      <c r="J30" s="101">
        <v>25.65</v>
      </c>
      <c r="K30" s="101">
        <v>25.71</v>
      </c>
    </row>
    <row r="31" spans="1:16">
      <c r="A31" s="102">
        <v>59</v>
      </c>
      <c r="B31" s="103">
        <v>25.78</v>
      </c>
      <c r="C31" s="103">
        <v>25.85</v>
      </c>
      <c r="D31" s="103">
        <v>25.92</v>
      </c>
      <c r="E31" s="103">
        <v>25.98</v>
      </c>
      <c r="F31" s="103">
        <v>26.05</v>
      </c>
      <c r="G31" s="103">
        <v>26.12</v>
      </c>
      <c r="H31" s="103">
        <v>26.19</v>
      </c>
      <c r="I31" s="103">
        <v>26.26</v>
      </c>
      <c r="J31" s="103">
        <v>26.32</v>
      </c>
      <c r="K31" s="103">
        <v>26.39</v>
      </c>
    </row>
    <row r="32" spans="1:16">
      <c r="A32" s="98">
        <v>60</v>
      </c>
      <c r="B32" s="99">
        <v>26.46</v>
      </c>
      <c r="C32" s="99">
        <v>26.53</v>
      </c>
      <c r="D32" s="99">
        <v>26.6</v>
      </c>
      <c r="E32" s="99">
        <v>26.67</v>
      </c>
      <c r="F32" s="99">
        <v>26.74</v>
      </c>
      <c r="G32" s="99">
        <v>26.81</v>
      </c>
      <c r="H32" s="99">
        <v>26.87</v>
      </c>
      <c r="I32" s="99">
        <v>26.94</v>
      </c>
      <c r="J32" s="99">
        <v>27.01</v>
      </c>
      <c r="K32" s="99">
        <v>27.08</v>
      </c>
    </row>
    <row r="33" spans="1:11">
      <c r="A33" s="100">
        <v>61</v>
      </c>
      <c r="B33" s="101">
        <v>27.15</v>
      </c>
      <c r="C33" s="101">
        <v>27.22</v>
      </c>
      <c r="D33" s="101">
        <v>27.29</v>
      </c>
      <c r="E33" s="101">
        <v>27.36</v>
      </c>
      <c r="F33" s="101">
        <v>27.43</v>
      </c>
      <c r="G33" s="101">
        <v>27.5</v>
      </c>
      <c r="H33" s="101">
        <v>27.57</v>
      </c>
      <c r="I33" s="101">
        <v>27.64</v>
      </c>
      <c r="J33" s="101">
        <v>27.71</v>
      </c>
      <c r="K33" s="101">
        <v>27.78</v>
      </c>
    </row>
    <row r="34" spans="1:11">
      <c r="A34" s="100">
        <v>62</v>
      </c>
      <c r="B34" s="101">
        <v>27.85</v>
      </c>
      <c r="C34" s="101">
        <v>27.92</v>
      </c>
      <c r="D34" s="101">
        <v>27.99</v>
      </c>
      <c r="E34" s="101">
        <v>28.07</v>
      </c>
      <c r="F34" s="101">
        <v>28.14</v>
      </c>
      <c r="G34" s="101">
        <v>28.21</v>
      </c>
      <c r="H34" s="101">
        <v>28.28</v>
      </c>
      <c r="I34" s="101">
        <v>28.35</v>
      </c>
      <c r="J34" s="101">
        <v>28.43</v>
      </c>
      <c r="K34" s="101">
        <v>28.5</v>
      </c>
    </row>
    <row r="35" spans="1:11">
      <c r="A35" s="100">
        <v>63</v>
      </c>
      <c r="B35" s="101">
        <v>28.57</v>
      </c>
      <c r="C35" s="101">
        <v>28.64</v>
      </c>
      <c r="D35" s="101">
        <v>28.72</v>
      </c>
      <c r="E35" s="101">
        <v>28.79</v>
      </c>
      <c r="F35" s="101">
        <v>28.87</v>
      </c>
      <c r="G35" s="101">
        <v>28.94</v>
      </c>
      <c r="H35" s="101">
        <v>29.01</v>
      </c>
      <c r="I35" s="101">
        <v>29.09</v>
      </c>
      <c r="J35" s="101">
        <v>29.16</v>
      </c>
      <c r="K35" s="101">
        <v>29.24</v>
      </c>
    </row>
    <row r="36" spans="1:11">
      <c r="A36" s="102">
        <v>64</v>
      </c>
      <c r="B36" s="103">
        <v>29.31</v>
      </c>
      <c r="C36" s="103">
        <v>29.39</v>
      </c>
      <c r="D36" s="103">
        <v>29.46</v>
      </c>
      <c r="E36" s="103">
        <v>29.54</v>
      </c>
      <c r="F36" s="103">
        <v>29.61</v>
      </c>
      <c r="G36" s="103">
        <v>29.69</v>
      </c>
      <c r="H36" s="103">
        <v>29.76</v>
      </c>
      <c r="I36" s="103">
        <v>29.84</v>
      </c>
      <c r="J36" s="103">
        <v>29.91</v>
      </c>
      <c r="K36" s="103">
        <v>29.99</v>
      </c>
    </row>
    <row r="37" spans="1:11">
      <c r="A37" s="98">
        <v>65</v>
      </c>
      <c r="B37" s="99">
        <v>30.06</v>
      </c>
      <c r="C37" s="99">
        <v>30.14</v>
      </c>
      <c r="D37" s="99">
        <v>30.21</v>
      </c>
      <c r="E37" s="99">
        <v>30.29</v>
      </c>
      <c r="F37" s="99">
        <v>30.37</v>
      </c>
      <c r="G37" s="99">
        <v>30.45</v>
      </c>
      <c r="H37" s="99">
        <v>30.52</v>
      </c>
      <c r="I37" s="99">
        <v>30.6</v>
      </c>
      <c r="J37" s="99">
        <v>30.68</v>
      </c>
      <c r="K37" s="99">
        <v>30.75</v>
      </c>
    </row>
    <row r="38" spans="1:11">
      <c r="A38" s="100">
        <v>66</v>
      </c>
      <c r="B38" s="101">
        <v>30.83</v>
      </c>
      <c r="C38" s="101">
        <v>30.91</v>
      </c>
      <c r="D38" s="101">
        <v>30.99</v>
      </c>
      <c r="E38" s="101">
        <v>31.07</v>
      </c>
      <c r="F38" s="101">
        <v>31.15</v>
      </c>
      <c r="G38" s="101">
        <v>31.23</v>
      </c>
      <c r="H38" s="101">
        <v>31.3</v>
      </c>
      <c r="I38" s="101">
        <v>31.38</v>
      </c>
      <c r="J38" s="101">
        <v>31.46</v>
      </c>
      <c r="K38" s="101">
        <v>31.54</v>
      </c>
    </row>
    <row r="39" spans="1:11">
      <c r="A39" s="100">
        <v>67</v>
      </c>
      <c r="B39" s="101">
        <v>31.62</v>
      </c>
      <c r="C39" s="101">
        <v>31.7</v>
      </c>
      <c r="D39" s="101">
        <v>31.78</v>
      </c>
      <c r="E39" s="101">
        <v>31.86</v>
      </c>
      <c r="F39" s="101">
        <v>31.94</v>
      </c>
      <c r="G39" s="101">
        <v>32.020000000000003</v>
      </c>
      <c r="H39" s="101">
        <v>32.1</v>
      </c>
      <c r="I39" s="101">
        <v>32.18</v>
      </c>
      <c r="J39" s="101">
        <v>32.26</v>
      </c>
      <c r="K39" s="101">
        <v>32.340000000000003</v>
      </c>
    </row>
    <row r="40" spans="1:11">
      <c r="A40" s="100">
        <v>68</v>
      </c>
      <c r="B40" s="101">
        <v>32.42</v>
      </c>
      <c r="C40" s="101">
        <v>32.5</v>
      </c>
      <c r="D40" s="101">
        <v>32.590000000000003</v>
      </c>
      <c r="E40" s="101">
        <v>32.67</v>
      </c>
      <c r="F40" s="101">
        <v>32.75</v>
      </c>
      <c r="G40" s="101">
        <v>32.840000000000003</v>
      </c>
      <c r="H40" s="101">
        <v>32.92</v>
      </c>
      <c r="I40" s="101">
        <v>33</v>
      </c>
      <c r="J40" s="101">
        <v>33.08</v>
      </c>
      <c r="K40" s="101">
        <v>33.17</v>
      </c>
    </row>
    <row r="41" spans="1:11">
      <c r="A41" s="102">
        <v>69</v>
      </c>
      <c r="B41" s="103">
        <v>33.25</v>
      </c>
      <c r="C41" s="103">
        <v>33.33</v>
      </c>
      <c r="D41" s="103">
        <v>33.42</v>
      </c>
      <c r="E41" s="103">
        <v>33.5</v>
      </c>
      <c r="F41" s="103">
        <v>33.590000000000003</v>
      </c>
      <c r="G41" s="103">
        <v>33.67</v>
      </c>
      <c r="H41" s="103">
        <v>33.75</v>
      </c>
      <c r="I41" s="103">
        <v>33.840000000000003</v>
      </c>
      <c r="J41" s="103">
        <v>33.92</v>
      </c>
      <c r="K41" s="103">
        <v>34.01</v>
      </c>
    </row>
    <row r="42" spans="1:11">
      <c r="A42" s="98">
        <v>70</v>
      </c>
      <c r="B42" s="99">
        <v>34.090000000000003</v>
      </c>
      <c r="C42" s="99">
        <v>34.18</v>
      </c>
      <c r="D42" s="99">
        <v>34.26</v>
      </c>
      <c r="E42" s="99">
        <v>34.35</v>
      </c>
      <c r="F42" s="99">
        <v>34.43</v>
      </c>
      <c r="G42" s="99">
        <v>34.520000000000003</v>
      </c>
      <c r="H42" s="99">
        <v>34.61</v>
      </c>
      <c r="I42" s="99">
        <v>34.69</v>
      </c>
      <c r="J42" s="99">
        <v>34.78</v>
      </c>
      <c r="K42" s="99">
        <v>34.86</v>
      </c>
    </row>
    <row r="43" spans="1:11">
      <c r="A43" s="100">
        <v>71</v>
      </c>
      <c r="B43" s="101">
        <v>34.950000000000003</v>
      </c>
      <c r="C43" s="101">
        <v>35.04</v>
      </c>
      <c r="D43" s="101">
        <v>35.130000000000003</v>
      </c>
      <c r="E43" s="101">
        <v>35.21</v>
      </c>
      <c r="F43" s="101">
        <v>35.299999999999997</v>
      </c>
      <c r="G43" s="101">
        <v>35.39</v>
      </c>
      <c r="H43" s="101">
        <v>35.479999999999997</v>
      </c>
      <c r="I43" s="101">
        <v>35.57</v>
      </c>
      <c r="J43" s="101">
        <v>35.65</v>
      </c>
      <c r="K43" s="101">
        <v>35.74</v>
      </c>
    </row>
    <row r="44" spans="1:11">
      <c r="A44" s="100">
        <v>72</v>
      </c>
      <c r="B44" s="101">
        <v>35.83</v>
      </c>
      <c r="C44" s="101">
        <v>35.92</v>
      </c>
      <c r="D44" s="101">
        <v>36.01</v>
      </c>
      <c r="E44" s="101">
        <v>36.1</v>
      </c>
      <c r="F44" s="101">
        <v>36.19</v>
      </c>
      <c r="G44" s="101">
        <v>36.29</v>
      </c>
      <c r="H44" s="101">
        <v>36.380000000000003</v>
      </c>
      <c r="I44" s="101">
        <v>36.47</v>
      </c>
      <c r="J44" s="101">
        <v>36.56</v>
      </c>
      <c r="K44" s="101">
        <v>36.65</v>
      </c>
    </row>
    <row r="45" spans="1:11">
      <c r="A45" s="100">
        <v>73</v>
      </c>
      <c r="B45" s="101">
        <v>36.74</v>
      </c>
      <c r="C45" s="101">
        <v>36.83</v>
      </c>
      <c r="D45" s="101">
        <v>36.92</v>
      </c>
      <c r="E45" s="101">
        <v>37.020000000000003</v>
      </c>
      <c r="F45" s="101">
        <v>37.11</v>
      </c>
      <c r="G45" s="101">
        <v>37.200000000000003</v>
      </c>
      <c r="H45" s="101">
        <v>37.29</v>
      </c>
      <c r="I45" s="101">
        <v>37.380000000000003</v>
      </c>
      <c r="J45" s="101">
        <v>37.479999999999997</v>
      </c>
      <c r="K45" s="101">
        <v>37.57</v>
      </c>
    </row>
    <row r="46" spans="1:11">
      <c r="A46" s="102">
        <v>74</v>
      </c>
      <c r="B46" s="103">
        <v>37.659999999999997</v>
      </c>
      <c r="C46" s="103">
        <v>37.76</v>
      </c>
      <c r="D46" s="103">
        <v>37.85</v>
      </c>
      <c r="E46" s="103">
        <v>37.950000000000003</v>
      </c>
      <c r="F46" s="103">
        <v>38.04</v>
      </c>
      <c r="G46" s="103">
        <v>38.14</v>
      </c>
      <c r="H46" s="103">
        <v>38.229999999999997</v>
      </c>
      <c r="I46" s="103">
        <v>38.33</v>
      </c>
      <c r="J46" s="103">
        <v>38.42</v>
      </c>
      <c r="K46" s="103">
        <v>38.520000000000003</v>
      </c>
    </row>
    <row r="47" spans="1:11">
      <c r="A47" s="98">
        <v>75</v>
      </c>
      <c r="B47" s="99">
        <v>38.61</v>
      </c>
      <c r="C47" s="99">
        <v>38.71</v>
      </c>
      <c r="D47" s="99">
        <v>38.799999999999997</v>
      </c>
      <c r="E47" s="99">
        <v>38.9</v>
      </c>
      <c r="F47" s="99">
        <v>38.99</v>
      </c>
      <c r="G47" s="99">
        <v>39.090000000000003</v>
      </c>
      <c r="H47" s="99">
        <v>39.19</v>
      </c>
      <c r="I47" s="99">
        <v>39.28</v>
      </c>
      <c r="J47" s="99">
        <v>39.380000000000003</v>
      </c>
      <c r="K47" s="99">
        <v>39.47</v>
      </c>
    </row>
    <row r="48" spans="1:11">
      <c r="A48" s="100">
        <v>76</v>
      </c>
      <c r="B48" s="101">
        <v>39.57</v>
      </c>
      <c r="C48" s="101">
        <v>39.67</v>
      </c>
      <c r="D48" s="101">
        <v>39.770000000000003</v>
      </c>
      <c r="E48" s="101">
        <v>39.869999999999997</v>
      </c>
      <c r="F48" s="101">
        <v>39.97</v>
      </c>
      <c r="G48" s="101">
        <v>40.07</v>
      </c>
      <c r="H48" s="101">
        <v>40.17</v>
      </c>
      <c r="I48" s="101">
        <v>40.270000000000003</v>
      </c>
      <c r="J48" s="101">
        <v>40.369999999999997</v>
      </c>
      <c r="K48" s="101">
        <v>40.47</v>
      </c>
    </row>
    <row r="49" spans="1:11">
      <c r="A49" s="100">
        <v>77</v>
      </c>
      <c r="B49" s="101">
        <v>40.57</v>
      </c>
      <c r="C49" s="101">
        <v>40.67</v>
      </c>
      <c r="D49" s="101">
        <v>40.770000000000003</v>
      </c>
      <c r="E49" s="101">
        <v>40.869999999999997</v>
      </c>
      <c r="F49" s="101">
        <v>40.97</v>
      </c>
      <c r="G49" s="101">
        <v>41.08</v>
      </c>
      <c r="H49" s="101">
        <v>41.18</v>
      </c>
      <c r="I49" s="101">
        <v>41.28</v>
      </c>
      <c r="J49" s="101">
        <v>41.38</v>
      </c>
      <c r="K49" s="101">
        <v>41.48</v>
      </c>
    </row>
    <row r="50" spans="1:11">
      <c r="A50" s="100">
        <v>78</v>
      </c>
      <c r="B50" s="101">
        <v>41.58</v>
      </c>
      <c r="C50" s="101">
        <v>41.68</v>
      </c>
      <c r="D50" s="101">
        <v>41.79</v>
      </c>
      <c r="E50" s="101">
        <v>41.89</v>
      </c>
      <c r="F50" s="101">
        <v>42</v>
      </c>
      <c r="G50" s="101">
        <v>42.1</v>
      </c>
      <c r="H50" s="101">
        <v>42.2</v>
      </c>
      <c r="I50" s="101">
        <v>42.31</v>
      </c>
      <c r="J50" s="101">
        <v>42.41</v>
      </c>
      <c r="K50" s="101">
        <v>42.52</v>
      </c>
    </row>
    <row r="51" spans="1:11">
      <c r="A51" s="102">
        <v>79</v>
      </c>
      <c r="B51" s="103">
        <v>42.62</v>
      </c>
      <c r="C51" s="103">
        <v>42.73</v>
      </c>
      <c r="D51" s="103">
        <v>42.83</v>
      </c>
      <c r="E51" s="103">
        <v>42.94</v>
      </c>
      <c r="F51" s="103">
        <v>43.05</v>
      </c>
      <c r="G51" s="103">
        <v>43.16</v>
      </c>
      <c r="H51" s="103">
        <v>43.26</v>
      </c>
      <c r="I51" s="103">
        <v>43.37</v>
      </c>
      <c r="J51" s="103">
        <v>43.48</v>
      </c>
      <c r="K51" s="103">
        <v>43.58</v>
      </c>
    </row>
    <row r="52" spans="1:11">
      <c r="A52" s="98">
        <v>80</v>
      </c>
      <c r="B52" s="99">
        <v>43.69</v>
      </c>
      <c r="C52" s="99">
        <v>43.8</v>
      </c>
      <c r="D52" s="99">
        <v>43.91</v>
      </c>
      <c r="E52" s="99">
        <v>44.02</v>
      </c>
      <c r="F52" s="99">
        <v>44.13</v>
      </c>
      <c r="G52" s="99">
        <v>44.24</v>
      </c>
      <c r="H52" s="99">
        <v>44.34</v>
      </c>
      <c r="I52" s="99">
        <v>44.45</v>
      </c>
      <c r="J52" s="99">
        <v>44.56</v>
      </c>
      <c r="K52" s="99">
        <v>44.67</v>
      </c>
    </row>
    <row r="53" spans="1:11">
      <c r="A53" s="100">
        <v>81</v>
      </c>
      <c r="B53" s="101">
        <v>44.78</v>
      </c>
      <c r="C53" s="101">
        <v>44.89</v>
      </c>
      <c r="D53" s="101">
        <v>45</v>
      </c>
      <c r="E53" s="101">
        <v>45.12</v>
      </c>
      <c r="F53" s="101">
        <v>45.23</v>
      </c>
      <c r="G53" s="101">
        <v>45.34</v>
      </c>
      <c r="H53" s="101">
        <v>45.45</v>
      </c>
      <c r="I53" s="101">
        <v>45.56</v>
      </c>
      <c r="J53" s="101">
        <v>45.68</v>
      </c>
      <c r="K53" s="101">
        <v>45.79</v>
      </c>
    </row>
    <row r="54" spans="1:11">
      <c r="A54" s="100">
        <v>82</v>
      </c>
      <c r="B54" s="101">
        <v>45.9</v>
      </c>
      <c r="C54" s="101">
        <v>46.01</v>
      </c>
      <c r="D54" s="101">
        <v>46.13</v>
      </c>
      <c r="E54" s="101">
        <v>46.24</v>
      </c>
      <c r="F54" s="101">
        <v>46.36</v>
      </c>
      <c r="G54" s="101">
        <v>46.47</v>
      </c>
      <c r="H54" s="101">
        <v>46.58</v>
      </c>
      <c r="I54" s="101">
        <v>46.7</v>
      </c>
      <c r="J54" s="101">
        <v>46.81</v>
      </c>
      <c r="K54" s="101">
        <v>46.93</v>
      </c>
    </row>
    <row r="55" spans="1:11">
      <c r="A55" s="100">
        <v>83</v>
      </c>
      <c r="B55" s="101">
        <v>47.04</v>
      </c>
      <c r="C55" s="101">
        <v>47.16</v>
      </c>
      <c r="D55" s="101">
        <v>47.28</v>
      </c>
      <c r="E55" s="101">
        <v>47.39</v>
      </c>
      <c r="F55" s="101">
        <v>47.51</v>
      </c>
      <c r="G55" s="101">
        <v>47.63</v>
      </c>
      <c r="H55" s="101">
        <v>47.75</v>
      </c>
      <c r="I55" s="101">
        <v>47.87</v>
      </c>
      <c r="J55" s="101">
        <v>47.98</v>
      </c>
      <c r="K55" s="101">
        <v>48.1</v>
      </c>
    </row>
    <row r="56" spans="1:11">
      <c r="A56" s="100">
        <v>84</v>
      </c>
      <c r="B56" s="101">
        <v>48.22</v>
      </c>
      <c r="C56" s="101">
        <v>48.34</v>
      </c>
      <c r="D56" s="101">
        <v>48.46</v>
      </c>
      <c r="E56" s="101">
        <v>48.58</v>
      </c>
      <c r="F56" s="101">
        <v>48.7</v>
      </c>
      <c r="G56" s="101">
        <v>48.83</v>
      </c>
      <c r="H56" s="101">
        <v>48.95</v>
      </c>
      <c r="I56" s="101">
        <v>49.07</v>
      </c>
      <c r="J56" s="101">
        <v>49.19</v>
      </c>
      <c r="K56" s="101">
        <v>49.31</v>
      </c>
    </row>
    <row r="57" spans="1:11">
      <c r="A57" s="102">
        <v>85</v>
      </c>
      <c r="B57" s="103">
        <v>49.43</v>
      </c>
      <c r="C57" s="103">
        <v>49.55</v>
      </c>
      <c r="D57" s="103">
        <v>49.68</v>
      </c>
      <c r="E57" s="103">
        <v>49.8</v>
      </c>
      <c r="F57" s="103">
        <v>49.92</v>
      </c>
      <c r="G57" s="103">
        <v>50.05</v>
      </c>
      <c r="H57" s="103">
        <v>50.17</v>
      </c>
      <c r="I57" s="103">
        <v>50.29</v>
      </c>
      <c r="J57" s="103">
        <v>50.41</v>
      </c>
      <c r="K57" s="103">
        <v>50.54</v>
      </c>
    </row>
    <row r="58" spans="1:11">
      <c r="A58" s="104" t="s">
        <v>302</v>
      </c>
      <c r="B58" s="96"/>
      <c r="C58" s="96"/>
      <c r="D58" s="96"/>
      <c r="E58" s="96"/>
      <c r="F58" s="96"/>
      <c r="G58" s="96"/>
      <c r="H58" s="96"/>
      <c r="I58" s="96"/>
      <c r="J58" s="96"/>
      <c r="K58" s="96"/>
    </row>
  </sheetData>
  <mergeCells count="3">
    <mergeCell ref="A5:A6"/>
    <mergeCell ref="B5:K5"/>
    <mergeCell ref="P7:R7"/>
  </mergeCells>
  <pageMargins left="0.7" right="0.7" top="0.75" bottom="0.75" header="0.3" footer="0.3"/>
  <pageSetup orientation="portrait" horizontalDpi="0" verticalDpi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B7E48D-2BC1-483D-AA97-799BE1E01A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INPUT_OUTPUTS</vt:lpstr>
      <vt:lpstr>AHU 1</vt:lpstr>
      <vt:lpstr>Generic</vt:lpstr>
      <vt:lpstr>Psych</vt:lpstr>
      <vt:lpstr>UMC Table 4-A</vt:lpstr>
      <vt:lpstr>DO NOT TOUCH</vt:lpstr>
      <vt:lpstr>Generic!_CAV1.</vt:lpstr>
      <vt:lpstr>_CAV1.</vt:lpstr>
      <vt:lpstr>Generic!AHU_1AC_AV</vt:lpstr>
      <vt:lpstr>AHU_1AC_AV</vt:lpstr>
      <vt:lpstr>Psych!AHUs</vt:lpstr>
      <vt:lpstr>AHUs</vt:lpstr>
      <vt:lpstr>Generic!CAV_1A_SCHEDULE</vt:lpstr>
      <vt:lpstr>CAV_1A_SCHEDULE</vt:lpstr>
      <vt:lpstr>'AHU 1'!Print_Area</vt:lpstr>
      <vt:lpstr>Generic!Print_Area</vt:lpstr>
      <vt:lpstr>Psych!Print_Area</vt:lpstr>
      <vt:lpstr>'UMC Table 4-A'!Print_Area</vt:lpstr>
      <vt:lpstr>'AHU 1'!Print_Titles</vt:lpstr>
      <vt:lpstr>Generic!Print_Titles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Rushikesh Patil</cp:lastModifiedBy>
  <cp:lastPrinted>2023-01-22T21:16:36Z</cp:lastPrinted>
  <dcterms:created xsi:type="dcterms:W3CDTF">2001-05-17T15:02:58Z</dcterms:created>
  <dcterms:modified xsi:type="dcterms:W3CDTF">2023-02-17T06:18:41Z</dcterms:modified>
  <cp:category/>
</cp:coreProperties>
</file>