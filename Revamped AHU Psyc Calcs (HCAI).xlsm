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erma123-my.sharepoint.com/personal/rush_scengineers_net/Documents/Documents/Misc/"/>
    </mc:Choice>
  </mc:AlternateContent>
  <xr:revisionPtr revIDLastSave="273" documentId="13_ncr:1_{99583ADC-F37C-48B9-B662-29ACEEFBFDE8}" xr6:coauthVersionLast="47" xr6:coauthVersionMax="47" xr10:uidLastSave="{2E1E724D-E2E3-4A4E-8116-85EEEA21893C}"/>
  <bookViews>
    <workbookView xWindow="-120" yWindow="-120" windowWidth="29040" windowHeight="15840" activeTab="7" xr2:uid="{00000000-000D-0000-FFFF-FFFF00000000}"/>
  </bookViews>
  <sheets>
    <sheet name="INPUTS" sheetId="64" r:id="rId1"/>
    <sheet name="AHU-1" sheetId="48" r:id="rId2"/>
    <sheet name="AHU-2" sheetId="59" r:id="rId3"/>
    <sheet name="AHU-3" sheetId="61" r:id="rId4"/>
    <sheet name="AHU-4" sheetId="60" r:id="rId5"/>
    <sheet name="Psych" sheetId="45" r:id="rId6"/>
    <sheet name="UMC Table 4-A" sheetId="37" state="hidden" r:id="rId7"/>
    <sheet name="DO NOT TOUCH" sheetId="63" r:id="rId8"/>
  </sheets>
  <functionGroups builtInGroupCount="19"/>
  <definedNames>
    <definedName name="_CAV1">'AHU-4'!$AD$6:$AU$28</definedName>
    <definedName name="_CAV1.">'AHU-1'!$AD$6:$AU$49</definedName>
    <definedName name="_CAV2">'AHU-2'!$AD$6:$AU$68</definedName>
    <definedName name="_CAV3">'AHU-3'!$AD$6:$AU$70</definedName>
    <definedName name="_CAV4">'AHU-4'!$AD$6:$AU$28</definedName>
    <definedName name="AHU_1AC_AV" localSheetId="2">'AHU-2'!$AD$8:$AQ$44</definedName>
    <definedName name="AHU_1AC_AV" localSheetId="3">'AHU-3'!$AD$8:$AQ$44</definedName>
    <definedName name="AHU_1AC_AV" localSheetId="4">'AHU-4'!$AD$8:$AQ$45</definedName>
    <definedName name="AHU_1AC_AV">'AHU-1'!$AD$8:$AQ$44</definedName>
    <definedName name="CAV_1A_SCHEDULE" localSheetId="2">'AHU-2'!$AD$6:$AU$68</definedName>
    <definedName name="CAV_1A_SCHEDULE" localSheetId="3">'AHU-3'!$AD$6:$AU$70</definedName>
    <definedName name="CAV_1A_SCHEDULE" localSheetId="4">'AHU-4'!$AD$6:$AU$28</definedName>
    <definedName name="CAV_1A_SCHEDULE">'AHU-1'!$AD$6:$AU$49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1">'AHU-1'!$D$5:$V$79</definedName>
    <definedName name="_xlnm.Print_Area" localSheetId="2">'AHU-2'!$D$5:$V$89</definedName>
    <definedName name="_xlnm.Print_Area" localSheetId="3">'AHU-3'!$D$5:$V$86</definedName>
    <definedName name="_xlnm.Print_Area" localSheetId="4">'AHU-4'!$D$5:$V$29</definedName>
    <definedName name="_xlnm.Print_Area" localSheetId="5">Psych!$B$2:$BF$10</definedName>
    <definedName name="_xlnm.Print_Area" localSheetId="6">'UMC Table 4-A'!$A$5:$E$139</definedName>
    <definedName name="_xlnm.Print_Titles" localSheetId="1">'AHU-1'!$4:$7</definedName>
    <definedName name="_xlnm.Print_Titles" localSheetId="2">'AHU-2'!$4:$7</definedName>
    <definedName name="_xlnm.Print_Titles" localSheetId="3">'AHU-3'!$4:$7</definedName>
    <definedName name="_xlnm.Print_Titles" localSheetId="4">'AHU-4'!$4:$7</definedName>
    <definedName name="_xlnm.Print_Titles" localSheetId="6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Y7" i="45" l="1"/>
  <c r="AY8" i="45"/>
  <c r="AY9" i="45"/>
  <c r="AY6" i="45"/>
  <c r="AX7" i="45"/>
  <c r="AX8" i="45"/>
  <c r="AX9" i="45"/>
  <c r="AX6" i="45"/>
  <c r="AB6" i="45"/>
  <c r="AB7" i="45"/>
  <c r="AP7" i="45"/>
  <c r="AP8" i="45"/>
  <c r="AP9" i="45"/>
  <c r="AP6" i="45"/>
  <c r="AA7" i="45"/>
  <c r="AA8" i="45"/>
  <c r="AA9" i="45"/>
  <c r="AA6" i="45"/>
  <c r="AO7" i="45"/>
  <c r="AO8" i="45"/>
  <c r="AO9" i="45"/>
  <c r="AO6" i="45"/>
  <c r="Z7" i="45"/>
  <c r="Z8" i="45"/>
  <c r="Z9" i="45"/>
  <c r="Z6" i="45"/>
  <c r="AH7" i="45"/>
  <c r="AH8" i="45"/>
  <c r="AH9" i="45"/>
  <c r="AH6" i="45"/>
  <c r="AE7" i="45"/>
  <c r="AE8" i="45"/>
  <c r="AE9" i="45"/>
  <c r="AE6" i="45"/>
  <c r="V7" i="45"/>
  <c r="V8" i="45"/>
  <c r="V9" i="45"/>
  <c r="V6" i="45"/>
  <c r="I9" i="45" l="1"/>
  <c r="E9" i="45"/>
  <c r="C9" i="45"/>
  <c r="AQ31" i="60"/>
  <c r="AO31" i="60"/>
  <c r="V36" i="60"/>
  <c r="U36" i="60"/>
  <c r="T36" i="60"/>
  <c r="AS9" i="60"/>
  <c r="AS10" i="60"/>
  <c r="AS11" i="60"/>
  <c r="AS12" i="60"/>
  <c r="AS13" i="60"/>
  <c r="AS14" i="60"/>
  <c r="AS15" i="60"/>
  <c r="AS16" i="60"/>
  <c r="AS17" i="60"/>
  <c r="AS18" i="60"/>
  <c r="AS19" i="60"/>
  <c r="AS20" i="60"/>
  <c r="AS21" i="60"/>
  <c r="AS22" i="60"/>
  <c r="AS23" i="60"/>
  <c r="AS24" i="60"/>
  <c r="AG8" i="60"/>
  <c r="AG9" i="60"/>
  <c r="AG17" i="60"/>
  <c r="H30" i="60"/>
  <c r="L30" i="60" s="1"/>
  <c r="I30" i="60"/>
  <c r="J30" i="60" s="1"/>
  <c r="M30" i="60"/>
  <c r="O30" i="60"/>
  <c r="P30" i="60"/>
  <c r="Q30" i="60" s="1"/>
  <c r="R30" i="60"/>
  <c r="V30" i="60" s="1"/>
  <c r="AJ45" i="48"/>
  <c r="AK45" i="48"/>
  <c r="AL45" i="48"/>
  <c r="AM45" i="48"/>
  <c r="AN45" i="48"/>
  <c r="AR45" i="48"/>
  <c r="AU45" i="48"/>
  <c r="H24" i="60"/>
  <c r="L24" i="60" s="1"/>
  <c r="I24" i="60"/>
  <c r="J24" i="60" s="1"/>
  <c r="M24" i="60"/>
  <c r="O24" i="60"/>
  <c r="P24" i="60"/>
  <c r="Q24" i="60" s="1"/>
  <c r="R24" i="60"/>
  <c r="O51" i="59"/>
  <c r="S51" i="59" s="1"/>
  <c r="P51" i="59"/>
  <c r="Q51" i="59" s="1"/>
  <c r="R51" i="59"/>
  <c r="U51" i="59" s="1"/>
  <c r="H51" i="59"/>
  <c r="L51" i="59" s="1"/>
  <c r="I51" i="59"/>
  <c r="H73" i="61"/>
  <c r="L73" i="61" s="1"/>
  <c r="I73" i="61"/>
  <c r="J73" i="61" s="1"/>
  <c r="M73" i="61"/>
  <c r="O73" i="61"/>
  <c r="P73" i="61"/>
  <c r="Q73" i="61" s="1"/>
  <c r="R73" i="61"/>
  <c r="O13" i="59"/>
  <c r="S13" i="59" s="1"/>
  <c r="P13" i="59"/>
  <c r="Q13" i="59" s="1"/>
  <c r="R13" i="59"/>
  <c r="U13" i="59" s="1"/>
  <c r="H13" i="59"/>
  <c r="L13" i="59" s="1"/>
  <c r="I13" i="59"/>
  <c r="O72" i="61"/>
  <c r="P72" i="61"/>
  <c r="Q72" i="61" s="1"/>
  <c r="R72" i="61"/>
  <c r="H72" i="61"/>
  <c r="L72" i="61" s="1"/>
  <c r="I72" i="61"/>
  <c r="J72" i="61" s="1"/>
  <c r="O9" i="61"/>
  <c r="P9" i="61"/>
  <c r="Q9" i="61" s="1"/>
  <c r="O15" i="59"/>
  <c r="S15" i="59" s="1"/>
  <c r="P15" i="59"/>
  <c r="Q15" i="59" s="1"/>
  <c r="R15" i="59"/>
  <c r="U15" i="59" s="1"/>
  <c r="O16" i="59"/>
  <c r="P16" i="59"/>
  <c r="Q16" i="59" s="1"/>
  <c r="R16" i="59"/>
  <c r="V16" i="59" s="1"/>
  <c r="O17" i="59"/>
  <c r="S17" i="59" s="1"/>
  <c r="P17" i="59"/>
  <c r="Q17" i="59" s="1"/>
  <c r="R17" i="59"/>
  <c r="U17" i="59" s="1"/>
  <c r="O18" i="59"/>
  <c r="P18" i="59"/>
  <c r="Q18" i="59" s="1"/>
  <c r="R18" i="59"/>
  <c r="V18" i="59" s="1"/>
  <c r="O19" i="59"/>
  <c r="S19" i="59" s="1"/>
  <c r="P19" i="59"/>
  <c r="Q19" i="59" s="1"/>
  <c r="R19" i="59"/>
  <c r="U19" i="59" s="1"/>
  <c r="O11" i="59"/>
  <c r="S11" i="59" s="1"/>
  <c r="P11" i="59"/>
  <c r="Q11" i="59" s="1"/>
  <c r="R11" i="59"/>
  <c r="U11" i="59" s="1"/>
  <c r="O10" i="59"/>
  <c r="S30" i="60" l="1"/>
  <c r="Y30" i="60" s="1"/>
  <c r="V24" i="60"/>
  <c r="S24" i="60" s="1"/>
  <c r="T51" i="59"/>
  <c r="AA51" i="59"/>
  <c r="Y51" i="59"/>
  <c r="J51" i="59"/>
  <c r="V51" i="59" s="1"/>
  <c r="S73" i="61"/>
  <c r="U73" i="61" s="1"/>
  <c r="V73" i="61"/>
  <c r="J13" i="59"/>
  <c r="V13" i="59" s="1"/>
  <c r="AA13" i="59"/>
  <c r="Y13" i="59"/>
  <c r="T13" i="59"/>
  <c r="S72" i="61"/>
  <c r="U72" i="61" s="1"/>
  <c r="V72" i="61"/>
  <c r="Y19" i="59"/>
  <c r="T19" i="59"/>
  <c r="AA19" i="59"/>
  <c r="Y17" i="59"/>
  <c r="T17" i="59"/>
  <c r="AA17" i="59"/>
  <c r="AA15" i="59"/>
  <c r="Y15" i="59"/>
  <c r="T15" i="59"/>
  <c r="T11" i="59"/>
  <c r="Z11" i="59" s="1"/>
  <c r="AA11" i="59"/>
  <c r="Y11" i="59"/>
  <c r="O76" i="61"/>
  <c r="P76" i="61"/>
  <c r="Q76" i="61" s="1"/>
  <c r="R76" i="61"/>
  <c r="V76" i="61" s="1"/>
  <c r="H76" i="61"/>
  <c r="L76" i="61" s="1"/>
  <c r="I76" i="61"/>
  <c r="J76" i="61" s="1"/>
  <c r="H74" i="61"/>
  <c r="L74" i="61" s="1"/>
  <c r="I74" i="61"/>
  <c r="F81" i="48"/>
  <c r="F116" i="59"/>
  <c r="H16" i="60"/>
  <c r="L16" i="60" s="1"/>
  <c r="I16" i="60"/>
  <c r="M16" i="60"/>
  <c r="O16" i="60"/>
  <c r="S16" i="60" s="1"/>
  <c r="P16" i="60"/>
  <c r="Q16" i="60" s="1"/>
  <c r="R16" i="60"/>
  <c r="H17" i="60"/>
  <c r="L17" i="60" s="1"/>
  <c r="I17" i="60"/>
  <c r="M17" i="60"/>
  <c r="O17" i="60"/>
  <c r="S17" i="60" s="1"/>
  <c r="P17" i="60"/>
  <c r="Q17" i="60" s="1"/>
  <c r="R17" i="60"/>
  <c r="H27" i="60"/>
  <c r="L27" i="60" s="1"/>
  <c r="I27" i="60"/>
  <c r="M27" i="60"/>
  <c r="O27" i="60"/>
  <c r="S27" i="60" s="1"/>
  <c r="P27" i="60"/>
  <c r="Q27" i="60" s="1"/>
  <c r="R27" i="60"/>
  <c r="U27" i="60" s="1"/>
  <c r="H28" i="60"/>
  <c r="L28" i="60" s="1"/>
  <c r="I28" i="60"/>
  <c r="M28" i="60"/>
  <c r="O28" i="60"/>
  <c r="P28" i="60"/>
  <c r="Q28" i="60" s="1"/>
  <c r="R28" i="60"/>
  <c r="H10" i="60"/>
  <c r="L10" i="60" s="1"/>
  <c r="I10" i="60"/>
  <c r="M10" i="60"/>
  <c r="O10" i="60"/>
  <c r="S10" i="60" s="1"/>
  <c r="P10" i="60"/>
  <c r="Q10" i="60" s="1"/>
  <c r="R10" i="60"/>
  <c r="U10" i="60" s="1"/>
  <c r="O115" i="61"/>
  <c r="P115" i="61"/>
  <c r="Q115" i="61" s="1"/>
  <c r="R115" i="61"/>
  <c r="O39" i="61"/>
  <c r="S39" i="61" s="1"/>
  <c r="P39" i="61"/>
  <c r="Q39" i="61" s="1"/>
  <c r="R39" i="61"/>
  <c r="U39" i="61" s="1"/>
  <c r="O103" i="61"/>
  <c r="S103" i="61" s="1"/>
  <c r="AA103" i="61" s="1"/>
  <c r="P103" i="61"/>
  <c r="Q103" i="61" s="1"/>
  <c r="R103" i="61"/>
  <c r="U103" i="61" s="1"/>
  <c r="O78" i="61"/>
  <c r="S78" i="61" s="1"/>
  <c r="P78" i="61"/>
  <c r="Q78" i="61" s="1"/>
  <c r="R78" i="61"/>
  <c r="U78" i="61" s="1"/>
  <c r="O44" i="61"/>
  <c r="P44" i="61"/>
  <c r="Q44" i="61" s="1"/>
  <c r="R44" i="61"/>
  <c r="O45" i="61"/>
  <c r="S45" i="61" s="1"/>
  <c r="T45" i="61" s="1"/>
  <c r="P45" i="61"/>
  <c r="Q45" i="61" s="1"/>
  <c r="R45" i="61"/>
  <c r="O46" i="61"/>
  <c r="P46" i="61"/>
  <c r="Q46" i="61" s="1"/>
  <c r="R46" i="61"/>
  <c r="O47" i="61"/>
  <c r="S47" i="61" s="1"/>
  <c r="P47" i="61"/>
  <c r="Q47" i="61" s="1"/>
  <c r="R47" i="61"/>
  <c r="O48" i="61"/>
  <c r="P48" i="61"/>
  <c r="Q48" i="61" s="1"/>
  <c r="R48" i="61"/>
  <c r="O49" i="61"/>
  <c r="S49" i="61" s="1"/>
  <c r="P49" i="61"/>
  <c r="Q49" i="61" s="1"/>
  <c r="R49" i="61"/>
  <c r="O50" i="61"/>
  <c r="P50" i="61"/>
  <c r="Q50" i="61" s="1"/>
  <c r="R50" i="61"/>
  <c r="O51" i="61"/>
  <c r="S51" i="61" s="1"/>
  <c r="T51" i="61" s="1"/>
  <c r="P51" i="61"/>
  <c r="Q51" i="61" s="1"/>
  <c r="R51" i="61"/>
  <c r="U51" i="61" s="1"/>
  <c r="O52" i="61"/>
  <c r="P52" i="61"/>
  <c r="Q52" i="61" s="1"/>
  <c r="R52" i="61"/>
  <c r="O53" i="61"/>
  <c r="S53" i="61" s="1"/>
  <c r="P53" i="61"/>
  <c r="Q53" i="61" s="1"/>
  <c r="R53" i="61"/>
  <c r="O54" i="61"/>
  <c r="P54" i="61"/>
  <c r="Q54" i="61" s="1"/>
  <c r="R54" i="61"/>
  <c r="O55" i="61"/>
  <c r="S55" i="61" s="1"/>
  <c r="P55" i="61"/>
  <c r="Q55" i="61" s="1"/>
  <c r="R55" i="61"/>
  <c r="U55" i="61" s="1"/>
  <c r="O56" i="61"/>
  <c r="P56" i="61"/>
  <c r="Q56" i="61" s="1"/>
  <c r="R56" i="61"/>
  <c r="V56" i="61" s="1"/>
  <c r="O57" i="61"/>
  <c r="S57" i="61" s="1"/>
  <c r="T57" i="61" s="1"/>
  <c r="P57" i="61"/>
  <c r="Q57" i="61" s="1"/>
  <c r="R57" i="61"/>
  <c r="U57" i="61" s="1"/>
  <c r="O58" i="61"/>
  <c r="P58" i="61"/>
  <c r="Q58" i="61" s="1"/>
  <c r="R58" i="61"/>
  <c r="O59" i="61"/>
  <c r="S59" i="61" s="1"/>
  <c r="P59" i="61"/>
  <c r="Q59" i="61" s="1"/>
  <c r="R59" i="61"/>
  <c r="O61" i="61"/>
  <c r="P61" i="61"/>
  <c r="Q61" i="61" s="1"/>
  <c r="R61" i="61"/>
  <c r="O60" i="61"/>
  <c r="S60" i="61" s="1"/>
  <c r="P60" i="61"/>
  <c r="Q60" i="61" s="1"/>
  <c r="R60" i="61"/>
  <c r="U60" i="61" s="1"/>
  <c r="O62" i="61"/>
  <c r="P62" i="61"/>
  <c r="Q62" i="61" s="1"/>
  <c r="R62" i="61"/>
  <c r="V62" i="61" s="1"/>
  <c r="O63" i="61"/>
  <c r="S63" i="61" s="1"/>
  <c r="T63" i="61" s="1"/>
  <c r="P63" i="61"/>
  <c r="Q63" i="61" s="1"/>
  <c r="R63" i="61"/>
  <c r="U63" i="61" s="1"/>
  <c r="O64" i="61"/>
  <c r="P64" i="61"/>
  <c r="Q64" i="61" s="1"/>
  <c r="R64" i="61"/>
  <c r="O65" i="61"/>
  <c r="S65" i="61" s="1"/>
  <c r="P65" i="61"/>
  <c r="Q65" i="61" s="1"/>
  <c r="R65" i="61"/>
  <c r="O66" i="61"/>
  <c r="P66" i="61"/>
  <c r="Q66" i="61" s="1"/>
  <c r="R66" i="61"/>
  <c r="O67" i="61"/>
  <c r="S67" i="61" s="1"/>
  <c r="P67" i="61"/>
  <c r="Q67" i="61" s="1"/>
  <c r="R67" i="61"/>
  <c r="O68" i="61"/>
  <c r="P68" i="61"/>
  <c r="Q68" i="61" s="1"/>
  <c r="R68" i="61"/>
  <c r="O69" i="61"/>
  <c r="S69" i="61" s="1"/>
  <c r="T69" i="61" s="1"/>
  <c r="P69" i="61"/>
  <c r="Q69" i="61" s="1"/>
  <c r="R69" i="61"/>
  <c r="U69" i="61" s="1"/>
  <c r="O70" i="61"/>
  <c r="P70" i="61"/>
  <c r="Q70" i="61" s="1"/>
  <c r="R70" i="61"/>
  <c r="O71" i="61"/>
  <c r="S71" i="61" s="1"/>
  <c r="Y71" i="61" s="1"/>
  <c r="P71" i="61"/>
  <c r="Q71" i="61" s="1"/>
  <c r="R71" i="61"/>
  <c r="O11" i="61"/>
  <c r="S11" i="61" s="1"/>
  <c r="P11" i="61"/>
  <c r="Q11" i="61" s="1"/>
  <c r="R11" i="61"/>
  <c r="O12" i="61"/>
  <c r="P12" i="61"/>
  <c r="Q12" i="61" s="1"/>
  <c r="R12" i="61"/>
  <c r="V12" i="61" s="1"/>
  <c r="O13" i="61"/>
  <c r="S13" i="61" s="1"/>
  <c r="P13" i="61"/>
  <c r="Q13" i="61" s="1"/>
  <c r="R13" i="61"/>
  <c r="U13" i="61" s="1"/>
  <c r="O14" i="61"/>
  <c r="P14" i="61"/>
  <c r="Q14" i="61" s="1"/>
  <c r="R14" i="61"/>
  <c r="V14" i="61" s="1"/>
  <c r="O15" i="61"/>
  <c r="S15" i="61" s="1"/>
  <c r="AA15" i="61" s="1"/>
  <c r="P15" i="61"/>
  <c r="Q15" i="61" s="1"/>
  <c r="R15" i="61"/>
  <c r="U15" i="61" s="1"/>
  <c r="O16" i="61"/>
  <c r="P16" i="61"/>
  <c r="Q16" i="61" s="1"/>
  <c r="R16" i="61"/>
  <c r="O17" i="61"/>
  <c r="S17" i="61" s="1"/>
  <c r="P17" i="61"/>
  <c r="Q17" i="61" s="1"/>
  <c r="R17" i="61"/>
  <c r="U17" i="61" s="1"/>
  <c r="O18" i="61"/>
  <c r="P18" i="61"/>
  <c r="Q18" i="61" s="1"/>
  <c r="R18" i="61"/>
  <c r="V18" i="61" s="1"/>
  <c r="O19" i="61"/>
  <c r="S19" i="61" s="1"/>
  <c r="P19" i="61"/>
  <c r="Q19" i="61" s="1"/>
  <c r="R19" i="61"/>
  <c r="U19" i="61" s="1"/>
  <c r="O20" i="61"/>
  <c r="P20" i="61"/>
  <c r="Q20" i="61" s="1"/>
  <c r="R20" i="61"/>
  <c r="V20" i="61" s="1"/>
  <c r="O21" i="61"/>
  <c r="S21" i="61" s="1"/>
  <c r="AA21" i="61" s="1"/>
  <c r="P21" i="61"/>
  <c r="Q21" i="61" s="1"/>
  <c r="R21" i="61"/>
  <c r="U21" i="61" s="1"/>
  <c r="O22" i="61"/>
  <c r="P22" i="61"/>
  <c r="Q22" i="61" s="1"/>
  <c r="R22" i="61"/>
  <c r="V22" i="61" s="1"/>
  <c r="O23" i="61"/>
  <c r="S23" i="61" s="1"/>
  <c r="P23" i="61"/>
  <c r="Q23" i="61" s="1"/>
  <c r="R23" i="61"/>
  <c r="U23" i="61" s="1"/>
  <c r="O24" i="61"/>
  <c r="P24" i="61"/>
  <c r="Q24" i="61" s="1"/>
  <c r="R24" i="61"/>
  <c r="V24" i="61" s="1"/>
  <c r="O25" i="61"/>
  <c r="S25" i="61" s="1"/>
  <c r="P25" i="61"/>
  <c r="Q25" i="61" s="1"/>
  <c r="R25" i="61"/>
  <c r="U25" i="61" s="1"/>
  <c r="O26" i="61"/>
  <c r="P26" i="61"/>
  <c r="Q26" i="61" s="1"/>
  <c r="R26" i="61"/>
  <c r="V26" i="61" s="1"/>
  <c r="O27" i="61"/>
  <c r="S27" i="61" s="1"/>
  <c r="P27" i="61"/>
  <c r="Q27" i="61" s="1"/>
  <c r="R27" i="61"/>
  <c r="U27" i="61" s="1"/>
  <c r="O28" i="61"/>
  <c r="P28" i="61"/>
  <c r="Q28" i="61" s="1"/>
  <c r="R28" i="61"/>
  <c r="V28" i="61" s="1"/>
  <c r="O29" i="61"/>
  <c r="S29" i="61" s="1"/>
  <c r="P29" i="61"/>
  <c r="Q29" i="61" s="1"/>
  <c r="R29" i="61"/>
  <c r="U29" i="61" s="1"/>
  <c r="O30" i="61"/>
  <c r="P30" i="61"/>
  <c r="Q30" i="61" s="1"/>
  <c r="R30" i="61"/>
  <c r="O31" i="61"/>
  <c r="S31" i="61" s="1"/>
  <c r="P31" i="61"/>
  <c r="Q31" i="61" s="1"/>
  <c r="R31" i="61"/>
  <c r="U31" i="61" s="1"/>
  <c r="O32" i="61"/>
  <c r="P32" i="61"/>
  <c r="Q32" i="61" s="1"/>
  <c r="R32" i="61"/>
  <c r="V32" i="61" s="1"/>
  <c r="O33" i="61"/>
  <c r="S33" i="61" s="1"/>
  <c r="AA33" i="61" s="1"/>
  <c r="P33" i="61"/>
  <c r="Q33" i="61" s="1"/>
  <c r="R33" i="61"/>
  <c r="U33" i="61" s="1"/>
  <c r="O34" i="61"/>
  <c r="P34" i="61"/>
  <c r="Q34" i="61" s="1"/>
  <c r="R34" i="61"/>
  <c r="V34" i="61" s="1"/>
  <c r="O35" i="61"/>
  <c r="S35" i="61" s="1"/>
  <c r="P35" i="61"/>
  <c r="Q35" i="61" s="1"/>
  <c r="R35" i="61"/>
  <c r="U35" i="61" s="1"/>
  <c r="O36" i="61"/>
  <c r="P36" i="61"/>
  <c r="Q36" i="61" s="1"/>
  <c r="R36" i="61"/>
  <c r="O37" i="61"/>
  <c r="S37" i="61" s="1"/>
  <c r="P37" i="61"/>
  <c r="Q37" i="61" s="1"/>
  <c r="R37" i="61"/>
  <c r="U37" i="61" s="1"/>
  <c r="H39" i="61"/>
  <c r="L39" i="61" s="1"/>
  <c r="I39" i="61"/>
  <c r="H103" i="61"/>
  <c r="L103" i="61" s="1"/>
  <c r="I103" i="61"/>
  <c r="H78" i="61"/>
  <c r="L78" i="61" s="1"/>
  <c r="I78" i="61"/>
  <c r="H45" i="61"/>
  <c r="L45" i="61" s="1"/>
  <c r="I45" i="61"/>
  <c r="H46" i="61"/>
  <c r="L46" i="61" s="1"/>
  <c r="I46" i="61"/>
  <c r="J46" i="61" s="1"/>
  <c r="H47" i="61"/>
  <c r="L47" i="61" s="1"/>
  <c r="I47" i="61"/>
  <c r="H48" i="61"/>
  <c r="L48" i="61" s="1"/>
  <c r="I48" i="61"/>
  <c r="J48" i="61" s="1"/>
  <c r="H49" i="61"/>
  <c r="L49" i="61" s="1"/>
  <c r="I49" i="61"/>
  <c r="H50" i="61"/>
  <c r="L50" i="61" s="1"/>
  <c r="I50" i="61"/>
  <c r="J50" i="61" s="1"/>
  <c r="H51" i="61"/>
  <c r="L51" i="61" s="1"/>
  <c r="I51" i="61"/>
  <c r="H52" i="61"/>
  <c r="L52" i="61" s="1"/>
  <c r="I52" i="61"/>
  <c r="J52" i="61" s="1"/>
  <c r="H53" i="61"/>
  <c r="L53" i="61" s="1"/>
  <c r="I53" i="61"/>
  <c r="H54" i="61"/>
  <c r="L54" i="61" s="1"/>
  <c r="I54" i="61"/>
  <c r="J54" i="61" s="1"/>
  <c r="H55" i="61"/>
  <c r="L55" i="61" s="1"/>
  <c r="I55" i="61"/>
  <c r="H56" i="61"/>
  <c r="L56" i="61" s="1"/>
  <c r="I56" i="61"/>
  <c r="J56" i="61" s="1"/>
  <c r="H57" i="61"/>
  <c r="L57" i="61" s="1"/>
  <c r="I57" i="61"/>
  <c r="H58" i="61"/>
  <c r="L58" i="61" s="1"/>
  <c r="I58" i="61"/>
  <c r="J58" i="61" s="1"/>
  <c r="H59" i="61"/>
  <c r="L59" i="61" s="1"/>
  <c r="I59" i="61"/>
  <c r="H61" i="61"/>
  <c r="L61" i="61" s="1"/>
  <c r="I61" i="61"/>
  <c r="J61" i="61" s="1"/>
  <c r="H60" i="61"/>
  <c r="L60" i="61" s="1"/>
  <c r="I60" i="61"/>
  <c r="H62" i="61"/>
  <c r="L62" i="61" s="1"/>
  <c r="I62" i="61"/>
  <c r="J62" i="61" s="1"/>
  <c r="H63" i="61"/>
  <c r="L63" i="61" s="1"/>
  <c r="I63" i="61"/>
  <c r="H64" i="61"/>
  <c r="L64" i="61" s="1"/>
  <c r="I64" i="61"/>
  <c r="J64" i="61" s="1"/>
  <c r="H65" i="61"/>
  <c r="L65" i="61" s="1"/>
  <c r="I65" i="61"/>
  <c r="H66" i="61"/>
  <c r="L66" i="61" s="1"/>
  <c r="I66" i="61"/>
  <c r="J66" i="61" s="1"/>
  <c r="H67" i="61"/>
  <c r="L67" i="61" s="1"/>
  <c r="I67" i="61"/>
  <c r="H68" i="61"/>
  <c r="L68" i="61" s="1"/>
  <c r="I68" i="61"/>
  <c r="J68" i="61" s="1"/>
  <c r="H69" i="61"/>
  <c r="L69" i="61" s="1"/>
  <c r="I69" i="61"/>
  <c r="H70" i="61"/>
  <c r="L70" i="61" s="1"/>
  <c r="I70" i="61"/>
  <c r="J70" i="61" s="1"/>
  <c r="H71" i="61"/>
  <c r="L71" i="61" s="1"/>
  <c r="I71" i="61"/>
  <c r="H8" i="61"/>
  <c r="L8" i="61" s="1"/>
  <c r="I8" i="61"/>
  <c r="J8" i="61" s="1"/>
  <c r="H10" i="61"/>
  <c r="L10" i="61" s="1"/>
  <c r="I10" i="61"/>
  <c r="J10" i="61" s="1"/>
  <c r="H11" i="61"/>
  <c r="L11" i="61" s="1"/>
  <c r="I11" i="61"/>
  <c r="H12" i="61"/>
  <c r="L12" i="61" s="1"/>
  <c r="I12" i="61"/>
  <c r="J12" i="61" s="1"/>
  <c r="H13" i="61"/>
  <c r="L13" i="61" s="1"/>
  <c r="I13" i="61"/>
  <c r="H14" i="61"/>
  <c r="L14" i="61" s="1"/>
  <c r="I14" i="61"/>
  <c r="J14" i="61" s="1"/>
  <c r="H15" i="61"/>
  <c r="L15" i="61" s="1"/>
  <c r="I15" i="61"/>
  <c r="H16" i="61"/>
  <c r="L16" i="61" s="1"/>
  <c r="I16" i="61"/>
  <c r="J16" i="61" s="1"/>
  <c r="H17" i="61"/>
  <c r="L17" i="61" s="1"/>
  <c r="I17" i="61"/>
  <c r="H18" i="61"/>
  <c r="L18" i="61" s="1"/>
  <c r="I18" i="61"/>
  <c r="J18" i="61" s="1"/>
  <c r="H19" i="61"/>
  <c r="L19" i="61" s="1"/>
  <c r="I19" i="61"/>
  <c r="H20" i="61"/>
  <c r="L20" i="61" s="1"/>
  <c r="I20" i="61"/>
  <c r="J20" i="61" s="1"/>
  <c r="H21" i="61"/>
  <c r="L21" i="61" s="1"/>
  <c r="I21" i="61"/>
  <c r="H22" i="61"/>
  <c r="L22" i="61" s="1"/>
  <c r="I22" i="61"/>
  <c r="J22" i="61" s="1"/>
  <c r="H23" i="61"/>
  <c r="L23" i="61" s="1"/>
  <c r="I23" i="61"/>
  <c r="H24" i="61"/>
  <c r="L24" i="61" s="1"/>
  <c r="I24" i="61"/>
  <c r="J24" i="61" s="1"/>
  <c r="H25" i="61"/>
  <c r="L25" i="61" s="1"/>
  <c r="I25" i="61"/>
  <c r="H26" i="61"/>
  <c r="L26" i="61" s="1"/>
  <c r="I26" i="61"/>
  <c r="J26" i="61" s="1"/>
  <c r="H27" i="61"/>
  <c r="L27" i="61" s="1"/>
  <c r="I27" i="61"/>
  <c r="H28" i="61"/>
  <c r="L28" i="61" s="1"/>
  <c r="I28" i="61"/>
  <c r="J28" i="61" s="1"/>
  <c r="H29" i="61"/>
  <c r="L29" i="61" s="1"/>
  <c r="I29" i="61"/>
  <c r="H30" i="61"/>
  <c r="L30" i="61" s="1"/>
  <c r="I30" i="61"/>
  <c r="J30" i="61" s="1"/>
  <c r="H31" i="61"/>
  <c r="L31" i="61" s="1"/>
  <c r="I31" i="61"/>
  <c r="H32" i="61"/>
  <c r="L32" i="61" s="1"/>
  <c r="I32" i="61"/>
  <c r="J32" i="61" s="1"/>
  <c r="H33" i="61"/>
  <c r="L33" i="61" s="1"/>
  <c r="I33" i="61"/>
  <c r="H34" i="61"/>
  <c r="L34" i="61" s="1"/>
  <c r="I34" i="61"/>
  <c r="J34" i="61" s="1"/>
  <c r="H35" i="61"/>
  <c r="L35" i="61" s="1"/>
  <c r="I35" i="61"/>
  <c r="H36" i="61"/>
  <c r="L36" i="61" s="1"/>
  <c r="I36" i="61"/>
  <c r="J36" i="61" s="1"/>
  <c r="H37" i="61"/>
  <c r="L37" i="61" s="1"/>
  <c r="I37" i="61"/>
  <c r="O101" i="59"/>
  <c r="S101" i="59" s="1"/>
  <c r="P101" i="59"/>
  <c r="Q101" i="59" s="1"/>
  <c r="R101" i="59"/>
  <c r="U101" i="59" s="1"/>
  <c r="O39" i="59"/>
  <c r="S39" i="59" s="1"/>
  <c r="T39" i="59" s="1"/>
  <c r="P39" i="59"/>
  <c r="Q39" i="59" s="1"/>
  <c r="R39" i="59"/>
  <c r="U39" i="59" s="1"/>
  <c r="O114" i="59"/>
  <c r="S114" i="59" s="1"/>
  <c r="P114" i="59"/>
  <c r="Q114" i="59" s="1"/>
  <c r="R114" i="59"/>
  <c r="U114" i="59" s="1"/>
  <c r="O74" i="59"/>
  <c r="S74" i="59" s="1"/>
  <c r="P74" i="59"/>
  <c r="Q74" i="59" s="1"/>
  <c r="R74" i="59"/>
  <c r="O73" i="59"/>
  <c r="P73" i="59"/>
  <c r="Q73" i="59" s="1"/>
  <c r="R73" i="59"/>
  <c r="O76" i="59"/>
  <c r="P76" i="59"/>
  <c r="Q76" i="59" s="1"/>
  <c r="R76" i="59"/>
  <c r="O75" i="59"/>
  <c r="P75" i="59"/>
  <c r="Q75" i="59" s="1"/>
  <c r="R75" i="59"/>
  <c r="O77" i="59"/>
  <c r="P77" i="59"/>
  <c r="Q77" i="59" s="1"/>
  <c r="R77" i="59"/>
  <c r="V77" i="59" s="1"/>
  <c r="O78" i="59"/>
  <c r="P78" i="59"/>
  <c r="Q78" i="59" s="1"/>
  <c r="R78" i="59"/>
  <c r="O79" i="59"/>
  <c r="P79" i="59"/>
  <c r="Q79" i="59" s="1"/>
  <c r="R79" i="59"/>
  <c r="O80" i="59"/>
  <c r="P80" i="59"/>
  <c r="Q80" i="59" s="1"/>
  <c r="R80" i="59"/>
  <c r="O81" i="59"/>
  <c r="P81" i="59"/>
  <c r="Q81" i="59" s="1"/>
  <c r="R81" i="59"/>
  <c r="O84" i="59"/>
  <c r="P84" i="59"/>
  <c r="Q84" i="59" s="1"/>
  <c r="R84" i="59"/>
  <c r="O83" i="59"/>
  <c r="P83" i="59"/>
  <c r="Q83" i="59" s="1"/>
  <c r="R83" i="59"/>
  <c r="V83" i="59" s="1"/>
  <c r="O82" i="59"/>
  <c r="P82" i="59"/>
  <c r="Q82" i="59" s="1"/>
  <c r="R82" i="59"/>
  <c r="O85" i="59"/>
  <c r="P85" i="59"/>
  <c r="Q85" i="59" s="1"/>
  <c r="R85" i="59"/>
  <c r="V85" i="59" s="1"/>
  <c r="O86" i="59"/>
  <c r="P86" i="59"/>
  <c r="Q86" i="59" s="1"/>
  <c r="R86" i="59"/>
  <c r="U86" i="59" s="1"/>
  <c r="O87" i="59"/>
  <c r="P87" i="59"/>
  <c r="Q87" i="59" s="1"/>
  <c r="R87" i="59"/>
  <c r="V87" i="59" s="1"/>
  <c r="O88" i="59"/>
  <c r="P88" i="59"/>
  <c r="Q88" i="59" s="1"/>
  <c r="R88" i="59"/>
  <c r="O89" i="59"/>
  <c r="P89" i="59"/>
  <c r="Q89" i="59" s="1"/>
  <c r="R89" i="59"/>
  <c r="V89" i="59" s="1"/>
  <c r="O90" i="59"/>
  <c r="P90" i="59"/>
  <c r="Q90" i="59" s="1"/>
  <c r="R90" i="59"/>
  <c r="O91" i="59"/>
  <c r="S91" i="59" s="1"/>
  <c r="P91" i="59"/>
  <c r="Q91" i="59" s="1"/>
  <c r="R91" i="59"/>
  <c r="O92" i="59"/>
  <c r="P92" i="59"/>
  <c r="Q92" i="59" s="1"/>
  <c r="R92" i="59"/>
  <c r="O93" i="59"/>
  <c r="P93" i="59"/>
  <c r="Q93" i="59" s="1"/>
  <c r="R93" i="59"/>
  <c r="O94" i="59"/>
  <c r="P94" i="59"/>
  <c r="Q94" i="59" s="1"/>
  <c r="R94" i="59"/>
  <c r="O95" i="59"/>
  <c r="P95" i="59"/>
  <c r="Q95" i="59" s="1"/>
  <c r="R95" i="59"/>
  <c r="V95" i="59" s="1"/>
  <c r="O54" i="59"/>
  <c r="P54" i="59"/>
  <c r="Q54" i="59" s="1"/>
  <c r="R54" i="59"/>
  <c r="V54" i="59" s="1"/>
  <c r="O55" i="59"/>
  <c r="S55" i="59" s="1"/>
  <c r="T55" i="59" s="1"/>
  <c r="P55" i="59"/>
  <c r="Q55" i="59" s="1"/>
  <c r="R55" i="59"/>
  <c r="O56" i="59"/>
  <c r="P56" i="59"/>
  <c r="Q56" i="59" s="1"/>
  <c r="R56" i="59"/>
  <c r="O57" i="59"/>
  <c r="S57" i="59" s="1"/>
  <c r="Y57" i="59" s="1"/>
  <c r="P57" i="59"/>
  <c r="Q57" i="59" s="1"/>
  <c r="R57" i="59"/>
  <c r="U57" i="59" s="1"/>
  <c r="O58" i="59"/>
  <c r="P58" i="59"/>
  <c r="Q58" i="59" s="1"/>
  <c r="R58" i="59"/>
  <c r="O59" i="59"/>
  <c r="S59" i="59" s="1"/>
  <c r="P59" i="59"/>
  <c r="Q59" i="59" s="1"/>
  <c r="R59" i="59"/>
  <c r="U59" i="59" s="1"/>
  <c r="O60" i="59"/>
  <c r="P60" i="59"/>
  <c r="Q60" i="59" s="1"/>
  <c r="R60" i="59"/>
  <c r="V60" i="59" s="1"/>
  <c r="O61" i="59"/>
  <c r="P61" i="59"/>
  <c r="Q61" i="59" s="1"/>
  <c r="R61" i="59"/>
  <c r="O62" i="59"/>
  <c r="P62" i="59"/>
  <c r="Q62" i="59" s="1"/>
  <c r="R62" i="59"/>
  <c r="O63" i="59"/>
  <c r="P63" i="59"/>
  <c r="Q63" i="59" s="1"/>
  <c r="R63" i="59"/>
  <c r="O64" i="59"/>
  <c r="S64" i="59" s="1"/>
  <c r="AA64" i="59" s="1"/>
  <c r="P64" i="59"/>
  <c r="Q64" i="59" s="1"/>
  <c r="R64" i="59"/>
  <c r="U64" i="59" s="1"/>
  <c r="O65" i="59"/>
  <c r="P65" i="59"/>
  <c r="Q65" i="59" s="1"/>
  <c r="R65" i="59"/>
  <c r="O66" i="59"/>
  <c r="S66" i="59" s="1"/>
  <c r="P66" i="59"/>
  <c r="Q66" i="59" s="1"/>
  <c r="R66" i="59"/>
  <c r="U66" i="59" s="1"/>
  <c r="O67" i="59"/>
  <c r="P67" i="59"/>
  <c r="Q67" i="59" s="1"/>
  <c r="R67" i="59"/>
  <c r="V67" i="59" s="1"/>
  <c r="O68" i="59"/>
  <c r="S68" i="59" s="1"/>
  <c r="AA68" i="59" s="1"/>
  <c r="P68" i="59"/>
  <c r="Q68" i="59" s="1"/>
  <c r="R68" i="59"/>
  <c r="U68" i="59" s="1"/>
  <c r="O69" i="59"/>
  <c r="P69" i="59"/>
  <c r="Q69" i="59" s="1"/>
  <c r="R69" i="59"/>
  <c r="O70" i="59"/>
  <c r="S70" i="59" s="1"/>
  <c r="AA70" i="59" s="1"/>
  <c r="P70" i="59"/>
  <c r="Q70" i="59" s="1"/>
  <c r="R70" i="59"/>
  <c r="U70" i="59" s="1"/>
  <c r="O71" i="59"/>
  <c r="P71" i="59"/>
  <c r="Q71" i="59" s="1"/>
  <c r="R71" i="59"/>
  <c r="O72" i="59"/>
  <c r="S72" i="59" s="1"/>
  <c r="P72" i="59"/>
  <c r="Q72" i="59" s="1"/>
  <c r="R72" i="59"/>
  <c r="U72" i="59" s="1"/>
  <c r="O21" i="59"/>
  <c r="S21" i="59" s="1"/>
  <c r="T21" i="59" s="1"/>
  <c r="P21" i="59"/>
  <c r="Q21" i="59" s="1"/>
  <c r="R21" i="59"/>
  <c r="U21" i="59" s="1"/>
  <c r="O22" i="59"/>
  <c r="P22" i="59"/>
  <c r="Q22" i="59" s="1"/>
  <c r="R22" i="59"/>
  <c r="O23" i="59"/>
  <c r="S23" i="59" s="1"/>
  <c r="Y23" i="59" s="1"/>
  <c r="P23" i="59"/>
  <c r="Q23" i="59" s="1"/>
  <c r="R23" i="59"/>
  <c r="O24" i="59"/>
  <c r="P24" i="59"/>
  <c r="Q24" i="59" s="1"/>
  <c r="R24" i="59"/>
  <c r="O25" i="59"/>
  <c r="S25" i="59" s="1"/>
  <c r="P25" i="59"/>
  <c r="Q25" i="59" s="1"/>
  <c r="R25" i="59"/>
  <c r="O26" i="59"/>
  <c r="P26" i="59"/>
  <c r="Q26" i="59" s="1"/>
  <c r="R26" i="59"/>
  <c r="O27" i="59"/>
  <c r="S27" i="59" s="1"/>
  <c r="T27" i="59" s="1"/>
  <c r="P27" i="59"/>
  <c r="Q27" i="59" s="1"/>
  <c r="R27" i="59"/>
  <c r="U27" i="59" s="1"/>
  <c r="O28" i="59"/>
  <c r="P28" i="59"/>
  <c r="Q28" i="59" s="1"/>
  <c r="R28" i="59"/>
  <c r="O29" i="59"/>
  <c r="S29" i="59" s="1"/>
  <c r="T29" i="59" s="1"/>
  <c r="P29" i="59"/>
  <c r="Q29" i="59" s="1"/>
  <c r="R29" i="59"/>
  <c r="O30" i="59"/>
  <c r="P30" i="59"/>
  <c r="Q30" i="59" s="1"/>
  <c r="R30" i="59"/>
  <c r="O31" i="59"/>
  <c r="S31" i="59" s="1"/>
  <c r="P31" i="59"/>
  <c r="Q31" i="59" s="1"/>
  <c r="R31" i="59"/>
  <c r="O32" i="59"/>
  <c r="P32" i="59"/>
  <c r="Q32" i="59" s="1"/>
  <c r="R32" i="59"/>
  <c r="V32" i="59" s="1"/>
  <c r="O33" i="59"/>
  <c r="S33" i="59" s="1"/>
  <c r="T33" i="59" s="1"/>
  <c r="P33" i="59"/>
  <c r="Q33" i="59" s="1"/>
  <c r="R33" i="59"/>
  <c r="U33" i="59" s="1"/>
  <c r="O34" i="59"/>
  <c r="P34" i="59"/>
  <c r="Q34" i="59" s="1"/>
  <c r="R34" i="59"/>
  <c r="O35" i="59"/>
  <c r="S35" i="59" s="1"/>
  <c r="T35" i="59" s="1"/>
  <c r="P35" i="59"/>
  <c r="Q35" i="59" s="1"/>
  <c r="R35" i="59"/>
  <c r="O36" i="59"/>
  <c r="P36" i="59"/>
  <c r="Q36" i="59" s="1"/>
  <c r="R36" i="59"/>
  <c r="O37" i="59"/>
  <c r="S37" i="59" s="1"/>
  <c r="P37" i="59"/>
  <c r="Q37" i="59" s="1"/>
  <c r="R37" i="59"/>
  <c r="O38" i="59"/>
  <c r="P38" i="59"/>
  <c r="Q38" i="59" s="1"/>
  <c r="R38" i="59"/>
  <c r="V38" i="59" s="1"/>
  <c r="O40" i="59"/>
  <c r="P40" i="59"/>
  <c r="Q40" i="59" s="1"/>
  <c r="R40" i="59"/>
  <c r="V40" i="59" s="1"/>
  <c r="O41" i="59"/>
  <c r="P41" i="59"/>
  <c r="Q41" i="59" s="1"/>
  <c r="R41" i="59"/>
  <c r="O42" i="59"/>
  <c r="P42" i="59"/>
  <c r="Q42" i="59" s="1"/>
  <c r="R42" i="59"/>
  <c r="V42" i="59" s="1"/>
  <c r="O43" i="59"/>
  <c r="P43" i="59"/>
  <c r="Q43" i="59" s="1"/>
  <c r="R43" i="59"/>
  <c r="O44" i="59"/>
  <c r="P44" i="59"/>
  <c r="Q44" i="59" s="1"/>
  <c r="R44" i="59"/>
  <c r="V44" i="59" s="1"/>
  <c r="O45" i="59"/>
  <c r="P45" i="59"/>
  <c r="Q45" i="59" s="1"/>
  <c r="R45" i="59"/>
  <c r="V45" i="59" s="1"/>
  <c r="O47" i="59"/>
  <c r="P47" i="59"/>
  <c r="Q47" i="59" s="1"/>
  <c r="R47" i="59"/>
  <c r="O46" i="59"/>
  <c r="P46" i="59"/>
  <c r="Q46" i="59" s="1"/>
  <c r="R46" i="59"/>
  <c r="O48" i="59"/>
  <c r="P48" i="59"/>
  <c r="Q48" i="59" s="1"/>
  <c r="R48" i="59"/>
  <c r="V48" i="59" s="1"/>
  <c r="O49" i="59"/>
  <c r="P49" i="59"/>
  <c r="Q49" i="59" s="1"/>
  <c r="R49" i="59"/>
  <c r="O50" i="59"/>
  <c r="P50" i="59"/>
  <c r="Q50" i="59" s="1"/>
  <c r="R50" i="59"/>
  <c r="V50" i="59" s="1"/>
  <c r="O52" i="59"/>
  <c r="P52" i="59"/>
  <c r="Q52" i="59" s="1"/>
  <c r="R52" i="59"/>
  <c r="O53" i="59"/>
  <c r="S53" i="59" s="1"/>
  <c r="T53" i="59" s="1"/>
  <c r="P53" i="59"/>
  <c r="Q53" i="59" s="1"/>
  <c r="R53" i="59"/>
  <c r="H11" i="59"/>
  <c r="L11" i="59" s="1"/>
  <c r="I11" i="59"/>
  <c r="H12" i="59"/>
  <c r="L12" i="59" s="1"/>
  <c r="I12" i="59"/>
  <c r="J12" i="59" s="1"/>
  <c r="H14" i="59"/>
  <c r="L14" i="59" s="1"/>
  <c r="I14" i="59"/>
  <c r="J14" i="59" s="1"/>
  <c r="H15" i="59"/>
  <c r="L15" i="59" s="1"/>
  <c r="I15" i="59"/>
  <c r="H16" i="59"/>
  <c r="L16" i="59" s="1"/>
  <c r="I16" i="59"/>
  <c r="J16" i="59" s="1"/>
  <c r="H17" i="59"/>
  <c r="L17" i="59" s="1"/>
  <c r="I17" i="59"/>
  <c r="H18" i="59"/>
  <c r="L18" i="59" s="1"/>
  <c r="I18" i="59"/>
  <c r="J18" i="59" s="1"/>
  <c r="H19" i="59"/>
  <c r="L19" i="59" s="1"/>
  <c r="I19" i="59"/>
  <c r="H20" i="59"/>
  <c r="L20" i="59" s="1"/>
  <c r="I20" i="59"/>
  <c r="J20" i="59" s="1"/>
  <c r="H21" i="59"/>
  <c r="L21" i="59" s="1"/>
  <c r="I21" i="59"/>
  <c r="H22" i="59"/>
  <c r="L22" i="59" s="1"/>
  <c r="I22" i="59"/>
  <c r="J22" i="59" s="1"/>
  <c r="H23" i="59"/>
  <c r="L23" i="59" s="1"/>
  <c r="I23" i="59"/>
  <c r="H24" i="59"/>
  <c r="L24" i="59" s="1"/>
  <c r="I24" i="59"/>
  <c r="J24" i="59" s="1"/>
  <c r="H25" i="59"/>
  <c r="L25" i="59" s="1"/>
  <c r="I25" i="59"/>
  <c r="H26" i="59"/>
  <c r="L26" i="59" s="1"/>
  <c r="I26" i="59"/>
  <c r="J26" i="59" s="1"/>
  <c r="H27" i="59"/>
  <c r="L27" i="59" s="1"/>
  <c r="I27" i="59"/>
  <c r="H28" i="59"/>
  <c r="L28" i="59" s="1"/>
  <c r="I28" i="59"/>
  <c r="J28" i="59" s="1"/>
  <c r="H29" i="59"/>
  <c r="L29" i="59" s="1"/>
  <c r="I29" i="59"/>
  <c r="H30" i="59"/>
  <c r="L30" i="59" s="1"/>
  <c r="I30" i="59"/>
  <c r="J30" i="59" s="1"/>
  <c r="H31" i="59"/>
  <c r="L31" i="59" s="1"/>
  <c r="I31" i="59"/>
  <c r="H32" i="59"/>
  <c r="L32" i="59" s="1"/>
  <c r="I32" i="59"/>
  <c r="J32" i="59" s="1"/>
  <c r="H33" i="59"/>
  <c r="L33" i="59" s="1"/>
  <c r="I33" i="59"/>
  <c r="H34" i="59"/>
  <c r="L34" i="59" s="1"/>
  <c r="I34" i="59"/>
  <c r="J34" i="59" s="1"/>
  <c r="H35" i="59"/>
  <c r="L35" i="59" s="1"/>
  <c r="I35" i="59"/>
  <c r="H36" i="59"/>
  <c r="L36" i="59" s="1"/>
  <c r="I36" i="59"/>
  <c r="J36" i="59" s="1"/>
  <c r="H37" i="59"/>
  <c r="L37" i="59" s="1"/>
  <c r="I37" i="59"/>
  <c r="H53" i="59"/>
  <c r="L53" i="59" s="1"/>
  <c r="I53" i="59"/>
  <c r="H54" i="59"/>
  <c r="L54" i="59" s="1"/>
  <c r="I54" i="59"/>
  <c r="J54" i="59" s="1"/>
  <c r="H55" i="59"/>
  <c r="L55" i="59" s="1"/>
  <c r="I55" i="59"/>
  <c r="H56" i="59"/>
  <c r="L56" i="59" s="1"/>
  <c r="I56" i="59"/>
  <c r="J56" i="59" s="1"/>
  <c r="H57" i="59"/>
  <c r="L57" i="59" s="1"/>
  <c r="I57" i="59"/>
  <c r="H58" i="59"/>
  <c r="L58" i="59" s="1"/>
  <c r="I58" i="59"/>
  <c r="J58" i="59" s="1"/>
  <c r="H59" i="59"/>
  <c r="L59" i="59" s="1"/>
  <c r="I59" i="59"/>
  <c r="H60" i="59"/>
  <c r="L60" i="59" s="1"/>
  <c r="I60" i="59"/>
  <c r="J60" i="59" s="1"/>
  <c r="H61" i="59"/>
  <c r="L61" i="59" s="1"/>
  <c r="I61" i="59"/>
  <c r="J61" i="59" s="1"/>
  <c r="H62" i="59"/>
  <c r="L62" i="59" s="1"/>
  <c r="I62" i="59"/>
  <c r="J62" i="59" s="1"/>
  <c r="H63" i="59"/>
  <c r="L63" i="59" s="1"/>
  <c r="I63" i="59"/>
  <c r="J63" i="59" s="1"/>
  <c r="H64" i="59"/>
  <c r="L64" i="59" s="1"/>
  <c r="I64" i="59"/>
  <c r="H65" i="59"/>
  <c r="L65" i="59" s="1"/>
  <c r="I65" i="59"/>
  <c r="J65" i="59" s="1"/>
  <c r="H66" i="59"/>
  <c r="L66" i="59" s="1"/>
  <c r="I66" i="59"/>
  <c r="H67" i="59"/>
  <c r="L67" i="59" s="1"/>
  <c r="I67" i="59"/>
  <c r="J67" i="59" s="1"/>
  <c r="H68" i="59"/>
  <c r="L68" i="59" s="1"/>
  <c r="I68" i="59"/>
  <c r="H69" i="59"/>
  <c r="L69" i="59" s="1"/>
  <c r="I69" i="59"/>
  <c r="J69" i="59" s="1"/>
  <c r="H70" i="59"/>
  <c r="L70" i="59" s="1"/>
  <c r="I70" i="59"/>
  <c r="H71" i="59"/>
  <c r="L71" i="59" s="1"/>
  <c r="I71" i="59"/>
  <c r="J71" i="59" s="1"/>
  <c r="H72" i="59"/>
  <c r="L72" i="59" s="1"/>
  <c r="I72" i="59"/>
  <c r="H91" i="59"/>
  <c r="L91" i="59" s="1"/>
  <c r="I91" i="59"/>
  <c r="H101" i="59"/>
  <c r="L101" i="59" s="1"/>
  <c r="I101" i="59"/>
  <c r="H39" i="59"/>
  <c r="L39" i="59" s="1"/>
  <c r="I39" i="59"/>
  <c r="H114" i="59"/>
  <c r="L114" i="59" s="1"/>
  <c r="I114" i="59"/>
  <c r="H74" i="59"/>
  <c r="L74" i="59" s="1"/>
  <c r="I74" i="59"/>
  <c r="O54" i="48"/>
  <c r="S54" i="48" s="1"/>
  <c r="P54" i="48"/>
  <c r="Q54" i="48" s="1"/>
  <c r="R54" i="48"/>
  <c r="U54" i="48" s="1"/>
  <c r="O55" i="48"/>
  <c r="S55" i="48" s="1"/>
  <c r="P55" i="48"/>
  <c r="Q55" i="48" s="1"/>
  <c r="Q81" i="48" s="1"/>
  <c r="R55" i="48"/>
  <c r="U55" i="48" s="1"/>
  <c r="O19" i="48"/>
  <c r="S19" i="48" s="1"/>
  <c r="P19" i="48"/>
  <c r="Q19" i="48" s="1"/>
  <c r="R19" i="48"/>
  <c r="U19" i="48" s="1"/>
  <c r="O24" i="48"/>
  <c r="P24" i="48"/>
  <c r="Q24" i="48" s="1"/>
  <c r="R24" i="48"/>
  <c r="V24" i="48" s="1"/>
  <c r="O25" i="48"/>
  <c r="S25" i="48" s="1"/>
  <c r="AA25" i="48" s="1"/>
  <c r="P25" i="48"/>
  <c r="Q25" i="48" s="1"/>
  <c r="R25" i="48"/>
  <c r="U25" i="48" s="1"/>
  <c r="O9" i="48"/>
  <c r="S9" i="48" s="1"/>
  <c r="P9" i="48"/>
  <c r="Q9" i="48" s="1"/>
  <c r="R9" i="48"/>
  <c r="O72" i="48"/>
  <c r="P72" i="48"/>
  <c r="Q72" i="48" s="1"/>
  <c r="R72" i="48"/>
  <c r="U72" i="48" s="1"/>
  <c r="O73" i="48"/>
  <c r="S73" i="48" s="1"/>
  <c r="T73" i="48" s="1"/>
  <c r="P73" i="48"/>
  <c r="Q73" i="48" s="1"/>
  <c r="R73" i="48"/>
  <c r="U73" i="48" s="1"/>
  <c r="O74" i="48"/>
  <c r="S74" i="48" s="1"/>
  <c r="P74" i="48"/>
  <c r="Q74" i="48" s="1"/>
  <c r="R74" i="48"/>
  <c r="U74" i="48" s="1"/>
  <c r="O75" i="48"/>
  <c r="S75" i="48" s="1"/>
  <c r="P75" i="48"/>
  <c r="Q75" i="48" s="1"/>
  <c r="R75" i="48"/>
  <c r="O76" i="48"/>
  <c r="S76" i="48" s="1"/>
  <c r="AA76" i="48" s="1"/>
  <c r="P76" i="48"/>
  <c r="Q76" i="48" s="1"/>
  <c r="R76" i="48"/>
  <c r="U76" i="48" s="1"/>
  <c r="H54" i="48"/>
  <c r="L54" i="48" s="1"/>
  <c r="I54" i="48"/>
  <c r="H55" i="48"/>
  <c r="L55" i="48" s="1"/>
  <c r="I55" i="48"/>
  <c r="H19" i="48"/>
  <c r="L19" i="48" s="1"/>
  <c r="I19" i="48"/>
  <c r="H24" i="48"/>
  <c r="L24" i="48" s="1"/>
  <c r="I24" i="48"/>
  <c r="J24" i="48" s="1"/>
  <c r="H25" i="48"/>
  <c r="L25" i="48" s="1"/>
  <c r="I25" i="48"/>
  <c r="H9" i="48"/>
  <c r="L9" i="48" s="1"/>
  <c r="I9" i="48"/>
  <c r="H72" i="48"/>
  <c r="L72" i="48" s="1"/>
  <c r="I72" i="48"/>
  <c r="H73" i="48"/>
  <c r="L73" i="48" s="1"/>
  <c r="I73" i="48"/>
  <c r="H74" i="48"/>
  <c r="L74" i="48" s="1"/>
  <c r="I74" i="48"/>
  <c r="H75" i="48"/>
  <c r="L75" i="48" s="1"/>
  <c r="I75" i="48"/>
  <c r="H76" i="48"/>
  <c r="L76" i="48" s="1"/>
  <c r="I76" i="48"/>
  <c r="F36" i="60"/>
  <c r="F118" i="61"/>
  <c r="M115" i="61"/>
  <c r="I115" i="61"/>
  <c r="J115" i="61" s="1"/>
  <c r="H115" i="61"/>
  <c r="L115" i="61" s="1"/>
  <c r="R117" i="61"/>
  <c r="P117" i="61"/>
  <c r="Q117" i="61" s="1"/>
  <c r="O117" i="61"/>
  <c r="M117" i="61"/>
  <c r="I117" i="61"/>
  <c r="J117" i="61" s="1"/>
  <c r="H117" i="61"/>
  <c r="L117" i="61" s="1"/>
  <c r="R116" i="61"/>
  <c r="P116" i="61"/>
  <c r="Q116" i="61" s="1"/>
  <c r="O116" i="61"/>
  <c r="M116" i="61"/>
  <c r="I116" i="61"/>
  <c r="J116" i="61" s="1"/>
  <c r="H116" i="61"/>
  <c r="L116" i="61" s="1"/>
  <c r="R114" i="61"/>
  <c r="P114" i="61"/>
  <c r="Q114" i="61" s="1"/>
  <c r="O114" i="61"/>
  <c r="M114" i="61"/>
  <c r="I114" i="61"/>
  <c r="J114" i="61" s="1"/>
  <c r="H114" i="61"/>
  <c r="L114" i="61" s="1"/>
  <c r="R110" i="61"/>
  <c r="P110" i="61"/>
  <c r="Q110" i="61" s="1"/>
  <c r="O110" i="61"/>
  <c r="M110" i="61"/>
  <c r="I110" i="61"/>
  <c r="J110" i="61" s="1"/>
  <c r="H110" i="61"/>
  <c r="L110" i="61" s="1"/>
  <c r="R113" i="61"/>
  <c r="P113" i="61"/>
  <c r="Q113" i="61" s="1"/>
  <c r="O113" i="61"/>
  <c r="M113" i="61"/>
  <c r="I113" i="61"/>
  <c r="J113" i="61" s="1"/>
  <c r="H113" i="61"/>
  <c r="L113" i="61" s="1"/>
  <c r="R112" i="61"/>
  <c r="P112" i="61"/>
  <c r="Q112" i="61" s="1"/>
  <c r="O112" i="61"/>
  <c r="M112" i="61"/>
  <c r="I112" i="61"/>
  <c r="J112" i="61" s="1"/>
  <c r="H112" i="61"/>
  <c r="L112" i="61" s="1"/>
  <c r="R111" i="61"/>
  <c r="P111" i="61"/>
  <c r="Q111" i="61" s="1"/>
  <c r="O111" i="61"/>
  <c r="M111" i="61"/>
  <c r="I111" i="61"/>
  <c r="J111" i="61" s="1"/>
  <c r="H111" i="61"/>
  <c r="L111" i="61" s="1"/>
  <c r="R109" i="61"/>
  <c r="V109" i="61" s="1"/>
  <c r="P109" i="61"/>
  <c r="Q109" i="61" s="1"/>
  <c r="O109" i="61"/>
  <c r="M109" i="61"/>
  <c r="I109" i="61"/>
  <c r="J109" i="61" s="1"/>
  <c r="H109" i="61"/>
  <c r="L109" i="61" s="1"/>
  <c r="R108" i="61"/>
  <c r="V108" i="61" s="1"/>
  <c r="P108" i="61"/>
  <c r="Q108" i="61" s="1"/>
  <c r="O108" i="61"/>
  <c r="M108" i="61"/>
  <c r="I108" i="61"/>
  <c r="J108" i="61" s="1"/>
  <c r="H108" i="61"/>
  <c r="L108" i="61" s="1"/>
  <c r="R107" i="61"/>
  <c r="P107" i="61"/>
  <c r="Q107" i="61" s="1"/>
  <c r="O107" i="61"/>
  <c r="M107" i="61"/>
  <c r="I107" i="61"/>
  <c r="J107" i="61" s="1"/>
  <c r="H107" i="61"/>
  <c r="L107" i="61" s="1"/>
  <c r="R106" i="61"/>
  <c r="P106" i="61"/>
  <c r="Q106" i="61" s="1"/>
  <c r="O106" i="61"/>
  <c r="M106" i="61"/>
  <c r="I106" i="61"/>
  <c r="H106" i="61"/>
  <c r="L106" i="61" s="1"/>
  <c r="R105" i="61"/>
  <c r="V105" i="61" s="1"/>
  <c r="P105" i="61"/>
  <c r="Q105" i="61" s="1"/>
  <c r="O105" i="61"/>
  <c r="M105" i="61"/>
  <c r="I105" i="61"/>
  <c r="J105" i="61" s="1"/>
  <c r="H105" i="61"/>
  <c r="L105" i="61" s="1"/>
  <c r="R104" i="61"/>
  <c r="P104" i="61"/>
  <c r="Q104" i="61" s="1"/>
  <c r="O104" i="61"/>
  <c r="M104" i="61"/>
  <c r="I104" i="61"/>
  <c r="J104" i="61" s="1"/>
  <c r="H104" i="61"/>
  <c r="L104" i="61" s="1"/>
  <c r="R102" i="61"/>
  <c r="P102" i="61"/>
  <c r="Q102" i="61" s="1"/>
  <c r="O102" i="61"/>
  <c r="M102" i="61"/>
  <c r="I102" i="61"/>
  <c r="J102" i="61" s="1"/>
  <c r="H102" i="61"/>
  <c r="L102" i="61" s="1"/>
  <c r="R101" i="61"/>
  <c r="V101" i="61" s="1"/>
  <c r="P101" i="61"/>
  <c r="Q101" i="61" s="1"/>
  <c r="O101" i="61"/>
  <c r="M101" i="61"/>
  <c r="I101" i="61"/>
  <c r="J101" i="61" s="1"/>
  <c r="H101" i="61"/>
  <c r="L101" i="61" s="1"/>
  <c r="R100" i="61"/>
  <c r="P100" i="61"/>
  <c r="Q100" i="61" s="1"/>
  <c r="O100" i="61"/>
  <c r="M100" i="61"/>
  <c r="I100" i="61"/>
  <c r="J100" i="61" s="1"/>
  <c r="H100" i="61"/>
  <c r="L100" i="61" s="1"/>
  <c r="R99" i="61"/>
  <c r="P99" i="61"/>
  <c r="Q99" i="61" s="1"/>
  <c r="O99" i="61"/>
  <c r="M99" i="61"/>
  <c r="I99" i="61"/>
  <c r="J99" i="61" s="1"/>
  <c r="H99" i="61"/>
  <c r="L99" i="61" s="1"/>
  <c r="R98" i="61"/>
  <c r="V98" i="61" s="1"/>
  <c r="P98" i="61"/>
  <c r="Q98" i="61" s="1"/>
  <c r="O98" i="61"/>
  <c r="M98" i="61"/>
  <c r="I98" i="61"/>
  <c r="J98" i="61" s="1"/>
  <c r="H98" i="61"/>
  <c r="L98" i="61" s="1"/>
  <c r="R97" i="61"/>
  <c r="P97" i="61"/>
  <c r="Q97" i="61" s="1"/>
  <c r="O97" i="61"/>
  <c r="M97" i="61"/>
  <c r="I97" i="61"/>
  <c r="J97" i="61" s="1"/>
  <c r="H97" i="61"/>
  <c r="L97" i="61" s="1"/>
  <c r="R95" i="61"/>
  <c r="V95" i="61" s="1"/>
  <c r="P95" i="61"/>
  <c r="Q95" i="61" s="1"/>
  <c r="O95" i="61"/>
  <c r="M95" i="61"/>
  <c r="I95" i="61"/>
  <c r="J95" i="61" s="1"/>
  <c r="H95" i="61"/>
  <c r="L95" i="61" s="1"/>
  <c r="R94" i="61"/>
  <c r="V94" i="61" s="1"/>
  <c r="P94" i="61"/>
  <c r="Q94" i="61" s="1"/>
  <c r="O94" i="61"/>
  <c r="M94" i="61"/>
  <c r="I94" i="61"/>
  <c r="J94" i="61" s="1"/>
  <c r="H94" i="61"/>
  <c r="L94" i="61" s="1"/>
  <c r="R96" i="61"/>
  <c r="P96" i="61"/>
  <c r="Q96" i="61" s="1"/>
  <c r="O96" i="61"/>
  <c r="S96" i="61" s="1"/>
  <c r="M96" i="61"/>
  <c r="I96" i="61"/>
  <c r="H96" i="61"/>
  <c r="L96" i="61" s="1"/>
  <c r="R93" i="61"/>
  <c r="V93" i="61" s="1"/>
  <c r="P93" i="61"/>
  <c r="Q93" i="61" s="1"/>
  <c r="O93" i="61"/>
  <c r="M93" i="61"/>
  <c r="I93" i="61"/>
  <c r="J93" i="61" s="1"/>
  <c r="H93" i="61"/>
  <c r="L93" i="61" s="1"/>
  <c r="R92" i="61"/>
  <c r="V92" i="61" s="1"/>
  <c r="P92" i="61"/>
  <c r="Q92" i="61" s="1"/>
  <c r="O92" i="61"/>
  <c r="M92" i="61"/>
  <c r="I92" i="61"/>
  <c r="J92" i="61" s="1"/>
  <c r="H92" i="61"/>
  <c r="L92" i="61" s="1"/>
  <c r="R91" i="61"/>
  <c r="P91" i="61"/>
  <c r="Q91" i="61" s="1"/>
  <c r="O91" i="61"/>
  <c r="M91" i="61"/>
  <c r="I91" i="61"/>
  <c r="J91" i="61" s="1"/>
  <c r="H91" i="61"/>
  <c r="L91" i="61" s="1"/>
  <c r="R90" i="61"/>
  <c r="V90" i="61" s="1"/>
  <c r="P90" i="61"/>
  <c r="Q90" i="61" s="1"/>
  <c r="O90" i="61"/>
  <c r="M90" i="61"/>
  <c r="I90" i="61"/>
  <c r="J90" i="61" s="1"/>
  <c r="H90" i="61"/>
  <c r="L90" i="61" s="1"/>
  <c r="R89" i="61"/>
  <c r="V89" i="61" s="1"/>
  <c r="P89" i="61"/>
  <c r="Q89" i="61" s="1"/>
  <c r="O89" i="61"/>
  <c r="M89" i="61"/>
  <c r="I89" i="61"/>
  <c r="J89" i="61" s="1"/>
  <c r="H89" i="61"/>
  <c r="L89" i="61" s="1"/>
  <c r="R88" i="61"/>
  <c r="P88" i="61"/>
  <c r="Q88" i="61" s="1"/>
  <c r="O88" i="61"/>
  <c r="M88" i="61"/>
  <c r="I88" i="61"/>
  <c r="H88" i="61"/>
  <c r="L88" i="61" s="1"/>
  <c r="R85" i="61"/>
  <c r="V85" i="61" s="1"/>
  <c r="P85" i="61"/>
  <c r="Q85" i="61" s="1"/>
  <c r="O85" i="61"/>
  <c r="M85" i="61"/>
  <c r="I85" i="61"/>
  <c r="J85" i="61" s="1"/>
  <c r="H85" i="61"/>
  <c r="L85" i="61" s="1"/>
  <c r="R87" i="61"/>
  <c r="V87" i="61" s="1"/>
  <c r="P87" i="61"/>
  <c r="Q87" i="61" s="1"/>
  <c r="O87" i="61"/>
  <c r="M87" i="61"/>
  <c r="I87" i="61"/>
  <c r="J87" i="61" s="1"/>
  <c r="H87" i="61"/>
  <c r="L87" i="61" s="1"/>
  <c r="R86" i="61"/>
  <c r="V86" i="61" s="1"/>
  <c r="P86" i="61"/>
  <c r="Q86" i="61" s="1"/>
  <c r="O86" i="61"/>
  <c r="M86" i="61"/>
  <c r="I86" i="61"/>
  <c r="J86" i="61" s="1"/>
  <c r="H86" i="61"/>
  <c r="L86" i="61" s="1"/>
  <c r="R84" i="61"/>
  <c r="V84" i="61" s="1"/>
  <c r="P84" i="61"/>
  <c r="Q84" i="61" s="1"/>
  <c r="O84" i="61"/>
  <c r="M84" i="61"/>
  <c r="I84" i="61"/>
  <c r="J84" i="61" s="1"/>
  <c r="H84" i="61"/>
  <c r="L84" i="61" s="1"/>
  <c r="R83" i="61"/>
  <c r="V83" i="61" s="1"/>
  <c r="P83" i="61"/>
  <c r="Q83" i="61" s="1"/>
  <c r="O83" i="61"/>
  <c r="M83" i="61"/>
  <c r="I83" i="61"/>
  <c r="J83" i="61" s="1"/>
  <c r="H83" i="61"/>
  <c r="L83" i="61" s="1"/>
  <c r="R81" i="61"/>
  <c r="V81" i="61" s="1"/>
  <c r="P81" i="61"/>
  <c r="Q81" i="61" s="1"/>
  <c r="O81" i="61"/>
  <c r="M81" i="61"/>
  <c r="I81" i="61"/>
  <c r="J81" i="61" s="1"/>
  <c r="H81" i="61"/>
  <c r="L81" i="61" s="1"/>
  <c r="R82" i="61"/>
  <c r="P82" i="61"/>
  <c r="Q82" i="61" s="1"/>
  <c r="O82" i="61"/>
  <c r="M82" i="61"/>
  <c r="I82" i="61"/>
  <c r="J82" i="61" s="1"/>
  <c r="H82" i="61"/>
  <c r="L82" i="61" s="1"/>
  <c r="R80" i="61"/>
  <c r="P80" i="61"/>
  <c r="Q80" i="61" s="1"/>
  <c r="O80" i="61"/>
  <c r="M80" i="61"/>
  <c r="I80" i="61"/>
  <c r="J80" i="61" s="1"/>
  <c r="H80" i="61"/>
  <c r="L80" i="61" s="1"/>
  <c r="R79" i="61"/>
  <c r="P79" i="61"/>
  <c r="Q79" i="61" s="1"/>
  <c r="O79" i="61"/>
  <c r="M79" i="61"/>
  <c r="I79" i="61"/>
  <c r="J79" i="61" s="1"/>
  <c r="H79" i="61"/>
  <c r="L79" i="61" s="1"/>
  <c r="R77" i="61"/>
  <c r="P77" i="61"/>
  <c r="Q77" i="61" s="1"/>
  <c r="O77" i="61"/>
  <c r="M77" i="61"/>
  <c r="I77" i="61"/>
  <c r="J77" i="61" s="1"/>
  <c r="H77" i="61"/>
  <c r="L77" i="61" s="1"/>
  <c r="M76" i="61"/>
  <c r="R74" i="61"/>
  <c r="U74" i="61" s="1"/>
  <c r="P74" i="61"/>
  <c r="Q74" i="61" s="1"/>
  <c r="O74" i="61"/>
  <c r="M74" i="61"/>
  <c r="R75" i="61"/>
  <c r="P75" i="61"/>
  <c r="Q75" i="61" s="1"/>
  <c r="O75" i="61"/>
  <c r="M75" i="61"/>
  <c r="I75" i="61"/>
  <c r="J75" i="61" s="1"/>
  <c r="H75" i="61"/>
  <c r="L75" i="61" s="1"/>
  <c r="M70" i="61"/>
  <c r="M68" i="61"/>
  <c r="M66" i="61"/>
  <c r="M64" i="61"/>
  <c r="M62" i="61"/>
  <c r="M61" i="61"/>
  <c r="M58" i="61"/>
  <c r="M56" i="61"/>
  <c r="M54" i="61"/>
  <c r="M52" i="61"/>
  <c r="M50" i="61"/>
  <c r="M48" i="61"/>
  <c r="M46" i="61"/>
  <c r="M44" i="61"/>
  <c r="I44" i="61"/>
  <c r="J44" i="61" s="1"/>
  <c r="H44" i="61"/>
  <c r="L44" i="61" s="1"/>
  <c r="R42" i="61"/>
  <c r="P42" i="61"/>
  <c r="Q42" i="61" s="1"/>
  <c r="O42" i="61"/>
  <c r="M42" i="61"/>
  <c r="I42" i="61"/>
  <c r="J42" i="61" s="1"/>
  <c r="H42" i="61"/>
  <c r="L42" i="61" s="1"/>
  <c r="R43" i="61"/>
  <c r="P43" i="61"/>
  <c r="Q43" i="61" s="1"/>
  <c r="O43" i="61"/>
  <c r="M43" i="61"/>
  <c r="I43" i="61"/>
  <c r="J43" i="61" s="1"/>
  <c r="H43" i="61"/>
  <c r="L43" i="61" s="1"/>
  <c r="R41" i="61"/>
  <c r="V41" i="61" s="1"/>
  <c r="P41" i="61"/>
  <c r="Q41" i="61" s="1"/>
  <c r="O41" i="61"/>
  <c r="M41" i="61"/>
  <c r="I41" i="61"/>
  <c r="J41" i="61" s="1"/>
  <c r="H41" i="61"/>
  <c r="L41" i="61" s="1"/>
  <c r="R40" i="61"/>
  <c r="P40" i="61"/>
  <c r="Q40" i="61" s="1"/>
  <c r="O40" i="61"/>
  <c r="M40" i="61"/>
  <c r="I40" i="61"/>
  <c r="J40" i="61" s="1"/>
  <c r="H40" i="61"/>
  <c r="L40" i="61" s="1"/>
  <c r="R38" i="61"/>
  <c r="V38" i="61" s="1"/>
  <c r="P38" i="61"/>
  <c r="Q38" i="61" s="1"/>
  <c r="O38" i="61"/>
  <c r="M38" i="61"/>
  <c r="I38" i="61"/>
  <c r="J38" i="61" s="1"/>
  <c r="H38" i="61"/>
  <c r="L38" i="61" s="1"/>
  <c r="M36" i="61"/>
  <c r="M34" i="61"/>
  <c r="M32" i="61"/>
  <c r="M30" i="61"/>
  <c r="M28" i="61"/>
  <c r="M26" i="61"/>
  <c r="M24" i="61"/>
  <c r="M22" i="61"/>
  <c r="M20" i="61"/>
  <c r="M18" i="61"/>
  <c r="M16" i="61"/>
  <c r="M14" i="61"/>
  <c r="M12" i="61"/>
  <c r="R10" i="61"/>
  <c r="P10" i="61"/>
  <c r="Q10" i="61" s="1"/>
  <c r="O10" i="61"/>
  <c r="M10" i="61"/>
  <c r="AU9" i="61"/>
  <c r="AU10" i="61" s="1"/>
  <c r="AU11" i="61" s="1"/>
  <c r="AU12" i="61" s="1"/>
  <c r="AU13" i="61" s="1"/>
  <c r="AU14" i="61" s="1"/>
  <c r="AU15" i="61" s="1"/>
  <c r="AU16" i="61" s="1"/>
  <c r="AU17" i="61" s="1"/>
  <c r="AU18" i="61" s="1"/>
  <c r="AU19" i="61" s="1"/>
  <c r="AU20" i="61" s="1"/>
  <c r="AU21" i="61" s="1"/>
  <c r="AU22" i="61" s="1"/>
  <c r="AU23" i="61" s="1"/>
  <c r="AU24" i="61" s="1"/>
  <c r="AU25" i="61" s="1"/>
  <c r="AU26" i="61" s="1"/>
  <c r="AU27" i="61" s="1"/>
  <c r="AU28" i="61" s="1"/>
  <c r="AU29" i="61" s="1"/>
  <c r="AU30" i="61" s="1"/>
  <c r="AU31" i="61" s="1"/>
  <c r="AU32" i="61" s="1"/>
  <c r="AU33" i="61" s="1"/>
  <c r="AU34" i="61" s="1"/>
  <c r="AU35" i="61" s="1"/>
  <c r="AU36" i="61" s="1"/>
  <c r="AU37" i="61" s="1"/>
  <c r="AU38" i="61" s="1"/>
  <c r="AU39" i="61" s="1"/>
  <c r="AU40" i="61" s="1"/>
  <c r="AU41" i="61" s="1"/>
  <c r="AU42" i="61" s="1"/>
  <c r="AU43" i="61" s="1"/>
  <c r="AU44" i="61" s="1"/>
  <c r="AU45" i="61" s="1"/>
  <c r="AU46" i="61" s="1"/>
  <c r="AU47" i="61" s="1"/>
  <c r="AU48" i="61" s="1"/>
  <c r="AU49" i="61" s="1"/>
  <c r="AU50" i="61" s="1"/>
  <c r="AU51" i="61" s="1"/>
  <c r="AU52" i="61" s="1"/>
  <c r="AU53" i="61" s="1"/>
  <c r="AU54" i="61" s="1"/>
  <c r="AU55" i="61" s="1"/>
  <c r="AU56" i="61" s="1"/>
  <c r="AU57" i="61" s="1"/>
  <c r="AU58" i="61" s="1"/>
  <c r="AU59" i="61" s="1"/>
  <c r="AU60" i="61" s="1"/>
  <c r="AU61" i="61" s="1"/>
  <c r="AU62" i="61" s="1"/>
  <c r="AU63" i="61" s="1"/>
  <c r="AU64" i="61" s="1"/>
  <c r="AU65" i="61" s="1"/>
  <c r="AU66" i="61" s="1"/>
  <c r="AT9" i="61"/>
  <c r="AT10" i="61" s="1"/>
  <c r="AT11" i="61" s="1"/>
  <c r="AT12" i="61" s="1"/>
  <c r="AT13" i="61" s="1"/>
  <c r="AT14" i="61" s="1"/>
  <c r="AT15" i="61" s="1"/>
  <c r="AT16" i="61" s="1"/>
  <c r="AT17" i="61" s="1"/>
  <c r="AT18" i="61" s="1"/>
  <c r="AT19" i="61" s="1"/>
  <c r="AT20" i="61" s="1"/>
  <c r="AT21" i="61" s="1"/>
  <c r="AT22" i="61" s="1"/>
  <c r="AT23" i="61" s="1"/>
  <c r="AT24" i="61" s="1"/>
  <c r="AT25" i="61" s="1"/>
  <c r="AT26" i="61" s="1"/>
  <c r="AT27" i="61" s="1"/>
  <c r="AT28" i="61" s="1"/>
  <c r="AT29" i="61" s="1"/>
  <c r="AT30" i="61" s="1"/>
  <c r="AT31" i="61" s="1"/>
  <c r="AT32" i="61" s="1"/>
  <c r="AT33" i="61" s="1"/>
  <c r="AT34" i="61" s="1"/>
  <c r="AT35" i="61" s="1"/>
  <c r="AT36" i="61" s="1"/>
  <c r="AT37" i="61" s="1"/>
  <c r="AT38" i="61" s="1"/>
  <c r="AT39" i="61" s="1"/>
  <c r="AT40" i="61" s="1"/>
  <c r="AT41" i="61" s="1"/>
  <c r="AT42" i="61" s="1"/>
  <c r="AT43" i="61" s="1"/>
  <c r="AT44" i="61" s="1"/>
  <c r="AT45" i="61" s="1"/>
  <c r="AT46" i="61" s="1"/>
  <c r="AT47" i="61" s="1"/>
  <c r="AT48" i="61" s="1"/>
  <c r="AT49" i="61" s="1"/>
  <c r="AT50" i="61" s="1"/>
  <c r="AT51" i="61" s="1"/>
  <c r="AT52" i="61" s="1"/>
  <c r="AT53" i="61" s="1"/>
  <c r="AT54" i="61" s="1"/>
  <c r="AT55" i="61" s="1"/>
  <c r="AT56" i="61" s="1"/>
  <c r="AT57" i="61" s="1"/>
  <c r="AT58" i="61" s="1"/>
  <c r="AT59" i="61" s="1"/>
  <c r="AT60" i="61" s="1"/>
  <c r="AT61" i="61" s="1"/>
  <c r="AT62" i="61" s="1"/>
  <c r="AT63" i="61" s="1"/>
  <c r="AT64" i="61" s="1"/>
  <c r="AT65" i="61" s="1"/>
  <c r="AT66" i="61" s="1"/>
  <c r="AR9" i="61"/>
  <c r="AR10" i="61" s="1"/>
  <c r="AR11" i="61" s="1"/>
  <c r="AR12" i="61" s="1"/>
  <c r="AR13" i="61" s="1"/>
  <c r="AR14" i="61" s="1"/>
  <c r="AR15" i="61" s="1"/>
  <c r="AR16" i="61" s="1"/>
  <c r="AR17" i="61" s="1"/>
  <c r="AR18" i="61" s="1"/>
  <c r="AR19" i="61" s="1"/>
  <c r="AR20" i="61" s="1"/>
  <c r="AR21" i="61" s="1"/>
  <c r="AR22" i="61" s="1"/>
  <c r="AR23" i="61" s="1"/>
  <c r="AR24" i="61" s="1"/>
  <c r="AR25" i="61" s="1"/>
  <c r="AR26" i="61" s="1"/>
  <c r="AR27" i="61" s="1"/>
  <c r="AR28" i="61" s="1"/>
  <c r="AR29" i="61" s="1"/>
  <c r="AR30" i="61" s="1"/>
  <c r="AR31" i="61" s="1"/>
  <c r="AR32" i="61" s="1"/>
  <c r="AR33" i="61" s="1"/>
  <c r="AR34" i="61" s="1"/>
  <c r="AR35" i="61" s="1"/>
  <c r="AR36" i="61" s="1"/>
  <c r="AR37" i="61" s="1"/>
  <c r="AR38" i="61" s="1"/>
  <c r="AR39" i="61" s="1"/>
  <c r="AR40" i="61" s="1"/>
  <c r="AR41" i="61" s="1"/>
  <c r="AR42" i="61" s="1"/>
  <c r="AR43" i="61" s="1"/>
  <c r="AR44" i="61" s="1"/>
  <c r="AR45" i="61" s="1"/>
  <c r="AR46" i="61" s="1"/>
  <c r="AR47" i="61" s="1"/>
  <c r="AR48" i="61" s="1"/>
  <c r="AR49" i="61" s="1"/>
  <c r="AR50" i="61" s="1"/>
  <c r="AR51" i="61" s="1"/>
  <c r="AR52" i="61" s="1"/>
  <c r="AR53" i="61" s="1"/>
  <c r="AR54" i="61" s="1"/>
  <c r="AR55" i="61" s="1"/>
  <c r="AR56" i="61" s="1"/>
  <c r="AR57" i="61" s="1"/>
  <c r="AR58" i="61" s="1"/>
  <c r="AR59" i="61" s="1"/>
  <c r="AR60" i="61" s="1"/>
  <c r="AR61" i="61" s="1"/>
  <c r="AR62" i="61" s="1"/>
  <c r="AR63" i="61" s="1"/>
  <c r="AR64" i="61" s="1"/>
  <c r="AR65" i="61" s="1"/>
  <c r="AR66" i="61" s="1"/>
  <c r="AN9" i="61"/>
  <c r="AN10" i="61" s="1"/>
  <c r="AM9" i="61"/>
  <c r="AM10" i="61" s="1"/>
  <c r="AM11" i="61" s="1"/>
  <c r="AM12" i="61" s="1"/>
  <c r="AM13" i="61" s="1"/>
  <c r="AM14" i="61" s="1"/>
  <c r="AM15" i="61" s="1"/>
  <c r="AM16" i="61" s="1"/>
  <c r="AM17" i="61" s="1"/>
  <c r="AM18" i="61" s="1"/>
  <c r="AM19" i="61" s="1"/>
  <c r="AM20" i="61" s="1"/>
  <c r="AM21" i="61" s="1"/>
  <c r="AM22" i="61" s="1"/>
  <c r="AM23" i="61" s="1"/>
  <c r="AM24" i="61" s="1"/>
  <c r="AM25" i="61" s="1"/>
  <c r="AM26" i="61" s="1"/>
  <c r="AM27" i="61" s="1"/>
  <c r="AM28" i="61" s="1"/>
  <c r="AM29" i="61" s="1"/>
  <c r="AM30" i="61" s="1"/>
  <c r="AM31" i="61" s="1"/>
  <c r="AM32" i="61" s="1"/>
  <c r="AM33" i="61" s="1"/>
  <c r="AM34" i="61" s="1"/>
  <c r="AM35" i="61" s="1"/>
  <c r="AM36" i="61" s="1"/>
  <c r="AM37" i="61" s="1"/>
  <c r="AM38" i="61" s="1"/>
  <c r="AM39" i="61" s="1"/>
  <c r="AM40" i="61" s="1"/>
  <c r="AM41" i="61" s="1"/>
  <c r="AM42" i="61" s="1"/>
  <c r="AM43" i="61" s="1"/>
  <c r="AM44" i="61" s="1"/>
  <c r="AM45" i="61" s="1"/>
  <c r="AM46" i="61" s="1"/>
  <c r="AM47" i="61" s="1"/>
  <c r="AM48" i="61" s="1"/>
  <c r="AM49" i="61" s="1"/>
  <c r="AM50" i="61" s="1"/>
  <c r="AM51" i="61" s="1"/>
  <c r="AM52" i="61" s="1"/>
  <c r="AM53" i="61" s="1"/>
  <c r="AM54" i="61" s="1"/>
  <c r="AM55" i="61" s="1"/>
  <c r="AM56" i="61" s="1"/>
  <c r="AM57" i="61" s="1"/>
  <c r="AM58" i="61" s="1"/>
  <c r="AM59" i="61" s="1"/>
  <c r="AM60" i="61" s="1"/>
  <c r="AM61" i="61" s="1"/>
  <c r="AM62" i="61" s="1"/>
  <c r="AM63" i="61" s="1"/>
  <c r="AM64" i="61" s="1"/>
  <c r="AM65" i="61" s="1"/>
  <c r="AM66" i="61" s="1"/>
  <c r="AL9" i="61"/>
  <c r="AL10" i="61" s="1"/>
  <c r="AL11" i="61" s="1"/>
  <c r="AL12" i="61" s="1"/>
  <c r="AL13" i="61" s="1"/>
  <c r="AL14" i="61" s="1"/>
  <c r="AL15" i="61" s="1"/>
  <c r="AL16" i="61" s="1"/>
  <c r="AL17" i="61" s="1"/>
  <c r="AL18" i="61" s="1"/>
  <c r="AL19" i="61" s="1"/>
  <c r="AL20" i="61" s="1"/>
  <c r="AL21" i="61" s="1"/>
  <c r="AL22" i="61" s="1"/>
  <c r="AL23" i="61" s="1"/>
  <c r="AL24" i="61" s="1"/>
  <c r="AL25" i="61" s="1"/>
  <c r="AL26" i="61" s="1"/>
  <c r="AL27" i="61" s="1"/>
  <c r="AL28" i="61" s="1"/>
  <c r="AL29" i="61" s="1"/>
  <c r="AL30" i="61" s="1"/>
  <c r="AL31" i="61" s="1"/>
  <c r="AL32" i="61" s="1"/>
  <c r="AL33" i="61" s="1"/>
  <c r="AL34" i="61" s="1"/>
  <c r="AL35" i="61" s="1"/>
  <c r="AL36" i="61" s="1"/>
  <c r="AL37" i="61" s="1"/>
  <c r="AL38" i="61" s="1"/>
  <c r="AL39" i="61" s="1"/>
  <c r="AL40" i="61" s="1"/>
  <c r="AL41" i="61" s="1"/>
  <c r="AL42" i="61" s="1"/>
  <c r="AL43" i="61" s="1"/>
  <c r="AL44" i="61" s="1"/>
  <c r="AL45" i="61" s="1"/>
  <c r="AL46" i="61" s="1"/>
  <c r="AL47" i="61" s="1"/>
  <c r="AL48" i="61" s="1"/>
  <c r="AL49" i="61" s="1"/>
  <c r="AL50" i="61" s="1"/>
  <c r="AL51" i="61" s="1"/>
  <c r="AL52" i="61" s="1"/>
  <c r="AL53" i="61" s="1"/>
  <c r="AL54" i="61" s="1"/>
  <c r="AL55" i="61" s="1"/>
  <c r="AL56" i="61" s="1"/>
  <c r="AL57" i="61" s="1"/>
  <c r="AL58" i="61" s="1"/>
  <c r="AL59" i="61" s="1"/>
  <c r="AL60" i="61" s="1"/>
  <c r="AL61" i="61" s="1"/>
  <c r="AL62" i="61" s="1"/>
  <c r="AL63" i="61" s="1"/>
  <c r="AL64" i="61" s="1"/>
  <c r="AL65" i="61" s="1"/>
  <c r="AL66" i="61" s="1"/>
  <c r="AK9" i="61"/>
  <c r="AK10" i="61" s="1"/>
  <c r="AK11" i="61" s="1"/>
  <c r="AK12" i="61" s="1"/>
  <c r="AK13" i="61" s="1"/>
  <c r="AK14" i="61" s="1"/>
  <c r="AK15" i="61" s="1"/>
  <c r="AK16" i="61" s="1"/>
  <c r="AK17" i="61" s="1"/>
  <c r="AK18" i="61" s="1"/>
  <c r="AK19" i="61" s="1"/>
  <c r="AK20" i="61" s="1"/>
  <c r="AK21" i="61" s="1"/>
  <c r="AK22" i="61" s="1"/>
  <c r="AK23" i="61" s="1"/>
  <c r="AK24" i="61" s="1"/>
  <c r="AK25" i="61" s="1"/>
  <c r="AK26" i="61" s="1"/>
  <c r="AK27" i="61" s="1"/>
  <c r="AK28" i="61" s="1"/>
  <c r="AK29" i="61" s="1"/>
  <c r="AK30" i="61" s="1"/>
  <c r="AK31" i="61" s="1"/>
  <c r="AK32" i="61" s="1"/>
  <c r="AK33" i="61" s="1"/>
  <c r="AK34" i="61" s="1"/>
  <c r="AK35" i="61" s="1"/>
  <c r="AK36" i="61" s="1"/>
  <c r="AK37" i="61" s="1"/>
  <c r="AK38" i="61" s="1"/>
  <c r="AK39" i="61" s="1"/>
  <c r="AK40" i="61" s="1"/>
  <c r="AK41" i="61" s="1"/>
  <c r="AK42" i="61" s="1"/>
  <c r="AK43" i="61" s="1"/>
  <c r="AK44" i="61" s="1"/>
  <c r="AK45" i="61" s="1"/>
  <c r="AK46" i="61" s="1"/>
  <c r="AK47" i="61" s="1"/>
  <c r="AK48" i="61" s="1"/>
  <c r="AK49" i="61" s="1"/>
  <c r="AK50" i="61" s="1"/>
  <c r="AK51" i="61" s="1"/>
  <c r="AK52" i="61" s="1"/>
  <c r="AK53" i="61" s="1"/>
  <c r="AK54" i="61" s="1"/>
  <c r="AK55" i="61" s="1"/>
  <c r="AK56" i="61" s="1"/>
  <c r="AK57" i="61" s="1"/>
  <c r="AK58" i="61" s="1"/>
  <c r="AK59" i="61" s="1"/>
  <c r="AK60" i="61" s="1"/>
  <c r="AK61" i="61" s="1"/>
  <c r="AK62" i="61" s="1"/>
  <c r="AK63" i="61" s="1"/>
  <c r="AK64" i="61" s="1"/>
  <c r="AK65" i="61" s="1"/>
  <c r="AK66" i="61" s="1"/>
  <c r="AJ9" i="61"/>
  <c r="AJ10" i="61" s="1"/>
  <c r="AJ11" i="61" s="1"/>
  <c r="AJ12" i="61" s="1"/>
  <c r="AJ13" i="61" s="1"/>
  <c r="AJ14" i="61" s="1"/>
  <c r="AJ15" i="61" s="1"/>
  <c r="AJ16" i="61" s="1"/>
  <c r="AJ17" i="61" s="1"/>
  <c r="AJ18" i="61" s="1"/>
  <c r="AJ19" i="61" s="1"/>
  <c r="AJ20" i="61" s="1"/>
  <c r="AJ21" i="61" s="1"/>
  <c r="AJ22" i="61" s="1"/>
  <c r="AJ23" i="61" s="1"/>
  <c r="AJ24" i="61" s="1"/>
  <c r="AJ25" i="61" s="1"/>
  <c r="AJ26" i="61" s="1"/>
  <c r="AJ27" i="61" s="1"/>
  <c r="AJ28" i="61" s="1"/>
  <c r="AJ29" i="61" s="1"/>
  <c r="AJ30" i="61" s="1"/>
  <c r="AJ31" i="61" s="1"/>
  <c r="AJ32" i="61" s="1"/>
  <c r="AJ33" i="61" s="1"/>
  <c r="AJ34" i="61" s="1"/>
  <c r="AJ35" i="61" s="1"/>
  <c r="AJ36" i="61" s="1"/>
  <c r="AJ37" i="61" s="1"/>
  <c r="AJ38" i="61" s="1"/>
  <c r="AJ39" i="61" s="1"/>
  <c r="AJ40" i="61" s="1"/>
  <c r="AJ41" i="61" s="1"/>
  <c r="AJ42" i="61" s="1"/>
  <c r="AJ43" i="61" s="1"/>
  <c r="AJ44" i="61" s="1"/>
  <c r="AJ45" i="61" s="1"/>
  <c r="AJ46" i="61" s="1"/>
  <c r="AJ47" i="61" s="1"/>
  <c r="AJ48" i="61" s="1"/>
  <c r="AJ49" i="61" s="1"/>
  <c r="AJ50" i="61" s="1"/>
  <c r="AJ51" i="61" s="1"/>
  <c r="AJ52" i="61" s="1"/>
  <c r="AJ53" i="61" s="1"/>
  <c r="AJ54" i="61" s="1"/>
  <c r="AJ55" i="61" s="1"/>
  <c r="AJ56" i="61" s="1"/>
  <c r="AJ57" i="61" s="1"/>
  <c r="AJ58" i="61" s="1"/>
  <c r="AJ59" i="61" s="1"/>
  <c r="AJ60" i="61" s="1"/>
  <c r="AJ61" i="61" s="1"/>
  <c r="AJ62" i="61" s="1"/>
  <c r="AJ63" i="61" s="1"/>
  <c r="AJ64" i="61" s="1"/>
  <c r="AJ65" i="61" s="1"/>
  <c r="AJ66" i="61" s="1"/>
  <c r="R8" i="61"/>
  <c r="P8" i="61"/>
  <c r="Q8" i="61" s="1"/>
  <c r="O8" i="61"/>
  <c r="M8" i="61"/>
  <c r="R9" i="61"/>
  <c r="V9" i="61" s="1"/>
  <c r="M9" i="61"/>
  <c r="I9" i="61"/>
  <c r="J9" i="61" s="1"/>
  <c r="H9" i="61"/>
  <c r="L9" i="61" s="1"/>
  <c r="R35" i="60"/>
  <c r="P35" i="60"/>
  <c r="Q35" i="60" s="1"/>
  <c r="O35" i="60"/>
  <c r="M35" i="60"/>
  <c r="I35" i="60"/>
  <c r="J35" i="60" s="1"/>
  <c r="H35" i="60"/>
  <c r="L35" i="60" s="1"/>
  <c r="R34" i="60"/>
  <c r="P34" i="60"/>
  <c r="Q34" i="60" s="1"/>
  <c r="O34" i="60"/>
  <c r="M34" i="60"/>
  <c r="I34" i="60"/>
  <c r="J34" i="60" s="1"/>
  <c r="H34" i="60"/>
  <c r="L34" i="60" s="1"/>
  <c r="R33" i="60"/>
  <c r="V33" i="60" s="1"/>
  <c r="P33" i="60"/>
  <c r="Q33" i="60" s="1"/>
  <c r="O33" i="60"/>
  <c r="M33" i="60"/>
  <c r="I33" i="60"/>
  <c r="J33" i="60" s="1"/>
  <c r="H33" i="60"/>
  <c r="L33" i="60" s="1"/>
  <c r="R32" i="60"/>
  <c r="P32" i="60"/>
  <c r="Q32" i="60" s="1"/>
  <c r="O32" i="60"/>
  <c r="M32" i="60"/>
  <c r="I32" i="60"/>
  <c r="J32" i="60" s="1"/>
  <c r="H32" i="60"/>
  <c r="L32" i="60" s="1"/>
  <c r="R31" i="60"/>
  <c r="P31" i="60"/>
  <c r="Q31" i="60" s="1"/>
  <c r="O31" i="60"/>
  <c r="M31" i="60"/>
  <c r="I31" i="60"/>
  <c r="J31" i="60" s="1"/>
  <c r="H31" i="60"/>
  <c r="L31" i="60" s="1"/>
  <c r="R29" i="60"/>
  <c r="P29" i="60"/>
  <c r="Q29" i="60" s="1"/>
  <c r="O29" i="60"/>
  <c r="M29" i="60"/>
  <c r="I29" i="60"/>
  <c r="J29" i="60" s="1"/>
  <c r="H29" i="60"/>
  <c r="L29" i="60" s="1"/>
  <c r="R26" i="60"/>
  <c r="P26" i="60"/>
  <c r="Q26" i="60" s="1"/>
  <c r="O26" i="60"/>
  <c r="M26" i="60"/>
  <c r="I26" i="60"/>
  <c r="J26" i="60" s="1"/>
  <c r="H26" i="60"/>
  <c r="L26" i="60" s="1"/>
  <c r="R25" i="60"/>
  <c r="P25" i="60"/>
  <c r="Q25" i="60" s="1"/>
  <c r="O25" i="60"/>
  <c r="M25" i="60"/>
  <c r="I25" i="60"/>
  <c r="J25" i="60" s="1"/>
  <c r="H25" i="60"/>
  <c r="L25" i="60" s="1"/>
  <c r="R23" i="60"/>
  <c r="V23" i="60" s="1"/>
  <c r="P23" i="60"/>
  <c r="Q23" i="60" s="1"/>
  <c r="O23" i="60"/>
  <c r="M23" i="60"/>
  <c r="I23" i="60"/>
  <c r="J23" i="60" s="1"/>
  <c r="H23" i="60"/>
  <c r="L23" i="60" s="1"/>
  <c r="R22" i="60"/>
  <c r="P22" i="60"/>
  <c r="Q22" i="60" s="1"/>
  <c r="O22" i="60"/>
  <c r="M22" i="60"/>
  <c r="I22" i="60"/>
  <c r="J22" i="60" s="1"/>
  <c r="H22" i="60"/>
  <c r="L22" i="60" s="1"/>
  <c r="R21" i="60"/>
  <c r="P21" i="60"/>
  <c r="Q21" i="60" s="1"/>
  <c r="O21" i="60"/>
  <c r="M21" i="60"/>
  <c r="I21" i="60"/>
  <c r="J21" i="60" s="1"/>
  <c r="H21" i="60"/>
  <c r="L21" i="60" s="1"/>
  <c r="R20" i="60"/>
  <c r="P20" i="60"/>
  <c r="Q20" i="60" s="1"/>
  <c r="O20" i="60"/>
  <c r="M20" i="60"/>
  <c r="I20" i="60"/>
  <c r="J20" i="60" s="1"/>
  <c r="H20" i="60"/>
  <c r="L20" i="60" s="1"/>
  <c r="R19" i="60"/>
  <c r="P19" i="60"/>
  <c r="Q19" i="60" s="1"/>
  <c r="O19" i="60"/>
  <c r="M19" i="60"/>
  <c r="I19" i="60"/>
  <c r="J19" i="60" s="1"/>
  <c r="H19" i="60"/>
  <c r="L19" i="60" s="1"/>
  <c r="R18" i="60"/>
  <c r="V18" i="60" s="1"/>
  <c r="P18" i="60"/>
  <c r="Q18" i="60" s="1"/>
  <c r="O18" i="60"/>
  <c r="M18" i="60"/>
  <c r="I18" i="60"/>
  <c r="J18" i="60" s="1"/>
  <c r="H18" i="60"/>
  <c r="L18" i="60" s="1"/>
  <c r="R15" i="60"/>
  <c r="P15" i="60"/>
  <c r="Q15" i="60" s="1"/>
  <c r="O15" i="60"/>
  <c r="M15" i="60"/>
  <c r="I15" i="60"/>
  <c r="J15" i="60" s="1"/>
  <c r="H15" i="60"/>
  <c r="L15" i="60" s="1"/>
  <c r="R14" i="60"/>
  <c r="V14" i="60" s="1"/>
  <c r="P14" i="60"/>
  <c r="Q14" i="60" s="1"/>
  <c r="O14" i="60"/>
  <c r="M14" i="60"/>
  <c r="I14" i="60"/>
  <c r="J14" i="60" s="1"/>
  <c r="H14" i="60"/>
  <c r="L14" i="60" s="1"/>
  <c r="R13" i="60"/>
  <c r="P13" i="60"/>
  <c r="Q13" i="60" s="1"/>
  <c r="O13" i="60"/>
  <c r="M13" i="60"/>
  <c r="I13" i="60"/>
  <c r="J13" i="60" s="1"/>
  <c r="H13" i="60"/>
  <c r="L13" i="60" s="1"/>
  <c r="R12" i="60"/>
  <c r="P12" i="60"/>
  <c r="Q12" i="60" s="1"/>
  <c r="O12" i="60"/>
  <c r="M12" i="60"/>
  <c r="I12" i="60"/>
  <c r="J12" i="60" s="1"/>
  <c r="H12" i="60"/>
  <c r="L12" i="60" s="1"/>
  <c r="R11" i="60"/>
  <c r="P11" i="60"/>
  <c r="Q11" i="60" s="1"/>
  <c r="O11" i="60"/>
  <c r="M11" i="60"/>
  <c r="I11" i="60"/>
  <c r="J11" i="60" s="1"/>
  <c r="H11" i="60"/>
  <c r="L11" i="60" s="1"/>
  <c r="AU9" i="60"/>
  <c r="AU10" i="60" s="1"/>
  <c r="AU11" i="60" s="1"/>
  <c r="AU12" i="60" s="1"/>
  <c r="AU13" i="60" s="1"/>
  <c r="AU14" i="60" s="1"/>
  <c r="AU15" i="60" s="1"/>
  <c r="AU16" i="60" s="1"/>
  <c r="AU17" i="60" s="1"/>
  <c r="AU18" i="60" s="1"/>
  <c r="AU19" i="60" s="1"/>
  <c r="AU20" i="60" s="1"/>
  <c r="AU21" i="60" s="1"/>
  <c r="AU22" i="60" s="1"/>
  <c r="AU23" i="60" s="1"/>
  <c r="AU24" i="60" s="1"/>
  <c r="AT9" i="60"/>
  <c r="AT10" i="60" s="1"/>
  <c r="AT11" i="60" s="1"/>
  <c r="AT12" i="60" s="1"/>
  <c r="AT13" i="60" s="1"/>
  <c r="AT14" i="60" s="1"/>
  <c r="AT15" i="60" s="1"/>
  <c r="AT16" i="60" s="1"/>
  <c r="AT17" i="60" s="1"/>
  <c r="AT18" i="60" s="1"/>
  <c r="AT19" i="60" s="1"/>
  <c r="AT20" i="60" s="1"/>
  <c r="AT21" i="60" s="1"/>
  <c r="AT22" i="60" s="1"/>
  <c r="AT23" i="60" s="1"/>
  <c r="AT24" i="60" s="1"/>
  <c r="AR9" i="60"/>
  <c r="AR10" i="60" s="1"/>
  <c r="AR11" i="60" s="1"/>
  <c r="AR12" i="60" s="1"/>
  <c r="AR13" i="60" s="1"/>
  <c r="AR14" i="60" s="1"/>
  <c r="AR15" i="60" s="1"/>
  <c r="AR16" i="60" s="1"/>
  <c r="AR17" i="60" s="1"/>
  <c r="AR18" i="60" s="1"/>
  <c r="AR19" i="60" s="1"/>
  <c r="AR20" i="60" s="1"/>
  <c r="AR21" i="60" s="1"/>
  <c r="AR22" i="60" s="1"/>
  <c r="AR23" i="60" s="1"/>
  <c r="AR24" i="60" s="1"/>
  <c r="AN9" i="60"/>
  <c r="AN10" i="60" s="1"/>
  <c r="AM9" i="60"/>
  <c r="AM10" i="60" s="1"/>
  <c r="AM11" i="60" s="1"/>
  <c r="AM12" i="60" s="1"/>
  <c r="AM13" i="60" s="1"/>
  <c r="AM14" i="60" s="1"/>
  <c r="AM15" i="60" s="1"/>
  <c r="AM16" i="60" s="1"/>
  <c r="AM17" i="60" s="1"/>
  <c r="AM18" i="60" s="1"/>
  <c r="AM19" i="60" s="1"/>
  <c r="AM20" i="60" s="1"/>
  <c r="AM21" i="60" s="1"/>
  <c r="AM22" i="60" s="1"/>
  <c r="AM23" i="60" s="1"/>
  <c r="AM24" i="60" s="1"/>
  <c r="AL9" i="60"/>
  <c r="AL10" i="60" s="1"/>
  <c r="AL11" i="60" s="1"/>
  <c r="AL12" i="60" s="1"/>
  <c r="AL13" i="60" s="1"/>
  <c r="AL14" i="60" s="1"/>
  <c r="AL15" i="60" s="1"/>
  <c r="AL16" i="60" s="1"/>
  <c r="AL17" i="60" s="1"/>
  <c r="AL18" i="60" s="1"/>
  <c r="AL19" i="60" s="1"/>
  <c r="AL20" i="60" s="1"/>
  <c r="AL21" i="60" s="1"/>
  <c r="AL22" i="60" s="1"/>
  <c r="AL23" i="60" s="1"/>
  <c r="AL24" i="60" s="1"/>
  <c r="AK9" i="60"/>
  <c r="AK10" i="60" s="1"/>
  <c r="AK11" i="60" s="1"/>
  <c r="AK12" i="60" s="1"/>
  <c r="AK13" i="60" s="1"/>
  <c r="AK14" i="60" s="1"/>
  <c r="AK15" i="60" s="1"/>
  <c r="AK16" i="60" s="1"/>
  <c r="AK17" i="60" s="1"/>
  <c r="AK18" i="60" s="1"/>
  <c r="AK19" i="60" s="1"/>
  <c r="AK20" i="60" s="1"/>
  <c r="AK21" i="60" s="1"/>
  <c r="AK22" i="60" s="1"/>
  <c r="AK23" i="60" s="1"/>
  <c r="AK24" i="60" s="1"/>
  <c r="AJ9" i="60"/>
  <c r="AJ10" i="60" s="1"/>
  <c r="AJ11" i="60" s="1"/>
  <c r="AJ12" i="60" s="1"/>
  <c r="AJ13" i="60" s="1"/>
  <c r="AJ14" i="60" s="1"/>
  <c r="AJ15" i="60" s="1"/>
  <c r="AJ16" i="60" s="1"/>
  <c r="AJ17" i="60" s="1"/>
  <c r="AJ18" i="60" s="1"/>
  <c r="AJ19" i="60" s="1"/>
  <c r="AJ20" i="60" s="1"/>
  <c r="AJ21" i="60" s="1"/>
  <c r="AJ22" i="60" s="1"/>
  <c r="AJ23" i="60" s="1"/>
  <c r="AJ24" i="60" s="1"/>
  <c r="R9" i="60"/>
  <c r="P9" i="60"/>
  <c r="Q9" i="60" s="1"/>
  <c r="Z9" i="60" s="1"/>
  <c r="O9" i="60"/>
  <c r="M9" i="60"/>
  <c r="I9" i="60"/>
  <c r="J9" i="60" s="1"/>
  <c r="H9" i="60"/>
  <c r="L9" i="60" s="1"/>
  <c r="R8" i="60"/>
  <c r="V8" i="60" s="1"/>
  <c r="P8" i="60"/>
  <c r="Q8" i="60" s="1"/>
  <c r="Z8" i="60" s="1"/>
  <c r="O8" i="60"/>
  <c r="M8" i="60"/>
  <c r="I8" i="60"/>
  <c r="J8" i="60" s="1"/>
  <c r="H8" i="60"/>
  <c r="L8" i="60" s="1"/>
  <c r="R115" i="59"/>
  <c r="U115" i="59" s="1"/>
  <c r="P115" i="59"/>
  <c r="Q115" i="59" s="1"/>
  <c r="O115" i="59"/>
  <c r="M115" i="59"/>
  <c r="I115" i="59"/>
  <c r="H115" i="59"/>
  <c r="L115" i="59" s="1"/>
  <c r="R113" i="59"/>
  <c r="U113" i="59" s="1"/>
  <c r="P113" i="59"/>
  <c r="Q113" i="59" s="1"/>
  <c r="O113" i="59"/>
  <c r="M113" i="59"/>
  <c r="I113" i="59"/>
  <c r="H113" i="59"/>
  <c r="L113" i="59" s="1"/>
  <c r="M24" i="59"/>
  <c r="M22" i="59"/>
  <c r="R20" i="59"/>
  <c r="V20" i="59" s="1"/>
  <c r="P20" i="59"/>
  <c r="Q20" i="59" s="1"/>
  <c r="O20" i="59"/>
  <c r="M20" i="59"/>
  <c r="M18" i="59"/>
  <c r="R112" i="59"/>
  <c r="P112" i="59"/>
  <c r="Q112" i="59" s="1"/>
  <c r="O112" i="59"/>
  <c r="M112" i="59"/>
  <c r="I112" i="59"/>
  <c r="J112" i="59" s="1"/>
  <c r="H112" i="59"/>
  <c r="L112" i="59" s="1"/>
  <c r="R110" i="59"/>
  <c r="V110" i="59" s="1"/>
  <c r="P110" i="59"/>
  <c r="Q110" i="59" s="1"/>
  <c r="O110" i="59"/>
  <c r="M110" i="59"/>
  <c r="I110" i="59"/>
  <c r="J110" i="59" s="1"/>
  <c r="H110" i="59"/>
  <c r="L110" i="59" s="1"/>
  <c r="R111" i="59"/>
  <c r="P111" i="59"/>
  <c r="Q111" i="59" s="1"/>
  <c r="O111" i="59"/>
  <c r="M111" i="59"/>
  <c r="I111" i="59"/>
  <c r="J111" i="59" s="1"/>
  <c r="H111" i="59"/>
  <c r="L111" i="59" s="1"/>
  <c r="R109" i="59"/>
  <c r="V109" i="59" s="1"/>
  <c r="P109" i="59"/>
  <c r="Q109" i="59" s="1"/>
  <c r="O109" i="59"/>
  <c r="M109" i="59"/>
  <c r="I109" i="59"/>
  <c r="J109" i="59" s="1"/>
  <c r="H109" i="59"/>
  <c r="L109" i="59" s="1"/>
  <c r="R108" i="59"/>
  <c r="P108" i="59"/>
  <c r="Q108" i="59" s="1"/>
  <c r="O108" i="59"/>
  <c r="M108" i="59"/>
  <c r="I108" i="59"/>
  <c r="J108" i="59" s="1"/>
  <c r="H108" i="59"/>
  <c r="L108" i="59" s="1"/>
  <c r="R107" i="59"/>
  <c r="V107" i="59" s="1"/>
  <c r="P107" i="59"/>
  <c r="Q107" i="59" s="1"/>
  <c r="O107" i="59"/>
  <c r="M107" i="59"/>
  <c r="I107" i="59"/>
  <c r="J107" i="59" s="1"/>
  <c r="H107" i="59"/>
  <c r="L107" i="59" s="1"/>
  <c r="R106" i="59"/>
  <c r="P106" i="59"/>
  <c r="Q106" i="59" s="1"/>
  <c r="O106" i="59"/>
  <c r="M106" i="59"/>
  <c r="I106" i="59"/>
  <c r="H106" i="59"/>
  <c r="L106" i="59" s="1"/>
  <c r="R105" i="59"/>
  <c r="P105" i="59"/>
  <c r="Q105" i="59" s="1"/>
  <c r="O105" i="59"/>
  <c r="M105" i="59"/>
  <c r="I105" i="59"/>
  <c r="J105" i="59" s="1"/>
  <c r="H105" i="59"/>
  <c r="L105" i="59" s="1"/>
  <c r="R104" i="59"/>
  <c r="V104" i="59" s="1"/>
  <c r="P104" i="59"/>
  <c r="Q104" i="59" s="1"/>
  <c r="O104" i="59"/>
  <c r="M104" i="59"/>
  <c r="I104" i="59"/>
  <c r="J104" i="59" s="1"/>
  <c r="H104" i="59"/>
  <c r="L104" i="59" s="1"/>
  <c r="R103" i="59"/>
  <c r="P103" i="59"/>
  <c r="Q103" i="59" s="1"/>
  <c r="O103" i="59"/>
  <c r="M103" i="59"/>
  <c r="I103" i="59"/>
  <c r="J103" i="59" s="1"/>
  <c r="H103" i="59"/>
  <c r="L103" i="59" s="1"/>
  <c r="R102" i="59"/>
  <c r="P102" i="59"/>
  <c r="Q102" i="59" s="1"/>
  <c r="O102" i="59"/>
  <c r="M102" i="59"/>
  <c r="I102" i="59"/>
  <c r="J102" i="59" s="1"/>
  <c r="H102" i="59"/>
  <c r="L102" i="59" s="1"/>
  <c r="R100" i="59"/>
  <c r="P100" i="59"/>
  <c r="Q100" i="59" s="1"/>
  <c r="O100" i="59"/>
  <c r="M100" i="59"/>
  <c r="I100" i="59"/>
  <c r="J100" i="59" s="1"/>
  <c r="H100" i="59"/>
  <c r="L100" i="59" s="1"/>
  <c r="M16" i="59"/>
  <c r="R99" i="59"/>
  <c r="V99" i="59" s="1"/>
  <c r="P99" i="59"/>
  <c r="Q99" i="59" s="1"/>
  <c r="O99" i="59"/>
  <c r="M99" i="59"/>
  <c r="I99" i="59"/>
  <c r="J99" i="59" s="1"/>
  <c r="H99" i="59"/>
  <c r="L99" i="59" s="1"/>
  <c r="R98" i="59"/>
  <c r="V98" i="59" s="1"/>
  <c r="P98" i="59"/>
  <c r="Q98" i="59" s="1"/>
  <c r="O98" i="59"/>
  <c r="M98" i="59"/>
  <c r="I98" i="59"/>
  <c r="J98" i="59" s="1"/>
  <c r="H98" i="59"/>
  <c r="L98" i="59" s="1"/>
  <c r="R97" i="59"/>
  <c r="P97" i="59"/>
  <c r="Q97" i="59" s="1"/>
  <c r="O97" i="59"/>
  <c r="M97" i="59"/>
  <c r="I97" i="59"/>
  <c r="J97" i="59" s="1"/>
  <c r="H97" i="59"/>
  <c r="L97" i="59" s="1"/>
  <c r="R96" i="59"/>
  <c r="P96" i="59"/>
  <c r="Q96" i="59" s="1"/>
  <c r="O96" i="59"/>
  <c r="M96" i="59"/>
  <c r="I96" i="59"/>
  <c r="J96" i="59" s="1"/>
  <c r="H96" i="59"/>
  <c r="L96" i="59" s="1"/>
  <c r="M95" i="59"/>
  <c r="I95" i="59"/>
  <c r="J95" i="59" s="1"/>
  <c r="H95" i="59"/>
  <c r="L95" i="59" s="1"/>
  <c r="M94" i="59"/>
  <c r="I94" i="59"/>
  <c r="J94" i="59" s="1"/>
  <c r="H94" i="59"/>
  <c r="L94" i="59" s="1"/>
  <c r="M93" i="59"/>
  <c r="I93" i="59"/>
  <c r="J93" i="59" s="1"/>
  <c r="H93" i="59"/>
  <c r="L93" i="59" s="1"/>
  <c r="M92" i="59"/>
  <c r="I92" i="59"/>
  <c r="J92" i="59" s="1"/>
  <c r="H92" i="59"/>
  <c r="L92" i="59" s="1"/>
  <c r="M90" i="59"/>
  <c r="I90" i="59"/>
  <c r="J90" i="59" s="1"/>
  <c r="H90" i="59"/>
  <c r="L90" i="59" s="1"/>
  <c r="M89" i="59"/>
  <c r="I89" i="59"/>
  <c r="J89" i="59" s="1"/>
  <c r="H89" i="59"/>
  <c r="L89" i="59" s="1"/>
  <c r="M88" i="59"/>
  <c r="I88" i="59"/>
  <c r="J88" i="59" s="1"/>
  <c r="H88" i="59"/>
  <c r="L88" i="59" s="1"/>
  <c r="M87" i="59"/>
  <c r="I87" i="59"/>
  <c r="J87" i="59" s="1"/>
  <c r="H87" i="59"/>
  <c r="L87" i="59" s="1"/>
  <c r="M86" i="59"/>
  <c r="I86" i="59"/>
  <c r="H86" i="59"/>
  <c r="L86" i="59" s="1"/>
  <c r="M85" i="59"/>
  <c r="I85" i="59"/>
  <c r="J85" i="59" s="1"/>
  <c r="H85" i="59"/>
  <c r="L85" i="59" s="1"/>
  <c r="M84" i="59"/>
  <c r="I84" i="59"/>
  <c r="J84" i="59" s="1"/>
  <c r="H84" i="59"/>
  <c r="L84" i="59" s="1"/>
  <c r="M83" i="59"/>
  <c r="I83" i="59"/>
  <c r="J83" i="59" s="1"/>
  <c r="H83" i="59"/>
  <c r="L83" i="59" s="1"/>
  <c r="M82" i="59"/>
  <c r="I82" i="59"/>
  <c r="J82" i="59" s="1"/>
  <c r="H82" i="59"/>
  <c r="L82" i="59" s="1"/>
  <c r="M81" i="59"/>
  <c r="I81" i="59"/>
  <c r="J81" i="59" s="1"/>
  <c r="H81" i="59"/>
  <c r="L81" i="59" s="1"/>
  <c r="M79" i="59"/>
  <c r="I79" i="59"/>
  <c r="J79" i="59" s="1"/>
  <c r="H79" i="59"/>
  <c r="L79" i="59" s="1"/>
  <c r="M80" i="59"/>
  <c r="I80" i="59"/>
  <c r="J80" i="59" s="1"/>
  <c r="H80" i="59"/>
  <c r="L80" i="59" s="1"/>
  <c r="M77" i="59"/>
  <c r="I77" i="59"/>
  <c r="J77" i="59" s="1"/>
  <c r="H77" i="59"/>
  <c r="L77" i="59" s="1"/>
  <c r="M78" i="59"/>
  <c r="I78" i="59"/>
  <c r="J78" i="59" s="1"/>
  <c r="H78" i="59"/>
  <c r="L78" i="59" s="1"/>
  <c r="M75" i="59"/>
  <c r="I75" i="59"/>
  <c r="J75" i="59" s="1"/>
  <c r="H75" i="59"/>
  <c r="L75" i="59" s="1"/>
  <c r="M76" i="59"/>
  <c r="I76" i="59"/>
  <c r="J76" i="59" s="1"/>
  <c r="H76" i="59"/>
  <c r="L76" i="59" s="1"/>
  <c r="M73" i="59"/>
  <c r="I73" i="59"/>
  <c r="J73" i="59" s="1"/>
  <c r="H73" i="59"/>
  <c r="L73" i="59" s="1"/>
  <c r="M71" i="59"/>
  <c r="M69" i="59"/>
  <c r="M67" i="59"/>
  <c r="R12" i="59"/>
  <c r="P12" i="59"/>
  <c r="Q12" i="59" s="1"/>
  <c r="O12" i="59"/>
  <c r="M12" i="59"/>
  <c r="M65" i="59"/>
  <c r="M63" i="59"/>
  <c r="M62" i="59"/>
  <c r="M61" i="59"/>
  <c r="M60" i="59"/>
  <c r="M58" i="59"/>
  <c r="M56" i="59"/>
  <c r="M54" i="59"/>
  <c r="M52" i="59"/>
  <c r="I52" i="59"/>
  <c r="J52" i="59" s="1"/>
  <c r="H52" i="59"/>
  <c r="L52" i="59" s="1"/>
  <c r="M50" i="59"/>
  <c r="I50" i="59"/>
  <c r="J50" i="59" s="1"/>
  <c r="H50" i="59"/>
  <c r="L50" i="59" s="1"/>
  <c r="M49" i="59"/>
  <c r="I49" i="59"/>
  <c r="J49" i="59" s="1"/>
  <c r="H49" i="59"/>
  <c r="L49" i="59" s="1"/>
  <c r="M48" i="59"/>
  <c r="I48" i="59"/>
  <c r="J48" i="59" s="1"/>
  <c r="H48" i="59"/>
  <c r="L48" i="59" s="1"/>
  <c r="R10" i="59"/>
  <c r="V10" i="59" s="1"/>
  <c r="P10" i="59"/>
  <c r="Q10" i="59" s="1"/>
  <c r="M10" i="59"/>
  <c r="I10" i="59"/>
  <c r="J10" i="59" s="1"/>
  <c r="H10" i="59"/>
  <c r="L10" i="59" s="1"/>
  <c r="M46" i="59"/>
  <c r="I46" i="59"/>
  <c r="J46" i="59" s="1"/>
  <c r="H46" i="59"/>
  <c r="L46" i="59" s="1"/>
  <c r="M47" i="59"/>
  <c r="I47" i="59"/>
  <c r="J47" i="59" s="1"/>
  <c r="H47" i="59"/>
  <c r="L47" i="59" s="1"/>
  <c r="M44" i="59"/>
  <c r="I44" i="59"/>
  <c r="J44" i="59" s="1"/>
  <c r="H44" i="59"/>
  <c r="L44" i="59" s="1"/>
  <c r="M41" i="59"/>
  <c r="I41" i="59"/>
  <c r="J41" i="59" s="1"/>
  <c r="H41" i="59"/>
  <c r="L41" i="59" s="1"/>
  <c r="M45" i="59"/>
  <c r="I45" i="59"/>
  <c r="J45" i="59" s="1"/>
  <c r="H45" i="59"/>
  <c r="L45" i="59" s="1"/>
  <c r="M43" i="59"/>
  <c r="I43" i="59"/>
  <c r="J43" i="59" s="1"/>
  <c r="H43" i="59"/>
  <c r="L43" i="59" s="1"/>
  <c r="M42" i="59"/>
  <c r="I42" i="59"/>
  <c r="J42" i="59" s="1"/>
  <c r="H42" i="59"/>
  <c r="L42" i="59" s="1"/>
  <c r="M40" i="59"/>
  <c r="I40" i="59"/>
  <c r="J40" i="59" s="1"/>
  <c r="H40" i="59"/>
  <c r="L40" i="59" s="1"/>
  <c r="M38" i="59"/>
  <c r="I38" i="59"/>
  <c r="J38" i="59" s="1"/>
  <c r="H38" i="59"/>
  <c r="L38" i="59" s="1"/>
  <c r="M36" i="59"/>
  <c r="M34" i="59"/>
  <c r="M32" i="59"/>
  <c r="M30" i="59"/>
  <c r="M28" i="59"/>
  <c r="M26" i="59"/>
  <c r="R8" i="59"/>
  <c r="V8" i="59" s="1"/>
  <c r="P8" i="59"/>
  <c r="Q8" i="59" s="1"/>
  <c r="O8" i="59"/>
  <c r="M8" i="59"/>
  <c r="I8" i="59"/>
  <c r="J8" i="59" s="1"/>
  <c r="H8" i="59"/>
  <c r="L8" i="59" s="1"/>
  <c r="AU9" i="59"/>
  <c r="AU10" i="59" s="1"/>
  <c r="AU11" i="59" s="1"/>
  <c r="AU12" i="59" s="1"/>
  <c r="AU13" i="59" s="1"/>
  <c r="AU14" i="59" s="1"/>
  <c r="AU15" i="59" s="1"/>
  <c r="AU16" i="59" s="1"/>
  <c r="AU17" i="59" s="1"/>
  <c r="AU18" i="59" s="1"/>
  <c r="AU19" i="59" s="1"/>
  <c r="AU20" i="59" s="1"/>
  <c r="AU21" i="59" s="1"/>
  <c r="AU22" i="59" s="1"/>
  <c r="AU23" i="59" s="1"/>
  <c r="AU24" i="59" s="1"/>
  <c r="AU25" i="59" s="1"/>
  <c r="AU26" i="59" s="1"/>
  <c r="AU27" i="59" s="1"/>
  <c r="AU28" i="59" s="1"/>
  <c r="AU29" i="59" s="1"/>
  <c r="AU30" i="59" s="1"/>
  <c r="AU31" i="59" s="1"/>
  <c r="AU32" i="59" s="1"/>
  <c r="AU33" i="59" s="1"/>
  <c r="AU34" i="59" s="1"/>
  <c r="AU35" i="59" s="1"/>
  <c r="AU36" i="59" s="1"/>
  <c r="AU37" i="59" s="1"/>
  <c r="AU38" i="59" s="1"/>
  <c r="AU39" i="59" s="1"/>
  <c r="AU40" i="59" s="1"/>
  <c r="AU41" i="59" s="1"/>
  <c r="AU42" i="59" s="1"/>
  <c r="AU43" i="59" s="1"/>
  <c r="AU44" i="59" s="1"/>
  <c r="AU45" i="59" s="1"/>
  <c r="AU46" i="59" s="1"/>
  <c r="AU47" i="59" s="1"/>
  <c r="AU48" i="59" s="1"/>
  <c r="AU49" i="59" s="1"/>
  <c r="AU50" i="59" s="1"/>
  <c r="AU51" i="59" s="1"/>
  <c r="AU52" i="59" s="1"/>
  <c r="AU53" i="59" s="1"/>
  <c r="AU54" i="59" s="1"/>
  <c r="AU55" i="59" s="1"/>
  <c r="AU56" i="59" s="1"/>
  <c r="AU57" i="59" s="1"/>
  <c r="AU58" i="59" s="1"/>
  <c r="AU59" i="59" s="1"/>
  <c r="AU60" i="59" s="1"/>
  <c r="AU61" i="59" s="1"/>
  <c r="AU62" i="59" s="1"/>
  <c r="AU63" i="59" s="1"/>
  <c r="AU64" i="59" s="1"/>
  <c r="AT9" i="59"/>
  <c r="AT10" i="59" s="1"/>
  <c r="AT11" i="59" s="1"/>
  <c r="AT12" i="59" s="1"/>
  <c r="AT13" i="59" s="1"/>
  <c r="AT14" i="59" s="1"/>
  <c r="AT15" i="59" s="1"/>
  <c r="AT16" i="59" s="1"/>
  <c r="AT17" i="59" s="1"/>
  <c r="AT18" i="59" s="1"/>
  <c r="AT19" i="59" s="1"/>
  <c r="AT20" i="59" s="1"/>
  <c r="AT21" i="59" s="1"/>
  <c r="AT22" i="59" s="1"/>
  <c r="AT23" i="59" s="1"/>
  <c r="AT24" i="59" s="1"/>
  <c r="AT25" i="59" s="1"/>
  <c r="AT26" i="59" s="1"/>
  <c r="AT27" i="59" s="1"/>
  <c r="AT28" i="59" s="1"/>
  <c r="AT29" i="59" s="1"/>
  <c r="AT30" i="59" s="1"/>
  <c r="AT31" i="59" s="1"/>
  <c r="AT32" i="59" s="1"/>
  <c r="AT33" i="59" s="1"/>
  <c r="AT34" i="59" s="1"/>
  <c r="AT35" i="59" s="1"/>
  <c r="AT36" i="59" s="1"/>
  <c r="AT37" i="59" s="1"/>
  <c r="AT38" i="59" s="1"/>
  <c r="AT39" i="59" s="1"/>
  <c r="AT40" i="59" s="1"/>
  <c r="AT41" i="59" s="1"/>
  <c r="AT42" i="59" s="1"/>
  <c r="AT43" i="59" s="1"/>
  <c r="AT44" i="59" s="1"/>
  <c r="AT45" i="59" s="1"/>
  <c r="AT46" i="59" s="1"/>
  <c r="AT47" i="59" s="1"/>
  <c r="AT48" i="59" s="1"/>
  <c r="AT49" i="59" s="1"/>
  <c r="AT50" i="59" s="1"/>
  <c r="AT51" i="59" s="1"/>
  <c r="AT52" i="59" s="1"/>
  <c r="AT53" i="59" s="1"/>
  <c r="AT54" i="59" s="1"/>
  <c r="AT55" i="59" s="1"/>
  <c r="AT56" i="59" s="1"/>
  <c r="AT57" i="59" s="1"/>
  <c r="AT58" i="59" s="1"/>
  <c r="AT59" i="59" s="1"/>
  <c r="AT60" i="59" s="1"/>
  <c r="AT61" i="59" s="1"/>
  <c r="AT62" i="59" s="1"/>
  <c r="AT63" i="59" s="1"/>
  <c r="AT64" i="59" s="1"/>
  <c r="AR9" i="59"/>
  <c r="AR10" i="59" s="1"/>
  <c r="AR11" i="59" s="1"/>
  <c r="AR12" i="59" s="1"/>
  <c r="AR13" i="59" s="1"/>
  <c r="AR14" i="59" s="1"/>
  <c r="AR15" i="59" s="1"/>
  <c r="AR16" i="59" s="1"/>
  <c r="AR17" i="59" s="1"/>
  <c r="AR18" i="59" s="1"/>
  <c r="AR19" i="59" s="1"/>
  <c r="AR20" i="59" s="1"/>
  <c r="AR21" i="59" s="1"/>
  <c r="AR22" i="59" s="1"/>
  <c r="AR23" i="59" s="1"/>
  <c r="AR24" i="59" s="1"/>
  <c r="AR25" i="59" s="1"/>
  <c r="AR26" i="59" s="1"/>
  <c r="AR27" i="59" s="1"/>
  <c r="AR28" i="59" s="1"/>
  <c r="AR29" i="59" s="1"/>
  <c r="AR30" i="59" s="1"/>
  <c r="AR31" i="59" s="1"/>
  <c r="AR32" i="59" s="1"/>
  <c r="AR33" i="59" s="1"/>
  <c r="AR34" i="59" s="1"/>
  <c r="AR35" i="59" s="1"/>
  <c r="AR36" i="59" s="1"/>
  <c r="AR37" i="59" s="1"/>
  <c r="AR38" i="59" s="1"/>
  <c r="AR39" i="59" s="1"/>
  <c r="AR40" i="59" s="1"/>
  <c r="AR41" i="59" s="1"/>
  <c r="AR42" i="59" s="1"/>
  <c r="AR43" i="59" s="1"/>
  <c r="AR44" i="59" s="1"/>
  <c r="AR45" i="59" s="1"/>
  <c r="AR46" i="59" s="1"/>
  <c r="AR47" i="59" s="1"/>
  <c r="AR48" i="59" s="1"/>
  <c r="AR49" i="59" s="1"/>
  <c r="AR50" i="59" s="1"/>
  <c r="AR51" i="59" s="1"/>
  <c r="AR52" i="59" s="1"/>
  <c r="AR53" i="59" s="1"/>
  <c r="AR54" i="59" s="1"/>
  <c r="AR55" i="59" s="1"/>
  <c r="AR56" i="59" s="1"/>
  <c r="AR57" i="59" s="1"/>
  <c r="AR58" i="59" s="1"/>
  <c r="AR59" i="59" s="1"/>
  <c r="AR60" i="59" s="1"/>
  <c r="AR61" i="59" s="1"/>
  <c r="AR62" i="59" s="1"/>
  <c r="AR63" i="59" s="1"/>
  <c r="AR64" i="59" s="1"/>
  <c r="AN9" i="59"/>
  <c r="AN10" i="59" s="1"/>
  <c r="AM9" i="59"/>
  <c r="AM10" i="59" s="1"/>
  <c r="AM11" i="59" s="1"/>
  <c r="AM12" i="59" s="1"/>
  <c r="AM13" i="59" s="1"/>
  <c r="AM14" i="59" s="1"/>
  <c r="AM15" i="59" s="1"/>
  <c r="AM16" i="59" s="1"/>
  <c r="AM17" i="59" s="1"/>
  <c r="AM18" i="59" s="1"/>
  <c r="AM19" i="59" s="1"/>
  <c r="AM20" i="59" s="1"/>
  <c r="AM21" i="59" s="1"/>
  <c r="AM22" i="59" s="1"/>
  <c r="AM23" i="59" s="1"/>
  <c r="AM24" i="59" s="1"/>
  <c r="AM25" i="59" s="1"/>
  <c r="AM26" i="59" s="1"/>
  <c r="AM27" i="59" s="1"/>
  <c r="AM28" i="59" s="1"/>
  <c r="AM29" i="59" s="1"/>
  <c r="AM30" i="59" s="1"/>
  <c r="AM31" i="59" s="1"/>
  <c r="AM32" i="59" s="1"/>
  <c r="AM33" i="59" s="1"/>
  <c r="AM34" i="59" s="1"/>
  <c r="AM35" i="59" s="1"/>
  <c r="AM36" i="59" s="1"/>
  <c r="AM37" i="59" s="1"/>
  <c r="AM38" i="59" s="1"/>
  <c r="AM39" i="59" s="1"/>
  <c r="AM40" i="59" s="1"/>
  <c r="AM41" i="59" s="1"/>
  <c r="AM42" i="59" s="1"/>
  <c r="AM43" i="59" s="1"/>
  <c r="AM44" i="59" s="1"/>
  <c r="AM45" i="59" s="1"/>
  <c r="AM46" i="59" s="1"/>
  <c r="AM47" i="59" s="1"/>
  <c r="AM48" i="59" s="1"/>
  <c r="AM49" i="59" s="1"/>
  <c r="AM50" i="59" s="1"/>
  <c r="AM51" i="59" s="1"/>
  <c r="AM52" i="59" s="1"/>
  <c r="AM53" i="59" s="1"/>
  <c r="AM54" i="59" s="1"/>
  <c r="AM55" i="59" s="1"/>
  <c r="AM56" i="59" s="1"/>
  <c r="AM57" i="59" s="1"/>
  <c r="AM58" i="59" s="1"/>
  <c r="AM59" i="59" s="1"/>
  <c r="AM60" i="59" s="1"/>
  <c r="AM61" i="59" s="1"/>
  <c r="AM62" i="59" s="1"/>
  <c r="AM63" i="59" s="1"/>
  <c r="AM64" i="59" s="1"/>
  <c r="AL9" i="59"/>
  <c r="AL10" i="59" s="1"/>
  <c r="AL11" i="59" s="1"/>
  <c r="AL12" i="59" s="1"/>
  <c r="AL13" i="59" s="1"/>
  <c r="AL14" i="59" s="1"/>
  <c r="AL15" i="59" s="1"/>
  <c r="AL16" i="59" s="1"/>
  <c r="AL17" i="59" s="1"/>
  <c r="AL18" i="59" s="1"/>
  <c r="AL19" i="59" s="1"/>
  <c r="AL20" i="59" s="1"/>
  <c r="AL21" i="59" s="1"/>
  <c r="AL22" i="59" s="1"/>
  <c r="AL23" i="59" s="1"/>
  <c r="AL24" i="59" s="1"/>
  <c r="AL25" i="59" s="1"/>
  <c r="AL26" i="59" s="1"/>
  <c r="AL27" i="59" s="1"/>
  <c r="AL28" i="59" s="1"/>
  <c r="AL29" i="59" s="1"/>
  <c r="AL30" i="59" s="1"/>
  <c r="AL31" i="59" s="1"/>
  <c r="AL32" i="59" s="1"/>
  <c r="AL33" i="59" s="1"/>
  <c r="AL34" i="59" s="1"/>
  <c r="AL35" i="59" s="1"/>
  <c r="AL36" i="59" s="1"/>
  <c r="AL37" i="59" s="1"/>
  <c r="AL38" i="59" s="1"/>
  <c r="AL39" i="59" s="1"/>
  <c r="AL40" i="59" s="1"/>
  <c r="AL41" i="59" s="1"/>
  <c r="AL42" i="59" s="1"/>
  <c r="AL43" i="59" s="1"/>
  <c r="AL44" i="59" s="1"/>
  <c r="AL45" i="59" s="1"/>
  <c r="AL46" i="59" s="1"/>
  <c r="AL47" i="59" s="1"/>
  <c r="AL48" i="59" s="1"/>
  <c r="AL49" i="59" s="1"/>
  <c r="AL50" i="59" s="1"/>
  <c r="AL51" i="59" s="1"/>
  <c r="AL52" i="59" s="1"/>
  <c r="AL53" i="59" s="1"/>
  <c r="AL54" i="59" s="1"/>
  <c r="AL55" i="59" s="1"/>
  <c r="AL56" i="59" s="1"/>
  <c r="AL57" i="59" s="1"/>
  <c r="AL58" i="59" s="1"/>
  <c r="AL59" i="59" s="1"/>
  <c r="AL60" i="59" s="1"/>
  <c r="AL61" i="59" s="1"/>
  <c r="AL62" i="59" s="1"/>
  <c r="AL63" i="59" s="1"/>
  <c r="AL64" i="59" s="1"/>
  <c r="AK9" i="59"/>
  <c r="AK10" i="59" s="1"/>
  <c r="AK11" i="59" s="1"/>
  <c r="AK12" i="59" s="1"/>
  <c r="AK13" i="59" s="1"/>
  <c r="AK14" i="59" s="1"/>
  <c r="AK15" i="59" s="1"/>
  <c r="AK16" i="59" s="1"/>
  <c r="AK17" i="59" s="1"/>
  <c r="AK18" i="59" s="1"/>
  <c r="AK19" i="59" s="1"/>
  <c r="AK20" i="59" s="1"/>
  <c r="AK21" i="59" s="1"/>
  <c r="AK22" i="59" s="1"/>
  <c r="AK23" i="59" s="1"/>
  <c r="AK24" i="59" s="1"/>
  <c r="AK25" i="59" s="1"/>
  <c r="AK26" i="59" s="1"/>
  <c r="AK27" i="59" s="1"/>
  <c r="AK28" i="59" s="1"/>
  <c r="AK29" i="59" s="1"/>
  <c r="AK30" i="59" s="1"/>
  <c r="AK31" i="59" s="1"/>
  <c r="AK32" i="59" s="1"/>
  <c r="AK33" i="59" s="1"/>
  <c r="AK34" i="59" s="1"/>
  <c r="AK35" i="59" s="1"/>
  <c r="AK36" i="59" s="1"/>
  <c r="AK37" i="59" s="1"/>
  <c r="AK38" i="59" s="1"/>
  <c r="AK39" i="59" s="1"/>
  <c r="AK40" i="59" s="1"/>
  <c r="AK41" i="59" s="1"/>
  <c r="AK42" i="59" s="1"/>
  <c r="AK43" i="59" s="1"/>
  <c r="AK44" i="59" s="1"/>
  <c r="AK45" i="59" s="1"/>
  <c r="AK46" i="59" s="1"/>
  <c r="AK47" i="59" s="1"/>
  <c r="AK48" i="59" s="1"/>
  <c r="AK49" i="59" s="1"/>
  <c r="AK50" i="59" s="1"/>
  <c r="AK51" i="59" s="1"/>
  <c r="AK52" i="59" s="1"/>
  <c r="AK53" i="59" s="1"/>
  <c r="AK54" i="59" s="1"/>
  <c r="AK55" i="59" s="1"/>
  <c r="AK56" i="59" s="1"/>
  <c r="AK57" i="59" s="1"/>
  <c r="AK58" i="59" s="1"/>
  <c r="AK59" i="59" s="1"/>
  <c r="AK60" i="59" s="1"/>
  <c r="AK61" i="59" s="1"/>
  <c r="AK62" i="59" s="1"/>
  <c r="AK63" i="59" s="1"/>
  <c r="AK64" i="59" s="1"/>
  <c r="AJ9" i="59"/>
  <c r="AJ10" i="59" s="1"/>
  <c r="AJ11" i="59" s="1"/>
  <c r="AJ12" i="59" s="1"/>
  <c r="AJ13" i="59" s="1"/>
  <c r="AJ14" i="59" s="1"/>
  <c r="AJ15" i="59" s="1"/>
  <c r="AJ16" i="59" s="1"/>
  <c r="AJ17" i="59" s="1"/>
  <c r="AJ18" i="59" s="1"/>
  <c r="AJ19" i="59" s="1"/>
  <c r="AJ20" i="59" s="1"/>
  <c r="AJ21" i="59" s="1"/>
  <c r="AJ22" i="59" s="1"/>
  <c r="AJ23" i="59" s="1"/>
  <c r="AJ24" i="59" s="1"/>
  <c r="AJ25" i="59" s="1"/>
  <c r="AJ26" i="59" s="1"/>
  <c r="AJ27" i="59" s="1"/>
  <c r="AJ28" i="59" s="1"/>
  <c r="AJ29" i="59" s="1"/>
  <c r="AJ30" i="59" s="1"/>
  <c r="AJ31" i="59" s="1"/>
  <c r="AJ32" i="59" s="1"/>
  <c r="AJ33" i="59" s="1"/>
  <c r="AJ34" i="59" s="1"/>
  <c r="AJ35" i="59" s="1"/>
  <c r="AJ36" i="59" s="1"/>
  <c r="AJ37" i="59" s="1"/>
  <c r="AJ38" i="59" s="1"/>
  <c r="AJ39" i="59" s="1"/>
  <c r="AJ40" i="59" s="1"/>
  <c r="AJ41" i="59" s="1"/>
  <c r="AJ42" i="59" s="1"/>
  <c r="AJ43" i="59" s="1"/>
  <c r="AJ44" i="59" s="1"/>
  <c r="AJ45" i="59" s="1"/>
  <c r="AJ46" i="59" s="1"/>
  <c r="AJ47" i="59" s="1"/>
  <c r="AJ48" i="59" s="1"/>
  <c r="AJ49" i="59" s="1"/>
  <c r="AJ50" i="59" s="1"/>
  <c r="AJ51" i="59" s="1"/>
  <c r="AJ52" i="59" s="1"/>
  <c r="AJ53" i="59" s="1"/>
  <c r="AJ54" i="59" s="1"/>
  <c r="AJ55" i="59" s="1"/>
  <c r="AJ56" i="59" s="1"/>
  <c r="AJ57" i="59" s="1"/>
  <c r="AJ58" i="59" s="1"/>
  <c r="AJ59" i="59" s="1"/>
  <c r="AJ60" i="59" s="1"/>
  <c r="AJ61" i="59" s="1"/>
  <c r="AJ62" i="59" s="1"/>
  <c r="AJ63" i="59" s="1"/>
  <c r="AJ64" i="59" s="1"/>
  <c r="R9" i="59"/>
  <c r="P9" i="59"/>
  <c r="Q9" i="59" s="1"/>
  <c r="O9" i="59"/>
  <c r="M9" i="59"/>
  <c r="I9" i="59"/>
  <c r="J9" i="59" s="1"/>
  <c r="H9" i="59"/>
  <c r="L9" i="59" s="1"/>
  <c r="R14" i="59"/>
  <c r="V14" i="59" s="1"/>
  <c r="P14" i="59"/>
  <c r="Q14" i="59" s="1"/>
  <c r="O14" i="59"/>
  <c r="M14" i="59"/>
  <c r="T80" i="48"/>
  <c r="U80" i="48"/>
  <c r="V80" i="48"/>
  <c r="AJ9" i="48"/>
  <c r="AJ10" i="48" s="1"/>
  <c r="AJ11" i="48" s="1"/>
  <c r="AJ12" i="48" s="1"/>
  <c r="AJ13" i="48" s="1"/>
  <c r="AJ14" i="48" s="1"/>
  <c r="AJ15" i="48" s="1"/>
  <c r="AJ16" i="48" s="1"/>
  <c r="AJ17" i="48" s="1"/>
  <c r="AJ18" i="48" s="1"/>
  <c r="AJ19" i="48" s="1"/>
  <c r="AJ20" i="48" s="1"/>
  <c r="AJ21" i="48" s="1"/>
  <c r="AJ22" i="48" s="1"/>
  <c r="AJ23" i="48" s="1"/>
  <c r="AJ24" i="48" s="1"/>
  <c r="AJ25" i="48" s="1"/>
  <c r="AJ26" i="48" s="1"/>
  <c r="AJ27" i="48" s="1"/>
  <c r="AJ28" i="48" s="1"/>
  <c r="AJ29" i="48" s="1"/>
  <c r="AJ30" i="48" s="1"/>
  <c r="AJ31" i="48" s="1"/>
  <c r="AJ32" i="48" s="1"/>
  <c r="AJ33" i="48" s="1"/>
  <c r="AJ34" i="48" s="1"/>
  <c r="AJ35" i="48" s="1"/>
  <c r="AJ36" i="48" s="1"/>
  <c r="AJ37" i="48" s="1"/>
  <c r="AJ38" i="48" s="1"/>
  <c r="AJ39" i="48" s="1"/>
  <c r="AJ40" i="48" s="1"/>
  <c r="AJ41" i="48" s="1"/>
  <c r="AJ42" i="48" s="1"/>
  <c r="AJ43" i="48" s="1"/>
  <c r="AJ44" i="48" s="1"/>
  <c r="AK9" i="48"/>
  <c r="AK10" i="48" s="1"/>
  <c r="AK11" i="48" s="1"/>
  <c r="AK12" i="48" s="1"/>
  <c r="AK13" i="48" s="1"/>
  <c r="AK14" i="48" s="1"/>
  <c r="AK15" i="48" s="1"/>
  <c r="AK16" i="48" s="1"/>
  <c r="AK17" i="48" s="1"/>
  <c r="AK18" i="48" s="1"/>
  <c r="AK19" i="48" s="1"/>
  <c r="AK20" i="48" s="1"/>
  <c r="AK21" i="48" s="1"/>
  <c r="AK22" i="48" s="1"/>
  <c r="AK23" i="48" s="1"/>
  <c r="AK24" i="48" s="1"/>
  <c r="AK25" i="48" s="1"/>
  <c r="AK26" i="48" s="1"/>
  <c r="AK27" i="48" s="1"/>
  <c r="AK28" i="48" s="1"/>
  <c r="AK29" i="48" s="1"/>
  <c r="AK30" i="48" s="1"/>
  <c r="AK31" i="48" s="1"/>
  <c r="AK32" i="48" s="1"/>
  <c r="AK33" i="48" s="1"/>
  <c r="AK34" i="48" s="1"/>
  <c r="AK35" i="48" s="1"/>
  <c r="AK36" i="48" s="1"/>
  <c r="AK37" i="48" s="1"/>
  <c r="AK38" i="48" s="1"/>
  <c r="AK39" i="48" s="1"/>
  <c r="AK40" i="48" s="1"/>
  <c r="AK41" i="48" s="1"/>
  <c r="AK42" i="48" s="1"/>
  <c r="AK43" i="48" s="1"/>
  <c r="AK44" i="48" s="1"/>
  <c r="AL9" i="48"/>
  <c r="AL10" i="48" s="1"/>
  <c r="AL11" i="48" s="1"/>
  <c r="AL12" i="48" s="1"/>
  <c r="AL13" i="48" s="1"/>
  <c r="AL14" i="48" s="1"/>
  <c r="AL15" i="48" s="1"/>
  <c r="AL16" i="48" s="1"/>
  <c r="AL17" i="48" s="1"/>
  <c r="AL18" i="48" s="1"/>
  <c r="AL19" i="48" s="1"/>
  <c r="AL20" i="48" s="1"/>
  <c r="AL21" i="48" s="1"/>
  <c r="AL22" i="48" s="1"/>
  <c r="AL23" i="48" s="1"/>
  <c r="AL24" i="48" s="1"/>
  <c r="AL25" i="48" s="1"/>
  <c r="AL26" i="48" s="1"/>
  <c r="AL27" i="48" s="1"/>
  <c r="AL28" i="48" s="1"/>
  <c r="AL29" i="48" s="1"/>
  <c r="AL30" i="48" s="1"/>
  <c r="AL31" i="48" s="1"/>
  <c r="AL32" i="48" s="1"/>
  <c r="AL33" i="48" s="1"/>
  <c r="AL34" i="48" s="1"/>
  <c r="AL35" i="48" s="1"/>
  <c r="AL36" i="48" s="1"/>
  <c r="AL37" i="48" s="1"/>
  <c r="AL38" i="48" s="1"/>
  <c r="AL39" i="48" s="1"/>
  <c r="AL40" i="48" s="1"/>
  <c r="AL41" i="48" s="1"/>
  <c r="AL42" i="48" s="1"/>
  <c r="AL43" i="48" s="1"/>
  <c r="AL44" i="48" s="1"/>
  <c r="AM9" i="48"/>
  <c r="AN9" i="48"/>
  <c r="AN10" i="48" s="1"/>
  <c r="AN11" i="48" s="1"/>
  <c r="AN12" i="48" s="1"/>
  <c r="AN13" i="48" s="1"/>
  <c r="AR9" i="48"/>
  <c r="AR10" i="48" s="1"/>
  <c r="AR11" i="48" s="1"/>
  <c r="AR12" i="48" s="1"/>
  <c r="AR13" i="48" s="1"/>
  <c r="AR14" i="48" s="1"/>
  <c r="AR15" i="48" s="1"/>
  <c r="AR16" i="48" s="1"/>
  <c r="AR17" i="48" s="1"/>
  <c r="AR18" i="48" s="1"/>
  <c r="AR19" i="48" s="1"/>
  <c r="AR20" i="48" s="1"/>
  <c r="AR21" i="48" s="1"/>
  <c r="AR22" i="48" s="1"/>
  <c r="AR23" i="48" s="1"/>
  <c r="AR24" i="48" s="1"/>
  <c r="AR25" i="48" s="1"/>
  <c r="AR26" i="48" s="1"/>
  <c r="AR27" i="48" s="1"/>
  <c r="AR28" i="48" s="1"/>
  <c r="AR29" i="48" s="1"/>
  <c r="AR30" i="48" s="1"/>
  <c r="AR31" i="48" s="1"/>
  <c r="AR32" i="48" s="1"/>
  <c r="AR33" i="48" s="1"/>
  <c r="AR34" i="48" s="1"/>
  <c r="AR35" i="48" s="1"/>
  <c r="AR36" i="48" s="1"/>
  <c r="AR37" i="48" s="1"/>
  <c r="AR38" i="48" s="1"/>
  <c r="AR39" i="48" s="1"/>
  <c r="AR40" i="48" s="1"/>
  <c r="AR41" i="48" s="1"/>
  <c r="AR42" i="48" s="1"/>
  <c r="AR43" i="48" s="1"/>
  <c r="AR44" i="48" s="1"/>
  <c r="AT9" i="48"/>
  <c r="AT10" i="48" s="1"/>
  <c r="AT11" i="48" s="1"/>
  <c r="AT12" i="48" s="1"/>
  <c r="AT13" i="48" s="1"/>
  <c r="AT14" i="48" s="1"/>
  <c r="AT15" i="48" s="1"/>
  <c r="AT16" i="48" s="1"/>
  <c r="AT17" i="48" s="1"/>
  <c r="AT18" i="48" s="1"/>
  <c r="AT19" i="48" s="1"/>
  <c r="AT20" i="48" s="1"/>
  <c r="AT22" i="48" s="1"/>
  <c r="AT23" i="48" s="1"/>
  <c r="AT24" i="48" s="1"/>
  <c r="AT25" i="48" s="1"/>
  <c r="AT26" i="48" s="1"/>
  <c r="AT27" i="48" s="1"/>
  <c r="AT28" i="48" s="1"/>
  <c r="AT29" i="48" s="1"/>
  <c r="AT30" i="48" s="1"/>
  <c r="AT31" i="48" s="1"/>
  <c r="AT32" i="48" s="1"/>
  <c r="AT33" i="48" s="1"/>
  <c r="AT34" i="48" s="1"/>
  <c r="AT35" i="48" s="1"/>
  <c r="AT36" i="48" s="1"/>
  <c r="AT37" i="48" s="1"/>
  <c r="AT38" i="48" s="1"/>
  <c r="AT39" i="48" s="1"/>
  <c r="AT40" i="48" s="1"/>
  <c r="AT41" i="48" s="1"/>
  <c r="AT42" i="48" s="1"/>
  <c r="AT43" i="48" s="1"/>
  <c r="AT44" i="48" s="1"/>
  <c r="AT45" i="48" s="1"/>
  <c r="AU9" i="48"/>
  <c r="AU10" i="48" s="1"/>
  <c r="AU11" i="48" s="1"/>
  <c r="AU12" i="48" s="1"/>
  <c r="AU13" i="48" s="1"/>
  <c r="AU14" i="48" s="1"/>
  <c r="AU15" i="48" s="1"/>
  <c r="AU16" i="48" s="1"/>
  <c r="AU17" i="48" s="1"/>
  <c r="AU18" i="48" s="1"/>
  <c r="AU19" i="48" s="1"/>
  <c r="AU20" i="48" s="1"/>
  <c r="AU21" i="48" s="1"/>
  <c r="AU22" i="48" s="1"/>
  <c r="AU23" i="48" s="1"/>
  <c r="AU24" i="48" s="1"/>
  <c r="AU25" i="48" s="1"/>
  <c r="AU26" i="48" s="1"/>
  <c r="AU27" i="48" s="1"/>
  <c r="AU28" i="48" s="1"/>
  <c r="AU29" i="48" s="1"/>
  <c r="AU30" i="48" s="1"/>
  <c r="AU31" i="48" s="1"/>
  <c r="AU32" i="48" s="1"/>
  <c r="AU33" i="48" s="1"/>
  <c r="AU34" i="48" s="1"/>
  <c r="AU35" i="48" s="1"/>
  <c r="AU36" i="48" s="1"/>
  <c r="AU37" i="48" s="1"/>
  <c r="AU38" i="48" s="1"/>
  <c r="AU39" i="48" s="1"/>
  <c r="AU40" i="48" s="1"/>
  <c r="AU41" i="48" s="1"/>
  <c r="AU42" i="48" s="1"/>
  <c r="AU43" i="48" s="1"/>
  <c r="AU44" i="48" s="1"/>
  <c r="Q116" i="59" l="1"/>
  <c r="J28" i="60"/>
  <c r="U30" i="60"/>
  <c r="AA30" i="60"/>
  <c r="T30" i="60"/>
  <c r="Y24" i="60"/>
  <c r="AA24" i="60"/>
  <c r="W51" i="59"/>
  <c r="X51" i="59" s="1"/>
  <c r="Z51" i="59"/>
  <c r="W13" i="59"/>
  <c r="X13" i="59" s="1"/>
  <c r="Y73" i="61"/>
  <c r="T73" i="61"/>
  <c r="AA73" i="61"/>
  <c r="Y72" i="61"/>
  <c r="AA72" i="61"/>
  <c r="Z13" i="59"/>
  <c r="S18" i="59"/>
  <c r="T18" i="59" s="1"/>
  <c r="S16" i="59"/>
  <c r="U16" i="59" s="1"/>
  <c r="S31" i="60"/>
  <c r="AA31" i="60" s="1"/>
  <c r="S35" i="60"/>
  <c r="U35" i="60" s="1"/>
  <c r="T72" i="61"/>
  <c r="AG40" i="61" s="1"/>
  <c r="AH40" i="61" s="1"/>
  <c r="AS40" i="61" s="1"/>
  <c r="S93" i="61"/>
  <c r="T93" i="61" s="1"/>
  <c r="AG52" i="61" s="1"/>
  <c r="AH52" i="61" s="1"/>
  <c r="S94" i="59"/>
  <c r="U94" i="59" s="1"/>
  <c r="S92" i="59"/>
  <c r="U92" i="59" s="1"/>
  <c r="S61" i="59"/>
  <c r="T61" i="59" s="1"/>
  <c r="Z61" i="59" s="1"/>
  <c r="S24" i="48"/>
  <c r="T24" i="48" s="1"/>
  <c r="S20" i="60"/>
  <c r="AA20" i="60" s="1"/>
  <c r="Z15" i="59"/>
  <c r="Z19" i="59"/>
  <c r="Z17" i="59"/>
  <c r="S32" i="60"/>
  <c r="T32" i="60" s="1"/>
  <c r="S14" i="60"/>
  <c r="AA14" i="60" s="1"/>
  <c r="S18" i="60"/>
  <c r="AA18" i="60" s="1"/>
  <c r="S22" i="60"/>
  <c r="AA22" i="60" s="1"/>
  <c r="S21" i="60"/>
  <c r="T21" i="60" s="1"/>
  <c r="AG15" i="60" s="1"/>
  <c r="J17" i="60"/>
  <c r="V17" i="60" s="1"/>
  <c r="S34" i="60"/>
  <c r="AA34" i="60" s="1"/>
  <c r="S28" i="60"/>
  <c r="J27" i="60"/>
  <c r="V27" i="60" s="1"/>
  <c r="J16" i="60"/>
  <c r="V16" i="60" s="1"/>
  <c r="S23" i="60"/>
  <c r="AA23" i="60" s="1"/>
  <c r="S29" i="60"/>
  <c r="T29" i="60" s="1"/>
  <c r="J10" i="60"/>
  <c r="V10" i="60" s="1"/>
  <c r="S19" i="60"/>
  <c r="T19" i="60" s="1"/>
  <c r="S12" i="60"/>
  <c r="U12" i="60" s="1"/>
  <c r="S11" i="60"/>
  <c r="Y11" i="60" s="1"/>
  <c r="S8" i="60"/>
  <c r="AO8" i="60" s="1"/>
  <c r="AP8" i="60" s="1"/>
  <c r="AQ8" i="60" s="1"/>
  <c r="S9" i="60"/>
  <c r="S13" i="60"/>
  <c r="AA13" i="60" s="1"/>
  <c r="S15" i="60"/>
  <c r="T15" i="60" s="1"/>
  <c r="Z15" i="60" s="1"/>
  <c r="S33" i="60"/>
  <c r="Q36" i="60"/>
  <c r="Q38" i="60" s="1"/>
  <c r="S40" i="61"/>
  <c r="Y40" i="61" s="1"/>
  <c r="S76" i="61"/>
  <c r="U76" i="61" s="1"/>
  <c r="J74" i="61"/>
  <c r="V74" i="61" s="1"/>
  <c r="S74" i="61" s="1"/>
  <c r="J88" i="61"/>
  <c r="V88" i="61" s="1"/>
  <c r="S88" i="61" s="1"/>
  <c r="S8" i="61"/>
  <c r="AA8" i="61" s="1"/>
  <c r="S41" i="61"/>
  <c r="AA41" i="61" s="1"/>
  <c r="S43" i="61"/>
  <c r="U43" i="61" s="1"/>
  <c r="S77" i="61"/>
  <c r="AA77" i="61" s="1"/>
  <c r="S79" i="61"/>
  <c r="T79" i="61" s="1"/>
  <c r="Z79" i="61" s="1"/>
  <c r="S80" i="61"/>
  <c r="AA80" i="61" s="1"/>
  <c r="S81" i="61"/>
  <c r="U81" i="61" s="1"/>
  <c r="S90" i="61"/>
  <c r="T90" i="61" s="1"/>
  <c r="AG50" i="61" s="1"/>
  <c r="AH50" i="61" s="1"/>
  <c r="S94" i="61"/>
  <c r="U94" i="61" s="1"/>
  <c r="S97" i="61"/>
  <c r="T97" i="61" s="1"/>
  <c r="S115" i="61"/>
  <c r="AA115" i="61" s="1"/>
  <c r="S99" i="61"/>
  <c r="U99" i="61" s="1"/>
  <c r="S98" i="61"/>
  <c r="T98" i="61" s="1"/>
  <c r="AG55" i="61" s="1"/>
  <c r="AH55" i="61" s="1"/>
  <c r="S104" i="61"/>
  <c r="T104" i="61" s="1"/>
  <c r="J106" i="61"/>
  <c r="V106" i="61" s="1"/>
  <c r="S106" i="61" s="1"/>
  <c r="S108" i="61"/>
  <c r="T108" i="61" s="1"/>
  <c r="S89" i="61"/>
  <c r="Y89" i="61" s="1"/>
  <c r="S86" i="61"/>
  <c r="AA86" i="61" s="1"/>
  <c r="S111" i="61"/>
  <c r="Y111" i="61" s="1"/>
  <c r="S112" i="61"/>
  <c r="Y112" i="61" s="1"/>
  <c r="S113" i="61"/>
  <c r="U113" i="61" s="1"/>
  <c r="S100" i="61"/>
  <c r="T100" i="61" s="1"/>
  <c r="Z100" i="61" s="1"/>
  <c r="S87" i="61"/>
  <c r="U87" i="61" s="1"/>
  <c r="S91" i="61"/>
  <c r="T91" i="61" s="1"/>
  <c r="S105" i="61"/>
  <c r="Y105" i="61" s="1"/>
  <c r="S92" i="61"/>
  <c r="U92" i="61" s="1"/>
  <c r="S107" i="61"/>
  <c r="Y107" i="61" s="1"/>
  <c r="S85" i="61"/>
  <c r="U85" i="61" s="1"/>
  <c r="S110" i="61"/>
  <c r="U110" i="61" s="1"/>
  <c r="S83" i="61"/>
  <c r="Y83" i="61" s="1"/>
  <c r="S114" i="61"/>
  <c r="Y114" i="61" s="1"/>
  <c r="J103" i="61"/>
  <c r="V103" i="61" s="1"/>
  <c r="J37" i="61"/>
  <c r="V37" i="61" s="1"/>
  <c r="J31" i="61"/>
  <c r="V31" i="61" s="1"/>
  <c r="J25" i="61"/>
  <c r="V25" i="61" s="1"/>
  <c r="J19" i="61"/>
  <c r="V19" i="61" s="1"/>
  <c r="J55" i="61"/>
  <c r="V55" i="61" s="1"/>
  <c r="S61" i="61"/>
  <c r="AA61" i="61" s="1"/>
  <c r="S103" i="59"/>
  <c r="U103" i="59" s="1"/>
  <c r="J23" i="61"/>
  <c r="V23" i="61" s="1"/>
  <c r="J11" i="61"/>
  <c r="V11" i="61" s="1"/>
  <c r="J71" i="61"/>
  <c r="V71" i="61" s="1"/>
  <c r="J65" i="61"/>
  <c r="V65" i="61" s="1"/>
  <c r="J59" i="61"/>
  <c r="V59" i="61" s="1"/>
  <c r="J27" i="61"/>
  <c r="V27" i="61" s="1"/>
  <c r="J21" i="61"/>
  <c r="V21" i="61" s="1"/>
  <c r="J15" i="61"/>
  <c r="V15" i="61" s="1"/>
  <c r="J69" i="61"/>
  <c r="V69" i="61" s="1"/>
  <c r="W69" i="61" s="1"/>
  <c r="X69" i="61" s="1"/>
  <c r="J63" i="61"/>
  <c r="V63" i="61" s="1"/>
  <c r="W63" i="61" s="1"/>
  <c r="J57" i="61"/>
  <c r="V57" i="61" s="1"/>
  <c r="W57" i="61" s="1"/>
  <c r="X57" i="61" s="1"/>
  <c r="J51" i="61"/>
  <c r="V51" i="61" s="1"/>
  <c r="W51" i="61" s="1"/>
  <c r="X51" i="61" s="1"/>
  <c r="J78" i="61"/>
  <c r="V78" i="61" s="1"/>
  <c r="J39" i="61"/>
  <c r="V39" i="61" s="1"/>
  <c r="J96" i="61"/>
  <c r="V96" i="61" s="1"/>
  <c r="J67" i="61"/>
  <c r="V67" i="61" s="1"/>
  <c r="J60" i="61"/>
  <c r="V60" i="61" s="1"/>
  <c r="J53" i="61"/>
  <c r="V53" i="61" s="1"/>
  <c r="J49" i="61"/>
  <c r="V49" i="61" s="1"/>
  <c r="J47" i="61"/>
  <c r="V47" i="61" s="1"/>
  <c r="J45" i="61"/>
  <c r="V45" i="61" s="1"/>
  <c r="J35" i="61"/>
  <c r="V35" i="61" s="1"/>
  <c r="J33" i="61"/>
  <c r="V33" i="61" s="1"/>
  <c r="J29" i="61"/>
  <c r="V29" i="61" s="1"/>
  <c r="J17" i="61"/>
  <c r="V17" i="61" s="1"/>
  <c r="J13" i="61"/>
  <c r="V13" i="61" s="1"/>
  <c r="S46" i="61"/>
  <c r="T46" i="61" s="1"/>
  <c r="Z46" i="61" s="1"/>
  <c r="S70" i="61"/>
  <c r="U70" i="61" s="1"/>
  <c r="S68" i="61"/>
  <c r="U68" i="61" s="1"/>
  <c r="S66" i="61"/>
  <c r="AA66" i="61" s="1"/>
  <c r="S64" i="61"/>
  <c r="U64" i="61" s="1"/>
  <c r="S62" i="61"/>
  <c r="U62" i="61" s="1"/>
  <c r="S58" i="61"/>
  <c r="U58" i="61" s="1"/>
  <c r="S56" i="61"/>
  <c r="U56" i="61" s="1"/>
  <c r="S54" i="61"/>
  <c r="AA54" i="61" s="1"/>
  <c r="S52" i="61"/>
  <c r="U52" i="61" s="1"/>
  <c r="S50" i="61"/>
  <c r="U50" i="61" s="1"/>
  <c r="S48" i="61"/>
  <c r="U48" i="61" s="1"/>
  <c r="U46" i="61"/>
  <c r="S44" i="61"/>
  <c r="U44" i="61" s="1"/>
  <c r="S36" i="61"/>
  <c r="T36" i="61" s="1"/>
  <c r="Z36" i="61" s="1"/>
  <c r="S34" i="61"/>
  <c r="T34" i="61" s="1"/>
  <c r="Z34" i="61" s="1"/>
  <c r="S32" i="61"/>
  <c r="Y32" i="61" s="1"/>
  <c r="S30" i="61"/>
  <c r="T30" i="61" s="1"/>
  <c r="Z30" i="61" s="1"/>
  <c r="S28" i="61"/>
  <c r="AA28" i="61" s="1"/>
  <c r="S26" i="61"/>
  <c r="Y26" i="61" s="1"/>
  <c r="S24" i="61"/>
  <c r="T24" i="61" s="1"/>
  <c r="Z24" i="61" s="1"/>
  <c r="S22" i="61"/>
  <c r="Y22" i="61" s="1"/>
  <c r="S20" i="61"/>
  <c r="Y20" i="61" s="1"/>
  <c r="S18" i="61"/>
  <c r="T18" i="61" s="1"/>
  <c r="Z18" i="61" s="1"/>
  <c r="S16" i="61"/>
  <c r="U16" i="61" s="1"/>
  <c r="S14" i="61"/>
  <c r="Y14" i="61" s="1"/>
  <c r="S12" i="61"/>
  <c r="T12" i="61" s="1"/>
  <c r="Z12" i="61" s="1"/>
  <c r="S10" i="61"/>
  <c r="Y10" i="61" s="1"/>
  <c r="S97" i="59"/>
  <c r="T97" i="59" s="1"/>
  <c r="S98" i="59"/>
  <c r="T98" i="59" s="1"/>
  <c r="Z98" i="59" s="1"/>
  <c r="S40" i="59"/>
  <c r="T40" i="59" s="1"/>
  <c r="Z40" i="59" s="1"/>
  <c r="S62" i="59"/>
  <c r="AA62" i="59" s="1"/>
  <c r="S96" i="59"/>
  <c r="Y96" i="59" s="1"/>
  <c r="S99" i="59"/>
  <c r="T99" i="59" s="1"/>
  <c r="S102" i="61"/>
  <c r="U102" i="61" s="1"/>
  <c r="S75" i="61"/>
  <c r="U75" i="61" s="1"/>
  <c r="S101" i="61"/>
  <c r="T101" i="61" s="1"/>
  <c r="AG57" i="61" s="1"/>
  <c r="AH57" i="61" s="1"/>
  <c r="Q118" i="61"/>
  <c r="Q120" i="61" s="1"/>
  <c r="I8" i="45" s="1"/>
  <c r="S116" i="61"/>
  <c r="T116" i="61" s="1"/>
  <c r="Z116" i="61" s="1"/>
  <c r="S117" i="61"/>
  <c r="Y117" i="61" s="1"/>
  <c r="S109" i="61"/>
  <c r="Y109" i="61" s="1"/>
  <c r="S95" i="61"/>
  <c r="AA95" i="61" s="1"/>
  <c r="S84" i="61"/>
  <c r="Y84" i="61" s="1"/>
  <c r="S82" i="61"/>
  <c r="T82" i="61" s="1"/>
  <c r="Z82" i="61" s="1"/>
  <c r="S42" i="61"/>
  <c r="AA42" i="61" s="1"/>
  <c r="S38" i="61"/>
  <c r="AA38" i="61" s="1"/>
  <c r="S9" i="61"/>
  <c r="S79" i="59"/>
  <c r="U79" i="59" s="1"/>
  <c r="S76" i="59"/>
  <c r="T76" i="59" s="1"/>
  <c r="Z76" i="59" s="1"/>
  <c r="S60" i="59"/>
  <c r="AA60" i="59" s="1"/>
  <c r="S45" i="59"/>
  <c r="U45" i="59" s="1"/>
  <c r="S43" i="59"/>
  <c r="Y43" i="59" s="1"/>
  <c r="S42" i="59"/>
  <c r="T42" i="59" s="1"/>
  <c r="Z42" i="59" s="1"/>
  <c r="S47" i="59"/>
  <c r="T47" i="59" s="1"/>
  <c r="Z47" i="59" s="1"/>
  <c r="S48" i="59"/>
  <c r="T48" i="59" s="1"/>
  <c r="Z48" i="59" s="1"/>
  <c r="S41" i="59"/>
  <c r="U41" i="59" s="1"/>
  <c r="S8" i="59"/>
  <c r="T8" i="59" s="1"/>
  <c r="Z8" i="59" s="1"/>
  <c r="S75" i="59"/>
  <c r="U75" i="59" s="1"/>
  <c r="S82" i="59"/>
  <c r="AA82" i="59" s="1"/>
  <c r="S85" i="59"/>
  <c r="U85" i="59" s="1"/>
  <c r="S83" i="59"/>
  <c r="AA83" i="59" s="1"/>
  <c r="S84" i="59"/>
  <c r="U84" i="59" s="1"/>
  <c r="J86" i="59"/>
  <c r="V86" i="59" s="1"/>
  <c r="S86" i="59" s="1"/>
  <c r="S87" i="59"/>
  <c r="T87" i="59" s="1"/>
  <c r="S88" i="59"/>
  <c r="AA88" i="59" s="1"/>
  <c r="S89" i="59"/>
  <c r="U89" i="59" s="1"/>
  <c r="S93" i="59"/>
  <c r="T93" i="59" s="1"/>
  <c r="S102" i="59"/>
  <c r="U102" i="59" s="1"/>
  <c r="S104" i="59"/>
  <c r="AA104" i="59" s="1"/>
  <c r="J106" i="59"/>
  <c r="V106" i="59" s="1"/>
  <c r="S106" i="59" s="1"/>
  <c r="S105" i="59"/>
  <c r="U105" i="59" s="1"/>
  <c r="S107" i="59"/>
  <c r="T107" i="59" s="1"/>
  <c r="S95" i="59"/>
  <c r="Y95" i="59" s="1"/>
  <c r="S78" i="59"/>
  <c r="AA78" i="59" s="1"/>
  <c r="S77" i="59"/>
  <c r="U77" i="59" s="1"/>
  <c r="S112" i="59"/>
  <c r="T112" i="59" s="1"/>
  <c r="Z112" i="59" s="1"/>
  <c r="S111" i="59"/>
  <c r="T111" i="59" s="1"/>
  <c r="Z111" i="59" s="1"/>
  <c r="S110" i="59"/>
  <c r="Y110" i="59" s="1"/>
  <c r="S109" i="59"/>
  <c r="T109" i="59" s="1"/>
  <c r="Z109" i="59" s="1"/>
  <c r="J101" i="59"/>
  <c r="V101" i="59" s="1"/>
  <c r="J39" i="59"/>
  <c r="V39" i="59" s="1"/>
  <c r="W39" i="59" s="1"/>
  <c r="X39" i="59" s="1"/>
  <c r="J72" i="59"/>
  <c r="V72" i="59" s="1"/>
  <c r="J66" i="59"/>
  <c r="V66" i="59" s="1"/>
  <c r="J33" i="59"/>
  <c r="V33" i="59" s="1"/>
  <c r="W33" i="59" s="1"/>
  <c r="X33" i="59" s="1"/>
  <c r="J27" i="59"/>
  <c r="V27" i="59" s="1"/>
  <c r="W27" i="59" s="1"/>
  <c r="X27" i="59" s="1"/>
  <c r="J21" i="59"/>
  <c r="V21" i="59" s="1"/>
  <c r="W21" i="59" s="1"/>
  <c r="X21" i="59" s="1"/>
  <c r="J19" i="59"/>
  <c r="V19" i="59" s="1"/>
  <c r="W19" i="59" s="1"/>
  <c r="X19" i="59" s="1"/>
  <c r="S113" i="59"/>
  <c r="Z113" i="59" s="1"/>
  <c r="J113" i="59"/>
  <c r="V113" i="59" s="1"/>
  <c r="S115" i="59"/>
  <c r="Y115" i="59" s="1"/>
  <c r="J115" i="59"/>
  <c r="S9" i="59"/>
  <c r="AA9" i="59" s="1"/>
  <c r="S108" i="59"/>
  <c r="AA108" i="59" s="1"/>
  <c r="S100" i="59"/>
  <c r="U100" i="59" s="1"/>
  <c r="S90" i="59"/>
  <c r="AA90" i="59" s="1"/>
  <c r="S80" i="59"/>
  <c r="U80" i="59" s="1"/>
  <c r="S81" i="59"/>
  <c r="T81" i="59" s="1"/>
  <c r="Z81" i="59" s="1"/>
  <c r="S73" i="59"/>
  <c r="U73" i="59" s="1"/>
  <c r="S49" i="59"/>
  <c r="Y49" i="59" s="1"/>
  <c r="S46" i="59"/>
  <c r="Y46" i="59" s="1"/>
  <c r="S44" i="59"/>
  <c r="Y44" i="59" s="1"/>
  <c r="S38" i="59"/>
  <c r="AA38" i="59" s="1"/>
  <c r="J73" i="48"/>
  <c r="V73" i="48" s="1"/>
  <c r="W73" i="48" s="1"/>
  <c r="S56" i="59"/>
  <c r="AA56" i="59" s="1"/>
  <c r="J23" i="59"/>
  <c r="V23" i="59" s="1"/>
  <c r="J114" i="59"/>
  <c r="J91" i="59"/>
  <c r="V91" i="59" s="1"/>
  <c r="J64" i="59"/>
  <c r="V64" i="59" s="1"/>
  <c r="J55" i="59"/>
  <c r="V55" i="59" s="1"/>
  <c r="J25" i="59"/>
  <c r="V25" i="59" s="1"/>
  <c r="J74" i="59"/>
  <c r="V74" i="59" s="1"/>
  <c r="J70" i="59"/>
  <c r="V70" i="59" s="1"/>
  <c r="J68" i="59"/>
  <c r="V68" i="59" s="1"/>
  <c r="J59" i="59"/>
  <c r="V59" i="59" s="1"/>
  <c r="J57" i="59"/>
  <c r="V57" i="59" s="1"/>
  <c r="J53" i="59"/>
  <c r="V53" i="59" s="1"/>
  <c r="J37" i="59"/>
  <c r="V37" i="59" s="1"/>
  <c r="J35" i="59"/>
  <c r="V35" i="59" s="1"/>
  <c r="J31" i="59"/>
  <c r="V31" i="59" s="1"/>
  <c r="J29" i="59"/>
  <c r="V29" i="59" s="1"/>
  <c r="J17" i="59"/>
  <c r="V17" i="59" s="1"/>
  <c r="W17" i="59" s="1"/>
  <c r="X17" i="59" s="1"/>
  <c r="J15" i="59"/>
  <c r="V15" i="59" s="1"/>
  <c r="W15" i="59" s="1"/>
  <c r="J11" i="59"/>
  <c r="V11" i="59" s="1"/>
  <c r="W11" i="59" s="1"/>
  <c r="X11" i="59" s="1"/>
  <c r="S10" i="59"/>
  <c r="T10" i="59" s="1"/>
  <c r="AG9" i="59" s="1"/>
  <c r="AH9" i="59" s="1"/>
  <c r="AS9" i="59" s="1"/>
  <c r="S12" i="59"/>
  <c r="U12" i="59" s="1"/>
  <c r="S58" i="59"/>
  <c r="AA58" i="59" s="1"/>
  <c r="S30" i="59"/>
  <c r="Y30" i="59" s="1"/>
  <c r="S69" i="59"/>
  <c r="Y69" i="59" s="1"/>
  <c r="S71" i="59"/>
  <c r="Y71" i="59" s="1"/>
  <c r="S67" i="59"/>
  <c r="T67" i="59" s="1"/>
  <c r="Z67" i="59" s="1"/>
  <c r="S65" i="59"/>
  <c r="U65" i="59" s="1"/>
  <c r="S63" i="59"/>
  <c r="Y63" i="59" s="1"/>
  <c r="S54" i="59"/>
  <c r="Y54" i="59" s="1"/>
  <c r="S50" i="59"/>
  <c r="AA50" i="59" s="1"/>
  <c r="S52" i="59"/>
  <c r="U52" i="59" s="1"/>
  <c r="S14" i="59"/>
  <c r="AA14" i="59" s="1"/>
  <c r="S36" i="59"/>
  <c r="Y36" i="59" s="1"/>
  <c r="S34" i="59"/>
  <c r="U34" i="59" s="1"/>
  <c r="S32" i="59"/>
  <c r="AA32" i="59" s="1"/>
  <c r="S28" i="59"/>
  <c r="U28" i="59" s="1"/>
  <c r="S26" i="59"/>
  <c r="U26" i="59" s="1"/>
  <c r="S24" i="59"/>
  <c r="Y24" i="59" s="1"/>
  <c r="S22" i="59"/>
  <c r="Y22" i="59" s="1"/>
  <c r="S20" i="59"/>
  <c r="Y20" i="59" s="1"/>
  <c r="J72" i="48"/>
  <c r="V72" i="48" s="1"/>
  <c r="S72" i="48" s="1"/>
  <c r="U49" i="61"/>
  <c r="U55" i="59"/>
  <c r="J75" i="48"/>
  <c r="V75" i="48" s="1"/>
  <c r="V90" i="59"/>
  <c r="V79" i="59"/>
  <c r="J9" i="48"/>
  <c r="V9" i="48" s="1"/>
  <c r="V47" i="59"/>
  <c r="U74" i="59"/>
  <c r="V36" i="59"/>
  <c r="U23" i="59"/>
  <c r="U37" i="59"/>
  <c r="U31" i="59"/>
  <c r="V61" i="59"/>
  <c r="V36" i="61"/>
  <c r="U59" i="61"/>
  <c r="V44" i="61"/>
  <c r="U17" i="60"/>
  <c r="U29" i="59"/>
  <c r="V24" i="59"/>
  <c r="U11" i="61"/>
  <c r="U16" i="60"/>
  <c r="U53" i="59"/>
  <c r="U25" i="59"/>
  <c r="U91" i="59"/>
  <c r="J54" i="48"/>
  <c r="V54" i="48" s="1"/>
  <c r="J76" i="48"/>
  <c r="V76" i="48" s="1"/>
  <c r="J25" i="48"/>
  <c r="V25" i="48" s="1"/>
  <c r="J74" i="48"/>
  <c r="V74" i="48" s="1"/>
  <c r="J19" i="48"/>
  <c r="V19" i="48" s="1"/>
  <c r="J55" i="48"/>
  <c r="V55" i="48" s="1"/>
  <c r="W55" i="48" s="1"/>
  <c r="X55" i="48" s="1"/>
  <c r="U53" i="61"/>
  <c r="V78" i="59"/>
  <c r="V76" i="59"/>
  <c r="U65" i="61"/>
  <c r="V30" i="61"/>
  <c r="V25" i="60"/>
  <c r="S25" i="60" s="1"/>
  <c r="V30" i="59"/>
  <c r="U71" i="61"/>
  <c r="U45" i="61"/>
  <c r="AA27" i="61"/>
  <c r="T27" i="61"/>
  <c r="Z27" i="61" s="1"/>
  <c r="Z57" i="61"/>
  <c r="V26" i="59"/>
  <c r="V71" i="59"/>
  <c r="V93" i="59"/>
  <c r="V82" i="59"/>
  <c r="Z69" i="61"/>
  <c r="V66" i="61"/>
  <c r="V61" i="61"/>
  <c r="V54" i="61"/>
  <c r="V115" i="61"/>
  <c r="V12" i="60"/>
  <c r="V49" i="59"/>
  <c r="V65" i="59"/>
  <c r="V81" i="59"/>
  <c r="Y69" i="61"/>
  <c r="U67" i="61"/>
  <c r="U47" i="61"/>
  <c r="V52" i="59"/>
  <c r="V43" i="59"/>
  <c r="U35" i="59"/>
  <c r="V58" i="59"/>
  <c r="V16" i="61"/>
  <c r="V68" i="61"/>
  <c r="V50" i="61"/>
  <c r="V48" i="61"/>
  <c r="U75" i="48"/>
  <c r="U9" i="48"/>
  <c r="Y103" i="61"/>
  <c r="Z63" i="61"/>
  <c r="Y63" i="61"/>
  <c r="Y57" i="61"/>
  <c r="Y51" i="61"/>
  <c r="Y45" i="61"/>
  <c r="Y33" i="61"/>
  <c r="T33" i="61"/>
  <c r="Y27" i="61"/>
  <c r="Y21" i="61"/>
  <c r="T15" i="61"/>
  <c r="Z15" i="61" s="1"/>
  <c r="Y15" i="61"/>
  <c r="T21" i="61"/>
  <c r="T103" i="61"/>
  <c r="T76" i="48"/>
  <c r="Y76" i="48"/>
  <c r="Y73" i="48"/>
  <c r="Y25" i="48"/>
  <c r="T25" i="48"/>
  <c r="Z55" i="48"/>
  <c r="Y55" i="48"/>
  <c r="Z39" i="59"/>
  <c r="Y39" i="59"/>
  <c r="Y70" i="59"/>
  <c r="T70" i="59"/>
  <c r="Z70" i="59" s="1"/>
  <c r="T68" i="59"/>
  <c r="Z68" i="59" s="1"/>
  <c r="Y68" i="59"/>
  <c r="Y64" i="59"/>
  <c r="T64" i="59"/>
  <c r="Z64" i="59" s="1"/>
  <c r="Y55" i="59"/>
  <c r="Y53" i="59"/>
  <c r="Z35" i="59"/>
  <c r="Y35" i="59"/>
  <c r="Y33" i="59"/>
  <c r="Z29" i="59"/>
  <c r="Y29" i="59"/>
  <c r="Z27" i="59"/>
  <c r="Y27" i="59"/>
  <c r="T23" i="59"/>
  <c r="Z23" i="59" s="1"/>
  <c r="Z21" i="59"/>
  <c r="Y21" i="59"/>
  <c r="Y16" i="60"/>
  <c r="T16" i="60"/>
  <c r="AA16" i="60"/>
  <c r="Y10" i="60"/>
  <c r="AA10" i="60"/>
  <c r="Y27" i="60"/>
  <c r="T27" i="60"/>
  <c r="AG18" i="60" s="1"/>
  <c r="AA27" i="60"/>
  <c r="AA17" i="60"/>
  <c r="Y17" i="60"/>
  <c r="T17" i="60"/>
  <c r="Y78" i="61"/>
  <c r="T78" i="61"/>
  <c r="AA78" i="61"/>
  <c r="T39" i="61"/>
  <c r="AA39" i="61"/>
  <c r="Y39" i="61"/>
  <c r="Y60" i="61"/>
  <c r="T60" i="61"/>
  <c r="AA60" i="61"/>
  <c r="Y59" i="61"/>
  <c r="T59" i="61"/>
  <c r="AA59" i="61"/>
  <c r="Y49" i="61"/>
  <c r="T49" i="61"/>
  <c r="AA49" i="61"/>
  <c r="Y47" i="61"/>
  <c r="T47" i="61"/>
  <c r="AA47" i="61"/>
  <c r="Z45" i="61"/>
  <c r="Y67" i="61"/>
  <c r="T67" i="61"/>
  <c r="AA67" i="61"/>
  <c r="Y65" i="61"/>
  <c r="T65" i="61"/>
  <c r="AA65" i="61"/>
  <c r="Y55" i="61"/>
  <c r="T55" i="61"/>
  <c r="AA55" i="61"/>
  <c r="Y53" i="61"/>
  <c r="T53" i="61"/>
  <c r="AA53" i="61"/>
  <c r="Z51" i="61"/>
  <c r="AA71" i="61"/>
  <c r="V70" i="61"/>
  <c r="V64" i="61"/>
  <c r="V58" i="61"/>
  <c r="V52" i="61"/>
  <c r="V46" i="61"/>
  <c r="T71" i="61"/>
  <c r="AA69" i="61"/>
  <c r="AA63" i="61"/>
  <c r="AA57" i="61"/>
  <c r="AA51" i="61"/>
  <c r="AA45" i="61"/>
  <c r="AA35" i="61"/>
  <c r="Y35" i="61"/>
  <c r="T35" i="61"/>
  <c r="AA23" i="61"/>
  <c r="Y23" i="61"/>
  <c r="T23" i="61"/>
  <c r="Y37" i="61"/>
  <c r="T37" i="61"/>
  <c r="AA37" i="61"/>
  <c r="Y25" i="61"/>
  <c r="T25" i="61"/>
  <c r="AA25" i="61"/>
  <c r="AA29" i="61"/>
  <c r="Y29" i="61"/>
  <c r="T29" i="61"/>
  <c r="Y13" i="61"/>
  <c r="T13" i="61"/>
  <c r="Z13" i="61" s="1"/>
  <c r="AA13" i="61"/>
  <c r="Y31" i="61"/>
  <c r="T31" i="61"/>
  <c r="Z31" i="61" s="1"/>
  <c r="AA31" i="61"/>
  <c r="Y19" i="61"/>
  <c r="T19" i="61"/>
  <c r="AA19" i="61"/>
  <c r="AA17" i="61"/>
  <c r="Y17" i="61"/>
  <c r="T17" i="61"/>
  <c r="AA11" i="61"/>
  <c r="Y11" i="61"/>
  <c r="T11" i="61"/>
  <c r="Y114" i="59"/>
  <c r="T114" i="59"/>
  <c r="Z114" i="59" s="1"/>
  <c r="AA114" i="59"/>
  <c r="Y74" i="59"/>
  <c r="T74" i="59"/>
  <c r="AA74" i="59"/>
  <c r="AA101" i="59"/>
  <c r="T101" i="59"/>
  <c r="Y101" i="59"/>
  <c r="AA39" i="59"/>
  <c r="Y91" i="59"/>
  <c r="T91" i="59"/>
  <c r="AA91" i="59"/>
  <c r="Y92" i="59"/>
  <c r="V94" i="59"/>
  <c r="V88" i="59"/>
  <c r="V84" i="59"/>
  <c r="V75" i="59"/>
  <c r="V92" i="59"/>
  <c r="V80" i="59"/>
  <c r="V73" i="59"/>
  <c r="AA72" i="59"/>
  <c r="Y72" i="59"/>
  <c r="T72" i="59"/>
  <c r="AA66" i="59"/>
  <c r="Y66" i="59"/>
  <c r="T66" i="59"/>
  <c r="Z55" i="59"/>
  <c r="Y59" i="59"/>
  <c r="T59" i="59"/>
  <c r="AA59" i="59"/>
  <c r="V69" i="59"/>
  <c r="V63" i="59"/>
  <c r="V62" i="59"/>
  <c r="AA57" i="59"/>
  <c r="V56" i="59"/>
  <c r="T57" i="59"/>
  <c r="AA55" i="59"/>
  <c r="Z33" i="59"/>
  <c r="Y31" i="59"/>
  <c r="T31" i="59"/>
  <c r="AA31" i="59"/>
  <c r="Y37" i="59"/>
  <c r="T37" i="59"/>
  <c r="AA37" i="59"/>
  <c r="Z53" i="59"/>
  <c r="Y25" i="59"/>
  <c r="T25" i="59"/>
  <c r="AA25" i="59"/>
  <c r="V46" i="59"/>
  <c r="V41" i="59"/>
  <c r="AA35" i="59"/>
  <c r="V34" i="59"/>
  <c r="AA29" i="59"/>
  <c r="V28" i="59"/>
  <c r="AA23" i="59"/>
  <c r="V22" i="59"/>
  <c r="AA53" i="59"/>
  <c r="AA33" i="59"/>
  <c r="AA27" i="59"/>
  <c r="AA21" i="59"/>
  <c r="Y19" i="48"/>
  <c r="T19" i="48"/>
  <c r="Z19" i="48" s="1"/>
  <c r="AA19" i="48"/>
  <c r="Y75" i="48"/>
  <c r="T75" i="48"/>
  <c r="AA75" i="48"/>
  <c r="Y9" i="48"/>
  <c r="T9" i="48"/>
  <c r="AA9" i="48"/>
  <c r="Y74" i="48"/>
  <c r="T74" i="48"/>
  <c r="AA74" i="48"/>
  <c r="Z73" i="48"/>
  <c r="AA54" i="48"/>
  <c r="Y54" i="48"/>
  <c r="Z54" i="48"/>
  <c r="AA73" i="48"/>
  <c r="AA55" i="48"/>
  <c r="V19" i="60"/>
  <c r="V20" i="60"/>
  <c r="V11" i="60"/>
  <c r="V31" i="60"/>
  <c r="V102" i="61"/>
  <c r="V35" i="60"/>
  <c r="V22" i="60"/>
  <c r="V26" i="60"/>
  <c r="S26" i="60" s="1"/>
  <c r="AA26" i="60" s="1"/>
  <c r="V8" i="61"/>
  <c r="T96" i="61"/>
  <c r="Z96" i="61" s="1"/>
  <c r="Y96" i="61"/>
  <c r="V99" i="61"/>
  <c r="V42" i="61"/>
  <c r="V13" i="60"/>
  <c r="V15" i="60"/>
  <c r="V32" i="60"/>
  <c r="V21" i="60"/>
  <c r="V9" i="60"/>
  <c r="T34" i="60"/>
  <c r="AG23" i="60" s="1"/>
  <c r="U106" i="61"/>
  <c r="V40" i="61"/>
  <c r="U93" i="61"/>
  <c r="V43" i="61"/>
  <c r="V10" i="61"/>
  <c r="V112" i="61"/>
  <c r="V97" i="59"/>
  <c r="V111" i="59"/>
  <c r="V102" i="59"/>
  <c r="Q118" i="59"/>
  <c r="I7" i="45" s="1"/>
  <c r="V105" i="59"/>
  <c r="V108" i="59"/>
  <c r="V100" i="59"/>
  <c r="V103" i="59"/>
  <c r="U106" i="59"/>
  <c r="V112" i="59"/>
  <c r="AN11" i="61"/>
  <c r="V111" i="61"/>
  <c r="V107" i="61"/>
  <c r="V100" i="61"/>
  <c r="U96" i="61"/>
  <c r="U88" i="61"/>
  <c r="V75" i="61"/>
  <c r="V77" i="61"/>
  <c r="V80" i="61"/>
  <c r="V91" i="61"/>
  <c r="V97" i="61"/>
  <c r="V104" i="61"/>
  <c r="V79" i="61"/>
  <c r="V82" i="61"/>
  <c r="AA96" i="61"/>
  <c r="V113" i="61"/>
  <c r="V110" i="61"/>
  <c r="V114" i="61"/>
  <c r="V117" i="61"/>
  <c r="V116" i="61"/>
  <c r="AA11" i="60"/>
  <c r="AN11" i="60"/>
  <c r="T11" i="60"/>
  <c r="AG10" i="60" s="1"/>
  <c r="V34" i="60"/>
  <c r="T20" i="60"/>
  <c r="AG14" i="60" s="1"/>
  <c r="AN11" i="59"/>
  <c r="V9" i="59"/>
  <c r="V12" i="59"/>
  <c r="V96" i="59"/>
  <c r="AM10" i="48"/>
  <c r="AM11" i="48" s="1"/>
  <c r="AN14" i="48"/>
  <c r="V118" i="61" l="1"/>
  <c r="Y93" i="61"/>
  <c r="AA93" i="61"/>
  <c r="Y18" i="59"/>
  <c r="Y89" i="59"/>
  <c r="V116" i="59"/>
  <c r="Z32" i="60"/>
  <c r="AG21" i="60"/>
  <c r="Z29" i="60"/>
  <c r="AG19" i="60"/>
  <c r="Z19" i="60"/>
  <c r="AG13" i="60"/>
  <c r="Z30" i="60"/>
  <c r="AG20" i="60"/>
  <c r="Y35" i="60"/>
  <c r="T35" i="60"/>
  <c r="AA35" i="60"/>
  <c r="AA32" i="60"/>
  <c r="Y32" i="60"/>
  <c r="W30" i="60"/>
  <c r="X30" i="60" s="1"/>
  <c r="Y20" i="60"/>
  <c r="Z93" i="59"/>
  <c r="AG52" i="59"/>
  <c r="AH52" i="59" s="1"/>
  <c r="Y18" i="60"/>
  <c r="Z107" i="59"/>
  <c r="AG63" i="59"/>
  <c r="AH63" i="59" s="1"/>
  <c r="Z97" i="59"/>
  <c r="AG55" i="59"/>
  <c r="AH55" i="59" s="1"/>
  <c r="Z108" i="61"/>
  <c r="AG63" i="61"/>
  <c r="AH63" i="61" s="1"/>
  <c r="Z87" i="59"/>
  <c r="AG47" i="59"/>
  <c r="Z99" i="59"/>
  <c r="AG56" i="59"/>
  <c r="AH56" i="59" s="1"/>
  <c r="Z104" i="61"/>
  <c r="AG59" i="61"/>
  <c r="AH15" i="60"/>
  <c r="Y14" i="60"/>
  <c r="AH21" i="60"/>
  <c r="AH23" i="60"/>
  <c r="AI23" i="60" s="1"/>
  <c r="Y19" i="60"/>
  <c r="AI55" i="61"/>
  <c r="AS55" i="61"/>
  <c r="Z91" i="61"/>
  <c r="Z97" i="61"/>
  <c r="AG54" i="61"/>
  <c r="AH54" i="61" s="1"/>
  <c r="AS50" i="61"/>
  <c r="AI50" i="61"/>
  <c r="AS57" i="61"/>
  <c r="AI57" i="61"/>
  <c r="AS52" i="61"/>
  <c r="AI52" i="61"/>
  <c r="U24" i="48"/>
  <c r="T92" i="59"/>
  <c r="AA92" i="59"/>
  <c r="Y94" i="59"/>
  <c r="T94" i="59"/>
  <c r="AG53" i="59" s="1"/>
  <c r="AH53" i="59" s="1"/>
  <c r="AA94" i="59"/>
  <c r="W24" i="60"/>
  <c r="X24" i="60" s="1"/>
  <c r="Z24" i="60"/>
  <c r="U97" i="61"/>
  <c r="AA29" i="60"/>
  <c r="Y29" i="60"/>
  <c r="Y21" i="60"/>
  <c r="Z28" i="60"/>
  <c r="Y28" i="60"/>
  <c r="AA21" i="60"/>
  <c r="Z21" i="60"/>
  <c r="Y31" i="60"/>
  <c r="U31" i="60"/>
  <c r="T14" i="60"/>
  <c r="Y22" i="60"/>
  <c r="T31" i="60"/>
  <c r="Z31" i="60" s="1"/>
  <c r="T22" i="60"/>
  <c r="AG16" i="60" s="1"/>
  <c r="AA28" i="60"/>
  <c r="T16" i="59"/>
  <c r="Z16" i="59" s="1"/>
  <c r="Z18" i="59"/>
  <c r="AG13" i="59"/>
  <c r="AH13" i="59" s="1"/>
  <c r="AS13" i="59" s="1"/>
  <c r="AA18" i="59"/>
  <c r="U18" i="59"/>
  <c r="W18" i="59" s="1"/>
  <c r="X18" i="59" s="1"/>
  <c r="Z72" i="61"/>
  <c r="W73" i="61"/>
  <c r="X73" i="61" s="1"/>
  <c r="Z73" i="61"/>
  <c r="W72" i="61"/>
  <c r="X72" i="61" s="1"/>
  <c r="U77" i="61"/>
  <c r="AI40" i="61"/>
  <c r="AA99" i="61"/>
  <c r="Y16" i="59"/>
  <c r="AA16" i="59"/>
  <c r="AA79" i="59"/>
  <c r="Y61" i="59"/>
  <c r="AG12" i="59"/>
  <c r="AH12" i="59" s="1"/>
  <c r="AS12" i="59" s="1"/>
  <c r="W16" i="59"/>
  <c r="AA61" i="59"/>
  <c r="Y105" i="59"/>
  <c r="Y24" i="48"/>
  <c r="AA24" i="48"/>
  <c r="Y25" i="60"/>
  <c r="AA25" i="60"/>
  <c r="Z25" i="60"/>
  <c r="U61" i="59"/>
  <c r="W61" i="59" s="1"/>
  <c r="X61" i="59" s="1"/>
  <c r="U20" i="60"/>
  <c r="U32" i="60"/>
  <c r="W32" i="60" s="1"/>
  <c r="X32" i="60" s="1"/>
  <c r="X16" i="59"/>
  <c r="X15" i="59"/>
  <c r="U22" i="60"/>
  <c r="Y81" i="61"/>
  <c r="AA40" i="61"/>
  <c r="U90" i="61"/>
  <c r="W90" i="61" s="1"/>
  <c r="X90" i="61" s="1"/>
  <c r="Y90" i="61"/>
  <c r="Y77" i="61"/>
  <c r="T77" i="61"/>
  <c r="AG43" i="61" s="1"/>
  <c r="AH43" i="61" s="1"/>
  <c r="AS43" i="61" s="1"/>
  <c r="AA104" i="61"/>
  <c r="U104" i="61"/>
  <c r="W104" i="61" s="1"/>
  <c r="X104" i="61" s="1"/>
  <c r="AA90" i="61"/>
  <c r="T41" i="61"/>
  <c r="Z41" i="61" s="1"/>
  <c r="AA97" i="61"/>
  <c r="Y104" i="61"/>
  <c r="U41" i="61"/>
  <c r="AA99" i="59"/>
  <c r="AA43" i="59"/>
  <c r="T81" i="61"/>
  <c r="Y98" i="61"/>
  <c r="U98" i="61"/>
  <c r="W98" i="61" s="1"/>
  <c r="X98" i="61" s="1"/>
  <c r="Y34" i="60"/>
  <c r="AA98" i="61"/>
  <c r="U21" i="60"/>
  <c r="W21" i="60" s="1"/>
  <c r="X21" i="60" s="1"/>
  <c r="AA81" i="61"/>
  <c r="U105" i="61"/>
  <c r="Y41" i="61"/>
  <c r="T40" i="61"/>
  <c r="Z40" i="61" s="1"/>
  <c r="T62" i="59"/>
  <c r="Z62" i="59" s="1"/>
  <c r="U60" i="59"/>
  <c r="Y76" i="61"/>
  <c r="U34" i="60"/>
  <c r="Y26" i="60"/>
  <c r="Y23" i="60"/>
  <c r="AA12" i="60"/>
  <c r="Z26" i="60"/>
  <c r="T13" i="60"/>
  <c r="AG12" i="60" s="1"/>
  <c r="Y115" i="61"/>
  <c r="T105" i="59"/>
  <c r="Z23" i="60"/>
  <c r="T115" i="61"/>
  <c r="W29" i="60"/>
  <c r="X29" i="60" s="1"/>
  <c r="Y12" i="60"/>
  <c r="T12" i="60"/>
  <c r="Y33" i="60"/>
  <c r="AA15" i="60"/>
  <c r="Y15" i="60"/>
  <c r="AH10" i="60"/>
  <c r="Y13" i="60"/>
  <c r="W8" i="60"/>
  <c r="X8" i="60" s="1"/>
  <c r="W15" i="60"/>
  <c r="X15" i="60" s="1"/>
  <c r="AA19" i="60"/>
  <c r="T79" i="59"/>
  <c r="W79" i="59" s="1"/>
  <c r="X79" i="59" s="1"/>
  <c r="U98" i="59"/>
  <c r="W98" i="59" s="1"/>
  <c r="X98" i="59" s="1"/>
  <c r="Y79" i="59"/>
  <c r="Y98" i="59"/>
  <c r="Y86" i="61"/>
  <c r="Y80" i="61"/>
  <c r="AA85" i="59"/>
  <c r="AA98" i="59"/>
  <c r="T86" i="61"/>
  <c r="AA89" i="59"/>
  <c r="U86" i="61"/>
  <c r="T89" i="59"/>
  <c r="AA8" i="60"/>
  <c r="U19" i="60"/>
  <c r="W19" i="60" s="1"/>
  <c r="X19" i="60" s="1"/>
  <c r="Y8" i="60"/>
  <c r="AH8" i="60"/>
  <c r="AS8" i="60" s="1"/>
  <c r="U11" i="60"/>
  <c r="W11" i="60" s="1"/>
  <c r="X11" i="60" s="1"/>
  <c r="T33" i="60"/>
  <c r="Y43" i="61"/>
  <c r="U40" i="61"/>
  <c r="W9" i="60"/>
  <c r="X9" i="60" s="1"/>
  <c r="AA9" i="60"/>
  <c r="AA33" i="60"/>
  <c r="Y9" i="60"/>
  <c r="S36" i="60"/>
  <c r="V38" i="60"/>
  <c r="T76" i="61"/>
  <c r="Z76" i="61" s="1"/>
  <c r="Y97" i="61"/>
  <c r="Y100" i="61"/>
  <c r="AA75" i="59"/>
  <c r="AA87" i="59"/>
  <c r="T75" i="59"/>
  <c r="Z75" i="59" s="1"/>
  <c r="T43" i="59"/>
  <c r="Z43" i="59" s="1"/>
  <c r="Y75" i="59"/>
  <c r="Y87" i="59"/>
  <c r="U87" i="59"/>
  <c r="W87" i="59" s="1"/>
  <c r="X87" i="59" s="1"/>
  <c r="AA76" i="61"/>
  <c r="AA43" i="61"/>
  <c r="Y94" i="61"/>
  <c r="AA94" i="61"/>
  <c r="T94" i="61"/>
  <c r="W94" i="61" s="1"/>
  <c r="X94" i="61" s="1"/>
  <c r="T43" i="61"/>
  <c r="W43" i="61" s="1"/>
  <c r="X43" i="61" s="1"/>
  <c r="T74" i="61"/>
  <c r="W74" i="61" s="1"/>
  <c r="X74" i="61" s="1"/>
  <c r="Y74" i="61"/>
  <c r="AA74" i="61"/>
  <c r="S118" i="61"/>
  <c r="T99" i="61"/>
  <c r="T80" i="61"/>
  <c r="Z80" i="61" s="1"/>
  <c r="AA89" i="61"/>
  <c r="T8" i="61"/>
  <c r="U80" i="61"/>
  <c r="Y99" i="61"/>
  <c r="Y8" i="61"/>
  <c r="V120" i="61"/>
  <c r="U8" i="61"/>
  <c r="AA79" i="61"/>
  <c r="U79" i="61"/>
  <c r="W79" i="61" s="1"/>
  <c r="X79" i="61" s="1"/>
  <c r="Y79" i="61"/>
  <c r="U115" i="61"/>
  <c r="AA111" i="61"/>
  <c r="AA105" i="61"/>
  <c r="T87" i="61"/>
  <c r="Z87" i="61" s="1"/>
  <c r="AA106" i="61"/>
  <c r="Y106" i="61"/>
  <c r="T106" i="61"/>
  <c r="AA88" i="61"/>
  <c r="Y88" i="61"/>
  <c r="Y8" i="59"/>
  <c r="AA107" i="61"/>
  <c r="AA103" i="59"/>
  <c r="T107" i="61"/>
  <c r="Y103" i="59"/>
  <c r="U107" i="61"/>
  <c r="AA108" i="61"/>
  <c r="AA113" i="61"/>
  <c r="U108" i="61"/>
  <c r="W108" i="61" s="1"/>
  <c r="X108" i="61" s="1"/>
  <c r="AA87" i="61"/>
  <c r="Y108" i="61"/>
  <c r="T89" i="61"/>
  <c r="Y87" i="61"/>
  <c r="Y92" i="61"/>
  <c r="T105" i="61"/>
  <c r="AG60" i="61" s="1"/>
  <c r="T111" i="61"/>
  <c r="Z111" i="61" s="1"/>
  <c r="AA92" i="61"/>
  <c r="Y113" i="61"/>
  <c r="T92" i="61"/>
  <c r="W92" i="61" s="1"/>
  <c r="X92" i="61" s="1"/>
  <c r="U111" i="61"/>
  <c r="T113" i="61"/>
  <c r="Z113" i="61" s="1"/>
  <c r="Y102" i="59"/>
  <c r="U8" i="59"/>
  <c r="W8" i="59" s="1"/>
  <c r="X8" i="59" s="1"/>
  <c r="U100" i="61"/>
  <c r="W100" i="61" s="1"/>
  <c r="X100" i="61" s="1"/>
  <c r="T112" i="61"/>
  <c r="Z112" i="61" s="1"/>
  <c r="U112" i="61"/>
  <c r="AA112" i="61"/>
  <c r="AA100" i="61"/>
  <c r="Y91" i="61"/>
  <c r="T83" i="61"/>
  <c r="U91" i="61"/>
  <c r="W91" i="61" s="1"/>
  <c r="X91" i="61" s="1"/>
  <c r="U83" i="61"/>
  <c r="AA91" i="61"/>
  <c r="AA83" i="61"/>
  <c r="Y85" i="61"/>
  <c r="U38" i="61"/>
  <c r="Y34" i="61"/>
  <c r="T85" i="61"/>
  <c r="W85" i="61" s="1"/>
  <c r="X85" i="61" s="1"/>
  <c r="Y38" i="61"/>
  <c r="AA85" i="61"/>
  <c r="AA42" i="59"/>
  <c r="Y78" i="59"/>
  <c r="Y110" i="61"/>
  <c r="Y50" i="61"/>
  <c r="AA97" i="59"/>
  <c r="T110" i="61"/>
  <c r="W110" i="61" s="1"/>
  <c r="X110" i="61" s="1"/>
  <c r="Y102" i="61"/>
  <c r="Y9" i="61"/>
  <c r="AA8" i="59"/>
  <c r="Y97" i="59"/>
  <c r="AA110" i="61"/>
  <c r="AA102" i="61"/>
  <c r="AA112" i="59"/>
  <c r="T114" i="61"/>
  <c r="T70" i="61"/>
  <c r="Z70" i="61" s="1"/>
  <c r="AA102" i="59"/>
  <c r="T103" i="59"/>
  <c r="T45" i="59"/>
  <c r="W45" i="59" s="1"/>
  <c r="X45" i="59" s="1"/>
  <c r="Y45" i="59"/>
  <c r="AA45" i="59"/>
  <c r="Y36" i="61"/>
  <c r="U82" i="61"/>
  <c r="W82" i="61" s="1"/>
  <c r="X82" i="61" s="1"/>
  <c r="T117" i="61"/>
  <c r="Z117" i="61" s="1"/>
  <c r="U117" i="61"/>
  <c r="AA114" i="61"/>
  <c r="Y66" i="61"/>
  <c r="AA117" i="61"/>
  <c r="T95" i="61"/>
  <c r="Z95" i="61" s="1"/>
  <c r="U114" i="61"/>
  <c r="T38" i="61"/>
  <c r="AA52" i="61"/>
  <c r="T50" i="61"/>
  <c r="AG29" i="61" s="1"/>
  <c r="AH29" i="61" s="1"/>
  <c r="Y42" i="59"/>
  <c r="U20" i="61"/>
  <c r="T102" i="61"/>
  <c r="AA50" i="61"/>
  <c r="AA62" i="61"/>
  <c r="AA75" i="61"/>
  <c r="Y83" i="59"/>
  <c r="Y40" i="59"/>
  <c r="U48" i="59"/>
  <c r="W48" i="59" s="1"/>
  <c r="X48" i="59" s="1"/>
  <c r="AA93" i="59"/>
  <c r="T90" i="59"/>
  <c r="AA105" i="59"/>
  <c r="AA40" i="59"/>
  <c r="AA48" i="59"/>
  <c r="Y93" i="59"/>
  <c r="AA46" i="61"/>
  <c r="Y54" i="61"/>
  <c r="U24" i="61"/>
  <c r="W24" i="61" s="1"/>
  <c r="U84" i="61"/>
  <c r="AA18" i="61"/>
  <c r="T68" i="61"/>
  <c r="W68" i="61" s="1"/>
  <c r="X68" i="61" s="1"/>
  <c r="T28" i="61"/>
  <c r="AA20" i="61"/>
  <c r="AA64" i="61"/>
  <c r="AA96" i="59"/>
  <c r="AG22" i="61"/>
  <c r="AH22" i="61" s="1"/>
  <c r="AS22" i="61" s="1"/>
  <c r="AA68" i="61"/>
  <c r="T61" i="61"/>
  <c r="Z61" i="61" s="1"/>
  <c r="Y42" i="61"/>
  <c r="T96" i="59"/>
  <c r="Z96" i="59" s="1"/>
  <c r="AA12" i="61"/>
  <c r="Y68" i="61"/>
  <c r="T54" i="61"/>
  <c r="Z54" i="61" s="1"/>
  <c r="U96" i="59"/>
  <c r="AA84" i="59"/>
  <c r="AA24" i="61"/>
  <c r="Y61" i="61"/>
  <c r="U97" i="59"/>
  <c r="W97" i="59" s="1"/>
  <c r="X97" i="59" s="1"/>
  <c r="T84" i="59"/>
  <c r="Z84" i="59" s="1"/>
  <c r="AA36" i="61"/>
  <c r="Y12" i="61"/>
  <c r="Y84" i="59"/>
  <c r="Y24" i="61"/>
  <c r="U12" i="61"/>
  <c r="W12" i="61" s="1"/>
  <c r="X12" i="61" s="1"/>
  <c r="U61" i="61"/>
  <c r="Y46" i="61"/>
  <c r="AA84" i="61"/>
  <c r="T20" i="61"/>
  <c r="Z20" i="61" s="1"/>
  <c r="AA16" i="61"/>
  <c r="T58" i="61"/>
  <c r="Z58" i="61" s="1"/>
  <c r="Y30" i="61"/>
  <c r="U32" i="61"/>
  <c r="Y28" i="61"/>
  <c r="T84" i="61"/>
  <c r="AA58" i="61"/>
  <c r="AA101" i="61"/>
  <c r="T75" i="61"/>
  <c r="AA109" i="61"/>
  <c r="T109" i="61"/>
  <c r="T32" i="61"/>
  <c r="Z32" i="61" s="1"/>
  <c r="AA32" i="61"/>
  <c r="T16" i="61"/>
  <c r="AG12" i="61" s="1"/>
  <c r="AH12" i="61" s="1"/>
  <c r="AI12" i="61" s="1"/>
  <c r="Y58" i="61"/>
  <c r="T62" i="61"/>
  <c r="W62" i="61" s="1"/>
  <c r="X62" i="61" s="1"/>
  <c r="W45" i="61"/>
  <c r="X45" i="61" s="1"/>
  <c r="U28" i="61"/>
  <c r="Y95" i="61"/>
  <c r="Y75" i="61"/>
  <c r="AA9" i="61"/>
  <c r="U109" i="61"/>
  <c r="Y16" i="61"/>
  <c r="Y62" i="61"/>
  <c r="AA14" i="61"/>
  <c r="T56" i="61"/>
  <c r="W56" i="61" s="1"/>
  <c r="X56" i="61" s="1"/>
  <c r="T102" i="59"/>
  <c r="AA30" i="61"/>
  <c r="Y44" i="61"/>
  <c r="T78" i="59"/>
  <c r="Z78" i="59" s="1"/>
  <c r="T48" i="61"/>
  <c r="Z48" i="61" s="1"/>
  <c r="U26" i="61"/>
  <c r="U40" i="59"/>
  <c r="W40" i="59" s="1"/>
  <c r="X40" i="59" s="1"/>
  <c r="Y82" i="59"/>
  <c r="Y48" i="61"/>
  <c r="Y88" i="59"/>
  <c r="AA70" i="61"/>
  <c r="AA48" i="61"/>
  <c r="U62" i="59"/>
  <c r="Y70" i="61"/>
  <c r="Y62" i="59"/>
  <c r="Y18" i="61"/>
  <c r="T14" i="61"/>
  <c r="AG11" i="61" s="1"/>
  <c r="AH11" i="61" s="1"/>
  <c r="AA22" i="61"/>
  <c r="T44" i="61"/>
  <c r="Z44" i="61" s="1"/>
  <c r="T52" i="61"/>
  <c r="Z52" i="61" s="1"/>
  <c r="T64" i="61"/>
  <c r="Z64" i="61" s="1"/>
  <c r="T66" i="61"/>
  <c r="Z66" i="61" s="1"/>
  <c r="U22" i="61"/>
  <c r="U66" i="61"/>
  <c r="T22" i="61"/>
  <c r="AG15" i="61" s="1"/>
  <c r="AH15" i="61" s="1"/>
  <c r="AS15" i="61" s="1"/>
  <c r="Y52" i="61"/>
  <c r="Y64" i="61"/>
  <c r="U34" i="61"/>
  <c r="W34" i="61" s="1"/>
  <c r="X34" i="61" s="1"/>
  <c r="Y101" i="61"/>
  <c r="AA10" i="61"/>
  <c r="T26" i="61"/>
  <c r="Z26" i="61" s="1"/>
  <c r="AA44" i="61"/>
  <c r="Y56" i="61"/>
  <c r="U101" i="61"/>
  <c r="W101" i="61" s="1"/>
  <c r="X101" i="61" s="1"/>
  <c r="AA26" i="61"/>
  <c r="AA34" i="61"/>
  <c r="AA56" i="61"/>
  <c r="U14" i="61"/>
  <c r="T10" i="61"/>
  <c r="AG9" i="61" s="1"/>
  <c r="AH9" i="61" s="1"/>
  <c r="AS9" i="61" s="1"/>
  <c r="U95" i="61"/>
  <c r="U18" i="61"/>
  <c r="W18" i="61" s="1"/>
  <c r="X18" i="61" s="1"/>
  <c r="U10" i="61"/>
  <c r="U54" i="61"/>
  <c r="U36" i="61"/>
  <c r="W36" i="61" s="1"/>
  <c r="X36" i="61" s="1"/>
  <c r="U30" i="61"/>
  <c r="W30" i="61" s="1"/>
  <c r="X30" i="61" s="1"/>
  <c r="Y99" i="59"/>
  <c r="Y116" i="61"/>
  <c r="AA116" i="61"/>
  <c r="Y82" i="61"/>
  <c r="U99" i="59"/>
  <c r="W99" i="59" s="1"/>
  <c r="X99" i="59" s="1"/>
  <c r="Y47" i="59"/>
  <c r="AA47" i="59"/>
  <c r="Y76" i="59"/>
  <c r="T82" i="59"/>
  <c r="Z82" i="59" s="1"/>
  <c r="AA76" i="59"/>
  <c r="AA82" i="61"/>
  <c r="U116" i="61"/>
  <c r="W116" i="61" s="1"/>
  <c r="X116" i="61" s="1"/>
  <c r="T42" i="61"/>
  <c r="Z42" i="61" s="1"/>
  <c r="T9" i="61"/>
  <c r="U42" i="61"/>
  <c r="U9" i="61"/>
  <c r="AA106" i="59"/>
  <c r="Y106" i="59"/>
  <c r="T88" i="59"/>
  <c r="AG48" i="59" s="1"/>
  <c r="T83" i="59"/>
  <c r="Z83" i="59" s="1"/>
  <c r="T104" i="59"/>
  <c r="T41" i="59"/>
  <c r="Z41" i="59" s="1"/>
  <c r="T60" i="59"/>
  <c r="AG33" i="59" s="1"/>
  <c r="AH33" i="59" s="1"/>
  <c r="AI33" i="59" s="1"/>
  <c r="T85" i="59"/>
  <c r="T95" i="59"/>
  <c r="U83" i="59"/>
  <c r="U95" i="59"/>
  <c r="AA41" i="59"/>
  <c r="AA95" i="59"/>
  <c r="Y107" i="59"/>
  <c r="AA115" i="59"/>
  <c r="U104" i="59"/>
  <c r="Y104" i="59"/>
  <c r="AA110" i="59"/>
  <c r="S116" i="59"/>
  <c r="Y41" i="59"/>
  <c r="Y60" i="59"/>
  <c r="Y85" i="59"/>
  <c r="T110" i="59"/>
  <c r="Z110" i="59" s="1"/>
  <c r="Y48" i="59"/>
  <c r="U76" i="59"/>
  <c r="W76" i="59" s="1"/>
  <c r="X76" i="59" s="1"/>
  <c r="U43" i="59"/>
  <c r="U42" i="59"/>
  <c r="W42" i="59" s="1"/>
  <c r="X42" i="59" s="1"/>
  <c r="U47" i="59"/>
  <c r="W47" i="59" s="1"/>
  <c r="X47" i="59" s="1"/>
  <c r="U82" i="59"/>
  <c r="AA86" i="59"/>
  <c r="Y86" i="59"/>
  <c r="U93" i="59"/>
  <c r="W93" i="59" s="1"/>
  <c r="X93" i="59" s="1"/>
  <c r="AA63" i="59"/>
  <c r="T38" i="59"/>
  <c r="AG23" i="59" s="1"/>
  <c r="AH23" i="59" s="1"/>
  <c r="AS23" i="59" s="1"/>
  <c r="U38" i="59"/>
  <c r="T58" i="59"/>
  <c r="Z58" i="59" s="1"/>
  <c r="Z115" i="59"/>
  <c r="U110" i="59"/>
  <c r="U107" i="59"/>
  <c r="W107" i="59" s="1"/>
  <c r="X107" i="59" s="1"/>
  <c r="Y38" i="59"/>
  <c r="AA107" i="59"/>
  <c r="Y58" i="59"/>
  <c r="Y108" i="59"/>
  <c r="AA113" i="59"/>
  <c r="Y113" i="59"/>
  <c r="AA100" i="59"/>
  <c r="AA46" i="59"/>
  <c r="Y77" i="59"/>
  <c r="U58" i="59"/>
  <c r="AA111" i="59"/>
  <c r="U111" i="59"/>
  <c r="W111" i="59" s="1"/>
  <c r="X111" i="59" s="1"/>
  <c r="Y112" i="59"/>
  <c r="Y111" i="59"/>
  <c r="T100" i="59"/>
  <c r="Y100" i="59"/>
  <c r="T50" i="59"/>
  <c r="Z50" i="59" s="1"/>
  <c r="W113" i="59"/>
  <c r="X113" i="59" s="1"/>
  <c r="U78" i="59"/>
  <c r="AA77" i="59"/>
  <c r="T77" i="59"/>
  <c r="Z77" i="59" s="1"/>
  <c r="Y90" i="59"/>
  <c r="Y109" i="59"/>
  <c r="T44" i="59"/>
  <c r="Z44" i="59" s="1"/>
  <c r="U112" i="59"/>
  <c r="W112" i="59" s="1"/>
  <c r="X112" i="59" s="1"/>
  <c r="AA109" i="59"/>
  <c r="U109" i="59"/>
  <c r="W109" i="59" s="1"/>
  <c r="X109" i="59" s="1"/>
  <c r="Y73" i="59"/>
  <c r="AA73" i="59"/>
  <c r="W35" i="61"/>
  <c r="X35" i="61" s="1"/>
  <c r="U9" i="59"/>
  <c r="Y9" i="59"/>
  <c r="T73" i="59"/>
  <c r="Z73" i="59" s="1"/>
  <c r="T56" i="59"/>
  <c r="Z56" i="59" s="1"/>
  <c r="AA49" i="59"/>
  <c r="AA71" i="59"/>
  <c r="W24" i="48"/>
  <c r="X24" i="48" s="1"/>
  <c r="U90" i="59"/>
  <c r="T28" i="59"/>
  <c r="Z28" i="59" s="1"/>
  <c r="U46" i="59"/>
  <c r="Y10" i="59"/>
  <c r="Y52" i="59"/>
  <c r="AA67" i="59"/>
  <c r="Y81" i="59"/>
  <c r="AA20" i="59"/>
  <c r="T26" i="59"/>
  <c r="AG17" i="59" s="1"/>
  <c r="AH17" i="59" s="1"/>
  <c r="AS17" i="59" s="1"/>
  <c r="T80" i="59"/>
  <c r="Z80" i="59" s="1"/>
  <c r="AA10" i="59"/>
  <c r="Y14" i="59"/>
  <c r="U10" i="59"/>
  <c r="W10" i="59" s="1"/>
  <c r="X10" i="59" s="1"/>
  <c r="T46" i="59"/>
  <c r="Y80" i="59"/>
  <c r="Y56" i="59"/>
  <c r="T108" i="59"/>
  <c r="AG64" i="59" s="1"/>
  <c r="AH64" i="59" s="1"/>
  <c r="U14" i="59"/>
  <c r="T9" i="59"/>
  <c r="Z9" i="59" s="1"/>
  <c r="T49" i="59"/>
  <c r="Z49" i="59" s="1"/>
  <c r="AA44" i="59"/>
  <c r="AA80" i="59"/>
  <c r="U44" i="59"/>
  <c r="U54" i="59"/>
  <c r="Y50" i="59"/>
  <c r="AA81" i="59"/>
  <c r="U50" i="59"/>
  <c r="U81" i="59"/>
  <c r="W81" i="59" s="1"/>
  <c r="X81" i="59" s="1"/>
  <c r="U108" i="59"/>
  <c r="U49" i="59"/>
  <c r="W49" i="61"/>
  <c r="X49" i="61" s="1"/>
  <c r="W53" i="59"/>
  <c r="X53" i="59" s="1"/>
  <c r="T30" i="59"/>
  <c r="U30" i="59"/>
  <c r="W21" i="61"/>
  <c r="X21" i="61" s="1"/>
  <c r="T54" i="59"/>
  <c r="Z54" i="59" s="1"/>
  <c r="AA54" i="59"/>
  <c r="W55" i="59"/>
  <c r="X55" i="59" s="1"/>
  <c r="AA30" i="59"/>
  <c r="AA52" i="59"/>
  <c r="AA65" i="59"/>
  <c r="Y12" i="59"/>
  <c r="T65" i="59"/>
  <c r="W65" i="59" s="1"/>
  <c r="X65" i="59" s="1"/>
  <c r="Y67" i="59"/>
  <c r="T12" i="59"/>
  <c r="AG10" i="59" s="1"/>
  <c r="AH10" i="59" s="1"/>
  <c r="AS10" i="59" s="1"/>
  <c r="AA12" i="59"/>
  <c r="Y32" i="59"/>
  <c r="Y65" i="59"/>
  <c r="U32" i="59"/>
  <c r="U67" i="59"/>
  <c r="W67" i="59" s="1"/>
  <c r="X67" i="59" s="1"/>
  <c r="U56" i="59"/>
  <c r="Z10" i="59"/>
  <c r="T52" i="59"/>
  <c r="W52" i="59" s="1"/>
  <c r="X52" i="59" s="1"/>
  <c r="Y26" i="59"/>
  <c r="W35" i="59"/>
  <c r="X35" i="59" s="1"/>
  <c r="W74" i="59"/>
  <c r="X74" i="59" s="1"/>
  <c r="AI9" i="59"/>
  <c r="W29" i="59"/>
  <c r="X29" i="59" s="1"/>
  <c r="AO9" i="59"/>
  <c r="AP9" i="59" s="1"/>
  <c r="AQ9" i="59" s="1"/>
  <c r="AA24" i="59"/>
  <c r="AA36" i="59"/>
  <c r="W31" i="59"/>
  <c r="X31" i="59" s="1"/>
  <c r="T14" i="59"/>
  <c r="AG11" i="59" s="1"/>
  <c r="AH11" i="59" s="1"/>
  <c r="AS11" i="59" s="1"/>
  <c r="Y28" i="59"/>
  <c r="U71" i="59"/>
  <c r="T63" i="59"/>
  <c r="Z63" i="59" s="1"/>
  <c r="T71" i="59"/>
  <c r="AG39" i="59" s="1"/>
  <c r="AH39" i="59" s="1"/>
  <c r="T69" i="59"/>
  <c r="AG38" i="59" s="1"/>
  <c r="AH38" i="59" s="1"/>
  <c r="AA69" i="59"/>
  <c r="W66" i="59"/>
  <c r="X66" i="59" s="1"/>
  <c r="U20" i="59"/>
  <c r="T24" i="59"/>
  <c r="Z24" i="59" s="1"/>
  <c r="T36" i="59"/>
  <c r="AG22" i="59" s="1"/>
  <c r="AH22" i="59" s="1"/>
  <c r="AI22" i="59" s="1"/>
  <c r="AA28" i="59"/>
  <c r="U24" i="59"/>
  <c r="U69" i="59"/>
  <c r="U63" i="59"/>
  <c r="U22" i="59"/>
  <c r="AA22" i="59"/>
  <c r="AA26" i="59"/>
  <c r="T20" i="59"/>
  <c r="Z20" i="59" s="1"/>
  <c r="T22" i="59"/>
  <c r="Z22" i="59" s="1"/>
  <c r="T32" i="59"/>
  <c r="AG20" i="59" s="1"/>
  <c r="AH20" i="59" s="1"/>
  <c r="AS20" i="59" s="1"/>
  <c r="U36" i="59"/>
  <c r="AA34" i="59"/>
  <c r="T34" i="59"/>
  <c r="Z34" i="59" s="1"/>
  <c r="Y34" i="59"/>
  <c r="W17" i="61"/>
  <c r="X17" i="61" s="1"/>
  <c r="T72" i="48"/>
  <c r="Z72" i="48" s="1"/>
  <c r="Y72" i="48"/>
  <c r="AA72" i="48"/>
  <c r="W53" i="61"/>
  <c r="X53" i="61" s="1"/>
  <c r="W16" i="60"/>
  <c r="X16" i="60" s="1"/>
  <c r="W11" i="61"/>
  <c r="X11" i="61" s="1"/>
  <c r="W47" i="61"/>
  <c r="X47" i="61" s="1"/>
  <c r="W37" i="59"/>
  <c r="X37" i="59" s="1"/>
  <c r="W55" i="61"/>
  <c r="X55" i="61" s="1"/>
  <c r="W17" i="60"/>
  <c r="X17" i="60" s="1"/>
  <c r="W27" i="60"/>
  <c r="X27" i="60" s="1"/>
  <c r="W65" i="61"/>
  <c r="X65" i="61" s="1"/>
  <c r="W25" i="59"/>
  <c r="X25" i="59" s="1"/>
  <c r="W23" i="59"/>
  <c r="X23" i="59" s="1"/>
  <c r="W91" i="59"/>
  <c r="X91" i="59" s="1"/>
  <c r="W29" i="61"/>
  <c r="X29" i="61" s="1"/>
  <c r="W68" i="59"/>
  <c r="X68" i="59" s="1"/>
  <c r="W71" i="61"/>
  <c r="X71" i="61" s="1"/>
  <c r="W78" i="61"/>
  <c r="X78" i="61" s="1"/>
  <c r="W59" i="61"/>
  <c r="X59" i="61" s="1"/>
  <c r="W103" i="61"/>
  <c r="X103" i="61" s="1"/>
  <c r="W67" i="61"/>
  <c r="X67" i="61" s="1"/>
  <c r="W10" i="60"/>
  <c r="X10" i="60" s="1"/>
  <c r="W25" i="48"/>
  <c r="X25" i="48" s="1"/>
  <c r="W23" i="61"/>
  <c r="X23" i="61" s="1"/>
  <c r="X63" i="61"/>
  <c r="W72" i="59"/>
  <c r="X72" i="59" s="1"/>
  <c r="W15" i="61"/>
  <c r="X15" i="61" s="1"/>
  <c r="W27" i="61"/>
  <c r="X27" i="61" s="1"/>
  <c r="X73" i="48"/>
  <c r="W70" i="59"/>
  <c r="X70" i="59" s="1"/>
  <c r="W60" i="61"/>
  <c r="X60" i="61" s="1"/>
  <c r="W76" i="48"/>
  <c r="X76" i="48" s="1"/>
  <c r="W64" i="59"/>
  <c r="X64" i="59" s="1"/>
  <c r="Z31" i="59"/>
  <c r="W59" i="59"/>
  <c r="X59" i="59" s="1"/>
  <c r="Z78" i="61"/>
  <c r="W33" i="61"/>
  <c r="X33" i="61" s="1"/>
  <c r="Z35" i="61"/>
  <c r="Z60" i="61"/>
  <c r="Z67" i="61"/>
  <c r="W74" i="48"/>
  <c r="X74" i="48" s="1"/>
  <c r="W75" i="48"/>
  <c r="X75" i="48" s="1"/>
  <c r="W9" i="48"/>
  <c r="X9" i="48" s="1"/>
  <c r="Z16" i="60"/>
  <c r="Z33" i="61"/>
  <c r="W19" i="61"/>
  <c r="X19" i="61" s="1"/>
  <c r="Z11" i="61"/>
  <c r="Z59" i="61"/>
  <c r="Z49" i="61"/>
  <c r="Z47" i="61"/>
  <c r="W37" i="61"/>
  <c r="X37" i="61" s="1"/>
  <c r="Z19" i="61"/>
  <c r="Z23" i="61"/>
  <c r="Z21" i="61"/>
  <c r="Z103" i="61"/>
  <c r="W46" i="61"/>
  <c r="X46" i="61" s="1"/>
  <c r="Z72" i="59"/>
  <c r="Z91" i="59"/>
  <c r="Z76" i="48"/>
  <c r="Z25" i="48"/>
  <c r="Z74" i="59"/>
  <c r="Z59" i="59"/>
  <c r="W57" i="59"/>
  <c r="X57" i="59" s="1"/>
  <c r="Z10" i="60"/>
  <c r="Z17" i="60"/>
  <c r="Z27" i="60"/>
  <c r="Z39" i="61"/>
  <c r="W39" i="61"/>
  <c r="X39" i="61" s="1"/>
  <c r="Z65" i="61"/>
  <c r="Z53" i="61"/>
  <c r="Z71" i="61"/>
  <c r="Z55" i="61"/>
  <c r="Z17" i="61"/>
  <c r="Z29" i="61"/>
  <c r="W25" i="61"/>
  <c r="X25" i="61" s="1"/>
  <c r="W31" i="61"/>
  <c r="X31" i="61" s="1"/>
  <c r="W13" i="61"/>
  <c r="X13" i="61" s="1"/>
  <c r="Z25" i="61"/>
  <c r="Z37" i="61"/>
  <c r="W114" i="59"/>
  <c r="X114" i="59" s="1"/>
  <c r="W101" i="59"/>
  <c r="X101" i="59" s="1"/>
  <c r="Z101" i="59"/>
  <c r="W92" i="59"/>
  <c r="X92" i="59" s="1"/>
  <c r="Z57" i="59"/>
  <c r="Z66" i="59"/>
  <c r="Z25" i="59"/>
  <c r="Z37" i="59"/>
  <c r="Z74" i="48"/>
  <c r="W19" i="48"/>
  <c r="X19" i="48" s="1"/>
  <c r="W54" i="48"/>
  <c r="X54" i="48" s="1"/>
  <c r="Z24" i="48"/>
  <c r="Z9" i="48"/>
  <c r="Z75" i="48"/>
  <c r="AH16" i="60"/>
  <c r="W20" i="60"/>
  <c r="X20" i="60" s="1"/>
  <c r="AH14" i="60"/>
  <c r="AG13" i="61"/>
  <c r="AH13" i="61" s="1"/>
  <c r="AG10" i="61"/>
  <c r="AG16" i="61"/>
  <c r="AH16" i="61" s="1"/>
  <c r="Z34" i="60"/>
  <c r="W97" i="61"/>
  <c r="X97" i="61" s="1"/>
  <c r="W93" i="61"/>
  <c r="X93" i="61" s="1"/>
  <c r="Z98" i="61"/>
  <c r="V118" i="59"/>
  <c r="Z22" i="60"/>
  <c r="Z13" i="60"/>
  <c r="W35" i="60"/>
  <c r="X35" i="60" s="1"/>
  <c r="W34" i="60"/>
  <c r="X34" i="60" s="1"/>
  <c r="Z20" i="60"/>
  <c r="AG37" i="59"/>
  <c r="AH37" i="59" s="1"/>
  <c r="AS37" i="59" s="1"/>
  <c r="Z101" i="61"/>
  <c r="AG27" i="61"/>
  <c r="AH27" i="61" s="1"/>
  <c r="AG19" i="61"/>
  <c r="AH19" i="61" s="1"/>
  <c r="Z93" i="61"/>
  <c r="AG21" i="61"/>
  <c r="AH21" i="61" s="1"/>
  <c r="AG24" i="59"/>
  <c r="AH24" i="59" s="1"/>
  <c r="AN12" i="61"/>
  <c r="W96" i="61"/>
  <c r="X96" i="61" s="1"/>
  <c r="Z90" i="61"/>
  <c r="AN12" i="60"/>
  <c r="Z11" i="60"/>
  <c r="AN12" i="59"/>
  <c r="AM12" i="48"/>
  <c r="AN15" i="48"/>
  <c r="M10" i="37"/>
  <c r="H26" i="48"/>
  <c r="L26" i="48" s="1"/>
  <c r="I26" i="48"/>
  <c r="M26" i="48"/>
  <c r="O26" i="48"/>
  <c r="P26" i="48"/>
  <c r="Q26" i="48" s="1"/>
  <c r="R26" i="48"/>
  <c r="H27" i="48"/>
  <c r="L27" i="48" s="1"/>
  <c r="I27" i="48"/>
  <c r="M27" i="48"/>
  <c r="O27" i="48"/>
  <c r="P27" i="48"/>
  <c r="Q27" i="48" s="1"/>
  <c r="R27" i="48"/>
  <c r="P28" i="48"/>
  <c r="Q28" i="48" s="1"/>
  <c r="R28" i="48"/>
  <c r="O28" i="48"/>
  <c r="H28" i="48"/>
  <c r="L28" i="48" s="1"/>
  <c r="I28" i="48"/>
  <c r="M28" i="48"/>
  <c r="I13" i="48"/>
  <c r="W40" i="61" l="1"/>
  <c r="X40" i="61" s="1"/>
  <c r="U118" i="61"/>
  <c r="Z8" i="61"/>
  <c r="T118" i="61"/>
  <c r="Z79" i="59"/>
  <c r="U116" i="59"/>
  <c r="T116" i="59"/>
  <c r="T118" i="59" s="1"/>
  <c r="Z33" i="60"/>
  <c r="AG22" i="60"/>
  <c r="Z12" i="60"/>
  <c r="AG11" i="60"/>
  <c r="Z35" i="60"/>
  <c r="AG24" i="60"/>
  <c r="AH24" i="60" s="1"/>
  <c r="W28" i="60"/>
  <c r="X28" i="60" s="1"/>
  <c r="W100" i="59"/>
  <c r="X100" i="59" s="1"/>
  <c r="AG57" i="59"/>
  <c r="AH57" i="59" s="1"/>
  <c r="W106" i="59"/>
  <c r="X106" i="59" s="1"/>
  <c r="AG62" i="59"/>
  <c r="Z114" i="61"/>
  <c r="AG65" i="61"/>
  <c r="AH65" i="61" s="1"/>
  <c r="Z89" i="59"/>
  <c r="AG49" i="59"/>
  <c r="Z115" i="61"/>
  <c r="AG66" i="61"/>
  <c r="AH66" i="61" s="1"/>
  <c r="Z92" i="59"/>
  <c r="AG51" i="59"/>
  <c r="AH51" i="59" s="1"/>
  <c r="AH47" i="59"/>
  <c r="AS63" i="59"/>
  <c r="AI63" i="59"/>
  <c r="AS64" i="59"/>
  <c r="AI64" i="59"/>
  <c r="Z103" i="59"/>
  <c r="AG59" i="59"/>
  <c r="W94" i="59"/>
  <c r="X94" i="59" s="1"/>
  <c r="AH60" i="61"/>
  <c r="Z107" i="61"/>
  <c r="AG62" i="61"/>
  <c r="AI53" i="59"/>
  <c r="AS53" i="59"/>
  <c r="Z85" i="59"/>
  <c r="AG45" i="59"/>
  <c r="Z109" i="61"/>
  <c r="AG64" i="61"/>
  <c r="AH64" i="61" s="1"/>
  <c r="Z90" i="59"/>
  <c r="AG50" i="59"/>
  <c r="AH50" i="59" s="1"/>
  <c r="Z104" i="59"/>
  <c r="AG60" i="59"/>
  <c r="Z105" i="59"/>
  <c r="AG61" i="59"/>
  <c r="AH59" i="61"/>
  <c r="AI63" i="61"/>
  <c r="AS63" i="61"/>
  <c r="AS52" i="59"/>
  <c r="AI52" i="59"/>
  <c r="Z102" i="59"/>
  <c r="AG58" i="59"/>
  <c r="AH58" i="59" s="1"/>
  <c r="Z94" i="59"/>
  <c r="Z95" i="59"/>
  <c r="AG54" i="59"/>
  <c r="AH54" i="59" s="1"/>
  <c r="AH48" i="59"/>
  <c r="Z106" i="61"/>
  <c r="AG61" i="61"/>
  <c r="AS56" i="59"/>
  <c r="AI56" i="59"/>
  <c r="AS55" i="59"/>
  <c r="AI55" i="59"/>
  <c r="Z86" i="59"/>
  <c r="AG46" i="59"/>
  <c r="AH13" i="60"/>
  <c r="AI13" i="60" s="1"/>
  <c r="AH9" i="60"/>
  <c r="AI9" i="60" s="1"/>
  <c r="AI21" i="60"/>
  <c r="AH19" i="60"/>
  <c r="AI19" i="60" s="1"/>
  <c r="W14" i="60"/>
  <c r="X14" i="60" s="1"/>
  <c r="AI15" i="60"/>
  <c r="Z84" i="61"/>
  <c r="AG47" i="61"/>
  <c r="Z83" i="61"/>
  <c r="AG46" i="61"/>
  <c r="W102" i="61"/>
  <c r="X102" i="61" s="1"/>
  <c r="AG58" i="61"/>
  <c r="AH58" i="61" s="1"/>
  <c r="Z99" i="61"/>
  <c r="AG56" i="61"/>
  <c r="AH56" i="61" s="1"/>
  <c r="AS54" i="61"/>
  <c r="AI54" i="61"/>
  <c r="Z89" i="61"/>
  <c r="AG49" i="61"/>
  <c r="Z81" i="61"/>
  <c r="AG45" i="61"/>
  <c r="AG51" i="61"/>
  <c r="AH51" i="61" s="1"/>
  <c r="Z88" i="61"/>
  <c r="AG48" i="61"/>
  <c r="Z94" i="61"/>
  <c r="AG53" i="61"/>
  <c r="AH53" i="61" s="1"/>
  <c r="W83" i="59"/>
  <c r="X83" i="59" s="1"/>
  <c r="AI13" i="59"/>
  <c r="W18" i="60"/>
  <c r="X18" i="60" s="1"/>
  <c r="W12" i="60"/>
  <c r="X12" i="60" s="1"/>
  <c r="W22" i="60"/>
  <c r="X22" i="60" s="1"/>
  <c r="W31" i="60"/>
  <c r="X31" i="60" s="1"/>
  <c r="W77" i="61"/>
  <c r="X77" i="61" s="1"/>
  <c r="Z18" i="60"/>
  <c r="Z14" i="60"/>
  <c r="W26" i="60"/>
  <c r="X26" i="60" s="1"/>
  <c r="W25" i="60"/>
  <c r="X25" i="60" s="1"/>
  <c r="W81" i="61"/>
  <c r="X81" i="61" s="1"/>
  <c r="AI12" i="59"/>
  <c r="T38" i="60"/>
  <c r="Q39" i="60" s="1"/>
  <c r="W41" i="61"/>
  <c r="X41" i="61" s="1"/>
  <c r="Z77" i="61"/>
  <c r="AI43" i="61"/>
  <c r="W105" i="61"/>
  <c r="X105" i="61" s="1"/>
  <c r="W115" i="61"/>
  <c r="X115" i="61" s="1"/>
  <c r="Z74" i="61"/>
  <c r="W8" i="61"/>
  <c r="X8" i="61" s="1"/>
  <c r="AG41" i="61"/>
  <c r="AH41" i="61" s="1"/>
  <c r="AI41" i="61" s="1"/>
  <c r="AG41" i="59"/>
  <c r="AH41" i="59" s="1"/>
  <c r="AS41" i="59" s="1"/>
  <c r="W105" i="59"/>
  <c r="X105" i="59" s="1"/>
  <c r="AG34" i="59"/>
  <c r="AH34" i="59" s="1"/>
  <c r="AS34" i="59" s="1"/>
  <c r="W75" i="59"/>
  <c r="X75" i="59" s="1"/>
  <c r="W89" i="59"/>
  <c r="X89" i="59" s="1"/>
  <c r="Z43" i="61"/>
  <c r="AG24" i="61"/>
  <c r="AH24" i="61" s="1"/>
  <c r="AS24" i="61" s="1"/>
  <c r="W95" i="61"/>
  <c r="X95" i="61" s="1"/>
  <c r="W62" i="59"/>
  <c r="X62" i="59" s="1"/>
  <c r="W86" i="61"/>
  <c r="X86" i="61" s="1"/>
  <c r="W87" i="61"/>
  <c r="X87" i="61" s="1"/>
  <c r="W13" i="60"/>
  <c r="X13" i="60" s="1"/>
  <c r="Z86" i="61"/>
  <c r="W23" i="60"/>
  <c r="X23" i="60" s="1"/>
  <c r="Z105" i="61"/>
  <c r="W99" i="61"/>
  <c r="X99" i="61" s="1"/>
  <c r="W90" i="59"/>
  <c r="X90" i="59" s="1"/>
  <c r="W33" i="60"/>
  <c r="X33" i="60" s="1"/>
  <c r="AI8" i="60"/>
  <c r="U38" i="60"/>
  <c r="W43" i="59"/>
  <c r="X43" i="59" s="1"/>
  <c r="AO9" i="60"/>
  <c r="AP9" i="60" s="1"/>
  <c r="AQ9" i="60" s="1"/>
  <c r="W111" i="61"/>
  <c r="X111" i="61" s="1"/>
  <c r="Z60" i="59"/>
  <c r="W76" i="61"/>
  <c r="X76" i="61" s="1"/>
  <c r="AG42" i="61"/>
  <c r="AH42" i="61" s="1"/>
  <c r="AG44" i="61"/>
  <c r="AH44" i="61" s="1"/>
  <c r="W80" i="61"/>
  <c r="X80" i="61" s="1"/>
  <c r="T120" i="61"/>
  <c r="W103" i="59"/>
  <c r="X103" i="59" s="1"/>
  <c r="U120" i="61"/>
  <c r="E8" i="45" s="1"/>
  <c r="AG25" i="61"/>
  <c r="AH25" i="61" s="1"/>
  <c r="W107" i="61"/>
  <c r="X107" i="61" s="1"/>
  <c r="Z102" i="61"/>
  <c r="W113" i="61"/>
  <c r="X113" i="61" s="1"/>
  <c r="W88" i="61"/>
  <c r="X88" i="61" s="1"/>
  <c r="W106" i="61"/>
  <c r="X106" i="61" s="1"/>
  <c r="W89" i="61"/>
  <c r="X89" i="61" s="1"/>
  <c r="W102" i="59"/>
  <c r="X102" i="59" s="1"/>
  <c r="AG31" i="61"/>
  <c r="AH31" i="61" s="1"/>
  <c r="AI31" i="61" s="1"/>
  <c r="Z92" i="61"/>
  <c r="W44" i="61"/>
  <c r="X44" i="61" s="1"/>
  <c r="W83" i="61"/>
  <c r="X83" i="61" s="1"/>
  <c r="W96" i="59"/>
  <c r="X96" i="59" s="1"/>
  <c r="Z100" i="59"/>
  <c r="Z85" i="61"/>
  <c r="W60" i="59"/>
  <c r="X60" i="59" s="1"/>
  <c r="W78" i="59"/>
  <c r="X78" i="59" s="1"/>
  <c r="AG32" i="59"/>
  <c r="AH32" i="59" s="1"/>
  <c r="AS32" i="59" s="1"/>
  <c r="AG27" i="59"/>
  <c r="AH27" i="59" s="1"/>
  <c r="AS27" i="59" s="1"/>
  <c r="W20" i="61"/>
  <c r="X20" i="61" s="1"/>
  <c r="Z106" i="59"/>
  <c r="W112" i="61"/>
  <c r="X112" i="61" s="1"/>
  <c r="W38" i="61"/>
  <c r="X38" i="61" s="1"/>
  <c r="W114" i="61"/>
  <c r="X114" i="61" s="1"/>
  <c r="AG39" i="61"/>
  <c r="AH39" i="61" s="1"/>
  <c r="AI39" i="61" s="1"/>
  <c r="AG17" i="61"/>
  <c r="AH17" i="61" s="1"/>
  <c r="AI17" i="61" s="1"/>
  <c r="AG26" i="61"/>
  <c r="AH26" i="61" s="1"/>
  <c r="AS26" i="61" s="1"/>
  <c r="W70" i="61"/>
  <c r="X70" i="61" s="1"/>
  <c r="AI22" i="61"/>
  <c r="Z45" i="59"/>
  <c r="Z110" i="61"/>
  <c r="AG44" i="59"/>
  <c r="AH44" i="59" s="1"/>
  <c r="AS44" i="59" s="1"/>
  <c r="AG23" i="61"/>
  <c r="AH23" i="61" s="1"/>
  <c r="AS23" i="61" s="1"/>
  <c r="W26" i="59"/>
  <c r="X26" i="59" s="1"/>
  <c r="W50" i="61"/>
  <c r="X50" i="61" s="1"/>
  <c r="Z50" i="61"/>
  <c r="W117" i="61"/>
  <c r="X117" i="61" s="1"/>
  <c r="Z22" i="61"/>
  <c r="AG20" i="61"/>
  <c r="AH20" i="61" s="1"/>
  <c r="AI20" i="61" s="1"/>
  <c r="X24" i="61"/>
  <c r="W32" i="61"/>
  <c r="X32" i="61" s="1"/>
  <c r="AG14" i="61"/>
  <c r="AH14" i="61" s="1"/>
  <c r="AS14" i="61" s="1"/>
  <c r="Z38" i="61"/>
  <c r="W84" i="61"/>
  <c r="X84" i="61" s="1"/>
  <c r="AG28" i="59"/>
  <c r="AH28" i="59" s="1"/>
  <c r="AI28" i="59" s="1"/>
  <c r="AG30" i="61"/>
  <c r="AH30" i="61" s="1"/>
  <c r="AI30" i="61" s="1"/>
  <c r="Z68" i="61"/>
  <c r="Z62" i="61"/>
  <c r="W61" i="61"/>
  <c r="X61" i="61" s="1"/>
  <c r="W28" i="61"/>
  <c r="X28" i="61" s="1"/>
  <c r="W84" i="59"/>
  <c r="X84" i="59" s="1"/>
  <c r="W54" i="61"/>
  <c r="X54" i="61" s="1"/>
  <c r="Z28" i="61"/>
  <c r="W77" i="59"/>
  <c r="X77" i="59" s="1"/>
  <c r="AG18" i="61"/>
  <c r="AH18" i="61" s="1"/>
  <c r="AI18" i="61" s="1"/>
  <c r="Z9" i="61"/>
  <c r="AG37" i="61"/>
  <c r="AH37" i="61" s="1"/>
  <c r="AS37" i="61" s="1"/>
  <c r="AG34" i="61"/>
  <c r="AH34" i="61" s="1"/>
  <c r="AI34" i="61" s="1"/>
  <c r="W109" i="61"/>
  <c r="X109" i="61" s="1"/>
  <c r="AG38" i="61"/>
  <c r="AH38" i="61" s="1"/>
  <c r="AI38" i="61" s="1"/>
  <c r="W58" i="61"/>
  <c r="X58" i="61" s="1"/>
  <c r="Z14" i="61"/>
  <c r="Z56" i="61"/>
  <c r="W16" i="61"/>
  <c r="X16" i="61" s="1"/>
  <c r="AG35" i="61"/>
  <c r="AH35" i="61" s="1"/>
  <c r="AS35" i="61" s="1"/>
  <c r="Z16" i="61"/>
  <c r="W104" i="59"/>
  <c r="X104" i="59" s="1"/>
  <c r="Z38" i="59"/>
  <c r="W88" i="59"/>
  <c r="X88" i="59" s="1"/>
  <c r="W26" i="61"/>
  <c r="X26" i="61" s="1"/>
  <c r="W9" i="61"/>
  <c r="X9" i="61" s="1"/>
  <c r="AG25" i="59"/>
  <c r="AH25" i="59" s="1"/>
  <c r="AS25" i="59" s="1"/>
  <c r="Z26" i="59"/>
  <c r="W22" i="61"/>
  <c r="X22" i="61" s="1"/>
  <c r="Z88" i="59"/>
  <c r="AG8" i="61"/>
  <c r="AO8" i="61" s="1"/>
  <c r="W82" i="59"/>
  <c r="X82" i="59" s="1"/>
  <c r="W95" i="59"/>
  <c r="X95" i="59" s="1"/>
  <c r="W75" i="61"/>
  <c r="X75" i="61" s="1"/>
  <c r="W56" i="59"/>
  <c r="X56" i="59" s="1"/>
  <c r="AG33" i="61"/>
  <c r="AH33" i="61" s="1"/>
  <c r="AI33" i="61" s="1"/>
  <c r="AG28" i="61"/>
  <c r="AH28" i="61" s="1"/>
  <c r="AS28" i="61" s="1"/>
  <c r="AG32" i="61"/>
  <c r="AH32" i="61" s="1"/>
  <c r="AI32" i="61" s="1"/>
  <c r="Z75" i="61"/>
  <c r="AS12" i="61"/>
  <c r="AI9" i="61"/>
  <c r="W115" i="59"/>
  <c r="X115" i="59" s="1"/>
  <c r="W14" i="61"/>
  <c r="X14" i="61" s="1"/>
  <c r="W85" i="59"/>
  <c r="X85" i="59" s="1"/>
  <c r="AO9" i="61"/>
  <c r="AP9" i="61" s="1"/>
  <c r="AQ9" i="61" s="1"/>
  <c r="W86" i="59"/>
  <c r="X86" i="59" s="1"/>
  <c r="W10" i="61"/>
  <c r="X10" i="61" s="1"/>
  <c r="W48" i="61"/>
  <c r="X48" i="61" s="1"/>
  <c r="U118" i="59"/>
  <c r="E7" i="45" s="1"/>
  <c r="AG36" i="61"/>
  <c r="AH36" i="61" s="1"/>
  <c r="AI36" i="61" s="1"/>
  <c r="Z10" i="61"/>
  <c r="W41" i="59"/>
  <c r="X41" i="59" s="1"/>
  <c r="W64" i="61"/>
  <c r="X64" i="61" s="1"/>
  <c r="AG42" i="59"/>
  <c r="AH42" i="59" s="1"/>
  <c r="AI42" i="59" s="1"/>
  <c r="AG43" i="59"/>
  <c r="AH43" i="59" s="1"/>
  <c r="AI43" i="59" s="1"/>
  <c r="W66" i="61"/>
  <c r="X66" i="61" s="1"/>
  <c r="W52" i="61"/>
  <c r="X52" i="61" s="1"/>
  <c r="W38" i="59"/>
  <c r="X38" i="59" s="1"/>
  <c r="AG8" i="59"/>
  <c r="AH8" i="59" s="1"/>
  <c r="W110" i="59"/>
  <c r="X110" i="59" s="1"/>
  <c r="W42" i="61"/>
  <c r="X42" i="61" s="1"/>
  <c r="Z65" i="59"/>
  <c r="W58" i="59"/>
  <c r="X58" i="59" s="1"/>
  <c r="Z46" i="59"/>
  <c r="AG26" i="59"/>
  <c r="AH26" i="59" s="1"/>
  <c r="AI23" i="59"/>
  <c r="AG30" i="59"/>
  <c r="AH30" i="59" s="1"/>
  <c r="AS30" i="59" s="1"/>
  <c r="W49" i="59"/>
  <c r="X49" i="59" s="1"/>
  <c r="W46" i="59"/>
  <c r="X46" i="59" s="1"/>
  <c r="W44" i="59"/>
  <c r="X44" i="59" s="1"/>
  <c r="Z69" i="59"/>
  <c r="AG14" i="59"/>
  <c r="AH14" i="59" s="1"/>
  <c r="AI14" i="59" s="1"/>
  <c r="W50" i="59"/>
  <c r="X50" i="59" s="1"/>
  <c r="W9" i="59"/>
  <c r="X9" i="59" s="1"/>
  <c r="AI17" i="59"/>
  <c r="AI11" i="59"/>
  <c r="AG18" i="59"/>
  <c r="AH18" i="59" s="1"/>
  <c r="AI18" i="59" s="1"/>
  <c r="AG40" i="59"/>
  <c r="AH40" i="59" s="1"/>
  <c r="AS40" i="59" s="1"/>
  <c r="W73" i="59"/>
  <c r="X73" i="59" s="1"/>
  <c r="W54" i="59"/>
  <c r="X54" i="59" s="1"/>
  <c r="W14" i="59"/>
  <c r="X14" i="59" s="1"/>
  <c r="AG31" i="59"/>
  <c r="AH31" i="59" s="1"/>
  <c r="AI31" i="59" s="1"/>
  <c r="Z36" i="59"/>
  <c r="W28" i="59"/>
  <c r="X28" i="59" s="1"/>
  <c r="W30" i="59"/>
  <c r="X30" i="59" s="1"/>
  <c r="W20" i="59"/>
  <c r="X20" i="59" s="1"/>
  <c r="W80" i="59"/>
  <c r="X80" i="59" s="1"/>
  <c r="W108" i="59"/>
  <c r="X108" i="59" s="1"/>
  <c r="Z12" i="59"/>
  <c r="Z52" i="59"/>
  <c r="Z108" i="59"/>
  <c r="Z30" i="59"/>
  <c r="W12" i="59"/>
  <c r="X12" i="59" s="1"/>
  <c r="AG35" i="59"/>
  <c r="AH35" i="59" s="1"/>
  <c r="AS35" i="59" s="1"/>
  <c r="AG29" i="59"/>
  <c r="AH29" i="59" s="1"/>
  <c r="AI29" i="59" s="1"/>
  <c r="AG19" i="59"/>
  <c r="AH19" i="59" s="1"/>
  <c r="AS19" i="59" s="1"/>
  <c r="AO10" i="59"/>
  <c r="AP10" i="59" s="1"/>
  <c r="AQ10" i="59" s="1"/>
  <c r="W72" i="48"/>
  <c r="X72" i="48" s="1"/>
  <c r="Z14" i="59"/>
  <c r="AG36" i="59"/>
  <c r="AH36" i="59" s="1"/>
  <c r="AI36" i="59" s="1"/>
  <c r="W63" i="59"/>
  <c r="X63" i="59" s="1"/>
  <c r="W36" i="59"/>
  <c r="X36" i="59" s="1"/>
  <c r="AI10" i="59"/>
  <c r="AG15" i="59"/>
  <c r="AH15" i="59" s="1"/>
  <c r="AS15" i="59" s="1"/>
  <c r="AO11" i="59"/>
  <c r="AP11" i="59" s="1"/>
  <c r="AQ11" i="59" s="1"/>
  <c r="W69" i="59"/>
  <c r="X69" i="59" s="1"/>
  <c r="W24" i="59"/>
  <c r="X24" i="59" s="1"/>
  <c r="W71" i="59"/>
  <c r="X71" i="59" s="1"/>
  <c r="Z71" i="59"/>
  <c r="AG16" i="59"/>
  <c r="AH16" i="59" s="1"/>
  <c r="AS16" i="59" s="1"/>
  <c r="AI20" i="59"/>
  <c r="W22" i="59"/>
  <c r="X22" i="59" s="1"/>
  <c r="Z32" i="59"/>
  <c r="W32" i="59"/>
  <c r="X32" i="59" s="1"/>
  <c r="AG21" i="59"/>
  <c r="AH21" i="59" s="1"/>
  <c r="AI21" i="59" s="1"/>
  <c r="W34" i="59"/>
  <c r="X34" i="59" s="1"/>
  <c r="S28" i="48"/>
  <c r="T28" i="48" s="1"/>
  <c r="AG20" i="48" s="1"/>
  <c r="AH20" i="48" s="1"/>
  <c r="AS20" i="48" s="1"/>
  <c r="S27" i="48"/>
  <c r="T27" i="48" s="1"/>
  <c r="AG19" i="48" s="1"/>
  <c r="AH19" i="48" s="1"/>
  <c r="AI19" i="48" s="1"/>
  <c r="S26" i="48"/>
  <c r="T26" i="48" s="1"/>
  <c r="AG18" i="48" s="1"/>
  <c r="AH18" i="48" s="1"/>
  <c r="AI18" i="48" s="1"/>
  <c r="AI15" i="61"/>
  <c r="AS22" i="59"/>
  <c r="AO10" i="60"/>
  <c r="AP10" i="60" s="1"/>
  <c r="AQ10" i="60" s="1"/>
  <c r="AI16" i="60"/>
  <c r="AI14" i="60"/>
  <c r="AS11" i="61"/>
  <c r="AI11" i="61"/>
  <c r="AO11" i="61"/>
  <c r="AP11" i="61" s="1"/>
  <c r="AQ11" i="61" s="1"/>
  <c r="AI16" i="61"/>
  <c r="AS16" i="61"/>
  <c r="AS13" i="61"/>
  <c r="AI13" i="61"/>
  <c r="AH10" i="61"/>
  <c r="AO10" i="61"/>
  <c r="AP10" i="61" s="1"/>
  <c r="AQ10" i="61" s="1"/>
  <c r="AI37" i="59"/>
  <c r="AI24" i="60"/>
  <c r="V26" i="48"/>
  <c r="V27" i="48"/>
  <c r="V28" i="48"/>
  <c r="AI21" i="61"/>
  <c r="AS21" i="61"/>
  <c r="AI27" i="61"/>
  <c r="AS27" i="61"/>
  <c r="AS29" i="61"/>
  <c r="AI29" i="61"/>
  <c r="AS19" i="61"/>
  <c r="AI19" i="61"/>
  <c r="AS33" i="59"/>
  <c r="AS39" i="59"/>
  <c r="AI39" i="59"/>
  <c r="AI24" i="59"/>
  <c r="AS24" i="59"/>
  <c r="AI38" i="59"/>
  <c r="AS38" i="59"/>
  <c r="AO12" i="61"/>
  <c r="AP12" i="61" s="1"/>
  <c r="AQ12" i="61" s="1"/>
  <c r="AN13" i="61"/>
  <c r="AN13" i="60"/>
  <c r="AO12" i="59"/>
  <c r="AP12" i="59" s="1"/>
  <c r="AQ12" i="59" s="1"/>
  <c r="AN13" i="59"/>
  <c r="AN16" i="48"/>
  <c r="AM13" i="48"/>
  <c r="J27" i="48"/>
  <c r="J26" i="48"/>
  <c r="J28" i="48"/>
  <c r="H61" i="48"/>
  <c r="L61" i="48" s="1"/>
  <c r="I61" i="48"/>
  <c r="M61" i="48"/>
  <c r="O61" i="48"/>
  <c r="P61" i="48"/>
  <c r="Q61" i="48" s="1"/>
  <c r="R61" i="48"/>
  <c r="H64" i="48"/>
  <c r="L64" i="48" s="1"/>
  <c r="I64" i="48"/>
  <c r="M64" i="48"/>
  <c r="O64" i="48"/>
  <c r="P64" i="48"/>
  <c r="Q64" i="48" s="1"/>
  <c r="R64" i="48"/>
  <c r="H29" i="48"/>
  <c r="L29" i="48" s="1"/>
  <c r="I29" i="48"/>
  <c r="M29" i="48"/>
  <c r="O29" i="48"/>
  <c r="P29" i="48"/>
  <c r="Q29" i="48" s="1"/>
  <c r="R29" i="48"/>
  <c r="H12" i="48"/>
  <c r="L12" i="48" s="1"/>
  <c r="I12" i="48"/>
  <c r="M12" i="48"/>
  <c r="O12" i="48"/>
  <c r="P12" i="48"/>
  <c r="Q12" i="48" s="1"/>
  <c r="R12" i="48"/>
  <c r="H63" i="48"/>
  <c r="L63" i="48" s="1"/>
  <c r="I63" i="48"/>
  <c r="M63" i="48"/>
  <c r="O63" i="48"/>
  <c r="P63" i="48"/>
  <c r="Q63" i="48" s="1"/>
  <c r="R63" i="48"/>
  <c r="H16" i="48"/>
  <c r="L16" i="48" s="1"/>
  <c r="I16" i="48"/>
  <c r="M16" i="48"/>
  <c r="O16" i="48"/>
  <c r="P16" i="48"/>
  <c r="Q16" i="48" s="1"/>
  <c r="R16" i="48"/>
  <c r="H77" i="48"/>
  <c r="L77" i="48" s="1"/>
  <c r="I77" i="48"/>
  <c r="M77" i="48"/>
  <c r="O77" i="48"/>
  <c r="P77" i="48"/>
  <c r="Q77" i="48" s="1"/>
  <c r="R77" i="48"/>
  <c r="H71" i="48"/>
  <c r="L71" i="48" s="1"/>
  <c r="I71" i="48"/>
  <c r="M71" i="48"/>
  <c r="O71" i="48"/>
  <c r="P71" i="48"/>
  <c r="Q71" i="48" s="1"/>
  <c r="R71" i="48"/>
  <c r="H44" i="48"/>
  <c r="L44" i="48" s="1"/>
  <c r="I44" i="48"/>
  <c r="M44" i="48"/>
  <c r="O44" i="48"/>
  <c r="P44" i="48"/>
  <c r="Q44" i="48" s="1"/>
  <c r="R44" i="48"/>
  <c r="H43" i="48"/>
  <c r="L43" i="48" s="1"/>
  <c r="I43" i="48"/>
  <c r="M43" i="48"/>
  <c r="O43" i="48"/>
  <c r="P43" i="48"/>
  <c r="Q43" i="48" s="1"/>
  <c r="R43" i="48"/>
  <c r="H48" i="48"/>
  <c r="L48" i="48" s="1"/>
  <c r="I48" i="48"/>
  <c r="M48" i="48"/>
  <c r="O48" i="48"/>
  <c r="P48" i="48"/>
  <c r="Q48" i="48" s="1"/>
  <c r="R48" i="48"/>
  <c r="H10" i="48"/>
  <c r="L10" i="48" s="1"/>
  <c r="I10" i="48"/>
  <c r="M10" i="48"/>
  <c r="O10" i="48"/>
  <c r="P10" i="48"/>
  <c r="Q10" i="48" s="1"/>
  <c r="R10" i="48"/>
  <c r="H13" i="48"/>
  <c r="L13" i="48" s="1"/>
  <c r="J13" i="48"/>
  <c r="M13" i="48"/>
  <c r="O13" i="48"/>
  <c r="P13" i="48"/>
  <c r="Q13" i="48" s="1"/>
  <c r="R13" i="48"/>
  <c r="H14" i="48"/>
  <c r="L14" i="48" s="1"/>
  <c r="I14" i="48"/>
  <c r="J14" i="48" s="1"/>
  <c r="M14" i="48"/>
  <c r="O14" i="48"/>
  <c r="P14" i="48"/>
  <c r="Q14" i="48" s="1"/>
  <c r="R14" i="48"/>
  <c r="H15" i="48"/>
  <c r="L15" i="48" s="1"/>
  <c r="I15" i="48"/>
  <c r="J15" i="48" s="1"/>
  <c r="M15" i="48"/>
  <c r="O15" i="48"/>
  <c r="P15" i="48"/>
  <c r="Q15" i="48" s="1"/>
  <c r="R15" i="48"/>
  <c r="H17" i="48"/>
  <c r="L17" i="48" s="1"/>
  <c r="I17" i="48"/>
  <c r="J17" i="48" s="1"/>
  <c r="M17" i="48"/>
  <c r="O17" i="48"/>
  <c r="P17" i="48"/>
  <c r="Q17" i="48" s="1"/>
  <c r="R17" i="48"/>
  <c r="H21" i="48"/>
  <c r="L21" i="48" s="1"/>
  <c r="I21" i="48"/>
  <c r="J21" i="48" s="1"/>
  <c r="M21" i="48"/>
  <c r="O21" i="48"/>
  <c r="P21" i="48"/>
  <c r="Q21" i="48" s="1"/>
  <c r="R21" i="48"/>
  <c r="H18" i="48"/>
  <c r="L18" i="48" s="1"/>
  <c r="I18" i="48"/>
  <c r="J18" i="48" s="1"/>
  <c r="M18" i="48"/>
  <c r="O18" i="48"/>
  <c r="P18" i="48"/>
  <c r="Q18" i="48" s="1"/>
  <c r="R18" i="48"/>
  <c r="H22" i="48"/>
  <c r="L22" i="48" s="1"/>
  <c r="I22" i="48"/>
  <c r="J22" i="48" s="1"/>
  <c r="M22" i="48"/>
  <c r="O22" i="48"/>
  <c r="P22" i="48"/>
  <c r="Q22" i="48" s="1"/>
  <c r="R22" i="48"/>
  <c r="H20" i="48"/>
  <c r="L20" i="48" s="1"/>
  <c r="I20" i="48"/>
  <c r="J20" i="48" s="1"/>
  <c r="M20" i="48"/>
  <c r="O20" i="48"/>
  <c r="P20" i="48"/>
  <c r="Q20" i="48" s="1"/>
  <c r="R20" i="48"/>
  <c r="H23" i="48"/>
  <c r="L23" i="48" s="1"/>
  <c r="I23" i="48"/>
  <c r="J23" i="48" s="1"/>
  <c r="M23" i="48"/>
  <c r="O23" i="48"/>
  <c r="P23" i="48"/>
  <c r="Q23" i="48" s="1"/>
  <c r="R23" i="48"/>
  <c r="H30" i="48"/>
  <c r="L30" i="48" s="1"/>
  <c r="I30" i="48"/>
  <c r="J30" i="48" s="1"/>
  <c r="M30" i="48"/>
  <c r="O30" i="48"/>
  <c r="P30" i="48"/>
  <c r="Q30" i="48" s="1"/>
  <c r="R30" i="48"/>
  <c r="H31" i="48"/>
  <c r="L31" i="48" s="1"/>
  <c r="I31" i="48"/>
  <c r="J31" i="48" s="1"/>
  <c r="M31" i="48"/>
  <c r="O31" i="48"/>
  <c r="P31" i="48"/>
  <c r="Q31" i="48" s="1"/>
  <c r="R31" i="48"/>
  <c r="H32" i="48"/>
  <c r="L32" i="48" s="1"/>
  <c r="I32" i="48"/>
  <c r="J32" i="48" s="1"/>
  <c r="M32" i="48"/>
  <c r="O32" i="48"/>
  <c r="P32" i="48"/>
  <c r="Q32" i="48" s="1"/>
  <c r="R32" i="48"/>
  <c r="H36" i="48"/>
  <c r="L36" i="48" s="1"/>
  <c r="I36" i="48"/>
  <c r="J36" i="48" s="1"/>
  <c r="M36" i="48"/>
  <c r="O36" i="48"/>
  <c r="P36" i="48"/>
  <c r="Q36" i="48" s="1"/>
  <c r="R36" i="48"/>
  <c r="H33" i="48"/>
  <c r="L33" i="48" s="1"/>
  <c r="I33" i="48"/>
  <c r="J33" i="48" s="1"/>
  <c r="M33" i="48"/>
  <c r="O33" i="48"/>
  <c r="P33" i="48"/>
  <c r="Q33" i="48" s="1"/>
  <c r="R33" i="48"/>
  <c r="H35" i="48"/>
  <c r="L35" i="48" s="1"/>
  <c r="I35" i="48"/>
  <c r="J35" i="48" s="1"/>
  <c r="M35" i="48"/>
  <c r="O35" i="48"/>
  <c r="P35" i="48"/>
  <c r="Q35" i="48" s="1"/>
  <c r="R35" i="48"/>
  <c r="H38" i="48"/>
  <c r="L38" i="48" s="1"/>
  <c r="I38" i="48"/>
  <c r="J38" i="48" s="1"/>
  <c r="M38" i="48"/>
  <c r="O38" i="48"/>
  <c r="P38" i="48"/>
  <c r="Q38" i="48" s="1"/>
  <c r="R38" i="48"/>
  <c r="H37" i="48"/>
  <c r="L37" i="48" s="1"/>
  <c r="I37" i="48"/>
  <c r="J37" i="48" s="1"/>
  <c r="M37" i="48"/>
  <c r="O37" i="48"/>
  <c r="P37" i="48"/>
  <c r="Q37" i="48" s="1"/>
  <c r="R37" i="48"/>
  <c r="H34" i="48"/>
  <c r="L34" i="48" s="1"/>
  <c r="I34" i="48"/>
  <c r="J34" i="48" s="1"/>
  <c r="M34" i="48"/>
  <c r="O34" i="48"/>
  <c r="P34" i="48"/>
  <c r="Q34" i="48" s="1"/>
  <c r="R34" i="48"/>
  <c r="H39" i="48"/>
  <c r="L39" i="48" s="1"/>
  <c r="I39" i="48"/>
  <c r="J39" i="48" s="1"/>
  <c r="M39" i="48"/>
  <c r="O39" i="48"/>
  <c r="P39" i="48"/>
  <c r="Q39" i="48" s="1"/>
  <c r="R39" i="48"/>
  <c r="H47" i="48"/>
  <c r="L47" i="48" s="1"/>
  <c r="I47" i="48"/>
  <c r="J47" i="48" s="1"/>
  <c r="M47" i="48"/>
  <c r="O47" i="48"/>
  <c r="P47" i="48"/>
  <c r="Q47" i="48" s="1"/>
  <c r="R47" i="48"/>
  <c r="H42" i="48"/>
  <c r="L42" i="48" s="1"/>
  <c r="I42" i="48"/>
  <c r="J42" i="48" s="1"/>
  <c r="M42" i="48"/>
  <c r="O42" i="48"/>
  <c r="P42" i="48"/>
  <c r="Q42" i="48" s="1"/>
  <c r="R42" i="48"/>
  <c r="H41" i="48"/>
  <c r="L41" i="48" s="1"/>
  <c r="I41" i="48"/>
  <c r="J41" i="48" s="1"/>
  <c r="M41" i="48"/>
  <c r="O41" i="48"/>
  <c r="P41" i="48"/>
  <c r="Q41" i="48" s="1"/>
  <c r="R41" i="48"/>
  <c r="H40" i="48"/>
  <c r="L40" i="48" s="1"/>
  <c r="I40" i="48"/>
  <c r="J40" i="48" s="1"/>
  <c r="M40" i="48"/>
  <c r="O40" i="48"/>
  <c r="P40" i="48"/>
  <c r="Q40" i="48" s="1"/>
  <c r="R40" i="48"/>
  <c r="H45" i="48"/>
  <c r="L45" i="48" s="1"/>
  <c r="I45" i="48"/>
  <c r="J45" i="48" s="1"/>
  <c r="M45" i="48"/>
  <c r="O45" i="48"/>
  <c r="P45" i="48"/>
  <c r="Q45" i="48" s="1"/>
  <c r="R45" i="48"/>
  <c r="H46" i="48"/>
  <c r="L46" i="48" s="1"/>
  <c r="I46" i="48"/>
  <c r="J46" i="48" s="1"/>
  <c r="M46" i="48"/>
  <c r="O46" i="48"/>
  <c r="P46" i="48"/>
  <c r="Q46" i="48" s="1"/>
  <c r="R46" i="48"/>
  <c r="H53" i="48"/>
  <c r="L53" i="48" s="1"/>
  <c r="I53" i="48"/>
  <c r="J53" i="48" s="1"/>
  <c r="M53" i="48"/>
  <c r="O53" i="48"/>
  <c r="P53" i="48"/>
  <c r="Q53" i="48" s="1"/>
  <c r="R53" i="48"/>
  <c r="H49" i="48"/>
  <c r="L49" i="48" s="1"/>
  <c r="I49" i="48"/>
  <c r="J49" i="48" s="1"/>
  <c r="M49" i="48"/>
  <c r="O49" i="48"/>
  <c r="P49" i="48"/>
  <c r="Q49" i="48" s="1"/>
  <c r="R49" i="48"/>
  <c r="H52" i="48"/>
  <c r="L52" i="48" s="1"/>
  <c r="I52" i="48"/>
  <c r="J52" i="48" s="1"/>
  <c r="M52" i="48"/>
  <c r="O52" i="48"/>
  <c r="P52" i="48"/>
  <c r="Q52" i="48" s="1"/>
  <c r="R52" i="48"/>
  <c r="H50" i="48"/>
  <c r="L50" i="48" s="1"/>
  <c r="I50" i="48"/>
  <c r="J50" i="48" s="1"/>
  <c r="M50" i="48"/>
  <c r="O50" i="48"/>
  <c r="P50" i="48"/>
  <c r="Q50" i="48" s="1"/>
  <c r="R50" i="48"/>
  <c r="H51" i="48"/>
  <c r="L51" i="48" s="1"/>
  <c r="I51" i="48"/>
  <c r="J51" i="48" s="1"/>
  <c r="M51" i="48"/>
  <c r="O51" i="48"/>
  <c r="P51" i="48"/>
  <c r="Q51" i="48" s="1"/>
  <c r="R51" i="48"/>
  <c r="H57" i="48"/>
  <c r="L57" i="48" s="1"/>
  <c r="I57" i="48"/>
  <c r="J57" i="48" s="1"/>
  <c r="M57" i="48"/>
  <c r="O57" i="48"/>
  <c r="P57" i="48"/>
  <c r="Q57" i="48" s="1"/>
  <c r="R57" i="48"/>
  <c r="H56" i="48"/>
  <c r="L56" i="48" s="1"/>
  <c r="I56" i="48"/>
  <c r="J56" i="48" s="1"/>
  <c r="M56" i="48"/>
  <c r="O56" i="48"/>
  <c r="P56" i="48"/>
  <c r="Q56" i="48" s="1"/>
  <c r="R56" i="48"/>
  <c r="H59" i="48"/>
  <c r="L59" i="48" s="1"/>
  <c r="I59" i="48"/>
  <c r="J59" i="48" s="1"/>
  <c r="M59" i="48"/>
  <c r="O59" i="48"/>
  <c r="P59" i="48"/>
  <c r="Q59" i="48" s="1"/>
  <c r="R59" i="48"/>
  <c r="H58" i="48"/>
  <c r="L58" i="48" s="1"/>
  <c r="I58" i="48"/>
  <c r="J58" i="48" s="1"/>
  <c r="M58" i="48"/>
  <c r="O58" i="48"/>
  <c r="P58" i="48"/>
  <c r="Q58" i="48" s="1"/>
  <c r="R58" i="48"/>
  <c r="H60" i="48"/>
  <c r="L60" i="48" s="1"/>
  <c r="I60" i="48"/>
  <c r="J60" i="48" s="1"/>
  <c r="M60" i="48"/>
  <c r="O60" i="48"/>
  <c r="P60" i="48"/>
  <c r="Q60" i="48" s="1"/>
  <c r="R60" i="48"/>
  <c r="H62" i="48"/>
  <c r="L62" i="48" s="1"/>
  <c r="I62" i="48"/>
  <c r="J62" i="48" s="1"/>
  <c r="M62" i="48"/>
  <c r="O62" i="48"/>
  <c r="P62" i="48"/>
  <c r="Q62" i="48" s="1"/>
  <c r="R62" i="48"/>
  <c r="H66" i="48"/>
  <c r="L66" i="48" s="1"/>
  <c r="I66" i="48"/>
  <c r="J66" i="48" s="1"/>
  <c r="M66" i="48"/>
  <c r="O66" i="48"/>
  <c r="P66" i="48"/>
  <c r="Q66" i="48" s="1"/>
  <c r="R66" i="48"/>
  <c r="H65" i="48"/>
  <c r="L65" i="48" s="1"/>
  <c r="I65" i="48"/>
  <c r="J65" i="48" s="1"/>
  <c r="M65" i="48"/>
  <c r="O65" i="48"/>
  <c r="P65" i="48"/>
  <c r="Q65" i="48" s="1"/>
  <c r="R65" i="48"/>
  <c r="H78" i="48"/>
  <c r="L78" i="48" s="1"/>
  <c r="I78" i="48"/>
  <c r="J78" i="48" s="1"/>
  <c r="M78" i="48"/>
  <c r="O78" i="48"/>
  <c r="P78" i="48"/>
  <c r="Q78" i="48" s="1"/>
  <c r="R78" i="48"/>
  <c r="H70" i="48"/>
  <c r="L70" i="48" s="1"/>
  <c r="I70" i="48"/>
  <c r="J70" i="48" s="1"/>
  <c r="M70" i="48"/>
  <c r="O70" i="48"/>
  <c r="P70" i="48"/>
  <c r="Q70" i="48" s="1"/>
  <c r="R70" i="48"/>
  <c r="H68" i="48"/>
  <c r="L68" i="48" s="1"/>
  <c r="I68" i="48"/>
  <c r="J68" i="48" s="1"/>
  <c r="M68" i="48"/>
  <c r="O68" i="48"/>
  <c r="P68" i="48"/>
  <c r="Q68" i="48" s="1"/>
  <c r="R68" i="48"/>
  <c r="H69" i="48"/>
  <c r="L69" i="48" s="1"/>
  <c r="I69" i="48"/>
  <c r="J69" i="48" s="1"/>
  <c r="M69" i="48"/>
  <c r="O69" i="48"/>
  <c r="P69" i="48"/>
  <c r="Q69" i="48" s="1"/>
  <c r="R69" i="48"/>
  <c r="H67" i="48"/>
  <c r="L67" i="48" s="1"/>
  <c r="I67" i="48"/>
  <c r="J67" i="48" s="1"/>
  <c r="M67" i="48"/>
  <c r="O67" i="48"/>
  <c r="P67" i="48"/>
  <c r="Q67" i="48" s="1"/>
  <c r="R67" i="48"/>
  <c r="H79" i="48"/>
  <c r="L79" i="48" s="1"/>
  <c r="I79" i="48"/>
  <c r="J79" i="48" s="1"/>
  <c r="M79" i="48"/>
  <c r="O79" i="48"/>
  <c r="P79" i="48"/>
  <c r="Q79" i="48" s="1"/>
  <c r="R79" i="48"/>
  <c r="Q121" i="61" l="1"/>
  <c r="C8" i="45"/>
  <c r="W116" i="59"/>
  <c r="Q119" i="59"/>
  <c r="C7" i="45"/>
  <c r="AH60" i="59"/>
  <c r="AH45" i="59"/>
  <c r="AS51" i="59"/>
  <c r="AI51" i="59"/>
  <c r="AS65" i="61"/>
  <c r="AI65" i="61"/>
  <c r="AH61" i="61"/>
  <c r="AI58" i="59"/>
  <c r="AS58" i="59"/>
  <c r="AI50" i="59"/>
  <c r="AS50" i="59"/>
  <c r="AS66" i="61"/>
  <c r="AI66" i="61"/>
  <c r="AH62" i="59"/>
  <c r="AH46" i="59"/>
  <c r="AS60" i="61"/>
  <c r="AI60" i="61"/>
  <c r="AI59" i="61"/>
  <c r="AS59" i="61"/>
  <c r="AS48" i="59"/>
  <c r="AI48" i="59"/>
  <c r="AH61" i="59"/>
  <c r="AS64" i="61"/>
  <c r="AI64" i="61"/>
  <c r="AH62" i="61"/>
  <c r="AH59" i="59"/>
  <c r="AH49" i="59"/>
  <c r="AS57" i="59"/>
  <c r="AI57" i="59"/>
  <c r="AI54" i="59"/>
  <c r="AS54" i="59"/>
  <c r="AS47" i="59"/>
  <c r="AI47" i="59"/>
  <c r="AH11" i="60"/>
  <c r="AH18" i="60"/>
  <c r="AI18" i="60" s="1"/>
  <c r="AH22" i="60"/>
  <c r="AI22" i="60" s="1"/>
  <c r="AH12" i="60"/>
  <c r="AI12" i="60" s="1"/>
  <c r="AH20" i="60"/>
  <c r="AI20" i="60" s="1"/>
  <c r="AH17" i="60"/>
  <c r="AP8" i="61"/>
  <c r="AQ8" i="61" s="1"/>
  <c r="AH49" i="61"/>
  <c r="AS56" i="61"/>
  <c r="AI56" i="61"/>
  <c r="AI53" i="61"/>
  <c r="AS53" i="61"/>
  <c r="AS58" i="61"/>
  <c r="AI58" i="61"/>
  <c r="AH48" i="61"/>
  <c r="AH46" i="61"/>
  <c r="AS51" i="61"/>
  <c r="AI51" i="61"/>
  <c r="AH45" i="61"/>
  <c r="AH47" i="61"/>
  <c r="AO12" i="60"/>
  <c r="AP12" i="60" s="1"/>
  <c r="AQ12" i="60" s="1"/>
  <c r="AI41" i="59"/>
  <c r="AI34" i="59"/>
  <c r="AS41" i="61"/>
  <c r="AI24" i="61"/>
  <c r="AI32" i="59"/>
  <c r="AI44" i="59"/>
  <c r="AO11" i="60"/>
  <c r="AP11" i="60" s="1"/>
  <c r="AQ11" i="60" s="1"/>
  <c r="W36" i="60"/>
  <c r="X36" i="60" s="1"/>
  <c r="AI42" i="61"/>
  <c r="AS42" i="61"/>
  <c r="W118" i="61"/>
  <c r="X118" i="61" s="1"/>
  <c r="AS44" i="61"/>
  <c r="AI44" i="61"/>
  <c r="AS25" i="61"/>
  <c r="AI25" i="61"/>
  <c r="AS31" i="61"/>
  <c r="AI27" i="59"/>
  <c r="AI26" i="61"/>
  <c r="AS39" i="61"/>
  <c r="AS17" i="61"/>
  <c r="AI23" i="61"/>
  <c r="AS30" i="61"/>
  <c r="AS28" i="59"/>
  <c r="AI35" i="61"/>
  <c r="AS20" i="61"/>
  <c r="AS34" i="61"/>
  <c r="AS38" i="61"/>
  <c r="AH8" i="61"/>
  <c r="AS8" i="61" s="1"/>
  <c r="AS33" i="61"/>
  <c r="AI14" i="61"/>
  <c r="AS18" i="61"/>
  <c r="AI37" i="61"/>
  <c r="X116" i="59"/>
  <c r="AI25" i="59"/>
  <c r="AI30" i="59"/>
  <c r="AS43" i="59"/>
  <c r="AS42" i="59"/>
  <c r="AI28" i="61"/>
  <c r="AS32" i="61"/>
  <c r="AS36" i="61"/>
  <c r="AO8" i="59"/>
  <c r="AI26" i="59"/>
  <c r="AS26" i="59"/>
  <c r="AS8" i="59"/>
  <c r="AI8" i="59"/>
  <c r="AS14" i="59"/>
  <c r="AI40" i="59"/>
  <c r="AS18" i="59"/>
  <c r="AS31" i="59"/>
  <c r="Y28" i="48"/>
  <c r="AA28" i="48"/>
  <c r="Z28" i="48"/>
  <c r="U28" i="48"/>
  <c r="W28" i="48" s="1"/>
  <c r="X28" i="48" s="1"/>
  <c r="AS29" i="59"/>
  <c r="AA27" i="48"/>
  <c r="AI19" i="59"/>
  <c r="Y27" i="48"/>
  <c r="AI35" i="59"/>
  <c r="U27" i="48"/>
  <c r="W27" i="48" s="1"/>
  <c r="X27" i="48" s="1"/>
  <c r="AI15" i="59"/>
  <c r="AS36" i="59"/>
  <c r="AI16" i="59"/>
  <c r="AS21" i="59"/>
  <c r="AI20" i="48"/>
  <c r="S77" i="48"/>
  <c r="T77" i="48" s="1"/>
  <c r="Z77" i="48" s="1"/>
  <c r="S63" i="48"/>
  <c r="T63" i="48" s="1"/>
  <c r="Z63" i="48" s="1"/>
  <c r="AS19" i="48"/>
  <c r="S48" i="48"/>
  <c r="T48" i="48" s="1"/>
  <c r="AG31" i="48" s="1"/>
  <c r="AH31" i="48" s="1"/>
  <c r="AS31" i="48" s="1"/>
  <c r="AS18" i="48"/>
  <c r="Z26" i="48"/>
  <c r="AA26" i="48"/>
  <c r="Y26" i="48"/>
  <c r="U26" i="48"/>
  <c r="W26" i="48" s="1"/>
  <c r="X26" i="48" s="1"/>
  <c r="S44" i="48"/>
  <c r="T44" i="48" s="1"/>
  <c r="Z44" i="48" s="1"/>
  <c r="S43" i="48"/>
  <c r="T43" i="48" s="1"/>
  <c r="S71" i="48"/>
  <c r="T71" i="48" s="1"/>
  <c r="AI10" i="60"/>
  <c r="AI10" i="61"/>
  <c r="AS10" i="61"/>
  <c r="V10" i="48"/>
  <c r="V48" i="48"/>
  <c r="V43" i="48"/>
  <c r="V44" i="48"/>
  <c r="V71" i="48"/>
  <c r="V77" i="48"/>
  <c r="U16" i="48"/>
  <c r="S12" i="48"/>
  <c r="V29" i="48"/>
  <c r="V64" i="48"/>
  <c r="V79" i="48"/>
  <c r="V67" i="48"/>
  <c r="V69" i="48"/>
  <c r="V68" i="48"/>
  <c r="V70" i="48"/>
  <c r="V78" i="48"/>
  <c r="V65" i="48"/>
  <c r="V66" i="48"/>
  <c r="V62" i="48"/>
  <c r="V60" i="48"/>
  <c r="V58" i="48"/>
  <c r="V59" i="48"/>
  <c r="V56" i="48"/>
  <c r="V57" i="48"/>
  <c r="V51" i="48"/>
  <c r="V50" i="48"/>
  <c r="V52" i="48"/>
  <c r="V49" i="48"/>
  <c r="V53" i="48"/>
  <c r="V46" i="48"/>
  <c r="V45" i="48"/>
  <c r="V40" i="48"/>
  <c r="V41" i="48"/>
  <c r="V42" i="48"/>
  <c r="V47" i="48"/>
  <c r="V39" i="48"/>
  <c r="V34" i="48"/>
  <c r="V37" i="48"/>
  <c r="V38" i="48"/>
  <c r="V35" i="48"/>
  <c r="V33" i="48"/>
  <c r="V36" i="48"/>
  <c r="V32" i="48"/>
  <c r="V31" i="48"/>
  <c r="V30" i="48"/>
  <c r="V23" i="48"/>
  <c r="V20" i="48"/>
  <c r="V22" i="48"/>
  <c r="V18" i="48"/>
  <c r="V21" i="48"/>
  <c r="V17" i="48"/>
  <c r="V15" i="48"/>
  <c r="V14" i="48"/>
  <c r="V13" i="48"/>
  <c r="AN14" i="61"/>
  <c r="AO13" i="61"/>
  <c r="AP13" i="61" s="1"/>
  <c r="AQ13" i="61" s="1"/>
  <c r="AO13" i="60"/>
  <c r="AP13" i="60" s="1"/>
  <c r="AQ13" i="60" s="1"/>
  <c r="AN14" i="60"/>
  <c r="AO13" i="59"/>
  <c r="AP13" i="59" s="1"/>
  <c r="AQ13" i="59" s="1"/>
  <c r="AN14" i="59"/>
  <c r="AM14" i="48"/>
  <c r="AN17" i="48"/>
  <c r="L7" i="45"/>
  <c r="BB7" i="45" s="1"/>
  <c r="Z27" i="48"/>
  <c r="J63" i="48"/>
  <c r="J61" i="48"/>
  <c r="J64" i="48"/>
  <c r="J43" i="48"/>
  <c r="J71" i="48"/>
  <c r="J12" i="48"/>
  <c r="J48" i="48"/>
  <c r="J77" i="48"/>
  <c r="J16" i="48"/>
  <c r="V16" i="48" s="1"/>
  <c r="S16" i="48" s="1"/>
  <c r="T16" i="48" s="1"/>
  <c r="J10" i="48"/>
  <c r="S10" i="48" s="1"/>
  <c r="T10" i="48" s="1"/>
  <c r="AG9" i="48" s="1"/>
  <c r="J29" i="48"/>
  <c r="J44" i="48"/>
  <c r="S61" i="48"/>
  <c r="T61" i="48" s="1"/>
  <c r="S64" i="48"/>
  <c r="T64" i="48" s="1"/>
  <c r="S29" i="48"/>
  <c r="T29" i="48" s="1"/>
  <c r="S46" i="48"/>
  <c r="T46" i="48" s="1"/>
  <c r="S23" i="48"/>
  <c r="T23" i="48" s="1"/>
  <c r="AG17" i="48" s="1"/>
  <c r="AH17" i="48" s="1"/>
  <c r="S49" i="48"/>
  <c r="T49" i="48" s="1"/>
  <c r="AG32" i="48" s="1"/>
  <c r="AH32" i="48" s="1"/>
  <c r="S33" i="48"/>
  <c r="U33" i="48" s="1"/>
  <c r="S31" i="48"/>
  <c r="T31" i="48" s="1"/>
  <c r="S53" i="48"/>
  <c r="T53" i="48" s="1"/>
  <c r="S57" i="48"/>
  <c r="T57" i="48" s="1"/>
  <c r="AG35" i="48" s="1"/>
  <c r="AH35" i="48" s="1"/>
  <c r="S21" i="48"/>
  <c r="T21" i="48" s="1"/>
  <c r="S40" i="48"/>
  <c r="T40" i="48" s="1"/>
  <c r="AG27" i="48" s="1"/>
  <c r="AH27" i="48" s="1"/>
  <c r="S37" i="48"/>
  <c r="T37" i="48" s="1"/>
  <c r="S59" i="48"/>
  <c r="T59" i="48" s="1"/>
  <c r="S50" i="48"/>
  <c r="T50" i="48" s="1"/>
  <c r="S34" i="48"/>
  <c r="T34" i="48" s="1"/>
  <c r="S35" i="48"/>
  <c r="T35" i="48" s="1"/>
  <c r="S42" i="48"/>
  <c r="T42" i="48" s="1"/>
  <c r="S52" i="48"/>
  <c r="T52" i="48" s="1"/>
  <c r="S41" i="48"/>
  <c r="T41" i="48" s="1"/>
  <c r="S56" i="48"/>
  <c r="T56" i="48" s="1"/>
  <c r="AG34" i="48" s="1"/>
  <c r="AH34" i="48" s="1"/>
  <c r="S36" i="48"/>
  <c r="T36" i="48" s="1"/>
  <c r="S39" i="48"/>
  <c r="T39" i="48" s="1"/>
  <c r="AG26" i="48" s="1"/>
  <c r="AH26" i="48" s="1"/>
  <c r="S15" i="48"/>
  <c r="T15" i="48" s="1"/>
  <c r="S47" i="48"/>
  <c r="T47" i="48" s="1"/>
  <c r="S38" i="48"/>
  <c r="T38" i="48" s="1"/>
  <c r="S51" i="48"/>
  <c r="T51" i="48" s="1"/>
  <c r="S45" i="48"/>
  <c r="T45" i="48" s="1"/>
  <c r="S30" i="48"/>
  <c r="T30" i="48" s="1"/>
  <c r="S17" i="48"/>
  <c r="T17" i="48" s="1"/>
  <c r="S20" i="48"/>
  <c r="T20" i="48" s="1"/>
  <c r="S14" i="48"/>
  <c r="T14" i="48" s="1"/>
  <c r="S32" i="48"/>
  <c r="T32" i="48" s="1"/>
  <c r="S22" i="48"/>
  <c r="T22" i="48" s="1"/>
  <c r="S13" i="48"/>
  <c r="T13" i="48" s="1"/>
  <c r="AG12" i="48" s="1"/>
  <c r="S18" i="48"/>
  <c r="T18" i="48" s="1"/>
  <c r="S70" i="48"/>
  <c r="T70" i="48" s="1"/>
  <c r="AG44" i="48" s="1"/>
  <c r="AH44" i="48" s="1"/>
  <c r="S65" i="48"/>
  <c r="T65" i="48" s="1"/>
  <c r="AG40" i="48" s="1"/>
  <c r="AH40" i="48" s="1"/>
  <c r="S78" i="48"/>
  <c r="T78" i="48" s="1"/>
  <c r="S79" i="48"/>
  <c r="T79" i="48" s="1"/>
  <c r="S67" i="48"/>
  <c r="T67" i="48" s="1"/>
  <c r="AG42" i="48" s="1"/>
  <c r="AH42" i="48" s="1"/>
  <c r="S68" i="48"/>
  <c r="U68" i="48" s="1"/>
  <c r="S69" i="48"/>
  <c r="T69" i="48" s="1"/>
  <c r="S62" i="48"/>
  <c r="T62" i="48" s="1"/>
  <c r="S60" i="48"/>
  <c r="T60" i="48" s="1"/>
  <c r="S58" i="48"/>
  <c r="T58" i="48" s="1"/>
  <c r="AG36" i="48" s="1"/>
  <c r="AH36" i="48" s="1"/>
  <c r="S66" i="48"/>
  <c r="T66" i="48" s="1"/>
  <c r="AG41" i="48" s="1"/>
  <c r="AH41" i="48" s="1"/>
  <c r="R11" i="48"/>
  <c r="P11" i="48"/>
  <c r="Q11" i="48" s="1"/>
  <c r="O11" i="48"/>
  <c r="M11" i="48"/>
  <c r="I11" i="48"/>
  <c r="J11" i="48" s="1"/>
  <c r="H11" i="48"/>
  <c r="L11" i="48" s="1"/>
  <c r="R8" i="48"/>
  <c r="P8" i="48"/>
  <c r="Q8" i="48" s="1"/>
  <c r="O8" i="48"/>
  <c r="M8" i="48"/>
  <c r="I8" i="48"/>
  <c r="J8" i="48" s="1"/>
  <c r="H8" i="48"/>
  <c r="L8" i="48" s="1"/>
  <c r="AK9" i="45"/>
  <c r="O9" i="45"/>
  <c r="M9" i="45"/>
  <c r="K9" i="45"/>
  <c r="J9" i="45"/>
  <c r="AK8" i="45"/>
  <c r="O8" i="45"/>
  <c r="M8" i="45"/>
  <c r="K8" i="45"/>
  <c r="J8" i="45"/>
  <c r="AK7" i="45"/>
  <c r="O7" i="45"/>
  <c r="M7" i="45"/>
  <c r="K7" i="45"/>
  <c r="J7" i="45"/>
  <c r="AK6" i="45"/>
  <c r="O6" i="45"/>
  <c r="M6" i="45"/>
  <c r="K6" i="45"/>
  <c r="J6" i="45"/>
  <c r="AS62" i="59" l="1"/>
  <c r="AI62" i="59"/>
  <c r="Z71" i="48"/>
  <c r="AG45" i="48"/>
  <c r="AI49" i="59"/>
  <c r="AS49" i="59"/>
  <c r="AS61" i="61"/>
  <c r="AI61" i="61"/>
  <c r="AS45" i="59"/>
  <c r="AI45" i="59"/>
  <c r="AS59" i="59"/>
  <c r="AI59" i="59"/>
  <c r="AS61" i="59"/>
  <c r="AI61" i="59"/>
  <c r="AI11" i="60"/>
  <c r="AS62" i="61"/>
  <c r="AI62" i="61"/>
  <c r="AS60" i="59"/>
  <c r="AI60" i="59"/>
  <c r="AP8" i="59"/>
  <c r="AQ8" i="59" s="1"/>
  <c r="AS46" i="59"/>
  <c r="AI46" i="59"/>
  <c r="AI17" i="60"/>
  <c r="AS46" i="61"/>
  <c r="AI46" i="61"/>
  <c r="AS48" i="61"/>
  <c r="AI48" i="61"/>
  <c r="AS47" i="61"/>
  <c r="AI47" i="61"/>
  <c r="AI45" i="61"/>
  <c r="AS45" i="61"/>
  <c r="AS49" i="61"/>
  <c r="AI49" i="61"/>
  <c r="AG15" i="48"/>
  <c r="AH15" i="48" s="1"/>
  <c r="AS15" i="48" s="1"/>
  <c r="U57" i="48"/>
  <c r="U17" i="48"/>
  <c r="AG14" i="48"/>
  <c r="AH14" i="48" s="1"/>
  <c r="Z16" i="48"/>
  <c r="U13" i="48"/>
  <c r="U18" i="48"/>
  <c r="U22" i="48"/>
  <c r="U21" i="48"/>
  <c r="U51" i="48"/>
  <c r="U15" i="48"/>
  <c r="U79" i="48"/>
  <c r="AI8" i="61"/>
  <c r="AA48" i="48"/>
  <c r="Y63" i="48"/>
  <c r="U77" i="48"/>
  <c r="W77" i="48" s="1"/>
  <c r="X77" i="48" s="1"/>
  <c r="AG39" i="48"/>
  <c r="AH39" i="48" s="1"/>
  <c r="AS39" i="48" s="1"/>
  <c r="U48" i="48"/>
  <c r="Z48" i="48"/>
  <c r="U65" i="48"/>
  <c r="U62" i="48"/>
  <c r="W62" i="48" s="1"/>
  <c r="AG38" i="48"/>
  <c r="AH38" i="48" s="1"/>
  <c r="AI38" i="48" s="1"/>
  <c r="U60" i="48"/>
  <c r="U30" i="48"/>
  <c r="U29" i="48"/>
  <c r="W29" i="48" s="1"/>
  <c r="AG22" i="48"/>
  <c r="AH22" i="48" s="1"/>
  <c r="AS22" i="48" s="1"/>
  <c r="U32" i="48"/>
  <c r="U31" i="48"/>
  <c r="W31" i="48" s="1"/>
  <c r="U52" i="48"/>
  <c r="U58" i="48"/>
  <c r="U67" i="48"/>
  <c r="U69" i="48"/>
  <c r="W63" i="48"/>
  <c r="X63" i="48" s="1"/>
  <c r="T12" i="48"/>
  <c r="U66" i="48"/>
  <c r="W66" i="48" s="1"/>
  <c r="AG16" i="48"/>
  <c r="AH16" i="48" s="1"/>
  <c r="AI16" i="48" s="1"/>
  <c r="U53" i="48"/>
  <c r="U64" i="48"/>
  <c r="W64" i="48" s="1"/>
  <c r="U59" i="48"/>
  <c r="U56" i="48"/>
  <c r="U38" i="48"/>
  <c r="AI31" i="48"/>
  <c r="U20" i="48"/>
  <c r="U46" i="48"/>
  <c r="U14" i="48"/>
  <c r="U45" i="48"/>
  <c r="W45" i="48" s="1"/>
  <c r="U47" i="48"/>
  <c r="W47" i="48" s="1"/>
  <c r="U39" i="48"/>
  <c r="W39" i="48" s="1"/>
  <c r="AG13" i="48"/>
  <c r="AH13" i="48" s="1"/>
  <c r="AS13" i="48" s="1"/>
  <c r="AA44" i="48"/>
  <c r="AG29" i="48"/>
  <c r="AH29" i="48" s="1"/>
  <c r="AS29" i="48" s="1"/>
  <c r="U78" i="48"/>
  <c r="W78" i="48" s="1"/>
  <c r="U71" i="48"/>
  <c r="W71" i="48" s="1"/>
  <c r="X71" i="48" s="1"/>
  <c r="U42" i="48"/>
  <c r="U44" i="48"/>
  <c r="W44" i="48" s="1"/>
  <c r="X44" i="48" s="1"/>
  <c r="U34" i="48"/>
  <c r="W34" i="48" s="1"/>
  <c r="X34" i="48" s="1"/>
  <c r="U10" i="48"/>
  <c r="U36" i="48"/>
  <c r="W36" i="48" s="1"/>
  <c r="U43" i="48"/>
  <c r="W43" i="48" s="1"/>
  <c r="X43" i="48" s="1"/>
  <c r="U70" i="48"/>
  <c r="U41" i="48"/>
  <c r="AG28" i="48"/>
  <c r="AH28" i="48" s="1"/>
  <c r="AS28" i="48" s="1"/>
  <c r="Z43" i="48"/>
  <c r="U40" i="48"/>
  <c r="U35" i="48"/>
  <c r="U49" i="48"/>
  <c r="U50" i="48"/>
  <c r="W50" i="48" s="1"/>
  <c r="U37" i="48"/>
  <c r="W37" i="48" s="1"/>
  <c r="U23" i="48"/>
  <c r="AG30" i="48"/>
  <c r="AH30" i="48" s="1"/>
  <c r="AS30" i="48" s="1"/>
  <c r="AG33" i="48"/>
  <c r="AH33" i="48" s="1"/>
  <c r="AI33" i="48" s="1"/>
  <c r="AG24" i="48"/>
  <c r="AH24" i="48" s="1"/>
  <c r="AI24" i="48" s="1"/>
  <c r="AH12" i="48"/>
  <c r="AO12" i="48"/>
  <c r="AP12" i="48" s="1"/>
  <c r="AQ12" i="48" s="1"/>
  <c r="AH9" i="48"/>
  <c r="AO9" i="48"/>
  <c r="AP9" i="48" s="1"/>
  <c r="AQ9" i="48" s="1"/>
  <c r="AG21" i="48"/>
  <c r="AH21" i="48" s="1"/>
  <c r="AI21" i="48" s="1"/>
  <c r="AG25" i="48"/>
  <c r="AH25" i="48" s="1"/>
  <c r="AS25" i="48" s="1"/>
  <c r="AG37" i="48"/>
  <c r="AH37" i="48" s="1"/>
  <c r="AI37" i="48" s="1"/>
  <c r="V8" i="48"/>
  <c r="V11" i="48"/>
  <c r="AS42" i="48"/>
  <c r="AI42" i="48"/>
  <c r="AI35" i="48"/>
  <c r="AS35" i="48"/>
  <c r="AS41" i="48"/>
  <c r="AI41" i="48"/>
  <c r="AI40" i="48"/>
  <c r="AS40" i="48"/>
  <c r="AI32" i="48"/>
  <c r="AS32" i="48"/>
  <c r="AI44" i="48"/>
  <c r="AS44" i="48"/>
  <c r="AI17" i="48"/>
  <c r="AS17" i="48"/>
  <c r="AI36" i="48"/>
  <c r="AS36" i="48"/>
  <c r="AS34" i="48"/>
  <c r="AI34" i="48"/>
  <c r="AI26" i="48"/>
  <c r="AS26" i="48"/>
  <c r="AI27" i="48"/>
  <c r="AS27" i="48"/>
  <c r="AO14" i="61"/>
  <c r="AN15" i="61"/>
  <c r="AN15" i="60"/>
  <c r="AO14" i="60"/>
  <c r="AP14" i="60" s="1"/>
  <c r="AQ14" i="60" s="1"/>
  <c r="AO14" i="59"/>
  <c r="AP14" i="59" s="1"/>
  <c r="AQ14" i="59" s="1"/>
  <c r="AN15" i="59"/>
  <c r="T33" i="48"/>
  <c r="AG23" i="48" s="1"/>
  <c r="AH23" i="48" s="1"/>
  <c r="T68" i="48"/>
  <c r="Z68" i="48" s="1"/>
  <c r="Z64" i="48"/>
  <c r="Z57" i="48"/>
  <c r="Z62" i="48"/>
  <c r="Z10" i="48"/>
  <c r="AN18" i="48"/>
  <c r="AM15" i="48"/>
  <c r="L8" i="45"/>
  <c r="BB8" i="45" s="1"/>
  <c r="Z37" i="48"/>
  <c r="Z34" i="48"/>
  <c r="Z31" i="48"/>
  <c r="Z78" i="48"/>
  <c r="Z36" i="48"/>
  <c r="AA56" i="48"/>
  <c r="AA41" i="48"/>
  <c r="Y61" i="48"/>
  <c r="AA49" i="48"/>
  <c r="Z50" i="48"/>
  <c r="Z29" i="48"/>
  <c r="Y70" i="48"/>
  <c r="Z47" i="48"/>
  <c r="Z66" i="48"/>
  <c r="Z39" i="48"/>
  <c r="Z21" i="48"/>
  <c r="Y65" i="48"/>
  <c r="Z45" i="48"/>
  <c r="Z22" i="48"/>
  <c r="AA78" i="48"/>
  <c r="Y31" i="48"/>
  <c r="Y23" i="48"/>
  <c r="AA36" i="48"/>
  <c r="Y21" i="48"/>
  <c r="Y44" i="48"/>
  <c r="AA63" i="48"/>
  <c r="AA10" i="48"/>
  <c r="Y10" i="48"/>
  <c r="AA61" i="48"/>
  <c r="AA43" i="48"/>
  <c r="Y43" i="48"/>
  <c r="AA71" i="48"/>
  <c r="AA12" i="48"/>
  <c r="Y12" i="48"/>
  <c r="AA16" i="48"/>
  <c r="Y16" i="48"/>
  <c r="W16" i="48"/>
  <c r="Y64" i="48"/>
  <c r="AA64" i="48"/>
  <c r="Y29" i="48"/>
  <c r="AA29" i="48"/>
  <c r="Y71" i="48"/>
  <c r="Y48" i="48"/>
  <c r="AA77" i="48"/>
  <c r="Y77" i="48"/>
  <c r="Y49" i="48"/>
  <c r="AA46" i="48"/>
  <c r="Y46" i="48"/>
  <c r="AA53" i="48"/>
  <c r="Y33" i="48"/>
  <c r="Y53" i="48"/>
  <c r="W57" i="48"/>
  <c r="AA35" i="48"/>
  <c r="AA33" i="48"/>
  <c r="AA31" i="48"/>
  <c r="W21" i="48"/>
  <c r="AA57" i="48"/>
  <c r="AA23" i="48"/>
  <c r="AA21" i="48"/>
  <c r="AA42" i="48"/>
  <c r="AA37" i="48"/>
  <c r="Y41" i="48"/>
  <c r="Y37" i="48"/>
  <c r="Y57" i="48"/>
  <c r="AA52" i="48"/>
  <c r="AA40" i="48"/>
  <c r="Y40" i="48"/>
  <c r="Y36" i="48"/>
  <c r="AA15" i="48"/>
  <c r="Y15" i="48"/>
  <c r="Y34" i="48"/>
  <c r="Y50" i="48"/>
  <c r="AA59" i="48"/>
  <c r="Y59" i="48"/>
  <c r="AA39" i="48"/>
  <c r="Y42" i="48"/>
  <c r="Y39" i="48"/>
  <c r="AA50" i="48"/>
  <c r="AA34" i="48"/>
  <c r="Y52" i="48"/>
  <c r="Y56" i="48"/>
  <c r="Y35" i="48"/>
  <c r="AA65" i="48"/>
  <c r="Y20" i="48"/>
  <c r="AA20" i="48"/>
  <c r="Y47" i="48"/>
  <c r="AA47" i="48"/>
  <c r="Y22" i="48"/>
  <c r="AA22" i="48"/>
  <c r="AA51" i="48"/>
  <c r="Y51" i="48"/>
  <c r="Y45" i="48"/>
  <c r="AA45" i="48"/>
  <c r="Y38" i="48"/>
  <c r="AA38" i="48"/>
  <c r="Y13" i="48"/>
  <c r="AA13" i="48"/>
  <c r="Y32" i="48"/>
  <c r="AA32" i="48"/>
  <c r="Y18" i="48"/>
  <c r="AA18" i="48"/>
  <c r="Y14" i="48"/>
  <c r="AA14" i="48"/>
  <c r="Y17" i="48"/>
  <c r="AA17" i="48"/>
  <c r="Y30" i="48"/>
  <c r="AA30" i="48"/>
  <c r="Y78" i="48"/>
  <c r="AA70" i="48"/>
  <c r="Y79" i="48"/>
  <c r="AA79" i="48"/>
  <c r="Y69" i="48"/>
  <c r="AA69" i="48"/>
  <c r="Y62" i="48"/>
  <c r="AA62" i="48"/>
  <c r="Y58" i="48"/>
  <c r="AA58" i="48"/>
  <c r="Y60" i="48"/>
  <c r="AA60" i="48"/>
  <c r="Y68" i="48"/>
  <c r="AA68" i="48"/>
  <c r="Y67" i="48"/>
  <c r="AA67" i="48"/>
  <c r="Y66" i="48"/>
  <c r="AA66" i="48"/>
  <c r="S11" i="48"/>
  <c r="T11" i="48" s="1"/>
  <c r="AG10" i="48" s="1"/>
  <c r="Q83" i="48"/>
  <c r="S8" i="48"/>
  <c r="T8" i="48" s="1"/>
  <c r="AG8" i="48" s="1"/>
  <c r="L9" i="45"/>
  <c r="BB9" i="45" s="1"/>
  <c r="AH45" i="48" l="1"/>
  <c r="AO45" i="48"/>
  <c r="AP45" i="48" s="1"/>
  <c r="AQ45" i="48" s="1"/>
  <c r="AO14" i="48"/>
  <c r="AP14" i="48" s="1"/>
  <c r="AQ14" i="48" s="1"/>
  <c r="AI15" i="48"/>
  <c r="AS14" i="48"/>
  <c r="AI14" i="48"/>
  <c r="U11" i="48"/>
  <c r="AI39" i="48"/>
  <c r="AS38" i="48"/>
  <c r="AI22" i="48"/>
  <c r="AS16" i="48"/>
  <c r="W12" i="48"/>
  <c r="X12" i="48" s="1"/>
  <c r="AG11" i="48"/>
  <c r="Z12" i="48"/>
  <c r="AO13" i="48"/>
  <c r="AP13" i="48" s="1"/>
  <c r="AQ13" i="48" s="1"/>
  <c r="AI13" i="48"/>
  <c r="AI29" i="48"/>
  <c r="AI28" i="48"/>
  <c r="U8" i="48"/>
  <c r="AI30" i="48"/>
  <c r="AS24" i="48"/>
  <c r="AS33" i="48"/>
  <c r="AH10" i="48"/>
  <c r="AO10" i="48"/>
  <c r="AP10" i="48" s="1"/>
  <c r="AQ10" i="48" s="1"/>
  <c r="AS12" i="48"/>
  <c r="AI12" i="48"/>
  <c r="AI9" i="48"/>
  <c r="AS9" i="48"/>
  <c r="AH8" i="48"/>
  <c r="AO8" i="48"/>
  <c r="AS21" i="48"/>
  <c r="AS37" i="48"/>
  <c r="AI25" i="48"/>
  <c r="AG43" i="48"/>
  <c r="AH43" i="48" s="1"/>
  <c r="AI23" i="48"/>
  <c r="AS23" i="48"/>
  <c r="W68" i="48"/>
  <c r="X68" i="48" s="1"/>
  <c r="Z33" i="48"/>
  <c r="AN16" i="61"/>
  <c r="AO15" i="61"/>
  <c r="AP15" i="61" s="1"/>
  <c r="AQ15" i="61" s="1"/>
  <c r="AP14" i="61"/>
  <c r="AQ14" i="61" s="1"/>
  <c r="AO15" i="60"/>
  <c r="AP15" i="60" s="1"/>
  <c r="AQ15" i="60" s="1"/>
  <c r="AN16" i="60"/>
  <c r="AO15" i="59"/>
  <c r="AP15" i="59" s="1"/>
  <c r="AQ15" i="59" s="1"/>
  <c r="AN16" i="59"/>
  <c r="W10" i="48"/>
  <c r="X10" i="48" s="1"/>
  <c r="AM16" i="48"/>
  <c r="AO15" i="48"/>
  <c r="AP15" i="48" s="1"/>
  <c r="AQ15" i="48" s="1"/>
  <c r="AN19" i="48"/>
  <c r="W18" i="48"/>
  <c r="X18" i="48" s="1"/>
  <c r="Z18" i="48"/>
  <c r="W53" i="48"/>
  <c r="X53" i="48" s="1"/>
  <c r="Z53" i="48"/>
  <c r="W33" i="48"/>
  <c r="X33" i="48" s="1"/>
  <c r="W59" i="48"/>
  <c r="X59" i="48" s="1"/>
  <c r="Z59" i="48"/>
  <c r="W60" i="48"/>
  <c r="X60" i="48" s="1"/>
  <c r="Z60" i="48"/>
  <c r="X21" i="48"/>
  <c r="W38" i="48"/>
  <c r="X38" i="48" s="1"/>
  <c r="Z38" i="48"/>
  <c r="W70" i="48"/>
  <c r="X70" i="48" s="1"/>
  <c r="Z70" i="48"/>
  <c r="W49" i="48"/>
  <c r="X49" i="48" s="1"/>
  <c r="Z49" i="48"/>
  <c r="X50" i="48"/>
  <c r="W65" i="48"/>
  <c r="X65" i="48" s="1"/>
  <c r="Z65" i="48"/>
  <c r="W51" i="48"/>
  <c r="X51" i="48" s="1"/>
  <c r="Z51" i="48"/>
  <c r="W35" i="48"/>
  <c r="X35" i="48" s="1"/>
  <c r="Z35" i="48"/>
  <c r="W14" i="48"/>
  <c r="X14" i="48" s="1"/>
  <c r="Z14" i="48"/>
  <c r="W40" i="48"/>
  <c r="X40" i="48" s="1"/>
  <c r="Z40" i="48"/>
  <c r="W13" i="48"/>
  <c r="X13" i="48" s="1"/>
  <c r="Z13" i="48"/>
  <c r="W61" i="48"/>
  <c r="X61" i="48" s="1"/>
  <c r="Z61" i="48"/>
  <c r="W67" i="48"/>
  <c r="X67" i="48" s="1"/>
  <c r="Z67" i="48"/>
  <c r="W41" i="48"/>
  <c r="X41" i="48" s="1"/>
  <c r="Z41" i="48"/>
  <c r="W58" i="48"/>
  <c r="X58" i="48" s="1"/>
  <c r="Z58" i="48"/>
  <c r="W52" i="48"/>
  <c r="X52" i="48" s="1"/>
  <c r="Z52" i="48"/>
  <c r="W48" i="48"/>
  <c r="X48" i="48" s="1"/>
  <c r="W79" i="48"/>
  <c r="X79" i="48" s="1"/>
  <c r="Z79" i="48"/>
  <c r="W17" i="48"/>
  <c r="X17" i="48" s="1"/>
  <c r="Z17" i="48"/>
  <c r="W56" i="48"/>
  <c r="X56" i="48" s="1"/>
  <c r="Z56" i="48"/>
  <c r="I6" i="45"/>
  <c r="L6" i="45" s="1"/>
  <c r="BB6" i="45" s="1"/>
  <c r="W30" i="48"/>
  <c r="X30" i="48" s="1"/>
  <c r="Z30" i="48"/>
  <c r="W46" i="48"/>
  <c r="X46" i="48" s="1"/>
  <c r="Z46" i="48"/>
  <c r="W23" i="48"/>
  <c r="X23" i="48" s="1"/>
  <c r="Z23" i="48"/>
  <c r="W42" i="48"/>
  <c r="X42" i="48" s="1"/>
  <c r="Z42" i="48"/>
  <c r="X36" i="48"/>
  <c r="X66" i="48"/>
  <c r="W32" i="48"/>
  <c r="X32" i="48" s="1"/>
  <c r="Z32" i="48"/>
  <c r="W22" i="48"/>
  <c r="X22" i="48" s="1"/>
  <c r="W15" i="48"/>
  <c r="X15" i="48" s="1"/>
  <c r="Z15" i="48"/>
  <c r="W69" i="48"/>
  <c r="X69" i="48" s="1"/>
  <c r="Z69" i="48"/>
  <c r="W20" i="48"/>
  <c r="X20" i="48" s="1"/>
  <c r="Z20" i="48"/>
  <c r="X37" i="48"/>
  <c r="X16" i="48"/>
  <c r="X29" i="48"/>
  <c r="X64" i="48"/>
  <c r="X31" i="48"/>
  <c r="X57" i="48"/>
  <c r="X39" i="48"/>
  <c r="X45" i="48"/>
  <c r="X47" i="48"/>
  <c r="X78" i="48"/>
  <c r="Y11" i="48"/>
  <c r="AA11" i="48"/>
  <c r="X62" i="48"/>
  <c r="V81" i="48"/>
  <c r="V83" i="48" s="1"/>
  <c r="AA8" i="48"/>
  <c r="Y8" i="48"/>
  <c r="S81" i="48"/>
  <c r="AP8" i="48" l="1"/>
  <c r="AQ8" i="48" s="1"/>
  <c r="AI45" i="48"/>
  <c r="AS45" i="48"/>
  <c r="AH11" i="48"/>
  <c r="AO11" i="48"/>
  <c r="AP11" i="48" s="1"/>
  <c r="AQ11" i="48" s="1"/>
  <c r="AI8" i="48"/>
  <c r="AS8" i="48"/>
  <c r="AS10" i="48"/>
  <c r="AI10" i="48"/>
  <c r="AI43" i="48"/>
  <c r="AS43" i="48"/>
  <c r="AO16" i="61"/>
  <c r="AP16" i="61" s="1"/>
  <c r="AQ16" i="61" s="1"/>
  <c r="AN17" i="61"/>
  <c r="AN17" i="60"/>
  <c r="AO16" i="60"/>
  <c r="AP16" i="60" s="1"/>
  <c r="AQ16" i="60" s="1"/>
  <c r="AO16" i="59"/>
  <c r="AN17" i="59"/>
  <c r="AN20" i="48"/>
  <c r="AM17" i="48"/>
  <c r="AO16" i="48"/>
  <c r="AP16" i="48" s="1"/>
  <c r="AQ16" i="48" s="1"/>
  <c r="W11" i="48"/>
  <c r="X11" i="48" s="1"/>
  <c r="Z11" i="48"/>
  <c r="T81" i="48"/>
  <c r="T83" i="48" s="1"/>
  <c r="W8" i="48"/>
  <c r="X8" i="48" s="1"/>
  <c r="Z8" i="48"/>
  <c r="U81" i="48"/>
  <c r="U83" i="48" s="1"/>
  <c r="AP16" i="59" l="1"/>
  <c r="AQ16" i="59" s="1"/>
  <c r="AS11" i="48"/>
  <c r="AI11" i="48"/>
  <c r="AN18" i="61"/>
  <c r="AO17" i="61"/>
  <c r="AP17" i="61" s="1"/>
  <c r="AQ17" i="61" s="1"/>
  <c r="AO17" i="60"/>
  <c r="AP17" i="60" s="1"/>
  <c r="AQ17" i="60" s="1"/>
  <c r="AN18" i="60"/>
  <c r="AN18" i="59"/>
  <c r="AO17" i="59"/>
  <c r="AP17" i="59" s="1"/>
  <c r="AQ17" i="59" s="1"/>
  <c r="AM18" i="48"/>
  <c r="AO17" i="48"/>
  <c r="AP17" i="48" s="1"/>
  <c r="AQ17" i="48" s="1"/>
  <c r="AN21" i="48"/>
  <c r="AT9" i="45"/>
  <c r="BF9" i="45" s="1"/>
  <c r="AM9" i="45"/>
  <c r="P9" i="45"/>
  <c r="R9" i="45" s="1"/>
  <c r="S9" i="45" s="1"/>
  <c r="X9" i="45" s="1"/>
  <c r="AT7" i="45"/>
  <c r="BF7" i="45" s="1"/>
  <c r="AM7" i="45"/>
  <c r="P7" i="45"/>
  <c r="R7" i="45" s="1"/>
  <c r="S7" i="45" s="1"/>
  <c r="X7" i="45" s="1"/>
  <c r="AT8" i="45"/>
  <c r="BF8" i="45" s="1"/>
  <c r="AM8" i="45"/>
  <c r="P8" i="45"/>
  <c r="R8" i="45" s="1"/>
  <c r="S8" i="45" s="1"/>
  <c r="X8" i="45" s="1"/>
  <c r="W81" i="48"/>
  <c r="X81" i="48" s="1"/>
  <c r="E6" i="45"/>
  <c r="C6" i="45"/>
  <c r="AN19" i="61" l="1"/>
  <c r="AO18" i="61"/>
  <c r="AP18" i="61" s="1"/>
  <c r="AQ18" i="61" s="1"/>
  <c r="AN19" i="60"/>
  <c r="AO18" i="60"/>
  <c r="AP18" i="60" s="1"/>
  <c r="AQ18" i="60" s="1"/>
  <c r="AO18" i="59"/>
  <c r="AP18" i="59" s="1"/>
  <c r="AQ18" i="59" s="1"/>
  <c r="AN19" i="59"/>
  <c r="AN22" i="48"/>
  <c r="AM19" i="48"/>
  <c r="AO18" i="48"/>
  <c r="AN8" i="45"/>
  <c r="AS8" i="45" s="1"/>
  <c r="AQ8" i="45"/>
  <c r="AN7" i="45"/>
  <c r="AS7" i="45" s="1"/>
  <c r="AQ7" i="45"/>
  <c r="AN9" i="45"/>
  <c r="AS9" i="45" s="1"/>
  <c r="AQ9" i="45"/>
  <c r="AD9" i="45"/>
  <c r="Q9" i="45"/>
  <c r="W9" i="45" s="1"/>
  <c r="Y9" i="45"/>
  <c r="AU9" i="45"/>
  <c r="AW9" i="45" s="1"/>
  <c r="AZ9" i="45" s="1"/>
  <c r="AC9" i="45"/>
  <c r="AL9" i="45" s="1"/>
  <c r="AD7" i="45"/>
  <c r="AU7" i="45"/>
  <c r="AW7" i="45" s="1"/>
  <c r="AZ7" i="45" s="1"/>
  <c r="Y7" i="45"/>
  <c r="Q7" i="45"/>
  <c r="W7" i="45" s="1"/>
  <c r="AC7" i="45"/>
  <c r="AL7" i="45" s="1"/>
  <c r="AU8" i="45"/>
  <c r="AW8" i="45" s="1"/>
  <c r="AZ8" i="45" s="1"/>
  <c r="AC8" i="45"/>
  <c r="AL8" i="45" s="1"/>
  <c r="Q8" i="45"/>
  <c r="W8" i="45" s="1"/>
  <c r="AD8" i="45"/>
  <c r="Q84" i="48"/>
  <c r="P6" i="45"/>
  <c r="R6" i="45" s="1"/>
  <c r="S6" i="45" s="1"/>
  <c r="X6" i="45" s="1"/>
  <c r="AB8" i="45" l="1"/>
  <c r="AB9" i="45"/>
  <c r="AP18" i="48"/>
  <c r="AQ18" i="48" s="1"/>
  <c r="AO19" i="61"/>
  <c r="AP19" i="61" s="1"/>
  <c r="AQ19" i="61" s="1"/>
  <c r="AN20" i="61"/>
  <c r="AO19" i="60"/>
  <c r="AP19" i="60" s="1"/>
  <c r="AQ19" i="60" s="1"/>
  <c r="AN20" i="60"/>
  <c r="AO19" i="59"/>
  <c r="AP19" i="59" s="1"/>
  <c r="AQ19" i="59" s="1"/>
  <c r="AN20" i="59"/>
  <c r="AN23" i="48"/>
  <c r="AM20" i="48"/>
  <c r="AO19" i="48"/>
  <c r="AP19" i="48" s="1"/>
  <c r="AQ19" i="48" s="1"/>
  <c r="AR7" i="45"/>
  <c r="AR9" i="45"/>
  <c r="C10" i="45"/>
  <c r="AM6" i="45"/>
  <c r="AT6" i="45"/>
  <c r="BF6" i="45" s="1"/>
  <c r="AD6" i="45"/>
  <c r="AC6" i="45"/>
  <c r="AL6" i="45" s="1"/>
  <c r="Q6" i="45"/>
  <c r="W6" i="45" s="1"/>
  <c r="AU6" i="45"/>
  <c r="N7" i="63"/>
  <c r="Y8" i="45" l="1"/>
  <c r="AR8" i="45" s="1"/>
  <c r="N8" i="63"/>
  <c r="AN21" i="61"/>
  <c r="AO20" i="61"/>
  <c r="AP20" i="61" s="1"/>
  <c r="AQ20" i="61" s="1"/>
  <c r="AN21" i="60"/>
  <c r="AO20" i="60"/>
  <c r="AP20" i="60" s="1"/>
  <c r="AQ20" i="60" s="1"/>
  <c r="AO20" i="59"/>
  <c r="AP20" i="59" s="1"/>
  <c r="AQ20" i="59" s="1"/>
  <c r="AN21" i="59"/>
  <c r="AM21" i="48"/>
  <c r="AO20" i="48"/>
  <c r="AP20" i="48" s="1"/>
  <c r="AQ20" i="48" s="1"/>
  <c r="AN24" i="48"/>
  <c r="AN6" i="45"/>
  <c r="AS6" i="45" s="1"/>
  <c r="AQ6" i="45"/>
  <c r="Y6" i="45"/>
  <c r="AW6" i="45"/>
  <c r="AO21" i="61" l="1"/>
  <c r="AP21" i="61" s="1"/>
  <c r="AQ21" i="61" s="1"/>
  <c r="AN22" i="61"/>
  <c r="AO21" i="60"/>
  <c r="AP21" i="60" s="1"/>
  <c r="AQ21" i="60" s="1"/>
  <c r="AN22" i="60"/>
  <c r="AN22" i="59"/>
  <c r="AO21" i="59"/>
  <c r="AP21" i="59" s="1"/>
  <c r="AQ21" i="59" s="1"/>
  <c r="AN25" i="48"/>
  <c r="AM22" i="48"/>
  <c r="AO21" i="48"/>
  <c r="AP21" i="48" s="1"/>
  <c r="AQ21" i="48" s="1"/>
  <c r="AR6" i="45"/>
  <c r="AR10" i="45" s="1"/>
  <c r="AW10" i="45"/>
  <c r="AZ6" i="45"/>
  <c r="AN23" i="61" l="1"/>
  <c r="AO22" i="61"/>
  <c r="AP22" i="61" s="1"/>
  <c r="AQ22" i="61" s="1"/>
  <c r="AN23" i="60"/>
  <c r="AO22" i="60"/>
  <c r="AP22" i="60" s="1"/>
  <c r="AQ22" i="60" s="1"/>
  <c r="AO22" i="59"/>
  <c r="AP22" i="59" s="1"/>
  <c r="AQ22" i="59" s="1"/>
  <c r="AN23" i="59"/>
  <c r="AM23" i="48"/>
  <c r="AO22" i="48"/>
  <c r="AP22" i="48" s="1"/>
  <c r="AQ22" i="48" s="1"/>
  <c r="AN26" i="48"/>
  <c r="AO23" i="61" l="1"/>
  <c r="AP23" i="61" s="1"/>
  <c r="AQ23" i="61" s="1"/>
  <c r="AN24" i="61"/>
  <c r="AO23" i="60"/>
  <c r="AP23" i="60" s="1"/>
  <c r="AQ23" i="60" s="1"/>
  <c r="AN24" i="60"/>
  <c r="AO23" i="59"/>
  <c r="AP23" i="59" s="1"/>
  <c r="AQ23" i="59" s="1"/>
  <c r="AN24" i="59"/>
  <c r="AN27" i="48"/>
  <c r="AM24" i="48"/>
  <c r="AO23" i="48"/>
  <c r="AP23" i="48" s="1"/>
  <c r="AQ23" i="48" s="1"/>
  <c r="AN25" i="61" l="1"/>
  <c r="AO24" i="61"/>
  <c r="AP24" i="61" s="1"/>
  <c r="AQ24" i="61" s="1"/>
  <c r="AO24" i="60"/>
  <c r="AP24" i="60" s="1"/>
  <c r="AQ24" i="60" s="1"/>
  <c r="AO24" i="59"/>
  <c r="AP24" i="59" s="1"/>
  <c r="AQ24" i="59" s="1"/>
  <c r="AN25" i="59"/>
  <c r="AM25" i="48"/>
  <c r="AO24" i="48"/>
  <c r="AP24" i="48" s="1"/>
  <c r="AQ24" i="48" s="1"/>
  <c r="AN28" i="48"/>
  <c r="AO25" i="61" l="1"/>
  <c r="AP25" i="61" s="1"/>
  <c r="AQ25" i="61" s="1"/>
  <c r="AN26" i="61"/>
  <c r="AO25" i="59"/>
  <c r="AP25" i="59" s="1"/>
  <c r="AQ25" i="59" s="1"/>
  <c r="AN26" i="59"/>
  <c r="AN29" i="48"/>
  <c r="AM26" i="48"/>
  <c r="AO25" i="48"/>
  <c r="AP25" i="48" s="1"/>
  <c r="AQ25" i="48" s="1"/>
  <c r="AN27" i="61" l="1"/>
  <c r="AO26" i="61"/>
  <c r="AP26" i="61" s="1"/>
  <c r="AQ26" i="61" s="1"/>
  <c r="AO26" i="59"/>
  <c r="AP26" i="59" s="1"/>
  <c r="AQ26" i="59" s="1"/>
  <c r="AN27" i="59"/>
  <c r="AM27" i="48"/>
  <c r="AO26" i="48"/>
  <c r="AP26" i="48" s="1"/>
  <c r="AQ26" i="48" s="1"/>
  <c r="AN30" i="48"/>
  <c r="AO27" i="61" l="1"/>
  <c r="AP27" i="61" s="1"/>
  <c r="AQ27" i="61" s="1"/>
  <c r="AN28" i="61"/>
  <c r="AO27" i="59"/>
  <c r="AP27" i="59" s="1"/>
  <c r="AQ27" i="59" s="1"/>
  <c r="AN28" i="59"/>
  <c r="AN31" i="48"/>
  <c r="AM28" i="48"/>
  <c r="AO27" i="48"/>
  <c r="AP27" i="48" s="1"/>
  <c r="AQ27" i="48" s="1"/>
  <c r="AN29" i="61" l="1"/>
  <c r="AO28" i="61"/>
  <c r="AP28" i="61" s="1"/>
  <c r="AQ28" i="61" s="1"/>
  <c r="AO28" i="59"/>
  <c r="AP28" i="59" s="1"/>
  <c r="AQ28" i="59" s="1"/>
  <c r="AN29" i="59"/>
  <c r="AM29" i="48"/>
  <c r="AO28" i="48"/>
  <c r="AP28" i="48" s="1"/>
  <c r="AQ28" i="48" s="1"/>
  <c r="AN32" i="48"/>
  <c r="AN30" i="61" l="1"/>
  <c r="AO29" i="61"/>
  <c r="AP29" i="61" s="1"/>
  <c r="AQ29" i="61" s="1"/>
  <c r="AO29" i="59"/>
  <c r="AP29" i="59" s="1"/>
  <c r="AQ29" i="59" s="1"/>
  <c r="AN30" i="59"/>
  <c r="AN33" i="48"/>
  <c r="AM30" i="48"/>
  <c r="AO29" i="48"/>
  <c r="AP29" i="48" s="1"/>
  <c r="AQ29" i="48" s="1"/>
  <c r="AN31" i="61" l="1"/>
  <c r="AO30" i="61"/>
  <c r="AP30" i="61" s="1"/>
  <c r="AQ30" i="61" s="1"/>
  <c r="AN31" i="59"/>
  <c r="AO30" i="59"/>
  <c r="AP30" i="59" s="1"/>
  <c r="AQ30" i="59" s="1"/>
  <c r="AM31" i="48"/>
  <c r="AO30" i="48"/>
  <c r="AP30" i="48" s="1"/>
  <c r="AQ30" i="48" s="1"/>
  <c r="AN34" i="48"/>
  <c r="AN32" i="61" l="1"/>
  <c r="AO31" i="61"/>
  <c r="AP31" i="61" s="1"/>
  <c r="AQ31" i="61" s="1"/>
  <c r="AN32" i="59"/>
  <c r="AO31" i="59"/>
  <c r="AP31" i="59" s="1"/>
  <c r="AQ31" i="59" s="1"/>
  <c r="AN35" i="48"/>
  <c r="AM32" i="48"/>
  <c r="AO31" i="48"/>
  <c r="AP31" i="48" s="1"/>
  <c r="AQ31" i="48" s="1"/>
  <c r="AN33" i="61" l="1"/>
  <c r="AO32" i="61"/>
  <c r="AP32" i="61" s="1"/>
  <c r="AQ32" i="61" s="1"/>
  <c r="AO32" i="59"/>
  <c r="AP32" i="59" s="1"/>
  <c r="AQ32" i="59" s="1"/>
  <c r="AN33" i="59"/>
  <c r="AM33" i="48"/>
  <c r="AO32" i="48"/>
  <c r="AP32" i="48" s="1"/>
  <c r="AQ32" i="48" s="1"/>
  <c r="AN36" i="48"/>
  <c r="AN34" i="61" l="1"/>
  <c r="AO33" i="61"/>
  <c r="AP33" i="61" s="1"/>
  <c r="AQ33" i="61" s="1"/>
  <c r="AO33" i="59"/>
  <c r="AP33" i="59" s="1"/>
  <c r="AQ33" i="59" s="1"/>
  <c r="AN34" i="59"/>
  <c r="AN37" i="48"/>
  <c r="AM34" i="48"/>
  <c r="AO33" i="48"/>
  <c r="AP33" i="48" s="1"/>
  <c r="AQ33" i="48" s="1"/>
  <c r="AN35" i="61" l="1"/>
  <c r="AO34" i="61"/>
  <c r="AP34" i="61" s="1"/>
  <c r="AQ34" i="61" s="1"/>
  <c r="AO34" i="59"/>
  <c r="AP34" i="59" s="1"/>
  <c r="AQ34" i="59" s="1"/>
  <c r="AN35" i="59"/>
  <c r="AM35" i="48"/>
  <c r="AO34" i="48"/>
  <c r="AP34" i="48" s="1"/>
  <c r="AQ34" i="48" s="1"/>
  <c r="AN38" i="48"/>
  <c r="AN36" i="61" l="1"/>
  <c r="AO35" i="61"/>
  <c r="AP35" i="61" s="1"/>
  <c r="AQ35" i="61" s="1"/>
  <c r="AN36" i="59"/>
  <c r="AO35" i="59"/>
  <c r="AP35" i="59" s="1"/>
  <c r="AQ35" i="59" s="1"/>
  <c r="AN39" i="48"/>
  <c r="AM36" i="48"/>
  <c r="AO35" i="48"/>
  <c r="AP35" i="48" s="1"/>
  <c r="AQ35" i="48" s="1"/>
  <c r="AN37" i="61" l="1"/>
  <c r="AO36" i="61"/>
  <c r="AP36" i="61" s="1"/>
  <c r="AQ36" i="61" s="1"/>
  <c r="AO36" i="59"/>
  <c r="AP36" i="59" s="1"/>
  <c r="AQ36" i="59" s="1"/>
  <c r="AN37" i="59"/>
  <c r="AM37" i="48"/>
  <c r="AO36" i="48"/>
  <c r="AP36" i="48" s="1"/>
  <c r="AQ36" i="48" s="1"/>
  <c r="AN40" i="48"/>
  <c r="AN38" i="61" l="1"/>
  <c r="AO37" i="61"/>
  <c r="AP37" i="61" s="1"/>
  <c r="AQ37" i="61" s="1"/>
  <c r="AO37" i="59"/>
  <c r="AP37" i="59" s="1"/>
  <c r="AQ37" i="59" s="1"/>
  <c r="AN38" i="59"/>
  <c r="AN41" i="48"/>
  <c r="AM38" i="48"/>
  <c r="AO37" i="48"/>
  <c r="AP37" i="48" s="1"/>
  <c r="AQ37" i="48" s="1"/>
  <c r="AN39" i="61" l="1"/>
  <c r="AO38" i="61"/>
  <c r="AP38" i="61" s="1"/>
  <c r="AQ38" i="61" s="1"/>
  <c r="AO38" i="59"/>
  <c r="AP38" i="59" s="1"/>
  <c r="AQ38" i="59" s="1"/>
  <c r="AN39" i="59"/>
  <c r="AM39" i="48"/>
  <c r="AO38" i="48"/>
  <c r="AP38" i="48" s="1"/>
  <c r="AQ38" i="48" s="1"/>
  <c r="AN42" i="48"/>
  <c r="AN40" i="61" l="1"/>
  <c r="AO39" i="61"/>
  <c r="AP39" i="61" s="1"/>
  <c r="AQ39" i="61" s="1"/>
  <c r="AN40" i="59"/>
  <c r="AO39" i="59"/>
  <c r="AP39" i="59" s="1"/>
  <c r="AQ39" i="59" s="1"/>
  <c r="AN43" i="48"/>
  <c r="AM40" i="48"/>
  <c r="AO39" i="48"/>
  <c r="AP39" i="48" s="1"/>
  <c r="AQ39" i="48" s="1"/>
  <c r="AN41" i="61" l="1"/>
  <c r="AO40" i="61"/>
  <c r="AP40" i="61" s="1"/>
  <c r="AQ40" i="61" s="1"/>
  <c r="AN41" i="59"/>
  <c r="AO40" i="59"/>
  <c r="AP40" i="59" s="1"/>
  <c r="AQ40" i="59" s="1"/>
  <c r="AM41" i="48"/>
  <c r="AO40" i="48"/>
  <c r="AP40" i="48" s="1"/>
  <c r="AQ40" i="48" s="1"/>
  <c r="AN44" i="48"/>
  <c r="AN42" i="61" l="1"/>
  <c r="AO41" i="61"/>
  <c r="AP41" i="61" s="1"/>
  <c r="AQ41" i="61" s="1"/>
  <c r="AN42" i="59"/>
  <c r="AO41" i="59"/>
  <c r="AP41" i="59" s="1"/>
  <c r="AQ41" i="59" s="1"/>
  <c r="AM42" i="48"/>
  <c r="AO41" i="48"/>
  <c r="AP41" i="48" s="1"/>
  <c r="AQ41" i="48" s="1"/>
  <c r="AO42" i="61" l="1"/>
  <c r="AP42" i="61" s="1"/>
  <c r="AQ42" i="61" s="1"/>
  <c r="AN43" i="61"/>
  <c r="AN43" i="59"/>
  <c r="AO42" i="59"/>
  <c r="AP42" i="59" s="1"/>
  <c r="AQ42" i="59" s="1"/>
  <c r="AM43" i="48"/>
  <c r="AO42" i="48"/>
  <c r="AP42" i="48" s="1"/>
  <c r="AQ42" i="48" s="1"/>
  <c r="AO43" i="61" l="1"/>
  <c r="AP43" i="61" s="1"/>
  <c r="AQ43" i="61" s="1"/>
  <c r="AN44" i="61"/>
  <c r="AN44" i="59"/>
  <c r="AO43" i="59"/>
  <c r="AP43" i="59" s="1"/>
  <c r="AQ43" i="59" s="1"/>
  <c r="AM44" i="48"/>
  <c r="AO43" i="48"/>
  <c r="AP43" i="48" s="1"/>
  <c r="AQ43" i="48" s="1"/>
  <c r="AO44" i="61" l="1"/>
  <c r="AN45" i="61"/>
  <c r="AO44" i="59"/>
  <c r="AO70" i="59" s="1"/>
  <c r="AN45" i="59"/>
  <c r="AO44" i="48"/>
  <c r="AP44" i="48" l="1"/>
  <c r="AQ44" i="48" s="1"/>
  <c r="AQ51" i="48" s="1"/>
  <c r="AO51" i="48"/>
  <c r="AP44" i="61"/>
  <c r="AQ44" i="61" s="1"/>
  <c r="AN46" i="61"/>
  <c r="AO45" i="61"/>
  <c r="AP45" i="61" s="1"/>
  <c r="AQ45" i="61" s="1"/>
  <c r="AN46" i="59"/>
  <c r="AO45" i="59"/>
  <c r="AP45" i="59" s="1"/>
  <c r="AQ45" i="59" s="1"/>
  <c r="AP44" i="59"/>
  <c r="AQ44" i="59" s="1"/>
  <c r="AQ70" i="59" s="1"/>
  <c r="BF10" i="45"/>
  <c r="AN47" i="61" l="1"/>
  <c r="AO46" i="61"/>
  <c r="AN47" i="59"/>
  <c r="AO46" i="59"/>
  <c r="AP46" i="59" s="1"/>
  <c r="AQ46" i="59" s="1"/>
  <c r="AN48" i="61" l="1"/>
  <c r="AO47" i="61"/>
  <c r="AP47" i="61" s="1"/>
  <c r="AQ47" i="61" s="1"/>
  <c r="AP46" i="61"/>
  <c r="AQ46" i="61" s="1"/>
  <c r="AN48" i="59"/>
  <c r="AO47" i="59"/>
  <c r="AP47" i="59" s="1"/>
  <c r="AQ47" i="59" s="1"/>
  <c r="AN49" i="61" l="1"/>
  <c r="AO48" i="61"/>
  <c r="AN49" i="59"/>
  <c r="AO48" i="59"/>
  <c r="AP48" i="59" s="1"/>
  <c r="AQ48" i="59" s="1"/>
  <c r="AN50" i="61" l="1"/>
  <c r="AO49" i="61"/>
  <c r="AP49" i="61" s="1"/>
  <c r="AQ49" i="61" s="1"/>
  <c r="AP48" i="61"/>
  <c r="AQ48" i="61" s="1"/>
  <c r="AN50" i="59"/>
  <c r="AO49" i="59"/>
  <c r="AP49" i="59" s="1"/>
  <c r="AQ49" i="59" s="1"/>
  <c r="AO50" i="61" l="1"/>
  <c r="AN51" i="61"/>
  <c r="AN51" i="59"/>
  <c r="AO50" i="59"/>
  <c r="AP50" i="59" s="1"/>
  <c r="AQ50" i="59" s="1"/>
  <c r="AO51" i="61" l="1"/>
  <c r="AP51" i="61" s="1"/>
  <c r="AQ51" i="61" s="1"/>
  <c r="AN52" i="61"/>
  <c r="AP50" i="61"/>
  <c r="AQ50" i="61" s="1"/>
  <c r="AN52" i="59"/>
  <c r="AO51" i="59"/>
  <c r="AP51" i="59" s="1"/>
  <c r="AQ51" i="59" s="1"/>
  <c r="AN53" i="61" l="1"/>
  <c r="AO52" i="61"/>
  <c r="AP52" i="61" s="1"/>
  <c r="AQ52" i="61" s="1"/>
  <c r="AO52" i="59"/>
  <c r="AP52" i="59" s="1"/>
  <c r="AQ52" i="59" s="1"/>
  <c r="AN53" i="59"/>
  <c r="AO53" i="61" l="1"/>
  <c r="AP53" i="61" s="1"/>
  <c r="AQ53" i="61" s="1"/>
  <c r="AN54" i="61"/>
  <c r="AO53" i="59"/>
  <c r="AP53" i="59" s="1"/>
  <c r="AQ53" i="59" s="1"/>
  <c r="AN54" i="59"/>
  <c r="AO54" i="61" l="1"/>
  <c r="AP54" i="61" s="1"/>
  <c r="AQ54" i="61" s="1"/>
  <c r="AN55" i="61"/>
  <c r="AN55" i="59"/>
  <c r="AO54" i="59"/>
  <c r="AP54" i="59" s="1"/>
  <c r="AQ54" i="59" s="1"/>
  <c r="AO55" i="61" l="1"/>
  <c r="AP55" i="61" s="1"/>
  <c r="AQ55" i="61" s="1"/>
  <c r="AN56" i="61"/>
  <c r="AO55" i="59"/>
  <c r="AP55" i="59" s="1"/>
  <c r="AQ55" i="59" s="1"/>
  <c r="AN56" i="59"/>
  <c r="AO56" i="61" l="1"/>
  <c r="AP56" i="61" s="1"/>
  <c r="AQ56" i="61" s="1"/>
  <c r="AN57" i="61"/>
  <c r="AN57" i="59"/>
  <c r="AO56" i="59"/>
  <c r="AP56" i="59" s="1"/>
  <c r="AQ56" i="59" s="1"/>
  <c r="AO57" i="61" l="1"/>
  <c r="AP57" i="61" s="1"/>
  <c r="AQ57" i="61" s="1"/>
  <c r="AN58" i="61"/>
  <c r="AO57" i="59"/>
  <c r="AP57" i="59" s="1"/>
  <c r="AQ57" i="59" s="1"/>
  <c r="AN58" i="59"/>
  <c r="AO58" i="61" l="1"/>
  <c r="AP58" i="61" s="1"/>
  <c r="AQ58" i="61" s="1"/>
  <c r="AN59" i="61"/>
  <c r="AO58" i="59"/>
  <c r="AP58" i="59" s="1"/>
  <c r="AQ58" i="59" s="1"/>
  <c r="AN59" i="59"/>
  <c r="AN60" i="61" l="1"/>
  <c r="AO59" i="61"/>
  <c r="AP59" i="61" s="1"/>
  <c r="AQ59" i="61" s="1"/>
  <c r="AN60" i="59"/>
  <c r="AO59" i="59"/>
  <c r="AP59" i="59" s="1"/>
  <c r="AQ59" i="59" s="1"/>
  <c r="AN61" i="61" l="1"/>
  <c r="AO60" i="61"/>
  <c r="AP60" i="61" s="1"/>
  <c r="AQ60" i="61" s="1"/>
  <c r="AN61" i="59"/>
  <c r="AO60" i="59"/>
  <c r="AP60" i="59" s="1"/>
  <c r="AQ60" i="59" s="1"/>
  <c r="AN62" i="61" l="1"/>
  <c r="AO61" i="61"/>
  <c r="AP61" i="61" s="1"/>
  <c r="AQ61" i="61" s="1"/>
  <c r="AN62" i="59"/>
  <c r="AO61" i="59"/>
  <c r="AP61" i="59" s="1"/>
  <c r="AQ61" i="59" s="1"/>
  <c r="AN63" i="61" l="1"/>
  <c r="AO62" i="61"/>
  <c r="AP62" i="61" s="1"/>
  <c r="AQ62" i="61" s="1"/>
  <c r="AN63" i="59"/>
  <c r="AO62" i="59"/>
  <c r="AP62" i="59" s="1"/>
  <c r="AQ62" i="59" s="1"/>
  <c r="AO63" i="61" l="1"/>
  <c r="AP63" i="61" s="1"/>
  <c r="AQ63" i="61" s="1"/>
  <c r="AN64" i="61"/>
  <c r="AN64" i="59"/>
  <c r="AO64" i="59" s="1"/>
  <c r="AP64" i="59" s="1"/>
  <c r="AQ64" i="59" s="1"/>
  <c r="AO63" i="59"/>
  <c r="AP63" i="59" s="1"/>
  <c r="AQ63" i="59" s="1"/>
  <c r="AN65" i="61" l="1"/>
  <c r="AO64" i="61"/>
  <c r="AP64" i="61" s="1"/>
  <c r="AQ64" i="61" s="1"/>
  <c r="AO65" i="61" l="1"/>
  <c r="AP65" i="61" s="1"/>
  <c r="AQ65" i="61" s="1"/>
  <c r="AN66" i="61"/>
  <c r="AO66" i="61" s="1"/>
  <c r="AP66" i="61" l="1"/>
  <c r="AQ66" i="61" s="1"/>
  <c r="AQ72" i="61" s="1"/>
  <c r="AO72" i="6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G5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H5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6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sharedStrings.xml><?xml version="1.0" encoding="utf-8"?>
<sst xmlns="http://schemas.openxmlformats.org/spreadsheetml/2006/main" count="2592" uniqueCount="844">
  <si>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</si>
  <si>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</si>
  <si>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</si>
  <si>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</si>
  <si>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</si>
  <si>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</si>
  <si>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</si>
  <si>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</si>
  <si>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</si>
  <si>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</si>
  <si>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</si>
  <si>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Unit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</si>
  <si>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</si>
  <si>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</si>
  <si>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</si>
  <si>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</si>
  <si>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</si>
  <si>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Unit Total</t>
  </si>
  <si>
    <t>Balance?</t>
  </si>
  <si>
    <t>Zone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</si>
  <si>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</si>
  <si>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</si>
  <si>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</si>
  <si>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</si>
  <si>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</si>
  <si>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</si>
  <si>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</si>
  <si>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</si>
  <si>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Tonnage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</si>
  <si>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</si>
  <si>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</si>
  <si>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</si>
  <si>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</si>
  <si>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</si>
  <si>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</si>
  <si>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</si>
  <si>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</si>
  <si>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</si>
  <si>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</si>
  <si>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</si>
  <si>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</si>
  <si>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</si>
  <si>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</si>
  <si>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</si>
  <si>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</si>
  <si>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</si>
  <si>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</si>
  <si>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</si>
  <si>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 xml:space="preserve"> </t>
  </si>
  <si>
    <t>GPM</t>
  </si>
  <si>
    <t>EWT</t>
  </si>
  <si>
    <t>EAT</t>
  </si>
  <si>
    <t>CFM</t>
  </si>
  <si>
    <t>2019 CALIFORNIA MECHANICAL CODE</t>
  </si>
  <si>
    <r>
      <t xml:space="preserve">Directions: If text is </t>
    </r>
    <r>
      <rPr>
        <sz val="24"/>
        <color rgb="FFC00000"/>
        <rFont val="Arial"/>
        <family val="2"/>
      </rPr>
      <t>red</t>
    </r>
    <r>
      <rPr>
        <sz val="24"/>
        <rFont val="Arial"/>
        <family val="2"/>
      </rPr>
      <t xml:space="preserve"> this is a user input, if text is black is is an autofil for code requirements, do not touch it</t>
    </r>
  </si>
  <si>
    <t>Click cells below to select a designation option</t>
  </si>
  <si>
    <t>AC Unit TAG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</si>
  <si>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</si>
  <si>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</si>
  <si>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</si>
  <si>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</si>
  <si>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</si>
  <si>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</si>
  <si>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</si>
  <si>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</si>
  <si>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</si>
  <si>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</si>
  <si>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</si>
  <si>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MAX TONNAGE</t>
  </si>
  <si>
    <t>Room Setpoint</t>
  </si>
  <si>
    <t>Summer Outside Air (sensible)</t>
  </si>
  <si>
    <t>Summer Outside Air (dehumidification)</t>
  </si>
  <si>
    <t>Winter Outside</t>
  </si>
  <si>
    <t>Ql</t>
  </si>
  <si>
    <t>(MBH)</t>
  </si>
  <si>
    <t>(mbh)</t>
  </si>
  <si>
    <t>AHU-2</t>
  </si>
  <si>
    <t>AHU-3</t>
  </si>
  <si>
    <t>TOTALS</t>
  </si>
  <si>
    <t>SUMMER DESIGN</t>
  </si>
  <si>
    <t>WINTER DESIGN</t>
  </si>
  <si>
    <t>COOLING</t>
  </si>
  <si>
    <t>MCDB</t>
  </si>
  <si>
    <t>DEHUMID.</t>
  </si>
  <si>
    <t>DP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</si>
  <si>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</si>
  <si>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</si>
  <si>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</si>
  <si>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</si>
  <si>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</si>
  <si>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</si>
  <si>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</si>
  <si>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</si>
  <si>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</si>
  <si>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</si>
  <si>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</si>
  <si>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</si>
  <si>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</si>
  <si>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TOTAL AREA</t>
  </si>
  <si>
    <t>CALCULATED SA CFM</t>
  </si>
  <si>
    <t>WITH LEAKAGE AND SAFETY</t>
  </si>
  <si>
    <t>ADDITIONAL FOR MEETING %OA</t>
  </si>
  <si>
    <t>VAV INLET RADIUS</t>
  </si>
  <si>
    <t>POSITIVE</t>
  </si>
  <si>
    <t>DESIGN CHECK</t>
  </si>
  <si>
    <t>AIR CALCULATION</t>
  </si>
  <si>
    <t>ROOM INFO</t>
  </si>
  <si>
    <t>CODE REQUIREMENTS</t>
  </si>
  <si>
    <t>REMARKS</t>
  </si>
  <si>
    <t>SEE AHU-2 CALCS</t>
  </si>
  <si>
    <t>SEE AHU-3 CALCS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</si>
  <si>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</si>
  <si>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</si>
  <si>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</si>
  <si>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</si>
  <si>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</si>
  <si>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</si>
  <si>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</si>
  <si>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</si>
  <si>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</si>
  <si>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</si>
  <si>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</si>
  <si>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</si>
  <si>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</si>
  <si>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DO NOT INCLUDE IN BOILER PLANT</t>
  </si>
  <si>
    <t>SF ESP</t>
  </si>
  <si>
    <t>RF ESP</t>
  </si>
  <si>
    <t>CLEAN LINEN STORAGE</t>
  </si>
  <si>
    <t>CHILLER PLANT TOTAL</t>
  </si>
  <si>
    <t xml:space="preserve">BOILER PLANT TOTAL </t>
  </si>
  <si>
    <t>PRE - HEATING</t>
  </si>
  <si>
    <t>CAV-2-01</t>
  </si>
  <si>
    <t>CAV-2-02</t>
  </si>
  <si>
    <t>CAV-2-03</t>
  </si>
  <si>
    <t>CAV-2-04</t>
  </si>
  <si>
    <t>CAV-2-05</t>
  </si>
  <si>
    <t>CAV-2-06</t>
  </si>
  <si>
    <t>CAV-2-07</t>
  </si>
  <si>
    <t>CAV-2-08</t>
  </si>
  <si>
    <t>CAV-2-09</t>
  </si>
  <si>
    <t>CAV-2-10</t>
  </si>
  <si>
    <t>CAV-2-11</t>
  </si>
  <si>
    <t>CAV-2-12</t>
  </si>
  <si>
    <t>CAV-2-13</t>
  </si>
  <si>
    <t>CAV-2-14</t>
  </si>
  <si>
    <t>CAV-2-15</t>
  </si>
  <si>
    <t>CAV-2-16</t>
  </si>
  <si>
    <t>CAV-2-17</t>
  </si>
  <si>
    <t>CAV-2-18</t>
  </si>
  <si>
    <t>CAV-2-19</t>
  </si>
  <si>
    <t>CAV-2-20</t>
  </si>
  <si>
    <t>CAV-2-21</t>
  </si>
  <si>
    <t>CAV-2-22</t>
  </si>
  <si>
    <t>CAV-2-23</t>
  </si>
  <si>
    <t>CAV-2-24</t>
  </si>
  <si>
    <t>CAV-2-25</t>
  </si>
  <si>
    <t>CAV-2-26</t>
  </si>
  <si>
    <t>CAV-2-27</t>
  </si>
  <si>
    <t>CAV-2-28</t>
  </si>
  <si>
    <t>CAV-2-29</t>
  </si>
  <si>
    <t>CAV-2-30</t>
  </si>
  <si>
    <t>CAV-2-31</t>
  </si>
  <si>
    <t>CAV-2-32</t>
  </si>
  <si>
    <t>CAV-2-33</t>
  </si>
  <si>
    <t>CAV-2-34</t>
  </si>
  <si>
    <t>CAV-2-35</t>
  </si>
  <si>
    <t>CAV-2-36</t>
  </si>
  <si>
    <t>CAV-2-37</t>
  </si>
  <si>
    <t>CAV-2-38</t>
  </si>
  <si>
    <t>CAV-2-39</t>
  </si>
  <si>
    <t>CAV-2-40</t>
  </si>
  <si>
    <t>CAV-2-41</t>
  </si>
  <si>
    <t>CAV-2-42</t>
  </si>
  <si>
    <t>CAV-2-43</t>
  </si>
  <si>
    <t>CAV-2-44</t>
  </si>
  <si>
    <t>CAV-2-45</t>
  </si>
  <si>
    <t>CAV-2-46</t>
  </si>
  <si>
    <t>CAV-2-47</t>
  </si>
  <si>
    <t>CAV-2-48</t>
  </si>
  <si>
    <t>CAV-2-49</t>
  </si>
  <si>
    <t>CAV-2-50</t>
  </si>
  <si>
    <t>CAV-2-51</t>
  </si>
  <si>
    <t>CAV-2-52</t>
  </si>
  <si>
    <t>CAV-2-53</t>
  </si>
  <si>
    <t>CAV-2-54</t>
  </si>
  <si>
    <t>CAV-2-55</t>
  </si>
  <si>
    <t>CAV-2-56</t>
  </si>
  <si>
    <t>CAV-2-57</t>
  </si>
  <si>
    <t>CAV-2-58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</si>
  <si>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</si>
  <si>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</si>
  <si>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</si>
  <si>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</si>
  <si>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</si>
  <si>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</si>
  <si>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</si>
  <si>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</si>
  <si>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</si>
  <si>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</si>
  <si>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</si>
  <si>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</si>
  <si>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</si>
  <si>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</si>
  <si>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</si>
  <si>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</si>
  <si>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</si>
  <si>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</si>
  <si>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</si>
  <si>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</si>
  <si>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</si>
  <si>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</si>
  <si>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</si>
  <si>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</si>
  <si>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</si>
  <si>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</si>
  <si>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</si>
  <si>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</si>
  <si>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</si>
  <si>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</si>
  <si>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</si>
  <si>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</si>
  <si>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</si>
  <si>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</si>
  <si>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</si>
  <si>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</si>
  <si>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</si>
  <si>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</si>
  <si>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</si>
  <si>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</si>
  <si>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</si>
  <si>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</si>
  <si>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</si>
  <si>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</si>
  <si>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</si>
  <si>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</si>
  <si>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</si>
  <si>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</si>
  <si>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</si>
  <si>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</si>
  <si>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</si>
  <si>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</si>
  <si>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</si>
  <si>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</si>
  <si>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</si>
  <si>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</si>
  <si>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</si>
  <si>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</si>
  <si>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</si>
  <si>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</si>
  <si>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</si>
  <si>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</si>
  <si>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</si>
  <si>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</si>
  <si>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</si>
  <si>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</si>
  <si>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</si>
  <si>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</si>
  <si>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</si>
  <si>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</si>
  <si>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</si>
  <si>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</si>
  <si>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</si>
  <si>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</si>
  <si>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</si>
  <si>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</si>
  <si>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</si>
  <si>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</si>
  <si>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</si>
  <si>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</si>
  <si>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</si>
  <si>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</si>
  <si>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</si>
  <si>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</si>
  <si>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</si>
  <si>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</si>
  <si>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</si>
  <si>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</si>
  <si>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</si>
  <si>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</si>
  <si>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</si>
  <si>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</si>
  <si>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</si>
  <si>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</si>
  <si>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</si>
  <si>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</si>
  <si>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</si>
  <si>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</si>
  <si>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</si>
  <si>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</si>
  <si>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</si>
  <si>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</si>
  <si>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</si>
  <si>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</si>
  <si>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</si>
  <si>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</si>
  <si>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</si>
  <si>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</si>
  <si>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</si>
  <si>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</si>
  <si>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</si>
  <si>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</si>
  <si>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</si>
  <si>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</si>
  <si>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</si>
  <si>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</si>
  <si>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</si>
  <si>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</si>
  <si>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</si>
  <si>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</si>
  <si>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</si>
  <si>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</si>
  <si>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</si>
  <si>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</si>
  <si>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</si>
  <si>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</si>
  <si>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</si>
  <si>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</si>
  <si>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</si>
  <si>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</si>
  <si>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</si>
  <si>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</si>
  <si>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</si>
  <si>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</si>
  <si>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</si>
  <si>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</si>
  <si>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</si>
  <si>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</si>
  <si>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</si>
  <si>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CRICU
EA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</si>
  <si>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</si>
  <si>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</si>
  <si>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</si>
  <si>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</si>
  <si>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</si>
  <si>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</si>
  <si>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</si>
  <si>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CAV-3-01</t>
  </si>
  <si>
    <t>CAV-3-02</t>
  </si>
  <si>
    <t>CAV-3-03</t>
  </si>
  <si>
    <t>CAV-3-04</t>
  </si>
  <si>
    <t>CAV-3-05</t>
  </si>
  <si>
    <t>CAV-3-06</t>
  </si>
  <si>
    <t>CAV-3-07</t>
  </si>
  <si>
    <t>CAV-3-08</t>
  </si>
  <si>
    <t>CAV-3-09</t>
  </si>
  <si>
    <t>CAV-3-10</t>
  </si>
  <si>
    <t>CAV-3-11</t>
  </si>
  <si>
    <t>CAV-3-12</t>
  </si>
  <si>
    <t>CAV-3-13</t>
  </si>
  <si>
    <t>CAV-3-14</t>
  </si>
  <si>
    <t>CAV-3-15</t>
  </si>
  <si>
    <t>CAV-3-16</t>
  </si>
  <si>
    <t>CAV-3-17</t>
  </si>
  <si>
    <t>CAV-3-18</t>
  </si>
  <si>
    <t>CAV-3-19</t>
  </si>
  <si>
    <t>CAV-3-20</t>
  </si>
  <si>
    <t>CAV-3-21</t>
  </si>
  <si>
    <t>CAV-3-22</t>
  </si>
  <si>
    <t>CAV-3-23</t>
  </si>
  <si>
    <t>CAV-3-24</t>
  </si>
  <si>
    <t>CAV-3-25</t>
  </si>
  <si>
    <t>CAV-3-26</t>
  </si>
  <si>
    <t>CAV-3-27</t>
  </si>
  <si>
    <t>CAV-3-28</t>
  </si>
  <si>
    <t>CAV-3-29</t>
  </si>
  <si>
    <t>CAV-3-30</t>
  </si>
  <si>
    <t>CAV-3-31</t>
  </si>
  <si>
    <t>CAV-3-32</t>
  </si>
  <si>
    <t>CAV-3-33</t>
  </si>
  <si>
    <t>CAV-3-34</t>
  </si>
  <si>
    <t>CAV-3-35</t>
  </si>
  <si>
    <t>CAV-3-36</t>
  </si>
  <si>
    <t>CAV-3-37</t>
  </si>
  <si>
    <t>CAV-3-38</t>
  </si>
  <si>
    <t>CAV-3-39</t>
  </si>
  <si>
    <t>CAV-3-40</t>
  </si>
  <si>
    <t>CAV-3-41</t>
  </si>
  <si>
    <t>CAV-3-42</t>
  </si>
  <si>
    <t>CAV-3-43</t>
  </si>
  <si>
    <t>CAV-3-44</t>
  </si>
  <si>
    <t>CAV-3-45</t>
  </si>
  <si>
    <t>CAV-3-46</t>
  </si>
  <si>
    <t>CAV-3-47</t>
  </si>
  <si>
    <t>CAV-3-48</t>
  </si>
  <si>
    <t>CAV-3-49</t>
  </si>
  <si>
    <t>CAV-3-50</t>
  </si>
  <si>
    <t>CAV-3-51</t>
  </si>
  <si>
    <t>CAV-3-52</t>
  </si>
  <si>
    <t>CAV-3-53</t>
  </si>
  <si>
    <t>CAV-3-54</t>
  </si>
  <si>
    <t>CAV-3-55</t>
  </si>
  <si>
    <t>CAV-3-56</t>
  </si>
  <si>
    <t>CAV-3-57</t>
  </si>
  <si>
    <t>CAV-3-58</t>
  </si>
  <si>
    <t>CAV-3-59</t>
  </si>
  <si>
    <t>CHILLED WATER</t>
  </si>
  <si>
    <t>LWT</t>
  </si>
  <si>
    <t>FLOW</t>
  </si>
  <si>
    <t>HOT WATER</t>
  </si>
  <si>
    <t>AHU-1</t>
  </si>
  <si>
    <t>AHU-4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</si>
  <si>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</si>
  <si>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</si>
  <si>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</si>
  <si>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</si>
  <si>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</si>
  <si>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</si>
  <si>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</si>
  <si>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</si>
  <si>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</si>
  <si>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</si>
  <si>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</si>
  <si>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</si>
  <si>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</si>
  <si>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</si>
  <si>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</si>
  <si>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</si>
  <si>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</si>
  <si>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</si>
  <si>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</si>
  <si>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</si>
  <si>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</si>
  <si>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</si>
  <si>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</si>
  <si>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</si>
  <si>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</si>
  <si>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</si>
  <si>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</si>
  <si>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</si>
  <si>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</si>
  <si>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</si>
  <si>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</si>
  <si>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</si>
  <si>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</si>
  <si>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</si>
  <si>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</si>
  <si>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</si>
  <si>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</si>
  <si>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CAV-4-01</t>
  </si>
  <si>
    <t>CAV-4-02</t>
  </si>
  <si>
    <t>CAV-4-03</t>
  </si>
  <si>
    <t>CAV-4-04</t>
  </si>
  <si>
    <t>CAV-4-05</t>
  </si>
  <si>
    <t>CAV-4-06</t>
  </si>
  <si>
    <t>CAV-4-07</t>
  </si>
  <si>
    <t>CAV-4-08</t>
  </si>
  <si>
    <t>CAV-4-09</t>
  </si>
  <si>
    <t>CAV-4-10</t>
  </si>
  <si>
    <t>CAV-4-11</t>
  </si>
  <si>
    <t>CAV-4-12</t>
  </si>
  <si>
    <t>CAV-4-13</t>
  </si>
  <si>
    <t>CAV-4-14</t>
  </si>
  <si>
    <t>CAV-4-15</t>
  </si>
  <si>
    <t>CAV-4-16</t>
  </si>
  <si>
    <t>CAV-4-17</t>
  </si>
  <si>
    <t>SEE AHU-1 CALCS</t>
  </si>
  <si>
    <t>SEE AHU-4 CALCS</t>
  </si>
  <si>
    <t xml:space="preserve"> VENTILATION SCHEDULE AHU-1</t>
  </si>
  <si>
    <t xml:space="preserve"> VENTILATION SCHEDULE AHU-4</t>
  </si>
  <si>
    <t xml:space="preserve"> VENTILATION SCHEDULE AHU-2</t>
  </si>
  <si>
    <t xml:space="preserve"> VENTILATION SCHEDULE AHU-3</t>
  </si>
  <si>
    <t>CORRIDOR</t>
  </si>
  <si>
    <t>1400-1</t>
  </si>
  <si>
    <t>ENG OFFICE</t>
  </si>
  <si>
    <t>1410</t>
  </si>
  <si>
    <t>ENG SHOP</t>
  </si>
  <si>
    <t>1408</t>
  </si>
  <si>
    <t>OXYGEN</t>
  </si>
  <si>
    <t>1420</t>
  </si>
  <si>
    <t>SPRINKLER</t>
  </si>
  <si>
    <t>1421</t>
  </si>
  <si>
    <t>GEN STORAGE</t>
  </si>
  <si>
    <t>1400</t>
  </si>
  <si>
    <t>EQUIP</t>
  </si>
  <si>
    <t>1400A</t>
  </si>
  <si>
    <t>FLURO</t>
  </si>
  <si>
    <t>1300</t>
  </si>
  <si>
    <t>CONTROL</t>
  </si>
  <si>
    <t>1301</t>
  </si>
  <si>
    <t>CHANGE</t>
  </si>
  <si>
    <t>1301A</t>
  </si>
  <si>
    <t>1302A</t>
  </si>
  <si>
    <t>1302B</t>
  </si>
  <si>
    <t>STAFF LOUNGE/LOCKERS</t>
  </si>
  <si>
    <t>1302</t>
  </si>
  <si>
    <t>1300-1</t>
  </si>
  <si>
    <t>SHARED BUSINESS OFFICE</t>
  </si>
  <si>
    <t>1215</t>
  </si>
  <si>
    <t>BOARDROOM</t>
  </si>
  <si>
    <t>1213</t>
  </si>
  <si>
    <t>HALLWAY</t>
  </si>
  <si>
    <t>1200-2</t>
  </si>
  <si>
    <t>SUB-WAIT</t>
  </si>
  <si>
    <t>1211</t>
  </si>
  <si>
    <t>1200-1</t>
  </si>
  <si>
    <t>COPY/WORK</t>
  </si>
  <si>
    <t>1200A</t>
  </si>
  <si>
    <t>SUPPLY</t>
  </si>
  <si>
    <t>1200B</t>
  </si>
  <si>
    <t>CONTROLLER</t>
  </si>
  <si>
    <t>1214</t>
  </si>
  <si>
    <t>OFFICE</t>
  </si>
  <si>
    <t>1220</t>
  </si>
  <si>
    <t>1218</t>
  </si>
  <si>
    <t>1216</t>
  </si>
  <si>
    <t>EQUIP STORAGE</t>
  </si>
  <si>
    <t>1106</t>
  </si>
  <si>
    <t>1100-2</t>
  </si>
  <si>
    <t>RECEPTION</t>
  </si>
  <si>
    <t>1200</t>
  </si>
  <si>
    <t>OFFICE CEO</t>
  </si>
  <si>
    <t>1209</t>
  </si>
  <si>
    <t>OFFICE BUSINESS</t>
  </si>
  <si>
    <t>1205</t>
  </si>
  <si>
    <t>OFFICE HR</t>
  </si>
  <si>
    <t>1207</t>
  </si>
  <si>
    <t>1201</t>
  </si>
  <si>
    <t>OFFICE INFECTION CONTROL</t>
  </si>
  <si>
    <t>1203</t>
  </si>
  <si>
    <t>1102</t>
  </si>
  <si>
    <t>VESTIBULE</t>
  </si>
  <si>
    <t>1100</t>
  </si>
  <si>
    <t>LOBBY</t>
  </si>
  <si>
    <t>1101</t>
  </si>
  <si>
    <t>1100-1</t>
  </si>
  <si>
    <t>VENDING</t>
  </si>
  <si>
    <t>1502</t>
  </si>
  <si>
    <t>EWC</t>
  </si>
  <si>
    <t>1501</t>
  </si>
  <si>
    <t>1500-1</t>
  </si>
  <si>
    <t>WHEELCHAIR STORAGE</t>
  </si>
  <si>
    <t>4113</t>
  </si>
  <si>
    <t>ELEC</t>
  </si>
  <si>
    <t>1401</t>
  </si>
  <si>
    <t>COMM</t>
  </si>
  <si>
    <t>1403</t>
  </si>
  <si>
    <t>CLEAN HOLD</t>
  </si>
  <si>
    <t>1405</t>
  </si>
  <si>
    <t>DINING</t>
  </si>
  <si>
    <t>1500A</t>
  </si>
  <si>
    <t>DISH RETURN</t>
  </si>
  <si>
    <t>1504</t>
  </si>
  <si>
    <t>FOOD WASTE</t>
  </si>
  <si>
    <t>1506</t>
  </si>
  <si>
    <t>DISH WASH</t>
  </si>
  <si>
    <t>1505</t>
  </si>
  <si>
    <t>CART STORAGE</t>
  </si>
  <si>
    <t>1507</t>
  </si>
  <si>
    <t>KITCHEN</t>
  </si>
  <si>
    <t>1500B</t>
  </si>
  <si>
    <t>SERVERY</t>
  </si>
  <si>
    <t>1503</t>
  </si>
  <si>
    <t>DRY</t>
  </si>
  <si>
    <t>1510</t>
  </si>
  <si>
    <t>LOCKERS</t>
  </si>
  <si>
    <t>1514</t>
  </si>
  <si>
    <t>1500-2</t>
  </si>
  <si>
    <t>DIET OFFICE</t>
  </si>
  <si>
    <t>1513</t>
  </si>
  <si>
    <t>CAV-1-38</t>
  </si>
  <si>
    <t>SAV-1-1</t>
  </si>
  <si>
    <t>PHARMACY</t>
  </si>
  <si>
    <t>1305</t>
  </si>
  <si>
    <t>SAV-1-2</t>
  </si>
  <si>
    <t>ANTEROOM</t>
  </si>
  <si>
    <t>1305A</t>
  </si>
  <si>
    <t>SAV-1-3</t>
  </si>
  <si>
    <t>BUFFER</t>
  </si>
  <si>
    <t>1305B</t>
  </si>
  <si>
    <t>PAT ROOM</t>
  </si>
  <si>
    <t>2000-4</t>
  </si>
  <si>
    <t>ALCOVE</t>
  </si>
  <si>
    <t>2000-3</t>
  </si>
  <si>
    <t>TRANSFER</t>
  </si>
  <si>
    <t>2109B</t>
  </si>
  <si>
    <t>BRAIN THERAPY</t>
  </si>
  <si>
    <t>THERAPIST WORK</t>
  </si>
  <si>
    <t>2109A</t>
  </si>
  <si>
    <t>2000-1</t>
  </si>
  <si>
    <t>SPEECH</t>
  </si>
  <si>
    <t>2000-2</t>
  </si>
  <si>
    <t>DINING / DAY RM</t>
  </si>
  <si>
    <t>TRAY HOLDING</t>
  </si>
  <si>
    <t>STAFF LOUNGE</t>
  </si>
  <si>
    <t>2000-6</t>
  </si>
  <si>
    <t>DAY 4</t>
  </si>
  <si>
    <t>2209A</t>
  </si>
  <si>
    <t>OFFICE, CHARGE</t>
  </si>
  <si>
    <t>2000-5</t>
  </si>
  <si>
    <t>2207-1</t>
  </si>
  <si>
    <t>NOURISH</t>
  </si>
  <si>
    <t>2207D</t>
  </si>
  <si>
    <t>NURSE 2A</t>
  </si>
  <si>
    <t>2207C</t>
  </si>
  <si>
    <t>NURSE 2B</t>
  </si>
  <si>
    <t>2207A</t>
  </si>
  <si>
    <t>MEDS</t>
  </si>
  <si>
    <t>2207B</t>
  </si>
  <si>
    <t>SOILED</t>
  </si>
  <si>
    <t>EQUIPMENT</t>
  </si>
  <si>
    <t>CLEAN</t>
  </si>
  <si>
    <t>TREATMENT</t>
  </si>
  <si>
    <t>DICTATION</t>
  </si>
  <si>
    <t>OFFICE 2</t>
  </si>
  <si>
    <t>OFFICE, CASE</t>
  </si>
  <si>
    <t>2223A</t>
  </si>
  <si>
    <t>NURSE 1</t>
  </si>
  <si>
    <t>2200-1</t>
  </si>
  <si>
    <t>2100-1</t>
  </si>
  <si>
    <t>MULTIPURPOSE / CLASSROOM</t>
  </si>
  <si>
    <t>2107D</t>
  </si>
  <si>
    <t>OFFICE 3</t>
  </si>
  <si>
    <t>2107-1</t>
  </si>
  <si>
    <t>NURSE 3A</t>
  </si>
  <si>
    <t>2107A</t>
  </si>
  <si>
    <t>NURSE 3B</t>
  </si>
  <si>
    <t>2107B</t>
  </si>
  <si>
    <t>2107C</t>
  </si>
  <si>
    <t>SAV-2-1</t>
  </si>
  <si>
    <t>ISOLATION ROOM</t>
  </si>
  <si>
    <t>SAV-2-2</t>
  </si>
  <si>
    <t>ANTE</t>
  </si>
  <si>
    <t>2005B</t>
  </si>
  <si>
    <t>3000-4</t>
  </si>
  <si>
    <t>3132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</si>
  <si>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</si>
  <si>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</si>
  <si>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</si>
  <si>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</si>
  <si>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</si>
  <si>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</si>
  <si>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</si>
  <si>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</si>
  <si>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</si>
  <si>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3014</t>
  </si>
  <si>
    <t>3013</t>
  </si>
  <si>
    <t>3012</t>
  </si>
  <si>
    <t>3011</t>
  </si>
  <si>
    <t>3010</t>
  </si>
  <si>
    <t>3000-3</t>
  </si>
  <si>
    <t>DAYROOM 1</t>
  </si>
  <si>
    <t>3110</t>
  </si>
  <si>
    <t>3107</t>
  </si>
  <si>
    <t>3000-1</t>
  </si>
  <si>
    <t>3000</t>
  </si>
  <si>
    <t>3001</t>
  </si>
  <si>
    <t>3002</t>
  </si>
  <si>
    <t>3003</t>
  </si>
  <si>
    <t>3004</t>
  </si>
  <si>
    <t>3005</t>
  </si>
  <si>
    <t>3006</t>
  </si>
  <si>
    <t>3007</t>
  </si>
  <si>
    <t>3141</t>
  </si>
  <si>
    <t>3034</t>
  </si>
  <si>
    <t>3033</t>
  </si>
  <si>
    <t>3032</t>
  </si>
  <si>
    <t>3031</t>
  </si>
  <si>
    <t>3030</t>
  </si>
  <si>
    <t>3000-6</t>
  </si>
  <si>
    <t>ADL LAUNDRY</t>
  </si>
  <si>
    <t>1107</t>
  </si>
  <si>
    <t>ADL LIVING ROOM</t>
  </si>
  <si>
    <t>3203</t>
  </si>
  <si>
    <t>ADL BEDROOM</t>
  </si>
  <si>
    <t>3204</t>
  </si>
  <si>
    <t>EQ. STORAGE</t>
  </si>
  <si>
    <t>3133</t>
  </si>
  <si>
    <t>3201</t>
  </si>
  <si>
    <t>3000-5</t>
  </si>
  <si>
    <t>3134</t>
  </si>
  <si>
    <t>3130B</t>
  </si>
  <si>
    <t>3130-1</t>
  </si>
  <si>
    <t>3130C</t>
  </si>
  <si>
    <t>3130A</t>
  </si>
  <si>
    <t>3130D</t>
  </si>
  <si>
    <t>3135</t>
  </si>
  <si>
    <t>3129</t>
  </si>
  <si>
    <t>DAYROOM 2</t>
  </si>
  <si>
    <t>3127</t>
  </si>
  <si>
    <t>3136</t>
  </si>
  <si>
    <t>3137</t>
  </si>
  <si>
    <t>3140</t>
  </si>
  <si>
    <t>ST TLT</t>
  </si>
  <si>
    <t>3126</t>
  </si>
  <si>
    <t>3103</t>
  </si>
  <si>
    <t>3125</t>
  </si>
  <si>
    <t>3123</t>
  </si>
  <si>
    <t>3139A</t>
  </si>
  <si>
    <t>3139</t>
  </si>
  <si>
    <t>3100-1</t>
  </si>
  <si>
    <t>3100-2</t>
  </si>
  <si>
    <t>MULTIPURPOSE</t>
  </si>
  <si>
    <t>3101</t>
  </si>
  <si>
    <t>OFFICE, RN</t>
  </si>
  <si>
    <t>3119</t>
  </si>
  <si>
    <t>3117</t>
  </si>
  <si>
    <t>3104</t>
  </si>
  <si>
    <t>3105</t>
  </si>
  <si>
    <t>3106-1</t>
  </si>
  <si>
    <t>3106A</t>
  </si>
  <si>
    <t>3106C</t>
  </si>
  <si>
    <t>3106D</t>
  </si>
  <si>
    <t>3106B</t>
  </si>
  <si>
    <t>3000-2</t>
  </si>
  <si>
    <t>3108</t>
  </si>
  <si>
    <t>4100-2</t>
  </si>
  <si>
    <t>SPEECH THER</t>
  </si>
  <si>
    <t>4102</t>
  </si>
  <si>
    <t>4103</t>
  </si>
  <si>
    <t>4100-3</t>
  </si>
  <si>
    <t>4100-4</t>
  </si>
  <si>
    <t>4100-5</t>
  </si>
  <si>
    <t>STAFF AMENITY</t>
  </si>
  <si>
    <t>4106</t>
  </si>
  <si>
    <t>4105</t>
  </si>
  <si>
    <t>EQ STORAGE</t>
  </si>
  <si>
    <t>4110</t>
  </si>
  <si>
    <t>THER MANAGER</t>
  </si>
  <si>
    <t>4109</t>
  </si>
  <si>
    <t>THER WORK</t>
  </si>
  <si>
    <t>4306</t>
  </si>
  <si>
    <t>PT GYM</t>
  </si>
  <si>
    <t>4300</t>
  </si>
  <si>
    <t>ROBOTICS</t>
  </si>
  <si>
    <t>4304</t>
  </si>
  <si>
    <t>COOKING THER</t>
  </si>
  <si>
    <t>4303</t>
  </si>
  <si>
    <t>4114</t>
  </si>
  <si>
    <t>QUIET ROOM</t>
  </si>
  <si>
    <t>4108</t>
  </si>
  <si>
    <t>4100-1</t>
  </si>
  <si>
    <t>4501</t>
  </si>
  <si>
    <t>4502</t>
  </si>
  <si>
    <t>PT TLT</t>
  </si>
  <si>
    <t>1301B</t>
  </si>
  <si>
    <t>S TLT</t>
  </si>
  <si>
    <t>1304</t>
  </si>
  <si>
    <t>MOTHERS ROOM</t>
  </si>
  <si>
    <t>1303</t>
  </si>
  <si>
    <t>HSK</t>
  </si>
  <si>
    <t>1509</t>
  </si>
  <si>
    <t>HSK MAIN</t>
  </si>
  <si>
    <t>1407</t>
  </si>
  <si>
    <t>PU TLT</t>
  </si>
  <si>
    <t>1101A</t>
  </si>
  <si>
    <t>1512</t>
  </si>
  <si>
    <t>1417</t>
  </si>
  <si>
    <t>1101B</t>
  </si>
  <si>
    <t>BIO HAZ</t>
  </si>
  <si>
    <t>1414</t>
  </si>
  <si>
    <t>1412</t>
  </si>
  <si>
    <t>2102</t>
  </si>
  <si>
    <t>2203</t>
  </si>
  <si>
    <t>2115</t>
  </si>
  <si>
    <t>2030A</t>
  </si>
  <si>
    <t>2031A</t>
  </si>
  <si>
    <t>2032A</t>
  </si>
  <si>
    <t>2033A</t>
  </si>
  <si>
    <t>2034A</t>
  </si>
  <si>
    <t>2226</t>
  </si>
  <si>
    <t>2004A</t>
  </si>
  <si>
    <t>2003A</t>
  </si>
  <si>
    <t>2002A</t>
  </si>
  <si>
    <t>2001A</t>
  </si>
  <si>
    <t>2020A</t>
  </si>
  <si>
    <t>2022A</t>
  </si>
  <si>
    <t>2023A</t>
  </si>
  <si>
    <t>2024A</t>
  </si>
  <si>
    <t>2025A</t>
  </si>
  <si>
    <t>2026A</t>
  </si>
  <si>
    <t>2027A</t>
  </si>
  <si>
    <t>2028A</t>
  </si>
  <si>
    <t>2014A</t>
  </si>
  <si>
    <t>2013A</t>
  </si>
  <si>
    <t>2012A</t>
  </si>
  <si>
    <t>2011A</t>
  </si>
  <si>
    <t>2010A</t>
  </si>
  <si>
    <t>2005A</t>
  </si>
  <si>
    <t>3000A</t>
  </si>
  <si>
    <t>3121</t>
  </si>
  <si>
    <t>3102</t>
  </si>
  <si>
    <t>3010A</t>
  </si>
  <si>
    <t>3011A</t>
  </si>
  <si>
    <t>3012A</t>
  </si>
  <si>
    <t>3013A</t>
  </si>
  <si>
    <t>3014A</t>
  </si>
  <si>
    <t>3028A</t>
  </si>
  <si>
    <t>3027A</t>
  </si>
  <si>
    <t>PAT TLT</t>
  </si>
  <si>
    <t>3026A</t>
  </si>
  <si>
    <t>3020A</t>
  </si>
  <si>
    <t>3022A</t>
  </si>
  <si>
    <t>3023A</t>
  </si>
  <si>
    <t>3024A</t>
  </si>
  <si>
    <t>3025A</t>
  </si>
  <si>
    <t>3031A</t>
  </si>
  <si>
    <t>3032A</t>
  </si>
  <si>
    <t>3033A</t>
  </si>
  <si>
    <t>3034A</t>
  </si>
  <si>
    <t>3142</t>
  </si>
  <si>
    <t>3007A</t>
  </si>
  <si>
    <t>3006A</t>
  </si>
  <si>
    <t>3005A</t>
  </si>
  <si>
    <t>3004A</t>
  </si>
  <si>
    <t>3003A</t>
  </si>
  <si>
    <t>3002A</t>
  </si>
  <si>
    <t>3001A</t>
  </si>
  <si>
    <t>3030A</t>
  </si>
  <si>
    <t>3021A</t>
  </si>
  <si>
    <t>ADL TLT</t>
  </si>
  <si>
    <t>3204A</t>
  </si>
  <si>
    <t>4107</t>
  </si>
  <si>
    <t>4104</t>
  </si>
  <si>
    <t>4302</t>
  </si>
  <si>
    <t>TRANSFER THERAPY</t>
  </si>
  <si>
    <t>4301</t>
  </si>
  <si>
    <t>P TLT</t>
  </si>
  <si>
    <t>4112</t>
  </si>
  <si>
    <t>8</t>
  </si>
  <si>
    <t>2021A</t>
  </si>
  <si>
    <t>ADL KITCHEN</t>
  </si>
  <si>
    <t>2000A</t>
  </si>
  <si>
    <t>PRIVATE THERAPY</t>
  </si>
  <si>
    <t>F5/M-503</t>
  </si>
  <si>
    <t>DIALYSIS TREATMENT</t>
  </si>
  <si>
    <t>STORAGE</t>
  </si>
  <si>
    <t>4114A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</si>
  <si>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</si>
  <si>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</si>
  <si>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</si>
  <si>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</si>
  <si>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</si>
  <si>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</si>
  <si>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</si>
  <si>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</si>
  <si>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OUTSIDE AIR TABLE - MUST BE FROM ASHRAE OR RFP</t>
  </si>
  <si>
    <t>Project details</t>
  </si>
  <si>
    <t>CHWS</t>
  </si>
  <si>
    <t>F</t>
  </si>
  <si>
    <t>CHWR</t>
  </si>
  <si>
    <t>HHWS</t>
  </si>
  <si>
    <t>HHWR</t>
  </si>
  <si>
    <t>Sensible Condition Tonnage</t>
  </si>
  <si>
    <t xml:space="preserve">SensibleChilled Water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</si>
</sst>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47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6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0"/>
      <color rgb="FFC00000"/>
      <name val="Arial"/>
      <family val="2"/>
    </font>
    <font>
      <sz val="10"/>
      <color rgb="FFFF0000"/>
      <name val="Arial"/>
      <family val="2"/>
    </font>
    <font>
      <sz val="24"/>
      <name val="Arial"/>
      <family val="2"/>
    </font>
    <font>
      <sz val="24"/>
      <color rgb="FFC00000"/>
      <name val="Arial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2"/>
      <name val="Arial"/>
      <family val="2"/>
    </font>
    <font>
      <b/>
      <u/>
      <sz val="12"/>
      <color theme="1"/>
      <name val="Arial"/>
      <family val="2"/>
    </font>
    <font>
      <sz val="11"/>
      <color rgb="FF9C5700"/>
      <name val="Calibri"/>
      <family val="2"/>
      <scheme val="minor"/>
    </font>
    <font>
      <b/>
      <u/>
      <sz val="10"/>
      <name val="Arial"/>
      <family val="2"/>
    </font>
    <font>
      <sz val="8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24"/>
      <color theme="1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sz val="10"/>
      <color theme="5"/>
      <name val="Arial"/>
      <family val="2"/>
    </font>
    <font>
      <b/>
      <sz val="11"/>
      <color theme="3"/>
      <name val="Calibri"/>
      <family val="2"/>
      <scheme val="minor"/>
    </font>
    <font>
      <b/>
      <sz val="9.5"/>
      <name val="Arial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</font>
    <font>
      <sz val="9.5"/>
      <name val="Arial"/>
      <family val="2"/>
    </font>
    <font>
      <b/>
      <sz val="10"/>
      <color theme="3"/>
      <name val="Arial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5" borderId="26" applyNumberFormat="0" applyFont="0" applyAlignment="0" applyProtection="0"/>
    <xf numFmtId="0" fontId="21" fillId="8" borderId="0"/>
    <xf numFmtId="0" fontId="26" fillId="11" borderId="0" applyNumberFormat="0" applyBorder="0" applyAlignment="0" applyProtection="0"/>
  </cellStyleXfs>
  <cellXfs count="315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right" shrinkToFit="1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65" fontId="12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center" vertical="center"/>
    </xf>
    <xf numFmtId="165" fontId="12" fillId="0" borderId="15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shrinkToFi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 shrinkToFit="1"/>
      <protection locked="0"/>
    </xf>
    <xf numFmtId="0" fontId="9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6" fillId="0" borderId="28" xfId="0" applyFont="1" applyBorder="1" applyAlignment="1">
      <alignment horizontal="right" vertical="center" indent="1"/>
    </xf>
    <xf numFmtId="0" fontId="7" fillId="0" borderId="28" xfId="0" applyFont="1" applyBorder="1" applyAlignment="1">
      <alignment horizontal="right" indent="1"/>
    </xf>
    <xf numFmtId="0" fontId="5" fillId="0" borderId="28" xfId="0" applyFont="1" applyBorder="1"/>
    <xf numFmtId="0" fontId="5" fillId="7" borderId="6" xfId="0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6" fontId="0" fillId="0" borderId="22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7" borderId="31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2" borderId="34" xfId="0" applyFont="1" applyFill="1" applyBorder="1" applyAlignment="1">
      <alignment horizontal="center" vertical="center"/>
    </xf>
    <xf numFmtId="0" fontId="8" fillId="2" borderId="35" xfId="0" applyFont="1" applyFill="1" applyBorder="1" applyAlignment="1">
      <alignment horizontal="center" vertical="center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5" fillId="0" borderId="31" xfId="0" quotePrefix="1" applyFont="1" applyBorder="1" applyAlignment="1">
      <alignment horizontal="center" vertical="center"/>
    </xf>
    <xf numFmtId="0" fontId="5" fillId="0" borderId="38" xfId="0" applyFont="1" applyBorder="1" applyAlignment="1">
      <alignment vertical="center"/>
    </xf>
    <xf numFmtId="0" fontId="5" fillId="0" borderId="40" xfId="0" applyFont="1" applyBorder="1"/>
    <xf numFmtId="0" fontId="5" fillId="0" borderId="39" xfId="0" applyFont="1" applyBorder="1" applyAlignment="1">
      <alignment vertical="center"/>
    </xf>
    <xf numFmtId="168" fontId="5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9" fontId="1" fillId="6" borderId="17" xfId="0" quotePrefix="1" applyNumberFormat="1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 vertical="center" wrapText="1"/>
    </xf>
    <xf numFmtId="3" fontId="2" fillId="2" borderId="46" xfId="0" applyNumberFormat="1" applyFont="1" applyFill="1" applyBorder="1" applyAlignment="1">
      <alignment horizontal="center" vertical="center" wrapText="1"/>
    </xf>
    <xf numFmtId="3" fontId="2" fillId="2" borderId="41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0" fillId="0" borderId="0" xfId="0" applyAlignment="1">
      <alignment horizontal="right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4" xfId="0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65" fontId="12" fillId="0" borderId="13" xfId="0" applyNumberFormat="1" applyFont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/>
    </xf>
    <xf numFmtId="0" fontId="19" fillId="0" borderId="0" xfId="0" applyFont="1"/>
    <xf numFmtId="1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0" fontId="17" fillId="10" borderId="48" xfId="0" applyFont="1" applyFill="1" applyBorder="1" applyAlignment="1">
      <alignment horizontal="center" vertical="center"/>
    </xf>
    <xf numFmtId="0" fontId="17" fillId="10" borderId="50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3" fillId="0" borderId="32" xfId="0" applyFont="1" applyBorder="1" applyAlignment="1">
      <alignment horizontal="center" vertical="center" wrapText="1"/>
    </xf>
    <xf numFmtId="0" fontId="1" fillId="0" borderId="0" xfId="0" applyFont="1" applyAlignment="1">
      <alignment horizontal="right"/>
    </xf>
    <xf numFmtId="0" fontId="23" fillId="4" borderId="0" xfId="0" applyFont="1" applyFill="1" applyAlignment="1">
      <alignment horizontal="right"/>
    </xf>
    <xf numFmtId="0" fontId="23" fillId="4" borderId="0" xfId="0" applyFont="1" applyFill="1" applyAlignment="1">
      <alignment horizontal="left"/>
    </xf>
    <xf numFmtId="0" fontId="1" fillId="2" borderId="17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center" vertical="center" wrapText="1"/>
    </xf>
    <xf numFmtId="0" fontId="24" fillId="4" borderId="17" xfId="0" applyFont="1" applyFill="1" applyBorder="1" applyAlignment="1">
      <alignment horizontal="center" vertical="center" wrapText="1"/>
    </xf>
    <xf numFmtId="3" fontId="24" fillId="4" borderId="14" xfId="0" applyNumberFormat="1" applyFont="1" applyFill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2" fillId="0" borderId="0" xfId="0" applyFont="1"/>
    <xf numFmtId="1" fontId="22" fillId="0" borderId="30" xfId="0" applyNumberFormat="1" applyFont="1" applyBorder="1" applyAlignment="1">
      <alignment horizontal="center" vertical="center" wrapText="1"/>
    </xf>
    <xf numFmtId="1" fontId="22" fillId="0" borderId="13" xfId="0" applyNumberFormat="1" applyFont="1" applyBorder="1" applyAlignment="1">
      <alignment horizontal="center" vertical="center" wrapText="1"/>
    </xf>
    <xf numFmtId="3" fontId="22" fillId="2" borderId="41" xfId="0" applyNumberFormat="1" applyFont="1" applyFill="1" applyBorder="1" applyAlignment="1">
      <alignment horizontal="center" vertical="center" wrapText="1"/>
    </xf>
    <xf numFmtId="3" fontId="22" fillId="0" borderId="0" xfId="0" applyNumberFormat="1" applyFont="1" applyAlignment="1">
      <alignment horizontal="center" vertical="center"/>
    </xf>
    <xf numFmtId="3" fontId="25" fillId="4" borderId="14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27" fillId="4" borderId="0" xfId="0" applyFont="1" applyFill="1" applyAlignment="1">
      <alignment horizontal="center" vertical="center" wrapText="1"/>
    </xf>
    <xf numFmtId="0" fontId="27" fillId="4" borderId="0" xfId="0" applyFont="1" applyFill="1" applyAlignment="1">
      <alignment horizontal="center" vertical="center"/>
    </xf>
    <xf numFmtId="0" fontId="1" fillId="0" borderId="0" xfId="0" applyFont="1"/>
    <xf numFmtId="0" fontId="12" fillId="11" borderId="0" xfId="3" applyFont="1" applyAlignment="1">
      <alignment horizontal="center" vertical="center"/>
    </xf>
    <xf numFmtId="165" fontId="12" fillId="11" borderId="0" xfId="3" applyNumberFormat="1" applyFont="1" applyAlignment="1">
      <alignment horizontal="center" vertical="center"/>
    </xf>
    <xf numFmtId="0" fontId="22" fillId="7" borderId="18" xfId="0" applyFont="1" applyFill="1" applyBorder="1" applyAlignment="1">
      <alignment horizontal="center" vertical="center"/>
    </xf>
    <xf numFmtId="0" fontId="22" fillId="7" borderId="12" xfId="0" applyFont="1" applyFill="1" applyBorder="1" applyAlignment="1">
      <alignment horizontal="center" vertical="center"/>
    </xf>
    <xf numFmtId="0" fontId="22" fillId="7" borderId="0" xfId="0" applyFont="1" applyFill="1" applyAlignment="1">
      <alignment horizontal="center"/>
    </xf>
    <xf numFmtId="0" fontId="22" fillId="7" borderId="29" xfId="0" applyFont="1" applyFill="1" applyBorder="1" applyAlignment="1">
      <alignment horizontal="center" vertical="center" wrapText="1"/>
    </xf>
    <xf numFmtId="0" fontId="22" fillId="7" borderId="12" xfId="0" applyFont="1" applyFill="1" applyBorder="1" applyAlignment="1">
      <alignment horizontal="center" vertical="center" wrapText="1"/>
    </xf>
    <xf numFmtId="0" fontId="22" fillId="7" borderId="33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/>
    </xf>
    <xf numFmtId="0" fontId="22" fillId="7" borderId="0" xfId="0" applyFont="1" applyFill="1"/>
    <xf numFmtId="0" fontId="30" fillId="0" borderId="13" xfId="0" applyFont="1" applyBorder="1" applyAlignment="1">
      <alignment horizontal="center" vertical="center"/>
    </xf>
    <xf numFmtId="0" fontId="31" fillId="0" borderId="13" xfId="1" applyFont="1" applyFill="1" applyBorder="1" applyAlignment="1">
      <alignment horizontal="center" vertical="center"/>
    </xf>
    <xf numFmtId="0" fontId="31" fillId="0" borderId="13" xfId="1" applyFont="1" applyFill="1" applyBorder="1" applyAlignment="1">
      <alignment horizontal="center" vertical="center" wrapText="1"/>
    </xf>
    <xf numFmtId="0" fontId="31" fillId="0" borderId="13" xfId="0" applyFont="1" applyBorder="1" applyAlignment="1">
      <alignment horizontal="center" vertical="center" wrapText="1"/>
    </xf>
    <xf numFmtId="0" fontId="31" fillId="0" borderId="13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 wrapText="1"/>
    </xf>
    <xf numFmtId="0" fontId="31" fillId="0" borderId="13" xfId="0" applyFont="1" applyBorder="1" applyAlignment="1">
      <alignment horizontal="center"/>
    </xf>
    <xf numFmtId="165" fontId="31" fillId="0" borderId="13" xfId="0" applyNumberFormat="1" applyFont="1" applyBorder="1" applyAlignment="1">
      <alignment horizontal="center" vertical="center"/>
    </xf>
    <xf numFmtId="164" fontId="34" fillId="0" borderId="13" xfId="0" applyNumberFormat="1" applyFont="1" applyBorder="1" applyAlignment="1">
      <alignment horizontal="center" shrinkToFit="1"/>
    </xf>
    <xf numFmtId="164" fontId="31" fillId="0" borderId="13" xfId="0" applyNumberFormat="1" applyFont="1" applyBorder="1" applyAlignment="1">
      <alignment horizontal="right" shrinkToFit="1"/>
    </xf>
    <xf numFmtId="0" fontId="34" fillId="0" borderId="13" xfId="0" applyFont="1" applyBorder="1" applyAlignment="1">
      <alignment horizontal="center" vertical="center" wrapText="1"/>
    </xf>
    <xf numFmtId="164" fontId="34" fillId="0" borderId="13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13" xfId="0" applyBorder="1"/>
    <xf numFmtId="0" fontId="30" fillId="7" borderId="12" xfId="0" applyFont="1" applyFill="1" applyBorder="1" applyAlignment="1">
      <alignment horizontal="left" vertical="center"/>
    </xf>
    <xf numFmtId="0" fontId="30" fillId="7" borderId="33" xfId="0" applyFont="1" applyFill="1" applyBorder="1" applyAlignment="1">
      <alignment horizontal="center" vertical="center"/>
    </xf>
    <xf numFmtId="0" fontId="30" fillId="7" borderId="47" xfId="0" applyFont="1" applyFill="1" applyBorder="1" applyAlignment="1">
      <alignment horizontal="center" vertical="center" wrapText="1"/>
    </xf>
    <xf numFmtId="0" fontId="30" fillId="7" borderId="29" xfId="0" applyFont="1" applyFill="1" applyBorder="1" applyAlignment="1">
      <alignment horizontal="center" vertical="center" wrapText="1"/>
    </xf>
    <xf numFmtId="0" fontId="30" fillId="7" borderId="12" xfId="0" applyFont="1" applyFill="1" applyBorder="1" applyAlignment="1">
      <alignment horizontal="center" vertical="center" wrapText="1"/>
    </xf>
    <xf numFmtId="9" fontId="30" fillId="12" borderId="33" xfId="0" applyNumberFormat="1" applyFont="1" applyFill="1" applyBorder="1" applyAlignment="1">
      <alignment horizontal="center" vertical="center" wrapText="1"/>
    </xf>
    <xf numFmtId="0" fontId="30" fillId="12" borderId="29" xfId="0" applyFont="1" applyFill="1" applyBorder="1" applyAlignment="1">
      <alignment horizontal="center" vertical="center" wrapText="1"/>
    </xf>
    <xf numFmtId="0" fontId="30" fillId="7" borderId="33" xfId="0" applyFont="1" applyFill="1" applyBorder="1" applyAlignment="1">
      <alignment horizontal="center" vertical="center" wrapText="1"/>
    </xf>
    <xf numFmtId="164" fontId="34" fillId="0" borderId="22" xfId="0" applyNumberFormat="1" applyFont="1" applyBorder="1" applyAlignment="1">
      <alignment horizontal="center" shrinkToFit="1"/>
    </xf>
    <xf numFmtId="0" fontId="31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 vertical="center" wrapText="1"/>
    </xf>
    <xf numFmtId="164" fontId="31" fillId="0" borderId="22" xfId="0" applyNumberFormat="1" applyFont="1" applyBorder="1" applyAlignment="1">
      <alignment horizontal="right" shrinkToFit="1"/>
    </xf>
    <xf numFmtId="0" fontId="30" fillId="0" borderId="30" xfId="0" applyFont="1" applyBorder="1" applyAlignment="1">
      <alignment horizontal="center" vertical="center" wrapText="1"/>
    </xf>
    <xf numFmtId="0" fontId="34" fillId="0" borderId="30" xfId="0" applyFont="1" applyBorder="1" applyAlignment="1">
      <alignment horizontal="center" vertical="center" wrapText="1"/>
    </xf>
    <xf numFmtId="1" fontId="34" fillId="0" borderId="30" xfId="0" applyNumberFormat="1" applyFont="1" applyBorder="1" applyAlignment="1">
      <alignment horizontal="center" vertical="center" wrapText="1"/>
    </xf>
    <xf numFmtId="1" fontId="34" fillId="0" borderId="13" xfId="0" applyNumberFormat="1" applyFont="1" applyBorder="1" applyAlignment="1">
      <alignment horizontal="center" vertical="center" wrapText="1"/>
    </xf>
    <xf numFmtId="0" fontId="34" fillId="0" borderId="19" xfId="0" applyFont="1" applyBorder="1" applyAlignment="1">
      <alignment horizontal="left" vertical="center"/>
    </xf>
    <xf numFmtId="0" fontId="34" fillId="0" borderId="19" xfId="0" applyFont="1" applyBorder="1" applyAlignment="1">
      <alignment horizontal="center" vertical="center"/>
    </xf>
    <xf numFmtId="164" fontId="34" fillId="0" borderId="19" xfId="0" applyNumberFormat="1" applyFont="1" applyBorder="1" applyAlignment="1">
      <alignment horizontal="center" vertical="center" shrinkToFit="1"/>
    </xf>
    <xf numFmtId="164" fontId="34" fillId="0" borderId="19" xfId="0" applyNumberFormat="1" applyFont="1" applyBorder="1" applyAlignment="1">
      <alignment horizontal="center" shrinkToFit="1"/>
    </xf>
    <xf numFmtId="0" fontId="31" fillId="0" borderId="19" xfId="0" applyFont="1" applyBorder="1" applyAlignment="1">
      <alignment horizontal="center"/>
    </xf>
    <xf numFmtId="0" fontId="31" fillId="0" borderId="19" xfId="0" applyFont="1" applyBorder="1" applyAlignment="1">
      <alignment horizontal="center" vertical="center" wrapText="1"/>
    </xf>
    <xf numFmtId="164" fontId="31" fillId="0" borderId="19" xfId="0" applyNumberFormat="1" applyFont="1" applyBorder="1" applyAlignment="1">
      <alignment horizontal="right" shrinkToFit="1"/>
    </xf>
    <xf numFmtId="0" fontId="34" fillId="0" borderId="19" xfId="0" applyFont="1" applyBorder="1" applyAlignment="1">
      <alignment horizontal="center"/>
    </xf>
    <xf numFmtId="164" fontId="31" fillId="0" borderId="19" xfId="0" applyNumberFormat="1" applyFont="1" applyBorder="1" applyAlignment="1">
      <alignment horizontal="center" shrinkToFit="1"/>
    </xf>
    <xf numFmtId="0" fontId="30" fillId="0" borderId="19" xfId="0" applyFont="1" applyBorder="1" applyAlignment="1">
      <alignment horizontal="center" vertical="center" wrapText="1"/>
    </xf>
    <xf numFmtId="0" fontId="1" fillId="0" borderId="13" xfId="0" applyFont="1" applyBorder="1"/>
    <xf numFmtId="0" fontId="31" fillId="0" borderId="22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164" fontId="31" fillId="0" borderId="22" xfId="0" applyNumberFormat="1" applyFont="1" applyBorder="1" applyAlignment="1">
      <alignment horizontal="center" vertical="center" shrinkToFit="1"/>
    </xf>
    <xf numFmtId="164" fontId="31" fillId="0" borderId="13" xfId="0" applyNumberFormat="1" applyFont="1" applyBorder="1" applyAlignment="1">
      <alignment horizontal="center" vertical="center" shrinkToFit="1"/>
    </xf>
    <xf numFmtId="165" fontId="19" fillId="0" borderId="51" xfId="0" applyNumberFormat="1" applyFont="1" applyBorder="1"/>
    <xf numFmtId="0" fontId="30" fillId="0" borderId="13" xfId="0" applyFont="1" applyBorder="1" applyAlignment="1">
      <alignment horizontal="center" vertical="top" wrapText="1"/>
    </xf>
    <xf numFmtId="165" fontId="0" fillId="0" borderId="13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10" fontId="0" fillId="0" borderId="0" xfId="0" applyNumberFormat="1"/>
    <xf numFmtId="0" fontId="0" fillId="0" borderId="13" xfId="0" applyBorder="1" applyAlignment="1">
      <alignment horizontal="center"/>
    </xf>
    <xf numFmtId="0" fontId="13" fillId="0" borderId="56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66" fontId="0" fillId="0" borderId="47" xfId="0" applyNumberForma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 wrapText="1"/>
    </xf>
    <xf numFmtId="0" fontId="1" fillId="0" borderId="13" xfId="0" applyFont="1" applyBorder="1" applyAlignment="1">
      <alignment horizontal="left"/>
    </xf>
    <xf numFmtId="164" fontId="31" fillId="0" borderId="19" xfId="0" applyNumberFormat="1" applyFont="1" applyBorder="1" applyAlignment="1">
      <alignment horizontal="center" vertical="center" shrinkToFit="1"/>
    </xf>
    <xf numFmtId="1" fontId="22" fillId="0" borderId="19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" fillId="0" borderId="13" xfId="0" quotePrefix="1" applyFont="1" applyBorder="1" applyAlignment="1">
      <alignment horizontal="left" vertical="center"/>
    </xf>
    <xf numFmtId="164" fontId="35" fillId="0" borderId="22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>
      <alignment horizontal="center" shrinkToFit="1"/>
    </xf>
    <xf numFmtId="0" fontId="35" fillId="0" borderId="13" xfId="0" applyFont="1" applyBorder="1" applyAlignment="1">
      <alignment horizontal="center"/>
    </xf>
    <xf numFmtId="0" fontId="31" fillId="0" borderId="1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 wrapText="1"/>
    </xf>
    <xf numFmtId="0" fontId="31" fillId="0" borderId="57" xfId="0" applyFont="1" applyBorder="1" applyAlignment="1">
      <alignment horizontal="center" vertical="center"/>
    </xf>
    <xf numFmtId="0" fontId="0" fillId="0" borderId="44" xfId="0" applyBorder="1"/>
    <xf numFmtId="0" fontId="31" fillId="0" borderId="37" xfId="0" applyFont="1" applyBorder="1" applyAlignment="1">
      <alignment horizontal="center"/>
    </xf>
    <xf numFmtId="0" fontId="13" fillId="0" borderId="49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horizontal="center" vertical="center"/>
    </xf>
    <xf numFmtId="1" fontId="12" fillId="0" borderId="15" xfId="0" applyNumberFormat="1" applyFont="1" applyBorder="1" applyAlignment="1">
      <alignment horizontal="center" vertical="center"/>
    </xf>
    <xf numFmtId="0" fontId="30" fillId="0" borderId="43" xfId="0" applyFont="1" applyBorder="1" applyAlignment="1">
      <alignment horizontal="left" vertical="top" wrapText="1"/>
    </xf>
    <xf numFmtId="0" fontId="30" fillId="0" borderId="53" xfId="0" applyFont="1" applyBorder="1" applyAlignment="1">
      <alignment horizontal="left" vertical="top" wrapText="1"/>
    </xf>
    <xf numFmtId="0" fontId="30" fillId="0" borderId="54" xfId="0" applyFont="1" applyBorder="1" applyAlignment="1">
      <alignment horizontal="left" vertical="top" wrapText="1"/>
    </xf>
    <xf numFmtId="0" fontId="30" fillId="0" borderId="40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49" xfId="0" applyFont="1" applyBorder="1" applyAlignment="1">
      <alignment horizontal="left" vertical="top" wrapText="1"/>
    </xf>
    <xf numFmtId="0" fontId="30" fillId="0" borderId="52" xfId="0" applyFont="1" applyBorder="1" applyAlignment="1">
      <alignment horizontal="left" vertical="top" wrapText="1"/>
    </xf>
    <xf numFmtId="0" fontId="30" fillId="0" borderId="25" xfId="0" applyFont="1" applyBorder="1" applyAlignment="1">
      <alignment horizontal="left" vertical="top" wrapText="1"/>
    </xf>
    <xf numFmtId="0" fontId="30" fillId="0" borderId="55" xfId="0" applyFont="1" applyBorder="1" applyAlignment="1">
      <alignment horizontal="left" vertical="top" wrapText="1"/>
    </xf>
    <xf numFmtId="0" fontId="15" fillId="0" borderId="27" xfId="0" applyFont="1" applyBorder="1" applyAlignment="1">
      <alignment horizontal="left" vertical="center"/>
    </xf>
    <xf numFmtId="0" fontId="15" fillId="0" borderId="24" xfId="0" applyFont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7" fillId="9" borderId="27" xfId="0" applyFont="1" applyFill="1" applyBorder="1" applyAlignment="1">
      <alignment horizontal="center"/>
    </xf>
    <xf numFmtId="0" fontId="17" fillId="9" borderId="24" xfId="0" applyFont="1" applyFill="1" applyBorder="1" applyAlignment="1">
      <alignment horizontal="center"/>
    </xf>
    <xf numFmtId="0" fontId="17" fillId="9" borderId="16" xfId="0" applyFont="1" applyFill="1" applyBorder="1" applyAlignment="1">
      <alignment horizontal="center"/>
    </xf>
    <xf numFmtId="0" fontId="32" fillId="0" borderId="27" xfId="0" applyFont="1" applyBorder="1" applyAlignment="1">
      <alignment horizontal="left" vertical="center"/>
    </xf>
    <xf numFmtId="0" fontId="32" fillId="0" borderId="24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0" fontId="0" fillId="0" borderId="13" xfId="0" applyBorder="1" applyAlignment="1">
      <alignment horizontal="center"/>
    </xf>
    <xf numFmtId="0" fontId="31" fillId="0" borderId="13" xfId="0" applyFont="1" applyBorder="1" applyAlignment="1">
      <alignment horizontal="center" vertical="center"/>
    </xf>
    <xf numFmtId="0" fontId="31" fillId="0" borderId="27" xfId="0" applyFont="1" applyBorder="1" applyAlignment="1">
      <alignment horizontal="center" vertical="center"/>
    </xf>
    <xf numFmtId="0" fontId="31" fillId="0" borderId="24" xfId="0" applyFont="1" applyBorder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0" fillId="0" borderId="58" xfId="0" applyFont="1" applyBorder="1" applyAlignment="1">
      <alignment horizontal="left" vertical="top" wrapText="1"/>
    </xf>
    <xf numFmtId="0" fontId="30" fillId="0" borderId="59" xfId="0" applyFont="1" applyBorder="1" applyAlignment="1">
      <alignment horizontal="left" vertical="top"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4" xfId="0" applyNumberForma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36" xfId="0" applyFont="1" applyFill="1" applyBorder="1" applyAlignment="1">
      <alignment horizontal="center" vertical="center" wrapText="1"/>
    </xf>
    <xf numFmtId="0" fontId="8" fillId="2" borderId="37" xfId="0" applyFont="1" applyFill="1" applyBorder="1" applyAlignment="1">
      <alignment horizontal="center" vertical="center" wrapText="1"/>
    </xf>
    <xf numFmtId="0" fontId="8" fillId="2" borderId="38" xfId="0" applyFont="1" applyFill="1" applyBorder="1" applyAlignment="1">
      <alignment horizontal="center" vertical="center" wrapText="1"/>
    </xf>
    <xf numFmtId="0" fontId="8" fillId="2" borderId="39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wrapText="1" indent="1"/>
    </xf>
    <xf numFmtId="0" fontId="5" fillId="0" borderId="28" xfId="0" applyFont="1" applyBorder="1" applyAlignment="1">
      <alignment horizontal="left" vertical="center" wrapText="1" inden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37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60" xfId="0" applyBorder="1" applyAlignment="1">
      <alignment horizontal="left" vertical="top" wrapText="1"/>
    </xf>
    <xf numFmtId="0" fontId="37" fillId="0" borderId="61" xfId="0" applyFont="1" applyBorder="1" applyAlignment="1">
      <alignment horizontal="left" vertical="top" wrapText="1" indent="18"/>
    </xf>
    <xf numFmtId="0" fontId="37" fillId="0" borderId="62" xfId="0" applyFont="1" applyBorder="1" applyAlignment="1">
      <alignment horizontal="left" vertical="top" wrapText="1" indent="18"/>
    </xf>
    <xf numFmtId="0" fontId="37" fillId="0" borderId="63" xfId="0" applyFont="1" applyBorder="1" applyAlignment="1">
      <alignment horizontal="left" vertical="top" wrapText="1" indent="18"/>
    </xf>
    <xf numFmtId="0" fontId="0" fillId="0" borderId="64" xfId="0" applyBorder="1" applyAlignment="1">
      <alignment horizontal="left" vertical="top" wrapText="1"/>
    </xf>
    <xf numFmtId="165" fontId="39" fillId="0" borderId="65" xfId="0" applyNumberFormat="1" applyFont="1" applyBorder="1" applyAlignment="1">
      <alignment horizontal="center" vertical="top" shrinkToFit="1"/>
    </xf>
    <xf numFmtId="1" fontId="40" fillId="0" borderId="60" xfId="0" applyNumberFormat="1" applyFont="1" applyBorder="1" applyAlignment="1">
      <alignment horizontal="center" vertical="top" shrinkToFit="1"/>
    </xf>
    <xf numFmtId="2" fontId="40" fillId="0" borderId="60" xfId="0" applyNumberFormat="1" applyFont="1" applyBorder="1" applyAlignment="1">
      <alignment horizontal="center" vertical="top" shrinkToFit="1"/>
    </xf>
    <xf numFmtId="1" fontId="40" fillId="0" borderId="66" xfId="0" applyNumberFormat="1" applyFont="1" applyBorder="1" applyAlignment="1">
      <alignment horizontal="center" vertical="top" shrinkToFit="1"/>
    </xf>
    <xf numFmtId="2" fontId="40" fillId="0" borderId="66" xfId="0" applyNumberFormat="1" applyFont="1" applyBorder="1" applyAlignment="1">
      <alignment horizontal="center" vertical="top" shrinkToFit="1"/>
    </xf>
    <xf numFmtId="1" fontId="40" fillId="0" borderId="64" xfId="0" applyNumberFormat="1" applyFont="1" applyBorder="1" applyAlignment="1">
      <alignment horizontal="center" vertical="top" shrinkToFit="1"/>
    </xf>
    <xf numFmtId="2" fontId="40" fillId="0" borderId="64" xfId="0" applyNumberFormat="1" applyFont="1" applyBorder="1" applyAlignment="1">
      <alignment horizontal="center" vertical="top" shrinkToFit="1"/>
    </xf>
    <xf numFmtId="0" fontId="41" fillId="0" borderId="0" xfId="0" applyFont="1" applyAlignment="1">
      <alignment horizontal="left" vertical="top"/>
    </xf>
    <xf numFmtId="0" fontId="0" fillId="0" borderId="0" xfId="0" quotePrefix="1"/>
    <xf numFmtId="1" fontId="39" fillId="0" borderId="65" xfId="0" applyNumberFormat="1" applyFont="1" applyBorder="1" applyAlignment="1">
      <alignment horizontal="center" vertical="top" shrinkToFit="1"/>
    </xf>
    <xf numFmtId="2" fontId="12" fillId="0" borderId="13" xfId="0" applyNumberFormat="1" applyFont="1" applyBorder="1" applyAlignment="1">
      <alignment horizontal="center" vertical="center"/>
    </xf>
    <xf numFmtId="2" fontId="12" fillId="0" borderId="15" xfId="0" applyNumberFormat="1" applyFont="1" applyBorder="1" applyAlignment="1">
      <alignment horizontal="center" vertical="center"/>
    </xf>
    <xf numFmtId="0" fontId="19" fillId="0" borderId="67" xfId="0" applyFont="1" applyBorder="1"/>
    <xf numFmtId="165" fontId="19" fillId="0" borderId="17" xfId="0" applyNumberFormat="1" applyFont="1" applyBorder="1" applyAlignment="1">
      <alignment horizontal="center" vertical="center"/>
    </xf>
    <xf numFmtId="165" fontId="19" fillId="0" borderId="51" xfId="0" applyNumberFormat="1" applyFont="1" applyBorder="1" applyAlignment="1">
      <alignment horizontal="center" vertical="center"/>
    </xf>
    <xf numFmtId="0" fontId="19" fillId="0" borderId="51" xfId="0" applyFont="1" applyBorder="1"/>
    <xf numFmtId="0" fontId="19" fillId="0" borderId="51" xfId="0" applyFont="1" applyBorder="1" applyAlignment="1">
      <alignment horizontal="center"/>
    </xf>
    <xf numFmtId="0" fontId="19" fillId="0" borderId="68" xfId="0" applyFont="1" applyBorder="1" applyAlignment="1">
      <alignment horizontal="center"/>
    </xf>
    <xf numFmtId="0" fontId="19" fillId="0" borderId="17" xfId="0" applyFont="1" applyBorder="1"/>
    <xf numFmtId="0" fontId="29" fillId="0" borderId="51" xfId="0" applyFont="1" applyBorder="1" applyAlignment="1">
      <alignment horizontal="center"/>
    </xf>
    <xf numFmtId="0" fontId="29" fillId="0" borderId="68" xfId="0" applyFont="1" applyBorder="1" applyAlignment="1">
      <alignment horizontal="center"/>
    </xf>
    <xf numFmtId="1" fontId="29" fillId="0" borderId="67" xfId="0" applyNumberFormat="1" applyFont="1" applyBorder="1" applyAlignment="1">
      <alignment horizontal="center" vertical="center"/>
    </xf>
    <xf numFmtId="1" fontId="19" fillId="0" borderId="32" xfId="0" applyNumberFormat="1" applyFont="1" applyBorder="1" applyAlignment="1">
      <alignment horizontal="center" vertical="center"/>
    </xf>
    <xf numFmtId="1" fontId="12" fillId="0" borderId="68" xfId="0" applyNumberFormat="1" applyFont="1" applyBorder="1" applyAlignment="1">
      <alignment horizontal="center" vertical="center"/>
    </xf>
    <xf numFmtId="0" fontId="19" fillId="0" borderId="67" xfId="0" applyFont="1" applyBorder="1" applyAlignment="1">
      <alignment horizontal="center"/>
    </xf>
    <xf numFmtId="1" fontId="19" fillId="0" borderId="17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49" fontId="1" fillId="0" borderId="13" xfId="0" applyNumberFormat="1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/>
    </xf>
    <xf numFmtId="167" fontId="12" fillId="0" borderId="13" xfId="0" applyNumberFormat="1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3" fontId="12" fillId="0" borderId="15" xfId="0" applyNumberFormat="1" applyFont="1" applyBorder="1" applyAlignment="1">
      <alignment horizontal="center" vertical="center"/>
    </xf>
    <xf numFmtId="167" fontId="12" fillId="0" borderId="15" xfId="0" applyNumberFormat="1" applyFon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12" fillId="4" borderId="15" xfId="0" applyFont="1" applyFill="1" applyBorder="1" applyAlignment="1">
      <alignment horizontal="center" vertical="center"/>
    </xf>
    <xf numFmtId="49" fontId="1" fillId="0" borderId="21" xfId="0" applyNumberFormat="1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165" fontId="12" fillId="0" borderId="45" xfId="0" applyNumberFormat="1" applyFont="1" applyBorder="1" applyAlignment="1">
      <alignment horizontal="center" vertical="center"/>
    </xf>
    <xf numFmtId="49" fontId="0" fillId="0" borderId="42" xfId="0" applyNumberFormat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/>
    </xf>
    <xf numFmtId="1" fontId="12" fillId="0" borderId="19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3" xfId="0" applyFont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65" fontId="12" fillId="0" borderId="15" xfId="0" applyNumberFormat="1" applyFont="1" applyBorder="1" applyAlignment="1" applyProtection="1">
      <alignment horizontal="center" vertical="center"/>
      <protection locked="0"/>
    </xf>
    <xf numFmtId="165" fontId="12" fillId="0" borderId="13" xfId="0" applyNumberFormat="1" applyFont="1" applyBorder="1" applyAlignment="1" applyProtection="1">
      <alignment horizontal="center" vertical="center"/>
      <protection locked="0"/>
    </xf>
    <xf numFmtId="165" fontId="36" fillId="0" borderId="15" xfId="0" applyNumberFormat="1" applyFont="1" applyBorder="1" applyAlignment="1" applyProtection="1">
      <alignment horizontal="center" vertical="center"/>
      <protection locked="0"/>
    </xf>
    <xf numFmtId="165" fontId="36" fillId="0" borderId="13" xfId="0" applyNumberFormat="1" applyFont="1" applyBorder="1" applyAlignment="1" applyProtection="1">
      <alignment horizontal="center" vertical="center"/>
      <protection locked="0"/>
    </xf>
    <xf numFmtId="1" fontId="12" fillId="0" borderId="15" xfId="0" applyNumberFormat="1" applyFont="1" applyBorder="1" applyAlignment="1" applyProtection="1">
      <alignment horizontal="center" vertical="center"/>
      <protection locked="0"/>
    </xf>
    <xf numFmtId="1" fontId="12" fillId="0" borderId="13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/>
    </xf>
    <xf numFmtId="165" fontId="43" fillId="0" borderId="13" xfId="0" applyNumberFormat="1" applyFont="1" applyBorder="1" applyAlignment="1" applyProtection="1">
      <alignment horizontal="center" vertical="center"/>
      <protection locked="0"/>
    </xf>
    <xf numFmtId="0" fontId="43" fillId="0" borderId="13" xfId="0" applyFont="1" applyBorder="1" applyAlignment="1" applyProtection="1">
      <alignment horizontal="center" vertical="center"/>
      <protection locked="0"/>
    </xf>
    <xf numFmtId="165" fontId="43" fillId="0" borderId="44" xfId="0" applyNumberFormat="1" applyFont="1" applyBorder="1" applyAlignment="1" applyProtection="1">
      <alignment horizontal="center" vertical="center"/>
      <protection locked="0"/>
    </xf>
    <xf numFmtId="165" fontId="43" fillId="0" borderId="15" xfId="0" applyNumberFormat="1" applyFont="1" applyBorder="1" applyAlignment="1" applyProtection="1">
      <alignment horizontal="center" vertical="center"/>
      <protection locked="0"/>
    </xf>
    <xf numFmtId="49" fontId="1" fillId="0" borderId="43" xfId="0" applyNumberFormat="1" applyFont="1" applyBorder="1" applyAlignment="1">
      <alignment horizontal="center" vertical="center" wrapText="1"/>
    </xf>
    <xf numFmtId="1" fontId="12" fillId="0" borderId="13" xfId="0" applyNumberFormat="1" applyFont="1" applyBorder="1" applyAlignment="1">
      <alignment horizontal="center" vertical="center" wrapText="1"/>
    </xf>
    <xf numFmtId="49" fontId="1" fillId="0" borderId="58" xfId="0" applyNumberFormat="1" applyFont="1" applyBorder="1" applyAlignment="1">
      <alignment horizontal="center" vertical="center" wrapText="1"/>
    </xf>
    <xf numFmtId="49" fontId="1" fillId="0" borderId="59" xfId="0" applyNumberFormat="1" applyFont="1" applyBorder="1" applyAlignment="1">
      <alignment horizontal="center" vertical="center" wrapText="1"/>
    </xf>
    <xf numFmtId="49" fontId="1" fillId="0" borderId="52" xfId="0" applyNumberFormat="1" applyFont="1" applyBorder="1" applyAlignment="1">
      <alignment horizontal="center" vertical="center" wrapText="1"/>
    </xf>
    <xf numFmtId="49" fontId="1" fillId="0" borderId="25" xfId="0" applyNumberFormat="1" applyFont="1" applyBorder="1" applyAlignment="1">
      <alignment horizontal="center" vertical="center" wrapText="1"/>
    </xf>
    <xf numFmtId="49" fontId="1" fillId="0" borderId="55" xfId="0" applyNumberFormat="1" applyFont="1" applyBorder="1" applyAlignment="1">
      <alignment horizontal="center" vertical="center" wrapText="1"/>
    </xf>
    <xf numFmtId="49" fontId="45" fillId="0" borderId="13" xfId="0" applyNumberFormat="1" applyFont="1" applyBorder="1" applyAlignment="1">
      <alignment horizontal="center" vertical="center" wrapText="1"/>
    </xf>
    <xf numFmtId="0" fontId="45" fillId="0" borderId="13" xfId="0" applyFont="1" applyBorder="1" applyAlignment="1">
      <alignment horizontal="center" vertical="center"/>
    </xf>
    <xf numFmtId="0" fontId="45" fillId="0" borderId="19" xfId="0" applyFont="1" applyBorder="1" applyAlignment="1">
      <alignment horizontal="center" vertical="center"/>
    </xf>
    <xf numFmtId="1" fontId="45" fillId="0" borderId="19" xfId="0" applyNumberFormat="1" applyFont="1" applyBorder="1" applyAlignment="1">
      <alignment horizontal="center" vertical="center"/>
    </xf>
    <xf numFmtId="165" fontId="46" fillId="0" borderId="15" xfId="0" applyNumberFormat="1" applyFont="1" applyBorder="1" applyAlignment="1">
      <alignment horizontal="center" vertical="center"/>
    </xf>
    <xf numFmtId="1" fontId="45" fillId="0" borderId="15" xfId="0" applyNumberFormat="1" applyFont="1" applyBorder="1" applyAlignment="1">
      <alignment horizontal="center" vertical="center"/>
    </xf>
    <xf numFmtId="165" fontId="46" fillId="0" borderId="13" xfId="0" applyNumberFormat="1" applyFont="1" applyBorder="1" applyAlignment="1">
      <alignment horizontal="center" vertical="center"/>
    </xf>
    <xf numFmtId="1" fontId="45" fillId="0" borderId="13" xfId="0" applyNumberFormat="1" applyFont="1" applyBorder="1" applyAlignment="1">
      <alignment horizontal="center" vertical="center"/>
    </xf>
    <xf numFmtId="49" fontId="45" fillId="0" borderId="45" xfId="0" applyNumberFormat="1" applyFont="1" applyBorder="1" applyAlignment="1">
      <alignment horizontal="center" vertical="center" wrapText="1"/>
    </xf>
    <xf numFmtId="0" fontId="45" fillId="0" borderId="20" xfId="0" applyFont="1" applyBorder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49" fontId="45" fillId="0" borderId="13" xfId="0" applyNumberFormat="1" applyFont="1" applyBorder="1" applyAlignment="1">
      <alignment horizontal="center" vertical="center" wrapText="1"/>
    </xf>
    <xf numFmtId="1" fontId="46" fillId="0" borderId="15" xfId="0" applyNumberFormat="1" applyFont="1" applyBorder="1" applyAlignment="1">
      <alignment horizontal="center" vertical="center"/>
    </xf>
    <xf numFmtId="1" fontId="46" fillId="0" borderId="13" xfId="0" applyNumberFormat="1" applyFont="1" applyBorder="1" applyAlignment="1">
      <alignment horizontal="center" vertical="center"/>
    </xf>
    <xf numFmtId="0" fontId="43" fillId="0" borderId="0" xfId="0" applyFont="1" applyProtection="1">
      <protection locked="0"/>
    </xf>
  </cellXfs>
  <cellStyles count="4">
    <cellStyle name="DiRootsParameterNotFound" xfId="2" xr:uid="{104907A8-2D4D-4252-804C-87DEA72DE229}"/>
    <cellStyle name="Neutral" xfId="3" builtinId="28"/>
    <cellStyle name="Normal" xfId="0" builtinId="0"/>
    <cellStyle name="Note" xfId="1" builtinId="10"/>
  </cellStyles>
  <dxfs count="1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numFmt numFmtId="169" formatCode="\-"/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numFmt numFmtId="169" formatCode="\-"/>
    </dxf>
    <dxf>
      <fill>
        <patternFill>
          <bgColor theme="5" tint="0.39994506668294322"/>
        </patternFill>
      </fill>
    </dxf>
    <dxf>
      <numFmt numFmtId="169" formatCode="\-"/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numFmt numFmtId="169" formatCode="\-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4E3D6C-149E-4F0C-99B8-D02F54E8F335}" name="Table1" displayName="Table1" ref="B7:AA80" totalsRowShown="0" headerRowDxfId="123" tableBorderDxfId="122">
  <autoFilter ref="B7:AA80" xr:uid="{524E3D6C-149E-4F0C-99B8-D02F54E8F335}"/>
  <sortState xmlns:xlrd2="http://schemas.microsoft.com/office/spreadsheetml/2017/richdata2" ref="B8:AA80">
    <sortCondition ref="C7:C80"/>
  </sortState>
  <tableColumns count="26">
    <tableColumn id="1" xr3:uid="{21E60571-CD74-4A42-80FF-3D27A4AAE9BA}" name="Unit" dataDxfId="121"/>
    <tableColumn id="2" xr3:uid="{499CAF51-68AD-4912-B105-E6CB04E68473}" name="Zone" dataDxfId="120"/>
    <tableColumn id="3" xr3:uid="{49758621-BBD6-4E64-B5EB-30AAEEEAC7DB}" name="ROOM" dataDxfId="119"/>
    <tableColumn id="4" xr3:uid="{07AB65A5-3070-4259-B9E3-B3A0821D46DB}" name="ROOM #" dataDxfId="118"/>
    <tableColumn id="5" xr3:uid="{6BD4501F-F2C8-4DE6-94B2-70EECF81DC26}" name="AREA (FT²)" dataDxfId="117"/>
    <tableColumn id="6" xr3:uid="{0305DB12-480F-4DBE-B0BB-D944D44E3761}" name="HG_x000a_(FT)" dataDxfId="116"/>
    <tableColumn id="7" xr3:uid="{0E2CEBD9-8207-49B7-828E-FED991A3EF1B}" name="TOTAL AC/HR" dataDxfId="115"/>
    <tableColumn id="8" xr3:uid="{B39F50FE-C65C-4C16-996E-B6A311DB49BB}" name="100%_x000a_EA" dataDxfId="114"/>
    <tableColumn id="9" xr3:uid="{8D97FF71-56B9-4380-92A5-7F58032041F8}" name="CRICU_x000a_EA" dataDxfId="113"/>
    <tableColumn id="10" xr3:uid="{DF05C704-DE23-4E47-A5C6-4F757C38BE24}" name="LOAD CFM" dataDxfId="112"/>
    <tableColumn id="11" xr3:uid="{C013AEA1-36DC-4A80-866F-AF6BEEE8A018}" name="AC/HR CFM" dataDxfId="111"/>
    <tableColumn id="12" xr3:uid="{2DFD819A-C977-4FA7-9725-9D06ABE7E8E7}" name="1 CFM/SF" dataDxfId="110"/>
    <tableColumn id="13" xr3:uid="{A50C5E1C-6A55-44C9-8312-028575630C03}" name="4-A DESIGNATION" dataDxfId="109"/>
    <tableColumn id="14" xr3:uid="{7C4ABC5D-F6B9-4FFF-9A67-D601283681B7}" name="AIRBALANCE RELATIONSHIP" dataDxfId="108"/>
    <tableColumn id="15" xr3:uid="{D17D3851-5B53-4906-9ED4-998CD7BF6D54}" name="MINIMUM OSA CHANGES PER HOUR" dataDxfId="107"/>
    <tableColumn id="16" xr3:uid="{5712ECF0-F7FD-4E19-ABEA-95FC2E37BF38}" name="OSA CFM" dataDxfId="106"/>
    <tableColumn id="17" xr3:uid="{CCE3CBFF-D4D8-46EC-83F1-4E5A27EE107F}" name="ALL AIR EXHAUSTED" dataDxfId="105"/>
    <tableColumn id="18" xr3:uid="{AC02FE2F-24A9-4273-9C14-9BADDC50ABF2}" name="CALCULATED SA CFM" dataDxfId="104"/>
    <tableColumn id="19" xr3:uid="{D2E7ABF0-6C07-417C-B186-691CC143A6B0}" name="DESIGN SA CFM" dataDxfId="103"/>
    <tableColumn id="20" xr3:uid="{DF4B9159-EFFC-40F0-9FC4-33EA3C26F8BE}" name="RA CFM" dataDxfId="102"/>
    <tableColumn id="21" xr3:uid="{585522D4-7D9C-417D-9D5A-271A48E132B9}" name="EA CFM" dataDxfId="101"/>
    <tableColumn id="22" xr3:uid="{6B6AF6EB-931D-4C93-89A9-561F9C32BB12}" name="Transfer Air CFM" dataDxfId="100"/>
    <tableColumn id="23" xr3:uid="{39003D3E-BBD2-4F77-B42A-2E9AAC1B3F5F}" name="Balance?" dataDxfId="99"/>
    <tableColumn id="24" xr3:uid="{624F2EC9-EDEF-4331-8F08-3623018EE046}" name="CFM/SF" dataDxfId="98"/>
    <tableColumn id="25" xr3:uid="{224933E3-CC52-4D9F-904F-939C4C4561E9}" name="OSA PERCENT" dataDxfId="97"/>
    <tableColumn id="26" xr3:uid="{3F8BC55D-461B-40F9-A13B-0B2D7B2DEE28}" name="ACH/hr" dataDxfId="9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6AADB1E-19A9-4B64-8D5A-215F0A6BA48F}" name="Table15" displayName="Table15" ref="B7:AA115" totalsRowShown="0" headerRowDxfId="95" tableBorderDxfId="94">
  <autoFilter ref="B7:AA115" xr:uid="{524E3D6C-149E-4F0C-99B8-D02F54E8F335}"/>
  <sortState xmlns:xlrd2="http://schemas.microsoft.com/office/spreadsheetml/2017/richdata2" ref="B8:AA115">
    <sortCondition ref="C7:C115"/>
  </sortState>
  <tableColumns count="26">
    <tableColumn id="1" xr3:uid="{D1EAB57F-F9EB-4D0D-B6A2-C692AE48428B}" name="Unit" dataDxfId="93"/>
    <tableColumn id="2" xr3:uid="{FB7BDA94-81BF-4113-8B8C-CE876EC8AAE4}" name="Zone" dataDxfId="92"/>
    <tableColumn id="3" xr3:uid="{F40C2CD4-3A78-45D1-B660-2E60554751FA}" name="ROOM" dataDxfId="91"/>
    <tableColumn id="4" xr3:uid="{32AE343A-DD7B-455D-91C1-641DAEC36EF8}" name="ROOM #" dataDxfId="90"/>
    <tableColumn id="5" xr3:uid="{4DC60068-3EE4-4CB3-9DCF-1E7B33192FD3}" name="AREA (FT²)" dataDxfId="89"/>
    <tableColumn id="6" xr3:uid="{17208116-925A-45DB-AFB5-0DCBAA963958}" name="HG_x000a_(FT)" dataDxfId="88"/>
    <tableColumn id="7" xr3:uid="{D1A2FA67-59E4-4610-9417-557D153E839F}" name="TOTAL AC/HR" dataDxfId="87"/>
    <tableColumn id="8" xr3:uid="{1B8F886D-34C7-492F-A371-3F8E0759E426}" name="100%_x000a_EA" dataDxfId="86"/>
    <tableColumn id="9" xr3:uid="{F10E6ECD-0074-41D4-8E11-DA759763672E}" name="CRICU_x000a_EA" dataDxfId="85"/>
    <tableColumn id="10" xr3:uid="{311203BE-1227-49A1-A3F1-B6EC8117E6B9}" name="LOAD CFM" dataDxfId="84"/>
    <tableColumn id="11" xr3:uid="{7BE16E57-A49A-49CF-87DF-A6DBDBC0B0A3}" name="AC/HR CFM" dataDxfId="83"/>
    <tableColumn id="12" xr3:uid="{E6711C44-1E61-438C-8C4F-4D6968D8660F}" name="1 CFM/SF" dataDxfId="82"/>
    <tableColumn id="13" xr3:uid="{1E224E51-450D-405C-BC5C-8922D6344802}" name="4-A DESIGNATION" dataDxfId="81"/>
    <tableColumn id="14" xr3:uid="{039C6528-A7EC-4D7D-A20B-6315074A5CDA}" name="AIRBALANCE RELATIONSHIP" dataDxfId="80"/>
    <tableColumn id="15" xr3:uid="{9BED5695-C93E-4564-AE19-C55D5D3191BC}" name="MINIMUM OSA CHANGES PER HOUR" dataDxfId="79"/>
    <tableColumn id="16" xr3:uid="{1EBE519F-07CD-40F5-8731-791C79E8615E}" name="OSA CFM" dataDxfId="78"/>
    <tableColumn id="17" xr3:uid="{ABB3C141-9768-4EF2-9F90-D4C1FE330F63}" name="ALL AIR EXHAUSTED" dataDxfId="77"/>
    <tableColumn id="18" xr3:uid="{8023E05E-F76E-4342-BE68-0004D144DCA9}" name="CALCULATED SA CFM" dataDxfId="76"/>
    <tableColumn id="19" xr3:uid="{558C77C8-8BFB-44C3-B2B9-AC58550C2591}" name="DESIGN SA CFM" dataDxfId="75">
      <calculatedColumnFormula>S8</calculatedColumnFormula>
    </tableColumn>
    <tableColumn id="20" xr3:uid="{7C497A08-7264-4B30-BE49-5DC5B66E7DAF}" name="RA CFM" dataDxfId="74">
      <calculatedColumnFormula>IF(R8="Yes",0,IF(O8="Positive",IF(0.1*S8&gt;50,S8-0.1*S8,S8-50),IF(O8="Negative",IF(0.1*S8&gt;50,S8+0.1*S8,S8+50),S8)))</calculatedColumnFormula>
    </tableColumn>
    <tableColumn id="21" xr3:uid="{F8BF1E25-CD67-4C10-B7DD-157CC458866C}" name="EA CFM" dataDxfId="73">
      <calculatedColumnFormula>IF(R8="Yes",J8,0)</calculatedColumnFormula>
    </tableColumn>
    <tableColumn id="22" xr3:uid="{F8B3E372-E0EF-420D-937F-CAB35313A9B1}" name="Transfer Air CFM" dataDxfId="72"/>
    <tableColumn id="23" xr3:uid="{5615386F-0B5C-4D00-8A4C-C00116637ACC}" name="Balance?" dataDxfId="71"/>
    <tableColumn id="24" xr3:uid="{CEF3C80C-F3AA-439C-A1ED-0A3F2A02554B}" name="CFM/SF" dataDxfId="70"/>
    <tableColumn id="25" xr3:uid="{F24D5ED4-573D-4DF7-B72C-8F43AA466FF4}" name="OSA PERCENT" dataDxfId="69"/>
    <tableColumn id="26" xr3:uid="{9ECF7466-1C0C-4C80-BAD4-ED9ADCF44176}" name="ACH/hr" dataDxfId="6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03D48D-DA82-45F7-A99D-D3A3D9E40902}" name="Table1567" displayName="Table1567" ref="B7:AA117" totalsRowShown="0" headerRowDxfId="67" tableBorderDxfId="66">
  <autoFilter ref="B7:AA117" xr:uid="{524E3D6C-149E-4F0C-99B8-D02F54E8F335}"/>
  <sortState xmlns:xlrd2="http://schemas.microsoft.com/office/spreadsheetml/2017/richdata2" ref="B8:AA117">
    <sortCondition ref="C7:C117"/>
  </sortState>
  <tableColumns count="26">
    <tableColumn id="1" xr3:uid="{F2C35D4E-ED7F-4ECB-9494-99110E35DFB3}" name="Unit" dataDxfId="65"/>
    <tableColumn id="2" xr3:uid="{136C3FE5-8FC5-4EA1-904D-F83EAA9B928D}" name="Zone" dataDxfId="64"/>
    <tableColumn id="3" xr3:uid="{5691DACE-7DDF-4B35-9F74-4597B142322D}" name="ROOM" dataDxfId="63"/>
    <tableColumn id="4" xr3:uid="{9D63087C-1082-43BF-8ACE-26709F330CE4}" name="ROOM #" dataDxfId="62"/>
    <tableColumn id="5" xr3:uid="{115D5FC7-8BCB-49F7-BBB7-3D2CE6B6C1EC}" name="AREA (FT²)" dataDxfId="61"/>
    <tableColumn id="6" xr3:uid="{1A833A9F-FB86-497D-888D-04461A57543C}" name="HG_x000a_(FT)" dataDxfId="60"/>
    <tableColumn id="7" xr3:uid="{13414CA1-1CE6-4D82-B14F-F418760A576B}" name="TOTAL AC/HR" dataDxfId="59"/>
    <tableColumn id="8" xr3:uid="{269B094E-0A2C-4E02-B061-E84B85D40361}" name="100%_x000a_EA" dataDxfId="58"/>
    <tableColumn id="9" xr3:uid="{3696DCE9-CF61-4DA4-9C29-AC5BF606251B}" name="CRICU_x000a_EA" dataDxfId="57"/>
    <tableColumn id="10" xr3:uid="{8EF12CCE-14B8-4E0E-A99A-06B82A07EF1A}" name="LOAD CFM" dataDxfId="56"/>
    <tableColumn id="11" xr3:uid="{2B5818D8-BCA6-45BC-B324-C11270196B3C}" name="AC/HR CFM" dataDxfId="55"/>
    <tableColumn id="12" xr3:uid="{C4FEC501-93FC-452E-B589-0D7F9AAFF0E8}" name="1 CFM/SF" dataDxfId="54"/>
    <tableColumn id="13" xr3:uid="{1CD76508-19F3-4AD6-A2CF-33ED6D24D5B3}" name="4-A DESIGNATION" dataDxfId="53"/>
    <tableColumn id="14" xr3:uid="{6DBD7D2F-839E-4628-8976-9BE6A79D3A38}" name="AIRBALANCE RELATIONSHIP" dataDxfId="52"/>
    <tableColumn id="15" xr3:uid="{AD6C6DE5-7094-4F0F-A62F-4DA6424DF44B}" name="MINIMUM OSA CHANGES PER HOUR" dataDxfId="51"/>
    <tableColumn id="16" xr3:uid="{12C8D279-7E8C-40E8-A613-8A4DBDA33450}" name="OSA CFM" dataDxfId="50"/>
    <tableColumn id="17" xr3:uid="{1A1D0C65-5CDF-404C-A12E-035B22FF3505}" name="ALL AIR EXHAUSTED" dataDxfId="49"/>
    <tableColumn id="18" xr3:uid="{1CFB9886-F70C-446B-B5C4-48EC6D504484}" name="CALCULATED SA CFM" dataDxfId="48"/>
    <tableColumn id="19" xr3:uid="{7DB10D4A-59D5-4735-8C48-F379E2165439}" name="DESIGN SA CFM" dataDxfId="47">
      <calculatedColumnFormula>S8</calculatedColumnFormula>
    </tableColumn>
    <tableColumn id="20" xr3:uid="{C767D106-9EAC-4E0B-BB3E-1F2E32E38408}" name="RA CFM" dataDxfId="46">
      <calculatedColumnFormula>IF(R8="Yes",0,IF(O8="Positive",IF(0.1*S8&gt;50,S8-0.1*S8,S8-50),IF(O8="Negative",IF(0.1*S8&gt;50,S8+0.1*S8,S8+50),S8)))</calculatedColumnFormula>
    </tableColumn>
    <tableColumn id="21" xr3:uid="{0D72CAAE-F316-4C8B-B14C-E8ED149CBCA6}" name="EA CFM" dataDxfId="45">
      <calculatedColumnFormula>IF(R8="Yes",J8,0)</calculatedColumnFormula>
    </tableColumn>
    <tableColumn id="22" xr3:uid="{8BF12290-AC26-4294-A5DC-751D779FE527}" name="Transfer Air CFM" dataDxfId="44"/>
    <tableColumn id="23" xr3:uid="{4E53A944-97DA-4A96-B826-37795F9D15A2}" name="Balance?" dataDxfId="43"/>
    <tableColumn id="24" xr3:uid="{DDA69712-4635-4261-AD9B-36DBBE4D0E35}" name="CFM/SF" dataDxfId="42"/>
    <tableColumn id="25" xr3:uid="{88E9FA89-2E74-462C-83FB-0429D3B96602}" name="OSA PERCENT" dataDxfId="41"/>
    <tableColumn id="26" xr3:uid="{A8B2C522-8908-46AD-B713-07CDA1681FC5}" name="ACH/hr" dataDxfId="4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249CA3-CB0B-47FA-A735-287809A3DAF0}" name="Table156" displayName="Table156" ref="B7:AA35" totalsRowShown="0" headerRowDxfId="39" tableBorderDxfId="38">
  <autoFilter ref="B7:AA35" xr:uid="{524E3D6C-149E-4F0C-99B8-D02F54E8F335}"/>
  <sortState xmlns:xlrd2="http://schemas.microsoft.com/office/spreadsheetml/2017/richdata2" ref="B8:AA35">
    <sortCondition ref="C7:C35"/>
  </sortState>
  <tableColumns count="26">
    <tableColumn id="1" xr3:uid="{515AB25F-B488-49C0-B100-8FED8F72BC1C}" name="Unit" dataDxfId="37"/>
    <tableColumn id="2" xr3:uid="{663AEE5F-8838-4B73-9D87-6A816330C078}" name="Zone" dataDxfId="36"/>
    <tableColumn id="3" xr3:uid="{19612CED-5EF6-48CF-9D09-03345974CF97}" name="ROOM" dataDxfId="35"/>
    <tableColumn id="4" xr3:uid="{4DDC6ED7-6CB7-4461-B1EF-F439D385C04C}" name="ROOM #" dataDxfId="34"/>
    <tableColumn id="5" xr3:uid="{5CDC135A-39F2-46B1-BDF8-2DF6F5292300}" name="AREA (FT²)" dataDxfId="33"/>
    <tableColumn id="6" xr3:uid="{F9C4D299-0741-4EEC-9A54-CECDFE59CF34}" name="HG_x000a_(FT)" dataDxfId="32"/>
    <tableColumn id="7" xr3:uid="{713A0AD1-C616-4B73-A3A7-CA5F5A79DBD0}" name="TOTAL AC/HR" dataDxfId="31"/>
    <tableColumn id="8" xr3:uid="{48C2A2B3-0468-4452-BECE-0F96061C14CA}" name="100%_x000a_EA" dataDxfId="30"/>
    <tableColumn id="9" xr3:uid="{5218BD4F-7669-46C7-957E-16786F7A40E2}" name="CRICU_x000a_EA" dataDxfId="29"/>
    <tableColumn id="10" xr3:uid="{6D4754EF-5BB4-4B6D-875E-733ABA7D6E0B}" name="LOAD CFM" dataDxfId="28"/>
    <tableColumn id="11" xr3:uid="{9C056D00-8514-4DA2-A04B-76B849945EF9}" name="AC/HR CFM" dataDxfId="27"/>
    <tableColumn id="12" xr3:uid="{4ACBBFC6-ED80-4678-874B-FA292AA720D5}" name="1 CFM/SF" dataDxfId="26"/>
    <tableColumn id="13" xr3:uid="{371BB038-5D7A-4819-92E3-9BD664E685E0}" name="4-A DESIGNATION" dataDxfId="25"/>
    <tableColumn id="14" xr3:uid="{147D0DC9-CCDC-4003-AFD8-0D60474AA26D}" name="AIRBALANCE RELATIONSHIP" dataDxfId="24"/>
    <tableColumn id="15" xr3:uid="{9FE0DE16-6EDB-44AD-ADA0-5D629F75FC08}" name="MINIMUM OSA CHANGES PER HOUR" dataDxfId="23"/>
    <tableColumn id="16" xr3:uid="{FCD213AD-558A-4622-A593-B718EF5B5554}" name="OSA CFM" dataDxfId="22"/>
    <tableColumn id="17" xr3:uid="{7A72EAB7-E665-479B-9A4C-C0E5782403C6}" name="ALL AIR EXHAUSTED" dataDxfId="21"/>
    <tableColumn id="18" xr3:uid="{6D53FA10-F401-43A0-B009-CF81028DC810}" name="CALCULATED SA CFM" dataDxfId="20"/>
    <tableColumn id="19" xr3:uid="{B1E72B51-7BDA-41A1-8ED1-5B72B6B04F9A}" name="DESIGN SA CFM" dataDxfId="19">
      <calculatedColumnFormula>S8</calculatedColumnFormula>
    </tableColumn>
    <tableColumn id="20" xr3:uid="{CEE4B20A-B361-4E28-A401-A928A07E03C9}" name="RA CFM" dataDxfId="18">
      <calculatedColumnFormula>IF(R8="Yes",0,IF(O8="Positive",IF(0.1*S8&gt;50,S8-0.1*S8,S8-50),IF(O8="Negative",IF(0.1*S8&gt;50,S8+0.1*S8,S8+50),S8)))</calculatedColumnFormula>
    </tableColumn>
    <tableColumn id="21" xr3:uid="{EF7749BC-314F-4079-B68A-69441F17F6CB}" name="EA CFM" dataDxfId="17">
      <calculatedColumnFormula>IF(R8="Yes",J8,0)</calculatedColumnFormula>
    </tableColumn>
    <tableColumn id="22" xr3:uid="{8E3E0C07-635D-4D51-88F0-953391BBE847}" name="Transfer Air CFM" dataDxfId="16"/>
    <tableColumn id="23" xr3:uid="{01565F08-9EBB-41F1-87A0-6A5BE13B90A5}" name="Balance?" dataDxfId="15"/>
    <tableColumn id="24" xr3:uid="{FC6FB37C-C71C-4542-BEEF-9E36A3D9C2AD}" name="CFM/SF" dataDxfId="14"/>
    <tableColumn id="25" xr3:uid="{CE4F70E0-2A79-4359-AA0A-F6C81B4F8AE9}" name="OSA PERCENT" dataDxfId="13"/>
    <tableColumn id="26" xr3:uid="{10D6352B-BBF3-4418-A1AD-7EC8D5E9F26B}" name="ACH/hr" dataDxfId="1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5" dT="2023-01-20T00:11:27.69" personId="{9818FCBF-2832-490A-8648-B86041484521}" id="{84D71866-A333-4CD0-9197-88E7042E5A29}">
    <text xml:space="preserve">This is desired room temperature. Input based on RFP or ASHRAE. </text>
  </threadedComment>
  <threadedComment ref="H5" dT="2023-01-20T00:11:36.80" personId="{9818FCBF-2832-490A-8648-B86041484521}" id="{437746F2-980E-42E9-9E62-943E879A051B}">
    <text xml:space="preserve">This is desired room temperature. Input based on RFP or ASHRAE. </text>
  </threadedComment>
  <threadedComment ref="BA6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/>
  <dimension ref="B2:G15"/>
  <sheetViews>
    <sheetView workbookViewId="0">
      <selection activeCell="I11" sqref="I11"/>
    </sheetView>
  </sheetViews>
  <sheetFormatPr defaultRowHeight="12.75" x14ac:dyDescent="0.2"/>
  <cols>
    <col min="2" max="2" width="14.28515625" bestFit="1" customWidth="1"/>
    <col min="3" max="3" width="6" bestFit="1" customWidth="1"/>
    <col min="4" max="4" width="6.42578125" bestFit="1" customWidth="1"/>
    <col min="5" max="5" width="15.7109375" bestFit="1" customWidth="1"/>
    <col min="6" max="6" width="5" bestFit="1" customWidth="1"/>
    <col min="7" max="7" width="6.42578125" bestFit="1" customWidth="1"/>
  </cols>
  <sheetData>
    <row r="2" spans="2:7" x14ac:dyDescent="0.2">
      <c r="B2" s="281" t="s">
        <v>835</v>
      </c>
      <c r="C2" s="280"/>
      <c r="D2" s="280"/>
      <c r="E2" s="280"/>
      <c r="F2" s="280"/>
      <c r="G2" s="280"/>
    </row>
    <row r="3" spans="2:7" x14ac:dyDescent="0.2">
      <c r="B3" s="14"/>
      <c r="D3" s="20"/>
      <c r="E3" s="20"/>
      <c r="F3" s="14"/>
    </row>
    <row r="4" spans="2:7" x14ac:dyDescent="0.2">
      <c r="B4" s="259" t="s">
        <v>79</v>
      </c>
      <c r="C4" s="259"/>
      <c r="D4" s="259"/>
      <c r="E4" s="259" t="s">
        <v>80</v>
      </c>
      <c r="F4" s="259"/>
      <c r="G4" s="259"/>
    </row>
    <row r="5" spans="2:7" x14ac:dyDescent="0.2">
      <c r="B5" s="211" t="s">
        <v>81</v>
      </c>
      <c r="C5" s="289">
        <v>93.1</v>
      </c>
      <c r="D5" s="278" t="s">
        <v>9</v>
      </c>
      <c r="E5" s="211" t="s">
        <v>61</v>
      </c>
      <c r="F5" s="291">
        <v>38.9</v>
      </c>
      <c r="G5" s="260" t="s">
        <v>82</v>
      </c>
    </row>
    <row r="6" spans="2:7" x14ac:dyDescent="0.2">
      <c r="B6" s="211"/>
      <c r="C6" s="289">
        <v>71</v>
      </c>
      <c r="D6" s="278" t="s">
        <v>35</v>
      </c>
      <c r="E6" s="211"/>
      <c r="F6" s="292"/>
      <c r="G6" s="260"/>
    </row>
    <row r="7" spans="2:7" x14ac:dyDescent="0.2">
      <c r="B7" s="211" t="s">
        <v>83</v>
      </c>
      <c r="C7" s="290">
        <v>69</v>
      </c>
      <c r="D7" s="279" t="s">
        <v>84</v>
      </c>
      <c r="E7" s="211" t="s">
        <v>111</v>
      </c>
      <c r="F7" s="289">
        <v>16.600000000000001</v>
      </c>
      <c r="G7" s="31" t="s">
        <v>84</v>
      </c>
    </row>
    <row r="8" spans="2:7" x14ac:dyDescent="0.2">
      <c r="B8" s="211"/>
      <c r="C8" s="290">
        <v>80.400000000000006</v>
      </c>
      <c r="D8" s="278" t="s">
        <v>82</v>
      </c>
      <c r="E8" s="211"/>
      <c r="F8" s="289">
        <v>57.2</v>
      </c>
      <c r="G8" s="168" t="s">
        <v>82</v>
      </c>
    </row>
    <row r="9" spans="2:7" x14ac:dyDescent="0.2">
      <c r="B9" s="211"/>
      <c r="C9" s="290">
        <v>106.9</v>
      </c>
      <c r="D9" s="278" t="s">
        <v>85</v>
      </c>
      <c r="E9" s="211"/>
      <c r="F9" s="289">
        <v>12.7</v>
      </c>
      <c r="G9" s="168" t="s">
        <v>85</v>
      </c>
    </row>
    <row r="10" spans="2:7" x14ac:dyDescent="0.2">
      <c r="B10" s="14"/>
      <c r="D10" s="20"/>
      <c r="E10" s="20"/>
    </row>
    <row r="11" spans="2:7" x14ac:dyDescent="0.2">
      <c r="B11" s="97" t="s">
        <v>836</v>
      </c>
    </row>
    <row r="12" spans="2:7" x14ac:dyDescent="0.2">
      <c r="B12" s="97" t="s">
        <v>837</v>
      </c>
      <c r="C12" s="314">
        <v>42</v>
      </c>
      <c r="D12" s="288" t="s">
        <v>838</v>
      </c>
    </row>
    <row r="13" spans="2:7" x14ac:dyDescent="0.2">
      <c r="B13" s="97" t="s">
        <v>839</v>
      </c>
      <c r="C13" s="314">
        <v>56</v>
      </c>
      <c r="D13" s="288" t="s">
        <v>838</v>
      </c>
    </row>
    <row r="14" spans="2:7" x14ac:dyDescent="0.2">
      <c r="B14" s="97" t="s">
        <v>840</v>
      </c>
      <c r="C14" s="314">
        <v>140</v>
      </c>
      <c r="D14" s="288" t="s">
        <v>838</v>
      </c>
    </row>
    <row r="15" spans="2:7" x14ac:dyDescent="0.2">
      <c r="B15" s="97" t="s">
        <v>841</v>
      </c>
      <c r="C15" s="314">
        <v>100</v>
      </c>
      <c r="D15" s="288" t="s">
        <v>838</v>
      </c>
    </row>
  </sheetData>
  <mergeCells count="9">
    <mergeCell ref="B2:G2"/>
    <mergeCell ref="E4:G4"/>
    <mergeCell ref="B7:B9"/>
    <mergeCell ref="B4:D4"/>
    <mergeCell ref="B5:B6"/>
    <mergeCell ref="G5:G6"/>
    <mergeCell ref="E5:E6"/>
    <mergeCell ref="E7:E9"/>
    <mergeCell ref="F5:F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AZ105"/>
  <sheetViews>
    <sheetView showGridLines="0" zoomScale="80" zoomScaleNormal="80" zoomScaleSheetLayoutView="50" zoomScalePageLayoutView="85" workbookViewId="0">
      <pane xSplit="4" ySplit="7" topLeftCell="E34" activePane="bottomRight" state="frozen"/>
      <selection pane="topRight" activeCell="E1" sqref="E1"/>
      <selection pane="bottomLeft" activeCell="A8" sqref="A8"/>
      <selection pane="bottomRight" activeCell="Z86" sqref="Z86"/>
    </sheetView>
  </sheetViews>
  <sheetFormatPr defaultRowHeight="12.75" x14ac:dyDescent="0.2"/>
  <cols>
    <col min="1" max="1" width="2.85546875" customWidth="1"/>
    <col min="2" max="2" width="12.7109375" customWidth="1"/>
    <col min="3" max="3" width="23.28515625" style="17" customWidth="1"/>
    <col min="4" max="4" width="27.7109375" style="94" bestFit="1" customWidth="1"/>
    <col min="5" max="5" width="16" style="17" bestFit="1" customWidth="1"/>
    <col min="6" max="6" width="13.28515625" style="17" customWidth="1"/>
    <col min="7" max="7" width="6.7109375" customWidth="1"/>
    <col min="8" max="8" width="13" style="21" customWidth="1"/>
    <col min="9" max="10" width="7.7109375" customWidth="1"/>
    <col min="11" max="11" width="11.85546875" style="1" customWidth="1"/>
    <col min="12" max="12" width="12.7109375" customWidth="1"/>
    <col min="13" max="13" width="11.42578125" hidden="1" customWidth="1"/>
    <col min="14" max="14" width="64.28515625" style="1" bestFit="1" customWidth="1"/>
    <col min="15" max="15" width="73.140625" style="1" bestFit="1" customWidth="1"/>
    <col min="16" max="16" width="31.28515625" customWidth="1"/>
    <col min="17" max="17" width="13" bestFit="1" customWidth="1"/>
    <col min="18" max="18" width="18" customWidth="1"/>
    <col min="19" max="19" width="22.85546875" style="1" customWidth="1"/>
    <col min="20" max="20" width="16.5703125" style="1" customWidth="1"/>
    <col min="21" max="21" width="10.140625" style="17" customWidth="1"/>
    <col min="22" max="22" width="10" style="1" customWidth="1"/>
    <col min="23" max="23" width="18" style="85" customWidth="1"/>
    <col min="24" max="24" width="11.28515625" customWidth="1"/>
    <col min="25" max="25" width="9.85546875" style="17" customWidth="1"/>
    <col min="26" max="26" width="15.85546875" style="17" customWidth="1"/>
    <col min="27" max="27" width="9.42578125" style="17" customWidth="1"/>
    <col min="28" max="28" width="22.5703125" style="17" bestFit="1" customWidth="1"/>
    <col min="29" max="29" width="9.28515625" style="17" customWidth="1"/>
    <col min="30" max="30" width="11.42578125" style="86" bestFit="1" customWidth="1"/>
    <col min="31" max="31" width="22" style="86" bestFit="1" customWidth="1"/>
    <col min="32" max="32" width="34.28515625" style="86" customWidth="1"/>
    <col min="33" max="33" width="6.42578125" style="55" customWidth="1"/>
    <col min="34" max="34" width="13.140625" style="55" customWidth="1"/>
    <col min="35" max="35" width="9.85546875" style="55" hidden="1" customWidth="1"/>
    <col min="36" max="36" width="14.140625" style="55" bestFit="1" customWidth="1"/>
    <col min="37" max="37" width="6.5703125" bestFit="1" customWidth="1"/>
    <col min="38" max="38" width="8" hidden="1" customWidth="1"/>
    <col min="39" max="39" width="5.85546875" bestFit="1" customWidth="1"/>
    <col min="40" max="40" width="9.42578125" hidden="1" customWidth="1"/>
    <col min="41" max="41" width="8.28515625" bestFit="1" customWidth="1"/>
    <col min="42" max="42" width="0" hidden="1" customWidth="1"/>
    <col min="43" max="43" width="8.28515625" bestFit="1" customWidth="1"/>
    <col min="44" max="44" width="9.7109375" bestFit="1" customWidth="1"/>
    <col min="45" max="45" width="10.42578125" bestFit="1" customWidth="1"/>
    <col min="46" max="46" width="11" customWidth="1"/>
    <col min="47" max="47" width="12.85546875" bestFit="1" customWidth="1"/>
    <col min="50" max="52" width="9.28515625" bestFit="1" customWidth="1"/>
  </cols>
  <sheetData>
    <row r="1" spans="1:52" ht="30" x14ac:dyDescent="0.4">
      <c r="B1" s="59" t="s">
        <v>54</v>
      </c>
    </row>
    <row r="3" spans="1:52" x14ac:dyDescent="0.2">
      <c r="C3"/>
      <c r="H3"/>
      <c r="K3"/>
      <c r="N3" t="s">
        <v>55</v>
      </c>
      <c r="O3"/>
      <c r="S3"/>
      <c r="T3"/>
      <c r="U3"/>
      <c r="V3"/>
      <c r="W3" s="87"/>
      <c r="Y3"/>
      <c r="Z3"/>
      <c r="AA3"/>
    </row>
    <row r="4" spans="1:52" ht="15.75" customHeight="1" x14ac:dyDescent="0.2">
      <c r="C4"/>
      <c r="H4"/>
      <c r="K4"/>
      <c r="N4"/>
      <c r="O4"/>
      <c r="S4"/>
      <c r="T4"/>
      <c r="U4"/>
      <c r="V4"/>
      <c r="W4" s="87"/>
      <c r="Y4"/>
      <c r="Z4"/>
      <c r="AA4"/>
    </row>
    <row r="5" spans="1:52" ht="30" x14ac:dyDescent="0.2">
      <c r="C5"/>
      <c r="D5" s="193" t="s">
        <v>457</v>
      </c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5"/>
      <c r="W5" s="87"/>
      <c r="Y5"/>
      <c r="Z5"/>
      <c r="AA5"/>
    </row>
    <row r="6" spans="1:52" ht="30" x14ac:dyDescent="0.2">
      <c r="B6" s="121"/>
      <c r="C6" s="121"/>
      <c r="D6" s="204" t="s">
        <v>106</v>
      </c>
      <c r="E6" s="205"/>
      <c r="F6" s="205"/>
      <c r="G6" s="206"/>
      <c r="H6" s="203" t="s">
        <v>107</v>
      </c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4" t="s">
        <v>105</v>
      </c>
      <c r="T6" s="205"/>
      <c r="U6" s="205"/>
      <c r="V6" s="206"/>
      <c r="W6" s="121"/>
      <c r="X6" s="121"/>
      <c r="Y6" s="202" t="s">
        <v>104</v>
      </c>
      <c r="Z6" s="202"/>
      <c r="AA6" s="202"/>
      <c r="AD6" s="199" t="s">
        <v>205</v>
      </c>
      <c r="AE6" s="200"/>
      <c r="AF6" s="200"/>
      <c r="AG6" s="200"/>
      <c r="AH6" s="200"/>
      <c r="AI6" s="200"/>
      <c r="AJ6" s="200"/>
      <c r="AK6" s="200"/>
      <c r="AL6" s="200"/>
      <c r="AM6" s="200"/>
      <c r="AN6" s="200"/>
      <c r="AO6" s="200"/>
      <c r="AP6" s="200"/>
      <c r="AQ6" s="200"/>
      <c r="AR6" s="200"/>
      <c r="AS6" s="200"/>
      <c r="AT6" s="200"/>
      <c r="AU6" s="201"/>
    </row>
    <row r="7" spans="1:52" s="107" customFormat="1" ht="53.1" customHeight="1" thickBot="1" x14ac:dyDescent="0.25">
      <c r="A7" s="102"/>
      <c r="B7" s="100" t="s">
        <v>11</v>
      </c>
      <c r="C7" s="101" t="s">
        <v>19</v>
      </c>
      <c r="D7" s="122" t="s">
        <v>10</v>
      </c>
      <c r="E7" s="123" t="s">
        <v>43</v>
      </c>
      <c r="F7" s="124" t="s">
        <v>206</v>
      </c>
      <c r="G7" s="125" t="s">
        <v>0</v>
      </c>
      <c r="H7" s="126" t="s">
        <v>327</v>
      </c>
      <c r="I7" s="127" t="s">
        <v>44</v>
      </c>
      <c r="J7" s="128" t="s">
        <v>328</v>
      </c>
      <c r="K7" s="126" t="s">
        <v>329</v>
      </c>
      <c r="L7" s="126" t="s">
        <v>330</v>
      </c>
      <c r="M7" s="126" t="s">
        <v>13</v>
      </c>
      <c r="N7" s="129" t="s">
        <v>331</v>
      </c>
      <c r="O7" s="124" t="s">
        <v>332</v>
      </c>
      <c r="P7" s="124" t="s">
        <v>333</v>
      </c>
      <c r="Q7" s="124" t="s">
        <v>20</v>
      </c>
      <c r="R7" s="125" t="s">
        <v>334</v>
      </c>
      <c r="S7" s="129" t="s">
        <v>99</v>
      </c>
      <c r="T7" s="129" t="s">
        <v>335</v>
      </c>
      <c r="U7" s="124" t="s">
        <v>14</v>
      </c>
      <c r="V7" s="125" t="s">
        <v>15</v>
      </c>
      <c r="W7" s="104" t="s">
        <v>16</v>
      </c>
      <c r="X7" s="104" t="s">
        <v>18</v>
      </c>
      <c r="Y7" s="105" t="s">
        <v>37</v>
      </c>
      <c r="Z7" s="105" t="s">
        <v>86</v>
      </c>
      <c r="AA7" s="103" t="s">
        <v>38</v>
      </c>
      <c r="AB7" s="106"/>
      <c r="AC7" s="106"/>
      <c r="AD7" s="154" t="s">
        <v>326</v>
      </c>
      <c r="AE7" s="113" t="s">
        <v>200</v>
      </c>
      <c r="AF7" s="108" t="s">
        <v>201</v>
      </c>
      <c r="AG7" s="109" t="s">
        <v>52</v>
      </c>
      <c r="AH7" s="110" t="s">
        <v>208</v>
      </c>
      <c r="AI7" s="110" t="s">
        <v>102</v>
      </c>
      <c r="AJ7" s="110" t="s">
        <v>199</v>
      </c>
      <c r="AK7" s="109" t="s">
        <v>50</v>
      </c>
      <c r="AL7" s="111" t="s">
        <v>122</v>
      </c>
      <c r="AM7" s="112" t="s">
        <v>51</v>
      </c>
      <c r="AN7" s="111" t="s">
        <v>121</v>
      </c>
      <c r="AO7" s="111" t="s">
        <v>120</v>
      </c>
      <c r="AP7" s="112" t="s">
        <v>49</v>
      </c>
      <c r="AQ7" s="111" t="s">
        <v>49</v>
      </c>
      <c r="AR7" s="111" t="s">
        <v>196</v>
      </c>
      <c r="AS7" s="111" t="s">
        <v>197</v>
      </c>
      <c r="AT7" s="111" t="s">
        <v>198</v>
      </c>
      <c r="AU7" s="111" t="s">
        <v>108</v>
      </c>
    </row>
    <row r="8" spans="1:52" ht="15" customHeight="1" x14ac:dyDescent="0.2">
      <c r="B8" s="159"/>
      <c r="C8" s="148" t="s">
        <v>401</v>
      </c>
      <c r="D8" s="121" t="s">
        <v>461</v>
      </c>
      <c r="E8" s="158" t="s">
        <v>462</v>
      </c>
      <c r="F8" s="158">
        <v>1220</v>
      </c>
      <c r="G8" s="173">
        <v>9</v>
      </c>
      <c r="H8" s="131">
        <f>VLOOKUP($N8,'UMC Table 4-A'!$A$10:$E$139,4,FALSE)</f>
        <v>2</v>
      </c>
      <c r="I8" s="131" t="str">
        <f>VLOOKUP($N8,'UMC Table 4-A'!$A$10:$E$139,5,FALSE)</f>
        <v>NR</v>
      </c>
      <c r="J8" s="132" t="str">
        <f t="shared" ref="J8:J39" si="0">IF(I8="Yes",L8,"-")</f>
        <v>-</v>
      </c>
      <c r="K8" s="130">
        <v>0</v>
      </c>
      <c r="L8" s="151">
        <f t="shared" ref="L8:L39" si="1">IF(H8&lt;&gt;"NR",ROUNDUP((F8*G8*H8)/60,-1),0)</f>
        <v>370</v>
      </c>
      <c r="M8" s="133">
        <f>F8</f>
        <v>1220</v>
      </c>
      <c r="N8" s="114" t="s">
        <v>115</v>
      </c>
      <c r="O8" s="131" t="str">
        <f>VLOOKUP($N8,'UMC Table 4-A'!$A$10:$E$139,2,FALSE)</f>
        <v>NO REQUIREMENT FOR CONTINUOUS DIRECTIONAL CONTROL</v>
      </c>
      <c r="P8" s="149" t="str">
        <f>VLOOKUP($N8,'UMC Table 4-A'!$A$10:$E$139,3,FALSE)</f>
        <v>NR</v>
      </c>
      <c r="Q8" s="151">
        <f t="shared" ref="Q8:Q39" si="2">IF(P8&lt;&gt;"NR",ROUNDUP((F8*G8*P8)/60,-1),0)</f>
        <v>0</v>
      </c>
      <c r="R8" s="149" t="str">
        <f>VLOOKUP($N8,'UMC Table 4-A'!$A$10:$E$139,5,FALSE)</f>
        <v>NR</v>
      </c>
      <c r="S8" s="134">
        <f t="shared" ref="S8:S39" si="3">IF(O8="Negative",IF(OR(N8="Toilet room",N8="Janitor's closet, housekeeping"),0,IF(0.1*V8&gt;50,220-0.1*V8,V8-50)),IF(R8="Yes",0,CEILING(MAX(K8:M8),5)))</f>
        <v>1220</v>
      </c>
      <c r="T8" s="135">
        <f t="shared" ref="T8:T39" si="4">S8</f>
        <v>1220</v>
      </c>
      <c r="U8" s="119">
        <f t="shared" ref="U8:U39" si="5">IF(R8="Yes",0,IF(O8="Positive",IF(0.1*S8&gt;50,S8-0.1*S8,S8-50),IF(O8="Negative",IF(0.1*S8&gt;50,S8+0.1*S8,S8+50),S8)))</f>
        <v>1220</v>
      </c>
      <c r="V8" s="137">
        <f t="shared" ref="V8:V39" si="6">IF(R8="Yes",J8,0)</f>
        <v>0</v>
      </c>
      <c r="W8" s="88">
        <f t="shared" ref="W8:W39" si="7">T8-U8-V8</f>
        <v>0</v>
      </c>
      <c r="X8" s="33" t="str">
        <f t="shared" ref="X8:X39" si="8">IF(S8-U8-V8+W8=0,"Yes","No")</f>
        <v>Yes</v>
      </c>
      <c r="Y8" s="34">
        <f t="shared" ref="Y8:Y39" si="9">S8/F8</f>
        <v>1</v>
      </c>
      <c r="Z8" s="70">
        <f t="shared" ref="Z8:Z39" si="10">(Q8/T8)*100</f>
        <v>0</v>
      </c>
      <c r="AA8" s="32">
        <f t="shared" ref="AA8:AA39" si="11">S8/F8/G8*60</f>
        <v>6.6666666666666661</v>
      </c>
      <c r="AD8" s="113" t="s">
        <v>401</v>
      </c>
      <c r="AE8" s="113" t="s">
        <v>203</v>
      </c>
      <c r="AF8" s="113" t="s">
        <v>209</v>
      </c>
      <c r="AG8" s="112">
        <f t="shared" ref="AG8:AG44" si="12">SUMIF($C$8:$C$80,AD8,$T$8:$T$80)</f>
        <v>1220</v>
      </c>
      <c r="AH8" s="112">
        <f t="shared" ref="AH8:AH44" si="13">VLOOKUP(AG8,$AX$12:$AY$17,2,TRUE)</f>
        <v>12</v>
      </c>
      <c r="AI8" s="112">
        <f>AH8/2</f>
        <v>6</v>
      </c>
      <c r="AJ8" s="112">
        <v>0.5</v>
      </c>
      <c r="AK8" s="112">
        <v>140</v>
      </c>
      <c r="AL8" s="112">
        <v>100</v>
      </c>
      <c r="AM8" s="112">
        <v>55</v>
      </c>
      <c r="AN8" s="112">
        <v>85</v>
      </c>
      <c r="AO8" s="112">
        <f>MROUND((1.08*(AN8-AM8)*AG8)/1000,0.1)</f>
        <v>39.5</v>
      </c>
      <c r="AP8" s="115">
        <f>(AO8*1000)/(500*(AK8-AL8))</f>
        <v>1.9750000000000001</v>
      </c>
      <c r="AQ8" s="115">
        <f>IF(AP8&lt;0.5,0.5,AP8)</f>
        <v>1.9750000000000001</v>
      </c>
      <c r="AR8" s="115">
        <v>5</v>
      </c>
      <c r="AS8" s="115">
        <f t="shared" ref="AS8:AS44" si="14">_xlfn.XLOOKUP(AH8,$AY$12:$AY$17,$AZ$12:$AZ$17,)</f>
        <v>45</v>
      </c>
      <c r="AT8" s="115" t="s">
        <v>823</v>
      </c>
      <c r="AU8" s="112" t="s">
        <v>204</v>
      </c>
    </row>
    <row r="9" spans="1:52" ht="15" customHeight="1" x14ac:dyDescent="0.2">
      <c r="B9" s="160"/>
      <c r="C9" s="148" t="s">
        <v>401</v>
      </c>
      <c r="D9" s="148" t="s">
        <v>741</v>
      </c>
      <c r="E9" s="169" t="s">
        <v>742</v>
      </c>
      <c r="F9" s="169">
        <v>93</v>
      </c>
      <c r="G9" s="173">
        <v>8</v>
      </c>
      <c r="H9" s="114">
        <f>VLOOKUP($N9,'UMC Table 4-A'!$A$10:$E$139,4,FALSE)</f>
        <v>10</v>
      </c>
      <c r="I9" s="114" t="str">
        <f>VLOOKUP($N9,'UMC Table 4-A'!$A$10:$E$139,5,FALSE)</f>
        <v>YES</v>
      </c>
      <c r="J9" s="111">
        <f t="shared" si="0"/>
        <v>130</v>
      </c>
      <c r="K9" s="116">
        <v>0</v>
      </c>
      <c r="L9" s="152">
        <f t="shared" si="1"/>
        <v>130</v>
      </c>
      <c r="M9" s="117"/>
      <c r="N9" s="114" t="s">
        <v>246</v>
      </c>
      <c r="O9" s="114" t="str">
        <f>VLOOKUP($N9,'UMC Table 4-A'!$A$10:$E$139,2,FALSE)</f>
        <v>NEGATIVE</v>
      </c>
      <c r="P9" s="112" t="str">
        <f>VLOOKUP($N9,'UMC Table 4-A'!$A$10:$E$139,3,FALSE)</f>
        <v>NR</v>
      </c>
      <c r="Q9" s="152">
        <f t="shared" si="2"/>
        <v>0</v>
      </c>
      <c r="R9" s="112" t="str">
        <f>VLOOKUP($N9,'UMC Table 4-A'!$A$10:$E$139,5,FALSE)</f>
        <v>YES</v>
      </c>
      <c r="S9" s="113">
        <f t="shared" si="3"/>
        <v>0</v>
      </c>
      <c r="T9" s="137">
        <f t="shared" si="4"/>
        <v>0</v>
      </c>
      <c r="U9" s="137">
        <f t="shared" si="5"/>
        <v>0</v>
      </c>
      <c r="V9" s="137">
        <f t="shared" si="6"/>
        <v>130</v>
      </c>
      <c r="W9" s="89">
        <f t="shared" si="7"/>
        <v>-130</v>
      </c>
      <c r="X9" s="31" t="str">
        <f t="shared" si="8"/>
        <v>No</v>
      </c>
      <c r="Y9" s="32">
        <f t="shared" si="9"/>
        <v>0</v>
      </c>
      <c r="Z9" s="70" t="e">
        <f t="shared" si="10"/>
        <v>#DIV/0!</v>
      </c>
      <c r="AA9" s="32">
        <f t="shared" si="11"/>
        <v>0</v>
      </c>
      <c r="AD9" s="113" t="s">
        <v>402</v>
      </c>
      <c r="AE9" s="113" t="s">
        <v>203</v>
      </c>
      <c r="AF9" s="113" t="s">
        <v>209</v>
      </c>
      <c r="AG9" s="112">
        <f t="shared" si="12"/>
        <v>100</v>
      </c>
      <c r="AH9" s="112">
        <f t="shared" si="13"/>
        <v>6</v>
      </c>
      <c r="AI9" s="112">
        <f>AH9/2</f>
        <v>3</v>
      </c>
      <c r="AJ9" s="112">
        <f>AJ8</f>
        <v>0.5</v>
      </c>
      <c r="AK9" s="112">
        <f t="shared" ref="AK9:AN9" si="15">AK8</f>
        <v>140</v>
      </c>
      <c r="AL9" s="112">
        <f t="shared" si="15"/>
        <v>100</v>
      </c>
      <c r="AM9" s="112">
        <f t="shared" si="15"/>
        <v>55</v>
      </c>
      <c r="AN9" s="112">
        <f t="shared" si="15"/>
        <v>85</v>
      </c>
      <c r="AO9" s="112">
        <f>MROUND((1.08*(AN9-AM9)*AG9)/1000,0.1)</f>
        <v>3.2</v>
      </c>
      <c r="AP9" s="115">
        <f>(AO9*1000)/(500*(AK9-AL9))</f>
        <v>0.16</v>
      </c>
      <c r="AQ9" s="115">
        <f t="shared" ref="AQ9:AQ44" si="16">IF(AP9&lt;0.5,0.5,AP9)</f>
        <v>0.5</v>
      </c>
      <c r="AR9" s="115">
        <f>AR8</f>
        <v>5</v>
      </c>
      <c r="AS9" s="115">
        <f t="shared" si="14"/>
        <v>30</v>
      </c>
      <c r="AT9" s="115" t="str">
        <f>AT8</f>
        <v>F5/M-503</v>
      </c>
      <c r="AU9" s="112" t="str">
        <f>AU8</f>
        <v>1, 2</v>
      </c>
    </row>
    <row r="10" spans="1:52" ht="15" customHeight="1" x14ac:dyDescent="0.25">
      <c r="B10" s="160"/>
      <c r="C10" s="148" t="s">
        <v>402</v>
      </c>
      <c r="D10" s="121" t="s">
        <v>463</v>
      </c>
      <c r="E10" s="158" t="s">
        <v>464</v>
      </c>
      <c r="F10" s="158">
        <v>99</v>
      </c>
      <c r="G10" s="173">
        <v>9</v>
      </c>
      <c r="H10" s="114">
        <f>VLOOKUP($N10,'UMC Table 4-A'!$A$10:$E$139,4,FALSE)</f>
        <v>6</v>
      </c>
      <c r="I10" s="114" t="str">
        <f>VLOOKUP($N10,'UMC Table 4-A'!$A$10:$E$139,5,FALSE)</f>
        <v>NR</v>
      </c>
      <c r="J10" s="111" t="str">
        <f t="shared" si="0"/>
        <v>-</v>
      </c>
      <c r="K10" s="116">
        <v>0</v>
      </c>
      <c r="L10" s="152">
        <f t="shared" si="1"/>
        <v>90</v>
      </c>
      <c r="M10" s="117">
        <f t="shared" ref="M10:M18" si="17">F10</f>
        <v>99</v>
      </c>
      <c r="N10" s="114" t="s">
        <v>91</v>
      </c>
      <c r="O10" s="114" t="str">
        <f>VLOOKUP($N10,'UMC Table 4-A'!$A$10:$E$139,2,FALSE)</f>
        <v>NO REQUIREMENT FOR CONTINUOUS DIRECTIONAL CONTROL</v>
      </c>
      <c r="P10" s="112">
        <f>VLOOKUP($N10,'UMC Table 4-A'!$A$10:$E$139,3,FALSE)</f>
        <v>2</v>
      </c>
      <c r="Q10" s="152">
        <f t="shared" si="2"/>
        <v>30</v>
      </c>
      <c r="R10" s="112" t="str">
        <f>VLOOKUP($N10,'UMC Table 4-A'!$A$10:$E$139,5,FALSE)</f>
        <v>NR</v>
      </c>
      <c r="S10" s="113">
        <f t="shared" si="3"/>
        <v>100</v>
      </c>
      <c r="T10" s="137">
        <f t="shared" si="4"/>
        <v>100</v>
      </c>
      <c r="U10" s="137">
        <f t="shared" si="5"/>
        <v>100</v>
      </c>
      <c r="V10" s="137">
        <f t="shared" si="6"/>
        <v>0</v>
      </c>
      <c r="W10" s="89">
        <f t="shared" si="7"/>
        <v>0</v>
      </c>
      <c r="X10" s="31" t="str">
        <f t="shared" si="8"/>
        <v>Yes</v>
      </c>
      <c r="Y10" s="32">
        <f t="shared" si="9"/>
        <v>1.0101010101010102</v>
      </c>
      <c r="Z10" s="70">
        <f t="shared" si="10"/>
        <v>30</v>
      </c>
      <c r="AA10" s="32">
        <f t="shared" si="11"/>
        <v>6.7340067340067344</v>
      </c>
      <c r="AD10" s="113" t="s">
        <v>403</v>
      </c>
      <c r="AE10" s="113" t="s">
        <v>203</v>
      </c>
      <c r="AF10" s="113" t="s">
        <v>209</v>
      </c>
      <c r="AG10" s="112">
        <f t="shared" si="12"/>
        <v>140</v>
      </c>
      <c r="AH10" s="112">
        <f t="shared" si="13"/>
        <v>6</v>
      </c>
      <c r="AI10" s="112">
        <f t="shared" ref="AI10:AI44" si="18">AH10/2</f>
        <v>3</v>
      </c>
      <c r="AJ10" s="112">
        <f t="shared" ref="AJ10:AJ45" si="19">AJ9</f>
        <v>0.5</v>
      </c>
      <c r="AK10" s="112">
        <f t="shared" ref="AK10:AN10" si="20">AK9</f>
        <v>140</v>
      </c>
      <c r="AL10" s="112">
        <f t="shared" si="20"/>
        <v>100</v>
      </c>
      <c r="AM10" s="112">
        <f t="shared" si="20"/>
        <v>55</v>
      </c>
      <c r="AN10" s="112">
        <f t="shared" si="20"/>
        <v>85</v>
      </c>
      <c r="AO10" s="112">
        <f t="shared" ref="AO10:AO44" si="21">MROUND((1.08*(AN10-AM10)*AG10)/1000,0.1)</f>
        <v>4.5</v>
      </c>
      <c r="AP10" s="115">
        <f t="shared" ref="AP10:AP44" si="22">(AO10*1000)/(500*(AK10-AL10))</f>
        <v>0.22500000000000001</v>
      </c>
      <c r="AQ10" s="115">
        <f t="shared" si="16"/>
        <v>0.5</v>
      </c>
      <c r="AR10" s="115">
        <f t="shared" ref="AR10:AR45" si="23">AR9</f>
        <v>5</v>
      </c>
      <c r="AS10" s="115">
        <f t="shared" si="14"/>
        <v>30</v>
      </c>
      <c r="AT10" s="115" t="str">
        <f t="shared" ref="AT10:AT45" si="24">AT9</f>
        <v>F5/M-503</v>
      </c>
      <c r="AU10" s="112" t="str">
        <f t="shared" ref="AU10:AU45" si="25">AU9</f>
        <v>1, 2</v>
      </c>
      <c r="AX10" s="196" t="s">
        <v>88</v>
      </c>
      <c r="AY10" s="197"/>
      <c r="AZ10" s="198"/>
    </row>
    <row r="11" spans="1:52" ht="15" customHeight="1" x14ac:dyDescent="0.2">
      <c r="B11" s="160"/>
      <c r="C11" s="148" t="s">
        <v>403</v>
      </c>
      <c r="D11" s="121" t="s">
        <v>465</v>
      </c>
      <c r="E11" s="158" t="s">
        <v>466</v>
      </c>
      <c r="F11" s="158">
        <v>136</v>
      </c>
      <c r="G11" s="173">
        <v>9</v>
      </c>
      <c r="H11" s="114">
        <f>VLOOKUP($N11,'UMC Table 4-A'!$A$10:$E$139,4,FALSE)</f>
        <v>6</v>
      </c>
      <c r="I11" s="114" t="str">
        <f>VLOOKUP($N11,'UMC Table 4-A'!$A$10:$E$139,5,FALSE)</f>
        <v>NR</v>
      </c>
      <c r="J11" s="111" t="str">
        <f t="shared" si="0"/>
        <v>-</v>
      </c>
      <c r="K11" s="116">
        <v>0</v>
      </c>
      <c r="L11" s="152">
        <f t="shared" si="1"/>
        <v>130</v>
      </c>
      <c r="M11" s="117">
        <f t="shared" si="17"/>
        <v>136</v>
      </c>
      <c r="N11" s="114" t="s">
        <v>91</v>
      </c>
      <c r="O11" s="114" t="str">
        <f>VLOOKUP($N11,'UMC Table 4-A'!$A$10:$E$139,2,FALSE)</f>
        <v>NO REQUIREMENT FOR CONTINUOUS DIRECTIONAL CONTROL</v>
      </c>
      <c r="P11" s="112">
        <f>VLOOKUP($N11,'UMC Table 4-A'!$A$10:$E$139,3,FALSE)</f>
        <v>2</v>
      </c>
      <c r="Q11" s="152">
        <f t="shared" si="2"/>
        <v>50</v>
      </c>
      <c r="R11" s="112" t="str">
        <f>VLOOKUP($N11,'UMC Table 4-A'!$A$10:$E$139,5,FALSE)</f>
        <v>NR</v>
      </c>
      <c r="S11" s="113">
        <f t="shared" si="3"/>
        <v>140</v>
      </c>
      <c r="T11" s="137">
        <f t="shared" si="4"/>
        <v>140</v>
      </c>
      <c r="U11" s="137">
        <f t="shared" si="5"/>
        <v>140</v>
      </c>
      <c r="V11" s="137">
        <f t="shared" si="6"/>
        <v>0</v>
      </c>
      <c r="W11" s="89">
        <f t="shared" si="7"/>
        <v>0</v>
      </c>
      <c r="X11" s="31" t="str">
        <f t="shared" si="8"/>
        <v>Yes</v>
      </c>
      <c r="Y11" s="32">
        <f t="shared" si="9"/>
        <v>1.0294117647058822</v>
      </c>
      <c r="Z11" s="70">
        <f t="shared" si="10"/>
        <v>35.714285714285715</v>
      </c>
      <c r="AA11" s="32">
        <f t="shared" si="11"/>
        <v>6.8627450980392144</v>
      </c>
      <c r="AD11" s="113" t="s">
        <v>404</v>
      </c>
      <c r="AE11" s="113" t="s">
        <v>203</v>
      </c>
      <c r="AF11" s="113" t="s">
        <v>209</v>
      </c>
      <c r="AG11" s="112">
        <f t="shared" si="12"/>
        <v>150</v>
      </c>
      <c r="AH11" s="112">
        <f t="shared" si="13"/>
        <v>6</v>
      </c>
      <c r="AI11" s="112">
        <f t="shared" si="18"/>
        <v>3</v>
      </c>
      <c r="AJ11" s="112">
        <f t="shared" si="19"/>
        <v>0.5</v>
      </c>
      <c r="AK11" s="112">
        <f t="shared" ref="AK11:AN11" si="26">AK10</f>
        <v>140</v>
      </c>
      <c r="AL11" s="112">
        <f t="shared" si="26"/>
        <v>100</v>
      </c>
      <c r="AM11" s="112">
        <f t="shared" si="26"/>
        <v>55</v>
      </c>
      <c r="AN11" s="112">
        <f t="shared" si="26"/>
        <v>85</v>
      </c>
      <c r="AO11" s="112">
        <f t="shared" si="21"/>
        <v>4.9000000000000004</v>
      </c>
      <c r="AP11" s="115">
        <f t="shared" si="22"/>
        <v>0.245</v>
      </c>
      <c r="AQ11" s="115">
        <f t="shared" si="16"/>
        <v>0.5</v>
      </c>
      <c r="AR11" s="115">
        <f t="shared" si="23"/>
        <v>5</v>
      </c>
      <c r="AS11" s="115">
        <f t="shared" si="14"/>
        <v>30</v>
      </c>
      <c r="AT11" s="115" t="str">
        <f t="shared" si="24"/>
        <v>F5/M-503</v>
      </c>
      <c r="AU11" s="112" t="str">
        <f t="shared" si="25"/>
        <v>1, 2</v>
      </c>
      <c r="AX11" s="71" t="s">
        <v>52</v>
      </c>
      <c r="AY11" s="72" t="s">
        <v>89</v>
      </c>
      <c r="AZ11" s="72" t="s">
        <v>202</v>
      </c>
    </row>
    <row r="12" spans="1:52" ht="15" customHeight="1" x14ac:dyDescent="0.2">
      <c r="B12" s="160"/>
      <c r="C12" s="148" t="s">
        <v>404</v>
      </c>
      <c r="D12" s="121" t="s">
        <v>467</v>
      </c>
      <c r="E12" s="158" t="s">
        <v>468</v>
      </c>
      <c r="F12" s="158">
        <v>135</v>
      </c>
      <c r="G12" s="173">
        <v>16.5</v>
      </c>
      <c r="H12" s="114">
        <f>VLOOKUP($N12,'UMC Table 4-A'!$A$10:$E$139,4,FALSE)</f>
        <v>6</v>
      </c>
      <c r="I12" s="114" t="str">
        <f>VLOOKUP($N12,'UMC Table 4-A'!$A$10:$E$139,5,FALSE)</f>
        <v>NR</v>
      </c>
      <c r="J12" s="111" t="str">
        <f t="shared" si="0"/>
        <v>-</v>
      </c>
      <c r="K12" s="116">
        <v>0</v>
      </c>
      <c r="L12" s="152">
        <f t="shared" si="1"/>
        <v>230</v>
      </c>
      <c r="M12" s="117">
        <f t="shared" si="17"/>
        <v>135</v>
      </c>
      <c r="N12" s="114" t="s">
        <v>252</v>
      </c>
      <c r="O12" s="114" t="str">
        <f>VLOOKUP($N12,'UMC Table 4-A'!$A$10:$E$139,2,FALSE)</f>
        <v>NEGATIVE</v>
      </c>
      <c r="P12" s="112">
        <f>VLOOKUP($N12,'UMC Table 4-A'!$A$10:$E$139,3,FALSE)</f>
        <v>2</v>
      </c>
      <c r="Q12" s="152">
        <f t="shared" si="2"/>
        <v>80</v>
      </c>
      <c r="R12" s="112" t="str">
        <f>VLOOKUP($N12,'UMC Table 4-A'!$A$10:$E$139,5,FALSE)</f>
        <v>NR</v>
      </c>
      <c r="S12" s="113">
        <f t="shared" si="3"/>
        <v>150</v>
      </c>
      <c r="T12" s="137">
        <f t="shared" si="4"/>
        <v>150</v>
      </c>
      <c r="U12" s="137">
        <v>0</v>
      </c>
      <c r="V12" s="137">
        <v>200</v>
      </c>
      <c r="W12" s="89">
        <f t="shared" si="7"/>
        <v>-50</v>
      </c>
      <c r="X12" s="31" t="str">
        <f t="shared" si="8"/>
        <v>No</v>
      </c>
      <c r="Y12" s="32">
        <f t="shared" si="9"/>
        <v>1.1111111111111112</v>
      </c>
      <c r="Z12" s="70">
        <f t="shared" si="10"/>
        <v>53.333333333333336</v>
      </c>
      <c r="AA12" s="32">
        <f t="shared" si="11"/>
        <v>4.0404040404040407</v>
      </c>
      <c r="AD12" s="113" t="s">
        <v>405</v>
      </c>
      <c r="AE12" s="113" t="s">
        <v>203</v>
      </c>
      <c r="AF12" s="113" t="s">
        <v>209</v>
      </c>
      <c r="AG12" s="112">
        <f t="shared" si="12"/>
        <v>230</v>
      </c>
      <c r="AH12" s="112">
        <f t="shared" si="13"/>
        <v>6</v>
      </c>
      <c r="AI12" s="112">
        <f t="shared" si="18"/>
        <v>3</v>
      </c>
      <c r="AJ12" s="112">
        <f t="shared" si="19"/>
        <v>0.5</v>
      </c>
      <c r="AK12" s="112">
        <f t="shared" ref="AK12:AN12" si="27">AK11</f>
        <v>140</v>
      </c>
      <c r="AL12" s="112">
        <f t="shared" si="27"/>
        <v>100</v>
      </c>
      <c r="AM12" s="112">
        <f t="shared" si="27"/>
        <v>55</v>
      </c>
      <c r="AN12" s="112">
        <f t="shared" si="27"/>
        <v>85</v>
      </c>
      <c r="AO12" s="112">
        <f t="shared" si="21"/>
        <v>7.5</v>
      </c>
      <c r="AP12" s="115">
        <f t="shared" si="22"/>
        <v>0.375</v>
      </c>
      <c r="AQ12" s="115">
        <f t="shared" si="16"/>
        <v>0.5</v>
      </c>
      <c r="AR12" s="115">
        <f t="shared" si="23"/>
        <v>5</v>
      </c>
      <c r="AS12" s="115">
        <f t="shared" si="14"/>
        <v>30</v>
      </c>
      <c r="AT12" s="115" t="str">
        <f t="shared" si="24"/>
        <v>F5/M-503</v>
      </c>
      <c r="AU12" s="112" t="str">
        <f t="shared" si="25"/>
        <v>1, 2</v>
      </c>
      <c r="AX12" s="60">
        <v>1</v>
      </c>
      <c r="AY12" s="73">
        <v>6</v>
      </c>
      <c r="AZ12" s="73">
        <v>30</v>
      </c>
    </row>
    <row r="13" spans="1:52" ht="15" customHeight="1" x14ac:dyDescent="0.2">
      <c r="B13" s="160"/>
      <c r="C13" s="148" t="s">
        <v>405</v>
      </c>
      <c r="D13" s="121" t="s">
        <v>469</v>
      </c>
      <c r="E13" s="158" t="s">
        <v>470</v>
      </c>
      <c r="F13" s="158">
        <v>138</v>
      </c>
      <c r="G13" s="173">
        <v>16.5</v>
      </c>
      <c r="H13" s="114">
        <f>VLOOKUP($N13,'UMC Table 4-A'!$A$10:$E$139,4,FALSE)</f>
        <v>6</v>
      </c>
      <c r="I13" s="114" t="str">
        <f>VLOOKUP($N13,'UMC Table 4-A'!$A$10:$E$139,5,FALSE)</f>
        <v>NR</v>
      </c>
      <c r="J13" s="111" t="str">
        <f t="shared" si="0"/>
        <v>-</v>
      </c>
      <c r="K13" s="116">
        <v>0</v>
      </c>
      <c r="L13" s="152">
        <f t="shared" si="1"/>
        <v>230</v>
      </c>
      <c r="M13" s="117">
        <f t="shared" si="17"/>
        <v>138</v>
      </c>
      <c r="N13" s="114" t="s">
        <v>91</v>
      </c>
      <c r="O13" s="114" t="str">
        <f>VLOOKUP($N13,'UMC Table 4-A'!$A$10:$E$139,2,FALSE)</f>
        <v>NO REQUIREMENT FOR CONTINUOUS DIRECTIONAL CONTROL</v>
      </c>
      <c r="P13" s="112">
        <f>VLOOKUP($N13,'UMC Table 4-A'!$A$10:$E$139,3,FALSE)</f>
        <v>2</v>
      </c>
      <c r="Q13" s="152">
        <f t="shared" si="2"/>
        <v>80</v>
      </c>
      <c r="R13" s="112" t="str">
        <f>VLOOKUP($N13,'UMC Table 4-A'!$A$10:$E$139,5,FALSE)</f>
        <v>NR</v>
      </c>
      <c r="S13" s="113">
        <f t="shared" si="3"/>
        <v>230</v>
      </c>
      <c r="T13" s="137">
        <f t="shared" si="4"/>
        <v>230</v>
      </c>
      <c r="U13" s="137">
        <f t="shared" si="5"/>
        <v>230</v>
      </c>
      <c r="V13" s="137">
        <f t="shared" si="6"/>
        <v>0</v>
      </c>
      <c r="W13" s="89">
        <f t="shared" si="7"/>
        <v>0</v>
      </c>
      <c r="X13" s="31" t="str">
        <f t="shared" si="8"/>
        <v>Yes</v>
      </c>
      <c r="Y13" s="32">
        <f t="shared" si="9"/>
        <v>1.6666666666666667</v>
      </c>
      <c r="Z13" s="70">
        <f t="shared" si="10"/>
        <v>34.782608695652172</v>
      </c>
      <c r="AA13" s="32">
        <f t="shared" si="11"/>
        <v>6.0606060606060606</v>
      </c>
      <c r="AD13" s="113" t="s">
        <v>406</v>
      </c>
      <c r="AE13" s="113" t="s">
        <v>203</v>
      </c>
      <c r="AF13" s="113" t="s">
        <v>209</v>
      </c>
      <c r="AG13" s="112">
        <f t="shared" si="12"/>
        <v>1780</v>
      </c>
      <c r="AH13" s="112">
        <f t="shared" si="13"/>
        <v>14</v>
      </c>
      <c r="AI13" s="112">
        <f t="shared" si="18"/>
        <v>7</v>
      </c>
      <c r="AJ13" s="112">
        <f t="shared" si="19"/>
        <v>0.5</v>
      </c>
      <c r="AK13" s="112">
        <f t="shared" ref="AK13:AN13" si="28">AK12</f>
        <v>140</v>
      </c>
      <c r="AL13" s="112">
        <f t="shared" si="28"/>
        <v>100</v>
      </c>
      <c r="AM13" s="112">
        <f t="shared" si="28"/>
        <v>55</v>
      </c>
      <c r="AN13" s="112">
        <f t="shared" si="28"/>
        <v>85</v>
      </c>
      <c r="AO13" s="112">
        <f t="shared" si="21"/>
        <v>57.7</v>
      </c>
      <c r="AP13" s="115">
        <f t="shared" si="22"/>
        <v>2.8849999999999998</v>
      </c>
      <c r="AQ13" s="115">
        <f t="shared" si="16"/>
        <v>2.8849999999999998</v>
      </c>
      <c r="AR13" s="115">
        <f t="shared" si="23"/>
        <v>5</v>
      </c>
      <c r="AS13" s="115">
        <f t="shared" si="14"/>
        <v>55</v>
      </c>
      <c r="AT13" s="115" t="str">
        <f t="shared" si="24"/>
        <v>F5/M-503</v>
      </c>
      <c r="AU13" s="112" t="str">
        <f t="shared" si="25"/>
        <v>1, 2</v>
      </c>
      <c r="AX13" s="60">
        <v>400</v>
      </c>
      <c r="AY13" s="73">
        <v>8</v>
      </c>
      <c r="AZ13" s="73">
        <v>30</v>
      </c>
    </row>
    <row r="14" spans="1:52" ht="15" customHeight="1" x14ac:dyDescent="0.2">
      <c r="B14" s="160"/>
      <c r="C14" s="148" t="s">
        <v>406</v>
      </c>
      <c r="D14" s="121" t="s">
        <v>471</v>
      </c>
      <c r="E14" s="158" t="s">
        <v>472</v>
      </c>
      <c r="F14" s="158">
        <v>1000</v>
      </c>
      <c r="G14" s="173">
        <v>16.5</v>
      </c>
      <c r="H14" s="114">
        <f>VLOOKUP($N14,'UMC Table 4-A'!$A$10:$E$139,4,FALSE)</f>
        <v>6</v>
      </c>
      <c r="I14" s="114" t="str">
        <f>VLOOKUP($N14,'UMC Table 4-A'!$A$10:$E$139,5,FALSE)</f>
        <v>NR</v>
      </c>
      <c r="J14" s="111" t="str">
        <f t="shared" si="0"/>
        <v>-</v>
      </c>
      <c r="K14" s="116">
        <v>0</v>
      </c>
      <c r="L14" s="152">
        <f t="shared" si="1"/>
        <v>1650</v>
      </c>
      <c r="M14" s="117">
        <f t="shared" si="17"/>
        <v>1000</v>
      </c>
      <c r="N14" s="114" t="s">
        <v>91</v>
      </c>
      <c r="O14" s="114" t="str">
        <f>VLOOKUP($N14,'UMC Table 4-A'!$A$10:$E$139,2,FALSE)</f>
        <v>NO REQUIREMENT FOR CONTINUOUS DIRECTIONAL CONTROL</v>
      </c>
      <c r="P14" s="112">
        <f>VLOOKUP($N14,'UMC Table 4-A'!$A$10:$E$139,3,FALSE)</f>
        <v>2</v>
      </c>
      <c r="Q14" s="152">
        <f t="shared" si="2"/>
        <v>550</v>
      </c>
      <c r="R14" s="112" t="str">
        <f>VLOOKUP($N14,'UMC Table 4-A'!$A$10:$E$139,5,FALSE)</f>
        <v>NR</v>
      </c>
      <c r="S14" s="113">
        <f t="shared" si="3"/>
        <v>1650</v>
      </c>
      <c r="T14" s="137">
        <f t="shared" si="4"/>
        <v>1650</v>
      </c>
      <c r="U14" s="137">
        <f t="shared" si="5"/>
        <v>1650</v>
      </c>
      <c r="V14" s="137">
        <f t="shared" si="6"/>
        <v>0</v>
      </c>
      <c r="W14" s="89">
        <f t="shared" si="7"/>
        <v>0</v>
      </c>
      <c r="X14" s="31" t="str">
        <f t="shared" si="8"/>
        <v>Yes</v>
      </c>
      <c r="Y14" s="32">
        <f t="shared" si="9"/>
        <v>1.65</v>
      </c>
      <c r="Z14" s="70">
        <f t="shared" si="10"/>
        <v>33.333333333333329</v>
      </c>
      <c r="AA14" s="32">
        <f t="shared" si="11"/>
        <v>5.9999999999999991</v>
      </c>
      <c r="AD14" s="113" t="s">
        <v>407</v>
      </c>
      <c r="AE14" s="113" t="s">
        <v>203</v>
      </c>
      <c r="AF14" s="113" t="s">
        <v>209</v>
      </c>
      <c r="AG14" s="112">
        <f t="shared" si="12"/>
        <v>290</v>
      </c>
      <c r="AH14" s="112">
        <f t="shared" si="13"/>
        <v>6</v>
      </c>
      <c r="AI14" s="112">
        <f t="shared" si="18"/>
        <v>3</v>
      </c>
      <c r="AJ14" s="112">
        <f t="shared" si="19"/>
        <v>0.5</v>
      </c>
      <c r="AK14" s="112">
        <f t="shared" ref="AK14:AN14" si="29">AK13</f>
        <v>140</v>
      </c>
      <c r="AL14" s="112">
        <f t="shared" si="29"/>
        <v>100</v>
      </c>
      <c r="AM14" s="112">
        <f t="shared" si="29"/>
        <v>55</v>
      </c>
      <c r="AN14" s="112">
        <f t="shared" si="29"/>
        <v>85</v>
      </c>
      <c r="AO14" s="112">
        <f t="shared" si="21"/>
        <v>9.4</v>
      </c>
      <c r="AP14" s="115">
        <f t="shared" si="22"/>
        <v>0.47</v>
      </c>
      <c r="AQ14" s="115">
        <f t="shared" si="16"/>
        <v>0.5</v>
      </c>
      <c r="AR14" s="115">
        <f t="shared" si="23"/>
        <v>5</v>
      </c>
      <c r="AS14" s="115">
        <f t="shared" si="14"/>
        <v>30</v>
      </c>
      <c r="AT14" s="115" t="str">
        <f t="shared" si="24"/>
        <v>F5/M-503</v>
      </c>
      <c r="AU14" s="112" t="str">
        <f t="shared" si="25"/>
        <v>1, 2</v>
      </c>
      <c r="AX14" s="60">
        <v>700</v>
      </c>
      <c r="AY14" s="73">
        <v>10</v>
      </c>
      <c r="AZ14" s="73">
        <v>35</v>
      </c>
    </row>
    <row r="15" spans="1:52" ht="15" customHeight="1" x14ac:dyDescent="0.2">
      <c r="B15" s="160"/>
      <c r="C15" s="148" t="s">
        <v>406</v>
      </c>
      <c r="D15" s="121" t="s">
        <v>473</v>
      </c>
      <c r="E15" s="158" t="s">
        <v>474</v>
      </c>
      <c r="F15" s="158">
        <v>77</v>
      </c>
      <c r="G15" s="173">
        <v>16.5</v>
      </c>
      <c r="H15" s="114">
        <f>VLOOKUP($N15,'UMC Table 4-A'!$A$10:$E$139,4,FALSE)</f>
        <v>6</v>
      </c>
      <c r="I15" s="114" t="str">
        <f>VLOOKUP($N15,'UMC Table 4-A'!$A$10:$E$139,5,FALSE)</f>
        <v>NR</v>
      </c>
      <c r="J15" s="111" t="str">
        <f t="shared" si="0"/>
        <v>-</v>
      </c>
      <c r="K15" s="116">
        <v>0</v>
      </c>
      <c r="L15" s="152">
        <f t="shared" si="1"/>
        <v>130</v>
      </c>
      <c r="M15" s="117">
        <f t="shared" si="17"/>
        <v>77</v>
      </c>
      <c r="N15" s="114" t="s">
        <v>91</v>
      </c>
      <c r="O15" s="114" t="str">
        <f>VLOOKUP($N15,'UMC Table 4-A'!$A$10:$E$139,2,FALSE)</f>
        <v>NO REQUIREMENT FOR CONTINUOUS DIRECTIONAL CONTROL</v>
      </c>
      <c r="P15" s="112">
        <f>VLOOKUP($N15,'UMC Table 4-A'!$A$10:$E$139,3,FALSE)</f>
        <v>2</v>
      </c>
      <c r="Q15" s="152">
        <f t="shared" si="2"/>
        <v>50</v>
      </c>
      <c r="R15" s="112" t="str">
        <f>VLOOKUP($N15,'UMC Table 4-A'!$A$10:$E$139,5,FALSE)</f>
        <v>NR</v>
      </c>
      <c r="S15" s="113">
        <f t="shared" si="3"/>
        <v>130</v>
      </c>
      <c r="T15" s="137">
        <f t="shared" si="4"/>
        <v>130</v>
      </c>
      <c r="U15" s="137">
        <f t="shared" si="5"/>
        <v>130</v>
      </c>
      <c r="V15" s="137">
        <f t="shared" si="6"/>
        <v>0</v>
      </c>
      <c r="W15" s="89">
        <f t="shared" si="7"/>
        <v>0</v>
      </c>
      <c r="X15" s="31" t="str">
        <f t="shared" si="8"/>
        <v>Yes</v>
      </c>
      <c r="Y15" s="32">
        <f t="shared" si="9"/>
        <v>1.6883116883116882</v>
      </c>
      <c r="Z15" s="70">
        <f t="shared" si="10"/>
        <v>38.461538461538467</v>
      </c>
      <c r="AA15" s="32">
        <f t="shared" si="11"/>
        <v>6.1393152302243204</v>
      </c>
      <c r="AD15" s="113" t="s">
        <v>408</v>
      </c>
      <c r="AE15" s="113" t="s">
        <v>203</v>
      </c>
      <c r="AF15" s="113" t="s">
        <v>209</v>
      </c>
      <c r="AG15" s="112">
        <f t="shared" si="12"/>
        <v>175</v>
      </c>
      <c r="AH15" s="112">
        <f t="shared" si="13"/>
        <v>6</v>
      </c>
      <c r="AI15" s="112">
        <f t="shared" si="18"/>
        <v>3</v>
      </c>
      <c r="AJ15" s="112">
        <f t="shared" si="19"/>
        <v>0.5</v>
      </c>
      <c r="AK15" s="112">
        <f t="shared" ref="AK15:AN15" si="30">AK14</f>
        <v>140</v>
      </c>
      <c r="AL15" s="112">
        <f t="shared" si="30"/>
        <v>100</v>
      </c>
      <c r="AM15" s="112">
        <f t="shared" si="30"/>
        <v>55</v>
      </c>
      <c r="AN15" s="112">
        <f t="shared" si="30"/>
        <v>85</v>
      </c>
      <c r="AO15" s="112">
        <f>MROUND((1.08*(AN15-AM15)*AG15)/1000,0.1)</f>
        <v>5.7</v>
      </c>
      <c r="AP15" s="115">
        <f t="shared" si="22"/>
        <v>0.28499999999999998</v>
      </c>
      <c r="AQ15" s="115">
        <f t="shared" si="16"/>
        <v>0.5</v>
      </c>
      <c r="AR15" s="115">
        <f t="shared" si="23"/>
        <v>5</v>
      </c>
      <c r="AS15" s="115">
        <f t="shared" si="14"/>
        <v>30</v>
      </c>
      <c r="AT15" s="115" t="str">
        <f t="shared" si="24"/>
        <v>F5/M-503</v>
      </c>
      <c r="AU15" s="112" t="str">
        <f t="shared" si="25"/>
        <v>1, 2</v>
      </c>
      <c r="AX15" s="60">
        <v>1000</v>
      </c>
      <c r="AY15" s="73">
        <v>12</v>
      </c>
      <c r="AZ15" s="73">
        <v>45</v>
      </c>
    </row>
    <row r="16" spans="1:52" ht="15" customHeight="1" x14ac:dyDescent="0.2">
      <c r="B16" s="160"/>
      <c r="C16" s="148" t="s">
        <v>407</v>
      </c>
      <c r="D16" s="121" t="s">
        <v>475</v>
      </c>
      <c r="E16" s="158" t="s">
        <v>476</v>
      </c>
      <c r="F16" s="158">
        <v>371</v>
      </c>
      <c r="G16" s="173">
        <v>9</v>
      </c>
      <c r="H16" s="114">
        <f>VLOOKUP($N16,'UMC Table 4-A'!$A$10:$E$139,4,FALSE)</f>
        <v>6</v>
      </c>
      <c r="I16" s="114" t="str">
        <f>VLOOKUP($N16,'UMC Table 4-A'!$A$10:$E$139,5,FALSE)</f>
        <v>YES</v>
      </c>
      <c r="J16" s="111">
        <f t="shared" si="0"/>
        <v>340</v>
      </c>
      <c r="K16" s="116">
        <v>0</v>
      </c>
      <c r="L16" s="152">
        <f t="shared" si="1"/>
        <v>340</v>
      </c>
      <c r="M16" s="117">
        <f t="shared" si="17"/>
        <v>371</v>
      </c>
      <c r="N16" s="114" t="s">
        <v>236</v>
      </c>
      <c r="O16" s="114" t="str">
        <f>VLOOKUP($N16,'UMC Table 4-A'!$A$10:$E$139,2,FALSE)</f>
        <v>NEGATIVE</v>
      </c>
      <c r="P16" s="112">
        <f>VLOOKUP($N16,'UMC Table 4-A'!$A$10:$E$139,3,FALSE)</f>
        <v>2</v>
      </c>
      <c r="Q16" s="152">
        <f t="shared" si="2"/>
        <v>120</v>
      </c>
      <c r="R16" s="112" t="str">
        <f>VLOOKUP($N16,'UMC Table 4-A'!$A$10:$E$139,5,FALSE)</f>
        <v>YES</v>
      </c>
      <c r="S16" s="113">
        <f t="shared" si="3"/>
        <v>290</v>
      </c>
      <c r="T16" s="137">
        <f t="shared" si="4"/>
        <v>290</v>
      </c>
      <c r="U16" s="137">
        <f t="shared" si="5"/>
        <v>0</v>
      </c>
      <c r="V16" s="137">
        <f t="shared" si="6"/>
        <v>340</v>
      </c>
      <c r="W16" s="89">
        <f t="shared" si="7"/>
        <v>-50</v>
      </c>
      <c r="X16" s="31" t="str">
        <f t="shared" si="8"/>
        <v>No</v>
      </c>
      <c r="Y16" s="32">
        <f t="shared" si="9"/>
        <v>0.78167115902964956</v>
      </c>
      <c r="Z16" s="70">
        <f t="shared" si="10"/>
        <v>41.379310344827587</v>
      </c>
      <c r="AA16" s="32">
        <f t="shared" si="11"/>
        <v>5.2111410601976642</v>
      </c>
      <c r="AD16" s="113" t="s">
        <v>409</v>
      </c>
      <c r="AE16" s="113" t="s">
        <v>203</v>
      </c>
      <c r="AF16" s="113" t="s">
        <v>209</v>
      </c>
      <c r="AG16" s="112">
        <f t="shared" si="12"/>
        <v>345</v>
      </c>
      <c r="AH16" s="112">
        <f t="shared" si="13"/>
        <v>6</v>
      </c>
      <c r="AI16" s="112">
        <f t="shared" si="18"/>
        <v>3</v>
      </c>
      <c r="AJ16" s="112">
        <f t="shared" si="19"/>
        <v>0.5</v>
      </c>
      <c r="AK16" s="112">
        <f t="shared" ref="AK16:AN16" si="31">AK15</f>
        <v>140</v>
      </c>
      <c r="AL16" s="112">
        <f t="shared" si="31"/>
        <v>100</v>
      </c>
      <c r="AM16" s="112">
        <f t="shared" si="31"/>
        <v>55</v>
      </c>
      <c r="AN16" s="112">
        <f t="shared" si="31"/>
        <v>85</v>
      </c>
      <c r="AO16" s="112">
        <f t="shared" si="21"/>
        <v>11.200000000000001</v>
      </c>
      <c r="AP16" s="115">
        <f t="shared" si="22"/>
        <v>0.56000000000000005</v>
      </c>
      <c r="AQ16" s="115">
        <f t="shared" si="16"/>
        <v>0.56000000000000005</v>
      </c>
      <c r="AR16" s="115">
        <f t="shared" si="23"/>
        <v>5</v>
      </c>
      <c r="AS16" s="115">
        <f t="shared" si="14"/>
        <v>30</v>
      </c>
      <c r="AT16" s="115" t="str">
        <f t="shared" si="24"/>
        <v>F5/M-503</v>
      </c>
      <c r="AU16" s="112" t="str">
        <f t="shared" si="25"/>
        <v>1, 2</v>
      </c>
      <c r="AX16" s="60">
        <v>1500</v>
      </c>
      <c r="AY16" s="73">
        <v>14</v>
      </c>
      <c r="AZ16" s="73">
        <v>55</v>
      </c>
    </row>
    <row r="17" spans="2:52" ht="15" customHeight="1" thickBot="1" x14ac:dyDescent="0.25">
      <c r="B17" s="160"/>
      <c r="C17" s="148" t="s">
        <v>408</v>
      </c>
      <c r="D17" s="121" t="s">
        <v>477</v>
      </c>
      <c r="E17" s="158" t="s">
        <v>478</v>
      </c>
      <c r="F17" s="158">
        <v>127</v>
      </c>
      <c r="G17" s="173">
        <v>9</v>
      </c>
      <c r="H17" s="114">
        <f>VLOOKUP($N17,'UMC Table 4-A'!$A$10:$E$139,4,FALSE)</f>
        <v>6</v>
      </c>
      <c r="I17" s="114" t="str">
        <f>VLOOKUP($N17,'UMC Table 4-A'!$A$10:$E$139,5,FALSE)</f>
        <v>NR</v>
      </c>
      <c r="J17" s="111" t="str">
        <f t="shared" si="0"/>
        <v>-</v>
      </c>
      <c r="K17" s="116">
        <v>0</v>
      </c>
      <c r="L17" s="152">
        <f t="shared" si="1"/>
        <v>120</v>
      </c>
      <c r="M17" s="117">
        <f t="shared" si="17"/>
        <v>127</v>
      </c>
      <c r="N17" s="114" t="s">
        <v>91</v>
      </c>
      <c r="O17" s="114" t="str">
        <f>VLOOKUP($N17,'UMC Table 4-A'!$A$10:$E$139,2,FALSE)</f>
        <v>NO REQUIREMENT FOR CONTINUOUS DIRECTIONAL CONTROL</v>
      </c>
      <c r="P17" s="112">
        <f>VLOOKUP($N17,'UMC Table 4-A'!$A$10:$E$139,3,FALSE)</f>
        <v>2</v>
      </c>
      <c r="Q17" s="152">
        <f t="shared" si="2"/>
        <v>40</v>
      </c>
      <c r="R17" s="112" t="str">
        <f>VLOOKUP($N17,'UMC Table 4-A'!$A$10:$E$139,5,FALSE)</f>
        <v>NR</v>
      </c>
      <c r="S17" s="113">
        <f t="shared" si="3"/>
        <v>130</v>
      </c>
      <c r="T17" s="137">
        <f t="shared" si="4"/>
        <v>130</v>
      </c>
      <c r="U17" s="137">
        <f t="shared" si="5"/>
        <v>130</v>
      </c>
      <c r="V17" s="137">
        <f t="shared" si="6"/>
        <v>0</v>
      </c>
      <c r="W17" s="89">
        <f t="shared" si="7"/>
        <v>0</v>
      </c>
      <c r="X17" s="31" t="str">
        <f t="shared" si="8"/>
        <v>Yes</v>
      </c>
      <c r="Y17" s="32">
        <f t="shared" si="9"/>
        <v>1.0236220472440944</v>
      </c>
      <c r="Z17" s="70">
        <f t="shared" si="10"/>
        <v>30.76923076923077</v>
      </c>
      <c r="AA17" s="32">
        <f t="shared" si="11"/>
        <v>6.8241469816272966</v>
      </c>
      <c r="AD17" s="113" t="s">
        <v>410</v>
      </c>
      <c r="AE17" s="113" t="s">
        <v>203</v>
      </c>
      <c r="AF17" s="113" t="s">
        <v>209</v>
      </c>
      <c r="AG17" s="112">
        <f t="shared" si="12"/>
        <v>720</v>
      </c>
      <c r="AH17" s="112">
        <f t="shared" si="13"/>
        <v>10</v>
      </c>
      <c r="AI17" s="112">
        <f t="shared" si="18"/>
        <v>5</v>
      </c>
      <c r="AJ17" s="112">
        <f t="shared" si="19"/>
        <v>0.5</v>
      </c>
      <c r="AK17" s="112">
        <f t="shared" ref="AK17:AN17" si="32">AK16</f>
        <v>140</v>
      </c>
      <c r="AL17" s="112">
        <f t="shared" si="32"/>
        <v>100</v>
      </c>
      <c r="AM17" s="112">
        <f t="shared" si="32"/>
        <v>55</v>
      </c>
      <c r="AN17" s="112">
        <f t="shared" si="32"/>
        <v>85</v>
      </c>
      <c r="AO17" s="112">
        <f t="shared" si="21"/>
        <v>23.3</v>
      </c>
      <c r="AP17" s="115">
        <f t="shared" si="22"/>
        <v>1.165</v>
      </c>
      <c r="AQ17" s="115">
        <f t="shared" si="16"/>
        <v>1.165</v>
      </c>
      <c r="AR17" s="115">
        <f t="shared" si="23"/>
        <v>5</v>
      </c>
      <c r="AS17" s="115">
        <f t="shared" si="14"/>
        <v>35</v>
      </c>
      <c r="AT17" s="115" t="str">
        <f t="shared" si="24"/>
        <v>F5/M-503</v>
      </c>
      <c r="AU17" s="112" t="str">
        <f t="shared" si="25"/>
        <v>1, 2</v>
      </c>
      <c r="AX17" s="74">
        <v>2100</v>
      </c>
      <c r="AY17" s="75">
        <v>16</v>
      </c>
      <c r="AZ17" s="75">
        <v>60</v>
      </c>
    </row>
    <row r="18" spans="2:52" ht="15" customHeight="1" x14ac:dyDescent="0.2">
      <c r="B18" s="160"/>
      <c r="C18" s="148" t="s">
        <v>408</v>
      </c>
      <c r="D18" s="121" t="s">
        <v>479</v>
      </c>
      <c r="E18" s="158" t="s">
        <v>480</v>
      </c>
      <c r="F18" s="158">
        <v>43</v>
      </c>
      <c r="G18" s="173" t="s">
        <v>818</v>
      </c>
      <c r="H18" s="114">
        <f>VLOOKUP($N18,'UMC Table 4-A'!$A$10:$E$139,4,FALSE)</f>
        <v>6</v>
      </c>
      <c r="I18" s="114" t="str">
        <f>VLOOKUP($N18,'UMC Table 4-A'!$A$10:$E$139,5,FALSE)</f>
        <v>NR</v>
      </c>
      <c r="J18" s="111" t="str">
        <f t="shared" si="0"/>
        <v>-</v>
      </c>
      <c r="K18" s="116">
        <v>0</v>
      </c>
      <c r="L18" s="152">
        <f t="shared" si="1"/>
        <v>40</v>
      </c>
      <c r="M18" s="117">
        <f t="shared" si="17"/>
        <v>43</v>
      </c>
      <c r="N18" s="114" t="s">
        <v>91</v>
      </c>
      <c r="O18" s="114" t="str">
        <f>VLOOKUP($N18,'UMC Table 4-A'!$A$10:$E$139,2,FALSE)</f>
        <v>NO REQUIREMENT FOR CONTINUOUS DIRECTIONAL CONTROL</v>
      </c>
      <c r="P18" s="112">
        <f>VLOOKUP($N18,'UMC Table 4-A'!$A$10:$E$139,3,FALSE)</f>
        <v>2</v>
      </c>
      <c r="Q18" s="152">
        <f t="shared" si="2"/>
        <v>20</v>
      </c>
      <c r="R18" s="112" t="str">
        <f>VLOOKUP($N18,'UMC Table 4-A'!$A$10:$E$139,5,FALSE)</f>
        <v>NR</v>
      </c>
      <c r="S18" s="113">
        <f t="shared" si="3"/>
        <v>45</v>
      </c>
      <c r="T18" s="137">
        <f t="shared" si="4"/>
        <v>45</v>
      </c>
      <c r="U18" s="137">
        <f t="shared" si="5"/>
        <v>45</v>
      </c>
      <c r="V18" s="137">
        <f t="shared" si="6"/>
        <v>0</v>
      </c>
      <c r="W18" s="89">
        <f t="shared" si="7"/>
        <v>0</v>
      </c>
      <c r="X18" s="31" t="str">
        <f t="shared" si="8"/>
        <v>Yes</v>
      </c>
      <c r="Y18" s="32">
        <f t="shared" si="9"/>
        <v>1.0465116279069768</v>
      </c>
      <c r="Z18" s="70">
        <f t="shared" si="10"/>
        <v>44.444444444444443</v>
      </c>
      <c r="AA18" s="32">
        <f t="shared" si="11"/>
        <v>7.8488372093023262</v>
      </c>
      <c r="AD18" s="113" t="s">
        <v>411</v>
      </c>
      <c r="AE18" s="113" t="s">
        <v>203</v>
      </c>
      <c r="AF18" s="113" t="s">
        <v>209</v>
      </c>
      <c r="AG18" s="112">
        <f t="shared" si="12"/>
        <v>325</v>
      </c>
      <c r="AH18" s="112">
        <f t="shared" si="13"/>
        <v>6</v>
      </c>
      <c r="AI18" s="112">
        <f t="shared" si="18"/>
        <v>3</v>
      </c>
      <c r="AJ18" s="112">
        <f t="shared" si="19"/>
        <v>0.5</v>
      </c>
      <c r="AK18" s="112">
        <f t="shared" ref="AK18:AN18" si="33">AK17</f>
        <v>140</v>
      </c>
      <c r="AL18" s="112">
        <f t="shared" si="33"/>
        <v>100</v>
      </c>
      <c r="AM18" s="112">
        <f t="shared" si="33"/>
        <v>55</v>
      </c>
      <c r="AN18" s="112">
        <f t="shared" si="33"/>
        <v>85</v>
      </c>
      <c r="AO18" s="112">
        <f t="shared" si="21"/>
        <v>10.5</v>
      </c>
      <c r="AP18" s="115">
        <f t="shared" si="22"/>
        <v>0.52500000000000002</v>
      </c>
      <c r="AQ18" s="115">
        <f t="shared" si="16"/>
        <v>0.52500000000000002</v>
      </c>
      <c r="AR18" s="115">
        <f t="shared" si="23"/>
        <v>5</v>
      </c>
      <c r="AS18" s="115">
        <f t="shared" si="14"/>
        <v>30</v>
      </c>
      <c r="AT18" s="115" t="str">
        <f t="shared" si="24"/>
        <v>F5/M-503</v>
      </c>
      <c r="AU18" s="112" t="str">
        <f t="shared" si="25"/>
        <v>1, 2</v>
      </c>
    </row>
    <row r="19" spans="2:52" ht="15" customHeight="1" x14ac:dyDescent="0.2">
      <c r="B19" s="160"/>
      <c r="C19" s="148" t="s">
        <v>408</v>
      </c>
      <c r="D19" s="148" t="s">
        <v>733</v>
      </c>
      <c r="E19" s="169" t="s">
        <v>734</v>
      </c>
      <c r="F19" s="169">
        <v>62</v>
      </c>
      <c r="G19" s="173">
        <v>8</v>
      </c>
      <c r="H19" s="114">
        <f>VLOOKUP($N19,'UMC Table 4-A'!$A$10:$E$139,4,FALSE)</f>
        <v>10</v>
      </c>
      <c r="I19" s="114" t="str">
        <f>VLOOKUP($N19,'UMC Table 4-A'!$A$10:$E$139,5,FALSE)</f>
        <v>YES</v>
      </c>
      <c r="J19" s="111">
        <f t="shared" si="0"/>
        <v>90</v>
      </c>
      <c r="K19" s="116">
        <v>0</v>
      </c>
      <c r="L19" s="152">
        <f t="shared" si="1"/>
        <v>90</v>
      </c>
      <c r="M19" s="117"/>
      <c r="N19" s="114" t="s">
        <v>94</v>
      </c>
      <c r="O19" s="114" t="str">
        <f>VLOOKUP($N19,'UMC Table 4-A'!$A$10:$E$139,2,FALSE)</f>
        <v>NEGATIVE</v>
      </c>
      <c r="P19" s="112" t="str">
        <f>VLOOKUP($N19,'UMC Table 4-A'!$A$10:$E$139,3,FALSE)</f>
        <v>NR</v>
      </c>
      <c r="Q19" s="152">
        <f t="shared" si="2"/>
        <v>0</v>
      </c>
      <c r="R19" s="112" t="str">
        <f>VLOOKUP($N19,'UMC Table 4-A'!$A$10:$E$139,5,FALSE)</f>
        <v>YES</v>
      </c>
      <c r="S19" s="113">
        <f t="shared" si="3"/>
        <v>0</v>
      </c>
      <c r="T19" s="137">
        <f t="shared" si="4"/>
        <v>0</v>
      </c>
      <c r="U19" s="137">
        <f t="shared" si="5"/>
        <v>0</v>
      </c>
      <c r="V19" s="137">
        <f t="shared" si="6"/>
        <v>90</v>
      </c>
      <c r="W19" s="89">
        <f t="shared" si="7"/>
        <v>-90</v>
      </c>
      <c r="X19" s="31" t="str">
        <f t="shared" si="8"/>
        <v>No</v>
      </c>
      <c r="Y19" s="32">
        <f t="shared" si="9"/>
        <v>0</v>
      </c>
      <c r="Z19" s="70" t="e">
        <f t="shared" si="10"/>
        <v>#DIV/0!</v>
      </c>
      <c r="AA19" s="32">
        <f t="shared" si="11"/>
        <v>0</v>
      </c>
      <c r="AD19" s="113" t="s">
        <v>412</v>
      </c>
      <c r="AE19" s="113" t="s">
        <v>203</v>
      </c>
      <c r="AF19" s="113" t="s">
        <v>209</v>
      </c>
      <c r="AG19" s="112">
        <f t="shared" si="12"/>
        <v>330</v>
      </c>
      <c r="AH19" s="112">
        <f t="shared" si="13"/>
        <v>6</v>
      </c>
      <c r="AI19" s="112">
        <f t="shared" si="18"/>
        <v>3</v>
      </c>
      <c r="AJ19" s="112">
        <f t="shared" si="19"/>
        <v>0.5</v>
      </c>
      <c r="AK19" s="112">
        <f t="shared" ref="AK19:AN19" si="34">AK18</f>
        <v>140</v>
      </c>
      <c r="AL19" s="112">
        <f t="shared" si="34"/>
        <v>100</v>
      </c>
      <c r="AM19" s="112">
        <f t="shared" si="34"/>
        <v>55</v>
      </c>
      <c r="AN19" s="112">
        <f t="shared" si="34"/>
        <v>85</v>
      </c>
      <c r="AO19" s="112">
        <f t="shared" si="21"/>
        <v>10.700000000000001</v>
      </c>
      <c r="AP19" s="115">
        <f t="shared" si="22"/>
        <v>0.53500000000000014</v>
      </c>
      <c r="AQ19" s="115">
        <f t="shared" si="16"/>
        <v>0.53500000000000014</v>
      </c>
      <c r="AR19" s="115">
        <f t="shared" si="23"/>
        <v>5</v>
      </c>
      <c r="AS19" s="115">
        <f t="shared" si="14"/>
        <v>30</v>
      </c>
      <c r="AT19" s="115" t="str">
        <f t="shared" si="24"/>
        <v>F5/M-503</v>
      </c>
      <c r="AU19" s="112" t="str">
        <f t="shared" si="25"/>
        <v>1, 2</v>
      </c>
    </row>
    <row r="20" spans="2:52" ht="15" customHeight="1" x14ac:dyDescent="0.2">
      <c r="B20" s="160"/>
      <c r="C20" s="148" t="s">
        <v>409</v>
      </c>
      <c r="D20" s="121" t="s">
        <v>483</v>
      </c>
      <c r="E20" s="158" t="s">
        <v>484</v>
      </c>
      <c r="F20" s="158">
        <v>254</v>
      </c>
      <c r="G20" s="173">
        <v>9</v>
      </c>
      <c r="H20" s="114">
        <f>VLOOKUP($N20,'UMC Table 4-A'!$A$10:$E$139,4,FALSE)</f>
        <v>6</v>
      </c>
      <c r="I20" s="114" t="str">
        <f>VLOOKUP($N20,'UMC Table 4-A'!$A$10:$E$139,5,FALSE)</f>
        <v>NR</v>
      </c>
      <c r="J20" s="111" t="str">
        <f t="shared" si="0"/>
        <v>-</v>
      </c>
      <c r="K20" s="116">
        <v>0</v>
      </c>
      <c r="L20" s="152">
        <f t="shared" si="1"/>
        <v>230</v>
      </c>
      <c r="M20" s="117">
        <f>F20</f>
        <v>254</v>
      </c>
      <c r="N20" s="114" t="s">
        <v>91</v>
      </c>
      <c r="O20" s="114" t="str">
        <f>VLOOKUP($N20,'UMC Table 4-A'!$A$10:$E$139,2,FALSE)</f>
        <v>NO REQUIREMENT FOR CONTINUOUS DIRECTIONAL CONTROL</v>
      </c>
      <c r="P20" s="112">
        <f>VLOOKUP($N20,'UMC Table 4-A'!$A$10:$E$139,3,FALSE)</f>
        <v>2</v>
      </c>
      <c r="Q20" s="152">
        <f t="shared" si="2"/>
        <v>80</v>
      </c>
      <c r="R20" s="112" t="str">
        <f>VLOOKUP($N20,'UMC Table 4-A'!$A$10:$E$139,5,FALSE)</f>
        <v>NR</v>
      </c>
      <c r="S20" s="113">
        <f t="shared" si="3"/>
        <v>255</v>
      </c>
      <c r="T20" s="137">
        <f t="shared" si="4"/>
        <v>255</v>
      </c>
      <c r="U20" s="137">
        <f t="shared" si="5"/>
        <v>255</v>
      </c>
      <c r="V20" s="137">
        <f t="shared" si="6"/>
        <v>0</v>
      </c>
      <c r="W20" s="89">
        <f t="shared" si="7"/>
        <v>0</v>
      </c>
      <c r="X20" s="31" t="str">
        <f t="shared" si="8"/>
        <v>Yes</v>
      </c>
      <c r="Y20" s="32">
        <f t="shared" si="9"/>
        <v>1.0039370078740157</v>
      </c>
      <c r="Z20" s="70">
        <f t="shared" si="10"/>
        <v>31.372549019607842</v>
      </c>
      <c r="AA20" s="32">
        <f t="shared" si="11"/>
        <v>6.6929133858267722</v>
      </c>
      <c r="AD20" s="113" t="s">
        <v>413</v>
      </c>
      <c r="AE20" s="113" t="s">
        <v>203</v>
      </c>
      <c r="AF20" s="113" t="s">
        <v>209</v>
      </c>
      <c r="AG20" s="112">
        <f t="shared" si="12"/>
        <v>195</v>
      </c>
      <c r="AH20" s="112">
        <f t="shared" si="13"/>
        <v>6</v>
      </c>
      <c r="AI20" s="112">
        <f t="shared" si="18"/>
        <v>3</v>
      </c>
      <c r="AJ20" s="112">
        <f t="shared" si="19"/>
        <v>0.5</v>
      </c>
      <c r="AK20" s="112">
        <f t="shared" ref="AK20:AN20" si="35">AK19</f>
        <v>140</v>
      </c>
      <c r="AL20" s="112">
        <f t="shared" si="35"/>
        <v>100</v>
      </c>
      <c r="AM20" s="112">
        <f t="shared" si="35"/>
        <v>55</v>
      </c>
      <c r="AN20" s="112">
        <f t="shared" si="35"/>
        <v>85</v>
      </c>
      <c r="AO20" s="112">
        <f t="shared" si="21"/>
        <v>6.3000000000000007</v>
      </c>
      <c r="AP20" s="115">
        <f t="shared" si="22"/>
        <v>0.31500000000000006</v>
      </c>
      <c r="AQ20" s="115">
        <f t="shared" si="16"/>
        <v>0.5</v>
      </c>
      <c r="AR20" s="115">
        <f t="shared" si="23"/>
        <v>5</v>
      </c>
      <c r="AS20" s="115">
        <f t="shared" si="14"/>
        <v>30</v>
      </c>
      <c r="AT20" s="115" t="str">
        <f t="shared" si="24"/>
        <v>F5/M-503</v>
      </c>
      <c r="AU20" s="112" t="str">
        <f t="shared" si="25"/>
        <v>1, 2</v>
      </c>
    </row>
    <row r="21" spans="2:52" ht="15" customHeight="1" x14ac:dyDescent="0.2">
      <c r="B21" s="160"/>
      <c r="C21" s="148" t="s">
        <v>409</v>
      </c>
      <c r="D21" s="121" t="s">
        <v>479</v>
      </c>
      <c r="E21" s="158" t="s">
        <v>481</v>
      </c>
      <c r="F21" s="158">
        <v>42</v>
      </c>
      <c r="G21" s="173" t="s">
        <v>818</v>
      </c>
      <c r="H21" s="114">
        <f>VLOOKUP($N21,'UMC Table 4-A'!$A$10:$E$139,4,FALSE)</f>
        <v>6</v>
      </c>
      <c r="I21" s="114" t="str">
        <f>VLOOKUP($N21,'UMC Table 4-A'!$A$10:$E$139,5,FALSE)</f>
        <v>NR</v>
      </c>
      <c r="J21" s="111" t="str">
        <f t="shared" si="0"/>
        <v>-</v>
      </c>
      <c r="K21" s="116">
        <v>0</v>
      </c>
      <c r="L21" s="152">
        <f t="shared" si="1"/>
        <v>40</v>
      </c>
      <c r="M21" s="117">
        <f>F21</f>
        <v>42</v>
      </c>
      <c r="N21" s="114" t="s">
        <v>91</v>
      </c>
      <c r="O21" s="114" t="str">
        <f>VLOOKUP($N21,'UMC Table 4-A'!$A$10:$E$139,2,FALSE)</f>
        <v>NO REQUIREMENT FOR CONTINUOUS DIRECTIONAL CONTROL</v>
      </c>
      <c r="P21" s="112">
        <f>VLOOKUP($N21,'UMC Table 4-A'!$A$10:$E$139,3,FALSE)</f>
        <v>2</v>
      </c>
      <c r="Q21" s="152">
        <f t="shared" si="2"/>
        <v>20</v>
      </c>
      <c r="R21" s="112" t="str">
        <f>VLOOKUP($N21,'UMC Table 4-A'!$A$10:$E$139,5,FALSE)</f>
        <v>NR</v>
      </c>
      <c r="S21" s="113">
        <f t="shared" si="3"/>
        <v>45</v>
      </c>
      <c r="T21" s="137">
        <f t="shared" si="4"/>
        <v>45</v>
      </c>
      <c r="U21" s="137">
        <f t="shared" si="5"/>
        <v>45</v>
      </c>
      <c r="V21" s="137">
        <f t="shared" si="6"/>
        <v>0</v>
      </c>
      <c r="W21" s="89">
        <f t="shared" si="7"/>
        <v>0</v>
      </c>
      <c r="X21" s="31" t="str">
        <f t="shared" si="8"/>
        <v>Yes</v>
      </c>
      <c r="Y21" s="32">
        <f t="shared" si="9"/>
        <v>1.0714285714285714</v>
      </c>
      <c r="Z21" s="70">
        <f t="shared" si="10"/>
        <v>44.444444444444443</v>
      </c>
      <c r="AA21" s="32">
        <f t="shared" si="11"/>
        <v>8.0357142857142847</v>
      </c>
      <c r="AD21" s="113" t="s">
        <v>414</v>
      </c>
      <c r="AE21" s="113" t="s">
        <v>203</v>
      </c>
      <c r="AF21" s="113" t="s">
        <v>209</v>
      </c>
      <c r="AG21" s="112">
        <f t="shared" si="12"/>
        <v>465</v>
      </c>
      <c r="AH21" s="112">
        <f t="shared" si="13"/>
        <v>8</v>
      </c>
      <c r="AI21" s="112">
        <f t="shared" si="18"/>
        <v>4</v>
      </c>
      <c r="AJ21" s="112">
        <f t="shared" si="19"/>
        <v>0.5</v>
      </c>
      <c r="AK21" s="112">
        <f t="shared" ref="AK21:AN21" si="36">AK20</f>
        <v>140</v>
      </c>
      <c r="AL21" s="112">
        <f t="shared" si="36"/>
        <v>100</v>
      </c>
      <c r="AM21" s="112">
        <f t="shared" si="36"/>
        <v>55</v>
      </c>
      <c r="AN21" s="112">
        <f t="shared" si="36"/>
        <v>85</v>
      </c>
      <c r="AO21" s="112">
        <f t="shared" si="21"/>
        <v>15.100000000000001</v>
      </c>
      <c r="AP21" s="115">
        <f t="shared" si="22"/>
        <v>0.75500000000000012</v>
      </c>
      <c r="AQ21" s="115">
        <f t="shared" si="16"/>
        <v>0.75500000000000012</v>
      </c>
      <c r="AR21" s="115">
        <f t="shared" si="23"/>
        <v>5</v>
      </c>
      <c r="AS21" s="115">
        <f t="shared" si="14"/>
        <v>30</v>
      </c>
      <c r="AT21" s="115" t="s">
        <v>823</v>
      </c>
      <c r="AU21" s="112" t="str">
        <f t="shared" si="25"/>
        <v>1, 2</v>
      </c>
    </row>
    <row r="22" spans="2:52" ht="15" customHeight="1" x14ac:dyDescent="0.2">
      <c r="B22" s="160"/>
      <c r="C22" s="148" t="s">
        <v>409</v>
      </c>
      <c r="D22" s="121" t="s">
        <v>479</v>
      </c>
      <c r="E22" s="158" t="s">
        <v>482</v>
      </c>
      <c r="F22" s="158">
        <v>42</v>
      </c>
      <c r="G22" s="173" t="s">
        <v>818</v>
      </c>
      <c r="H22" s="114">
        <f>VLOOKUP($N22,'UMC Table 4-A'!$A$10:$E$139,4,FALSE)</f>
        <v>6</v>
      </c>
      <c r="I22" s="114" t="str">
        <f>VLOOKUP($N22,'UMC Table 4-A'!$A$10:$E$139,5,FALSE)</f>
        <v>NR</v>
      </c>
      <c r="J22" s="111" t="str">
        <f t="shared" si="0"/>
        <v>-</v>
      </c>
      <c r="K22" s="116">
        <v>0</v>
      </c>
      <c r="L22" s="152">
        <f t="shared" si="1"/>
        <v>40</v>
      </c>
      <c r="M22" s="117">
        <f>F22</f>
        <v>42</v>
      </c>
      <c r="N22" s="114" t="s">
        <v>91</v>
      </c>
      <c r="O22" s="114" t="str">
        <f>VLOOKUP($N22,'UMC Table 4-A'!$A$10:$E$139,2,FALSE)</f>
        <v>NO REQUIREMENT FOR CONTINUOUS DIRECTIONAL CONTROL</v>
      </c>
      <c r="P22" s="112">
        <f>VLOOKUP($N22,'UMC Table 4-A'!$A$10:$E$139,3,FALSE)</f>
        <v>2</v>
      </c>
      <c r="Q22" s="152">
        <f t="shared" si="2"/>
        <v>20</v>
      </c>
      <c r="R22" s="112" t="str">
        <f>VLOOKUP($N22,'UMC Table 4-A'!$A$10:$E$139,5,FALSE)</f>
        <v>NR</v>
      </c>
      <c r="S22" s="113">
        <f t="shared" si="3"/>
        <v>45</v>
      </c>
      <c r="T22" s="137">
        <f t="shared" si="4"/>
        <v>45</v>
      </c>
      <c r="U22" s="137">
        <f t="shared" si="5"/>
        <v>45</v>
      </c>
      <c r="V22" s="137">
        <f t="shared" si="6"/>
        <v>0</v>
      </c>
      <c r="W22" s="89">
        <f t="shared" si="7"/>
        <v>0</v>
      </c>
      <c r="X22" s="31" t="str">
        <f t="shared" si="8"/>
        <v>Yes</v>
      </c>
      <c r="Y22" s="32">
        <f t="shared" si="9"/>
        <v>1.0714285714285714</v>
      </c>
      <c r="Z22" s="70">
        <f t="shared" si="10"/>
        <v>44.444444444444443</v>
      </c>
      <c r="AA22" s="32">
        <f t="shared" si="11"/>
        <v>8.0357142857142847</v>
      </c>
      <c r="AD22" s="113" t="s">
        <v>415</v>
      </c>
      <c r="AE22" s="113" t="s">
        <v>203</v>
      </c>
      <c r="AF22" s="113" t="s">
        <v>209</v>
      </c>
      <c r="AG22" s="112">
        <f t="shared" si="12"/>
        <v>165</v>
      </c>
      <c r="AH22" s="112">
        <f t="shared" si="13"/>
        <v>6</v>
      </c>
      <c r="AI22" s="112">
        <f t="shared" si="18"/>
        <v>3</v>
      </c>
      <c r="AJ22" s="112">
        <f t="shared" si="19"/>
        <v>0.5</v>
      </c>
      <c r="AK22" s="112">
        <f t="shared" ref="AK22:AN22" si="37">AK21</f>
        <v>140</v>
      </c>
      <c r="AL22" s="112">
        <f t="shared" si="37"/>
        <v>100</v>
      </c>
      <c r="AM22" s="112">
        <f t="shared" si="37"/>
        <v>55</v>
      </c>
      <c r="AN22" s="112">
        <f t="shared" si="37"/>
        <v>85</v>
      </c>
      <c r="AO22" s="112">
        <f t="shared" si="21"/>
        <v>5.3000000000000007</v>
      </c>
      <c r="AP22" s="115">
        <f t="shared" si="22"/>
        <v>0.26500000000000007</v>
      </c>
      <c r="AQ22" s="115">
        <f t="shared" si="16"/>
        <v>0.5</v>
      </c>
      <c r="AR22" s="115">
        <f t="shared" si="23"/>
        <v>5</v>
      </c>
      <c r="AS22" s="115">
        <f t="shared" si="14"/>
        <v>30</v>
      </c>
      <c r="AT22" s="115" t="str">
        <f t="shared" si="24"/>
        <v>F5/M-503</v>
      </c>
      <c r="AU22" s="112" t="str">
        <f t="shared" si="25"/>
        <v>1, 2</v>
      </c>
    </row>
    <row r="23" spans="2:52" ht="15" customHeight="1" x14ac:dyDescent="0.2">
      <c r="B23" s="160"/>
      <c r="C23" s="121" t="s">
        <v>410</v>
      </c>
      <c r="D23" s="121" t="s">
        <v>461</v>
      </c>
      <c r="E23" s="158" t="s">
        <v>485</v>
      </c>
      <c r="F23" s="158">
        <v>660</v>
      </c>
      <c r="G23" s="173">
        <v>9</v>
      </c>
      <c r="H23" s="114">
        <f>VLOOKUP($N23,'UMC Table 4-A'!$A$10:$E$139,4,FALSE)</f>
        <v>2</v>
      </c>
      <c r="I23" s="114" t="str">
        <f>VLOOKUP($N23,'UMC Table 4-A'!$A$10:$E$139,5,FALSE)</f>
        <v>NR</v>
      </c>
      <c r="J23" s="111" t="str">
        <f t="shared" si="0"/>
        <v>-</v>
      </c>
      <c r="K23" s="116">
        <v>0</v>
      </c>
      <c r="L23" s="152">
        <f t="shared" si="1"/>
        <v>200</v>
      </c>
      <c r="M23" s="117">
        <f>F23</f>
        <v>660</v>
      </c>
      <c r="N23" s="114" t="s">
        <v>115</v>
      </c>
      <c r="O23" s="114" t="str">
        <f>VLOOKUP($N23,'UMC Table 4-A'!$A$10:$E$139,2,FALSE)</f>
        <v>NO REQUIREMENT FOR CONTINUOUS DIRECTIONAL CONTROL</v>
      </c>
      <c r="P23" s="112" t="str">
        <f>VLOOKUP($N23,'UMC Table 4-A'!$A$10:$E$139,3,FALSE)</f>
        <v>NR</v>
      </c>
      <c r="Q23" s="152">
        <f t="shared" si="2"/>
        <v>0</v>
      </c>
      <c r="R23" s="112" t="str">
        <f>VLOOKUP($N23,'UMC Table 4-A'!$A$10:$E$139,5,FALSE)</f>
        <v>NR</v>
      </c>
      <c r="S23" s="113">
        <f t="shared" si="3"/>
        <v>660</v>
      </c>
      <c r="T23" s="137">
        <f t="shared" si="4"/>
        <v>660</v>
      </c>
      <c r="U23" s="137">
        <f t="shared" si="5"/>
        <v>660</v>
      </c>
      <c r="V23" s="137">
        <f t="shared" si="6"/>
        <v>0</v>
      </c>
      <c r="W23" s="89">
        <f t="shared" si="7"/>
        <v>0</v>
      </c>
      <c r="X23" s="31" t="str">
        <f t="shared" si="8"/>
        <v>Yes</v>
      </c>
      <c r="Y23" s="32">
        <f t="shared" si="9"/>
        <v>1</v>
      </c>
      <c r="Z23" s="70">
        <f t="shared" si="10"/>
        <v>0</v>
      </c>
      <c r="AA23" s="32">
        <f t="shared" si="11"/>
        <v>6.6666666666666661</v>
      </c>
      <c r="AD23" s="113" t="s">
        <v>416</v>
      </c>
      <c r="AE23" s="113" t="s">
        <v>203</v>
      </c>
      <c r="AF23" s="113" t="s">
        <v>209</v>
      </c>
      <c r="AG23" s="112">
        <f t="shared" si="12"/>
        <v>135</v>
      </c>
      <c r="AH23" s="112">
        <f t="shared" si="13"/>
        <v>6</v>
      </c>
      <c r="AI23" s="112">
        <f t="shared" si="18"/>
        <v>3</v>
      </c>
      <c r="AJ23" s="112">
        <f t="shared" si="19"/>
        <v>0.5</v>
      </c>
      <c r="AK23" s="112">
        <f t="shared" ref="AK23:AN23" si="38">AK22</f>
        <v>140</v>
      </c>
      <c r="AL23" s="112">
        <f t="shared" si="38"/>
        <v>100</v>
      </c>
      <c r="AM23" s="112">
        <f t="shared" si="38"/>
        <v>55</v>
      </c>
      <c r="AN23" s="112">
        <f t="shared" si="38"/>
        <v>85</v>
      </c>
      <c r="AO23" s="112">
        <f t="shared" si="21"/>
        <v>4.4000000000000004</v>
      </c>
      <c r="AP23" s="115">
        <f t="shared" si="22"/>
        <v>0.22</v>
      </c>
      <c r="AQ23" s="115">
        <f t="shared" si="16"/>
        <v>0.5</v>
      </c>
      <c r="AR23" s="115">
        <f t="shared" si="23"/>
        <v>5</v>
      </c>
      <c r="AS23" s="115">
        <f t="shared" si="14"/>
        <v>30</v>
      </c>
      <c r="AT23" s="115" t="str">
        <f t="shared" si="24"/>
        <v>F5/M-503</v>
      </c>
      <c r="AU23" s="112" t="str">
        <f t="shared" si="25"/>
        <v>1, 2</v>
      </c>
    </row>
    <row r="24" spans="2:52" ht="15" customHeight="1" x14ac:dyDescent="0.2">
      <c r="B24" s="160"/>
      <c r="C24" s="148" t="s">
        <v>410</v>
      </c>
      <c r="D24" s="148" t="s">
        <v>737</v>
      </c>
      <c r="E24" s="169" t="s">
        <v>738</v>
      </c>
      <c r="F24" s="169">
        <v>65</v>
      </c>
      <c r="G24" s="173">
        <v>8</v>
      </c>
      <c r="H24" s="114">
        <f>VLOOKUP($N24,'UMC Table 4-A'!$A$10:$E$139,4,FALSE)</f>
        <v>6</v>
      </c>
      <c r="I24" s="114" t="str">
        <f>VLOOKUP($N24,'UMC Table 4-A'!$A$10:$E$139,5,FALSE)</f>
        <v>NR</v>
      </c>
      <c r="J24" s="111" t="str">
        <f t="shared" si="0"/>
        <v>-</v>
      </c>
      <c r="K24" s="116">
        <v>0</v>
      </c>
      <c r="L24" s="152">
        <f t="shared" si="1"/>
        <v>60</v>
      </c>
      <c r="M24" s="117"/>
      <c r="N24" s="114" t="s">
        <v>91</v>
      </c>
      <c r="O24" s="114" t="str">
        <f>VLOOKUP($N24,'UMC Table 4-A'!$A$10:$E$139,2,FALSE)</f>
        <v>NO REQUIREMENT FOR CONTINUOUS DIRECTIONAL CONTROL</v>
      </c>
      <c r="P24" s="112">
        <f>VLOOKUP($N24,'UMC Table 4-A'!$A$10:$E$139,3,FALSE)</f>
        <v>2</v>
      </c>
      <c r="Q24" s="152">
        <f t="shared" si="2"/>
        <v>20</v>
      </c>
      <c r="R24" s="112" t="str">
        <f>VLOOKUP($N24,'UMC Table 4-A'!$A$10:$E$139,5,FALSE)</f>
        <v>NR</v>
      </c>
      <c r="S24" s="113">
        <f t="shared" si="3"/>
        <v>60</v>
      </c>
      <c r="T24" s="137">
        <f t="shared" si="4"/>
        <v>60</v>
      </c>
      <c r="U24" s="137">
        <f t="shared" si="5"/>
        <v>60</v>
      </c>
      <c r="V24" s="137">
        <f t="shared" si="6"/>
        <v>0</v>
      </c>
      <c r="W24" s="89">
        <f t="shared" si="7"/>
        <v>0</v>
      </c>
      <c r="X24" s="31" t="str">
        <f t="shared" si="8"/>
        <v>Yes</v>
      </c>
      <c r="Y24" s="32">
        <f t="shared" si="9"/>
        <v>0.92307692307692313</v>
      </c>
      <c r="Z24" s="70">
        <f t="shared" si="10"/>
        <v>33.333333333333329</v>
      </c>
      <c r="AA24" s="32">
        <f t="shared" si="11"/>
        <v>6.9230769230769234</v>
      </c>
      <c r="AD24" s="113" t="s">
        <v>417</v>
      </c>
      <c r="AE24" s="113" t="s">
        <v>203</v>
      </c>
      <c r="AF24" s="113" t="s">
        <v>209</v>
      </c>
      <c r="AG24" s="112">
        <f t="shared" si="12"/>
        <v>290</v>
      </c>
      <c r="AH24" s="112">
        <f t="shared" si="13"/>
        <v>6</v>
      </c>
      <c r="AI24" s="112">
        <f t="shared" si="18"/>
        <v>3</v>
      </c>
      <c r="AJ24" s="112">
        <f t="shared" si="19"/>
        <v>0.5</v>
      </c>
      <c r="AK24" s="112">
        <f t="shared" ref="AK24:AN24" si="39">AK23</f>
        <v>140</v>
      </c>
      <c r="AL24" s="112">
        <f t="shared" si="39"/>
        <v>100</v>
      </c>
      <c r="AM24" s="112">
        <f t="shared" si="39"/>
        <v>55</v>
      </c>
      <c r="AN24" s="112">
        <f t="shared" si="39"/>
        <v>85</v>
      </c>
      <c r="AO24" s="112">
        <f t="shared" si="21"/>
        <v>9.4</v>
      </c>
      <c r="AP24" s="115">
        <f t="shared" si="22"/>
        <v>0.47</v>
      </c>
      <c r="AQ24" s="115">
        <f t="shared" si="16"/>
        <v>0.5</v>
      </c>
      <c r="AR24" s="115">
        <f t="shared" si="23"/>
        <v>5</v>
      </c>
      <c r="AS24" s="115">
        <f t="shared" si="14"/>
        <v>30</v>
      </c>
      <c r="AT24" s="115" t="str">
        <f>AT23</f>
        <v>F5/M-503</v>
      </c>
      <c r="AU24" s="112" t="str">
        <f t="shared" si="25"/>
        <v>1, 2</v>
      </c>
    </row>
    <row r="25" spans="2:52" ht="15" customHeight="1" x14ac:dyDescent="0.2">
      <c r="B25" s="160"/>
      <c r="C25" s="148" t="s">
        <v>410</v>
      </c>
      <c r="D25" s="148" t="s">
        <v>735</v>
      </c>
      <c r="E25" s="169" t="s">
        <v>736</v>
      </c>
      <c r="F25" s="169">
        <v>53</v>
      </c>
      <c r="G25" s="173">
        <v>8</v>
      </c>
      <c r="H25" s="114">
        <f>VLOOKUP($N25,'UMC Table 4-A'!$A$10:$E$139,4,FALSE)</f>
        <v>10</v>
      </c>
      <c r="I25" s="114" t="str">
        <f>VLOOKUP($N25,'UMC Table 4-A'!$A$10:$E$139,5,FALSE)</f>
        <v>YES</v>
      </c>
      <c r="J25" s="111">
        <f t="shared" si="0"/>
        <v>80</v>
      </c>
      <c r="K25" s="116">
        <v>0</v>
      </c>
      <c r="L25" s="152">
        <f t="shared" si="1"/>
        <v>80</v>
      </c>
      <c r="M25" s="117"/>
      <c r="N25" s="114" t="s">
        <v>94</v>
      </c>
      <c r="O25" s="114" t="str">
        <f>VLOOKUP($N25,'UMC Table 4-A'!$A$10:$E$139,2,FALSE)</f>
        <v>NEGATIVE</v>
      </c>
      <c r="P25" s="112" t="str">
        <f>VLOOKUP($N25,'UMC Table 4-A'!$A$10:$E$139,3,FALSE)</f>
        <v>NR</v>
      </c>
      <c r="Q25" s="152">
        <f t="shared" si="2"/>
        <v>0</v>
      </c>
      <c r="R25" s="112" t="str">
        <f>VLOOKUP($N25,'UMC Table 4-A'!$A$10:$E$139,5,FALSE)</f>
        <v>YES</v>
      </c>
      <c r="S25" s="113">
        <f t="shared" si="3"/>
        <v>0</v>
      </c>
      <c r="T25" s="137">
        <f t="shared" si="4"/>
        <v>0</v>
      </c>
      <c r="U25" s="137">
        <f t="shared" si="5"/>
        <v>0</v>
      </c>
      <c r="V25" s="137">
        <f t="shared" si="6"/>
        <v>80</v>
      </c>
      <c r="W25" s="89">
        <f t="shared" si="7"/>
        <v>-80</v>
      </c>
      <c r="X25" s="31" t="str">
        <f t="shared" si="8"/>
        <v>No</v>
      </c>
      <c r="Y25" s="32">
        <f t="shared" si="9"/>
        <v>0</v>
      </c>
      <c r="Z25" s="70" t="e">
        <f t="shared" si="10"/>
        <v>#DIV/0!</v>
      </c>
      <c r="AA25" s="32">
        <f t="shared" si="11"/>
        <v>0</v>
      </c>
      <c r="AD25" s="113" t="s">
        <v>418</v>
      </c>
      <c r="AE25" s="113" t="s">
        <v>203</v>
      </c>
      <c r="AF25" s="113" t="s">
        <v>209</v>
      </c>
      <c r="AG25" s="112">
        <f t="shared" si="12"/>
        <v>390</v>
      </c>
      <c r="AH25" s="112">
        <f t="shared" si="13"/>
        <v>6</v>
      </c>
      <c r="AI25" s="112">
        <f t="shared" si="18"/>
        <v>3</v>
      </c>
      <c r="AJ25" s="112">
        <f t="shared" si="19"/>
        <v>0.5</v>
      </c>
      <c r="AK25" s="112">
        <f t="shared" ref="AK25:AN25" si="40">AK24</f>
        <v>140</v>
      </c>
      <c r="AL25" s="112">
        <f t="shared" si="40"/>
        <v>100</v>
      </c>
      <c r="AM25" s="112">
        <f t="shared" si="40"/>
        <v>55</v>
      </c>
      <c r="AN25" s="112">
        <f t="shared" si="40"/>
        <v>85</v>
      </c>
      <c r="AO25" s="112">
        <f t="shared" si="21"/>
        <v>12.600000000000001</v>
      </c>
      <c r="AP25" s="115">
        <f t="shared" si="22"/>
        <v>0.63000000000000012</v>
      </c>
      <c r="AQ25" s="115">
        <f t="shared" si="16"/>
        <v>0.63000000000000012</v>
      </c>
      <c r="AR25" s="115">
        <f t="shared" si="23"/>
        <v>5</v>
      </c>
      <c r="AS25" s="115">
        <f t="shared" si="14"/>
        <v>30</v>
      </c>
      <c r="AT25" s="115" t="str">
        <f t="shared" si="24"/>
        <v>F5/M-503</v>
      </c>
      <c r="AU25" s="112" t="str">
        <f t="shared" si="25"/>
        <v>1, 2</v>
      </c>
    </row>
    <row r="26" spans="2:52" ht="15" customHeight="1" x14ac:dyDescent="0.2">
      <c r="B26" s="160"/>
      <c r="C26" s="121" t="s">
        <v>411</v>
      </c>
      <c r="D26" s="121" t="s">
        <v>486</v>
      </c>
      <c r="E26" s="158" t="s">
        <v>487</v>
      </c>
      <c r="F26" s="158">
        <v>321</v>
      </c>
      <c r="G26" s="173">
        <v>9</v>
      </c>
      <c r="H26" s="114">
        <f>VLOOKUP($N26,'UMC Table 4-A'!$A$10:$E$139,4,FALSE)</f>
        <v>6</v>
      </c>
      <c r="I26" s="114" t="str">
        <f>VLOOKUP($N26,'UMC Table 4-A'!$A$10:$E$139,5,FALSE)</f>
        <v>NR</v>
      </c>
      <c r="J26" s="111" t="str">
        <f t="shared" si="0"/>
        <v>-</v>
      </c>
      <c r="K26" s="116">
        <v>0</v>
      </c>
      <c r="L26" s="152">
        <f t="shared" si="1"/>
        <v>290</v>
      </c>
      <c r="M26" s="117">
        <f t="shared" ref="M26:M53" si="41">F26</f>
        <v>321</v>
      </c>
      <c r="N26" s="114" t="s">
        <v>91</v>
      </c>
      <c r="O26" s="114" t="str">
        <f>VLOOKUP($N26,'UMC Table 4-A'!$A$10:$E$139,2,FALSE)</f>
        <v>NO REQUIREMENT FOR CONTINUOUS DIRECTIONAL CONTROL</v>
      </c>
      <c r="P26" s="112">
        <f>VLOOKUP($N26,'UMC Table 4-A'!$A$10:$E$139,3,FALSE)</f>
        <v>2</v>
      </c>
      <c r="Q26" s="152">
        <f t="shared" si="2"/>
        <v>100</v>
      </c>
      <c r="R26" s="112" t="str">
        <f>VLOOKUP($N26,'UMC Table 4-A'!$A$10:$E$139,5,FALSE)</f>
        <v>NR</v>
      </c>
      <c r="S26" s="113">
        <f t="shared" si="3"/>
        <v>325</v>
      </c>
      <c r="T26" s="137">
        <f t="shared" si="4"/>
        <v>325</v>
      </c>
      <c r="U26" s="137">
        <f t="shared" si="5"/>
        <v>325</v>
      </c>
      <c r="V26" s="137">
        <f t="shared" si="6"/>
        <v>0</v>
      </c>
      <c r="W26" s="89">
        <f t="shared" si="7"/>
        <v>0</v>
      </c>
      <c r="X26" s="31" t="str">
        <f t="shared" si="8"/>
        <v>Yes</v>
      </c>
      <c r="Y26" s="32">
        <f t="shared" si="9"/>
        <v>1.0124610591900312</v>
      </c>
      <c r="Z26" s="70">
        <f t="shared" si="10"/>
        <v>30.76923076923077</v>
      </c>
      <c r="AA26" s="32">
        <f t="shared" si="11"/>
        <v>6.7497403946002077</v>
      </c>
      <c r="AD26" s="113" t="s">
        <v>419</v>
      </c>
      <c r="AE26" s="113" t="s">
        <v>203</v>
      </c>
      <c r="AF26" s="113" t="s">
        <v>209</v>
      </c>
      <c r="AG26" s="112">
        <f t="shared" si="12"/>
        <v>145</v>
      </c>
      <c r="AH26" s="112">
        <f t="shared" si="13"/>
        <v>6</v>
      </c>
      <c r="AI26" s="112">
        <f t="shared" si="18"/>
        <v>3</v>
      </c>
      <c r="AJ26" s="112">
        <f t="shared" si="19"/>
        <v>0.5</v>
      </c>
      <c r="AK26" s="112">
        <f t="shared" ref="AK26:AN26" si="42">AK25</f>
        <v>140</v>
      </c>
      <c r="AL26" s="112">
        <f t="shared" si="42"/>
        <v>100</v>
      </c>
      <c r="AM26" s="112">
        <f t="shared" si="42"/>
        <v>55</v>
      </c>
      <c r="AN26" s="112">
        <f t="shared" si="42"/>
        <v>85</v>
      </c>
      <c r="AO26" s="112">
        <f t="shared" si="21"/>
        <v>4.7</v>
      </c>
      <c r="AP26" s="115">
        <f t="shared" si="22"/>
        <v>0.23499999999999999</v>
      </c>
      <c r="AQ26" s="115">
        <f t="shared" si="16"/>
        <v>0.5</v>
      </c>
      <c r="AR26" s="115">
        <f t="shared" si="23"/>
        <v>5</v>
      </c>
      <c r="AS26" s="115">
        <f t="shared" si="14"/>
        <v>30</v>
      </c>
      <c r="AT26" s="115" t="str">
        <f t="shared" si="24"/>
        <v>F5/M-503</v>
      </c>
      <c r="AU26" s="112" t="str">
        <f t="shared" si="25"/>
        <v>1, 2</v>
      </c>
    </row>
    <row r="27" spans="2:52" ht="15" customHeight="1" x14ac:dyDescent="0.2">
      <c r="B27" s="160"/>
      <c r="C27" s="121" t="s">
        <v>412</v>
      </c>
      <c r="D27" s="121" t="s">
        <v>488</v>
      </c>
      <c r="E27" s="158" t="s">
        <v>489</v>
      </c>
      <c r="F27" s="158">
        <v>327</v>
      </c>
      <c r="G27" s="173">
        <v>9</v>
      </c>
      <c r="H27" s="114">
        <f>VLOOKUP($N27,'UMC Table 4-A'!$A$10:$E$139,4,FALSE)</f>
        <v>6</v>
      </c>
      <c r="I27" s="114" t="str">
        <f>VLOOKUP($N27,'UMC Table 4-A'!$A$10:$E$139,5,FALSE)</f>
        <v>NR</v>
      </c>
      <c r="J27" s="111" t="str">
        <f t="shared" si="0"/>
        <v>-</v>
      </c>
      <c r="K27" s="116">
        <v>0</v>
      </c>
      <c r="L27" s="152">
        <f t="shared" si="1"/>
        <v>300</v>
      </c>
      <c r="M27" s="117">
        <f t="shared" si="41"/>
        <v>327</v>
      </c>
      <c r="N27" s="114" t="s">
        <v>91</v>
      </c>
      <c r="O27" s="114" t="str">
        <f>VLOOKUP($N27,'UMC Table 4-A'!$A$10:$E$139,2,FALSE)</f>
        <v>NO REQUIREMENT FOR CONTINUOUS DIRECTIONAL CONTROL</v>
      </c>
      <c r="P27" s="112">
        <f>VLOOKUP($N27,'UMC Table 4-A'!$A$10:$E$139,3,FALSE)</f>
        <v>2</v>
      </c>
      <c r="Q27" s="152">
        <f t="shared" si="2"/>
        <v>100</v>
      </c>
      <c r="R27" s="112" t="str">
        <f>VLOOKUP($N27,'UMC Table 4-A'!$A$10:$E$139,5,FALSE)</f>
        <v>NR</v>
      </c>
      <c r="S27" s="113">
        <f t="shared" si="3"/>
        <v>330</v>
      </c>
      <c r="T27" s="137">
        <f t="shared" si="4"/>
        <v>330</v>
      </c>
      <c r="U27" s="137">
        <f t="shared" si="5"/>
        <v>330</v>
      </c>
      <c r="V27" s="137">
        <f t="shared" si="6"/>
        <v>0</v>
      </c>
      <c r="W27" s="89">
        <f t="shared" si="7"/>
        <v>0</v>
      </c>
      <c r="X27" s="31" t="str">
        <f t="shared" si="8"/>
        <v>Yes</v>
      </c>
      <c r="Y27" s="32">
        <f t="shared" si="9"/>
        <v>1.0091743119266054</v>
      </c>
      <c r="Z27" s="70">
        <f t="shared" si="10"/>
        <v>30.303030303030305</v>
      </c>
      <c r="AA27" s="32">
        <f t="shared" si="11"/>
        <v>6.7278287461773694</v>
      </c>
      <c r="AD27" s="113" t="s">
        <v>420</v>
      </c>
      <c r="AE27" s="113" t="s">
        <v>203</v>
      </c>
      <c r="AF27" s="113" t="s">
        <v>209</v>
      </c>
      <c r="AG27" s="112">
        <f t="shared" si="12"/>
        <v>165</v>
      </c>
      <c r="AH27" s="112">
        <f t="shared" si="13"/>
        <v>6</v>
      </c>
      <c r="AI27" s="112">
        <f t="shared" si="18"/>
        <v>3</v>
      </c>
      <c r="AJ27" s="112">
        <f t="shared" si="19"/>
        <v>0.5</v>
      </c>
      <c r="AK27" s="112">
        <f t="shared" ref="AK27:AN27" si="43">AK26</f>
        <v>140</v>
      </c>
      <c r="AL27" s="112">
        <f t="shared" si="43"/>
        <v>100</v>
      </c>
      <c r="AM27" s="112">
        <f t="shared" si="43"/>
        <v>55</v>
      </c>
      <c r="AN27" s="112">
        <f t="shared" si="43"/>
        <v>85</v>
      </c>
      <c r="AO27" s="112">
        <f t="shared" si="21"/>
        <v>5.3000000000000007</v>
      </c>
      <c r="AP27" s="115">
        <f t="shared" si="22"/>
        <v>0.26500000000000007</v>
      </c>
      <c r="AQ27" s="115">
        <f t="shared" si="16"/>
        <v>0.5</v>
      </c>
      <c r="AR27" s="115">
        <f t="shared" si="23"/>
        <v>5</v>
      </c>
      <c r="AS27" s="115">
        <f t="shared" si="14"/>
        <v>30</v>
      </c>
      <c r="AT27" s="115" t="str">
        <f t="shared" si="24"/>
        <v>F5/M-503</v>
      </c>
      <c r="AU27" s="112" t="str">
        <f t="shared" si="25"/>
        <v>1, 2</v>
      </c>
    </row>
    <row r="28" spans="2:52" ht="15" customHeight="1" x14ac:dyDescent="0.2">
      <c r="B28" s="160"/>
      <c r="C28" s="121" t="s">
        <v>413</v>
      </c>
      <c r="D28" s="121" t="s">
        <v>490</v>
      </c>
      <c r="E28" s="158" t="s">
        <v>491</v>
      </c>
      <c r="F28" s="158">
        <v>195</v>
      </c>
      <c r="G28" s="173">
        <v>9</v>
      </c>
      <c r="H28" s="114">
        <f>VLOOKUP($N28,'UMC Table 4-A'!$A$10:$E$139,4,FALSE)</f>
        <v>6</v>
      </c>
      <c r="I28" s="114" t="str">
        <f>VLOOKUP($N28,'UMC Table 4-A'!$A$10:$E$139,5,FALSE)</f>
        <v>NR</v>
      </c>
      <c r="J28" s="111" t="str">
        <f t="shared" si="0"/>
        <v>-</v>
      </c>
      <c r="K28" s="116">
        <v>0</v>
      </c>
      <c r="L28" s="152">
        <f t="shared" si="1"/>
        <v>180</v>
      </c>
      <c r="M28" s="117">
        <f t="shared" si="41"/>
        <v>195</v>
      </c>
      <c r="N28" s="114" t="s">
        <v>91</v>
      </c>
      <c r="O28" s="114" t="str">
        <f>VLOOKUP($N28,'UMC Table 4-A'!$A$10:$E$139,2,FALSE)</f>
        <v>NO REQUIREMENT FOR CONTINUOUS DIRECTIONAL CONTROL</v>
      </c>
      <c r="P28" s="112">
        <f>VLOOKUP($N28,'UMC Table 4-A'!$A$10:$E$139,3,FALSE)</f>
        <v>2</v>
      </c>
      <c r="Q28" s="152">
        <f t="shared" si="2"/>
        <v>60</v>
      </c>
      <c r="R28" s="112" t="str">
        <f>VLOOKUP($N28,'UMC Table 4-A'!$A$10:$E$139,5,FALSE)</f>
        <v>NR</v>
      </c>
      <c r="S28" s="113">
        <f t="shared" si="3"/>
        <v>195</v>
      </c>
      <c r="T28" s="137">
        <f t="shared" si="4"/>
        <v>195</v>
      </c>
      <c r="U28" s="137">
        <f t="shared" si="5"/>
        <v>195</v>
      </c>
      <c r="V28" s="137">
        <f t="shared" si="6"/>
        <v>0</v>
      </c>
      <c r="W28" s="89">
        <f t="shared" si="7"/>
        <v>0</v>
      </c>
      <c r="X28" s="31" t="str">
        <f t="shared" si="8"/>
        <v>Yes</v>
      </c>
      <c r="Y28" s="32">
        <f t="shared" si="9"/>
        <v>1</v>
      </c>
      <c r="Z28" s="70">
        <f t="shared" si="10"/>
        <v>30.76923076923077</v>
      </c>
      <c r="AA28" s="32">
        <f t="shared" si="11"/>
        <v>6.6666666666666661</v>
      </c>
      <c r="AD28" s="113" t="s">
        <v>421</v>
      </c>
      <c r="AE28" s="113" t="s">
        <v>203</v>
      </c>
      <c r="AF28" s="113" t="s">
        <v>209</v>
      </c>
      <c r="AG28" s="112">
        <f t="shared" si="12"/>
        <v>210</v>
      </c>
      <c r="AH28" s="112">
        <f t="shared" si="13"/>
        <v>6</v>
      </c>
      <c r="AI28" s="112">
        <f t="shared" si="18"/>
        <v>3</v>
      </c>
      <c r="AJ28" s="112">
        <f t="shared" si="19"/>
        <v>0.5</v>
      </c>
      <c r="AK28" s="112">
        <f t="shared" ref="AK28:AN28" si="44">AK27</f>
        <v>140</v>
      </c>
      <c r="AL28" s="112">
        <f t="shared" si="44"/>
        <v>100</v>
      </c>
      <c r="AM28" s="112">
        <f t="shared" si="44"/>
        <v>55</v>
      </c>
      <c r="AN28" s="112">
        <f t="shared" si="44"/>
        <v>85</v>
      </c>
      <c r="AO28" s="112">
        <f t="shared" si="21"/>
        <v>6.8000000000000007</v>
      </c>
      <c r="AP28" s="115">
        <f t="shared" si="22"/>
        <v>0.34</v>
      </c>
      <c r="AQ28" s="115">
        <f t="shared" si="16"/>
        <v>0.5</v>
      </c>
      <c r="AR28" s="115">
        <f t="shared" si="23"/>
        <v>5</v>
      </c>
      <c r="AS28" s="115">
        <f t="shared" si="14"/>
        <v>30</v>
      </c>
      <c r="AT28" s="115" t="str">
        <f t="shared" si="24"/>
        <v>F5/M-503</v>
      </c>
      <c r="AU28" s="112" t="str">
        <f t="shared" si="25"/>
        <v>1, 2</v>
      </c>
    </row>
    <row r="29" spans="2:52" ht="15" customHeight="1" x14ac:dyDescent="0.2">
      <c r="B29" s="160"/>
      <c r="C29" s="121" t="s">
        <v>414</v>
      </c>
      <c r="D29" s="121" t="s">
        <v>490</v>
      </c>
      <c r="E29" s="158" t="s">
        <v>494</v>
      </c>
      <c r="F29" s="158">
        <v>381</v>
      </c>
      <c r="G29" s="173">
        <v>9</v>
      </c>
      <c r="H29" s="114">
        <f>VLOOKUP($N29,'UMC Table 4-A'!$A$10:$E$139,4,FALSE)</f>
        <v>6</v>
      </c>
      <c r="I29" s="114" t="str">
        <f>VLOOKUP($N29,'UMC Table 4-A'!$A$10:$E$139,5,FALSE)</f>
        <v>NR</v>
      </c>
      <c r="J29" s="111" t="str">
        <f t="shared" si="0"/>
        <v>-</v>
      </c>
      <c r="K29" s="116">
        <v>0</v>
      </c>
      <c r="L29" s="152">
        <f t="shared" si="1"/>
        <v>350</v>
      </c>
      <c r="M29" s="117">
        <f t="shared" si="41"/>
        <v>381</v>
      </c>
      <c r="N29" s="114" t="s">
        <v>91</v>
      </c>
      <c r="O29" s="114" t="str">
        <f>VLOOKUP($N29,'UMC Table 4-A'!$A$10:$E$139,2,FALSE)</f>
        <v>NO REQUIREMENT FOR CONTINUOUS DIRECTIONAL CONTROL</v>
      </c>
      <c r="P29" s="112">
        <f>VLOOKUP($N29,'UMC Table 4-A'!$A$10:$E$139,3,FALSE)</f>
        <v>2</v>
      </c>
      <c r="Q29" s="152">
        <f t="shared" si="2"/>
        <v>120</v>
      </c>
      <c r="R29" s="112" t="str">
        <f>VLOOKUP($N29,'UMC Table 4-A'!$A$10:$E$139,5,FALSE)</f>
        <v>NR</v>
      </c>
      <c r="S29" s="113">
        <f t="shared" si="3"/>
        <v>385</v>
      </c>
      <c r="T29" s="137">
        <f t="shared" si="4"/>
        <v>385</v>
      </c>
      <c r="U29" s="137">
        <f t="shared" si="5"/>
        <v>385</v>
      </c>
      <c r="V29" s="137">
        <f t="shared" si="6"/>
        <v>0</v>
      </c>
      <c r="W29" s="89">
        <f t="shared" si="7"/>
        <v>0</v>
      </c>
      <c r="X29" s="31" t="str">
        <f t="shared" si="8"/>
        <v>Yes</v>
      </c>
      <c r="Y29" s="32">
        <f t="shared" si="9"/>
        <v>1.0104986876640421</v>
      </c>
      <c r="Z29" s="70">
        <f t="shared" si="10"/>
        <v>31.168831168831169</v>
      </c>
      <c r="AA29" s="32">
        <f t="shared" si="11"/>
        <v>6.7366579177602803</v>
      </c>
      <c r="AD29" s="113" t="s">
        <v>422</v>
      </c>
      <c r="AE29" s="113" t="s">
        <v>203</v>
      </c>
      <c r="AF29" s="113" t="s">
        <v>209</v>
      </c>
      <c r="AG29" s="112">
        <f t="shared" si="12"/>
        <v>210</v>
      </c>
      <c r="AH29" s="112">
        <f t="shared" si="13"/>
        <v>6</v>
      </c>
      <c r="AI29" s="112">
        <f t="shared" si="18"/>
        <v>3</v>
      </c>
      <c r="AJ29" s="112">
        <f t="shared" si="19"/>
        <v>0.5</v>
      </c>
      <c r="AK29" s="112">
        <f t="shared" ref="AK29:AN29" si="45">AK28</f>
        <v>140</v>
      </c>
      <c r="AL29" s="112">
        <f t="shared" si="45"/>
        <v>100</v>
      </c>
      <c r="AM29" s="112">
        <f t="shared" si="45"/>
        <v>55</v>
      </c>
      <c r="AN29" s="112">
        <f t="shared" si="45"/>
        <v>85</v>
      </c>
      <c r="AO29" s="112">
        <f t="shared" si="21"/>
        <v>6.8000000000000007</v>
      </c>
      <c r="AP29" s="115">
        <f t="shared" si="22"/>
        <v>0.34</v>
      </c>
      <c r="AQ29" s="115">
        <f t="shared" si="16"/>
        <v>0.5</v>
      </c>
      <c r="AR29" s="115">
        <f t="shared" si="23"/>
        <v>5</v>
      </c>
      <c r="AS29" s="115">
        <f t="shared" si="14"/>
        <v>30</v>
      </c>
      <c r="AT29" s="115" t="str">
        <f t="shared" si="24"/>
        <v>F5/M-503</v>
      </c>
      <c r="AU29" s="112" t="str">
        <f t="shared" si="25"/>
        <v>1, 2</v>
      </c>
    </row>
    <row r="30" spans="2:52" ht="15" customHeight="1" x14ac:dyDescent="0.2">
      <c r="B30" s="160"/>
      <c r="C30" s="121" t="s">
        <v>414</v>
      </c>
      <c r="D30" s="121" t="s">
        <v>492</v>
      </c>
      <c r="E30" s="158" t="s">
        <v>493</v>
      </c>
      <c r="F30" s="158">
        <v>77</v>
      </c>
      <c r="G30" s="173">
        <v>8.5</v>
      </c>
      <c r="H30" s="114">
        <f>VLOOKUP($N30,'UMC Table 4-A'!$A$10:$E$139,4,FALSE)</f>
        <v>6</v>
      </c>
      <c r="I30" s="114" t="str">
        <f>VLOOKUP($N30,'UMC Table 4-A'!$A$10:$E$139,5,FALSE)</f>
        <v>NR</v>
      </c>
      <c r="J30" s="111" t="str">
        <f t="shared" si="0"/>
        <v>-</v>
      </c>
      <c r="K30" s="116">
        <v>0</v>
      </c>
      <c r="L30" s="152">
        <f t="shared" si="1"/>
        <v>70</v>
      </c>
      <c r="M30" s="117">
        <f t="shared" si="41"/>
        <v>77</v>
      </c>
      <c r="N30" s="114" t="s">
        <v>91</v>
      </c>
      <c r="O30" s="114" t="str">
        <f>VLOOKUP($N30,'UMC Table 4-A'!$A$10:$E$139,2,FALSE)</f>
        <v>NO REQUIREMENT FOR CONTINUOUS DIRECTIONAL CONTROL</v>
      </c>
      <c r="P30" s="112">
        <f>VLOOKUP($N30,'UMC Table 4-A'!$A$10:$E$139,3,FALSE)</f>
        <v>2</v>
      </c>
      <c r="Q30" s="152">
        <f t="shared" si="2"/>
        <v>30</v>
      </c>
      <c r="R30" s="112" t="str">
        <f>VLOOKUP($N30,'UMC Table 4-A'!$A$10:$E$139,5,FALSE)</f>
        <v>NR</v>
      </c>
      <c r="S30" s="113">
        <f t="shared" si="3"/>
        <v>80</v>
      </c>
      <c r="T30" s="137">
        <f t="shared" si="4"/>
        <v>80</v>
      </c>
      <c r="U30" s="137">
        <f t="shared" si="5"/>
        <v>80</v>
      </c>
      <c r="V30" s="137">
        <f t="shared" si="6"/>
        <v>0</v>
      </c>
      <c r="W30" s="89">
        <f t="shared" si="7"/>
        <v>0</v>
      </c>
      <c r="X30" s="31" t="str">
        <f t="shared" si="8"/>
        <v>Yes</v>
      </c>
      <c r="Y30" s="32">
        <f t="shared" si="9"/>
        <v>1.0389610389610389</v>
      </c>
      <c r="Z30" s="70">
        <f t="shared" si="10"/>
        <v>37.5</v>
      </c>
      <c r="AA30" s="32">
        <f t="shared" si="11"/>
        <v>7.3338426279602746</v>
      </c>
      <c r="AD30" s="113" t="s">
        <v>423</v>
      </c>
      <c r="AE30" s="113" t="s">
        <v>203</v>
      </c>
      <c r="AF30" s="113" t="s">
        <v>209</v>
      </c>
      <c r="AG30" s="112">
        <f t="shared" si="12"/>
        <v>1300</v>
      </c>
      <c r="AH30" s="112">
        <f t="shared" si="13"/>
        <v>12</v>
      </c>
      <c r="AI30" s="112">
        <f t="shared" si="18"/>
        <v>6</v>
      </c>
      <c r="AJ30" s="112">
        <f t="shared" si="19"/>
        <v>0.5</v>
      </c>
      <c r="AK30" s="112">
        <f t="shared" ref="AK30:AN30" si="46">AK29</f>
        <v>140</v>
      </c>
      <c r="AL30" s="112">
        <f t="shared" si="46"/>
        <v>100</v>
      </c>
      <c r="AM30" s="112">
        <f t="shared" si="46"/>
        <v>55</v>
      </c>
      <c r="AN30" s="112">
        <f t="shared" si="46"/>
        <v>85</v>
      </c>
      <c r="AO30" s="112">
        <f t="shared" si="21"/>
        <v>42.1</v>
      </c>
      <c r="AP30" s="115">
        <f t="shared" si="22"/>
        <v>2.105</v>
      </c>
      <c r="AQ30" s="115">
        <f t="shared" si="16"/>
        <v>2.105</v>
      </c>
      <c r="AR30" s="115">
        <f t="shared" si="23"/>
        <v>5</v>
      </c>
      <c r="AS30" s="115">
        <f t="shared" si="14"/>
        <v>45</v>
      </c>
      <c r="AT30" s="115" t="str">
        <f t="shared" si="24"/>
        <v>F5/M-503</v>
      </c>
      <c r="AU30" s="112" t="str">
        <f t="shared" si="25"/>
        <v>1, 2</v>
      </c>
    </row>
    <row r="31" spans="2:52" ht="15" customHeight="1" x14ac:dyDescent="0.2">
      <c r="B31" s="160"/>
      <c r="C31" s="121" t="s">
        <v>415</v>
      </c>
      <c r="D31" s="121" t="s">
        <v>495</v>
      </c>
      <c r="E31" s="158" t="s">
        <v>496</v>
      </c>
      <c r="F31" s="158">
        <v>116</v>
      </c>
      <c r="G31" s="173">
        <v>9</v>
      </c>
      <c r="H31" s="114">
        <f>VLOOKUP($N31,'UMC Table 4-A'!$A$10:$E$139,4,FALSE)</f>
        <v>6</v>
      </c>
      <c r="I31" s="114" t="str">
        <f>VLOOKUP($N31,'UMC Table 4-A'!$A$10:$E$139,5,FALSE)</f>
        <v>NR</v>
      </c>
      <c r="J31" s="111" t="str">
        <f t="shared" si="0"/>
        <v>-</v>
      </c>
      <c r="K31" s="116">
        <v>0</v>
      </c>
      <c r="L31" s="152">
        <f t="shared" si="1"/>
        <v>110</v>
      </c>
      <c r="M31" s="117">
        <f t="shared" si="41"/>
        <v>116</v>
      </c>
      <c r="N31" s="114" t="s">
        <v>91</v>
      </c>
      <c r="O31" s="114" t="str">
        <f>VLOOKUP($N31,'UMC Table 4-A'!$A$10:$E$139,2,FALSE)</f>
        <v>NO REQUIREMENT FOR CONTINUOUS DIRECTIONAL CONTROL</v>
      </c>
      <c r="P31" s="112">
        <f>VLOOKUP($N31,'UMC Table 4-A'!$A$10:$E$139,3,FALSE)</f>
        <v>2</v>
      </c>
      <c r="Q31" s="152">
        <f t="shared" si="2"/>
        <v>40</v>
      </c>
      <c r="R31" s="112" t="str">
        <f>VLOOKUP($N31,'UMC Table 4-A'!$A$10:$E$139,5,FALSE)</f>
        <v>NR</v>
      </c>
      <c r="S31" s="113">
        <f t="shared" si="3"/>
        <v>120</v>
      </c>
      <c r="T31" s="137">
        <f t="shared" si="4"/>
        <v>120</v>
      </c>
      <c r="U31" s="137">
        <f t="shared" si="5"/>
        <v>120</v>
      </c>
      <c r="V31" s="137">
        <f t="shared" si="6"/>
        <v>0</v>
      </c>
      <c r="W31" s="89">
        <f t="shared" si="7"/>
        <v>0</v>
      </c>
      <c r="X31" s="31" t="str">
        <f t="shared" si="8"/>
        <v>Yes</v>
      </c>
      <c r="Y31" s="32">
        <f t="shared" si="9"/>
        <v>1.0344827586206897</v>
      </c>
      <c r="Z31" s="70">
        <f t="shared" si="10"/>
        <v>33.333333333333329</v>
      </c>
      <c r="AA31" s="32">
        <f t="shared" si="11"/>
        <v>6.8965517241379315</v>
      </c>
      <c r="AD31" s="113" t="s">
        <v>424</v>
      </c>
      <c r="AE31" s="113" t="s">
        <v>203</v>
      </c>
      <c r="AF31" s="113" t="s">
        <v>209</v>
      </c>
      <c r="AG31" s="112">
        <f t="shared" si="12"/>
        <v>1080</v>
      </c>
      <c r="AH31" s="112">
        <f t="shared" si="13"/>
        <v>12</v>
      </c>
      <c r="AI31" s="112">
        <f t="shared" si="18"/>
        <v>6</v>
      </c>
      <c r="AJ31" s="112">
        <f t="shared" si="19"/>
        <v>0.5</v>
      </c>
      <c r="AK31" s="112">
        <f t="shared" ref="AK31:AN31" si="47">AK30</f>
        <v>140</v>
      </c>
      <c r="AL31" s="112">
        <f t="shared" si="47"/>
        <v>100</v>
      </c>
      <c r="AM31" s="112">
        <f t="shared" si="47"/>
        <v>55</v>
      </c>
      <c r="AN31" s="112">
        <f t="shared" si="47"/>
        <v>85</v>
      </c>
      <c r="AO31" s="112">
        <f t="shared" si="21"/>
        <v>35</v>
      </c>
      <c r="AP31" s="115">
        <f t="shared" si="22"/>
        <v>1.75</v>
      </c>
      <c r="AQ31" s="115">
        <f t="shared" si="16"/>
        <v>1.75</v>
      </c>
      <c r="AR31" s="115">
        <f t="shared" si="23"/>
        <v>5</v>
      </c>
      <c r="AS31" s="115">
        <f t="shared" si="14"/>
        <v>45</v>
      </c>
      <c r="AT31" s="115" t="str">
        <f t="shared" si="24"/>
        <v>F5/M-503</v>
      </c>
      <c r="AU31" s="112" t="str">
        <f t="shared" si="25"/>
        <v>1, 2</v>
      </c>
    </row>
    <row r="32" spans="2:52" ht="15" customHeight="1" x14ac:dyDescent="0.2">
      <c r="B32" s="160"/>
      <c r="C32" s="121" t="s">
        <v>415</v>
      </c>
      <c r="D32" s="121" t="s">
        <v>497</v>
      </c>
      <c r="E32" s="158" t="s">
        <v>498</v>
      </c>
      <c r="F32" s="158">
        <v>44</v>
      </c>
      <c r="G32" s="173">
        <v>9</v>
      </c>
      <c r="H32" s="114">
        <f>VLOOKUP($N32,'UMC Table 4-A'!$A$10:$E$139,4,FALSE)</f>
        <v>6</v>
      </c>
      <c r="I32" s="114" t="str">
        <f>VLOOKUP($N32,'UMC Table 4-A'!$A$10:$E$139,5,FALSE)</f>
        <v>NR</v>
      </c>
      <c r="J32" s="111" t="str">
        <f t="shared" si="0"/>
        <v>-</v>
      </c>
      <c r="K32" s="116">
        <v>0</v>
      </c>
      <c r="L32" s="152">
        <f t="shared" si="1"/>
        <v>40</v>
      </c>
      <c r="M32" s="117">
        <f t="shared" si="41"/>
        <v>44</v>
      </c>
      <c r="N32" s="114" t="s">
        <v>91</v>
      </c>
      <c r="O32" s="114" t="str">
        <f>VLOOKUP($N32,'UMC Table 4-A'!$A$10:$E$139,2,FALSE)</f>
        <v>NO REQUIREMENT FOR CONTINUOUS DIRECTIONAL CONTROL</v>
      </c>
      <c r="P32" s="112">
        <f>VLOOKUP($N32,'UMC Table 4-A'!$A$10:$E$139,3,FALSE)</f>
        <v>2</v>
      </c>
      <c r="Q32" s="152">
        <f t="shared" si="2"/>
        <v>20</v>
      </c>
      <c r="R32" s="112" t="str">
        <f>VLOOKUP($N32,'UMC Table 4-A'!$A$10:$E$139,5,FALSE)</f>
        <v>NR</v>
      </c>
      <c r="S32" s="113">
        <f t="shared" si="3"/>
        <v>45</v>
      </c>
      <c r="T32" s="137">
        <f t="shared" si="4"/>
        <v>45</v>
      </c>
      <c r="U32" s="137">
        <f t="shared" si="5"/>
        <v>45</v>
      </c>
      <c r="V32" s="137">
        <f t="shared" si="6"/>
        <v>0</v>
      </c>
      <c r="W32" s="89">
        <f t="shared" si="7"/>
        <v>0</v>
      </c>
      <c r="X32" s="31" t="str">
        <f t="shared" si="8"/>
        <v>Yes</v>
      </c>
      <c r="Y32" s="32">
        <f t="shared" si="9"/>
        <v>1.0227272727272727</v>
      </c>
      <c r="Z32" s="70">
        <f t="shared" si="10"/>
        <v>44.444444444444443</v>
      </c>
      <c r="AA32" s="32">
        <f t="shared" si="11"/>
        <v>6.8181818181818183</v>
      </c>
      <c r="AD32" s="113" t="s">
        <v>425</v>
      </c>
      <c r="AE32" s="113" t="s">
        <v>203</v>
      </c>
      <c r="AF32" s="113" t="s">
        <v>209</v>
      </c>
      <c r="AG32" s="112">
        <f t="shared" si="12"/>
        <v>280</v>
      </c>
      <c r="AH32" s="112">
        <f t="shared" si="13"/>
        <v>6</v>
      </c>
      <c r="AI32" s="112">
        <f t="shared" si="18"/>
        <v>3</v>
      </c>
      <c r="AJ32" s="112">
        <f t="shared" si="19"/>
        <v>0.5</v>
      </c>
      <c r="AK32" s="112">
        <f t="shared" ref="AK32:AN32" si="48">AK31</f>
        <v>140</v>
      </c>
      <c r="AL32" s="112">
        <f t="shared" si="48"/>
        <v>100</v>
      </c>
      <c r="AM32" s="112">
        <f t="shared" si="48"/>
        <v>55</v>
      </c>
      <c r="AN32" s="112">
        <f t="shared" si="48"/>
        <v>85</v>
      </c>
      <c r="AO32" s="112">
        <f t="shared" si="21"/>
        <v>9.1</v>
      </c>
      <c r="AP32" s="115">
        <f t="shared" si="22"/>
        <v>0.45500000000000002</v>
      </c>
      <c r="AQ32" s="115">
        <f t="shared" si="16"/>
        <v>0.5</v>
      </c>
      <c r="AR32" s="115">
        <f t="shared" si="23"/>
        <v>5</v>
      </c>
      <c r="AS32" s="115">
        <f t="shared" si="14"/>
        <v>30</v>
      </c>
      <c r="AT32" s="115" t="str">
        <f t="shared" si="24"/>
        <v>F5/M-503</v>
      </c>
      <c r="AU32" s="112" t="str">
        <f t="shared" si="25"/>
        <v>1, 2</v>
      </c>
    </row>
    <row r="33" spans="2:48" ht="15" customHeight="1" x14ac:dyDescent="0.2">
      <c r="B33" s="160"/>
      <c r="C33" s="121" t="s">
        <v>416</v>
      </c>
      <c r="D33" s="121" t="s">
        <v>499</v>
      </c>
      <c r="E33" s="158" t="s">
        <v>500</v>
      </c>
      <c r="F33" s="158">
        <v>135</v>
      </c>
      <c r="G33" s="173">
        <v>9</v>
      </c>
      <c r="H33" s="114">
        <f>VLOOKUP($N33,'UMC Table 4-A'!$A$10:$E$139,4,FALSE)</f>
        <v>6</v>
      </c>
      <c r="I33" s="114" t="str">
        <f>VLOOKUP($N33,'UMC Table 4-A'!$A$10:$E$139,5,FALSE)</f>
        <v>NR</v>
      </c>
      <c r="J33" s="111" t="str">
        <f t="shared" si="0"/>
        <v>-</v>
      </c>
      <c r="K33" s="116">
        <v>0</v>
      </c>
      <c r="L33" s="152">
        <f t="shared" si="1"/>
        <v>130</v>
      </c>
      <c r="M33" s="117">
        <f t="shared" si="41"/>
        <v>135</v>
      </c>
      <c r="N33" s="114" t="s">
        <v>91</v>
      </c>
      <c r="O33" s="114" t="str">
        <f>VLOOKUP($N33,'UMC Table 4-A'!$A$10:$E$139,2,FALSE)</f>
        <v>NO REQUIREMENT FOR CONTINUOUS DIRECTIONAL CONTROL</v>
      </c>
      <c r="P33" s="112">
        <f>VLOOKUP($N33,'UMC Table 4-A'!$A$10:$E$139,3,FALSE)</f>
        <v>2</v>
      </c>
      <c r="Q33" s="152">
        <f t="shared" si="2"/>
        <v>50</v>
      </c>
      <c r="R33" s="112" t="str">
        <f>VLOOKUP($N33,'UMC Table 4-A'!$A$10:$E$139,5,FALSE)</f>
        <v>NR</v>
      </c>
      <c r="S33" s="113">
        <f t="shared" si="3"/>
        <v>135</v>
      </c>
      <c r="T33" s="137">
        <f t="shared" si="4"/>
        <v>135</v>
      </c>
      <c r="U33" s="137">
        <f t="shared" si="5"/>
        <v>135</v>
      </c>
      <c r="V33" s="137">
        <f t="shared" si="6"/>
        <v>0</v>
      </c>
      <c r="W33" s="89">
        <f t="shared" si="7"/>
        <v>0</v>
      </c>
      <c r="X33" s="31" t="str">
        <f t="shared" si="8"/>
        <v>Yes</v>
      </c>
      <c r="Y33" s="32">
        <f t="shared" si="9"/>
        <v>1</v>
      </c>
      <c r="Z33" s="70">
        <f t="shared" si="10"/>
        <v>37.037037037037038</v>
      </c>
      <c r="AA33" s="32">
        <f t="shared" si="11"/>
        <v>6.6666666666666661</v>
      </c>
      <c r="AD33" s="113" t="s">
        <v>426</v>
      </c>
      <c r="AE33" s="113" t="s">
        <v>203</v>
      </c>
      <c r="AF33" s="113" t="s">
        <v>209</v>
      </c>
      <c r="AG33" s="112">
        <f t="shared" si="12"/>
        <v>735</v>
      </c>
      <c r="AH33" s="112">
        <f t="shared" si="13"/>
        <v>10</v>
      </c>
      <c r="AI33" s="112">
        <f t="shared" si="18"/>
        <v>5</v>
      </c>
      <c r="AJ33" s="112">
        <f t="shared" si="19"/>
        <v>0.5</v>
      </c>
      <c r="AK33" s="112">
        <f t="shared" ref="AK33:AN33" si="49">AK32</f>
        <v>140</v>
      </c>
      <c r="AL33" s="112">
        <f t="shared" si="49"/>
        <v>100</v>
      </c>
      <c r="AM33" s="112">
        <f t="shared" si="49"/>
        <v>55</v>
      </c>
      <c r="AN33" s="112">
        <f t="shared" si="49"/>
        <v>85</v>
      </c>
      <c r="AO33" s="112">
        <f t="shared" si="21"/>
        <v>23.8</v>
      </c>
      <c r="AP33" s="115">
        <f t="shared" si="22"/>
        <v>1.19</v>
      </c>
      <c r="AQ33" s="115">
        <f t="shared" si="16"/>
        <v>1.19</v>
      </c>
      <c r="AR33" s="115">
        <f t="shared" si="23"/>
        <v>5</v>
      </c>
      <c r="AS33" s="115">
        <f t="shared" si="14"/>
        <v>35</v>
      </c>
      <c r="AT33" s="115" t="str">
        <f t="shared" si="24"/>
        <v>F5/M-503</v>
      </c>
      <c r="AU33" s="112" t="str">
        <f t="shared" si="25"/>
        <v>1, 2</v>
      </c>
    </row>
    <row r="34" spans="2:48" ht="15" customHeight="1" x14ac:dyDescent="0.2">
      <c r="B34" s="160"/>
      <c r="C34" s="121" t="s">
        <v>417</v>
      </c>
      <c r="D34" s="121" t="s">
        <v>501</v>
      </c>
      <c r="E34" s="158" t="s">
        <v>504</v>
      </c>
      <c r="F34" s="158">
        <v>97</v>
      </c>
      <c r="G34" s="173">
        <v>9</v>
      </c>
      <c r="H34" s="114">
        <f>VLOOKUP($N34,'UMC Table 4-A'!$A$10:$E$139,4,FALSE)</f>
        <v>6</v>
      </c>
      <c r="I34" s="114" t="str">
        <f>VLOOKUP($N34,'UMC Table 4-A'!$A$10:$E$139,5,FALSE)</f>
        <v>NR</v>
      </c>
      <c r="J34" s="111" t="str">
        <f t="shared" si="0"/>
        <v>-</v>
      </c>
      <c r="K34" s="116">
        <v>0</v>
      </c>
      <c r="L34" s="152">
        <f t="shared" si="1"/>
        <v>90</v>
      </c>
      <c r="M34" s="117">
        <f t="shared" si="41"/>
        <v>97</v>
      </c>
      <c r="N34" s="114" t="s">
        <v>91</v>
      </c>
      <c r="O34" s="114" t="str">
        <f>VLOOKUP($N34,'UMC Table 4-A'!$A$10:$E$139,2,FALSE)</f>
        <v>NO REQUIREMENT FOR CONTINUOUS DIRECTIONAL CONTROL</v>
      </c>
      <c r="P34" s="112">
        <f>VLOOKUP($N34,'UMC Table 4-A'!$A$10:$E$139,3,FALSE)</f>
        <v>2</v>
      </c>
      <c r="Q34" s="152">
        <f t="shared" si="2"/>
        <v>30</v>
      </c>
      <c r="R34" s="112" t="str">
        <f>VLOOKUP($N34,'UMC Table 4-A'!$A$10:$E$139,5,FALSE)</f>
        <v>NR</v>
      </c>
      <c r="S34" s="113">
        <f t="shared" si="3"/>
        <v>100</v>
      </c>
      <c r="T34" s="137">
        <f t="shared" si="4"/>
        <v>100</v>
      </c>
      <c r="U34" s="137">
        <f t="shared" si="5"/>
        <v>100</v>
      </c>
      <c r="V34" s="137">
        <f t="shared" si="6"/>
        <v>0</v>
      </c>
      <c r="W34" s="89">
        <f t="shared" si="7"/>
        <v>0</v>
      </c>
      <c r="X34" s="31" t="str">
        <f t="shared" si="8"/>
        <v>Yes</v>
      </c>
      <c r="Y34" s="32">
        <f t="shared" si="9"/>
        <v>1.0309278350515463</v>
      </c>
      <c r="Z34" s="70">
        <f t="shared" si="10"/>
        <v>30</v>
      </c>
      <c r="AA34" s="32">
        <f t="shared" si="11"/>
        <v>6.8728522336769746</v>
      </c>
      <c r="AD34" s="113" t="s">
        <v>427</v>
      </c>
      <c r="AE34" s="113" t="s">
        <v>203</v>
      </c>
      <c r="AF34" s="113" t="s">
        <v>209</v>
      </c>
      <c r="AG34" s="112">
        <f t="shared" si="12"/>
        <v>240</v>
      </c>
      <c r="AH34" s="112">
        <f t="shared" si="13"/>
        <v>6</v>
      </c>
      <c r="AI34" s="112">
        <f t="shared" si="18"/>
        <v>3</v>
      </c>
      <c r="AJ34" s="112">
        <f t="shared" si="19"/>
        <v>0.5</v>
      </c>
      <c r="AK34" s="112">
        <f t="shared" ref="AK34:AN34" si="50">AK33</f>
        <v>140</v>
      </c>
      <c r="AL34" s="112">
        <f t="shared" si="50"/>
        <v>100</v>
      </c>
      <c r="AM34" s="112">
        <f t="shared" si="50"/>
        <v>55</v>
      </c>
      <c r="AN34" s="112">
        <f t="shared" si="50"/>
        <v>85</v>
      </c>
      <c r="AO34" s="112">
        <f t="shared" si="21"/>
        <v>7.8000000000000007</v>
      </c>
      <c r="AP34" s="115">
        <f t="shared" si="22"/>
        <v>0.39000000000000007</v>
      </c>
      <c r="AQ34" s="115">
        <f t="shared" si="16"/>
        <v>0.5</v>
      </c>
      <c r="AR34" s="115">
        <f t="shared" si="23"/>
        <v>5</v>
      </c>
      <c r="AS34" s="115">
        <f t="shared" si="14"/>
        <v>30</v>
      </c>
      <c r="AT34" s="115" t="str">
        <f>AT33</f>
        <v>F5/M-503</v>
      </c>
      <c r="AU34" s="112" t="str">
        <f t="shared" si="25"/>
        <v>1, 2</v>
      </c>
    </row>
    <row r="35" spans="2:48" ht="15" customHeight="1" x14ac:dyDescent="0.2">
      <c r="B35" s="160"/>
      <c r="C35" s="121" t="s">
        <v>417</v>
      </c>
      <c r="D35" s="121" t="s">
        <v>501</v>
      </c>
      <c r="E35" s="158" t="s">
        <v>503</v>
      </c>
      <c r="F35" s="158">
        <v>94</v>
      </c>
      <c r="G35" s="173">
        <v>9</v>
      </c>
      <c r="H35" s="114">
        <f>VLOOKUP($N35,'UMC Table 4-A'!$A$10:$E$139,4,FALSE)</f>
        <v>6</v>
      </c>
      <c r="I35" s="114" t="str">
        <f>VLOOKUP($N35,'UMC Table 4-A'!$A$10:$E$139,5,FALSE)</f>
        <v>NR</v>
      </c>
      <c r="J35" s="111" t="str">
        <f t="shared" si="0"/>
        <v>-</v>
      </c>
      <c r="K35" s="116">
        <v>0</v>
      </c>
      <c r="L35" s="152">
        <f t="shared" si="1"/>
        <v>90</v>
      </c>
      <c r="M35" s="117">
        <f t="shared" si="41"/>
        <v>94</v>
      </c>
      <c r="N35" s="114" t="s">
        <v>91</v>
      </c>
      <c r="O35" s="114" t="str">
        <f>VLOOKUP($N35,'UMC Table 4-A'!$A$10:$E$139,2,FALSE)</f>
        <v>NO REQUIREMENT FOR CONTINUOUS DIRECTIONAL CONTROL</v>
      </c>
      <c r="P35" s="112">
        <f>VLOOKUP($N35,'UMC Table 4-A'!$A$10:$E$139,3,FALSE)</f>
        <v>2</v>
      </c>
      <c r="Q35" s="152">
        <f t="shared" si="2"/>
        <v>30</v>
      </c>
      <c r="R35" s="112" t="str">
        <f>VLOOKUP($N35,'UMC Table 4-A'!$A$10:$E$139,5,FALSE)</f>
        <v>NR</v>
      </c>
      <c r="S35" s="113">
        <f t="shared" si="3"/>
        <v>95</v>
      </c>
      <c r="T35" s="137">
        <f t="shared" si="4"/>
        <v>95</v>
      </c>
      <c r="U35" s="137">
        <f t="shared" si="5"/>
        <v>95</v>
      </c>
      <c r="V35" s="137">
        <f t="shared" si="6"/>
        <v>0</v>
      </c>
      <c r="W35" s="89">
        <f t="shared" si="7"/>
        <v>0</v>
      </c>
      <c r="X35" s="31" t="str">
        <f t="shared" si="8"/>
        <v>Yes</v>
      </c>
      <c r="Y35" s="32">
        <f t="shared" si="9"/>
        <v>1.0106382978723405</v>
      </c>
      <c r="Z35" s="70">
        <f t="shared" si="10"/>
        <v>31.578947368421051</v>
      </c>
      <c r="AA35" s="32">
        <f t="shared" si="11"/>
        <v>6.7375886524822697</v>
      </c>
      <c r="AD35" s="113" t="s">
        <v>428</v>
      </c>
      <c r="AE35" s="113" t="s">
        <v>203</v>
      </c>
      <c r="AF35" s="113" t="s">
        <v>209</v>
      </c>
      <c r="AG35" s="112">
        <f t="shared" si="12"/>
        <v>220</v>
      </c>
      <c r="AH35" s="112">
        <f t="shared" si="13"/>
        <v>6</v>
      </c>
      <c r="AI35" s="112">
        <f t="shared" si="18"/>
        <v>3</v>
      </c>
      <c r="AJ35" s="112">
        <f t="shared" si="19"/>
        <v>0.5</v>
      </c>
      <c r="AK35" s="112">
        <f t="shared" ref="AK35:AN35" si="51">AK34</f>
        <v>140</v>
      </c>
      <c r="AL35" s="112">
        <f t="shared" si="51"/>
        <v>100</v>
      </c>
      <c r="AM35" s="112">
        <f t="shared" si="51"/>
        <v>55</v>
      </c>
      <c r="AN35" s="112">
        <f t="shared" si="51"/>
        <v>85</v>
      </c>
      <c r="AO35" s="112">
        <f t="shared" si="21"/>
        <v>7.1000000000000005</v>
      </c>
      <c r="AP35" s="115">
        <f t="shared" si="22"/>
        <v>0.35500000000000004</v>
      </c>
      <c r="AQ35" s="115">
        <f t="shared" si="16"/>
        <v>0.5</v>
      </c>
      <c r="AR35" s="115">
        <f t="shared" si="23"/>
        <v>5</v>
      </c>
      <c r="AS35" s="115">
        <f t="shared" si="14"/>
        <v>30</v>
      </c>
      <c r="AT35" s="115" t="str">
        <f t="shared" si="24"/>
        <v>F5/M-503</v>
      </c>
      <c r="AU35" s="112" t="str">
        <f t="shared" si="25"/>
        <v>1, 2</v>
      </c>
    </row>
    <row r="36" spans="2:48" ht="15" customHeight="1" x14ac:dyDescent="0.2">
      <c r="B36" s="160"/>
      <c r="C36" s="121" t="s">
        <v>417</v>
      </c>
      <c r="D36" s="121" t="s">
        <v>501</v>
      </c>
      <c r="E36" s="158" t="s">
        <v>502</v>
      </c>
      <c r="F36" s="158">
        <v>92</v>
      </c>
      <c r="G36" s="173">
        <v>9</v>
      </c>
      <c r="H36" s="114">
        <f>VLOOKUP($N36,'UMC Table 4-A'!$A$10:$E$139,4,FALSE)</f>
        <v>6</v>
      </c>
      <c r="I36" s="114" t="str">
        <f>VLOOKUP($N36,'UMC Table 4-A'!$A$10:$E$139,5,FALSE)</f>
        <v>NR</v>
      </c>
      <c r="J36" s="111" t="str">
        <f t="shared" si="0"/>
        <v>-</v>
      </c>
      <c r="K36" s="116">
        <v>0</v>
      </c>
      <c r="L36" s="152">
        <f t="shared" si="1"/>
        <v>90</v>
      </c>
      <c r="M36" s="117">
        <f t="shared" si="41"/>
        <v>92</v>
      </c>
      <c r="N36" s="114" t="s">
        <v>91</v>
      </c>
      <c r="O36" s="114" t="str">
        <f>VLOOKUP($N36,'UMC Table 4-A'!$A$10:$E$139,2,FALSE)</f>
        <v>NO REQUIREMENT FOR CONTINUOUS DIRECTIONAL CONTROL</v>
      </c>
      <c r="P36" s="112">
        <f>VLOOKUP($N36,'UMC Table 4-A'!$A$10:$E$139,3,FALSE)</f>
        <v>2</v>
      </c>
      <c r="Q36" s="152">
        <f t="shared" si="2"/>
        <v>30</v>
      </c>
      <c r="R36" s="112" t="str">
        <f>VLOOKUP($N36,'UMC Table 4-A'!$A$10:$E$139,5,FALSE)</f>
        <v>NR</v>
      </c>
      <c r="S36" s="113">
        <f t="shared" si="3"/>
        <v>95</v>
      </c>
      <c r="T36" s="137">
        <f t="shared" si="4"/>
        <v>95</v>
      </c>
      <c r="U36" s="137">
        <f t="shared" si="5"/>
        <v>95</v>
      </c>
      <c r="V36" s="137">
        <f t="shared" si="6"/>
        <v>0</v>
      </c>
      <c r="W36" s="89">
        <f t="shared" si="7"/>
        <v>0</v>
      </c>
      <c r="X36" s="31" t="str">
        <f t="shared" si="8"/>
        <v>Yes</v>
      </c>
      <c r="Y36" s="32">
        <f t="shared" si="9"/>
        <v>1.0326086956521738</v>
      </c>
      <c r="Z36" s="70">
        <f t="shared" si="10"/>
        <v>31.578947368421051</v>
      </c>
      <c r="AA36" s="32">
        <f t="shared" si="11"/>
        <v>6.8840579710144922</v>
      </c>
      <c r="AD36" s="113" t="s">
        <v>429</v>
      </c>
      <c r="AE36" s="113" t="s">
        <v>203</v>
      </c>
      <c r="AF36" s="113" t="s">
        <v>209</v>
      </c>
      <c r="AG36" s="112">
        <f t="shared" si="12"/>
        <v>150</v>
      </c>
      <c r="AH36" s="112">
        <f t="shared" si="13"/>
        <v>6</v>
      </c>
      <c r="AI36" s="112">
        <f t="shared" si="18"/>
        <v>3</v>
      </c>
      <c r="AJ36" s="112">
        <f t="shared" si="19"/>
        <v>0.5</v>
      </c>
      <c r="AK36" s="112">
        <f t="shared" ref="AK36:AN36" si="52">AK35</f>
        <v>140</v>
      </c>
      <c r="AL36" s="112">
        <f t="shared" si="52"/>
        <v>100</v>
      </c>
      <c r="AM36" s="112">
        <f t="shared" si="52"/>
        <v>55</v>
      </c>
      <c r="AN36" s="112">
        <f t="shared" si="52"/>
        <v>85</v>
      </c>
      <c r="AO36" s="112">
        <f t="shared" si="21"/>
        <v>4.9000000000000004</v>
      </c>
      <c r="AP36" s="115">
        <f t="shared" si="22"/>
        <v>0.245</v>
      </c>
      <c r="AQ36" s="115">
        <f t="shared" si="16"/>
        <v>0.5</v>
      </c>
      <c r="AR36" s="115">
        <f t="shared" si="23"/>
        <v>5</v>
      </c>
      <c r="AS36" s="115">
        <f t="shared" si="14"/>
        <v>30</v>
      </c>
      <c r="AT36" s="115" t="str">
        <f t="shared" si="24"/>
        <v>F5/M-503</v>
      </c>
      <c r="AU36" s="112" t="str">
        <f t="shared" si="25"/>
        <v>1, 2</v>
      </c>
    </row>
    <row r="37" spans="2:48" ht="15" customHeight="1" x14ac:dyDescent="0.2">
      <c r="B37" s="160"/>
      <c r="C37" s="121" t="s">
        <v>418</v>
      </c>
      <c r="D37" s="121" t="s">
        <v>461</v>
      </c>
      <c r="E37" s="158" t="s">
        <v>507</v>
      </c>
      <c r="F37" s="158">
        <v>290</v>
      </c>
      <c r="G37" s="173">
        <v>8.5</v>
      </c>
      <c r="H37" s="114">
        <f>VLOOKUP($N37,'UMC Table 4-A'!$A$10:$E$139,4,FALSE)</f>
        <v>2</v>
      </c>
      <c r="I37" s="114" t="str">
        <f>VLOOKUP($N37,'UMC Table 4-A'!$A$10:$E$139,5,FALSE)</f>
        <v>NR</v>
      </c>
      <c r="J37" s="111" t="str">
        <f t="shared" si="0"/>
        <v>-</v>
      </c>
      <c r="K37" s="116">
        <v>0</v>
      </c>
      <c r="L37" s="152">
        <f t="shared" si="1"/>
        <v>90</v>
      </c>
      <c r="M37" s="117">
        <f t="shared" si="41"/>
        <v>290</v>
      </c>
      <c r="N37" s="114" t="s">
        <v>115</v>
      </c>
      <c r="O37" s="114" t="str">
        <f>VLOOKUP($N37,'UMC Table 4-A'!$A$10:$E$139,2,FALSE)</f>
        <v>NO REQUIREMENT FOR CONTINUOUS DIRECTIONAL CONTROL</v>
      </c>
      <c r="P37" s="112" t="str">
        <f>VLOOKUP($N37,'UMC Table 4-A'!$A$10:$E$139,3,FALSE)</f>
        <v>NR</v>
      </c>
      <c r="Q37" s="152">
        <f t="shared" si="2"/>
        <v>0</v>
      </c>
      <c r="R37" s="112" t="str">
        <f>VLOOKUP($N37,'UMC Table 4-A'!$A$10:$E$139,5,FALSE)</f>
        <v>NR</v>
      </c>
      <c r="S37" s="113">
        <f t="shared" si="3"/>
        <v>290</v>
      </c>
      <c r="T37" s="137">
        <f t="shared" si="4"/>
        <v>290</v>
      </c>
      <c r="U37" s="137">
        <f t="shared" si="5"/>
        <v>290</v>
      </c>
      <c r="V37" s="137">
        <f t="shared" si="6"/>
        <v>0</v>
      </c>
      <c r="W37" s="89">
        <f t="shared" si="7"/>
        <v>0</v>
      </c>
      <c r="X37" s="31" t="str">
        <f t="shared" si="8"/>
        <v>Yes</v>
      </c>
      <c r="Y37" s="32">
        <f t="shared" si="9"/>
        <v>1</v>
      </c>
      <c r="Z37" s="70">
        <f t="shared" si="10"/>
        <v>0</v>
      </c>
      <c r="AA37" s="32">
        <f t="shared" si="11"/>
        <v>7.0588235294117645</v>
      </c>
      <c r="AD37" s="113" t="s">
        <v>430</v>
      </c>
      <c r="AE37" s="113" t="s">
        <v>203</v>
      </c>
      <c r="AF37" s="113" t="s">
        <v>209</v>
      </c>
      <c r="AG37" s="112">
        <f t="shared" si="12"/>
        <v>1880</v>
      </c>
      <c r="AH37" s="112">
        <f t="shared" si="13"/>
        <v>14</v>
      </c>
      <c r="AI37" s="112">
        <f t="shared" si="18"/>
        <v>7</v>
      </c>
      <c r="AJ37" s="112">
        <f t="shared" si="19"/>
        <v>0.5</v>
      </c>
      <c r="AK37" s="112">
        <f t="shared" ref="AK37:AN37" si="53">AK36</f>
        <v>140</v>
      </c>
      <c r="AL37" s="112">
        <f t="shared" si="53"/>
        <v>100</v>
      </c>
      <c r="AM37" s="112">
        <f t="shared" si="53"/>
        <v>55</v>
      </c>
      <c r="AN37" s="112">
        <f t="shared" si="53"/>
        <v>85</v>
      </c>
      <c r="AO37" s="112">
        <f t="shared" si="21"/>
        <v>60.900000000000006</v>
      </c>
      <c r="AP37" s="115">
        <f t="shared" si="22"/>
        <v>3.0450000000000004</v>
      </c>
      <c r="AQ37" s="115">
        <f t="shared" si="16"/>
        <v>3.0450000000000004</v>
      </c>
      <c r="AR37" s="115">
        <f t="shared" si="23"/>
        <v>5</v>
      </c>
      <c r="AS37" s="115">
        <f t="shared" si="14"/>
        <v>55</v>
      </c>
      <c r="AT37" s="115" t="str">
        <f t="shared" si="24"/>
        <v>F5/M-503</v>
      </c>
      <c r="AU37" s="112" t="str">
        <f t="shared" si="25"/>
        <v>1, 2</v>
      </c>
    </row>
    <row r="38" spans="2:48" ht="15" customHeight="1" x14ac:dyDescent="0.2">
      <c r="B38" s="160"/>
      <c r="C38" s="121" t="s">
        <v>418</v>
      </c>
      <c r="D38" s="121" t="s">
        <v>505</v>
      </c>
      <c r="E38" s="158" t="s">
        <v>506</v>
      </c>
      <c r="F38" s="158">
        <v>97</v>
      </c>
      <c r="G38" s="173">
        <v>9</v>
      </c>
      <c r="H38" s="114">
        <f>VLOOKUP($N38,'UMC Table 4-A'!$A$10:$E$139,4,FALSE)</f>
        <v>6</v>
      </c>
      <c r="I38" s="114" t="str">
        <f>VLOOKUP($N38,'UMC Table 4-A'!$A$10:$E$139,5,FALSE)</f>
        <v>NR</v>
      </c>
      <c r="J38" s="111" t="str">
        <f t="shared" si="0"/>
        <v>-</v>
      </c>
      <c r="K38" s="116">
        <v>0</v>
      </c>
      <c r="L38" s="152">
        <f t="shared" si="1"/>
        <v>90</v>
      </c>
      <c r="M38" s="117">
        <f t="shared" si="41"/>
        <v>97</v>
      </c>
      <c r="N38" s="114" t="s">
        <v>91</v>
      </c>
      <c r="O38" s="114" t="str">
        <f>VLOOKUP($N38,'UMC Table 4-A'!$A$10:$E$139,2,FALSE)</f>
        <v>NO REQUIREMENT FOR CONTINUOUS DIRECTIONAL CONTROL</v>
      </c>
      <c r="P38" s="112">
        <f>VLOOKUP($N38,'UMC Table 4-A'!$A$10:$E$139,3,FALSE)</f>
        <v>2</v>
      </c>
      <c r="Q38" s="152">
        <f t="shared" si="2"/>
        <v>30</v>
      </c>
      <c r="R38" s="112" t="str">
        <f>VLOOKUP($N38,'UMC Table 4-A'!$A$10:$E$139,5,FALSE)</f>
        <v>NR</v>
      </c>
      <c r="S38" s="113">
        <f t="shared" si="3"/>
        <v>100</v>
      </c>
      <c r="T38" s="137">
        <f t="shared" si="4"/>
        <v>100</v>
      </c>
      <c r="U38" s="137">
        <f t="shared" si="5"/>
        <v>100</v>
      </c>
      <c r="V38" s="137">
        <f t="shared" si="6"/>
        <v>0</v>
      </c>
      <c r="W38" s="89">
        <f t="shared" si="7"/>
        <v>0</v>
      </c>
      <c r="X38" s="31" t="str">
        <f t="shared" si="8"/>
        <v>Yes</v>
      </c>
      <c r="Y38" s="32">
        <f t="shared" si="9"/>
        <v>1.0309278350515463</v>
      </c>
      <c r="Z38" s="70">
        <f t="shared" si="10"/>
        <v>30</v>
      </c>
      <c r="AA38" s="32">
        <f t="shared" si="11"/>
        <v>6.8728522336769746</v>
      </c>
      <c r="AD38" s="113" t="s">
        <v>431</v>
      </c>
      <c r="AE38" s="113" t="s">
        <v>203</v>
      </c>
      <c r="AF38" s="113" t="s">
        <v>209</v>
      </c>
      <c r="AG38" s="112">
        <f t="shared" si="12"/>
        <v>345</v>
      </c>
      <c r="AH38" s="112">
        <f t="shared" si="13"/>
        <v>6</v>
      </c>
      <c r="AI38" s="112">
        <f t="shared" si="18"/>
        <v>3</v>
      </c>
      <c r="AJ38" s="112">
        <f t="shared" si="19"/>
        <v>0.5</v>
      </c>
      <c r="AK38" s="112">
        <f t="shared" ref="AK38:AN38" si="54">AK37</f>
        <v>140</v>
      </c>
      <c r="AL38" s="112">
        <f t="shared" si="54"/>
        <v>100</v>
      </c>
      <c r="AM38" s="112">
        <f t="shared" si="54"/>
        <v>55</v>
      </c>
      <c r="AN38" s="112">
        <f t="shared" si="54"/>
        <v>85</v>
      </c>
      <c r="AO38" s="112">
        <f t="shared" si="21"/>
        <v>11.200000000000001</v>
      </c>
      <c r="AP38" s="115">
        <f t="shared" si="22"/>
        <v>0.56000000000000005</v>
      </c>
      <c r="AQ38" s="115">
        <f t="shared" si="16"/>
        <v>0.56000000000000005</v>
      </c>
      <c r="AR38" s="115">
        <f t="shared" si="23"/>
        <v>5</v>
      </c>
      <c r="AS38" s="115">
        <f t="shared" si="14"/>
        <v>30</v>
      </c>
      <c r="AT38" s="115" t="str">
        <f t="shared" si="24"/>
        <v>F5/M-503</v>
      </c>
      <c r="AU38" s="112" t="str">
        <f t="shared" si="25"/>
        <v>1, 2</v>
      </c>
    </row>
    <row r="39" spans="2:48" ht="15" customHeight="1" x14ac:dyDescent="0.2">
      <c r="B39" s="160"/>
      <c r="C39" s="121" t="s">
        <v>419</v>
      </c>
      <c r="D39" s="121" t="s">
        <v>508</v>
      </c>
      <c r="E39" s="158" t="s">
        <v>509</v>
      </c>
      <c r="F39" s="158">
        <v>144</v>
      </c>
      <c r="G39" s="173">
        <v>9</v>
      </c>
      <c r="H39" s="114">
        <f>VLOOKUP($N39,'UMC Table 4-A'!$A$10:$E$139,4,FALSE)</f>
        <v>6</v>
      </c>
      <c r="I39" s="114" t="str">
        <f>VLOOKUP($N39,'UMC Table 4-A'!$A$10:$E$139,5,FALSE)</f>
        <v>NR</v>
      </c>
      <c r="J39" s="111" t="str">
        <f t="shared" si="0"/>
        <v>-</v>
      </c>
      <c r="K39" s="116">
        <v>0</v>
      </c>
      <c r="L39" s="152">
        <f t="shared" si="1"/>
        <v>130</v>
      </c>
      <c r="M39" s="117">
        <f t="shared" si="41"/>
        <v>144</v>
      </c>
      <c r="N39" s="114" t="s">
        <v>91</v>
      </c>
      <c r="O39" s="114" t="str">
        <f>VLOOKUP($N39,'UMC Table 4-A'!$A$10:$E$139,2,FALSE)</f>
        <v>NO REQUIREMENT FOR CONTINUOUS DIRECTIONAL CONTROL</v>
      </c>
      <c r="P39" s="112">
        <f>VLOOKUP($N39,'UMC Table 4-A'!$A$10:$E$139,3,FALSE)</f>
        <v>2</v>
      </c>
      <c r="Q39" s="152">
        <f t="shared" si="2"/>
        <v>50</v>
      </c>
      <c r="R39" s="112" t="str">
        <f>VLOOKUP($N39,'UMC Table 4-A'!$A$10:$E$139,5,FALSE)</f>
        <v>NR</v>
      </c>
      <c r="S39" s="113">
        <f t="shared" si="3"/>
        <v>145</v>
      </c>
      <c r="T39" s="137">
        <f t="shared" si="4"/>
        <v>145</v>
      </c>
      <c r="U39" s="137">
        <f t="shared" si="5"/>
        <v>145</v>
      </c>
      <c r="V39" s="137">
        <f t="shared" si="6"/>
        <v>0</v>
      </c>
      <c r="W39" s="89">
        <f t="shared" si="7"/>
        <v>0</v>
      </c>
      <c r="X39" s="31" t="str">
        <f t="shared" si="8"/>
        <v>Yes</v>
      </c>
      <c r="Y39" s="32">
        <f t="shared" si="9"/>
        <v>1.0069444444444444</v>
      </c>
      <c r="Z39" s="70">
        <f t="shared" si="10"/>
        <v>34.482758620689658</v>
      </c>
      <c r="AA39" s="32">
        <f t="shared" si="11"/>
        <v>6.7129629629629628</v>
      </c>
      <c r="AD39" s="113" t="s">
        <v>432</v>
      </c>
      <c r="AE39" s="113" t="s">
        <v>203</v>
      </c>
      <c r="AF39" s="113" t="s">
        <v>209</v>
      </c>
      <c r="AG39" s="112">
        <f t="shared" si="12"/>
        <v>630</v>
      </c>
      <c r="AH39" s="112">
        <f t="shared" si="13"/>
        <v>8</v>
      </c>
      <c r="AI39" s="112">
        <f t="shared" si="18"/>
        <v>4</v>
      </c>
      <c r="AJ39" s="112">
        <f t="shared" si="19"/>
        <v>0.5</v>
      </c>
      <c r="AK39" s="112">
        <f t="shared" ref="AK39:AN39" si="55">AK38</f>
        <v>140</v>
      </c>
      <c r="AL39" s="112">
        <f t="shared" si="55"/>
        <v>100</v>
      </c>
      <c r="AM39" s="112">
        <f t="shared" si="55"/>
        <v>55</v>
      </c>
      <c r="AN39" s="112">
        <f t="shared" si="55"/>
        <v>85</v>
      </c>
      <c r="AO39" s="112">
        <f t="shared" si="21"/>
        <v>20.400000000000002</v>
      </c>
      <c r="AP39" s="115">
        <f t="shared" si="22"/>
        <v>1.0200000000000002</v>
      </c>
      <c r="AQ39" s="115">
        <f t="shared" si="16"/>
        <v>1.0200000000000002</v>
      </c>
      <c r="AR39" s="115">
        <f t="shared" si="23"/>
        <v>5</v>
      </c>
      <c r="AS39" s="115">
        <f t="shared" si="14"/>
        <v>30</v>
      </c>
      <c r="AT39" s="115" t="str">
        <f t="shared" si="24"/>
        <v>F5/M-503</v>
      </c>
      <c r="AU39" s="112" t="str">
        <f t="shared" si="25"/>
        <v>1, 2</v>
      </c>
    </row>
    <row r="40" spans="2:48" ht="15" customHeight="1" x14ac:dyDescent="0.2">
      <c r="B40" s="160"/>
      <c r="C40" s="121" t="s">
        <v>420</v>
      </c>
      <c r="D40" s="121" t="s">
        <v>510</v>
      </c>
      <c r="E40" s="158" t="s">
        <v>511</v>
      </c>
      <c r="F40" s="158">
        <v>162</v>
      </c>
      <c r="G40" s="173">
        <v>9</v>
      </c>
      <c r="H40" s="114">
        <f>VLOOKUP($N40,'UMC Table 4-A'!$A$10:$E$139,4,FALSE)</f>
        <v>6</v>
      </c>
      <c r="I40" s="114" t="str">
        <f>VLOOKUP($N40,'UMC Table 4-A'!$A$10:$E$139,5,FALSE)</f>
        <v>NR</v>
      </c>
      <c r="J40" s="111" t="str">
        <f t="shared" ref="J40:J70" si="56">IF(I40="Yes",L40,"-")</f>
        <v>-</v>
      </c>
      <c r="K40" s="116">
        <v>0</v>
      </c>
      <c r="L40" s="152">
        <f t="shared" ref="L40:L70" si="57">IF(H40&lt;&gt;"NR",ROUNDUP((F40*G40*H40)/60,-1),0)</f>
        <v>150</v>
      </c>
      <c r="M40" s="117">
        <f t="shared" si="41"/>
        <v>162</v>
      </c>
      <c r="N40" s="114" t="s">
        <v>91</v>
      </c>
      <c r="O40" s="114" t="str">
        <f>VLOOKUP($N40,'UMC Table 4-A'!$A$10:$E$139,2,FALSE)</f>
        <v>NO REQUIREMENT FOR CONTINUOUS DIRECTIONAL CONTROL</v>
      </c>
      <c r="P40" s="112">
        <f>VLOOKUP($N40,'UMC Table 4-A'!$A$10:$E$139,3,FALSE)</f>
        <v>2</v>
      </c>
      <c r="Q40" s="152">
        <f t="shared" ref="Q40:Q70" si="58">IF(P40&lt;&gt;"NR",ROUNDUP((F40*G40*P40)/60,-1),0)</f>
        <v>50</v>
      </c>
      <c r="R40" s="112" t="str">
        <f>VLOOKUP($N40,'UMC Table 4-A'!$A$10:$E$139,5,FALSE)</f>
        <v>NR</v>
      </c>
      <c r="S40" s="113">
        <f t="shared" ref="S40:S70" si="59">IF(O40="Negative",IF(OR(N40="Toilet room",N40="Janitor's closet, housekeeping"),0,IF(0.1*V40&gt;50,220-0.1*V40,V40-50)),IF(R40="Yes",0,CEILING(MAX(K40:M40),5)))</f>
        <v>165</v>
      </c>
      <c r="T40" s="137">
        <f t="shared" ref="T40:T70" si="60">S40</f>
        <v>165</v>
      </c>
      <c r="U40" s="137">
        <f t="shared" ref="U40:U70" si="61">IF(R40="Yes",0,IF(O40="Positive",IF(0.1*S40&gt;50,S40-0.1*S40,S40-50),IF(O40="Negative",IF(0.1*S40&gt;50,S40+0.1*S40,S40+50),S40)))</f>
        <v>165</v>
      </c>
      <c r="V40" s="137">
        <f t="shared" ref="V40:V70" si="62">IF(R40="Yes",J40,0)</f>
        <v>0</v>
      </c>
      <c r="W40" s="89">
        <f t="shared" ref="W40:W70" si="63">T40-U40-V40</f>
        <v>0</v>
      </c>
      <c r="X40" s="31" t="str">
        <f t="shared" ref="X40:X70" si="64">IF(S40-U40-V40+W40=0,"Yes","No")</f>
        <v>Yes</v>
      </c>
      <c r="Y40" s="32">
        <f t="shared" ref="Y40:Y70" si="65">S40/F40</f>
        <v>1.0185185185185186</v>
      </c>
      <c r="Z40" s="70">
        <f t="shared" ref="Z40:Z70" si="66">(Q40/T40)*100</f>
        <v>30.303030303030305</v>
      </c>
      <c r="AA40" s="32">
        <f t="shared" ref="AA40:AA70" si="67">S40/F40/G40*60</f>
        <v>6.7901234567901243</v>
      </c>
      <c r="AD40" s="113" t="s">
        <v>433</v>
      </c>
      <c r="AE40" s="113" t="s">
        <v>203</v>
      </c>
      <c r="AF40" s="113" t="s">
        <v>209</v>
      </c>
      <c r="AG40" s="112">
        <f t="shared" si="12"/>
        <v>270</v>
      </c>
      <c r="AH40" s="112">
        <f t="shared" si="13"/>
        <v>6</v>
      </c>
      <c r="AI40" s="112">
        <f t="shared" si="18"/>
        <v>3</v>
      </c>
      <c r="AJ40" s="112">
        <f t="shared" si="19"/>
        <v>0.5</v>
      </c>
      <c r="AK40" s="112">
        <f t="shared" ref="AK40:AN40" si="68">AK39</f>
        <v>140</v>
      </c>
      <c r="AL40" s="112">
        <f t="shared" si="68"/>
        <v>100</v>
      </c>
      <c r="AM40" s="112">
        <f t="shared" si="68"/>
        <v>55</v>
      </c>
      <c r="AN40" s="112">
        <f t="shared" si="68"/>
        <v>85</v>
      </c>
      <c r="AO40" s="112">
        <f t="shared" si="21"/>
        <v>8.7000000000000011</v>
      </c>
      <c r="AP40" s="115">
        <f t="shared" si="22"/>
        <v>0.43500000000000011</v>
      </c>
      <c r="AQ40" s="115">
        <f t="shared" si="16"/>
        <v>0.5</v>
      </c>
      <c r="AR40" s="115">
        <f t="shared" si="23"/>
        <v>5</v>
      </c>
      <c r="AS40" s="115">
        <f t="shared" si="14"/>
        <v>30</v>
      </c>
      <c r="AT40" s="115" t="str">
        <f t="shared" si="24"/>
        <v>F5/M-503</v>
      </c>
      <c r="AU40" s="112" t="str">
        <f t="shared" si="25"/>
        <v>1, 2</v>
      </c>
    </row>
    <row r="41" spans="2:48" ht="15" customHeight="1" x14ac:dyDescent="0.2">
      <c r="B41" s="160"/>
      <c r="C41" s="121" t="s">
        <v>421</v>
      </c>
      <c r="D41" s="121" t="s">
        <v>512</v>
      </c>
      <c r="E41" s="158" t="s">
        <v>513</v>
      </c>
      <c r="F41" s="158">
        <v>102</v>
      </c>
      <c r="G41" s="173">
        <v>9</v>
      </c>
      <c r="H41" s="114">
        <f>VLOOKUP($N41,'UMC Table 4-A'!$A$10:$E$139,4,FALSE)</f>
        <v>6</v>
      </c>
      <c r="I41" s="114" t="str">
        <f>VLOOKUP($N41,'UMC Table 4-A'!$A$10:$E$139,5,FALSE)</f>
        <v>NR</v>
      </c>
      <c r="J41" s="111" t="str">
        <f t="shared" si="56"/>
        <v>-</v>
      </c>
      <c r="K41" s="116">
        <v>0</v>
      </c>
      <c r="L41" s="152">
        <f t="shared" si="57"/>
        <v>100</v>
      </c>
      <c r="M41" s="117">
        <f t="shared" si="41"/>
        <v>102</v>
      </c>
      <c r="N41" s="114" t="s">
        <v>91</v>
      </c>
      <c r="O41" s="114" t="str">
        <f>VLOOKUP($N41,'UMC Table 4-A'!$A$10:$E$139,2,FALSE)</f>
        <v>NO REQUIREMENT FOR CONTINUOUS DIRECTIONAL CONTROL</v>
      </c>
      <c r="P41" s="112">
        <f>VLOOKUP($N41,'UMC Table 4-A'!$A$10:$E$139,3,FALSE)</f>
        <v>2</v>
      </c>
      <c r="Q41" s="152">
        <f t="shared" si="58"/>
        <v>40</v>
      </c>
      <c r="R41" s="112" t="str">
        <f>VLOOKUP($N41,'UMC Table 4-A'!$A$10:$E$139,5,FALSE)</f>
        <v>NR</v>
      </c>
      <c r="S41" s="113">
        <f t="shared" si="59"/>
        <v>105</v>
      </c>
      <c r="T41" s="137">
        <f t="shared" si="60"/>
        <v>105</v>
      </c>
      <c r="U41" s="137">
        <f t="shared" si="61"/>
        <v>105</v>
      </c>
      <c r="V41" s="137">
        <f t="shared" si="62"/>
        <v>0</v>
      </c>
      <c r="W41" s="89">
        <f t="shared" si="63"/>
        <v>0</v>
      </c>
      <c r="X41" s="31" t="str">
        <f t="shared" si="64"/>
        <v>Yes</v>
      </c>
      <c r="Y41" s="32">
        <f t="shared" si="65"/>
        <v>1.0294117647058822</v>
      </c>
      <c r="Z41" s="70">
        <f t="shared" si="66"/>
        <v>38.095238095238095</v>
      </c>
      <c r="AA41" s="32">
        <f t="shared" si="67"/>
        <v>6.8627450980392144</v>
      </c>
      <c r="AD41" s="113" t="s">
        <v>434</v>
      </c>
      <c r="AE41" s="113" t="s">
        <v>203</v>
      </c>
      <c r="AF41" s="113" t="s">
        <v>209</v>
      </c>
      <c r="AG41" s="112">
        <f t="shared" si="12"/>
        <v>1870</v>
      </c>
      <c r="AH41" s="112">
        <f t="shared" si="13"/>
        <v>14</v>
      </c>
      <c r="AI41" s="112">
        <f t="shared" si="18"/>
        <v>7</v>
      </c>
      <c r="AJ41" s="112">
        <f t="shared" si="19"/>
        <v>0.5</v>
      </c>
      <c r="AK41" s="112">
        <f t="shared" ref="AK41:AN41" si="69">AK40</f>
        <v>140</v>
      </c>
      <c r="AL41" s="112">
        <f t="shared" si="69"/>
        <v>100</v>
      </c>
      <c r="AM41" s="112">
        <f t="shared" si="69"/>
        <v>55</v>
      </c>
      <c r="AN41" s="112">
        <f t="shared" si="69"/>
        <v>85</v>
      </c>
      <c r="AO41" s="112">
        <f t="shared" si="21"/>
        <v>60.6</v>
      </c>
      <c r="AP41" s="115">
        <f t="shared" si="22"/>
        <v>3.03</v>
      </c>
      <c r="AQ41" s="115">
        <f t="shared" si="16"/>
        <v>3.03</v>
      </c>
      <c r="AR41" s="115">
        <f t="shared" si="23"/>
        <v>5</v>
      </c>
      <c r="AS41" s="115">
        <f t="shared" si="14"/>
        <v>55</v>
      </c>
      <c r="AT41" s="115" t="str">
        <f t="shared" si="24"/>
        <v>F5/M-503</v>
      </c>
      <c r="AU41" s="112" t="str">
        <f t="shared" si="25"/>
        <v>1, 2</v>
      </c>
    </row>
    <row r="42" spans="2:48" ht="15" customHeight="1" x14ac:dyDescent="0.2">
      <c r="B42" s="160"/>
      <c r="C42" s="121" t="s">
        <v>421</v>
      </c>
      <c r="D42" s="121" t="s">
        <v>514</v>
      </c>
      <c r="E42" s="158" t="s">
        <v>515</v>
      </c>
      <c r="F42" s="158">
        <v>101</v>
      </c>
      <c r="G42" s="173">
        <v>9</v>
      </c>
      <c r="H42" s="114">
        <f>VLOOKUP($N42,'UMC Table 4-A'!$A$10:$E$139,4,FALSE)</f>
        <v>6</v>
      </c>
      <c r="I42" s="114" t="str">
        <f>VLOOKUP($N42,'UMC Table 4-A'!$A$10:$E$139,5,FALSE)</f>
        <v>NR</v>
      </c>
      <c r="J42" s="111" t="str">
        <f t="shared" si="56"/>
        <v>-</v>
      </c>
      <c r="K42" s="116">
        <v>0</v>
      </c>
      <c r="L42" s="152">
        <f t="shared" si="57"/>
        <v>100</v>
      </c>
      <c r="M42" s="117">
        <f t="shared" si="41"/>
        <v>101</v>
      </c>
      <c r="N42" s="114" t="s">
        <v>91</v>
      </c>
      <c r="O42" s="114" t="str">
        <f>VLOOKUP($N42,'UMC Table 4-A'!$A$10:$E$139,2,FALSE)</f>
        <v>NO REQUIREMENT FOR CONTINUOUS DIRECTIONAL CONTROL</v>
      </c>
      <c r="P42" s="112">
        <f>VLOOKUP($N42,'UMC Table 4-A'!$A$10:$E$139,3,FALSE)</f>
        <v>2</v>
      </c>
      <c r="Q42" s="152">
        <f t="shared" si="58"/>
        <v>40</v>
      </c>
      <c r="R42" s="112" t="str">
        <f>VLOOKUP($N42,'UMC Table 4-A'!$A$10:$E$139,5,FALSE)</f>
        <v>NR</v>
      </c>
      <c r="S42" s="113">
        <f t="shared" si="59"/>
        <v>105</v>
      </c>
      <c r="T42" s="137">
        <f t="shared" si="60"/>
        <v>105</v>
      </c>
      <c r="U42" s="137">
        <f t="shared" si="61"/>
        <v>105</v>
      </c>
      <c r="V42" s="137">
        <f t="shared" si="62"/>
        <v>0</v>
      </c>
      <c r="W42" s="89">
        <f t="shared" si="63"/>
        <v>0</v>
      </c>
      <c r="X42" s="31" t="str">
        <f t="shared" si="64"/>
        <v>Yes</v>
      </c>
      <c r="Y42" s="32">
        <f t="shared" si="65"/>
        <v>1.0396039603960396</v>
      </c>
      <c r="Z42" s="70">
        <f t="shared" si="66"/>
        <v>38.095238095238095</v>
      </c>
      <c r="AA42" s="32">
        <f t="shared" si="67"/>
        <v>6.9306930693069315</v>
      </c>
      <c r="AD42" s="113" t="s">
        <v>435</v>
      </c>
      <c r="AE42" s="113" t="s">
        <v>203</v>
      </c>
      <c r="AF42" s="113" t="s">
        <v>209</v>
      </c>
      <c r="AG42" s="112">
        <f t="shared" si="12"/>
        <v>195</v>
      </c>
      <c r="AH42" s="112">
        <f t="shared" si="13"/>
        <v>6</v>
      </c>
      <c r="AI42" s="112">
        <f t="shared" si="18"/>
        <v>3</v>
      </c>
      <c r="AJ42" s="112">
        <f t="shared" si="19"/>
        <v>0.5</v>
      </c>
      <c r="AK42" s="112">
        <f t="shared" ref="AK42:AN42" si="70">AK41</f>
        <v>140</v>
      </c>
      <c r="AL42" s="112">
        <f t="shared" si="70"/>
        <v>100</v>
      </c>
      <c r="AM42" s="112">
        <f t="shared" si="70"/>
        <v>55</v>
      </c>
      <c r="AN42" s="112">
        <f t="shared" si="70"/>
        <v>85</v>
      </c>
      <c r="AO42" s="112">
        <f t="shared" si="21"/>
        <v>6.3000000000000007</v>
      </c>
      <c r="AP42" s="115">
        <f t="shared" si="22"/>
        <v>0.31500000000000006</v>
      </c>
      <c r="AQ42" s="115">
        <f t="shared" si="16"/>
        <v>0.5</v>
      </c>
      <c r="AR42" s="115">
        <f t="shared" si="23"/>
        <v>5</v>
      </c>
      <c r="AS42" s="115">
        <f t="shared" si="14"/>
        <v>30</v>
      </c>
      <c r="AT42" s="115" t="str">
        <f t="shared" si="24"/>
        <v>F5/M-503</v>
      </c>
      <c r="AU42" s="112" t="str">
        <f t="shared" si="25"/>
        <v>1, 2</v>
      </c>
    </row>
    <row r="43" spans="2:48" ht="15" customHeight="1" x14ac:dyDescent="0.2">
      <c r="B43" s="160"/>
      <c r="C43" s="121" t="s">
        <v>422</v>
      </c>
      <c r="D43" s="121" t="s">
        <v>501</v>
      </c>
      <c r="E43" s="158" t="s">
        <v>516</v>
      </c>
      <c r="F43" s="158">
        <v>101</v>
      </c>
      <c r="G43" s="173">
        <v>9</v>
      </c>
      <c r="H43" s="114">
        <f>VLOOKUP($N43,'UMC Table 4-A'!$A$10:$E$139,4,FALSE)</f>
        <v>6</v>
      </c>
      <c r="I43" s="114" t="str">
        <f>VLOOKUP($N43,'UMC Table 4-A'!$A$10:$E$139,5,FALSE)</f>
        <v>NR</v>
      </c>
      <c r="J43" s="111" t="str">
        <f t="shared" si="56"/>
        <v>-</v>
      </c>
      <c r="K43" s="116">
        <v>0</v>
      </c>
      <c r="L43" s="152">
        <f t="shared" si="57"/>
        <v>100</v>
      </c>
      <c r="M43" s="117">
        <f t="shared" si="41"/>
        <v>101</v>
      </c>
      <c r="N43" s="114" t="s">
        <v>91</v>
      </c>
      <c r="O43" s="114" t="str">
        <f>VLOOKUP($N43,'UMC Table 4-A'!$A$10:$E$139,2,FALSE)</f>
        <v>NO REQUIREMENT FOR CONTINUOUS DIRECTIONAL CONTROL</v>
      </c>
      <c r="P43" s="112">
        <f>VLOOKUP($N43,'UMC Table 4-A'!$A$10:$E$139,3,FALSE)</f>
        <v>2</v>
      </c>
      <c r="Q43" s="152">
        <f t="shared" si="58"/>
        <v>40</v>
      </c>
      <c r="R43" s="112" t="str">
        <f>VLOOKUP($N43,'UMC Table 4-A'!$A$10:$E$139,5,FALSE)</f>
        <v>NR</v>
      </c>
      <c r="S43" s="113">
        <f t="shared" si="59"/>
        <v>105</v>
      </c>
      <c r="T43" s="137">
        <f t="shared" si="60"/>
        <v>105</v>
      </c>
      <c r="U43" s="137">
        <f t="shared" si="61"/>
        <v>105</v>
      </c>
      <c r="V43" s="137">
        <f t="shared" si="62"/>
        <v>0</v>
      </c>
      <c r="W43" s="89">
        <f t="shared" si="63"/>
        <v>0</v>
      </c>
      <c r="X43" s="31" t="str">
        <f t="shared" si="64"/>
        <v>Yes</v>
      </c>
      <c r="Y43" s="32">
        <f t="shared" si="65"/>
        <v>1.0396039603960396</v>
      </c>
      <c r="Z43" s="70">
        <f t="shared" si="66"/>
        <v>38.095238095238095</v>
      </c>
      <c r="AA43" s="32">
        <f t="shared" si="67"/>
        <v>6.9306930693069315</v>
      </c>
      <c r="AD43" s="113" t="s">
        <v>436</v>
      </c>
      <c r="AE43" s="113" t="s">
        <v>203</v>
      </c>
      <c r="AF43" s="113" t="s">
        <v>209</v>
      </c>
      <c r="AG43" s="112">
        <f t="shared" si="12"/>
        <v>255</v>
      </c>
      <c r="AH43" s="112">
        <f t="shared" si="13"/>
        <v>6</v>
      </c>
      <c r="AI43" s="112">
        <f t="shared" si="18"/>
        <v>3</v>
      </c>
      <c r="AJ43" s="112">
        <f t="shared" si="19"/>
        <v>0.5</v>
      </c>
      <c r="AK43" s="112">
        <f t="shared" ref="AK43:AN43" si="71">AK42</f>
        <v>140</v>
      </c>
      <c r="AL43" s="112">
        <f t="shared" si="71"/>
        <v>100</v>
      </c>
      <c r="AM43" s="112">
        <f t="shared" si="71"/>
        <v>55</v>
      </c>
      <c r="AN43" s="112">
        <f t="shared" si="71"/>
        <v>85</v>
      </c>
      <c r="AO43" s="112">
        <f t="shared" si="21"/>
        <v>8.3000000000000007</v>
      </c>
      <c r="AP43" s="115">
        <f t="shared" si="22"/>
        <v>0.41499999999999998</v>
      </c>
      <c r="AQ43" s="115">
        <f t="shared" si="16"/>
        <v>0.5</v>
      </c>
      <c r="AR43" s="115">
        <f t="shared" si="23"/>
        <v>5</v>
      </c>
      <c r="AS43" s="115">
        <f t="shared" si="14"/>
        <v>30</v>
      </c>
      <c r="AT43" s="115" t="str">
        <f>AT42</f>
        <v>F5/M-503</v>
      </c>
      <c r="AU43" s="112" t="str">
        <f t="shared" si="25"/>
        <v>1, 2</v>
      </c>
    </row>
    <row r="44" spans="2:48" ht="15" customHeight="1" x14ac:dyDescent="0.2">
      <c r="B44" s="160"/>
      <c r="C44" s="121" t="s">
        <v>422</v>
      </c>
      <c r="D44" s="121" t="s">
        <v>517</v>
      </c>
      <c r="E44" s="158" t="s">
        <v>518</v>
      </c>
      <c r="F44" s="158">
        <v>102</v>
      </c>
      <c r="G44" s="173">
        <v>9</v>
      </c>
      <c r="H44" s="114">
        <f>VLOOKUP($N44,'UMC Table 4-A'!$A$10:$E$139,4,FALSE)</f>
        <v>6</v>
      </c>
      <c r="I44" s="114" t="str">
        <f>VLOOKUP($N44,'UMC Table 4-A'!$A$10:$E$139,5,FALSE)</f>
        <v>NR</v>
      </c>
      <c r="J44" s="111" t="str">
        <f t="shared" si="56"/>
        <v>-</v>
      </c>
      <c r="K44" s="116">
        <v>0</v>
      </c>
      <c r="L44" s="152">
        <f t="shared" si="57"/>
        <v>100</v>
      </c>
      <c r="M44" s="117">
        <f t="shared" si="41"/>
        <v>102</v>
      </c>
      <c r="N44" s="114" t="s">
        <v>91</v>
      </c>
      <c r="O44" s="114" t="str">
        <f>VLOOKUP($N44,'UMC Table 4-A'!$A$10:$E$139,2,FALSE)</f>
        <v>NO REQUIREMENT FOR CONTINUOUS DIRECTIONAL CONTROL</v>
      </c>
      <c r="P44" s="112">
        <f>VLOOKUP($N44,'UMC Table 4-A'!$A$10:$E$139,3,FALSE)</f>
        <v>2</v>
      </c>
      <c r="Q44" s="152">
        <f t="shared" si="58"/>
        <v>40</v>
      </c>
      <c r="R44" s="112" t="str">
        <f>VLOOKUP($N44,'UMC Table 4-A'!$A$10:$E$139,5,FALSE)</f>
        <v>NR</v>
      </c>
      <c r="S44" s="113">
        <f t="shared" si="59"/>
        <v>105</v>
      </c>
      <c r="T44" s="137">
        <f t="shared" si="60"/>
        <v>105</v>
      </c>
      <c r="U44" s="137">
        <f t="shared" si="61"/>
        <v>105</v>
      </c>
      <c r="V44" s="137">
        <f t="shared" si="62"/>
        <v>0</v>
      </c>
      <c r="W44" s="89">
        <f t="shared" si="63"/>
        <v>0</v>
      </c>
      <c r="X44" s="31" t="str">
        <f t="shared" si="64"/>
        <v>Yes</v>
      </c>
      <c r="Y44" s="32">
        <f t="shared" si="65"/>
        <v>1.0294117647058822</v>
      </c>
      <c r="Z44" s="70">
        <f t="shared" si="66"/>
        <v>38.095238095238095</v>
      </c>
      <c r="AA44" s="32">
        <f t="shared" si="67"/>
        <v>6.8627450980392144</v>
      </c>
      <c r="AD44" s="113" t="s">
        <v>437</v>
      </c>
      <c r="AE44" s="113" t="s">
        <v>203</v>
      </c>
      <c r="AF44" s="113" t="s">
        <v>209</v>
      </c>
      <c r="AG44" s="112">
        <f t="shared" si="12"/>
        <v>120</v>
      </c>
      <c r="AH44" s="112">
        <f t="shared" si="13"/>
        <v>6</v>
      </c>
      <c r="AI44" s="112">
        <f t="shared" si="18"/>
        <v>3</v>
      </c>
      <c r="AJ44" s="112">
        <f t="shared" si="19"/>
        <v>0.5</v>
      </c>
      <c r="AK44" s="112">
        <f t="shared" ref="AK44:AN45" si="72">AK43</f>
        <v>140</v>
      </c>
      <c r="AL44" s="112">
        <f t="shared" si="72"/>
        <v>100</v>
      </c>
      <c r="AM44" s="112">
        <f t="shared" si="72"/>
        <v>55</v>
      </c>
      <c r="AN44" s="112">
        <f t="shared" si="72"/>
        <v>85</v>
      </c>
      <c r="AO44" s="112">
        <f t="shared" si="21"/>
        <v>3.9000000000000004</v>
      </c>
      <c r="AP44" s="115">
        <f t="shared" si="22"/>
        <v>0.19500000000000003</v>
      </c>
      <c r="AQ44" s="115">
        <f t="shared" si="16"/>
        <v>0.5</v>
      </c>
      <c r="AR44" s="115">
        <f t="shared" si="23"/>
        <v>5</v>
      </c>
      <c r="AS44" s="115">
        <f t="shared" si="14"/>
        <v>30</v>
      </c>
      <c r="AT44" s="115" t="str">
        <f t="shared" si="24"/>
        <v>F5/M-503</v>
      </c>
      <c r="AU44" s="112" t="str">
        <f t="shared" si="25"/>
        <v>1, 2</v>
      </c>
    </row>
    <row r="45" spans="2:48" ht="15" customHeight="1" x14ac:dyDescent="0.2">
      <c r="B45" s="160"/>
      <c r="C45" s="121" t="s">
        <v>423</v>
      </c>
      <c r="D45" s="121" t="s">
        <v>520</v>
      </c>
      <c r="E45" s="158" t="s">
        <v>521</v>
      </c>
      <c r="F45" s="158">
        <v>95</v>
      </c>
      <c r="G45" s="173">
        <v>11</v>
      </c>
      <c r="H45" s="114">
        <f>VLOOKUP($N45,'UMC Table 4-A'!$A$10:$E$139,4,FALSE)</f>
        <v>6</v>
      </c>
      <c r="I45" s="114" t="str">
        <f>VLOOKUP($N45,'UMC Table 4-A'!$A$10:$E$139,5,FALSE)</f>
        <v>NR</v>
      </c>
      <c r="J45" s="111" t="str">
        <f t="shared" si="56"/>
        <v>-</v>
      </c>
      <c r="K45" s="116">
        <v>0</v>
      </c>
      <c r="L45" s="152">
        <f t="shared" si="57"/>
        <v>110</v>
      </c>
      <c r="M45" s="117">
        <f t="shared" si="41"/>
        <v>95</v>
      </c>
      <c r="N45" s="114" t="s">
        <v>91</v>
      </c>
      <c r="O45" s="114" t="str">
        <f>VLOOKUP($N45,'UMC Table 4-A'!$A$10:$E$139,2,FALSE)</f>
        <v>NO REQUIREMENT FOR CONTINUOUS DIRECTIONAL CONTROL</v>
      </c>
      <c r="P45" s="112">
        <f>VLOOKUP($N45,'UMC Table 4-A'!$A$10:$E$139,3,FALSE)</f>
        <v>2</v>
      </c>
      <c r="Q45" s="152">
        <f t="shared" si="58"/>
        <v>40</v>
      </c>
      <c r="R45" s="112" t="str">
        <f>VLOOKUP($N45,'UMC Table 4-A'!$A$10:$E$139,5,FALSE)</f>
        <v>NR</v>
      </c>
      <c r="S45" s="113">
        <f t="shared" si="59"/>
        <v>110</v>
      </c>
      <c r="T45" s="137">
        <f t="shared" si="60"/>
        <v>110</v>
      </c>
      <c r="U45" s="137">
        <f t="shared" si="61"/>
        <v>110</v>
      </c>
      <c r="V45" s="137">
        <f t="shared" si="62"/>
        <v>0</v>
      </c>
      <c r="W45" s="89">
        <f t="shared" si="63"/>
        <v>0</v>
      </c>
      <c r="X45" s="31" t="str">
        <f t="shared" si="64"/>
        <v>Yes</v>
      </c>
      <c r="Y45" s="32">
        <f t="shared" si="65"/>
        <v>1.1578947368421053</v>
      </c>
      <c r="Z45" s="70">
        <f t="shared" si="66"/>
        <v>36.363636363636367</v>
      </c>
      <c r="AA45" s="32">
        <f t="shared" si="67"/>
        <v>6.3157894736842106</v>
      </c>
      <c r="AD45" s="113" t="s">
        <v>559</v>
      </c>
      <c r="AE45" s="113" t="s">
        <v>203</v>
      </c>
      <c r="AF45" s="113" t="s">
        <v>209</v>
      </c>
      <c r="AG45" s="112">
        <f t="shared" ref="AG45" si="73">SUMIF($C$8:$C$80,AD45,$T$8:$T$80)</f>
        <v>1260</v>
      </c>
      <c r="AH45" s="112">
        <f t="shared" ref="AH45" si="74">VLOOKUP(AG45,$AX$12:$AY$17,2,TRUE)</f>
        <v>12</v>
      </c>
      <c r="AI45" s="112">
        <f t="shared" ref="AI45" si="75">AH45/2</f>
        <v>6</v>
      </c>
      <c r="AJ45" s="112">
        <f t="shared" si="19"/>
        <v>0.5</v>
      </c>
      <c r="AK45" s="112">
        <f t="shared" si="72"/>
        <v>140</v>
      </c>
      <c r="AL45" s="112">
        <f t="shared" si="72"/>
        <v>100</v>
      </c>
      <c r="AM45" s="112">
        <f t="shared" si="72"/>
        <v>55</v>
      </c>
      <c r="AN45" s="112">
        <f t="shared" si="72"/>
        <v>85</v>
      </c>
      <c r="AO45" s="112">
        <f t="shared" ref="AO45" si="76">MROUND((1.08*(AN45-AM45)*AG45)/1000,0.1)</f>
        <v>40.800000000000004</v>
      </c>
      <c r="AP45" s="115">
        <f t="shared" ref="AP45" si="77">(AO45*1000)/(500*(AK45-AL45))</f>
        <v>2.0400000000000005</v>
      </c>
      <c r="AQ45" s="115">
        <f t="shared" ref="AQ45" si="78">IF(AP45&lt;0.5,0.5,AP45)</f>
        <v>2.0400000000000005</v>
      </c>
      <c r="AR45" s="115">
        <f t="shared" si="23"/>
        <v>5</v>
      </c>
      <c r="AS45" s="115">
        <f t="shared" ref="AS45" si="79">_xlfn.XLOOKUP(AH45,$AY$12:$AY$17,$AZ$12:$AZ$17,)</f>
        <v>45</v>
      </c>
      <c r="AT45" s="115" t="str">
        <f t="shared" si="24"/>
        <v>F5/M-503</v>
      </c>
      <c r="AU45" s="112" t="str">
        <f t="shared" si="25"/>
        <v>1, 2</v>
      </c>
      <c r="AV45" s="17"/>
    </row>
    <row r="46" spans="2:48" ht="15" customHeight="1" x14ac:dyDescent="0.2">
      <c r="B46" s="160"/>
      <c r="C46" s="121" t="s">
        <v>423</v>
      </c>
      <c r="D46" s="121" t="s">
        <v>522</v>
      </c>
      <c r="E46" s="158" t="s">
        <v>523</v>
      </c>
      <c r="F46" s="158">
        <v>1022</v>
      </c>
      <c r="G46" s="173">
        <v>10.5</v>
      </c>
      <c r="H46" s="114">
        <f>VLOOKUP($N46,'UMC Table 4-A'!$A$10:$E$139,4,FALSE)</f>
        <v>6</v>
      </c>
      <c r="I46" s="114" t="str">
        <f>VLOOKUP($N46,'UMC Table 4-A'!$A$10:$E$139,5,FALSE)</f>
        <v>NR</v>
      </c>
      <c r="J46" s="111" t="str">
        <f t="shared" si="56"/>
        <v>-</v>
      </c>
      <c r="K46" s="116">
        <v>0</v>
      </c>
      <c r="L46" s="152">
        <f t="shared" si="57"/>
        <v>1080</v>
      </c>
      <c r="M46" s="117">
        <f t="shared" si="41"/>
        <v>1022</v>
      </c>
      <c r="N46" s="114" t="s">
        <v>91</v>
      </c>
      <c r="O46" s="114" t="str">
        <f>VLOOKUP($N46,'UMC Table 4-A'!$A$10:$E$139,2,FALSE)</f>
        <v>NO REQUIREMENT FOR CONTINUOUS DIRECTIONAL CONTROL</v>
      </c>
      <c r="P46" s="112">
        <f>VLOOKUP($N46,'UMC Table 4-A'!$A$10:$E$139,3,FALSE)</f>
        <v>2</v>
      </c>
      <c r="Q46" s="152">
        <f t="shared" si="58"/>
        <v>360</v>
      </c>
      <c r="R46" s="112" t="str">
        <f>VLOOKUP($N46,'UMC Table 4-A'!$A$10:$E$139,5,FALSE)</f>
        <v>NR</v>
      </c>
      <c r="S46" s="113">
        <f t="shared" si="59"/>
        <v>1080</v>
      </c>
      <c r="T46" s="137">
        <f t="shared" si="60"/>
        <v>1080</v>
      </c>
      <c r="U46" s="137">
        <f t="shared" si="61"/>
        <v>1080</v>
      </c>
      <c r="V46" s="137">
        <f t="shared" si="62"/>
        <v>0</v>
      </c>
      <c r="W46" s="89">
        <f t="shared" si="63"/>
        <v>0</v>
      </c>
      <c r="X46" s="31" t="str">
        <f t="shared" si="64"/>
        <v>Yes</v>
      </c>
      <c r="Y46" s="32">
        <f t="shared" si="65"/>
        <v>1.0567514677103718</v>
      </c>
      <c r="Z46" s="70">
        <f t="shared" si="66"/>
        <v>33.333333333333329</v>
      </c>
      <c r="AA46" s="32">
        <f t="shared" si="67"/>
        <v>6.0385798154878385</v>
      </c>
      <c r="AD46" s="184" t="s">
        <v>207</v>
      </c>
      <c r="AE46" s="185"/>
      <c r="AF46" s="185"/>
      <c r="AG46" s="185"/>
      <c r="AH46" s="185"/>
      <c r="AI46" s="185"/>
      <c r="AJ46" s="185"/>
      <c r="AK46" s="185"/>
      <c r="AL46" s="185"/>
      <c r="AM46" s="185"/>
      <c r="AN46" s="185"/>
      <c r="AO46" s="185"/>
      <c r="AP46" s="185"/>
      <c r="AQ46" s="185"/>
      <c r="AR46" s="185"/>
      <c r="AS46" s="185"/>
      <c r="AT46" s="185"/>
      <c r="AU46" s="186"/>
      <c r="AV46" s="17"/>
    </row>
    <row r="47" spans="2:48" ht="15" customHeight="1" x14ac:dyDescent="0.2">
      <c r="B47" s="160"/>
      <c r="C47" s="121" t="s">
        <v>423</v>
      </c>
      <c r="D47" s="121" t="s">
        <v>508</v>
      </c>
      <c r="E47" s="158" t="s">
        <v>519</v>
      </c>
      <c r="F47" s="158">
        <v>97</v>
      </c>
      <c r="G47" s="173">
        <v>11</v>
      </c>
      <c r="H47" s="114">
        <f>VLOOKUP($N47,'UMC Table 4-A'!$A$10:$E$139,4,FALSE)</f>
        <v>6</v>
      </c>
      <c r="I47" s="114" t="str">
        <f>VLOOKUP($N47,'UMC Table 4-A'!$A$10:$E$139,5,FALSE)</f>
        <v>NR</v>
      </c>
      <c r="J47" s="111" t="str">
        <f t="shared" si="56"/>
        <v>-</v>
      </c>
      <c r="K47" s="116">
        <v>0</v>
      </c>
      <c r="L47" s="152">
        <f t="shared" si="57"/>
        <v>110</v>
      </c>
      <c r="M47" s="117">
        <f t="shared" si="41"/>
        <v>97</v>
      </c>
      <c r="N47" s="114" t="s">
        <v>91</v>
      </c>
      <c r="O47" s="114" t="str">
        <f>VLOOKUP($N47,'UMC Table 4-A'!$A$10:$E$139,2,FALSE)</f>
        <v>NO REQUIREMENT FOR CONTINUOUS DIRECTIONAL CONTROL</v>
      </c>
      <c r="P47" s="112">
        <f>VLOOKUP($N47,'UMC Table 4-A'!$A$10:$E$139,3,FALSE)</f>
        <v>2</v>
      </c>
      <c r="Q47" s="152">
        <f t="shared" si="58"/>
        <v>40</v>
      </c>
      <c r="R47" s="112" t="str">
        <f>VLOOKUP($N47,'UMC Table 4-A'!$A$10:$E$139,5,FALSE)</f>
        <v>NR</v>
      </c>
      <c r="S47" s="113">
        <f t="shared" si="59"/>
        <v>110</v>
      </c>
      <c r="T47" s="137">
        <f t="shared" si="60"/>
        <v>110</v>
      </c>
      <c r="U47" s="137">
        <f t="shared" si="61"/>
        <v>110</v>
      </c>
      <c r="V47" s="137">
        <f t="shared" si="62"/>
        <v>0</v>
      </c>
      <c r="W47" s="89">
        <f t="shared" si="63"/>
        <v>0</v>
      </c>
      <c r="X47" s="31" t="str">
        <f t="shared" si="64"/>
        <v>Yes</v>
      </c>
      <c r="Y47" s="32">
        <f t="shared" si="65"/>
        <v>1.134020618556701</v>
      </c>
      <c r="Z47" s="70">
        <f t="shared" si="66"/>
        <v>36.363636363636367</v>
      </c>
      <c r="AA47" s="32">
        <f t="shared" si="67"/>
        <v>6.1855670103092777</v>
      </c>
      <c r="AD47" s="187"/>
      <c r="AE47" s="188"/>
      <c r="AF47" s="188"/>
      <c r="AG47" s="188"/>
      <c r="AH47" s="188"/>
      <c r="AI47" s="188"/>
      <c r="AJ47" s="188"/>
      <c r="AK47" s="188"/>
      <c r="AL47" s="188"/>
      <c r="AM47" s="188"/>
      <c r="AN47" s="188"/>
      <c r="AO47" s="188"/>
      <c r="AP47" s="188"/>
      <c r="AQ47" s="188"/>
      <c r="AR47" s="188"/>
      <c r="AS47" s="188"/>
      <c r="AT47" s="188"/>
      <c r="AU47" s="189"/>
      <c r="AV47" s="17"/>
    </row>
    <row r="48" spans="2:48" ht="15" customHeight="1" x14ac:dyDescent="0.2">
      <c r="B48" s="160"/>
      <c r="C48" s="121" t="s">
        <v>424</v>
      </c>
      <c r="D48" s="121" t="s">
        <v>522</v>
      </c>
      <c r="E48" s="158" t="s">
        <v>523</v>
      </c>
      <c r="F48" s="158">
        <v>1022</v>
      </c>
      <c r="G48" s="173">
        <v>10.5</v>
      </c>
      <c r="H48" s="114">
        <f>VLOOKUP($N48,'UMC Table 4-A'!$A$10:$E$139,4,FALSE)</f>
        <v>6</v>
      </c>
      <c r="I48" s="114" t="str">
        <f>VLOOKUP($N48,'UMC Table 4-A'!$A$10:$E$139,5,FALSE)</f>
        <v>NR</v>
      </c>
      <c r="J48" s="111" t="str">
        <f t="shared" si="56"/>
        <v>-</v>
      </c>
      <c r="K48" s="116">
        <v>0</v>
      </c>
      <c r="L48" s="152">
        <f t="shared" si="57"/>
        <v>1080</v>
      </c>
      <c r="M48" s="117">
        <f t="shared" si="41"/>
        <v>1022</v>
      </c>
      <c r="N48" s="114" t="s">
        <v>91</v>
      </c>
      <c r="O48" s="114" t="str">
        <f>VLOOKUP($N48,'UMC Table 4-A'!$A$10:$E$139,2,FALSE)</f>
        <v>NO REQUIREMENT FOR CONTINUOUS DIRECTIONAL CONTROL</v>
      </c>
      <c r="P48" s="112">
        <f>VLOOKUP($N48,'UMC Table 4-A'!$A$10:$E$139,3,FALSE)</f>
        <v>2</v>
      </c>
      <c r="Q48" s="152">
        <f t="shared" si="58"/>
        <v>360</v>
      </c>
      <c r="R48" s="112" t="str">
        <f>VLOOKUP($N48,'UMC Table 4-A'!$A$10:$E$139,5,FALSE)</f>
        <v>NR</v>
      </c>
      <c r="S48" s="113">
        <f t="shared" si="59"/>
        <v>1080</v>
      </c>
      <c r="T48" s="137">
        <f t="shared" si="60"/>
        <v>1080</v>
      </c>
      <c r="U48" s="137">
        <f t="shared" si="61"/>
        <v>1080</v>
      </c>
      <c r="V48" s="137">
        <f t="shared" si="62"/>
        <v>0</v>
      </c>
      <c r="W48" s="89">
        <f t="shared" si="63"/>
        <v>0</v>
      </c>
      <c r="X48" s="31" t="str">
        <f t="shared" si="64"/>
        <v>Yes</v>
      </c>
      <c r="Y48" s="32">
        <f t="shared" si="65"/>
        <v>1.0567514677103718</v>
      </c>
      <c r="Z48" s="70">
        <f t="shared" si="66"/>
        <v>33.333333333333329</v>
      </c>
      <c r="AA48" s="32">
        <f t="shared" si="67"/>
        <v>6.0385798154878385</v>
      </c>
      <c r="AD48" s="187"/>
      <c r="AE48" s="188"/>
      <c r="AF48" s="188"/>
      <c r="AG48" s="188"/>
      <c r="AH48" s="188"/>
      <c r="AI48" s="188"/>
      <c r="AJ48" s="188"/>
      <c r="AK48" s="188"/>
      <c r="AL48" s="188"/>
      <c r="AM48" s="188"/>
      <c r="AN48" s="188"/>
      <c r="AO48" s="188"/>
      <c r="AP48" s="188"/>
      <c r="AQ48" s="188"/>
      <c r="AR48" s="188"/>
      <c r="AS48" s="188"/>
      <c r="AT48" s="188"/>
      <c r="AU48" s="189"/>
      <c r="AV48" s="17"/>
    </row>
    <row r="49" spans="2:48" ht="15" customHeight="1" x14ac:dyDescent="0.2">
      <c r="B49" s="160"/>
      <c r="C49" s="121" t="s">
        <v>425</v>
      </c>
      <c r="D49" s="121" t="s">
        <v>461</v>
      </c>
      <c r="E49" s="158" t="s">
        <v>524</v>
      </c>
      <c r="F49" s="158">
        <v>280</v>
      </c>
      <c r="G49" s="173">
        <v>11</v>
      </c>
      <c r="H49" s="114">
        <f>VLOOKUP($N49,'UMC Table 4-A'!$A$10:$E$139,4,FALSE)</f>
        <v>2</v>
      </c>
      <c r="I49" s="114" t="str">
        <f>VLOOKUP($N49,'UMC Table 4-A'!$A$10:$E$139,5,FALSE)</f>
        <v>NR</v>
      </c>
      <c r="J49" s="111" t="str">
        <f t="shared" si="56"/>
        <v>-</v>
      </c>
      <c r="K49" s="116">
        <v>0</v>
      </c>
      <c r="L49" s="152">
        <f t="shared" si="57"/>
        <v>110</v>
      </c>
      <c r="M49" s="117">
        <f t="shared" si="41"/>
        <v>280</v>
      </c>
      <c r="N49" s="114" t="s">
        <v>115</v>
      </c>
      <c r="O49" s="114" t="str">
        <f>VLOOKUP($N49,'UMC Table 4-A'!$A$10:$E$139,2,FALSE)</f>
        <v>NO REQUIREMENT FOR CONTINUOUS DIRECTIONAL CONTROL</v>
      </c>
      <c r="P49" s="112" t="str">
        <f>VLOOKUP($N49,'UMC Table 4-A'!$A$10:$E$139,3,FALSE)</f>
        <v>NR</v>
      </c>
      <c r="Q49" s="152">
        <f t="shared" si="58"/>
        <v>0</v>
      </c>
      <c r="R49" s="112" t="str">
        <f>VLOOKUP($N49,'UMC Table 4-A'!$A$10:$E$139,5,FALSE)</f>
        <v>NR</v>
      </c>
      <c r="S49" s="113">
        <f t="shared" si="59"/>
        <v>280</v>
      </c>
      <c r="T49" s="137">
        <f t="shared" si="60"/>
        <v>280</v>
      </c>
      <c r="U49" s="137">
        <f t="shared" si="61"/>
        <v>280</v>
      </c>
      <c r="V49" s="137">
        <f t="shared" si="62"/>
        <v>0</v>
      </c>
      <c r="W49" s="89">
        <f t="shared" si="63"/>
        <v>0</v>
      </c>
      <c r="X49" s="31" t="str">
        <f t="shared" si="64"/>
        <v>Yes</v>
      </c>
      <c r="Y49" s="32">
        <f t="shared" si="65"/>
        <v>1</v>
      </c>
      <c r="Z49" s="70">
        <f t="shared" si="66"/>
        <v>0</v>
      </c>
      <c r="AA49" s="32">
        <f t="shared" si="67"/>
        <v>5.454545454545455</v>
      </c>
      <c r="AD49" s="190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  <c r="AU49" s="192"/>
      <c r="AV49" s="17"/>
    </row>
    <row r="50" spans="2:48" ht="15" customHeight="1" x14ac:dyDescent="0.2">
      <c r="B50" s="160"/>
      <c r="C50" s="121" t="s">
        <v>426</v>
      </c>
      <c r="D50" s="121" t="s">
        <v>461</v>
      </c>
      <c r="E50" s="158" t="s">
        <v>529</v>
      </c>
      <c r="F50" s="158">
        <v>379</v>
      </c>
      <c r="G50" s="173">
        <v>9</v>
      </c>
      <c r="H50" s="114">
        <f>VLOOKUP($N50,'UMC Table 4-A'!$A$10:$E$139,4,FALSE)</f>
        <v>2</v>
      </c>
      <c r="I50" s="114" t="str">
        <f>VLOOKUP($N50,'UMC Table 4-A'!$A$10:$E$139,5,FALSE)</f>
        <v>NR</v>
      </c>
      <c r="J50" s="111" t="str">
        <f t="shared" si="56"/>
        <v>-</v>
      </c>
      <c r="K50" s="116">
        <v>0</v>
      </c>
      <c r="L50" s="152">
        <f t="shared" si="57"/>
        <v>120</v>
      </c>
      <c r="M50" s="117">
        <f t="shared" si="41"/>
        <v>379</v>
      </c>
      <c r="N50" s="114" t="s">
        <v>115</v>
      </c>
      <c r="O50" s="114" t="str">
        <f>VLOOKUP($N50,'UMC Table 4-A'!$A$10:$E$139,2,FALSE)</f>
        <v>NO REQUIREMENT FOR CONTINUOUS DIRECTIONAL CONTROL</v>
      </c>
      <c r="P50" s="112" t="str">
        <f>VLOOKUP($N50,'UMC Table 4-A'!$A$10:$E$139,3,FALSE)</f>
        <v>NR</v>
      </c>
      <c r="Q50" s="152">
        <f t="shared" si="58"/>
        <v>0</v>
      </c>
      <c r="R50" s="112" t="str">
        <f>VLOOKUP($N50,'UMC Table 4-A'!$A$10:$E$139,5,FALSE)</f>
        <v>NR</v>
      </c>
      <c r="S50" s="113">
        <f t="shared" si="59"/>
        <v>380</v>
      </c>
      <c r="T50" s="137">
        <f t="shared" si="60"/>
        <v>380</v>
      </c>
      <c r="U50" s="137">
        <f t="shared" si="61"/>
        <v>380</v>
      </c>
      <c r="V50" s="137">
        <f t="shared" si="62"/>
        <v>0</v>
      </c>
      <c r="W50" s="89">
        <f t="shared" si="63"/>
        <v>0</v>
      </c>
      <c r="X50" s="31" t="str">
        <f t="shared" si="64"/>
        <v>Yes</v>
      </c>
      <c r="Y50" s="32">
        <f t="shared" si="65"/>
        <v>1.0026385224274406</v>
      </c>
      <c r="Z50" s="70">
        <f t="shared" si="66"/>
        <v>0</v>
      </c>
      <c r="AA50" s="32">
        <f t="shared" si="67"/>
        <v>6.6842568161829368</v>
      </c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V50" s="17"/>
    </row>
    <row r="51" spans="2:48" ht="15" customHeight="1" x14ac:dyDescent="0.2">
      <c r="B51" s="160"/>
      <c r="C51" s="121" t="s">
        <v>426</v>
      </c>
      <c r="D51" s="121" t="s">
        <v>527</v>
      </c>
      <c r="E51" s="158" t="s">
        <v>528</v>
      </c>
      <c r="F51" s="158">
        <v>14</v>
      </c>
      <c r="G51" s="173">
        <v>8</v>
      </c>
      <c r="H51" s="114">
        <f>VLOOKUP($N51,'UMC Table 4-A'!$A$10:$E$139,4,FALSE)</f>
        <v>6</v>
      </c>
      <c r="I51" s="114" t="str">
        <f>VLOOKUP($N51,'UMC Table 4-A'!$A$10:$E$139,5,FALSE)</f>
        <v>NR</v>
      </c>
      <c r="J51" s="111" t="str">
        <f t="shared" si="56"/>
        <v>-</v>
      </c>
      <c r="K51" s="116">
        <v>0</v>
      </c>
      <c r="L51" s="152">
        <f t="shared" si="57"/>
        <v>20</v>
      </c>
      <c r="M51" s="117">
        <f t="shared" si="41"/>
        <v>14</v>
      </c>
      <c r="N51" s="114" t="s">
        <v>91</v>
      </c>
      <c r="O51" s="114" t="str">
        <f>VLOOKUP($N51,'UMC Table 4-A'!$A$10:$E$139,2,FALSE)</f>
        <v>NO REQUIREMENT FOR CONTINUOUS DIRECTIONAL CONTROL</v>
      </c>
      <c r="P51" s="112">
        <f>VLOOKUP($N51,'UMC Table 4-A'!$A$10:$E$139,3,FALSE)</f>
        <v>2</v>
      </c>
      <c r="Q51" s="152">
        <f t="shared" si="58"/>
        <v>10</v>
      </c>
      <c r="R51" s="112" t="str">
        <f>VLOOKUP($N51,'UMC Table 4-A'!$A$10:$E$139,5,FALSE)</f>
        <v>NR</v>
      </c>
      <c r="S51" s="113">
        <f t="shared" si="59"/>
        <v>20</v>
      </c>
      <c r="T51" s="137">
        <f t="shared" si="60"/>
        <v>20</v>
      </c>
      <c r="U51" s="137">
        <f t="shared" si="61"/>
        <v>20</v>
      </c>
      <c r="V51" s="137">
        <f t="shared" si="62"/>
        <v>0</v>
      </c>
      <c r="W51" s="89">
        <f t="shared" si="63"/>
        <v>0</v>
      </c>
      <c r="X51" s="31" t="str">
        <f t="shared" si="64"/>
        <v>Yes</v>
      </c>
      <c r="Y51" s="32">
        <f t="shared" si="65"/>
        <v>1.4285714285714286</v>
      </c>
      <c r="Z51" s="70">
        <f t="shared" si="66"/>
        <v>50</v>
      </c>
      <c r="AA51" s="32">
        <f t="shared" si="67"/>
        <v>10.714285714285715</v>
      </c>
      <c r="AD51" s="98" t="s">
        <v>78</v>
      </c>
      <c r="AE51" s="98"/>
      <c r="AF51" s="98"/>
      <c r="AG51" s="98"/>
      <c r="AH51" s="98"/>
      <c r="AI51" s="98"/>
      <c r="AJ51" s="98"/>
      <c r="AK51" s="98"/>
      <c r="AL51" s="98"/>
      <c r="AM51" s="98"/>
      <c r="AN51" s="98"/>
      <c r="AO51" s="98">
        <f>SUM(AO8:AO45)</f>
        <v>615.69999999999993</v>
      </c>
      <c r="AP51" s="98"/>
      <c r="AQ51" s="99">
        <f>SUM(AQ8:AQ45)</f>
        <v>34.770000000000003</v>
      </c>
      <c r="AR51" s="99"/>
      <c r="AS51" s="99"/>
      <c r="AT51" s="99"/>
      <c r="AV51" s="17"/>
    </row>
    <row r="52" spans="2:48" ht="15" customHeight="1" x14ac:dyDescent="0.2">
      <c r="B52" s="160"/>
      <c r="C52" s="121" t="s">
        <v>426</v>
      </c>
      <c r="D52" s="121" t="s">
        <v>525</v>
      </c>
      <c r="E52" s="158" t="s">
        <v>526</v>
      </c>
      <c r="F52" s="158">
        <v>43</v>
      </c>
      <c r="G52" s="173">
        <v>8</v>
      </c>
      <c r="H52" s="114">
        <f>VLOOKUP($N52,'UMC Table 4-A'!$A$10:$E$139,4,FALSE)</f>
        <v>6</v>
      </c>
      <c r="I52" s="114" t="str">
        <f>VLOOKUP($N52,'UMC Table 4-A'!$A$10:$E$139,5,FALSE)</f>
        <v>NR</v>
      </c>
      <c r="J52" s="111" t="str">
        <f t="shared" si="56"/>
        <v>-</v>
      </c>
      <c r="K52" s="116">
        <v>0</v>
      </c>
      <c r="L52" s="152">
        <f t="shared" si="57"/>
        <v>40</v>
      </c>
      <c r="M52" s="117">
        <f t="shared" si="41"/>
        <v>43</v>
      </c>
      <c r="N52" s="114" t="s">
        <v>91</v>
      </c>
      <c r="O52" s="114" t="str">
        <f>VLOOKUP($N52,'UMC Table 4-A'!$A$10:$E$139,2,FALSE)</f>
        <v>NO REQUIREMENT FOR CONTINUOUS DIRECTIONAL CONTROL</v>
      </c>
      <c r="P52" s="112">
        <f>VLOOKUP($N52,'UMC Table 4-A'!$A$10:$E$139,3,FALSE)</f>
        <v>2</v>
      </c>
      <c r="Q52" s="152">
        <f t="shared" si="58"/>
        <v>20</v>
      </c>
      <c r="R52" s="112" t="str">
        <f>VLOOKUP($N52,'UMC Table 4-A'!$A$10:$E$139,5,FALSE)</f>
        <v>NR</v>
      </c>
      <c r="S52" s="113">
        <f t="shared" si="59"/>
        <v>45</v>
      </c>
      <c r="T52" s="137">
        <f t="shared" si="60"/>
        <v>45</v>
      </c>
      <c r="U52" s="137">
        <f t="shared" si="61"/>
        <v>45</v>
      </c>
      <c r="V52" s="137">
        <f t="shared" si="62"/>
        <v>0</v>
      </c>
      <c r="W52" s="89">
        <f t="shared" si="63"/>
        <v>0</v>
      </c>
      <c r="X52" s="31" t="str">
        <f t="shared" si="64"/>
        <v>Yes</v>
      </c>
      <c r="Y52" s="32">
        <f t="shared" si="65"/>
        <v>1.0465116279069768</v>
      </c>
      <c r="Z52" s="70">
        <f t="shared" si="66"/>
        <v>44.444444444444443</v>
      </c>
      <c r="AA52" s="32">
        <f t="shared" si="67"/>
        <v>7.8488372093023262</v>
      </c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V52" s="17"/>
    </row>
    <row r="53" spans="2:48" ht="15" customHeight="1" x14ac:dyDescent="0.2">
      <c r="B53" s="160"/>
      <c r="C53" s="121" t="s">
        <v>426</v>
      </c>
      <c r="D53" s="121" t="s">
        <v>530</v>
      </c>
      <c r="E53" s="158" t="s">
        <v>531</v>
      </c>
      <c r="F53" s="158">
        <v>38</v>
      </c>
      <c r="G53" s="173">
        <v>8</v>
      </c>
      <c r="H53" s="114">
        <f>VLOOKUP($N53,'UMC Table 4-A'!$A$10:$E$139,4,FALSE)</f>
        <v>6</v>
      </c>
      <c r="I53" s="114" t="str">
        <f>VLOOKUP($N53,'UMC Table 4-A'!$A$10:$E$139,5,FALSE)</f>
        <v>NR</v>
      </c>
      <c r="J53" s="111" t="str">
        <f t="shared" si="56"/>
        <v>-</v>
      </c>
      <c r="K53" s="116">
        <v>0</v>
      </c>
      <c r="L53" s="152">
        <f t="shared" si="57"/>
        <v>40</v>
      </c>
      <c r="M53" s="117">
        <f t="shared" si="41"/>
        <v>38</v>
      </c>
      <c r="N53" s="114" t="s">
        <v>91</v>
      </c>
      <c r="O53" s="114" t="str">
        <f>VLOOKUP($N53,'UMC Table 4-A'!$A$10:$E$139,2,FALSE)</f>
        <v>NO REQUIREMENT FOR CONTINUOUS DIRECTIONAL CONTROL</v>
      </c>
      <c r="P53" s="112">
        <f>VLOOKUP($N53,'UMC Table 4-A'!$A$10:$E$139,3,FALSE)</f>
        <v>2</v>
      </c>
      <c r="Q53" s="152">
        <f t="shared" si="58"/>
        <v>20</v>
      </c>
      <c r="R53" s="112" t="str">
        <f>VLOOKUP($N53,'UMC Table 4-A'!$A$10:$E$139,5,FALSE)</f>
        <v>NR</v>
      </c>
      <c r="S53" s="113">
        <f t="shared" si="59"/>
        <v>40</v>
      </c>
      <c r="T53" s="137">
        <f t="shared" si="60"/>
        <v>40</v>
      </c>
      <c r="U53" s="137">
        <f t="shared" si="61"/>
        <v>40</v>
      </c>
      <c r="V53" s="137">
        <f t="shared" si="62"/>
        <v>0</v>
      </c>
      <c r="W53" s="89">
        <f t="shared" si="63"/>
        <v>0</v>
      </c>
      <c r="X53" s="31" t="str">
        <f t="shared" si="64"/>
        <v>Yes</v>
      </c>
      <c r="Y53" s="32">
        <f t="shared" si="65"/>
        <v>1.0526315789473684</v>
      </c>
      <c r="Z53" s="70">
        <f t="shared" si="66"/>
        <v>50</v>
      </c>
      <c r="AA53" s="32">
        <f t="shared" si="67"/>
        <v>7.8947368421052628</v>
      </c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V53" s="17"/>
    </row>
    <row r="54" spans="2:48" ht="15" customHeight="1" x14ac:dyDescent="0.2">
      <c r="B54" s="160"/>
      <c r="C54" s="148" t="s">
        <v>426</v>
      </c>
      <c r="D54" s="148" t="s">
        <v>743</v>
      </c>
      <c r="E54" s="169" t="s">
        <v>744</v>
      </c>
      <c r="F54" s="169">
        <v>150</v>
      </c>
      <c r="G54" s="173">
        <v>9</v>
      </c>
      <c r="H54" s="114">
        <f>VLOOKUP($N54,'UMC Table 4-A'!$A$10:$E$139,4,FALSE)</f>
        <v>10</v>
      </c>
      <c r="I54" s="114" t="str">
        <f>VLOOKUP($N54,'UMC Table 4-A'!$A$10:$E$139,5,FALSE)</f>
        <v>YES</v>
      </c>
      <c r="J54" s="111">
        <f t="shared" si="56"/>
        <v>230</v>
      </c>
      <c r="K54" s="116">
        <v>0</v>
      </c>
      <c r="L54" s="152">
        <f t="shared" si="57"/>
        <v>230</v>
      </c>
      <c r="M54" s="117"/>
      <c r="N54" s="178" t="s">
        <v>94</v>
      </c>
      <c r="O54" s="114" t="str">
        <f>VLOOKUP($N54,'UMC Table 4-A'!$A$10:$E$139,2,FALSE)</f>
        <v>NEGATIVE</v>
      </c>
      <c r="P54" s="112" t="str">
        <f>VLOOKUP($N54,'UMC Table 4-A'!$A$10:$E$139,3,FALSE)</f>
        <v>NR</v>
      </c>
      <c r="Q54" s="152">
        <f t="shared" si="58"/>
        <v>0</v>
      </c>
      <c r="R54" s="112" t="str">
        <f>VLOOKUP($N54,'UMC Table 4-A'!$A$10:$E$139,5,FALSE)</f>
        <v>YES</v>
      </c>
      <c r="S54" s="113">
        <f t="shared" si="59"/>
        <v>0</v>
      </c>
      <c r="T54" s="137">
        <v>130</v>
      </c>
      <c r="U54" s="137">
        <f t="shared" si="61"/>
        <v>0</v>
      </c>
      <c r="V54" s="137">
        <f t="shared" si="62"/>
        <v>230</v>
      </c>
      <c r="W54" s="89">
        <f t="shared" si="63"/>
        <v>-100</v>
      </c>
      <c r="X54" s="31" t="str">
        <f t="shared" si="64"/>
        <v>No</v>
      </c>
      <c r="Y54" s="32">
        <f t="shared" si="65"/>
        <v>0</v>
      </c>
      <c r="Z54" s="70">
        <f t="shared" si="66"/>
        <v>0</v>
      </c>
      <c r="AA54" s="32">
        <f t="shared" si="67"/>
        <v>0</v>
      </c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V54" s="17"/>
    </row>
    <row r="55" spans="2:48" ht="15" customHeight="1" x14ac:dyDescent="0.2">
      <c r="B55" s="160"/>
      <c r="C55" s="148" t="s">
        <v>426</v>
      </c>
      <c r="D55" s="148" t="s">
        <v>743</v>
      </c>
      <c r="E55" s="169" t="s">
        <v>747</v>
      </c>
      <c r="F55" s="169">
        <v>144</v>
      </c>
      <c r="G55" s="173">
        <v>9</v>
      </c>
      <c r="H55" s="114">
        <f>VLOOKUP($N55,'UMC Table 4-A'!$A$10:$E$139,4,FALSE)</f>
        <v>10</v>
      </c>
      <c r="I55" s="114" t="str">
        <f>VLOOKUP($N55,'UMC Table 4-A'!$A$10:$E$139,5,FALSE)</f>
        <v>YES</v>
      </c>
      <c r="J55" s="111">
        <f t="shared" si="56"/>
        <v>220</v>
      </c>
      <c r="K55" s="116">
        <v>0</v>
      </c>
      <c r="L55" s="152">
        <f t="shared" si="57"/>
        <v>220</v>
      </c>
      <c r="M55" s="117"/>
      <c r="N55" s="114" t="s">
        <v>94</v>
      </c>
      <c r="O55" s="114" t="str">
        <f>VLOOKUP($N55,'UMC Table 4-A'!$A$10:$E$139,2,FALSE)</f>
        <v>NEGATIVE</v>
      </c>
      <c r="P55" s="112" t="str">
        <f>VLOOKUP($N55,'UMC Table 4-A'!$A$10:$E$139,3,FALSE)</f>
        <v>NR</v>
      </c>
      <c r="Q55" s="152">
        <f t="shared" si="58"/>
        <v>0</v>
      </c>
      <c r="R55" s="112" t="str">
        <f>VLOOKUP($N55,'UMC Table 4-A'!$A$10:$E$139,5,FALSE)</f>
        <v>YES</v>
      </c>
      <c r="S55" s="113">
        <f t="shared" si="59"/>
        <v>0</v>
      </c>
      <c r="T55" s="137">
        <v>120</v>
      </c>
      <c r="U55" s="137">
        <f t="shared" si="61"/>
        <v>0</v>
      </c>
      <c r="V55" s="137">
        <f t="shared" si="62"/>
        <v>220</v>
      </c>
      <c r="W55" s="89">
        <f t="shared" si="63"/>
        <v>-100</v>
      </c>
      <c r="X55" s="31" t="str">
        <f t="shared" si="64"/>
        <v>No</v>
      </c>
      <c r="Y55" s="32">
        <f t="shared" si="65"/>
        <v>0</v>
      </c>
      <c r="Z55" s="70">
        <f t="shared" si="66"/>
        <v>0</v>
      </c>
      <c r="AA55" s="32">
        <f t="shared" si="67"/>
        <v>0</v>
      </c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V55" s="17"/>
    </row>
    <row r="56" spans="2:48" ht="15" customHeight="1" x14ac:dyDescent="0.2">
      <c r="B56" s="160"/>
      <c r="C56" s="121" t="s">
        <v>427</v>
      </c>
      <c r="D56" s="121" t="s">
        <v>532</v>
      </c>
      <c r="E56" s="158" t="s">
        <v>533</v>
      </c>
      <c r="F56" s="158">
        <v>144</v>
      </c>
      <c r="G56" s="173">
        <v>16.5</v>
      </c>
      <c r="H56" s="114">
        <f>VLOOKUP($N56,'UMC Table 4-A'!$A$10:$E$139,4,FALSE)</f>
        <v>6</v>
      </c>
      <c r="I56" s="114" t="str">
        <f>VLOOKUP($N56,'UMC Table 4-A'!$A$10:$E$139,5,FALSE)</f>
        <v>NR</v>
      </c>
      <c r="J56" s="111" t="str">
        <f t="shared" si="56"/>
        <v>-</v>
      </c>
      <c r="K56" s="116">
        <v>0</v>
      </c>
      <c r="L56" s="152">
        <f t="shared" si="57"/>
        <v>240</v>
      </c>
      <c r="M56" s="117">
        <f t="shared" ref="M56:M71" si="80">F56</f>
        <v>144</v>
      </c>
      <c r="N56" s="114" t="s">
        <v>91</v>
      </c>
      <c r="O56" s="114" t="str">
        <f>VLOOKUP($N56,'UMC Table 4-A'!$A$10:$E$139,2,FALSE)</f>
        <v>NO REQUIREMENT FOR CONTINUOUS DIRECTIONAL CONTROL</v>
      </c>
      <c r="P56" s="112">
        <f>VLOOKUP($N56,'UMC Table 4-A'!$A$10:$E$139,3,FALSE)</f>
        <v>2</v>
      </c>
      <c r="Q56" s="152">
        <f t="shared" si="58"/>
        <v>80</v>
      </c>
      <c r="R56" s="112" t="str">
        <f>VLOOKUP($N56,'UMC Table 4-A'!$A$10:$E$139,5,FALSE)</f>
        <v>NR</v>
      </c>
      <c r="S56" s="113">
        <f t="shared" si="59"/>
        <v>240</v>
      </c>
      <c r="T56" s="137">
        <f t="shared" si="60"/>
        <v>240</v>
      </c>
      <c r="U56" s="137">
        <f t="shared" si="61"/>
        <v>240</v>
      </c>
      <c r="V56" s="137">
        <f t="shared" si="62"/>
        <v>0</v>
      </c>
      <c r="W56" s="89">
        <f t="shared" si="63"/>
        <v>0</v>
      </c>
      <c r="X56" s="31" t="str">
        <f t="shared" si="64"/>
        <v>Yes</v>
      </c>
      <c r="Y56" s="32">
        <f t="shared" si="65"/>
        <v>1.6666666666666667</v>
      </c>
      <c r="Z56" s="70">
        <f t="shared" si="66"/>
        <v>33.333333333333329</v>
      </c>
      <c r="AA56" s="32">
        <f t="shared" si="67"/>
        <v>6.0606060606060606</v>
      </c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V56" s="17"/>
    </row>
    <row r="57" spans="2:48" ht="15" customHeight="1" x14ac:dyDescent="0.2">
      <c r="B57" s="160"/>
      <c r="C57" s="121" t="s">
        <v>428</v>
      </c>
      <c r="D57" s="121" t="s">
        <v>534</v>
      </c>
      <c r="E57" s="158" t="s">
        <v>535</v>
      </c>
      <c r="F57" s="158">
        <v>130</v>
      </c>
      <c r="G57" s="173">
        <v>16.5</v>
      </c>
      <c r="H57" s="114">
        <f>VLOOKUP($N57,'UMC Table 4-A'!$A$10:$E$139,4,FALSE)</f>
        <v>6</v>
      </c>
      <c r="I57" s="114" t="str">
        <f>VLOOKUP($N57,'UMC Table 4-A'!$A$10:$E$139,5,FALSE)</f>
        <v>NR</v>
      </c>
      <c r="J57" s="111" t="str">
        <f t="shared" si="56"/>
        <v>-</v>
      </c>
      <c r="K57" s="116">
        <v>0</v>
      </c>
      <c r="L57" s="152">
        <f t="shared" si="57"/>
        <v>220</v>
      </c>
      <c r="M57" s="117">
        <f t="shared" si="80"/>
        <v>130</v>
      </c>
      <c r="N57" s="114" t="s">
        <v>91</v>
      </c>
      <c r="O57" s="114" t="str">
        <f>VLOOKUP($N57,'UMC Table 4-A'!$A$10:$E$139,2,FALSE)</f>
        <v>NO REQUIREMENT FOR CONTINUOUS DIRECTIONAL CONTROL</v>
      </c>
      <c r="P57" s="112">
        <f>VLOOKUP($N57,'UMC Table 4-A'!$A$10:$E$139,3,FALSE)</f>
        <v>2</v>
      </c>
      <c r="Q57" s="152">
        <f t="shared" si="58"/>
        <v>80</v>
      </c>
      <c r="R57" s="112" t="str">
        <f>VLOOKUP($N57,'UMC Table 4-A'!$A$10:$E$139,5,FALSE)</f>
        <v>NR</v>
      </c>
      <c r="S57" s="113">
        <f t="shared" si="59"/>
        <v>220</v>
      </c>
      <c r="T57" s="137">
        <f t="shared" si="60"/>
        <v>220</v>
      </c>
      <c r="U57" s="137">
        <f t="shared" si="61"/>
        <v>220</v>
      </c>
      <c r="V57" s="137">
        <f t="shared" si="62"/>
        <v>0</v>
      </c>
      <c r="W57" s="89">
        <f t="shared" si="63"/>
        <v>0</v>
      </c>
      <c r="X57" s="31" t="str">
        <f t="shared" si="64"/>
        <v>Yes</v>
      </c>
      <c r="Y57" s="32">
        <f t="shared" si="65"/>
        <v>1.6923076923076923</v>
      </c>
      <c r="Z57" s="70">
        <f t="shared" si="66"/>
        <v>36.363636363636367</v>
      </c>
      <c r="AA57" s="32">
        <f t="shared" si="67"/>
        <v>6.1538461538461533</v>
      </c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V57" s="17"/>
    </row>
    <row r="58" spans="2:48" ht="15" customHeight="1" x14ac:dyDescent="0.2">
      <c r="B58" s="160"/>
      <c r="C58" s="121" t="s">
        <v>429</v>
      </c>
      <c r="D58" s="121" t="s">
        <v>536</v>
      </c>
      <c r="E58" s="158" t="s">
        <v>537</v>
      </c>
      <c r="F58" s="158">
        <v>147</v>
      </c>
      <c r="G58" s="173">
        <v>9</v>
      </c>
      <c r="H58" s="114">
        <f>VLOOKUP($N58,'UMC Table 4-A'!$A$10:$E$139,4,FALSE)</f>
        <v>4</v>
      </c>
      <c r="I58" s="114" t="str">
        <f>VLOOKUP($N58,'UMC Table 4-A'!$A$10:$E$139,5,FALSE)</f>
        <v>NR</v>
      </c>
      <c r="J58" s="111" t="str">
        <f t="shared" si="56"/>
        <v>-</v>
      </c>
      <c r="K58" s="116">
        <v>0</v>
      </c>
      <c r="L58" s="152">
        <f t="shared" si="57"/>
        <v>90</v>
      </c>
      <c r="M58" s="117">
        <f t="shared" si="80"/>
        <v>147</v>
      </c>
      <c r="N58" s="114" t="s">
        <v>189</v>
      </c>
      <c r="O58" s="114" t="str">
        <f>VLOOKUP($N58,'UMC Table 4-A'!$A$10:$E$139,2,FALSE)</f>
        <v>POSITIVE</v>
      </c>
      <c r="P58" s="112">
        <f>VLOOKUP($N58,'UMC Table 4-A'!$A$10:$E$139,3,FALSE)</f>
        <v>2</v>
      </c>
      <c r="Q58" s="152">
        <f t="shared" si="58"/>
        <v>50</v>
      </c>
      <c r="R58" s="112" t="str">
        <f>VLOOKUP($N58,'UMC Table 4-A'!$A$10:$E$139,5,FALSE)</f>
        <v>NR</v>
      </c>
      <c r="S58" s="113">
        <f t="shared" si="59"/>
        <v>150</v>
      </c>
      <c r="T58" s="137">
        <f t="shared" si="60"/>
        <v>150</v>
      </c>
      <c r="U58" s="137">
        <f t="shared" si="61"/>
        <v>100</v>
      </c>
      <c r="V58" s="137">
        <f t="shared" si="62"/>
        <v>0</v>
      </c>
      <c r="W58" s="89">
        <f t="shared" si="63"/>
        <v>50</v>
      </c>
      <c r="X58" s="31" t="str">
        <f t="shared" si="64"/>
        <v>No</v>
      </c>
      <c r="Y58" s="32">
        <f t="shared" si="65"/>
        <v>1.0204081632653061</v>
      </c>
      <c r="Z58" s="70">
        <f t="shared" si="66"/>
        <v>33.333333333333329</v>
      </c>
      <c r="AA58" s="32">
        <f t="shared" si="67"/>
        <v>6.8027210884353746</v>
      </c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V58" s="17"/>
    </row>
    <row r="59" spans="2:48" ht="15" customHeight="1" x14ac:dyDescent="0.2">
      <c r="B59" s="160"/>
      <c r="C59" s="121" t="s">
        <v>430</v>
      </c>
      <c r="D59" s="121" t="s">
        <v>538</v>
      </c>
      <c r="E59" s="158" t="s">
        <v>539</v>
      </c>
      <c r="F59" s="158">
        <v>1561</v>
      </c>
      <c r="G59" s="173">
        <v>12</v>
      </c>
      <c r="H59" s="114">
        <f>VLOOKUP($N59,'UMC Table 4-A'!$A$10:$E$139,4,FALSE)</f>
        <v>6</v>
      </c>
      <c r="I59" s="114" t="str">
        <f>VLOOKUP($N59,'UMC Table 4-A'!$A$10:$E$139,5,FALSE)</f>
        <v>NR</v>
      </c>
      <c r="J59" s="111" t="str">
        <f t="shared" si="56"/>
        <v>-</v>
      </c>
      <c r="K59" s="116">
        <v>0</v>
      </c>
      <c r="L59" s="152">
        <f t="shared" si="57"/>
        <v>1880</v>
      </c>
      <c r="M59" s="117">
        <f t="shared" si="80"/>
        <v>1561</v>
      </c>
      <c r="N59" s="114" t="s">
        <v>91</v>
      </c>
      <c r="O59" s="114" t="str">
        <f>VLOOKUP($N59,'UMC Table 4-A'!$A$10:$E$139,2,FALSE)</f>
        <v>NO REQUIREMENT FOR CONTINUOUS DIRECTIONAL CONTROL</v>
      </c>
      <c r="P59" s="112">
        <f>VLOOKUP($N59,'UMC Table 4-A'!$A$10:$E$139,3,FALSE)</f>
        <v>2</v>
      </c>
      <c r="Q59" s="152">
        <f t="shared" si="58"/>
        <v>630</v>
      </c>
      <c r="R59" s="112" t="str">
        <f>VLOOKUP($N59,'UMC Table 4-A'!$A$10:$E$139,5,FALSE)</f>
        <v>NR</v>
      </c>
      <c r="S59" s="113">
        <f t="shared" si="59"/>
        <v>1880</v>
      </c>
      <c r="T59" s="137">
        <f t="shared" si="60"/>
        <v>1880</v>
      </c>
      <c r="U59" s="137">
        <f t="shared" si="61"/>
        <v>1880</v>
      </c>
      <c r="V59" s="137">
        <f t="shared" si="62"/>
        <v>0</v>
      </c>
      <c r="W59" s="89">
        <f t="shared" si="63"/>
        <v>0</v>
      </c>
      <c r="X59" s="31" t="str">
        <f t="shared" si="64"/>
        <v>Yes</v>
      </c>
      <c r="Y59" s="32">
        <f t="shared" si="65"/>
        <v>1.2043561819346573</v>
      </c>
      <c r="Z59" s="70">
        <f t="shared" si="66"/>
        <v>33.51063829787234</v>
      </c>
      <c r="AA59" s="32">
        <f t="shared" si="67"/>
        <v>6.0217809096732866</v>
      </c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V59" s="17"/>
    </row>
    <row r="60" spans="2:48" ht="15" customHeight="1" x14ac:dyDescent="0.2">
      <c r="B60" s="160"/>
      <c r="C60" s="121" t="s">
        <v>431</v>
      </c>
      <c r="D60" s="121" t="s">
        <v>540</v>
      </c>
      <c r="E60" s="158" t="s">
        <v>541</v>
      </c>
      <c r="F60" s="158">
        <v>75</v>
      </c>
      <c r="G60" s="173">
        <v>9</v>
      </c>
      <c r="H60" s="114">
        <f>VLOOKUP($N60,'UMC Table 4-A'!$A$10:$E$139,4,FALSE)</f>
        <v>6</v>
      </c>
      <c r="I60" s="114" t="str">
        <f>VLOOKUP($N60,'UMC Table 4-A'!$A$10:$E$139,5,FALSE)</f>
        <v>NR</v>
      </c>
      <c r="J60" s="111" t="str">
        <f t="shared" si="56"/>
        <v>-</v>
      </c>
      <c r="K60" s="116">
        <v>0</v>
      </c>
      <c r="L60" s="152">
        <f t="shared" si="57"/>
        <v>70</v>
      </c>
      <c r="M60" s="117">
        <f t="shared" si="80"/>
        <v>75</v>
      </c>
      <c r="N60" s="114" t="s">
        <v>91</v>
      </c>
      <c r="O60" s="114" t="str">
        <f>VLOOKUP($N60,'UMC Table 4-A'!$A$10:$E$139,2,FALSE)</f>
        <v>NO REQUIREMENT FOR CONTINUOUS DIRECTIONAL CONTROL</v>
      </c>
      <c r="P60" s="112">
        <f>VLOOKUP($N60,'UMC Table 4-A'!$A$10:$E$139,3,FALSE)</f>
        <v>2</v>
      </c>
      <c r="Q60" s="152">
        <f t="shared" si="58"/>
        <v>30</v>
      </c>
      <c r="R60" s="112" t="str">
        <f>VLOOKUP($N60,'UMC Table 4-A'!$A$10:$E$139,5,FALSE)</f>
        <v>NR</v>
      </c>
      <c r="S60" s="113">
        <f t="shared" si="59"/>
        <v>75</v>
      </c>
      <c r="T60" s="137">
        <f t="shared" si="60"/>
        <v>75</v>
      </c>
      <c r="U60" s="137">
        <f t="shared" si="61"/>
        <v>75</v>
      </c>
      <c r="V60" s="137">
        <f t="shared" si="62"/>
        <v>0</v>
      </c>
      <c r="W60" s="89">
        <f t="shared" si="63"/>
        <v>0</v>
      </c>
      <c r="X60" s="31" t="str">
        <f t="shared" si="64"/>
        <v>Yes</v>
      </c>
      <c r="Y60" s="32">
        <f t="shared" si="65"/>
        <v>1</v>
      </c>
      <c r="Z60" s="70">
        <f t="shared" si="66"/>
        <v>40</v>
      </c>
      <c r="AA60" s="32">
        <f t="shared" si="67"/>
        <v>6.6666666666666661</v>
      </c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V60" s="17"/>
    </row>
    <row r="61" spans="2:48" ht="15" customHeight="1" x14ac:dyDescent="0.2">
      <c r="B61" s="160"/>
      <c r="C61" s="121" t="s">
        <v>431</v>
      </c>
      <c r="D61" s="121" t="s">
        <v>544</v>
      </c>
      <c r="E61" s="158" t="s">
        <v>545</v>
      </c>
      <c r="F61" s="158">
        <v>226</v>
      </c>
      <c r="G61" s="173">
        <v>9</v>
      </c>
      <c r="H61" s="114">
        <f>VLOOKUP($N61,'UMC Table 4-A'!$A$10:$E$139,4,FALSE)</f>
        <v>6</v>
      </c>
      <c r="I61" s="114" t="str">
        <f>VLOOKUP($N61,'UMC Table 4-A'!$A$10:$E$139,5,FALSE)</f>
        <v>NR</v>
      </c>
      <c r="J61" s="111" t="str">
        <f t="shared" si="56"/>
        <v>-</v>
      </c>
      <c r="K61" s="116">
        <v>0</v>
      </c>
      <c r="L61" s="152">
        <f t="shared" si="57"/>
        <v>210</v>
      </c>
      <c r="M61" s="117">
        <f t="shared" si="80"/>
        <v>226</v>
      </c>
      <c r="N61" s="114" t="s">
        <v>91</v>
      </c>
      <c r="O61" s="114" t="str">
        <f>VLOOKUP($N61,'UMC Table 4-A'!$A$10:$E$139,2,FALSE)</f>
        <v>NO REQUIREMENT FOR CONTINUOUS DIRECTIONAL CONTROL</v>
      </c>
      <c r="P61" s="112">
        <f>VLOOKUP($N61,'UMC Table 4-A'!$A$10:$E$139,3,FALSE)</f>
        <v>2</v>
      </c>
      <c r="Q61" s="152">
        <f t="shared" si="58"/>
        <v>70</v>
      </c>
      <c r="R61" s="112" t="str">
        <f>VLOOKUP($N61,'UMC Table 4-A'!$A$10:$E$139,5,FALSE)</f>
        <v>NR</v>
      </c>
      <c r="S61" s="113">
        <f t="shared" si="59"/>
        <v>230</v>
      </c>
      <c r="T61" s="137">
        <f t="shared" si="60"/>
        <v>230</v>
      </c>
      <c r="U61" s="137">
        <v>0</v>
      </c>
      <c r="V61" s="137">
        <v>230</v>
      </c>
      <c r="W61" s="89">
        <f t="shared" si="63"/>
        <v>0</v>
      </c>
      <c r="X61" s="31" t="str">
        <f t="shared" si="64"/>
        <v>Yes</v>
      </c>
      <c r="Y61" s="32">
        <f t="shared" si="65"/>
        <v>1.0176991150442478</v>
      </c>
      <c r="Z61" s="70">
        <f t="shared" si="66"/>
        <v>30.434782608695656</v>
      </c>
      <c r="AA61" s="32">
        <f t="shared" si="67"/>
        <v>6.7846607669616521</v>
      </c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V61" s="17"/>
    </row>
    <row r="62" spans="2:48" ht="15" customHeight="1" x14ac:dyDescent="0.2">
      <c r="B62" s="160"/>
      <c r="C62" s="121" t="s">
        <v>431</v>
      </c>
      <c r="D62" s="121" t="s">
        <v>542</v>
      </c>
      <c r="E62" s="158" t="s">
        <v>543</v>
      </c>
      <c r="F62" s="158">
        <v>36</v>
      </c>
      <c r="G62" s="173">
        <v>9</v>
      </c>
      <c r="H62" s="114">
        <f>VLOOKUP($N62,'UMC Table 4-A'!$A$10:$E$139,4,FALSE)</f>
        <v>6</v>
      </c>
      <c r="I62" s="114" t="str">
        <f>VLOOKUP($N62,'UMC Table 4-A'!$A$10:$E$139,5,FALSE)</f>
        <v>NR</v>
      </c>
      <c r="J62" s="111" t="str">
        <f t="shared" si="56"/>
        <v>-</v>
      </c>
      <c r="K62" s="116">
        <v>0</v>
      </c>
      <c r="L62" s="152">
        <f t="shared" si="57"/>
        <v>40</v>
      </c>
      <c r="M62" s="117">
        <f t="shared" si="80"/>
        <v>36</v>
      </c>
      <c r="N62" s="114" t="s">
        <v>91</v>
      </c>
      <c r="O62" s="114" t="str">
        <f>VLOOKUP($N62,'UMC Table 4-A'!$A$10:$E$139,2,FALSE)</f>
        <v>NO REQUIREMENT FOR CONTINUOUS DIRECTIONAL CONTROL</v>
      </c>
      <c r="P62" s="112">
        <f>VLOOKUP($N62,'UMC Table 4-A'!$A$10:$E$139,3,FALSE)</f>
        <v>2</v>
      </c>
      <c r="Q62" s="152">
        <f t="shared" si="58"/>
        <v>20</v>
      </c>
      <c r="R62" s="112" t="str">
        <f>VLOOKUP($N62,'UMC Table 4-A'!$A$10:$E$139,5,FALSE)</f>
        <v>NR</v>
      </c>
      <c r="S62" s="113">
        <f t="shared" si="59"/>
        <v>40</v>
      </c>
      <c r="T62" s="137">
        <f t="shared" si="60"/>
        <v>40</v>
      </c>
      <c r="U62" s="137">
        <f t="shared" si="61"/>
        <v>40</v>
      </c>
      <c r="V62" s="137">
        <f t="shared" si="62"/>
        <v>0</v>
      </c>
      <c r="W62" s="89">
        <f t="shared" si="63"/>
        <v>0</v>
      </c>
      <c r="X62" s="31" t="str">
        <f t="shared" si="64"/>
        <v>Yes</v>
      </c>
      <c r="Y62" s="32">
        <f t="shared" si="65"/>
        <v>1.1111111111111112</v>
      </c>
      <c r="Z62" s="70">
        <f t="shared" si="66"/>
        <v>50</v>
      </c>
      <c r="AA62" s="32">
        <f t="shared" si="67"/>
        <v>7.4074074074074074</v>
      </c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V62" s="17"/>
    </row>
    <row r="63" spans="2:48" ht="15" customHeight="1" x14ac:dyDescent="0.2">
      <c r="B63" s="160"/>
      <c r="C63" s="121" t="s">
        <v>432</v>
      </c>
      <c r="D63" s="121" t="s">
        <v>548</v>
      </c>
      <c r="E63" s="158" t="s">
        <v>549</v>
      </c>
      <c r="F63" s="158">
        <v>573</v>
      </c>
      <c r="G63" s="173">
        <v>9</v>
      </c>
      <c r="H63" s="114">
        <f>VLOOKUP($N63,'UMC Table 4-A'!$A$10:$E$139,4,FALSE)</f>
        <v>6</v>
      </c>
      <c r="I63" s="114" t="str">
        <f>VLOOKUP($N63,'UMC Table 4-A'!$A$10:$E$139,5,FALSE)</f>
        <v>NR</v>
      </c>
      <c r="J63" s="111" t="str">
        <f t="shared" si="56"/>
        <v>-</v>
      </c>
      <c r="K63" s="116">
        <v>0</v>
      </c>
      <c r="L63" s="152">
        <f t="shared" si="57"/>
        <v>520</v>
      </c>
      <c r="M63" s="117">
        <f t="shared" si="80"/>
        <v>573</v>
      </c>
      <c r="N63" s="114" t="s">
        <v>91</v>
      </c>
      <c r="O63" s="114" t="str">
        <f>VLOOKUP($N63,'UMC Table 4-A'!$A$10:$E$139,2,FALSE)</f>
        <v>NO REQUIREMENT FOR CONTINUOUS DIRECTIONAL CONTROL</v>
      </c>
      <c r="P63" s="112">
        <f>VLOOKUP($N63,'UMC Table 4-A'!$A$10:$E$139,3,FALSE)</f>
        <v>2</v>
      </c>
      <c r="Q63" s="152">
        <f t="shared" si="58"/>
        <v>180</v>
      </c>
      <c r="R63" s="112" t="str">
        <f>VLOOKUP($N63,'UMC Table 4-A'!$A$10:$E$139,5,FALSE)</f>
        <v>NR</v>
      </c>
      <c r="S63" s="113">
        <f t="shared" si="59"/>
        <v>575</v>
      </c>
      <c r="T63" s="137">
        <f t="shared" si="60"/>
        <v>575</v>
      </c>
      <c r="U63" s="137">
        <v>0</v>
      </c>
      <c r="V63" s="137">
        <v>575</v>
      </c>
      <c r="W63" s="89">
        <f t="shared" si="63"/>
        <v>0</v>
      </c>
      <c r="X63" s="31" t="str">
        <f t="shared" si="64"/>
        <v>Yes</v>
      </c>
      <c r="Y63" s="32">
        <f t="shared" si="65"/>
        <v>1.0034904013961605</v>
      </c>
      <c r="Z63" s="70">
        <f t="shared" si="66"/>
        <v>31.304347826086961</v>
      </c>
      <c r="AA63" s="32">
        <f t="shared" si="67"/>
        <v>6.6899360093077371</v>
      </c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V63" s="17"/>
    </row>
    <row r="64" spans="2:48" ht="15" customHeight="1" x14ac:dyDescent="0.2">
      <c r="B64" s="160"/>
      <c r="C64" s="121" t="s">
        <v>432</v>
      </c>
      <c r="D64" s="121" t="s">
        <v>546</v>
      </c>
      <c r="E64" s="158" t="s">
        <v>547</v>
      </c>
      <c r="F64" s="158">
        <v>54</v>
      </c>
      <c r="G64" s="173">
        <v>9</v>
      </c>
      <c r="H64" s="114">
        <f>VLOOKUP($N64,'UMC Table 4-A'!$A$10:$E$139,4,FALSE)</f>
        <v>6</v>
      </c>
      <c r="I64" s="114" t="str">
        <f>VLOOKUP($N64,'UMC Table 4-A'!$A$10:$E$139,5,FALSE)</f>
        <v>NR</v>
      </c>
      <c r="J64" s="111" t="str">
        <f t="shared" si="56"/>
        <v>-</v>
      </c>
      <c r="K64" s="116">
        <v>0</v>
      </c>
      <c r="L64" s="152">
        <f t="shared" si="57"/>
        <v>50</v>
      </c>
      <c r="M64" s="117">
        <f t="shared" si="80"/>
        <v>54</v>
      </c>
      <c r="N64" s="114" t="s">
        <v>91</v>
      </c>
      <c r="O64" s="114" t="str">
        <f>VLOOKUP($N64,'UMC Table 4-A'!$A$10:$E$139,2,FALSE)</f>
        <v>NO REQUIREMENT FOR CONTINUOUS DIRECTIONAL CONTROL</v>
      </c>
      <c r="P64" s="112">
        <f>VLOOKUP($N64,'UMC Table 4-A'!$A$10:$E$139,3,FALSE)</f>
        <v>2</v>
      </c>
      <c r="Q64" s="152">
        <f t="shared" si="58"/>
        <v>20</v>
      </c>
      <c r="R64" s="112" t="str">
        <f>VLOOKUP($N64,'UMC Table 4-A'!$A$10:$E$139,5,FALSE)</f>
        <v>NR</v>
      </c>
      <c r="S64" s="113">
        <f t="shared" si="59"/>
        <v>55</v>
      </c>
      <c r="T64" s="137">
        <f t="shared" si="60"/>
        <v>55</v>
      </c>
      <c r="U64" s="137">
        <f t="shared" si="61"/>
        <v>55</v>
      </c>
      <c r="V64" s="137">
        <f t="shared" si="62"/>
        <v>0</v>
      </c>
      <c r="W64" s="89">
        <f t="shared" si="63"/>
        <v>0</v>
      </c>
      <c r="X64" s="31" t="str">
        <f t="shared" si="64"/>
        <v>Yes</v>
      </c>
      <c r="Y64" s="32">
        <f t="shared" si="65"/>
        <v>1.0185185185185186</v>
      </c>
      <c r="Z64" s="70">
        <f t="shared" si="66"/>
        <v>36.363636363636367</v>
      </c>
      <c r="AA64" s="32">
        <f t="shared" si="67"/>
        <v>6.7901234567901243</v>
      </c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V64" s="17"/>
    </row>
    <row r="65" spans="2:48" ht="15" customHeight="1" x14ac:dyDescent="0.2">
      <c r="B65" s="160"/>
      <c r="C65" s="121" t="s">
        <v>433</v>
      </c>
      <c r="D65" s="121" t="s">
        <v>550</v>
      </c>
      <c r="E65" s="158" t="s">
        <v>551</v>
      </c>
      <c r="F65" s="158">
        <v>268</v>
      </c>
      <c r="G65" s="173">
        <v>9</v>
      </c>
      <c r="H65" s="114">
        <f>VLOOKUP($N65,'UMC Table 4-A'!$A$10:$E$139,4,FALSE)</f>
        <v>6</v>
      </c>
      <c r="I65" s="114" t="str">
        <f>VLOOKUP($N65,'UMC Table 4-A'!$A$10:$E$139,5,FALSE)</f>
        <v>NR</v>
      </c>
      <c r="J65" s="111" t="str">
        <f t="shared" si="56"/>
        <v>-</v>
      </c>
      <c r="K65" s="116">
        <v>0</v>
      </c>
      <c r="L65" s="152">
        <f t="shared" si="57"/>
        <v>250</v>
      </c>
      <c r="M65" s="117">
        <f t="shared" si="80"/>
        <v>268</v>
      </c>
      <c r="N65" s="114" t="s">
        <v>91</v>
      </c>
      <c r="O65" s="114" t="str">
        <f>VLOOKUP($N65,'UMC Table 4-A'!$A$10:$E$139,2,FALSE)</f>
        <v>NO REQUIREMENT FOR CONTINUOUS DIRECTIONAL CONTROL</v>
      </c>
      <c r="P65" s="112">
        <f>VLOOKUP($N65,'UMC Table 4-A'!$A$10:$E$139,3,FALSE)</f>
        <v>2</v>
      </c>
      <c r="Q65" s="152">
        <f t="shared" si="58"/>
        <v>90</v>
      </c>
      <c r="R65" s="112" t="str">
        <f>VLOOKUP($N65,'UMC Table 4-A'!$A$10:$E$139,5,FALSE)</f>
        <v>NR</v>
      </c>
      <c r="S65" s="113">
        <f t="shared" si="59"/>
        <v>270</v>
      </c>
      <c r="T65" s="137">
        <f t="shared" si="60"/>
        <v>270</v>
      </c>
      <c r="U65" s="137">
        <f t="shared" si="61"/>
        <v>270</v>
      </c>
      <c r="V65" s="137">
        <f t="shared" si="62"/>
        <v>0</v>
      </c>
      <c r="W65" s="89">
        <f t="shared" si="63"/>
        <v>0</v>
      </c>
      <c r="X65" s="31" t="str">
        <f t="shared" si="64"/>
        <v>Yes</v>
      </c>
      <c r="Y65" s="32">
        <f t="shared" si="65"/>
        <v>1.0074626865671641</v>
      </c>
      <c r="Z65" s="70">
        <f t="shared" si="66"/>
        <v>33.333333333333329</v>
      </c>
      <c r="AA65" s="32">
        <f t="shared" si="67"/>
        <v>6.7164179104477606</v>
      </c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V65" s="17"/>
    </row>
    <row r="66" spans="2:48" ht="15" customHeight="1" x14ac:dyDescent="0.2">
      <c r="B66" s="160"/>
      <c r="C66" s="121" t="s">
        <v>434</v>
      </c>
      <c r="D66" s="121" t="s">
        <v>538</v>
      </c>
      <c r="E66" s="158" t="s">
        <v>539</v>
      </c>
      <c r="F66" s="158">
        <v>1551</v>
      </c>
      <c r="G66" s="173">
        <v>12</v>
      </c>
      <c r="H66" s="114">
        <f>VLOOKUP($N66,'UMC Table 4-A'!$A$10:$E$139,4,FALSE)</f>
        <v>6</v>
      </c>
      <c r="I66" s="114" t="str">
        <f>VLOOKUP($N66,'UMC Table 4-A'!$A$10:$E$139,5,FALSE)</f>
        <v>NR</v>
      </c>
      <c r="J66" s="111" t="str">
        <f t="shared" si="56"/>
        <v>-</v>
      </c>
      <c r="K66" s="116">
        <v>0</v>
      </c>
      <c r="L66" s="152">
        <f t="shared" si="57"/>
        <v>1870</v>
      </c>
      <c r="M66" s="117">
        <f t="shared" si="80"/>
        <v>1551</v>
      </c>
      <c r="N66" s="114" t="s">
        <v>91</v>
      </c>
      <c r="O66" s="114" t="str">
        <f>VLOOKUP($N66,'UMC Table 4-A'!$A$10:$E$139,2,FALSE)</f>
        <v>NO REQUIREMENT FOR CONTINUOUS DIRECTIONAL CONTROL</v>
      </c>
      <c r="P66" s="112">
        <f>VLOOKUP($N66,'UMC Table 4-A'!$A$10:$E$139,3,FALSE)</f>
        <v>2</v>
      </c>
      <c r="Q66" s="152">
        <f t="shared" si="58"/>
        <v>630</v>
      </c>
      <c r="R66" s="112" t="str">
        <f>VLOOKUP($N66,'UMC Table 4-A'!$A$10:$E$139,5,FALSE)</f>
        <v>NR</v>
      </c>
      <c r="S66" s="113">
        <f t="shared" si="59"/>
        <v>1870</v>
      </c>
      <c r="T66" s="137">
        <f t="shared" si="60"/>
        <v>1870</v>
      </c>
      <c r="U66" s="137">
        <f t="shared" si="61"/>
        <v>1870</v>
      </c>
      <c r="V66" s="137">
        <f t="shared" si="62"/>
        <v>0</v>
      </c>
      <c r="W66" s="89">
        <f t="shared" si="63"/>
        <v>0</v>
      </c>
      <c r="X66" s="31" t="str">
        <f t="shared" si="64"/>
        <v>Yes</v>
      </c>
      <c r="Y66" s="32">
        <f t="shared" si="65"/>
        <v>1.2056737588652482</v>
      </c>
      <c r="Z66" s="70">
        <f t="shared" si="66"/>
        <v>33.689839572192511</v>
      </c>
      <c r="AA66" s="32">
        <f t="shared" si="67"/>
        <v>6.0283687943262407</v>
      </c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V66" s="17"/>
    </row>
    <row r="67" spans="2:48" ht="15" customHeight="1" x14ac:dyDescent="0.2">
      <c r="B67" s="160"/>
      <c r="C67" s="177" t="s">
        <v>435</v>
      </c>
      <c r="D67" s="121" t="s">
        <v>552</v>
      </c>
      <c r="E67" s="158" t="s">
        <v>553</v>
      </c>
      <c r="F67" s="158">
        <v>193</v>
      </c>
      <c r="G67" s="173">
        <v>9</v>
      </c>
      <c r="H67" s="114">
        <f>VLOOKUP($N67,'UMC Table 4-A'!$A$10:$E$139,4,FALSE)</f>
        <v>6</v>
      </c>
      <c r="I67" s="114" t="str">
        <f>VLOOKUP($N67,'UMC Table 4-A'!$A$10:$E$139,5,FALSE)</f>
        <v>NR</v>
      </c>
      <c r="J67" s="111" t="str">
        <f t="shared" si="56"/>
        <v>-</v>
      </c>
      <c r="K67" s="116">
        <v>0</v>
      </c>
      <c r="L67" s="152">
        <f t="shared" si="57"/>
        <v>180</v>
      </c>
      <c r="M67" s="117">
        <f t="shared" si="80"/>
        <v>193</v>
      </c>
      <c r="N67" s="114" t="s">
        <v>91</v>
      </c>
      <c r="O67" s="114" t="str">
        <f>VLOOKUP($N67,'UMC Table 4-A'!$A$10:$E$139,2,FALSE)</f>
        <v>NO REQUIREMENT FOR CONTINUOUS DIRECTIONAL CONTROL</v>
      </c>
      <c r="P67" s="112">
        <f>VLOOKUP($N67,'UMC Table 4-A'!$A$10:$E$139,3,FALSE)</f>
        <v>2</v>
      </c>
      <c r="Q67" s="152">
        <f t="shared" si="58"/>
        <v>60</v>
      </c>
      <c r="R67" s="112" t="str">
        <f>VLOOKUP($N67,'UMC Table 4-A'!$A$10:$E$139,5,FALSE)</f>
        <v>NR</v>
      </c>
      <c r="S67" s="113">
        <f t="shared" si="59"/>
        <v>195</v>
      </c>
      <c r="T67" s="137">
        <f t="shared" si="60"/>
        <v>195</v>
      </c>
      <c r="U67" s="137">
        <f t="shared" si="61"/>
        <v>195</v>
      </c>
      <c r="V67" s="137">
        <f t="shared" si="62"/>
        <v>0</v>
      </c>
      <c r="W67" s="89">
        <f t="shared" si="63"/>
        <v>0</v>
      </c>
      <c r="X67" s="31" t="str">
        <f t="shared" si="64"/>
        <v>Yes</v>
      </c>
      <c r="Y67" s="32">
        <f t="shared" si="65"/>
        <v>1.0103626943005182</v>
      </c>
      <c r="Z67" s="70">
        <f t="shared" si="66"/>
        <v>30.76923076923077</v>
      </c>
      <c r="AA67" s="32">
        <f t="shared" si="67"/>
        <v>6.7357512953367875</v>
      </c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V67" s="17"/>
    </row>
    <row r="68" spans="2:48" ht="15" customHeight="1" x14ac:dyDescent="0.2">
      <c r="B68" s="30"/>
      <c r="C68" s="121" t="s">
        <v>436</v>
      </c>
      <c r="D68" s="121" t="s">
        <v>490</v>
      </c>
      <c r="E68" s="158" t="s">
        <v>556</v>
      </c>
      <c r="F68" s="158">
        <v>186</v>
      </c>
      <c r="G68" s="173">
        <v>9</v>
      </c>
      <c r="H68" s="114">
        <f>VLOOKUP($N68,'UMC Table 4-A'!$A$10:$E$139,4,FALSE)</f>
        <v>6</v>
      </c>
      <c r="I68" s="114" t="str">
        <f>VLOOKUP($N68,'UMC Table 4-A'!$A$10:$E$139,5,FALSE)</f>
        <v>NR</v>
      </c>
      <c r="J68" s="111" t="str">
        <f t="shared" si="56"/>
        <v>-</v>
      </c>
      <c r="K68" s="116">
        <v>0</v>
      </c>
      <c r="L68" s="152">
        <f t="shared" si="57"/>
        <v>170</v>
      </c>
      <c r="M68" s="117">
        <f t="shared" si="80"/>
        <v>186</v>
      </c>
      <c r="N68" s="114" t="s">
        <v>91</v>
      </c>
      <c r="O68" s="114" t="str">
        <f>VLOOKUP($N68,'UMC Table 4-A'!$A$10:$E$139,2,FALSE)</f>
        <v>NO REQUIREMENT FOR CONTINUOUS DIRECTIONAL CONTROL</v>
      </c>
      <c r="P68" s="112">
        <f>VLOOKUP($N68,'UMC Table 4-A'!$A$10:$E$139,3,FALSE)</f>
        <v>2</v>
      </c>
      <c r="Q68" s="152">
        <f t="shared" si="58"/>
        <v>60</v>
      </c>
      <c r="R68" s="112" t="str">
        <f>VLOOKUP($N68,'UMC Table 4-A'!$A$10:$E$139,5,FALSE)</f>
        <v>NR</v>
      </c>
      <c r="S68" s="113">
        <f t="shared" si="59"/>
        <v>190</v>
      </c>
      <c r="T68" s="137">
        <f t="shared" si="60"/>
        <v>190</v>
      </c>
      <c r="U68" s="137">
        <f t="shared" si="61"/>
        <v>190</v>
      </c>
      <c r="V68" s="137">
        <f t="shared" si="62"/>
        <v>0</v>
      </c>
      <c r="W68" s="89">
        <f t="shared" si="63"/>
        <v>0</v>
      </c>
      <c r="X68" s="31" t="str">
        <f t="shared" si="64"/>
        <v>Yes</v>
      </c>
      <c r="Y68" s="32">
        <f t="shared" si="65"/>
        <v>1.021505376344086</v>
      </c>
      <c r="Z68" s="70">
        <f t="shared" si="66"/>
        <v>31.578947368421051</v>
      </c>
      <c r="AA68" s="32">
        <f t="shared" si="67"/>
        <v>6.8100358422939067</v>
      </c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V68" s="17"/>
    </row>
    <row r="69" spans="2:48" ht="15" customHeight="1" x14ac:dyDescent="0.2">
      <c r="B69" s="30"/>
      <c r="C69" s="121" t="s">
        <v>436</v>
      </c>
      <c r="D69" s="121" t="s">
        <v>554</v>
      </c>
      <c r="E69" s="158" t="s">
        <v>555</v>
      </c>
      <c r="F69" s="158">
        <v>65</v>
      </c>
      <c r="G69" s="173">
        <v>9</v>
      </c>
      <c r="H69" s="114">
        <f>VLOOKUP($N69,'UMC Table 4-A'!$A$10:$E$139,4,FALSE)</f>
        <v>6</v>
      </c>
      <c r="I69" s="114" t="str">
        <f>VLOOKUP($N69,'UMC Table 4-A'!$A$10:$E$139,5,FALSE)</f>
        <v>NR</v>
      </c>
      <c r="J69" s="111" t="str">
        <f t="shared" si="56"/>
        <v>-</v>
      </c>
      <c r="K69" s="116">
        <v>0</v>
      </c>
      <c r="L69" s="152">
        <f t="shared" si="57"/>
        <v>60</v>
      </c>
      <c r="M69" s="117">
        <f t="shared" si="80"/>
        <v>65</v>
      </c>
      <c r="N69" s="114" t="s">
        <v>91</v>
      </c>
      <c r="O69" s="114" t="str">
        <f>VLOOKUP($N69,'UMC Table 4-A'!$A$10:$E$139,2,FALSE)</f>
        <v>NO REQUIREMENT FOR CONTINUOUS DIRECTIONAL CONTROL</v>
      </c>
      <c r="P69" s="112">
        <f>VLOOKUP($N69,'UMC Table 4-A'!$A$10:$E$139,3,FALSE)</f>
        <v>2</v>
      </c>
      <c r="Q69" s="152">
        <f t="shared" si="58"/>
        <v>20</v>
      </c>
      <c r="R69" s="112" t="str">
        <f>VLOOKUP($N69,'UMC Table 4-A'!$A$10:$E$139,5,FALSE)</f>
        <v>NR</v>
      </c>
      <c r="S69" s="113">
        <f t="shared" si="59"/>
        <v>65</v>
      </c>
      <c r="T69" s="137">
        <f t="shared" si="60"/>
        <v>65</v>
      </c>
      <c r="U69" s="137">
        <f t="shared" si="61"/>
        <v>65</v>
      </c>
      <c r="V69" s="137">
        <f t="shared" si="62"/>
        <v>0</v>
      </c>
      <c r="W69" s="89">
        <f t="shared" si="63"/>
        <v>0</v>
      </c>
      <c r="X69" s="31" t="str">
        <f t="shared" si="64"/>
        <v>Yes</v>
      </c>
      <c r="Y69" s="32">
        <f t="shared" si="65"/>
        <v>1</v>
      </c>
      <c r="Z69" s="70">
        <f t="shared" si="66"/>
        <v>30.76923076923077</v>
      </c>
      <c r="AA69" s="32">
        <f t="shared" si="67"/>
        <v>6.6666666666666661</v>
      </c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V69" s="17"/>
    </row>
    <row r="70" spans="2:48" ht="15" customHeight="1" x14ac:dyDescent="0.2">
      <c r="B70" s="30"/>
      <c r="C70" s="121" t="s">
        <v>437</v>
      </c>
      <c r="D70" s="121" t="s">
        <v>557</v>
      </c>
      <c r="E70" s="158" t="s">
        <v>558</v>
      </c>
      <c r="F70" s="158">
        <v>120</v>
      </c>
      <c r="G70" s="173">
        <v>9</v>
      </c>
      <c r="H70" s="114">
        <f>VLOOKUP($N70,'UMC Table 4-A'!$A$10:$E$139,4,FALSE)</f>
        <v>6</v>
      </c>
      <c r="I70" s="114" t="str">
        <f>VLOOKUP($N70,'UMC Table 4-A'!$A$10:$E$139,5,FALSE)</f>
        <v>NR</v>
      </c>
      <c r="J70" s="111" t="str">
        <f t="shared" si="56"/>
        <v>-</v>
      </c>
      <c r="K70" s="116">
        <v>0</v>
      </c>
      <c r="L70" s="152">
        <f t="shared" si="57"/>
        <v>110</v>
      </c>
      <c r="M70" s="117">
        <f t="shared" si="80"/>
        <v>120</v>
      </c>
      <c r="N70" s="114" t="s">
        <v>91</v>
      </c>
      <c r="O70" s="114" t="str">
        <f>VLOOKUP($N70,'UMC Table 4-A'!$A$10:$E$139,2,FALSE)</f>
        <v>NO REQUIREMENT FOR CONTINUOUS DIRECTIONAL CONTROL</v>
      </c>
      <c r="P70" s="112">
        <f>VLOOKUP($N70,'UMC Table 4-A'!$A$10:$E$139,3,FALSE)</f>
        <v>2</v>
      </c>
      <c r="Q70" s="152">
        <f t="shared" si="58"/>
        <v>40</v>
      </c>
      <c r="R70" s="112" t="str">
        <f>VLOOKUP($N70,'UMC Table 4-A'!$A$10:$E$139,5,FALSE)</f>
        <v>NR</v>
      </c>
      <c r="S70" s="113">
        <f t="shared" si="59"/>
        <v>120</v>
      </c>
      <c r="T70" s="137">
        <f t="shared" si="60"/>
        <v>120</v>
      </c>
      <c r="U70" s="137">
        <f t="shared" si="61"/>
        <v>120</v>
      </c>
      <c r="V70" s="137">
        <f t="shared" si="62"/>
        <v>0</v>
      </c>
      <c r="W70" s="89">
        <f t="shared" si="63"/>
        <v>0</v>
      </c>
      <c r="X70" s="31" t="str">
        <f t="shared" si="64"/>
        <v>Yes</v>
      </c>
      <c r="Y70" s="32">
        <f t="shared" si="65"/>
        <v>1</v>
      </c>
      <c r="Z70" s="70">
        <f t="shared" si="66"/>
        <v>33.333333333333329</v>
      </c>
      <c r="AA70" s="32">
        <f t="shared" si="67"/>
        <v>6.6666666666666661</v>
      </c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V70" s="17"/>
    </row>
    <row r="71" spans="2:48" ht="15" customHeight="1" x14ac:dyDescent="0.2">
      <c r="B71" s="30"/>
      <c r="C71" s="121" t="s">
        <v>559</v>
      </c>
      <c r="D71" s="121" t="s">
        <v>461</v>
      </c>
      <c r="E71" s="158" t="s">
        <v>462</v>
      </c>
      <c r="F71" s="158">
        <v>1220</v>
      </c>
      <c r="G71" s="173">
        <v>9</v>
      </c>
      <c r="H71" s="114">
        <f>VLOOKUP($N71,'UMC Table 4-A'!$A$10:$E$139,4,FALSE)</f>
        <v>2</v>
      </c>
      <c r="I71" s="114" t="str">
        <f>VLOOKUP($N71,'UMC Table 4-A'!$A$10:$E$139,5,FALSE)</f>
        <v>NR</v>
      </c>
      <c r="J71" s="111" t="str">
        <f t="shared" ref="J71:J79" si="81">IF(I71="Yes",L71,"-")</f>
        <v>-</v>
      </c>
      <c r="K71" s="116">
        <v>0</v>
      </c>
      <c r="L71" s="152">
        <f t="shared" ref="L71:L79" si="82">IF(H71&lt;&gt;"NR",ROUNDUP((F71*G71*H71)/60,-1),0)</f>
        <v>370</v>
      </c>
      <c r="M71" s="117">
        <f t="shared" si="80"/>
        <v>1220</v>
      </c>
      <c r="N71" s="114" t="s">
        <v>115</v>
      </c>
      <c r="O71" s="114" t="str">
        <f>VLOOKUP($N71,'UMC Table 4-A'!$A$10:$E$139,2,FALSE)</f>
        <v>NO REQUIREMENT FOR CONTINUOUS DIRECTIONAL CONTROL</v>
      </c>
      <c r="P71" s="112" t="str">
        <f>VLOOKUP($N71,'UMC Table 4-A'!$A$10:$E$139,3,FALSE)</f>
        <v>NR</v>
      </c>
      <c r="Q71" s="152">
        <f t="shared" ref="Q71:Q79" si="83">IF(P71&lt;&gt;"NR",ROUNDUP((F71*G71*P71)/60,-1),0)</f>
        <v>0</v>
      </c>
      <c r="R71" s="112" t="str">
        <f>VLOOKUP($N71,'UMC Table 4-A'!$A$10:$E$139,5,FALSE)</f>
        <v>NR</v>
      </c>
      <c r="S71" s="113">
        <f t="shared" ref="S71:S79" si="84">IF(O71="Negative",IF(OR(N71="Toilet room",N71="Janitor's closet, housekeeping"),0,IF(0.1*V71&gt;50,220-0.1*V71,V71-50)),IF(R71="Yes",0,CEILING(MAX(K71:M71),5)))</f>
        <v>1220</v>
      </c>
      <c r="T71" s="137">
        <f t="shared" ref="T71:T80" si="85">S71</f>
        <v>1220</v>
      </c>
      <c r="U71" s="137">
        <f t="shared" ref="U71:U80" si="86">IF(R71="Yes",0,IF(O71="Positive",IF(0.1*S71&gt;50,S71-0.1*S71,S71-50),IF(O71="Negative",IF(0.1*S71&gt;50,S71+0.1*S71,S71+50),S71)))</f>
        <v>1220</v>
      </c>
      <c r="V71" s="137">
        <f t="shared" ref="V71:V80" si="87">IF(R71="Yes",J71,0)</f>
        <v>0</v>
      </c>
      <c r="W71" s="89">
        <f t="shared" ref="W71:W79" si="88">T71-U71-V71</f>
        <v>0</v>
      </c>
      <c r="X71" s="31" t="str">
        <f t="shared" ref="X71:X79" si="89">IF(S71-U71-V71+W71=0,"Yes","No")</f>
        <v>Yes</v>
      </c>
      <c r="Y71" s="32">
        <f t="shared" ref="Y71:Y79" si="90">S71/F71</f>
        <v>1</v>
      </c>
      <c r="Z71" s="70">
        <f t="shared" ref="Z71:Z79" si="91">(Q71/T71)*100</f>
        <v>0</v>
      </c>
      <c r="AA71" s="32">
        <f t="shared" ref="AA71:AA79" si="92">S71/F71/G71*60</f>
        <v>6.6666666666666661</v>
      </c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V71" s="17"/>
    </row>
    <row r="72" spans="2:48" ht="15" customHeight="1" x14ac:dyDescent="0.2">
      <c r="B72" s="30"/>
      <c r="C72" s="148" t="s">
        <v>559</v>
      </c>
      <c r="D72" s="148" t="s">
        <v>598</v>
      </c>
      <c r="E72" s="169" t="s">
        <v>750</v>
      </c>
      <c r="F72" s="169">
        <v>97</v>
      </c>
      <c r="G72" s="173">
        <v>9</v>
      </c>
      <c r="H72" s="114">
        <f>VLOOKUP($N72,'UMC Table 4-A'!$A$10:$E$139,4,FALSE)</f>
        <v>6</v>
      </c>
      <c r="I72" s="114" t="str">
        <f>VLOOKUP($N72,'UMC Table 4-A'!$A$10:$E$139,5,FALSE)</f>
        <v>YES</v>
      </c>
      <c r="J72" s="111">
        <f t="shared" si="81"/>
        <v>90</v>
      </c>
      <c r="K72" s="116">
        <v>0</v>
      </c>
      <c r="L72" s="152">
        <f t="shared" si="82"/>
        <v>90</v>
      </c>
      <c r="M72" s="117"/>
      <c r="N72" s="114" t="s">
        <v>93</v>
      </c>
      <c r="O72" s="114" t="str">
        <f>VLOOKUP($N72,'UMC Table 4-A'!$A$10:$E$139,2,FALSE)</f>
        <v>NEGATIVE</v>
      </c>
      <c r="P72" s="112">
        <f>VLOOKUP($N72,'UMC Table 4-A'!$A$10:$E$139,3,FALSE)</f>
        <v>2</v>
      </c>
      <c r="Q72" s="152">
        <f t="shared" si="83"/>
        <v>30</v>
      </c>
      <c r="R72" s="112" t="str">
        <f>VLOOKUP($N72,'UMC Table 4-A'!$A$10:$E$139,5,FALSE)</f>
        <v>YES</v>
      </c>
      <c r="S72" s="113">
        <f t="shared" si="84"/>
        <v>40</v>
      </c>
      <c r="T72" s="137">
        <f t="shared" si="85"/>
        <v>40</v>
      </c>
      <c r="U72" s="137">
        <f t="shared" si="86"/>
        <v>0</v>
      </c>
      <c r="V72" s="137">
        <f t="shared" si="87"/>
        <v>90</v>
      </c>
      <c r="W72" s="89">
        <f t="shared" si="88"/>
        <v>-50</v>
      </c>
      <c r="X72" s="31" t="str">
        <f t="shared" si="89"/>
        <v>No</v>
      </c>
      <c r="Y72" s="32">
        <f t="shared" si="90"/>
        <v>0.41237113402061853</v>
      </c>
      <c r="Z72" s="70">
        <f t="shared" si="91"/>
        <v>75</v>
      </c>
      <c r="AA72" s="32">
        <f t="shared" si="92"/>
        <v>2.7491408934707904</v>
      </c>
      <c r="AB72" s="62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V72" s="17"/>
    </row>
    <row r="73" spans="2:48" ht="15" customHeight="1" x14ac:dyDescent="0.2">
      <c r="B73" s="30"/>
      <c r="C73" s="148" t="s">
        <v>559</v>
      </c>
      <c r="D73" s="148" t="s">
        <v>748</v>
      </c>
      <c r="E73" s="169" t="s">
        <v>749</v>
      </c>
      <c r="F73" s="169">
        <v>87</v>
      </c>
      <c r="G73" s="173">
        <v>9</v>
      </c>
      <c r="H73" s="114">
        <f>VLOOKUP($N73,'UMC Table 4-A'!$A$10:$E$139,4,FALSE)</f>
        <v>10</v>
      </c>
      <c r="I73" s="114" t="str">
        <f>VLOOKUP($N73,'UMC Table 4-A'!$A$10:$E$139,5,FALSE)</f>
        <v>YES</v>
      </c>
      <c r="J73" s="111">
        <f t="shared" si="81"/>
        <v>140</v>
      </c>
      <c r="K73" s="116">
        <v>0</v>
      </c>
      <c r="L73" s="152">
        <f t="shared" si="82"/>
        <v>140</v>
      </c>
      <c r="M73" s="117"/>
      <c r="N73" s="114" t="s">
        <v>94</v>
      </c>
      <c r="O73" s="114" t="str">
        <f>VLOOKUP($N73,'UMC Table 4-A'!$A$10:$E$139,2,FALSE)</f>
        <v>NEGATIVE</v>
      </c>
      <c r="P73" s="112" t="str">
        <f>VLOOKUP($N73,'UMC Table 4-A'!$A$10:$E$139,3,FALSE)</f>
        <v>NR</v>
      </c>
      <c r="Q73" s="152">
        <f t="shared" si="83"/>
        <v>0</v>
      </c>
      <c r="R73" s="112" t="str">
        <f>VLOOKUP($N73,'UMC Table 4-A'!$A$10:$E$139,5,FALSE)</f>
        <v>YES</v>
      </c>
      <c r="S73" s="113">
        <f t="shared" si="84"/>
        <v>0</v>
      </c>
      <c r="T73" s="137">
        <f t="shared" si="85"/>
        <v>0</v>
      </c>
      <c r="U73" s="137">
        <f t="shared" si="86"/>
        <v>0</v>
      </c>
      <c r="V73" s="137">
        <f t="shared" si="87"/>
        <v>140</v>
      </c>
      <c r="W73" s="89">
        <f t="shared" si="88"/>
        <v>-140</v>
      </c>
      <c r="X73" s="31" t="str">
        <f t="shared" si="89"/>
        <v>No</v>
      </c>
      <c r="Y73" s="32">
        <f t="shared" si="90"/>
        <v>0</v>
      </c>
      <c r="Z73" s="70" t="e">
        <f t="shared" si="91"/>
        <v>#DIV/0!</v>
      </c>
      <c r="AA73" s="32">
        <f t="shared" si="92"/>
        <v>0</v>
      </c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V73" s="17"/>
    </row>
    <row r="74" spans="2:48" ht="15" customHeight="1" x14ac:dyDescent="0.2">
      <c r="B74" s="30"/>
      <c r="C74" s="121" t="s">
        <v>559</v>
      </c>
      <c r="D74" s="148" t="s">
        <v>735</v>
      </c>
      <c r="E74" s="169" t="s">
        <v>746</v>
      </c>
      <c r="F74" s="169">
        <v>59</v>
      </c>
      <c r="G74" s="173">
        <v>9</v>
      </c>
      <c r="H74" s="114">
        <f>VLOOKUP($N74,'UMC Table 4-A'!$A$10:$E$139,4,FALSE)</f>
        <v>10</v>
      </c>
      <c r="I74" s="114" t="str">
        <f>VLOOKUP($N74,'UMC Table 4-A'!$A$10:$E$139,5,FALSE)</f>
        <v>YES</v>
      </c>
      <c r="J74" s="111">
        <f t="shared" si="81"/>
        <v>90</v>
      </c>
      <c r="K74" s="116">
        <v>0</v>
      </c>
      <c r="L74" s="152">
        <f t="shared" si="82"/>
        <v>90</v>
      </c>
      <c r="M74" s="117"/>
      <c r="N74" s="114" t="s">
        <v>94</v>
      </c>
      <c r="O74" s="114" t="str">
        <f>VLOOKUP($N74,'UMC Table 4-A'!$A$10:$E$139,2,FALSE)</f>
        <v>NEGATIVE</v>
      </c>
      <c r="P74" s="112" t="str">
        <f>VLOOKUP($N74,'UMC Table 4-A'!$A$10:$E$139,3,FALSE)</f>
        <v>NR</v>
      </c>
      <c r="Q74" s="152">
        <f t="shared" si="83"/>
        <v>0</v>
      </c>
      <c r="R74" s="112" t="str">
        <f>VLOOKUP($N74,'UMC Table 4-A'!$A$10:$E$139,5,FALSE)</f>
        <v>YES</v>
      </c>
      <c r="S74" s="113">
        <f t="shared" si="84"/>
        <v>0</v>
      </c>
      <c r="T74" s="137">
        <f t="shared" si="85"/>
        <v>0</v>
      </c>
      <c r="U74" s="137">
        <f t="shared" si="86"/>
        <v>0</v>
      </c>
      <c r="V74" s="137">
        <f t="shared" si="87"/>
        <v>90</v>
      </c>
      <c r="W74" s="89">
        <f t="shared" si="88"/>
        <v>-90</v>
      </c>
      <c r="X74" s="31" t="str">
        <f t="shared" si="89"/>
        <v>No</v>
      </c>
      <c r="Y74" s="32">
        <f t="shared" si="90"/>
        <v>0</v>
      </c>
      <c r="Z74" s="70" t="e">
        <f t="shared" si="91"/>
        <v>#DIV/0!</v>
      </c>
      <c r="AA74" s="32">
        <f t="shared" si="92"/>
        <v>0</v>
      </c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V74" s="17"/>
    </row>
    <row r="75" spans="2:48" ht="15" customHeight="1" x14ac:dyDescent="0.2">
      <c r="B75" s="30"/>
      <c r="C75" s="121" t="s">
        <v>559</v>
      </c>
      <c r="D75" s="148" t="s">
        <v>739</v>
      </c>
      <c r="E75" s="169" t="s">
        <v>740</v>
      </c>
      <c r="F75" s="169">
        <v>38</v>
      </c>
      <c r="G75" s="173">
        <v>9</v>
      </c>
      <c r="H75" s="114">
        <f>VLOOKUP($N75,'UMC Table 4-A'!$A$10:$E$139,4,FALSE)</f>
        <v>10</v>
      </c>
      <c r="I75" s="114" t="str">
        <f>VLOOKUP($N75,'UMC Table 4-A'!$A$10:$E$139,5,FALSE)</f>
        <v>YES</v>
      </c>
      <c r="J75" s="111">
        <f t="shared" si="81"/>
        <v>60</v>
      </c>
      <c r="K75" s="116">
        <v>0</v>
      </c>
      <c r="L75" s="152">
        <f t="shared" si="82"/>
        <v>60</v>
      </c>
      <c r="M75" s="117"/>
      <c r="N75" s="114" t="s">
        <v>246</v>
      </c>
      <c r="O75" s="114" t="str">
        <f>VLOOKUP($N75,'UMC Table 4-A'!$A$10:$E$139,2,FALSE)</f>
        <v>NEGATIVE</v>
      </c>
      <c r="P75" s="112" t="str">
        <f>VLOOKUP($N75,'UMC Table 4-A'!$A$10:$E$139,3,FALSE)</f>
        <v>NR</v>
      </c>
      <c r="Q75" s="152">
        <f t="shared" si="83"/>
        <v>0</v>
      </c>
      <c r="R75" s="112" t="str">
        <f>VLOOKUP($N75,'UMC Table 4-A'!$A$10:$E$139,5,FALSE)</f>
        <v>YES</v>
      </c>
      <c r="S75" s="113">
        <f t="shared" si="84"/>
        <v>0</v>
      </c>
      <c r="T75" s="137">
        <f t="shared" si="85"/>
        <v>0</v>
      </c>
      <c r="U75" s="137">
        <f t="shared" si="86"/>
        <v>0</v>
      </c>
      <c r="V75" s="137">
        <f t="shared" si="87"/>
        <v>60</v>
      </c>
      <c r="W75" s="89">
        <f t="shared" si="88"/>
        <v>-60</v>
      </c>
      <c r="X75" s="31" t="str">
        <f t="shared" si="89"/>
        <v>No</v>
      </c>
      <c r="Y75" s="32">
        <f t="shared" si="90"/>
        <v>0</v>
      </c>
      <c r="Z75" s="70" t="e">
        <f t="shared" si="91"/>
        <v>#DIV/0!</v>
      </c>
      <c r="AA75" s="32">
        <f t="shared" si="92"/>
        <v>0</v>
      </c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V75" s="17"/>
    </row>
    <row r="76" spans="2:48" ht="15" customHeight="1" x14ac:dyDescent="0.2">
      <c r="B76" s="30"/>
      <c r="C76" s="121" t="s">
        <v>559</v>
      </c>
      <c r="D76" s="148" t="s">
        <v>735</v>
      </c>
      <c r="E76" s="169" t="s">
        <v>745</v>
      </c>
      <c r="F76" s="169">
        <v>58</v>
      </c>
      <c r="G76" s="173">
        <v>9</v>
      </c>
      <c r="H76" s="114">
        <f>VLOOKUP($N76,'UMC Table 4-A'!$A$10:$E$139,4,FALSE)</f>
        <v>10</v>
      </c>
      <c r="I76" s="114" t="str">
        <f>VLOOKUP($N76,'UMC Table 4-A'!$A$10:$E$139,5,FALSE)</f>
        <v>YES</v>
      </c>
      <c r="J76" s="111">
        <f t="shared" si="81"/>
        <v>90</v>
      </c>
      <c r="K76" s="116">
        <v>0</v>
      </c>
      <c r="L76" s="152">
        <f t="shared" si="82"/>
        <v>90</v>
      </c>
      <c r="M76" s="117"/>
      <c r="N76" s="114" t="s">
        <v>94</v>
      </c>
      <c r="O76" s="114" t="str">
        <f>VLOOKUP($N76,'UMC Table 4-A'!$A$10:$E$139,2,FALSE)</f>
        <v>NEGATIVE</v>
      </c>
      <c r="P76" s="112" t="str">
        <f>VLOOKUP($N76,'UMC Table 4-A'!$A$10:$E$139,3,FALSE)</f>
        <v>NR</v>
      </c>
      <c r="Q76" s="152">
        <f t="shared" si="83"/>
        <v>0</v>
      </c>
      <c r="R76" s="112" t="str">
        <f>VLOOKUP($N76,'UMC Table 4-A'!$A$10:$E$139,5,FALSE)</f>
        <v>YES</v>
      </c>
      <c r="S76" s="113">
        <f t="shared" si="84"/>
        <v>0</v>
      </c>
      <c r="T76" s="137">
        <f t="shared" si="85"/>
        <v>0</v>
      </c>
      <c r="U76" s="137">
        <f t="shared" si="86"/>
        <v>0</v>
      </c>
      <c r="V76" s="137">
        <f t="shared" si="87"/>
        <v>90</v>
      </c>
      <c r="W76" s="89">
        <f t="shared" si="88"/>
        <v>-90</v>
      </c>
      <c r="X76" s="31" t="str">
        <f t="shared" si="89"/>
        <v>No</v>
      </c>
      <c r="Y76" s="32">
        <f t="shared" si="90"/>
        <v>0</v>
      </c>
      <c r="Z76" s="70" t="e">
        <f t="shared" si="91"/>
        <v>#DIV/0!</v>
      </c>
      <c r="AA76" s="32">
        <f t="shared" si="92"/>
        <v>0</v>
      </c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V76" s="17"/>
    </row>
    <row r="77" spans="2:48" ht="15" customHeight="1" x14ac:dyDescent="0.2">
      <c r="B77" s="30"/>
      <c r="C77" s="121" t="s">
        <v>560</v>
      </c>
      <c r="D77" s="121" t="s">
        <v>561</v>
      </c>
      <c r="E77" s="158" t="s">
        <v>562</v>
      </c>
      <c r="F77" s="158">
        <v>338</v>
      </c>
      <c r="G77" s="173">
        <v>9</v>
      </c>
      <c r="H77" s="114">
        <f>VLOOKUP($N77,'UMC Table 4-A'!$A$10:$E$139,4,FALSE)</f>
        <v>4</v>
      </c>
      <c r="I77" s="114" t="str">
        <f>VLOOKUP($N77,'UMC Table 4-A'!$A$10:$E$139,5,FALSE)</f>
        <v>NR</v>
      </c>
      <c r="J77" s="111" t="str">
        <f t="shared" si="81"/>
        <v>-</v>
      </c>
      <c r="K77" s="116">
        <v>0</v>
      </c>
      <c r="L77" s="152">
        <f t="shared" si="82"/>
        <v>210</v>
      </c>
      <c r="M77" s="117">
        <f>F77</f>
        <v>338</v>
      </c>
      <c r="N77" s="114" t="s">
        <v>117</v>
      </c>
      <c r="O77" s="114" t="str">
        <f>VLOOKUP($N77,'UMC Table 4-A'!$A$10:$E$139,2,FALSE)</f>
        <v>POSITIVE</v>
      </c>
      <c r="P77" s="112">
        <f>VLOOKUP($N77,'UMC Table 4-A'!$A$10:$E$139,3,FALSE)</f>
        <v>2</v>
      </c>
      <c r="Q77" s="152">
        <f t="shared" si="83"/>
        <v>110</v>
      </c>
      <c r="R77" s="112" t="str">
        <f>VLOOKUP($N77,'UMC Table 4-A'!$A$10:$E$139,5,FALSE)</f>
        <v>NR</v>
      </c>
      <c r="S77" s="113">
        <f t="shared" si="84"/>
        <v>340</v>
      </c>
      <c r="T77" s="137">
        <f t="shared" si="85"/>
        <v>340</v>
      </c>
      <c r="U77" s="137">
        <f t="shared" si="86"/>
        <v>290</v>
      </c>
      <c r="V77" s="137">
        <f t="shared" si="87"/>
        <v>0</v>
      </c>
      <c r="W77" s="89">
        <f t="shared" si="88"/>
        <v>50</v>
      </c>
      <c r="X77" s="31" t="str">
        <f t="shared" si="89"/>
        <v>No</v>
      </c>
      <c r="Y77" s="32">
        <f t="shared" si="90"/>
        <v>1.0059171597633136</v>
      </c>
      <c r="Z77" s="70">
        <f t="shared" si="91"/>
        <v>32.352941176470587</v>
      </c>
      <c r="AA77" s="32">
        <f t="shared" si="92"/>
        <v>6.7061143984220912</v>
      </c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V77" s="17"/>
    </row>
    <row r="78" spans="2:48" ht="15" customHeight="1" x14ac:dyDescent="0.2">
      <c r="B78" s="30"/>
      <c r="C78" s="121" t="s">
        <v>563</v>
      </c>
      <c r="D78" s="121" t="s">
        <v>564</v>
      </c>
      <c r="E78" s="158" t="s">
        <v>565</v>
      </c>
      <c r="F78" s="158">
        <v>51</v>
      </c>
      <c r="G78" s="173">
        <v>9</v>
      </c>
      <c r="H78" s="114">
        <f>VLOOKUP($N78,'UMC Table 4-A'!$A$10:$E$139,4,FALSE)</f>
        <v>30</v>
      </c>
      <c r="I78" s="114" t="str">
        <f>VLOOKUP($N78,'UMC Table 4-A'!$A$10:$E$139,5,FALSE)</f>
        <v>NR</v>
      </c>
      <c r="J78" s="111" t="str">
        <f t="shared" si="81"/>
        <v>-</v>
      </c>
      <c r="K78" s="116">
        <v>0</v>
      </c>
      <c r="L78" s="152">
        <f t="shared" si="82"/>
        <v>230</v>
      </c>
      <c r="M78" s="117">
        <f>F78</f>
        <v>51</v>
      </c>
      <c r="N78" s="114" t="s">
        <v>118</v>
      </c>
      <c r="O78" s="114" t="str">
        <f>VLOOKUP($N78,'UMC Table 4-A'!$A$10:$E$139,2,FALSE)</f>
        <v>POSITIVE</v>
      </c>
      <c r="P78" s="112">
        <f>VLOOKUP($N78,'UMC Table 4-A'!$A$10:$E$139,3,FALSE)</f>
        <v>2</v>
      </c>
      <c r="Q78" s="152">
        <f t="shared" si="83"/>
        <v>20</v>
      </c>
      <c r="R78" s="112" t="str">
        <f>VLOOKUP($N78,'UMC Table 4-A'!$A$10:$E$139,5,FALSE)</f>
        <v>NR</v>
      </c>
      <c r="S78" s="113">
        <f t="shared" si="84"/>
        <v>230</v>
      </c>
      <c r="T78" s="137">
        <f t="shared" si="85"/>
        <v>230</v>
      </c>
      <c r="U78" s="137">
        <f t="shared" si="86"/>
        <v>180</v>
      </c>
      <c r="V78" s="137">
        <f t="shared" si="87"/>
        <v>0</v>
      </c>
      <c r="W78" s="89">
        <f t="shared" si="88"/>
        <v>50</v>
      </c>
      <c r="X78" s="31" t="str">
        <f t="shared" si="89"/>
        <v>No</v>
      </c>
      <c r="Y78" s="32">
        <f t="shared" si="90"/>
        <v>4.5098039215686274</v>
      </c>
      <c r="Z78" s="70">
        <f t="shared" si="91"/>
        <v>8.695652173913043</v>
      </c>
      <c r="AA78" s="32">
        <f t="shared" si="92"/>
        <v>30.065359477124179</v>
      </c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V78" s="17"/>
    </row>
    <row r="79" spans="2:48" ht="15" customHeight="1" x14ac:dyDescent="0.2">
      <c r="B79" s="30"/>
      <c r="C79" s="121" t="s">
        <v>566</v>
      </c>
      <c r="D79" s="121" t="s">
        <v>567</v>
      </c>
      <c r="E79" s="158" t="s">
        <v>568</v>
      </c>
      <c r="F79" s="158">
        <v>56</v>
      </c>
      <c r="G79" s="173">
        <v>9</v>
      </c>
      <c r="H79" s="114">
        <f>VLOOKUP($N79,'UMC Table 4-A'!$A$10:$E$139,4,FALSE)</f>
        <v>30</v>
      </c>
      <c r="I79" s="114" t="str">
        <f>VLOOKUP($N79,'UMC Table 4-A'!$A$10:$E$139,5,FALSE)</f>
        <v>NR</v>
      </c>
      <c r="J79" s="111" t="str">
        <f t="shared" si="81"/>
        <v>-</v>
      </c>
      <c r="K79" s="116">
        <v>0</v>
      </c>
      <c r="L79" s="152">
        <f t="shared" si="82"/>
        <v>260</v>
      </c>
      <c r="M79" s="117">
        <f>F79</f>
        <v>56</v>
      </c>
      <c r="N79" s="114" t="s">
        <v>287</v>
      </c>
      <c r="O79" s="114" t="str">
        <f>VLOOKUP($N79,'UMC Table 4-A'!$A$10:$E$139,2,FALSE)</f>
        <v>POSITIVE</v>
      </c>
      <c r="P79" s="112" t="str">
        <f>VLOOKUP($N79,'UMC Table 4-A'!$A$10:$E$139,3,FALSE)</f>
        <v>NR</v>
      </c>
      <c r="Q79" s="152">
        <f t="shared" si="83"/>
        <v>0</v>
      </c>
      <c r="R79" s="112" t="str">
        <f>VLOOKUP($N79,'UMC Table 4-A'!$A$10:$E$139,5,FALSE)</f>
        <v>NR</v>
      </c>
      <c r="S79" s="113">
        <f t="shared" si="84"/>
        <v>260</v>
      </c>
      <c r="T79" s="137">
        <f t="shared" si="85"/>
        <v>260</v>
      </c>
      <c r="U79" s="137">
        <f t="shared" si="86"/>
        <v>210</v>
      </c>
      <c r="V79" s="137">
        <f t="shared" si="87"/>
        <v>0</v>
      </c>
      <c r="W79" s="89">
        <f t="shared" si="88"/>
        <v>50</v>
      </c>
      <c r="X79" s="31" t="str">
        <f t="shared" si="89"/>
        <v>No</v>
      </c>
      <c r="Y79" s="32">
        <f t="shared" si="90"/>
        <v>4.6428571428571432</v>
      </c>
      <c r="Z79" s="70">
        <f t="shared" si="91"/>
        <v>0</v>
      </c>
      <c r="AA79" s="32">
        <f t="shared" si="92"/>
        <v>30.952380952380956</v>
      </c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V79" s="17"/>
    </row>
    <row r="80" spans="2:48" ht="15" customHeight="1" thickBot="1" x14ac:dyDescent="0.25">
      <c r="B80" s="84"/>
      <c r="C80" s="76"/>
      <c r="D80" s="138"/>
      <c r="E80" s="139"/>
      <c r="F80" s="140"/>
      <c r="G80" s="141"/>
      <c r="H80" s="142"/>
      <c r="I80" s="142"/>
      <c r="J80" s="143"/>
      <c r="K80" s="141"/>
      <c r="L80" s="144"/>
      <c r="M80" s="144"/>
      <c r="N80" s="145"/>
      <c r="O80" s="142"/>
      <c r="P80" s="142"/>
      <c r="Q80" s="146"/>
      <c r="R80" s="142"/>
      <c r="S80" s="147"/>
      <c r="T80" s="137">
        <f t="shared" si="85"/>
        <v>0</v>
      </c>
      <c r="U80" s="137">
        <f t="shared" si="86"/>
        <v>0</v>
      </c>
      <c r="V80" s="137">
        <f t="shared" si="87"/>
        <v>0</v>
      </c>
      <c r="W80" s="81"/>
      <c r="X80" s="35"/>
      <c r="Y80" s="36"/>
      <c r="Z80" s="70"/>
      <c r="AA80" s="32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V80" s="17"/>
    </row>
    <row r="81" spans="2:48" ht="15" customHeight="1" thickBot="1" x14ac:dyDescent="0.25">
      <c r="B81" s="56"/>
      <c r="C81" s="57"/>
      <c r="E81" s="95" t="s">
        <v>98</v>
      </c>
      <c r="F81" s="96">
        <f>SUM(F8:F79)</f>
        <v>18212</v>
      </c>
      <c r="G81" s="1"/>
      <c r="H81" s="22"/>
      <c r="K81" s="19"/>
      <c r="L81" s="10"/>
      <c r="M81" s="10"/>
      <c r="N81" s="11"/>
      <c r="O81" s="11"/>
      <c r="P81" s="51" t="s">
        <v>17</v>
      </c>
      <c r="Q81" s="52">
        <f>SUM(Q8:Q80)</f>
        <v>5130</v>
      </c>
      <c r="R81" s="53"/>
      <c r="S81" s="53">
        <f>SUM(S8:S80)</f>
        <v>19585</v>
      </c>
      <c r="T81" s="53">
        <f>SUM(T8:T80)</f>
        <v>19835</v>
      </c>
      <c r="U81" s="53">
        <f>SUM(U8:U80)</f>
        <v>18100</v>
      </c>
      <c r="V81" s="53">
        <f>SUM(V8:V80)</f>
        <v>2565</v>
      </c>
      <c r="W81" s="90">
        <f t="shared" ref="W81" si="93">T81-U81-V81</f>
        <v>-830</v>
      </c>
      <c r="X81" s="53" t="str">
        <f>IF(T81-U81-V81-W81=0,"Yes","No")</f>
        <v>Yes</v>
      </c>
      <c r="Y81" s="12"/>
      <c r="AA81" s="13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V81" s="17"/>
    </row>
    <row r="82" spans="2:48" ht="15" customHeight="1" thickBot="1" x14ac:dyDescent="0.25">
      <c r="B82" s="56"/>
      <c r="C82" s="57"/>
      <c r="E82" s="93"/>
      <c r="G82" s="1"/>
      <c r="H82" s="22"/>
      <c r="K82" s="19"/>
      <c r="L82" s="10"/>
      <c r="M82" s="10"/>
      <c r="N82" s="11"/>
      <c r="O82" s="11"/>
      <c r="P82" s="80" t="s">
        <v>101</v>
      </c>
      <c r="Q82" s="80">
        <v>3200</v>
      </c>
      <c r="R82" s="13"/>
      <c r="S82" s="13"/>
      <c r="T82" s="13"/>
      <c r="U82" s="13"/>
      <c r="V82" s="13"/>
      <c r="W82" s="91"/>
      <c r="X82" s="13"/>
      <c r="Y82" s="12"/>
      <c r="AA82" s="13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V82" s="17"/>
    </row>
    <row r="83" spans="2:48" ht="15" customHeight="1" thickBot="1" x14ac:dyDescent="0.25">
      <c r="B83" s="58"/>
      <c r="C83" s="57"/>
      <c r="G83" s="1"/>
      <c r="H83" s="22"/>
      <c r="K83" s="19"/>
      <c r="L83" s="10"/>
      <c r="M83" s="10"/>
      <c r="N83" s="11"/>
      <c r="O83" s="77" t="s">
        <v>100</v>
      </c>
      <c r="P83" s="50">
        <v>1.2</v>
      </c>
      <c r="Q83" s="82">
        <f>ROUNDUP((Q81*P83)+Q82,-2)</f>
        <v>9400</v>
      </c>
      <c r="R83" s="83"/>
      <c r="S83" s="83"/>
      <c r="T83" s="83">
        <f>ROUNDUP(T81*P83,-2)</f>
        <v>23900</v>
      </c>
      <c r="U83" s="83">
        <f>ROUNDUP(U81*P83,-2)</f>
        <v>21800</v>
      </c>
      <c r="V83" s="83">
        <f>ROUNDUP(V81*P83,-2)</f>
        <v>3100</v>
      </c>
      <c r="W83" s="92"/>
      <c r="X83" s="83"/>
      <c r="Y83" s="12"/>
      <c r="AA83" s="12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V83" s="17"/>
    </row>
    <row r="84" spans="2:48" ht="15" customHeight="1" x14ac:dyDescent="0.2">
      <c r="B84" s="56"/>
      <c r="C84" s="57"/>
      <c r="O84" s="1" t="s">
        <v>48</v>
      </c>
      <c r="P84" s="78" t="s">
        <v>87</v>
      </c>
      <c r="Q84" s="79">
        <f>(Q83/T83)*100</f>
        <v>39.330543933054393</v>
      </c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V84" s="17"/>
    </row>
    <row r="85" spans="2:48" ht="15" customHeight="1" x14ac:dyDescent="0.2">
      <c r="K85"/>
      <c r="N85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V85" s="17"/>
    </row>
    <row r="86" spans="2:48" ht="15" customHeight="1" x14ac:dyDescent="0.2"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V86" s="17"/>
    </row>
    <row r="87" spans="2:48" ht="15" customHeight="1" x14ac:dyDescent="0.2"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V87" s="17"/>
    </row>
    <row r="88" spans="2:48" ht="15" customHeight="1" x14ac:dyDescent="0.2"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V88" s="17"/>
    </row>
    <row r="89" spans="2:48" ht="15" customHeight="1" x14ac:dyDescent="0.2"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V89" s="17"/>
    </row>
    <row r="90" spans="2:48" ht="15" customHeight="1" x14ac:dyDescent="0.2"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V90" s="17"/>
    </row>
    <row r="91" spans="2:48" ht="15" customHeight="1" x14ac:dyDescent="0.2"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V91" s="17"/>
    </row>
    <row r="92" spans="2:48" ht="15" customHeight="1" x14ac:dyDescent="0.2"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V92" s="17"/>
    </row>
    <row r="93" spans="2:48" ht="15" customHeight="1" x14ac:dyDescent="0.2"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V93" s="17"/>
    </row>
    <row r="94" spans="2:48" ht="15" customHeight="1" x14ac:dyDescent="0.2"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V94" s="17"/>
    </row>
    <row r="95" spans="2:48" ht="15" customHeight="1" x14ac:dyDescent="0.2"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V95" s="17"/>
    </row>
    <row r="96" spans="2:48" ht="15" customHeight="1" x14ac:dyDescent="0.2"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V96" s="17"/>
    </row>
    <row r="97" spans="33:48" ht="15" customHeight="1" x14ac:dyDescent="0.2"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V97" s="17"/>
    </row>
    <row r="98" spans="33:48" ht="15" customHeight="1" x14ac:dyDescent="0.2"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V98" s="17"/>
    </row>
    <row r="99" spans="33:48" ht="15" customHeight="1" x14ac:dyDescent="0.2"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V99" s="17"/>
    </row>
    <row r="100" spans="33:48" ht="15.75" customHeight="1" x14ac:dyDescent="0.2"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V100" s="17"/>
    </row>
    <row r="101" spans="33:48" x14ac:dyDescent="0.2"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V101" s="17"/>
    </row>
    <row r="102" spans="33:48" x14ac:dyDescent="0.2"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V102" s="17"/>
    </row>
    <row r="103" spans="33:48" x14ac:dyDescent="0.2"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V103" s="17"/>
    </row>
    <row r="104" spans="33:48" ht="15" customHeight="1" x14ac:dyDescent="0.2"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V104" s="17"/>
    </row>
    <row r="105" spans="33:48" x14ac:dyDescent="0.2">
      <c r="AQ105" s="54"/>
      <c r="AR105" s="54"/>
      <c r="AS105" s="54"/>
      <c r="AT105" s="54"/>
    </row>
  </sheetData>
  <dataConsolidate topLabels="1">
    <dataRefs count="1">
      <dataRef ref="C8:D86" sheet="AHU-1"/>
    </dataRefs>
  </dataConsolidate>
  <mergeCells count="8">
    <mergeCell ref="AD46:AU49"/>
    <mergeCell ref="D5:V5"/>
    <mergeCell ref="AX10:AZ10"/>
    <mergeCell ref="AD6:AU6"/>
    <mergeCell ref="Y6:AA6"/>
    <mergeCell ref="H6:R6"/>
    <mergeCell ref="D6:G6"/>
    <mergeCell ref="S6:V6"/>
  </mergeCells>
  <phoneticPr fontId="20" type="noConversion"/>
  <conditionalFormatting sqref="S8:W80">
    <cfRule type="cellIs" dxfId="11" priority="6" operator="equal">
      <formula>0</formula>
    </cfRule>
  </conditionalFormatting>
  <conditionalFormatting sqref="T8:T80">
    <cfRule type="cellIs" dxfId="10" priority="65" operator="notEqual">
      <formula>$S$8</formula>
    </cfRule>
  </conditionalFormatting>
  <conditionalFormatting sqref="Z8:Z80">
    <cfRule type="cellIs" dxfId="9" priority="324" operator="greaterThan">
      <formula>$Q$84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AS9:AS44" formula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EC6434B1-75D5-4F39-B2B0-242E6B2E3865}">
          <x14:formula1>
            <xm:f>'UMC Table 4-A'!$A$10:$A$139</xm:f>
          </x14:formula1>
          <xm:sqref>N8:N80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AAEE1-CE2B-4A0A-B4F3-8669519B2F1A}">
  <sheetPr codeName="Sheet7">
    <tabColor indexed="43"/>
    <pageSetUpPr fitToPage="1"/>
  </sheetPr>
  <dimension ref="A1:AZ120"/>
  <sheetViews>
    <sheetView showGridLines="0" zoomScale="80" zoomScaleNormal="80" zoomScaleSheetLayoutView="50" zoomScalePageLayoutView="85" workbookViewId="0">
      <pane xSplit="4" ySplit="7" topLeftCell="P97" activePane="bottomRight" state="frozen"/>
      <selection pane="topRight" activeCell="E1" sqref="E1"/>
      <selection pane="bottomLeft" activeCell="A8" sqref="A8"/>
      <selection pane="bottomRight" activeCell="U118" sqref="U118"/>
    </sheetView>
  </sheetViews>
  <sheetFormatPr defaultRowHeight="12.75" x14ac:dyDescent="0.2"/>
  <cols>
    <col min="1" max="1" width="2.85546875" customWidth="1"/>
    <col min="2" max="2" width="12.7109375" customWidth="1"/>
    <col min="3" max="3" width="23.28515625" style="17" customWidth="1"/>
    <col min="4" max="4" width="29.7109375" style="94" bestFit="1" customWidth="1"/>
    <col min="5" max="5" width="16" style="17" bestFit="1" customWidth="1"/>
    <col min="6" max="6" width="13.28515625" style="17" customWidth="1"/>
    <col min="7" max="7" width="6.7109375" customWidth="1"/>
    <col min="8" max="8" width="13" style="21" customWidth="1"/>
    <col min="9" max="10" width="7.7109375" customWidth="1"/>
    <col min="11" max="11" width="11.85546875" style="1" customWidth="1"/>
    <col min="12" max="12" width="12.7109375" customWidth="1"/>
    <col min="13" max="13" width="11.42578125" hidden="1" customWidth="1"/>
    <col min="14" max="14" width="64.28515625" style="1" bestFit="1" customWidth="1"/>
    <col min="15" max="15" width="73.140625" style="1" bestFit="1" customWidth="1"/>
    <col min="16" max="16" width="31.28515625" customWidth="1"/>
    <col min="17" max="17" width="13" bestFit="1" customWidth="1"/>
    <col min="18" max="18" width="18" customWidth="1"/>
    <col min="19" max="19" width="22.85546875" style="1" customWidth="1"/>
    <col min="20" max="20" width="16.5703125" style="1" customWidth="1"/>
    <col min="21" max="21" width="10.140625" style="17" customWidth="1"/>
    <col min="22" max="22" width="10" style="1" customWidth="1"/>
    <col min="23" max="23" width="18" style="85" customWidth="1"/>
    <col min="24" max="24" width="11.28515625" customWidth="1"/>
    <col min="25" max="25" width="9.85546875" style="17" customWidth="1"/>
    <col min="26" max="26" width="15.85546875" style="17" customWidth="1"/>
    <col min="27" max="27" width="9.42578125" style="17" customWidth="1"/>
    <col min="28" max="28" width="22.5703125" style="17" bestFit="1" customWidth="1"/>
    <col min="29" max="29" width="9.28515625" style="17" customWidth="1"/>
    <col min="30" max="30" width="11.42578125" style="86" bestFit="1" customWidth="1"/>
    <col min="31" max="31" width="22" style="86" bestFit="1" customWidth="1"/>
    <col min="32" max="32" width="34.140625" style="86" customWidth="1"/>
    <col min="33" max="33" width="6.42578125" style="55" bestFit="1" customWidth="1"/>
    <col min="34" max="34" width="13" style="55" bestFit="1" customWidth="1"/>
    <col min="35" max="35" width="9.28515625" style="55" hidden="1" customWidth="1"/>
    <col min="36" max="36" width="14.140625" style="55" bestFit="1" customWidth="1"/>
    <col min="37" max="37" width="6.42578125" bestFit="1" customWidth="1"/>
    <col min="38" max="38" width="8" hidden="1" customWidth="1"/>
    <col min="39" max="39" width="6.28515625" customWidth="1"/>
    <col min="40" max="40" width="9.42578125" hidden="1" customWidth="1"/>
    <col min="41" max="41" width="8" customWidth="1"/>
    <col min="42" max="42" width="0" hidden="1" customWidth="1"/>
    <col min="43" max="43" width="8.140625" customWidth="1"/>
    <col min="44" max="44" width="9.5703125" customWidth="1"/>
    <col min="45" max="45" width="10.28515625" customWidth="1"/>
    <col min="46" max="46" width="11" customWidth="1"/>
    <col min="47" max="47" width="12.85546875" bestFit="1" customWidth="1"/>
  </cols>
  <sheetData>
    <row r="1" spans="1:52" ht="30" x14ac:dyDescent="0.4">
      <c r="B1" s="59" t="s">
        <v>54</v>
      </c>
    </row>
    <row r="3" spans="1:52" x14ac:dyDescent="0.2">
      <c r="C3"/>
      <c r="H3"/>
      <c r="K3"/>
      <c r="N3" t="s">
        <v>55</v>
      </c>
      <c r="O3"/>
      <c r="S3"/>
      <c r="T3"/>
      <c r="U3"/>
      <c r="V3"/>
      <c r="W3" s="87"/>
      <c r="Y3"/>
      <c r="Z3"/>
      <c r="AA3"/>
    </row>
    <row r="4" spans="1:52" ht="15.75" customHeight="1" x14ac:dyDescent="0.2">
      <c r="C4"/>
      <c r="H4"/>
      <c r="K4"/>
      <c r="N4"/>
      <c r="O4"/>
      <c r="S4"/>
      <c r="T4"/>
      <c r="U4"/>
      <c r="V4"/>
      <c r="W4" s="87"/>
      <c r="Y4"/>
      <c r="Z4"/>
      <c r="AA4"/>
    </row>
    <row r="5" spans="1:52" ht="30" x14ac:dyDescent="0.2">
      <c r="C5"/>
      <c r="D5" s="193" t="s">
        <v>459</v>
      </c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5"/>
      <c r="W5" s="87"/>
      <c r="Y5"/>
      <c r="Z5"/>
      <c r="AA5"/>
    </row>
    <row r="6" spans="1:52" ht="30" x14ac:dyDescent="0.2">
      <c r="B6" s="121"/>
      <c r="C6" s="121"/>
      <c r="D6" s="204" t="s">
        <v>106</v>
      </c>
      <c r="E6" s="205"/>
      <c r="F6" s="205"/>
      <c r="G6" s="206"/>
      <c r="H6" s="203" t="s">
        <v>107</v>
      </c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4" t="s">
        <v>105</v>
      </c>
      <c r="T6" s="205"/>
      <c r="U6" s="205"/>
      <c r="V6" s="206"/>
      <c r="W6" s="121"/>
      <c r="X6" s="121"/>
      <c r="Y6" s="202" t="s">
        <v>104</v>
      </c>
      <c r="Z6" s="202"/>
      <c r="AA6" s="202"/>
      <c r="AD6" s="199" t="s">
        <v>205</v>
      </c>
      <c r="AE6" s="200"/>
      <c r="AF6" s="200"/>
      <c r="AG6" s="200"/>
      <c r="AH6" s="200"/>
      <c r="AI6" s="200"/>
      <c r="AJ6" s="200"/>
      <c r="AK6" s="200"/>
      <c r="AL6" s="200"/>
      <c r="AM6" s="200"/>
      <c r="AN6" s="200"/>
      <c r="AO6" s="200"/>
      <c r="AP6" s="200"/>
      <c r="AQ6" s="200"/>
      <c r="AR6" s="200"/>
      <c r="AS6" s="200"/>
      <c r="AT6" s="200"/>
      <c r="AU6" s="201"/>
    </row>
    <row r="7" spans="1:52" s="107" customFormat="1" ht="53.1" customHeight="1" thickBot="1" x14ac:dyDescent="0.25">
      <c r="A7" s="102"/>
      <c r="B7" s="100" t="s">
        <v>11</v>
      </c>
      <c r="C7" s="101" t="s">
        <v>19</v>
      </c>
      <c r="D7" s="122" t="s">
        <v>10</v>
      </c>
      <c r="E7" s="123" t="s">
        <v>43</v>
      </c>
      <c r="F7" s="124" t="s">
        <v>206</v>
      </c>
      <c r="G7" s="125" t="s">
        <v>0</v>
      </c>
      <c r="H7" s="126" t="s">
        <v>327</v>
      </c>
      <c r="I7" s="127" t="s">
        <v>44</v>
      </c>
      <c r="J7" s="128" t="s">
        <v>328</v>
      </c>
      <c r="K7" s="126" t="s">
        <v>329</v>
      </c>
      <c r="L7" s="126" t="s">
        <v>330</v>
      </c>
      <c r="M7" s="126" t="s">
        <v>13</v>
      </c>
      <c r="N7" s="129" t="s">
        <v>331</v>
      </c>
      <c r="O7" s="124" t="s">
        <v>332</v>
      </c>
      <c r="P7" s="124" t="s">
        <v>333</v>
      </c>
      <c r="Q7" s="124" t="s">
        <v>20</v>
      </c>
      <c r="R7" s="125" t="s">
        <v>334</v>
      </c>
      <c r="S7" s="129" t="s">
        <v>99</v>
      </c>
      <c r="T7" s="129" t="s">
        <v>335</v>
      </c>
      <c r="U7" s="124" t="s">
        <v>14</v>
      </c>
      <c r="V7" s="125" t="s">
        <v>15</v>
      </c>
      <c r="W7" s="104" t="s">
        <v>16</v>
      </c>
      <c r="X7" s="104" t="s">
        <v>18</v>
      </c>
      <c r="Y7" s="105" t="s">
        <v>37</v>
      </c>
      <c r="Z7" s="105" t="s">
        <v>86</v>
      </c>
      <c r="AA7" s="103" t="s">
        <v>38</v>
      </c>
      <c r="AB7" s="106"/>
      <c r="AC7" s="106"/>
      <c r="AD7" s="154" t="s">
        <v>326</v>
      </c>
      <c r="AE7" s="113" t="s">
        <v>200</v>
      </c>
      <c r="AF7" s="108" t="s">
        <v>201</v>
      </c>
      <c r="AG7" s="109" t="s">
        <v>52</v>
      </c>
      <c r="AH7" s="110" t="s">
        <v>208</v>
      </c>
      <c r="AI7" s="110" t="s">
        <v>102</v>
      </c>
      <c r="AJ7" s="110" t="s">
        <v>199</v>
      </c>
      <c r="AK7" s="109" t="s">
        <v>50</v>
      </c>
      <c r="AL7" s="111" t="s">
        <v>122</v>
      </c>
      <c r="AM7" s="112" t="s">
        <v>51</v>
      </c>
      <c r="AN7" s="111" t="s">
        <v>121</v>
      </c>
      <c r="AO7" s="111" t="s">
        <v>120</v>
      </c>
      <c r="AP7" s="112" t="s">
        <v>49</v>
      </c>
      <c r="AQ7" s="111" t="s">
        <v>49</v>
      </c>
      <c r="AR7" s="111" t="s">
        <v>196</v>
      </c>
      <c r="AS7" s="111" t="s">
        <v>197</v>
      </c>
      <c r="AT7" s="111" t="s">
        <v>198</v>
      </c>
      <c r="AU7" s="111" t="s">
        <v>108</v>
      </c>
    </row>
    <row r="8" spans="1:52" ht="15" customHeight="1" x14ac:dyDescent="0.2">
      <c r="B8" s="159"/>
      <c r="C8" s="162" t="s">
        <v>131</v>
      </c>
      <c r="D8" s="167" t="s">
        <v>571</v>
      </c>
      <c r="E8" s="168">
        <v>2208</v>
      </c>
      <c r="F8" s="168">
        <v>28</v>
      </c>
      <c r="G8" s="171">
        <v>9</v>
      </c>
      <c r="H8" s="131">
        <f>VLOOKUP($N8,'UMC Table 4-A'!$A$10:$E$139,4,FALSE)</f>
        <v>6</v>
      </c>
      <c r="I8" s="131" t="str">
        <f>VLOOKUP($N8,'UMC Table 4-A'!$A$10:$E$139,5,FALSE)</f>
        <v>NR</v>
      </c>
      <c r="J8" s="132" t="str">
        <f t="shared" ref="J8:J39" si="0">IF(I8="Yes",L8,"-")</f>
        <v>-</v>
      </c>
      <c r="K8" s="130">
        <v>0</v>
      </c>
      <c r="L8" s="151">
        <f t="shared" ref="L8:L39" si="1">IF(H8&lt;&gt;"NR",ROUNDUP((F8*G8*H8)/60,-1),0)</f>
        <v>30</v>
      </c>
      <c r="M8" s="133">
        <f>F8</f>
        <v>28</v>
      </c>
      <c r="N8" s="114" t="s">
        <v>91</v>
      </c>
      <c r="O8" s="131" t="str">
        <f>VLOOKUP($N8,'UMC Table 4-A'!$A$10:$E$139,2,FALSE)</f>
        <v>NO REQUIREMENT FOR CONTINUOUS DIRECTIONAL CONTROL</v>
      </c>
      <c r="P8" s="149">
        <f>VLOOKUP($N8,'UMC Table 4-A'!$A$10:$E$139,3,FALSE)</f>
        <v>2</v>
      </c>
      <c r="Q8" s="151">
        <f t="shared" ref="Q8:Q39" si="2">IF(P8&lt;&gt;"NR",ROUNDUP((F8*G8*P8)/60,-1),0)</f>
        <v>10</v>
      </c>
      <c r="R8" s="149" t="str">
        <f>VLOOKUP($N8,'UMC Table 4-A'!$A$10:$E$139,5,FALSE)</f>
        <v>NR</v>
      </c>
      <c r="S8" s="134">
        <f t="shared" ref="S8:S39" si="3">IF(O8="Negative",IF(OR(N8="Toilet room",N8="Janitor's closet, housekeeping"),0,IF(0.1*V8&gt;50,220-0.1*V8,V8-50)),IF(R8="Yes",0,CEILING(MAX(K8:M8),5)))</f>
        <v>30</v>
      </c>
      <c r="T8" s="136">
        <f t="shared" ref="T8:T39" si="4">S8</f>
        <v>30</v>
      </c>
      <c r="U8" s="137">
        <f t="shared" ref="U8:U39" si="5">IF(R8="Yes",0,IF(O8="Positive",IF(0.1*S8&gt;50,S8-0.1*S8,S8-50),IF(O8="Negative",IF(0.1*S8&gt;50,S8+0.1*S8,S8+50),S8)))</f>
        <v>30</v>
      </c>
      <c r="V8" s="137">
        <f t="shared" ref="V8:V39" si="6">IF(R8="Yes",J8,0)</f>
        <v>0</v>
      </c>
      <c r="W8" s="88">
        <f t="shared" ref="W8:W39" si="7">T8-U8-V8</f>
        <v>0</v>
      </c>
      <c r="X8" s="33" t="str">
        <f t="shared" ref="X8:X39" si="8">IF(S8-U8-V8+W8=0,"Yes","No")</f>
        <v>Yes</v>
      </c>
      <c r="Y8" s="34">
        <f t="shared" ref="Y8:Y39" si="9">S8/F8</f>
        <v>1.0714285714285714</v>
      </c>
      <c r="Z8" s="70">
        <f t="shared" ref="Z8:Z39" si="10">(Q8/T8)*100</f>
        <v>33.333333333333329</v>
      </c>
      <c r="AA8" s="131">
        <f t="shared" ref="AA8:AA39" si="11">S8/F8/G8*60</f>
        <v>7.1428571428571423</v>
      </c>
      <c r="AB8" s="149"/>
      <c r="AC8" s="151"/>
      <c r="AD8" s="149" t="s">
        <v>131</v>
      </c>
      <c r="AE8" s="134" t="s">
        <v>203</v>
      </c>
      <c r="AF8" s="136" t="s">
        <v>209</v>
      </c>
      <c r="AG8" s="137">
        <f t="shared" ref="AG8:AG15" si="12">SUMIF($C$8:$C$103,AD8,$T$8:$T$103)</f>
        <v>1140</v>
      </c>
      <c r="AH8" s="137">
        <f t="shared" ref="AH8:AH44" si="13">VLOOKUP(AG8,$AX$12:$AY$17,2,TRUE)</f>
        <v>12</v>
      </c>
      <c r="AI8" s="88">
        <f>AH8/2</f>
        <v>6</v>
      </c>
      <c r="AJ8" s="33">
        <v>0.5</v>
      </c>
      <c r="AK8" s="34">
        <v>140</v>
      </c>
      <c r="AL8" s="70">
        <v>100</v>
      </c>
      <c r="AM8" s="32">
        <v>55</v>
      </c>
      <c r="AN8" s="112">
        <v>85</v>
      </c>
      <c r="AO8" s="112">
        <f>MROUND((1.08*(AN8-AM8)*AG8)/1000,0.1)</f>
        <v>36.9</v>
      </c>
      <c r="AP8" s="115">
        <f>(AO8*1000)/(500*(AK8-AL8))</f>
        <v>1.845</v>
      </c>
      <c r="AQ8" s="115">
        <f>IF(AP8&lt;0.5,0.5,AP8)</f>
        <v>1.845</v>
      </c>
      <c r="AR8" s="115">
        <v>5</v>
      </c>
      <c r="AS8" s="115">
        <f t="shared" ref="AS8:AS44" si="14">_xlfn.XLOOKUP(AH8,$AY$12:$AY$17,$AZ$12:$AZ$17,)</f>
        <v>40</v>
      </c>
      <c r="AT8" s="115" t="s">
        <v>823</v>
      </c>
      <c r="AU8" s="112" t="s">
        <v>204</v>
      </c>
    </row>
    <row r="9" spans="1:52" ht="15" customHeight="1" x14ac:dyDescent="0.2">
      <c r="B9" s="160"/>
      <c r="C9" s="162" t="s">
        <v>131</v>
      </c>
      <c r="D9" s="167" t="s">
        <v>461</v>
      </c>
      <c r="E9" s="168" t="s">
        <v>570</v>
      </c>
      <c r="F9" s="168">
        <v>1106</v>
      </c>
      <c r="G9" s="172">
        <v>10</v>
      </c>
      <c r="H9" s="114">
        <f>VLOOKUP($N9,'UMC Table 4-A'!$A$10:$E$139,4,FALSE)</f>
        <v>2</v>
      </c>
      <c r="I9" s="114" t="str">
        <f>VLOOKUP($N9,'UMC Table 4-A'!$A$10:$E$139,5,FALSE)</f>
        <v>NR</v>
      </c>
      <c r="J9" s="111" t="str">
        <f t="shared" si="0"/>
        <v>-</v>
      </c>
      <c r="K9" s="116">
        <v>0</v>
      </c>
      <c r="L9" s="152">
        <f t="shared" si="1"/>
        <v>370</v>
      </c>
      <c r="M9" s="117">
        <f>F9</f>
        <v>1106</v>
      </c>
      <c r="N9" s="114" t="s">
        <v>115</v>
      </c>
      <c r="O9" s="114" t="str">
        <f>VLOOKUP($N9,'UMC Table 4-A'!$A$10:$E$139,2,FALSE)</f>
        <v>NO REQUIREMENT FOR CONTINUOUS DIRECTIONAL CONTROL</v>
      </c>
      <c r="P9" s="112" t="str">
        <f>VLOOKUP($N9,'UMC Table 4-A'!$A$10:$E$139,3,FALSE)</f>
        <v>NR</v>
      </c>
      <c r="Q9" s="152">
        <f t="shared" si="2"/>
        <v>0</v>
      </c>
      <c r="R9" s="112" t="str">
        <f>VLOOKUP($N9,'UMC Table 4-A'!$A$10:$E$139,5,FALSE)</f>
        <v>NR</v>
      </c>
      <c r="S9" s="113">
        <f t="shared" si="3"/>
        <v>1110</v>
      </c>
      <c r="T9" s="137">
        <f t="shared" si="4"/>
        <v>1110</v>
      </c>
      <c r="U9" s="137">
        <f t="shared" si="5"/>
        <v>1110</v>
      </c>
      <c r="V9" s="137">
        <f t="shared" si="6"/>
        <v>0</v>
      </c>
      <c r="W9" s="89">
        <f t="shared" si="7"/>
        <v>0</v>
      </c>
      <c r="X9" s="31" t="str">
        <f t="shared" si="8"/>
        <v>Yes</v>
      </c>
      <c r="Y9" s="32">
        <f t="shared" si="9"/>
        <v>1.003616636528029</v>
      </c>
      <c r="Z9" s="70">
        <f t="shared" si="10"/>
        <v>0</v>
      </c>
      <c r="AA9" s="32">
        <f t="shared" si="11"/>
        <v>6.0216998191681741</v>
      </c>
      <c r="AD9" s="113" t="s">
        <v>132</v>
      </c>
      <c r="AE9" s="113" t="s">
        <v>203</v>
      </c>
      <c r="AF9" s="113" t="s">
        <v>209</v>
      </c>
      <c r="AG9" s="112">
        <f t="shared" si="12"/>
        <v>240</v>
      </c>
      <c r="AH9" s="112">
        <f t="shared" si="13"/>
        <v>6</v>
      </c>
      <c r="AI9" s="112">
        <f>AH9/2</f>
        <v>3</v>
      </c>
      <c r="AJ9" s="112">
        <f>AJ8</f>
        <v>0.5</v>
      </c>
      <c r="AK9" s="112">
        <f t="shared" ref="AK9:AN24" si="15">AK8</f>
        <v>140</v>
      </c>
      <c r="AL9" s="112">
        <f t="shared" si="15"/>
        <v>100</v>
      </c>
      <c r="AM9" s="112">
        <f t="shared" si="15"/>
        <v>55</v>
      </c>
      <c r="AN9" s="112">
        <f t="shared" si="15"/>
        <v>85</v>
      </c>
      <c r="AO9" s="112">
        <f>MROUND((1.08*(AN9-AM9)*AG9)/1000,0.1)</f>
        <v>7.8000000000000007</v>
      </c>
      <c r="AP9" s="115">
        <f>(AO9*1000)/(500*(AK9-AL9))</f>
        <v>0.39000000000000007</v>
      </c>
      <c r="AQ9" s="115">
        <f t="shared" ref="AQ9:AQ44" si="16">IF(AP9&lt;0.5,0.5,AP9)</f>
        <v>0.5</v>
      </c>
      <c r="AR9" s="115">
        <f>AR8</f>
        <v>5</v>
      </c>
      <c r="AS9" s="115">
        <f t="shared" si="14"/>
        <v>20</v>
      </c>
      <c r="AT9" s="115" t="str">
        <f>AT8</f>
        <v>F5/M-503</v>
      </c>
      <c r="AU9" s="112" t="str">
        <f>AU8</f>
        <v>1, 2</v>
      </c>
    </row>
    <row r="10" spans="1:52" ht="15" customHeight="1" x14ac:dyDescent="0.25">
      <c r="B10" s="160"/>
      <c r="C10" s="162" t="s">
        <v>132</v>
      </c>
      <c r="D10" s="167" t="s">
        <v>569</v>
      </c>
      <c r="E10" s="168">
        <v>2020</v>
      </c>
      <c r="F10" s="168">
        <v>238</v>
      </c>
      <c r="G10" s="173">
        <v>9.5</v>
      </c>
      <c r="H10" s="114">
        <f>VLOOKUP($N10,'UMC Table 4-A'!$A$10:$E$139,4,FALSE)</f>
        <v>4</v>
      </c>
      <c r="I10" s="114" t="str">
        <f>VLOOKUP($N10,'UMC Table 4-A'!$A$10:$E$139,5,FALSE)</f>
        <v>NR</v>
      </c>
      <c r="J10" s="111" t="str">
        <f t="shared" si="0"/>
        <v>-</v>
      </c>
      <c r="K10" s="116">
        <v>0</v>
      </c>
      <c r="L10" s="114">
        <f t="shared" si="1"/>
        <v>160</v>
      </c>
      <c r="M10" s="114">
        <f>F10</f>
        <v>238</v>
      </c>
      <c r="N10" s="111" t="s">
        <v>123</v>
      </c>
      <c r="O10" s="114" t="str">
        <f>VLOOKUP($N10,'UMC Table 4-A'!$A$10:$E$139,2,FALSE)</f>
        <v>NO REQUIREMENT FOR CONTINUOUS DIRECTIONAL CONTROL</v>
      </c>
      <c r="P10" s="152">
        <f>VLOOKUP($N10,'UMC Table 4-A'!$A$10:$E$139,3,FALSE)</f>
        <v>2</v>
      </c>
      <c r="Q10" s="152">
        <f t="shared" si="2"/>
        <v>80</v>
      </c>
      <c r="R10" s="112" t="str">
        <f>VLOOKUP($N10,'UMC Table 4-A'!$A$10:$E$139,5,FALSE)</f>
        <v>NR</v>
      </c>
      <c r="S10" s="113">
        <f t="shared" si="3"/>
        <v>240</v>
      </c>
      <c r="T10" s="137">
        <f t="shared" si="4"/>
        <v>240</v>
      </c>
      <c r="U10" s="137">
        <f t="shared" si="5"/>
        <v>240</v>
      </c>
      <c r="V10" s="137">
        <f t="shared" si="6"/>
        <v>0</v>
      </c>
      <c r="W10" s="89">
        <f t="shared" si="7"/>
        <v>0</v>
      </c>
      <c r="X10" s="31" t="str">
        <f t="shared" si="8"/>
        <v>Yes</v>
      </c>
      <c r="Y10" s="32">
        <f t="shared" si="9"/>
        <v>1.0084033613445378</v>
      </c>
      <c r="Z10" s="70">
        <f t="shared" si="10"/>
        <v>33.333333333333329</v>
      </c>
      <c r="AA10" s="32">
        <f t="shared" si="11"/>
        <v>6.3688633348076067</v>
      </c>
      <c r="AD10" s="113" t="s">
        <v>133</v>
      </c>
      <c r="AE10" s="113" t="s">
        <v>203</v>
      </c>
      <c r="AF10" s="113" t="s">
        <v>209</v>
      </c>
      <c r="AG10" s="112">
        <f t="shared" si="12"/>
        <v>225</v>
      </c>
      <c r="AH10" s="112">
        <f t="shared" si="13"/>
        <v>6</v>
      </c>
      <c r="AI10" s="112">
        <f t="shared" ref="AI10:AI44" si="17">AH10/2</f>
        <v>3</v>
      </c>
      <c r="AJ10" s="112">
        <f t="shared" ref="AJ10:AN25" si="18">AJ9</f>
        <v>0.5</v>
      </c>
      <c r="AK10" s="112">
        <f t="shared" si="15"/>
        <v>140</v>
      </c>
      <c r="AL10" s="112">
        <f t="shared" si="15"/>
        <v>100</v>
      </c>
      <c r="AM10" s="112">
        <f t="shared" si="15"/>
        <v>55</v>
      </c>
      <c r="AN10" s="112">
        <f t="shared" si="15"/>
        <v>85</v>
      </c>
      <c r="AO10" s="112">
        <f t="shared" ref="AO10:AO44" si="19">MROUND((1.08*(AN10-AM10)*AG10)/1000,0.1)</f>
        <v>7.3000000000000007</v>
      </c>
      <c r="AP10" s="115">
        <f t="shared" ref="AP10:AP44" si="20">(AO10*1000)/(500*(AK10-AL10))</f>
        <v>0.36500000000000005</v>
      </c>
      <c r="AQ10" s="115">
        <f t="shared" si="16"/>
        <v>0.5</v>
      </c>
      <c r="AR10" s="115">
        <f t="shared" ref="AR10:AR64" si="21">AR9</f>
        <v>5</v>
      </c>
      <c r="AS10" s="115">
        <f t="shared" si="14"/>
        <v>20</v>
      </c>
      <c r="AT10" s="115" t="str">
        <f t="shared" ref="AT10:AU25" si="22">AT9</f>
        <v>F5/M-503</v>
      </c>
      <c r="AU10" s="112" t="str">
        <f t="shared" si="22"/>
        <v>1, 2</v>
      </c>
      <c r="AX10" s="196" t="s">
        <v>88</v>
      </c>
      <c r="AY10" s="197"/>
      <c r="AZ10" s="198"/>
    </row>
    <row r="11" spans="1:52" ht="15" customHeight="1" x14ac:dyDescent="0.2">
      <c r="B11" s="160"/>
      <c r="C11" s="162" t="s">
        <v>132</v>
      </c>
      <c r="D11" s="148" t="s">
        <v>733</v>
      </c>
      <c r="E11" s="169" t="s">
        <v>764</v>
      </c>
      <c r="F11" s="169">
        <v>64</v>
      </c>
      <c r="G11" s="172">
        <v>8</v>
      </c>
      <c r="H11" s="114">
        <f>VLOOKUP($N11,'UMC Table 4-A'!$A$10:$E$139,4,FALSE)</f>
        <v>10</v>
      </c>
      <c r="I11" s="114" t="str">
        <f>VLOOKUP($N11,'UMC Table 4-A'!$A$10:$E$139,5,FALSE)</f>
        <v>YES</v>
      </c>
      <c r="J11" s="111">
        <f t="shared" si="0"/>
        <v>90</v>
      </c>
      <c r="K11" s="116">
        <v>0</v>
      </c>
      <c r="L11" s="114">
        <f t="shared" si="1"/>
        <v>90</v>
      </c>
      <c r="M11" s="117"/>
      <c r="N11" s="114" t="s">
        <v>94</v>
      </c>
      <c r="O11" s="114" t="str">
        <f>VLOOKUP($N11,'UMC Table 4-A'!$A$10:$E$139,2,FALSE)</f>
        <v>NEGATIVE</v>
      </c>
      <c r="P11" s="152" t="str">
        <f>VLOOKUP($N11,'UMC Table 4-A'!$A$10:$E$139,3,FALSE)</f>
        <v>NR</v>
      </c>
      <c r="Q11" s="152">
        <f t="shared" si="2"/>
        <v>0</v>
      </c>
      <c r="R11" s="112" t="str">
        <f>VLOOKUP($N11,'UMC Table 4-A'!$A$10:$E$139,5,FALSE)</f>
        <v>YES</v>
      </c>
      <c r="S11" s="113">
        <f t="shared" si="3"/>
        <v>0</v>
      </c>
      <c r="T11" s="137">
        <f t="shared" si="4"/>
        <v>0</v>
      </c>
      <c r="U11" s="137">
        <f t="shared" si="5"/>
        <v>0</v>
      </c>
      <c r="V11" s="137">
        <f t="shared" si="6"/>
        <v>90</v>
      </c>
      <c r="W11" s="89">
        <f t="shared" si="7"/>
        <v>-90</v>
      </c>
      <c r="X11" s="31" t="str">
        <f t="shared" si="8"/>
        <v>No</v>
      </c>
      <c r="Y11" s="32">
        <f t="shared" si="9"/>
        <v>0</v>
      </c>
      <c r="Z11" s="70" t="e">
        <f t="shared" si="10"/>
        <v>#DIV/0!</v>
      </c>
      <c r="AA11" s="32">
        <f t="shared" si="11"/>
        <v>0</v>
      </c>
      <c r="AD11" s="113" t="s">
        <v>134</v>
      </c>
      <c r="AE11" s="113" t="s">
        <v>203</v>
      </c>
      <c r="AF11" s="113" t="s">
        <v>209</v>
      </c>
      <c r="AG11" s="112">
        <f t="shared" si="12"/>
        <v>235</v>
      </c>
      <c r="AH11" s="112">
        <f t="shared" si="13"/>
        <v>6</v>
      </c>
      <c r="AI11" s="112">
        <f t="shared" si="17"/>
        <v>3</v>
      </c>
      <c r="AJ11" s="112">
        <f t="shared" si="18"/>
        <v>0.5</v>
      </c>
      <c r="AK11" s="112">
        <f t="shared" si="15"/>
        <v>140</v>
      </c>
      <c r="AL11" s="112">
        <f t="shared" si="15"/>
        <v>100</v>
      </c>
      <c r="AM11" s="112">
        <f t="shared" si="15"/>
        <v>55</v>
      </c>
      <c r="AN11" s="112">
        <f t="shared" si="15"/>
        <v>85</v>
      </c>
      <c r="AO11" s="112">
        <f t="shared" si="19"/>
        <v>7.6000000000000005</v>
      </c>
      <c r="AP11" s="115">
        <f t="shared" si="20"/>
        <v>0.38000000000000006</v>
      </c>
      <c r="AQ11" s="115">
        <f t="shared" si="16"/>
        <v>0.5</v>
      </c>
      <c r="AR11" s="115">
        <f t="shared" si="21"/>
        <v>5</v>
      </c>
      <c r="AS11" s="115">
        <f t="shared" si="14"/>
        <v>20</v>
      </c>
      <c r="AT11" s="115" t="str">
        <f t="shared" si="22"/>
        <v>F5/M-503</v>
      </c>
      <c r="AU11" s="112" t="str">
        <f t="shared" si="22"/>
        <v>1, 2</v>
      </c>
      <c r="AX11" s="71" t="s">
        <v>52</v>
      </c>
      <c r="AY11" s="72" t="s">
        <v>89</v>
      </c>
      <c r="AZ11" s="72" t="s">
        <v>202</v>
      </c>
    </row>
    <row r="12" spans="1:52" ht="15" customHeight="1" x14ac:dyDescent="0.2">
      <c r="B12" s="160"/>
      <c r="C12" s="162" t="s">
        <v>133</v>
      </c>
      <c r="D12" s="167" t="s">
        <v>569</v>
      </c>
      <c r="E12" s="168">
        <v>2021</v>
      </c>
      <c r="F12" s="168">
        <v>222</v>
      </c>
      <c r="G12" s="173">
        <v>9.5</v>
      </c>
      <c r="H12" s="114">
        <f>VLOOKUP($N12,'UMC Table 4-A'!$A$10:$E$139,4,FALSE)</f>
        <v>4</v>
      </c>
      <c r="I12" s="114" t="str">
        <f>VLOOKUP($N12,'UMC Table 4-A'!$A$10:$E$139,5,FALSE)</f>
        <v>NR</v>
      </c>
      <c r="J12" s="111" t="str">
        <f t="shared" si="0"/>
        <v>-</v>
      </c>
      <c r="K12" s="116">
        <v>0</v>
      </c>
      <c r="L12" s="114">
        <f t="shared" si="1"/>
        <v>150</v>
      </c>
      <c r="M12" s="117">
        <f>F12</f>
        <v>222</v>
      </c>
      <c r="N12" s="114" t="s">
        <v>123</v>
      </c>
      <c r="O12" s="114" t="str">
        <f>VLOOKUP($N12,'UMC Table 4-A'!$A$10:$E$139,2,FALSE)</f>
        <v>NO REQUIREMENT FOR CONTINUOUS DIRECTIONAL CONTROL</v>
      </c>
      <c r="P12" s="112">
        <f>VLOOKUP($N12,'UMC Table 4-A'!$A$10:$E$139,3,FALSE)</f>
        <v>2</v>
      </c>
      <c r="Q12" s="152">
        <f t="shared" si="2"/>
        <v>80</v>
      </c>
      <c r="R12" s="112" t="str">
        <f>VLOOKUP($N12,'UMC Table 4-A'!$A$10:$E$139,5,FALSE)</f>
        <v>NR</v>
      </c>
      <c r="S12" s="113">
        <f t="shared" si="3"/>
        <v>225</v>
      </c>
      <c r="T12" s="137">
        <f t="shared" si="4"/>
        <v>225</v>
      </c>
      <c r="U12" s="137">
        <f t="shared" si="5"/>
        <v>225</v>
      </c>
      <c r="V12" s="137">
        <f t="shared" si="6"/>
        <v>0</v>
      </c>
      <c r="W12" s="89">
        <f t="shared" si="7"/>
        <v>0</v>
      </c>
      <c r="X12" s="31" t="str">
        <f t="shared" si="8"/>
        <v>Yes</v>
      </c>
      <c r="Y12" s="32">
        <f t="shared" si="9"/>
        <v>1.0135135135135136</v>
      </c>
      <c r="Z12" s="70">
        <f t="shared" si="10"/>
        <v>35.555555555555557</v>
      </c>
      <c r="AA12" s="32">
        <f t="shared" si="11"/>
        <v>6.4011379800853492</v>
      </c>
      <c r="AD12" s="113" t="s">
        <v>135</v>
      </c>
      <c r="AE12" s="113" t="s">
        <v>203</v>
      </c>
      <c r="AF12" s="113" t="s">
        <v>209</v>
      </c>
      <c r="AG12" s="112">
        <f t="shared" si="12"/>
        <v>220</v>
      </c>
      <c r="AH12" s="112">
        <f t="shared" si="13"/>
        <v>6</v>
      </c>
      <c r="AI12" s="112">
        <f t="shared" si="17"/>
        <v>3</v>
      </c>
      <c r="AJ12" s="112">
        <f t="shared" si="18"/>
        <v>0.5</v>
      </c>
      <c r="AK12" s="112">
        <f t="shared" si="15"/>
        <v>140</v>
      </c>
      <c r="AL12" s="112">
        <f t="shared" si="15"/>
        <v>100</v>
      </c>
      <c r="AM12" s="112">
        <f t="shared" si="15"/>
        <v>55</v>
      </c>
      <c r="AN12" s="112">
        <f t="shared" si="15"/>
        <v>85</v>
      </c>
      <c r="AO12" s="112">
        <f t="shared" si="19"/>
        <v>7.1000000000000005</v>
      </c>
      <c r="AP12" s="115">
        <f t="shared" si="20"/>
        <v>0.35500000000000004</v>
      </c>
      <c r="AQ12" s="115">
        <f t="shared" si="16"/>
        <v>0.5</v>
      </c>
      <c r="AR12" s="115">
        <f t="shared" si="21"/>
        <v>5</v>
      </c>
      <c r="AS12" s="115">
        <f t="shared" si="14"/>
        <v>20</v>
      </c>
      <c r="AT12" s="115" t="str">
        <f t="shared" si="22"/>
        <v>F5/M-503</v>
      </c>
      <c r="AU12" s="112" t="str">
        <f t="shared" si="22"/>
        <v>1, 2</v>
      </c>
      <c r="AX12" s="60">
        <v>1</v>
      </c>
      <c r="AY12" s="73">
        <v>6</v>
      </c>
      <c r="AZ12" s="73">
        <v>20</v>
      </c>
    </row>
    <row r="13" spans="1:52" ht="15" customHeight="1" x14ac:dyDescent="0.2">
      <c r="B13" s="179"/>
      <c r="C13" s="162" t="s">
        <v>133</v>
      </c>
      <c r="D13" s="148" t="s">
        <v>733</v>
      </c>
      <c r="E13" s="168" t="s">
        <v>819</v>
      </c>
      <c r="F13" s="168">
        <v>64</v>
      </c>
      <c r="G13" s="172">
        <v>8</v>
      </c>
      <c r="H13" s="114">
        <f>VLOOKUP($N13,'UMC Table 4-A'!$A$10:$E$139,4,FALSE)</f>
        <v>10</v>
      </c>
      <c r="I13" s="114" t="str">
        <f>VLOOKUP($N13,'UMC Table 4-A'!$A$10:$E$139,5,FALSE)</f>
        <v>YES</v>
      </c>
      <c r="J13" s="111">
        <f t="shared" si="0"/>
        <v>90</v>
      </c>
      <c r="K13" s="116">
        <v>1</v>
      </c>
      <c r="L13" s="114">
        <f t="shared" si="1"/>
        <v>90</v>
      </c>
      <c r="M13" s="117"/>
      <c r="N13" s="114" t="s">
        <v>94</v>
      </c>
      <c r="O13" s="114" t="str">
        <f>VLOOKUP($N13,'UMC Table 4-A'!$A$10:$E$139,2,FALSE)</f>
        <v>NEGATIVE</v>
      </c>
      <c r="P13" s="112" t="str">
        <f>VLOOKUP($N13,'UMC Table 4-A'!$A$10:$E$139,3,FALSE)</f>
        <v>NR</v>
      </c>
      <c r="Q13" s="152">
        <f t="shared" si="2"/>
        <v>0</v>
      </c>
      <c r="R13" s="112" t="str">
        <f>VLOOKUP($N13,'UMC Table 4-A'!$A$10:$E$139,5,FALSE)</f>
        <v>YES</v>
      </c>
      <c r="S13" s="113">
        <f t="shared" si="3"/>
        <v>0</v>
      </c>
      <c r="T13" s="137">
        <f t="shared" si="4"/>
        <v>0</v>
      </c>
      <c r="U13" s="137">
        <f t="shared" si="5"/>
        <v>0</v>
      </c>
      <c r="V13" s="137">
        <f t="shared" si="6"/>
        <v>90</v>
      </c>
      <c r="W13" s="89">
        <f t="shared" si="7"/>
        <v>-90</v>
      </c>
      <c r="X13" s="31" t="str">
        <f t="shared" si="8"/>
        <v>No</v>
      </c>
      <c r="Y13" s="32">
        <f t="shared" si="9"/>
        <v>0</v>
      </c>
      <c r="Z13" s="70" t="e">
        <f t="shared" si="10"/>
        <v>#DIV/0!</v>
      </c>
      <c r="AA13" s="32">
        <f t="shared" si="11"/>
        <v>0</v>
      </c>
      <c r="AD13" s="113" t="s">
        <v>136</v>
      </c>
      <c r="AE13" s="113" t="s">
        <v>203</v>
      </c>
      <c r="AF13" s="113" t="s">
        <v>209</v>
      </c>
      <c r="AG13" s="112">
        <f t="shared" si="12"/>
        <v>235</v>
      </c>
      <c r="AH13" s="112">
        <f t="shared" si="13"/>
        <v>6</v>
      </c>
      <c r="AI13" s="112">
        <f t="shared" si="17"/>
        <v>3</v>
      </c>
      <c r="AJ13" s="112">
        <f t="shared" si="18"/>
        <v>0.5</v>
      </c>
      <c r="AK13" s="112">
        <f t="shared" si="15"/>
        <v>140</v>
      </c>
      <c r="AL13" s="112">
        <f t="shared" si="15"/>
        <v>100</v>
      </c>
      <c r="AM13" s="112">
        <f t="shared" si="15"/>
        <v>55</v>
      </c>
      <c r="AN13" s="112">
        <f t="shared" si="15"/>
        <v>85</v>
      </c>
      <c r="AO13" s="112">
        <f t="shared" si="19"/>
        <v>7.6000000000000005</v>
      </c>
      <c r="AP13" s="115">
        <f t="shared" si="20"/>
        <v>0.38000000000000006</v>
      </c>
      <c r="AQ13" s="115">
        <f t="shared" si="16"/>
        <v>0.5</v>
      </c>
      <c r="AR13" s="115">
        <f t="shared" si="21"/>
        <v>5</v>
      </c>
      <c r="AS13" s="115">
        <f t="shared" si="14"/>
        <v>20</v>
      </c>
      <c r="AT13" s="115" t="str">
        <f t="shared" si="22"/>
        <v>F5/M-503</v>
      </c>
      <c r="AU13" s="112" t="str">
        <f t="shared" si="22"/>
        <v>1, 2</v>
      </c>
      <c r="AX13" s="60">
        <v>400</v>
      </c>
      <c r="AY13" s="73">
        <v>8</v>
      </c>
      <c r="AZ13" s="73">
        <v>25</v>
      </c>
    </row>
    <row r="14" spans="1:52" ht="15" customHeight="1" x14ac:dyDescent="0.2">
      <c r="B14" s="160"/>
      <c r="C14" s="162" t="s">
        <v>134</v>
      </c>
      <c r="D14" s="170" t="s">
        <v>569</v>
      </c>
      <c r="E14" s="168">
        <v>2022</v>
      </c>
      <c r="F14" s="168">
        <v>232</v>
      </c>
      <c r="G14" s="173">
        <v>9.5</v>
      </c>
      <c r="H14" s="114">
        <f>VLOOKUP($N14,'UMC Table 4-A'!$A$10:$E$139,4,FALSE)</f>
        <v>4</v>
      </c>
      <c r="I14" s="114" t="str">
        <f>VLOOKUP($N14,'UMC Table 4-A'!$A$10:$E$139,5,FALSE)</f>
        <v>NR</v>
      </c>
      <c r="J14" s="111" t="str">
        <f t="shared" si="0"/>
        <v>-</v>
      </c>
      <c r="K14" s="116">
        <v>0</v>
      </c>
      <c r="L14" s="114">
        <f t="shared" si="1"/>
        <v>150</v>
      </c>
      <c r="M14" s="117">
        <f>F14</f>
        <v>232</v>
      </c>
      <c r="N14" s="114" t="s">
        <v>123</v>
      </c>
      <c r="O14" s="114" t="str">
        <f>VLOOKUP($N14,'UMC Table 4-A'!$A$10:$E$139,2,FALSE)</f>
        <v>NO REQUIREMENT FOR CONTINUOUS DIRECTIONAL CONTROL</v>
      </c>
      <c r="P14" s="112">
        <f>VLOOKUP($N14,'UMC Table 4-A'!$A$10:$E$139,3,FALSE)</f>
        <v>2</v>
      </c>
      <c r="Q14" s="152">
        <f t="shared" si="2"/>
        <v>80</v>
      </c>
      <c r="R14" s="112" t="str">
        <f>VLOOKUP($N14,'UMC Table 4-A'!$A$10:$E$139,5,FALSE)</f>
        <v>NR</v>
      </c>
      <c r="S14" s="113">
        <f t="shared" si="3"/>
        <v>235</v>
      </c>
      <c r="T14" s="118">
        <f t="shared" si="4"/>
        <v>235</v>
      </c>
      <c r="U14" s="119">
        <f t="shared" si="5"/>
        <v>235</v>
      </c>
      <c r="V14" s="137">
        <f t="shared" si="6"/>
        <v>0</v>
      </c>
      <c r="W14" s="89">
        <f t="shared" si="7"/>
        <v>0</v>
      </c>
      <c r="X14" s="31" t="str">
        <f t="shared" si="8"/>
        <v>Yes</v>
      </c>
      <c r="Y14" s="32">
        <f t="shared" si="9"/>
        <v>1.0129310344827587</v>
      </c>
      <c r="Z14" s="70">
        <f t="shared" si="10"/>
        <v>34.042553191489361</v>
      </c>
      <c r="AA14" s="32">
        <f t="shared" si="11"/>
        <v>6.3974591651542649</v>
      </c>
      <c r="AD14" s="113" t="s">
        <v>137</v>
      </c>
      <c r="AE14" s="113" t="s">
        <v>203</v>
      </c>
      <c r="AF14" s="113" t="s">
        <v>209</v>
      </c>
      <c r="AG14" s="112">
        <f t="shared" si="12"/>
        <v>235</v>
      </c>
      <c r="AH14" s="112">
        <f t="shared" si="13"/>
        <v>6</v>
      </c>
      <c r="AI14" s="112">
        <f t="shared" si="17"/>
        <v>3</v>
      </c>
      <c r="AJ14" s="112">
        <f t="shared" si="18"/>
        <v>0.5</v>
      </c>
      <c r="AK14" s="112">
        <f t="shared" si="15"/>
        <v>140</v>
      </c>
      <c r="AL14" s="112">
        <f t="shared" si="15"/>
        <v>100</v>
      </c>
      <c r="AM14" s="112">
        <f t="shared" si="15"/>
        <v>55</v>
      </c>
      <c r="AN14" s="112">
        <f t="shared" si="15"/>
        <v>85</v>
      </c>
      <c r="AO14" s="112">
        <f t="shared" si="19"/>
        <v>7.6000000000000005</v>
      </c>
      <c r="AP14" s="115">
        <f t="shared" si="20"/>
        <v>0.38000000000000006</v>
      </c>
      <c r="AQ14" s="115">
        <f t="shared" si="16"/>
        <v>0.5</v>
      </c>
      <c r="AR14" s="115">
        <f t="shared" si="21"/>
        <v>5</v>
      </c>
      <c r="AS14" s="115">
        <f t="shared" si="14"/>
        <v>20</v>
      </c>
      <c r="AT14" s="115" t="str">
        <f t="shared" si="22"/>
        <v>F5/M-503</v>
      </c>
      <c r="AU14" s="112" t="str">
        <f t="shared" si="22"/>
        <v>1, 2</v>
      </c>
      <c r="AX14" s="60">
        <v>700</v>
      </c>
      <c r="AY14" s="73">
        <v>10</v>
      </c>
      <c r="AZ14" s="73">
        <v>30</v>
      </c>
    </row>
    <row r="15" spans="1:52" ht="15" customHeight="1" x14ac:dyDescent="0.2">
      <c r="B15" s="160"/>
      <c r="C15" s="162" t="s">
        <v>134</v>
      </c>
      <c r="D15" s="148" t="s">
        <v>733</v>
      </c>
      <c r="E15" s="169" t="s">
        <v>765</v>
      </c>
      <c r="F15" s="169">
        <v>64</v>
      </c>
      <c r="G15" s="172">
        <v>8</v>
      </c>
      <c r="H15" s="114">
        <f>VLOOKUP($N15,'UMC Table 4-A'!$A$10:$E$139,4,FALSE)</f>
        <v>10</v>
      </c>
      <c r="I15" s="114" t="str">
        <f>VLOOKUP($N15,'UMC Table 4-A'!$A$10:$E$139,5,FALSE)</f>
        <v>YES</v>
      </c>
      <c r="J15" s="111">
        <f t="shared" si="0"/>
        <v>90</v>
      </c>
      <c r="K15" s="116">
        <v>0</v>
      </c>
      <c r="L15" s="114">
        <f t="shared" si="1"/>
        <v>90</v>
      </c>
      <c r="M15" s="117"/>
      <c r="N15" s="114" t="s">
        <v>94</v>
      </c>
      <c r="O15" s="114" t="str">
        <f>VLOOKUP($N15,'UMC Table 4-A'!$A$10:$E$139,2,FALSE)</f>
        <v>NEGATIVE</v>
      </c>
      <c r="P15" s="112" t="str">
        <f>VLOOKUP($N15,'UMC Table 4-A'!$A$10:$E$139,3,FALSE)</f>
        <v>NR</v>
      </c>
      <c r="Q15" s="152">
        <f t="shared" si="2"/>
        <v>0</v>
      </c>
      <c r="R15" s="112" t="str">
        <f>VLOOKUP($N15,'UMC Table 4-A'!$A$10:$E$139,5,FALSE)</f>
        <v>YES</v>
      </c>
      <c r="S15" s="113">
        <f t="shared" si="3"/>
        <v>0</v>
      </c>
      <c r="T15" s="118">
        <f t="shared" si="4"/>
        <v>0</v>
      </c>
      <c r="U15" s="119">
        <f t="shared" si="5"/>
        <v>0</v>
      </c>
      <c r="V15" s="137">
        <f t="shared" si="6"/>
        <v>90</v>
      </c>
      <c r="W15" s="89">
        <f t="shared" si="7"/>
        <v>-90</v>
      </c>
      <c r="X15" s="31" t="str">
        <f t="shared" si="8"/>
        <v>No</v>
      </c>
      <c r="Y15" s="32">
        <f t="shared" si="9"/>
        <v>0</v>
      </c>
      <c r="Z15" s="70" t="e">
        <f t="shared" si="10"/>
        <v>#DIV/0!</v>
      </c>
      <c r="AA15" s="32">
        <f t="shared" si="11"/>
        <v>0</v>
      </c>
      <c r="AD15" s="113" t="s">
        <v>138</v>
      </c>
      <c r="AE15" s="113" t="s">
        <v>203</v>
      </c>
      <c r="AF15" s="113" t="s">
        <v>209</v>
      </c>
      <c r="AG15" s="112">
        <f t="shared" si="12"/>
        <v>235</v>
      </c>
      <c r="AH15" s="112">
        <f t="shared" si="13"/>
        <v>6</v>
      </c>
      <c r="AI15" s="112">
        <f t="shared" si="17"/>
        <v>3</v>
      </c>
      <c r="AJ15" s="112">
        <f t="shared" si="18"/>
        <v>0.5</v>
      </c>
      <c r="AK15" s="112">
        <f t="shared" si="15"/>
        <v>140</v>
      </c>
      <c r="AL15" s="112">
        <f t="shared" si="15"/>
        <v>100</v>
      </c>
      <c r="AM15" s="112">
        <f t="shared" si="15"/>
        <v>55</v>
      </c>
      <c r="AN15" s="112">
        <f t="shared" si="15"/>
        <v>85</v>
      </c>
      <c r="AO15" s="112">
        <f>MROUND((1.08*(AN15-AM15)*AG15)/1000,0.1)</f>
        <v>7.6000000000000005</v>
      </c>
      <c r="AP15" s="115">
        <f t="shared" si="20"/>
        <v>0.38000000000000006</v>
      </c>
      <c r="AQ15" s="115">
        <f t="shared" si="16"/>
        <v>0.5</v>
      </c>
      <c r="AR15" s="115">
        <f t="shared" si="21"/>
        <v>5</v>
      </c>
      <c r="AS15" s="115">
        <f t="shared" si="14"/>
        <v>20</v>
      </c>
      <c r="AT15" s="115" t="str">
        <f t="shared" si="22"/>
        <v>F5/M-503</v>
      </c>
      <c r="AU15" s="112" t="str">
        <f t="shared" si="22"/>
        <v>1, 2</v>
      </c>
      <c r="AX15" s="60">
        <v>1000</v>
      </c>
      <c r="AY15" s="73">
        <v>12</v>
      </c>
      <c r="AZ15" s="73">
        <v>40</v>
      </c>
    </row>
    <row r="16" spans="1:52" ht="15" customHeight="1" x14ac:dyDescent="0.2">
      <c r="B16" s="160"/>
      <c r="C16" s="162" t="s">
        <v>135</v>
      </c>
      <c r="D16" s="167" t="s">
        <v>569</v>
      </c>
      <c r="E16" s="168">
        <v>2023</v>
      </c>
      <c r="F16" s="168">
        <v>217</v>
      </c>
      <c r="G16" s="173">
        <v>9.5</v>
      </c>
      <c r="H16" s="114">
        <f>VLOOKUP($N16,'UMC Table 4-A'!$A$10:$E$139,4,FALSE)</f>
        <v>4</v>
      </c>
      <c r="I16" s="114" t="str">
        <f>VLOOKUP($N16,'UMC Table 4-A'!$A$10:$E$139,5,FALSE)</f>
        <v>NR</v>
      </c>
      <c r="J16" s="111" t="str">
        <f t="shared" si="0"/>
        <v>-</v>
      </c>
      <c r="K16" s="116">
        <v>0</v>
      </c>
      <c r="L16" s="114">
        <f t="shared" si="1"/>
        <v>140</v>
      </c>
      <c r="M16" s="117">
        <f>F16</f>
        <v>217</v>
      </c>
      <c r="N16" s="114" t="s">
        <v>123</v>
      </c>
      <c r="O16" s="114" t="str">
        <f>VLOOKUP($N16,'UMC Table 4-A'!$A$10:$E$139,2,FALSE)</f>
        <v>NO REQUIREMENT FOR CONTINUOUS DIRECTIONAL CONTROL</v>
      </c>
      <c r="P16" s="112">
        <f>VLOOKUP($N16,'UMC Table 4-A'!$A$10:$E$139,3,FALSE)</f>
        <v>2</v>
      </c>
      <c r="Q16" s="152">
        <f t="shared" si="2"/>
        <v>70</v>
      </c>
      <c r="R16" s="112" t="str">
        <f>VLOOKUP($N16,'UMC Table 4-A'!$A$10:$E$139,5,FALSE)</f>
        <v>NR</v>
      </c>
      <c r="S16" s="113">
        <f t="shared" si="3"/>
        <v>220</v>
      </c>
      <c r="T16" s="118">
        <f t="shared" si="4"/>
        <v>220</v>
      </c>
      <c r="U16" s="119">
        <f t="shared" si="5"/>
        <v>220</v>
      </c>
      <c r="V16" s="137">
        <f t="shared" si="6"/>
        <v>0</v>
      </c>
      <c r="W16" s="89">
        <f t="shared" si="7"/>
        <v>0</v>
      </c>
      <c r="X16" s="31" t="str">
        <f t="shared" si="8"/>
        <v>Yes</v>
      </c>
      <c r="Y16" s="32">
        <f t="shared" si="9"/>
        <v>1.0138248847926268</v>
      </c>
      <c r="Z16" s="70">
        <f t="shared" si="10"/>
        <v>31.818181818181817</v>
      </c>
      <c r="AA16" s="32">
        <f t="shared" si="11"/>
        <v>6.4031045355323792</v>
      </c>
      <c r="AD16" s="113" t="s">
        <v>139</v>
      </c>
      <c r="AE16" s="113" t="s">
        <v>203</v>
      </c>
      <c r="AF16" s="113" t="s">
        <v>209</v>
      </c>
      <c r="AG16" s="31">
        <f>SUMIF($C$8:$C$115,AD16,$T$8:$T$115)</f>
        <v>275</v>
      </c>
      <c r="AH16" s="112">
        <f t="shared" si="13"/>
        <v>6</v>
      </c>
      <c r="AI16" s="112">
        <f t="shared" si="17"/>
        <v>3</v>
      </c>
      <c r="AJ16" s="112">
        <f t="shared" si="18"/>
        <v>0.5</v>
      </c>
      <c r="AK16" s="112">
        <f t="shared" si="15"/>
        <v>140</v>
      </c>
      <c r="AL16" s="112">
        <f t="shared" si="15"/>
        <v>100</v>
      </c>
      <c r="AM16" s="112">
        <f t="shared" si="15"/>
        <v>55</v>
      </c>
      <c r="AN16" s="112">
        <f t="shared" si="15"/>
        <v>85</v>
      </c>
      <c r="AO16" s="112">
        <f t="shared" si="19"/>
        <v>8.9</v>
      </c>
      <c r="AP16" s="115">
        <f t="shared" si="20"/>
        <v>0.44500000000000001</v>
      </c>
      <c r="AQ16" s="115">
        <f t="shared" si="16"/>
        <v>0.5</v>
      </c>
      <c r="AR16" s="115">
        <f t="shared" si="21"/>
        <v>5</v>
      </c>
      <c r="AS16" s="115">
        <f t="shared" si="14"/>
        <v>20</v>
      </c>
      <c r="AT16" s="115" t="str">
        <f t="shared" si="22"/>
        <v>F5/M-503</v>
      </c>
      <c r="AU16" s="112" t="str">
        <f t="shared" si="22"/>
        <v>1, 2</v>
      </c>
      <c r="AX16" s="60">
        <v>1500</v>
      </c>
      <c r="AY16" s="73">
        <v>14</v>
      </c>
      <c r="AZ16" s="73">
        <v>50</v>
      </c>
    </row>
    <row r="17" spans="2:52" ht="15" customHeight="1" thickBot="1" x14ac:dyDescent="0.25">
      <c r="B17" s="160"/>
      <c r="C17" s="162" t="s">
        <v>135</v>
      </c>
      <c r="D17" s="148" t="s">
        <v>733</v>
      </c>
      <c r="E17" s="169" t="s">
        <v>766</v>
      </c>
      <c r="F17" s="169">
        <v>64</v>
      </c>
      <c r="G17" s="172">
        <v>8</v>
      </c>
      <c r="H17" s="114">
        <f>VLOOKUP($N17,'UMC Table 4-A'!$A$10:$E$139,4,FALSE)</f>
        <v>10</v>
      </c>
      <c r="I17" s="114" t="str">
        <f>VLOOKUP($N17,'UMC Table 4-A'!$A$10:$E$139,5,FALSE)</f>
        <v>YES</v>
      </c>
      <c r="J17" s="111">
        <f t="shared" si="0"/>
        <v>90</v>
      </c>
      <c r="K17" s="116">
        <v>0</v>
      </c>
      <c r="L17" s="114">
        <f t="shared" si="1"/>
        <v>90</v>
      </c>
      <c r="M17" s="117"/>
      <c r="N17" s="114" t="s">
        <v>94</v>
      </c>
      <c r="O17" s="114" t="str">
        <f>VLOOKUP($N17,'UMC Table 4-A'!$A$10:$E$139,2,FALSE)</f>
        <v>NEGATIVE</v>
      </c>
      <c r="P17" s="112" t="str">
        <f>VLOOKUP($N17,'UMC Table 4-A'!$A$10:$E$139,3,FALSE)</f>
        <v>NR</v>
      </c>
      <c r="Q17" s="152">
        <f t="shared" si="2"/>
        <v>0</v>
      </c>
      <c r="R17" s="112" t="str">
        <f>VLOOKUP($N17,'UMC Table 4-A'!$A$10:$E$139,5,FALSE)</f>
        <v>YES</v>
      </c>
      <c r="S17" s="113">
        <f t="shared" si="3"/>
        <v>0</v>
      </c>
      <c r="T17" s="118">
        <f t="shared" si="4"/>
        <v>0</v>
      </c>
      <c r="U17" s="119">
        <f t="shared" si="5"/>
        <v>0</v>
      </c>
      <c r="V17" s="137">
        <f t="shared" si="6"/>
        <v>90</v>
      </c>
      <c r="W17" s="89">
        <f t="shared" si="7"/>
        <v>-90</v>
      </c>
      <c r="X17" s="31" t="str">
        <f t="shared" si="8"/>
        <v>No</v>
      </c>
      <c r="Y17" s="32">
        <f t="shared" si="9"/>
        <v>0</v>
      </c>
      <c r="Z17" s="70" t="e">
        <f t="shared" si="10"/>
        <v>#DIV/0!</v>
      </c>
      <c r="AA17" s="32">
        <f t="shared" si="11"/>
        <v>0</v>
      </c>
      <c r="AD17" s="113" t="s">
        <v>140</v>
      </c>
      <c r="AE17" s="113" t="s">
        <v>203</v>
      </c>
      <c r="AF17" s="113" t="s">
        <v>209</v>
      </c>
      <c r="AG17" s="112">
        <f t="shared" ref="AG17:AG28" si="23">SUMIF($C$8:$C$103,AD17,$T$8:$T$103)</f>
        <v>275</v>
      </c>
      <c r="AH17" s="112">
        <f t="shared" si="13"/>
        <v>6</v>
      </c>
      <c r="AI17" s="112">
        <f t="shared" si="17"/>
        <v>3</v>
      </c>
      <c r="AJ17" s="112">
        <f t="shared" si="18"/>
        <v>0.5</v>
      </c>
      <c r="AK17" s="112">
        <f t="shared" si="15"/>
        <v>140</v>
      </c>
      <c r="AL17" s="112">
        <f t="shared" si="15"/>
        <v>100</v>
      </c>
      <c r="AM17" s="112">
        <f t="shared" si="15"/>
        <v>55</v>
      </c>
      <c r="AN17" s="112">
        <f t="shared" si="15"/>
        <v>85</v>
      </c>
      <c r="AO17" s="112">
        <f t="shared" si="19"/>
        <v>8.9</v>
      </c>
      <c r="AP17" s="115">
        <f t="shared" si="20"/>
        <v>0.44500000000000001</v>
      </c>
      <c r="AQ17" s="115">
        <f t="shared" si="16"/>
        <v>0.5</v>
      </c>
      <c r="AR17" s="115">
        <f t="shared" si="21"/>
        <v>5</v>
      </c>
      <c r="AS17" s="115">
        <f t="shared" si="14"/>
        <v>20</v>
      </c>
      <c r="AT17" s="115" t="str">
        <f t="shared" si="22"/>
        <v>F5/M-503</v>
      </c>
      <c r="AU17" s="112" t="str">
        <f t="shared" si="22"/>
        <v>1, 2</v>
      </c>
      <c r="AX17" s="74">
        <v>2100</v>
      </c>
      <c r="AY17" s="75">
        <v>16</v>
      </c>
      <c r="AZ17" s="75">
        <v>50</v>
      </c>
    </row>
    <row r="18" spans="2:52" ht="15" customHeight="1" x14ac:dyDescent="0.2">
      <c r="B18" s="160"/>
      <c r="C18" s="162" t="s">
        <v>136</v>
      </c>
      <c r="D18" s="167" t="s">
        <v>569</v>
      </c>
      <c r="E18" s="168">
        <v>2024</v>
      </c>
      <c r="F18" s="168">
        <v>232</v>
      </c>
      <c r="G18" s="173">
        <v>9.5</v>
      </c>
      <c r="H18" s="114">
        <f>VLOOKUP($N18,'UMC Table 4-A'!$A$10:$E$139,4,FALSE)</f>
        <v>4</v>
      </c>
      <c r="I18" s="114" t="str">
        <f>VLOOKUP($N18,'UMC Table 4-A'!$A$10:$E$139,5,FALSE)</f>
        <v>NR</v>
      </c>
      <c r="J18" s="111" t="str">
        <f t="shared" si="0"/>
        <v>-</v>
      </c>
      <c r="K18" s="116">
        <v>0</v>
      </c>
      <c r="L18" s="114">
        <f t="shared" si="1"/>
        <v>150</v>
      </c>
      <c r="M18" s="117">
        <f>F18</f>
        <v>232</v>
      </c>
      <c r="N18" s="114" t="s">
        <v>123</v>
      </c>
      <c r="O18" s="114" t="str">
        <f>VLOOKUP($N18,'UMC Table 4-A'!$A$10:$E$139,2,FALSE)</f>
        <v>NO REQUIREMENT FOR CONTINUOUS DIRECTIONAL CONTROL</v>
      </c>
      <c r="P18" s="112">
        <f>VLOOKUP($N18,'UMC Table 4-A'!$A$10:$E$139,3,FALSE)</f>
        <v>2</v>
      </c>
      <c r="Q18" s="152">
        <f t="shared" si="2"/>
        <v>80</v>
      </c>
      <c r="R18" s="112" t="str">
        <f>VLOOKUP($N18,'UMC Table 4-A'!$A$10:$E$139,5,FALSE)</f>
        <v>NR</v>
      </c>
      <c r="S18" s="113">
        <f t="shared" si="3"/>
        <v>235</v>
      </c>
      <c r="T18" s="118">
        <f t="shared" si="4"/>
        <v>235</v>
      </c>
      <c r="U18" s="119">
        <f t="shared" si="5"/>
        <v>235</v>
      </c>
      <c r="V18" s="137">
        <f t="shared" si="6"/>
        <v>0</v>
      </c>
      <c r="W18" s="89">
        <f t="shared" si="7"/>
        <v>0</v>
      </c>
      <c r="X18" s="31" t="str">
        <f t="shared" si="8"/>
        <v>Yes</v>
      </c>
      <c r="Y18" s="32">
        <f t="shared" si="9"/>
        <v>1.0129310344827587</v>
      </c>
      <c r="Z18" s="70">
        <f t="shared" si="10"/>
        <v>34.042553191489361</v>
      </c>
      <c r="AA18" s="32">
        <f t="shared" si="11"/>
        <v>6.3974591651542649</v>
      </c>
      <c r="AD18" s="113" t="s">
        <v>141</v>
      </c>
      <c r="AE18" s="113" t="s">
        <v>203</v>
      </c>
      <c r="AF18" s="113" t="s">
        <v>209</v>
      </c>
      <c r="AG18" s="112">
        <f t="shared" si="23"/>
        <v>220</v>
      </c>
      <c r="AH18" s="112">
        <f t="shared" si="13"/>
        <v>6</v>
      </c>
      <c r="AI18" s="112">
        <f t="shared" si="17"/>
        <v>3</v>
      </c>
      <c r="AJ18" s="112">
        <f t="shared" si="18"/>
        <v>0.5</v>
      </c>
      <c r="AK18" s="112">
        <f t="shared" si="15"/>
        <v>140</v>
      </c>
      <c r="AL18" s="112">
        <f t="shared" si="15"/>
        <v>100</v>
      </c>
      <c r="AM18" s="112">
        <f t="shared" si="15"/>
        <v>55</v>
      </c>
      <c r="AN18" s="112">
        <f t="shared" si="15"/>
        <v>85</v>
      </c>
      <c r="AO18" s="112">
        <f t="shared" si="19"/>
        <v>7.1000000000000005</v>
      </c>
      <c r="AP18" s="115">
        <f t="shared" si="20"/>
        <v>0.35500000000000004</v>
      </c>
      <c r="AQ18" s="115">
        <f t="shared" si="16"/>
        <v>0.5</v>
      </c>
      <c r="AR18" s="115">
        <f t="shared" si="21"/>
        <v>5</v>
      </c>
      <c r="AS18" s="115">
        <f t="shared" si="14"/>
        <v>20</v>
      </c>
      <c r="AT18" s="115" t="str">
        <f t="shared" si="22"/>
        <v>F5/M-503</v>
      </c>
      <c r="AU18" s="112" t="str">
        <f t="shared" si="22"/>
        <v>1, 2</v>
      </c>
    </row>
    <row r="19" spans="2:52" ht="15" customHeight="1" x14ac:dyDescent="0.2">
      <c r="B19" s="160"/>
      <c r="C19" s="162" t="s">
        <v>136</v>
      </c>
      <c r="D19" s="148" t="s">
        <v>733</v>
      </c>
      <c r="E19" s="169" t="s">
        <v>767</v>
      </c>
      <c r="F19" s="169">
        <v>64</v>
      </c>
      <c r="G19" s="172">
        <v>8</v>
      </c>
      <c r="H19" s="114">
        <f>VLOOKUP($N19,'UMC Table 4-A'!$A$10:$E$139,4,FALSE)</f>
        <v>10</v>
      </c>
      <c r="I19" s="114" t="str">
        <f>VLOOKUP($N19,'UMC Table 4-A'!$A$10:$E$139,5,FALSE)</f>
        <v>YES</v>
      </c>
      <c r="J19" s="111">
        <f t="shared" si="0"/>
        <v>90</v>
      </c>
      <c r="K19" s="116">
        <v>0</v>
      </c>
      <c r="L19" s="114">
        <f t="shared" si="1"/>
        <v>90</v>
      </c>
      <c r="M19" s="117"/>
      <c r="N19" s="114" t="s">
        <v>94</v>
      </c>
      <c r="O19" s="114" t="str">
        <f>VLOOKUP($N19,'UMC Table 4-A'!$A$10:$E$139,2,FALSE)</f>
        <v>NEGATIVE</v>
      </c>
      <c r="P19" s="112" t="str">
        <f>VLOOKUP($N19,'UMC Table 4-A'!$A$10:$E$139,3,FALSE)</f>
        <v>NR</v>
      </c>
      <c r="Q19" s="152">
        <f t="shared" si="2"/>
        <v>0</v>
      </c>
      <c r="R19" s="112" t="str">
        <f>VLOOKUP($N19,'UMC Table 4-A'!$A$10:$E$139,5,FALSE)</f>
        <v>YES</v>
      </c>
      <c r="S19" s="113">
        <f t="shared" si="3"/>
        <v>0</v>
      </c>
      <c r="T19" s="118">
        <f t="shared" si="4"/>
        <v>0</v>
      </c>
      <c r="U19" s="119">
        <f t="shared" si="5"/>
        <v>0</v>
      </c>
      <c r="V19" s="137">
        <f t="shared" si="6"/>
        <v>90</v>
      </c>
      <c r="W19" s="89">
        <f t="shared" si="7"/>
        <v>-90</v>
      </c>
      <c r="X19" s="31" t="str">
        <f t="shared" si="8"/>
        <v>No</v>
      </c>
      <c r="Y19" s="32">
        <f t="shared" si="9"/>
        <v>0</v>
      </c>
      <c r="Z19" s="70" t="e">
        <f t="shared" si="10"/>
        <v>#DIV/0!</v>
      </c>
      <c r="AA19" s="32">
        <f t="shared" si="11"/>
        <v>0</v>
      </c>
      <c r="AD19" s="113" t="s">
        <v>142</v>
      </c>
      <c r="AE19" s="113" t="s">
        <v>203</v>
      </c>
      <c r="AF19" s="113" t="s">
        <v>209</v>
      </c>
      <c r="AG19" s="112">
        <f t="shared" si="23"/>
        <v>235</v>
      </c>
      <c r="AH19" s="112">
        <f t="shared" si="13"/>
        <v>6</v>
      </c>
      <c r="AI19" s="112">
        <f t="shared" si="17"/>
        <v>3</v>
      </c>
      <c r="AJ19" s="112">
        <f t="shared" si="18"/>
        <v>0.5</v>
      </c>
      <c r="AK19" s="112">
        <f t="shared" si="15"/>
        <v>140</v>
      </c>
      <c r="AL19" s="112">
        <f t="shared" si="15"/>
        <v>100</v>
      </c>
      <c r="AM19" s="112">
        <f t="shared" si="15"/>
        <v>55</v>
      </c>
      <c r="AN19" s="112">
        <f t="shared" si="15"/>
        <v>85</v>
      </c>
      <c r="AO19" s="112">
        <f t="shared" si="19"/>
        <v>7.6000000000000005</v>
      </c>
      <c r="AP19" s="115">
        <f t="shared" si="20"/>
        <v>0.38000000000000006</v>
      </c>
      <c r="AQ19" s="115">
        <f t="shared" si="16"/>
        <v>0.5</v>
      </c>
      <c r="AR19" s="115">
        <f t="shared" si="21"/>
        <v>5</v>
      </c>
      <c r="AS19" s="115">
        <f t="shared" si="14"/>
        <v>20</v>
      </c>
      <c r="AT19" s="115" t="str">
        <f t="shared" si="22"/>
        <v>F5/M-503</v>
      </c>
      <c r="AU19" s="112" t="str">
        <f t="shared" si="22"/>
        <v>1, 2</v>
      </c>
    </row>
    <row r="20" spans="2:52" ht="15" customHeight="1" x14ac:dyDescent="0.2">
      <c r="B20" s="160"/>
      <c r="C20" s="162" t="s">
        <v>137</v>
      </c>
      <c r="D20" s="167" t="s">
        <v>569</v>
      </c>
      <c r="E20" s="168">
        <v>2025</v>
      </c>
      <c r="F20" s="168">
        <v>232</v>
      </c>
      <c r="G20" s="173">
        <v>9.5</v>
      </c>
      <c r="H20" s="114">
        <f>VLOOKUP($N20,'UMC Table 4-A'!$A$10:$E$139,4,FALSE)</f>
        <v>4</v>
      </c>
      <c r="I20" s="114" t="str">
        <f>VLOOKUP($N20,'UMC Table 4-A'!$A$10:$E$139,5,FALSE)</f>
        <v>NR</v>
      </c>
      <c r="J20" s="111" t="str">
        <f t="shared" si="0"/>
        <v>-</v>
      </c>
      <c r="K20" s="116">
        <v>0</v>
      </c>
      <c r="L20" s="114">
        <f t="shared" si="1"/>
        <v>150</v>
      </c>
      <c r="M20" s="117">
        <f>F20</f>
        <v>232</v>
      </c>
      <c r="N20" s="114" t="s">
        <v>123</v>
      </c>
      <c r="O20" s="114" t="str">
        <f>VLOOKUP($N20,'UMC Table 4-A'!$A$10:$E$139,2,FALSE)</f>
        <v>NO REQUIREMENT FOR CONTINUOUS DIRECTIONAL CONTROL</v>
      </c>
      <c r="P20" s="112">
        <f>VLOOKUP($N20,'UMC Table 4-A'!$A$10:$E$139,3,FALSE)</f>
        <v>2</v>
      </c>
      <c r="Q20" s="152">
        <f t="shared" si="2"/>
        <v>80</v>
      </c>
      <c r="R20" s="112" t="str">
        <f>VLOOKUP($N20,'UMC Table 4-A'!$A$10:$E$139,5,FALSE)</f>
        <v>NR</v>
      </c>
      <c r="S20" s="113">
        <f t="shared" si="3"/>
        <v>235</v>
      </c>
      <c r="T20" s="137">
        <f t="shared" si="4"/>
        <v>235</v>
      </c>
      <c r="U20" s="137">
        <f t="shared" si="5"/>
        <v>235</v>
      </c>
      <c r="V20" s="137">
        <f t="shared" si="6"/>
        <v>0</v>
      </c>
      <c r="W20" s="89">
        <f t="shared" si="7"/>
        <v>0</v>
      </c>
      <c r="X20" s="31" t="str">
        <f t="shared" si="8"/>
        <v>Yes</v>
      </c>
      <c r="Y20" s="32">
        <f t="shared" si="9"/>
        <v>1.0129310344827587</v>
      </c>
      <c r="Z20" s="70">
        <f t="shared" si="10"/>
        <v>34.042553191489361</v>
      </c>
      <c r="AA20" s="32">
        <f t="shared" si="11"/>
        <v>6.3974591651542649</v>
      </c>
      <c r="AD20" s="113" t="s">
        <v>143</v>
      </c>
      <c r="AE20" s="113" t="s">
        <v>203</v>
      </c>
      <c r="AF20" s="113" t="s">
        <v>209</v>
      </c>
      <c r="AG20" s="112">
        <f t="shared" si="23"/>
        <v>235</v>
      </c>
      <c r="AH20" s="112">
        <f t="shared" si="13"/>
        <v>6</v>
      </c>
      <c r="AI20" s="112">
        <f t="shared" si="17"/>
        <v>3</v>
      </c>
      <c r="AJ20" s="112">
        <f t="shared" si="18"/>
        <v>0.5</v>
      </c>
      <c r="AK20" s="112">
        <f t="shared" si="15"/>
        <v>140</v>
      </c>
      <c r="AL20" s="112">
        <f t="shared" si="15"/>
        <v>100</v>
      </c>
      <c r="AM20" s="112">
        <f t="shared" si="15"/>
        <v>55</v>
      </c>
      <c r="AN20" s="112">
        <f t="shared" si="15"/>
        <v>85</v>
      </c>
      <c r="AO20" s="112">
        <f t="shared" si="19"/>
        <v>7.6000000000000005</v>
      </c>
      <c r="AP20" s="115">
        <f t="shared" si="20"/>
        <v>0.38000000000000006</v>
      </c>
      <c r="AQ20" s="115">
        <f t="shared" si="16"/>
        <v>0.5</v>
      </c>
      <c r="AR20" s="115">
        <f t="shared" si="21"/>
        <v>5</v>
      </c>
      <c r="AS20" s="115">
        <f t="shared" si="14"/>
        <v>20</v>
      </c>
      <c r="AT20" s="115" t="str">
        <f t="shared" si="22"/>
        <v>F5/M-503</v>
      </c>
      <c r="AU20" s="112" t="str">
        <f t="shared" si="22"/>
        <v>1, 2</v>
      </c>
    </row>
    <row r="21" spans="2:52" ht="15" customHeight="1" x14ac:dyDescent="0.2">
      <c r="B21" s="160"/>
      <c r="C21" s="162" t="s">
        <v>137</v>
      </c>
      <c r="D21" s="148" t="s">
        <v>733</v>
      </c>
      <c r="E21" s="169" t="s">
        <v>768</v>
      </c>
      <c r="F21" s="169">
        <v>64</v>
      </c>
      <c r="G21" s="172">
        <v>8</v>
      </c>
      <c r="H21" s="114">
        <f>VLOOKUP($N21,'UMC Table 4-A'!$A$10:$E$139,4,FALSE)</f>
        <v>10</v>
      </c>
      <c r="I21" s="114" t="str">
        <f>VLOOKUP($N21,'UMC Table 4-A'!$A$10:$E$139,5,FALSE)</f>
        <v>YES</v>
      </c>
      <c r="J21" s="111">
        <f t="shared" si="0"/>
        <v>90</v>
      </c>
      <c r="K21" s="116">
        <v>0</v>
      </c>
      <c r="L21" s="114">
        <f t="shared" si="1"/>
        <v>90</v>
      </c>
      <c r="M21" s="117"/>
      <c r="N21" s="114" t="s">
        <v>94</v>
      </c>
      <c r="O21" s="114" t="str">
        <f>VLOOKUP($N21,'UMC Table 4-A'!$A$10:$E$139,2,FALSE)</f>
        <v>NEGATIVE</v>
      </c>
      <c r="P21" s="112" t="str">
        <f>VLOOKUP($N21,'UMC Table 4-A'!$A$10:$E$139,3,FALSE)</f>
        <v>NR</v>
      </c>
      <c r="Q21" s="152">
        <f t="shared" si="2"/>
        <v>0</v>
      </c>
      <c r="R21" s="112" t="str">
        <f>VLOOKUP($N21,'UMC Table 4-A'!$A$10:$E$139,5,FALSE)</f>
        <v>YES</v>
      </c>
      <c r="S21" s="113">
        <f t="shared" si="3"/>
        <v>0</v>
      </c>
      <c r="T21" s="137">
        <f t="shared" si="4"/>
        <v>0</v>
      </c>
      <c r="U21" s="137">
        <f t="shared" si="5"/>
        <v>0</v>
      </c>
      <c r="V21" s="137">
        <f t="shared" si="6"/>
        <v>90</v>
      </c>
      <c r="W21" s="89">
        <f t="shared" si="7"/>
        <v>-90</v>
      </c>
      <c r="X21" s="31" t="str">
        <f t="shared" si="8"/>
        <v>No</v>
      </c>
      <c r="Y21" s="32">
        <f t="shared" si="9"/>
        <v>0</v>
      </c>
      <c r="Z21" s="70" t="e">
        <f t="shared" si="10"/>
        <v>#DIV/0!</v>
      </c>
      <c r="AA21" s="32">
        <f t="shared" si="11"/>
        <v>0</v>
      </c>
      <c r="AD21" s="113" t="s">
        <v>144</v>
      </c>
      <c r="AE21" s="113" t="s">
        <v>203</v>
      </c>
      <c r="AF21" s="113" t="s">
        <v>209</v>
      </c>
      <c r="AG21" s="112">
        <f t="shared" si="23"/>
        <v>225</v>
      </c>
      <c r="AH21" s="112">
        <f t="shared" si="13"/>
        <v>6</v>
      </c>
      <c r="AI21" s="112">
        <f t="shared" si="17"/>
        <v>3</v>
      </c>
      <c r="AJ21" s="112">
        <f t="shared" si="18"/>
        <v>0.5</v>
      </c>
      <c r="AK21" s="112">
        <f t="shared" si="15"/>
        <v>140</v>
      </c>
      <c r="AL21" s="112">
        <f t="shared" si="15"/>
        <v>100</v>
      </c>
      <c r="AM21" s="112">
        <f t="shared" si="15"/>
        <v>55</v>
      </c>
      <c r="AN21" s="112">
        <f t="shared" si="15"/>
        <v>85</v>
      </c>
      <c r="AO21" s="112">
        <f t="shared" si="19"/>
        <v>7.3000000000000007</v>
      </c>
      <c r="AP21" s="115">
        <f t="shared" si="20"/>
        <v>0.36500000000000005</v>
      </c>
      <c r="AQ21" s="115">
        <f t="shared" si="16"/>
        <v>0.5</v>
      </c>
      <c r="AR21" s="115">
        <f t="shared" si="21"/>
        <v>5</v>
      </c>
      <c r="AS21" s="115">
        <f t="shared" si="14"/>
        <v>20</v>
      </c>
      <c r="AT21" s="115" t="str">
        <f t="shared" si="22"/>
        <v>F5/M-503</v>
      </c>
      <c r="AU21" s="112" t="str">
        <f t="shared" si="22"/>
        <v>1, 2</v>
      </c>
    </row>
    <row r="22" spans="2:52" ht="15" customHeight="1" x14ac:dyDescent="0.2">
      <c r="B22" s="160"/>
      <c r="C22" s="162" t="s">
        <v>138</v>
      </c>
      <c r="D22" s="167" t="s">
        <v>569</v>
      </c>
      <c r="E22" s="168">
        <v>2026</v>
      </c>
      <c r="F22" s="168">
        <v>233</v>
      </c>
      <c r="G22" s="173">
        <v>9.5</v>
      </c>
      <c r="H22" s="114">
        <f>VLOOKUP($N22,'UMC Table 4-A'!$A$10:$E$139,4,FALSE)</f>
        <v>4</v>
      </c>
      <c r="I22" s="114" t="str">
        <f>VLOOKUP($N22,'UMC Table 4-A'!$A$10:$E$139,5,FALSE)</f>
        <v>NR</v>
      </c>
      <c r="J22" s="111" t="str">
        <f t="shared" si="0"/>
        <v>-</v>
      </c>
      <c r="K22" s="116">
        <v>0</v>
      </c>
      <c r="L22" s="114">
        <f t="shared" si="1"/>
        <v>150</v>
      </c>
      <c r="M22" s="117">
        <f>F22</f>
        <v>233</v>
      </c>
      <c r="N22" s="114" t="s">
        <v>123</v>
      </c>
      <c r="O22" s="114" t="str">
        <f>VLOOKUP($N22,'UMC Table 4-A'!$A$10:$E$139,2,FALSE)</f>
        <v>NO REQUIREMENT FOR CONTINUOUS DIRECTIONAL CONTROL</v>
      </c>
      <c r="P22" s="112">
        <f>VLOOKUP($N22,'UMC Table 4-A'!$A$10:$E$139,3,FALSE)</f>
        <v>2</v>
      </c>
      <c r="Q22" s="152">
        <f t="shared" si="2"/>
        <v>80</v>
      </c>
      <c r="R22" s="112" t="str">
        <f>VLOOKUP($N22,'UMC Table 4-A'!$A$10:$E$139,5,FALSE)</f>
        <v>NR</v>
      </c>
      <c r="S22" s="113">
        <f t="shared" si="3"/>
        <v>235</v>
      </c>
      <c r="T22" s="137">
        <f t="shared" si="4"/>
        <v>235</v>
      </c>
      <c r="U22" s="137">
        <f t="shared" si="5"/>
        <v>235</v>
      </c>
      <c r="V22" s="137">
        <f t="shared" si="6"/>
        <v>0</v>
      </c>
      <c r="W22" s="89">
        <f t="shared" si="7"/>
        <v>0</v>
      </c>
      <c r="X22" s="31" t="str">
        <f t="shared" si="8"/>
        <v>Yes</v>
      </c>
      <c r="Y22" s="32">
        <f t="shared" si="9"/>
        <v>1.0085836909871244</v>
      </c>
      <c r="Z22" s="70">
        <f t="shared" si="10"/>
        <v>34.042553191489361</v>
      </c>
      <c r="AA22" s="32">
        <f t="shared" si="11"/>
        <v>6.370002258866049</v>
      </c>
      <c r="AD22" s="113" t="s">
        <v>145</v>
      </c>
      <c r="AE22" s="113" t="s">
        <v>203</v>
      </c>
      <c r="AF22" s="113" t="s">
        <v>209</v>
      </c>
      <c r="AG22" s="112">
        <f t="shared" si="23"/>
        <v>230</v>
      </c>
      <c r="AH22" s="112">
        <f t="shared" si="13"/>
        <v>6</v>
      </c>
      <c r="AI22" s="112">
        <f t="shared" si="17"/>
        <v>3</v>
      </c>
      <c r="AJ22" s="112">
        <f t="shared" si="18"/>
        <v>0.5</v>
      </c>
      <c r="AK22" s="112">
        <f t="shared" si="15"/>
        <v>140</v>
      </c>
      <c r="AL22" s="112">
        <f t="shared" si="15"/>
        <v>100</v>
      </c>
      <c r="AM22" s="112">
        <f t="shared" si="15"/>
        <v>55</v>
      </c>
      <c r="AN22" s="112">
        <f t="shared" si="15"/>
        <v>85</v>
      </c>
      <c r="AO22" s="112">
        <f t="shared" si="19"/>
        <v>7.5</v>
      </c>
      <c r="AP22" s="115">
        <f t="shared" si="20"/>
        <v>0.375</v>
      </c>
      <c r="AQ22" s="115">
        <f t="shared" si="16"/>
        <v>0.5</v>
      </c>
      <c r="AR22" s="115">
        <f t="shared" si="21"/>
        <v>5</v>
      </c>
      <c r="AS22" s="115">
        <f t="shared" si="14"/>
        <v>20</v>
      </c>
      <c r="AT22" s="115" t="str">
        <f t="shared" si="22"/>
        <v>F5/M-503</v>
      </c>
      <c r="AU22" s="112" t="str">
        <f t="shared" si="22"/>
        <v>1, 2</v>
      </c>
    </row>
    <row r="23" spans="2:52" ht="15" customHeight="1" x14ac:dyDescent="0.2">
      <c r="B23" s="160"/>
      <c r="C23" s="162" t="s">
        <v>138</v>
      </c>
      <c r="D23" s="148" t="s">
        <v>733</v>
      </c>
      <c r="E23" s="169" t="s">
        <v>769</v>
      </c>
      <c r="F23" s="169">
        <v>64</v>
      </c>
      <c r="G23" s="172">
        <v>8</v>
      </c>
      <c r="H23" s="114">
        <f>VLOOKUP($N23,'UMC Table 4-A'!$A$10:$E$139,4,FALSE)</f>
        <v>10</v>
      </c>
      <c r="I23" s="114" t="str">
        <f>VLOOKUP($N23,'UMC Table 4-A'!$A$10:$E$139,5,FALSE)</f>
        <v>YES</v>
      </c>
      <c r="J23" s="111">
        <f t="shared" si="0"/>
        <v>90</v>
      </c>
      <c r="K23" s="116">
        <v>0</v>
      </c>
      <c r="L23" s="114">
        <f t="shared" si="1"/>
        <v>90</v>
      </c>
      <c r="M23" s="117"/>
      <c r="N23" s="114" t="s">
        <v>94</v>
      </c>
      <c r="O23" s="114" t="str">
        <f>VLOOKUP($N23,'UMC Table 4-A'!$A$10:$E$139,2,FALSE)</f>
        <v>NEGATIVE</v>
      </c>
      <c r="P23" s="112" t="str">
        <f>VLOOKUP($N23,'UMC Table 4-A'!$A$10:$E$139,3,FALSE)</f>
        <v>NR</v>
      </c>
      <c r="Q23" s="152">
        <f t="shared" si="2"/>
        <v>0</v>
      </c>
      <c r="R23" s="112" t="str">
        <f>VLOOKUP($N23,'UMC Table 4-A'!$A$10:$E$139,5,FALSE)</f>
        <v>YES</v>
      </c>
      <c r="S23" s="113">
        <f t="shared" si="3"/>
        <v>0</v>
      </c>
      <c r="T23" s="137">
        <f t="shared" si="4"/>
        <v>0</v>
      </c>
      <c r="U23" s="137">
        <f t="shared" si="5"/>
        <v>0</v>
      </c>
      <c r="V23" s="137">
        <f t="shared" si="6"/>
        <v>90</v>
      </c>
      <c r="W23" s="89">
        <f t="shared" si="7"/>
        <v>-90</v>
      </c>
      <c r="X23" s="31" t="str">
        <f t="shared" si="8"/>
        <v>No</v>
      </c>
      <c r="Y23" s="32">
        <f t="shared" si="9"/>
        <v>0</v>
      </c>
      <c r="Z23" s="70" t="e">
        <f t="shared" si="10"/>
        <v>#DIV/0!</v>
      </c>
      <c r="AA23" s="32">
        <f t="shared" si="11"/>
        <v>0</v>
      </c>
      <c r="AD23" s="113" t="s">
        <v>146</v>
      </c>
      <c r="AE23" s="113" t="s">
        <v>203</v>
      </c>
      <c r="AF23" s="113" t="s">
        <v>209</v>
      </c>
      <c r="AG23" s="112">
        <f t="shared" si="23"/>
        <v>810</v>
      </c>
      <c r="AH23" s="112">
        <f t="shared" si="13"/>
        <v>10</v>
      </c>
      <c r="AI23" s="112">
        <f t="shared" si="17"/>
        <v>5</v>
      </c>
      <c r="AJ23" s="112">
        <f t="shared" si="18"/>
        <v>0.5</v>
      </c>
      <c r="AK23" s="112">
        <f t="shared" si="15"/>
        <v>140</v>
      </c>
      <c r="AL23" s="112">
        <f t="shared" si="15"/>
        <v>100</v>
      </c>
      <c r="AM23" s="112">
        <f t="shared" si="15"/>
        <v>55</v>
      </c>
      <c r="AN23" s="112">
        <f t="shared" si="15"/>
        <v>85</v>
      </c>
      <c r="AO23" s="112">
        <f t="shared" si="19"/>
        <v>26.200000000000003</v>
      </c>
      <c r="AP23" s="115">
        <f t="shared" si="20"/>
        <v>1.3100000000000003</v>
      </c>
      <c r="AQ23" s="115">
        <f t="shared" si="16"/>
        <v>1.3100000000000003</v>
      </c>
      <c r="AR23" s="115">
        <f t="shared" si="21"/>
        <v>5</v>
      </c>
      <c r="AS23" s="115">
        <f t="shared" si="14"/>
        <v>30</v>
      </c>
      <c r="AT23" s="115" t="str">
        <f t="shared" si="22"/>
        <v>F5/M-503</v>
      </c>
      <c r="AU23" s="112" t="str">
        <f t="shared" si="22"/>
        <v>1, 2</v>
      </c>
    </row>
    <row r="24" spans="2:52" ht="15" customHeight="1" x14ac:dyDescent="0.2">
      <c r="B24" s="160"/>
      <c r="C24" s="162" t="s">
        <v>139</v>
      </c>
      <c r="D24" s="167" t="s">
        <v>569</v>
      </c>
      <c r="E24" s="168">
        <v>2027</v>
      </c>
      <c r="F24" s="168">
        <v>272</v>
      </c>
      <c r="G24" s="173">
        <v>9.5</v>
      </c>
      <c r="H24" s="114">
        <f>VLOOKUP($N24,'UMC Table 4-A'!$A$10:$E$139,4,FALSE)</f>
        <v>4</v>
      </c>
      <c r="I24" s="114" t="str">
        <f>VLOOKUP($N24,'UMC Table 4-A'!$A$10:$E$139,5,FALSE)</f>
        <v>NR</v>
      </c>
      <c r="J24" s="111" t="str">
        <f t="shared" si="0"/>
        <v>-</v>
      </c>
      <c r="K24" s="116">
        <v>0</v>
      </c>
      <c r="L24" s="114">
        <f t="shared" si="1"/>
        <v>180</v>
      </c>
      <c r="M24" s="117">
        <f>F24</f>
        <v>272</v>
      </c>
      <c r="N24" s="114" t="s">
        <v>123</v>
      </c>
      <c r="O24" s="114" t="str">
        <f>VLOOKUP($N24,'UMC Table 4-A'!$A$10:$E$139,2,FALSE)</f>
        <v>NO REQUIREMENT FOR CONTINUOUS DIRECTIONAL CONTROL</v>
      </c>
      <c r="P24" s="112">
        <f>VLOOKUP($N24,'UMC Table 4-A'!$A$10:$E$139,3,FALSE)</f>
        <v>2</v>
      </c>
      <c r="Q24" s="152">
        <f t="shared" si="2"/>
        <v>90</v>
      </c>
      <c r="R24" s="112" t="str">
        <f>VLOOKUP($N24,'UMC Table 4-A'!$A$10:$E$139,5,FALSE)</f>
        <v>NR</v>
      </c>
      <c r="S24" s="113">
        <f t="shared" si="3"/>
        <v>275</v>
      </c>
      <c r="T24" s="137">
        <f t="shared" si="4"/>
        <v>275</v>
      </c>
      <c r="U24" s="137">
        <f t="shared" si="5"/>
        <v>275</v>
      </c>
      <c r="V24" s="137">
        <f t="shared" si="6"/>
        <v>0</v>
      </c>
      <c r="W24" s="89">
        <f t="shared" si="7"/>
        <v>0</v>
      </c>
      <c r="X24" s="31" t="str">
        <f t="shared" si="8"/>
        <v>Yes</v>
      </c>
      <c r="Y24" s="32">
        <f t="shared" si="9"/>
        <v>1.0110294117647058</v>
      </c>
      <c r="Z24" s="70">
        <f t="shared" si="10"/>
        <v>32.727272727272727</v>
      </c>
      <c r="AA24" s="32">
        <f t="shared" si="11"/>
        <v>6.3854489164086683</v>
      </c>
      <c r="AD24" s="113" t="s">
        <v>147</v>
      </c>
      <c r="AE24" s="113" t="s">
        <v>203</v>
      </c>
      <c r="AF24" s="113" t="s">
        <v>209</v>
      </c>
      <c r="AG24" s="112">
        <f t="shared" si="23"/>
        <v>190</v>
      </c>
      <c r="AH24" s="112">
        <f t="shared" si="13"/>
        <v>6</v>
      </c>
      <c r="AI24" s="112">
        <f t="shared" si="17"/>
        <v>3</v>
      </c>
      <c r="AJ24" s="112">
        <f t="shared" si="18"/>
        <v>0.5</v>
      </c>
      <c r="AK24" s="112">
        <f t="shared" si="15"/>
        <v>140</v>
      </c>
      <c r="AL24" s="112">
        <f t="shared" si="15"/>
        <v>100</v>
      </c>
      <c r="AM24" s="112">
        <f t="shared" si="15"/>
        <v>55</v>
      </c>
      <c r="AN24" s="112">
        <f t="shared" si="15"/>
        <v>85</v>
      </c>
      <c r="AO24" s="112">
        <f t="shared" si="19"/>
        <v>6.2</v>
      </c>
      <c r="AP24" s="115">
        <f t="shared" si="20"/>
        <v>0.31</v>
      </c>
      <c r="AQ24" s="115">
        <f t="shared" si="16"/>
        <v>0.5</v>
      </c>
      <c r="AR24" s="115">
        <f t="shared" si="21"/>
        <v>5</v>
      </c>
      <c r="AS24" s="115">
        <f t="shared" si="14"/>
        <v>20</v>
      </c>
      <c r="AT24" s="115" t="str">
        <f>AT23</f>
        <v>F5/M-503</v>
      </c>
      <c r="AU24" s="112" t="str">
        <f t="shared" si="22"/>
        <v>1, 2</v>
      </c>
    </row>
    <row r="25" spans="2:52" ht="15" customHeight="1" x14ac:dyDescent="0.2">
      <c r="B25" s="160"/>
      <c r="C25" s="162" t="s">
        <v>139</v>
      </c>
      <c r="D25" s="148" t="s">
        <v>733</v>
      </c>
      <c r="E25" s="169" t="s">
        <v>770</v>
      </c>
      <c r="F25" s="169">
        <v>64</v>
      </c>
      <c r="G25" s="172">
        <v>8</v>
      </c>
      <c r="H25" s="114">
        <f>VLOOKUP($N25,'UMC Table 4-A'!$A$10:$E$139,4,FALSE)</f>
        <v>10</v>
      </c>
      <c r="I25" s="114" t="str">
        <f>VLOOKUP($N25,'UMC Table 4-A'!$A$10:$E$139,5,FALSE)</f>
        <v>YES</v>
      </c>
      <c r="J25" s="111">
        <f t="shared" si="0"/>
        <v>90</v>
      </c>
      <c r="K25" s="116">
        <v>0</v>
      </c>
      <c r="L25" s="114">
        <f t="shared" si="1"/>
        <v>90</v>
      </c>
      <c r="M25" s="117"/>
      <c r="N25" s="114" t="s">
        <v>94</v>
      </c>
      <c r="O25" s="114" t="str">
        <f>VLOOKUP($N25,'UMC Table 4-A'!$A$10:$E$139,2,FALSE)</f>
        <v>NEGATIVE</v>
      </c>
      <c r="P25" s="112" t="str">
        <f>VLOOKUP($N25,'UMC Table 4-A'!$A$10:$E$139,3,FALSE)</f>
        <v>NR</v>
      </c>
      <c r="Q25" s="152">
        <f t="shared" si="2"/>
        <v>0</v>
      </c>
      <c r="R25" s="112" t="str">
        <f>VLOOKUP($N25,'UMC Table 4-A'!$A$10:$E$139,5,FALSE)</f>
        <v>YES</v>
      </c>
      <c r="S25" s="113">
        <f t="shared" si="3"/>
        <v>0</v>
      </c>
      <c r="T25" s="137">
        <f t="shared" si="4"/>
        <v>0</v>
      </c>
      <c r="U25" s="137">
        <f t="shared" si="5"/>
        <v>0</v>
      </c>
      <c r="V25" s="137">
        <f t="shared" si="6"/>
        <v>90</v>
      </c>
      <c r="W25" s="89">
        <f t="shared" si="7"/>
        <v>-90</v>
      </c>
      <c r="X25" s="31" t="str">
        <f t="shared" si="8"/>
        <v>No</v>
      </c>
      <c r="Y25" s="32">
        <f t="shared" si="9"/>
        <v>0</v>
      </c>
      <c r="Z25" s="70" t="e">
        <f t="shared" si="10"/>
        <v>#DIV/0!</v>
      </c>
      <c r="AA25" s="32">
        <f t="shared" si="11"/>
        <v>0</v>
      </c>
      <c r="AD25" s="113" t="s">
        <v>148</v>
      </c>
      <c r="AE25" s="113" t="s">
        <v>203</v>
      </c>
      <c r="AF25" s="113" t="s">
        <v>209</v>
      </c>
      <c r="AG25" s="112">
        <f t="shared" si="23"/>
        <v>1925</v>
      </c>
      <c r="AH25" s="112">
        <f t="shared" si="13"/>
        <v>14</v>
      </c>
      <c r="AI25" s="112">
        <f t="shared" si="17"/>
        <v>7</v>
      </c>
      <c r="AJ25" s="112">
        <f t="shared" si="18"/>
        <v>0.5</v>
      </c>
      <c r="AK25" s="112">
        <f t="shared" si="18"/>
        <v>140</v>
      </c>
      <c r="AL25" s="112">
        <f t="shared" si="18"/>
        <v>100</v>
      </c>
      <c r="AM25" s="112">
        <f t="shared" si="18"/>
        <v>55</v>
      </c>
      <c r="AN25" s="112">
        <f t="shared" si="18"/>
        <v>85</v>
      </c>
      <c r="AO25" s="112">
        <f t="shared" si="19"/>
        <v>62.400000000000006</v>
      </c>
      <c r="AP25" s="115">
        <f t="shared" si="20"/>
        <v>3.1200000000000006</v>
      </c>
      <c r="AQ25" s="115">
        <f t="shared" si="16"/>
        <v>3.1200000000000006</v>
      </c>
      <c r="AR25" s="115">
        <f t="shared" si="21"/>
        <v>5</v>
      </c>
      <c r="AS25" s="115">
        <f t="shared" si="14"/>
        <v>50</v>
      </c>
      <c r="AT25" s="115" t="str">
        <f t="shared" si="22"/>
        <v>F5/M-503</v>
      </c>
      <c r="AU25" s="112" t="str">
        <f t="shared" si="22"/>
        <v>1, 2</v>
      </c>
    </row>
    <row r="26" spans="2:52" ht="15" customHeight="1" x14ac:dyDescent="0.2">
      <c r="B26" s="160"/>
      <c r="C26" s="162" t="s">
        <v>140</v>
      </c>
      <c r="D26" s="167" t="s">
        <v>569</v>
      </c>
      <c r="E26" s="168">
        <v>2028</v>
      </c>
      <c r="F26" s="168">
        <v>271</v>
      </c>
      <c r="G26" s="173">
        <v>9.5</v>
      </c>
      <c r="H26" s="114">
        <f>VLOOKUP($N26,'UMC Table 4-A'!$A$10:$E$139,4,FALSE)</f>
        <v>4</v>
      </c>
      <c r="I26" s="114" t="str">
        <f>VLOOKUP($N26,'UMC Table 4-A'!$A$10:$E$139,5,FALSE)</f>
        <v>NR</v>
      </c>
      <c r="J26" s="111" t="str">
        <f t="shared" si="0"/>
        <v>-</v>
      </c>
      <c r="K26" s="116">
        <v>0</v>
      </c>
      <c r="L26" s="114">
        <f t="shared" si="1"/>
        <v>180</v>
      </c>
      <c r="M26" s="117">
        <f>F26</f>
        <v>271</v>
      </c>
      <c r="N26" s="114" t="s">
        <v>123</v>
      </c>
      <c r="O26" s="114" t="str">
        <f>VLOOKUP($N26,'UMC Table 4-A'!$A$10:$E$139,2,FALSE)</f>
        <v>NO REQUIREMENT FOR CONTINUOUS DIRECTIONAL CONTROL</v>
      </c>
      <c r="P26" s="112">
        <f>VLOOKUP($N26,'UMC Table 4-A'!$A$10:$E$139,3,FALSE)</f>
        <v>2</v>
      </c>
      <c r="Q26" s="152">
        <f t="shared" si="2"/>
        <v>90</v>
      </c>
      <c r="R26" s="112" t="str">
        <f>VLOOKUP($N26,'UMC Table 4-A'!$A$10:$E$139,5,FALSE)</f>
        <v>NR</v>
      </c>
      <c r="S26" s="113">
        <f t="shared" si="3"/>
        <v>275</v>
      </c>
      <c r="T26" s="137">
        <f t="shared" si="4"/>
        <v>275</v>
      </c>
      <c r="U26" s="137">
        <f t="shared" si="5"/>
        <v>275</v>
      </c>
      <c r="V26" s="137">
        <f t="shared" si="6"/>
        <v>0</v>
      </c>
      <c r="W26" s="89">
        <f t="shared" si="7"/>
        <v>0</v>
      </c>
      <c r="X26" s="31" t="str">
        <f t="shared" si="8"/>
        <v>Yes</v>
      </c>
      <c r="Y26" s="32">
        <f t="shared" si="9"/>
        <v>1.014760147601476</v>
      </c>
      <c r="Z26" s="70">
        <f t="shared" si="10"/>
        <v>32.727272727272727</v>
      </c>
      <c r="AA26" s="32">
        <f t="shared" si="11"/>
        <v>6.4090114585356384</v>
      </c>
      <c r="AD26" s="113" t="s">
        <v>149</v>
      </c>
      <c r="AE26" s="113" t="s">
        <v>203</v>
      </c>
      <c r="AF26" s="113" t="s">
        <v>209</v>
      </c>
      <c r="AG26" s="112">
        <f t="shared" si="23"/>
        <v>360</v>
      </c>
      <c r="AH26" s="112">
        <f t="shared" si="13"/>
        <v>6</v>
      </c>
      <c r="AI26" s="112">
        <f t="shared" si="17"/>
        <v>3</v>
      </c>
      <c r="AJ26" s="112">
        <f t="shared" ref="AJ26:AN41" si="24">AJ25</f>
        <v>0.5</v>
      </c>
      <c r="AK26" s="112">
        <f t="shared" si="24"/>
        <v>140</v>
      </c>
      <c r="AL26" s="112">
        <f t="shared" si="24"/>
        <v>100</v>
      </c>
      <c r="AM26" s="112">
        <f t="shared" si="24"/>
        <v>55</v>
      </c>
      <c r="AN26" s="112">
        <f t="shared" si="24"/>
        <v>85</v>
      </c>
      <c r="AO26" s="112">
        <f t="shared" si="19"/>
        <v>11.700000000000001</v>
      </c>
      <c r="AP26" s="115">
        <f t="shared" si="20"/>
        <v>0.58500000000000008</v>
      </c>
      <c r="AQ26" s="115">
        <f t="shared" si="16"/>
        <v>0.58500000000000008</v>
      </c>
      <c r="AR26" s="115">
        <f t="shared" si="21"/>
        <v>5</v>
      </c>
      <c r="AS26" s="115">
        <f t="shared" si="14"/>
        <v>20</v>
      </c>
      <c r="AT26" s="115" t="str">
        <f t="shared" ref="AT26:AU41" si="25">AT25</f>
        <v>F5/M-503</v>
      </c>
      <c r="AU26" s="112" t="str">
        <f t="shared" si="25"/>
        <v>1, 2</v>
      </c>
    </row>
    <row r="27" spans="2:52" ht="15" customHeight="1" x14ac:dyDescent="0.2">
      <c r="B27" s="160"/>
      <c r="C27" s="162" t="s">
        <v>140</v>
      </c>
      <c r="D27" s="148" t="s">
        <v>733</v>
      </c>
      <c r="E27" s="169" t="s">
        <v>771</v>
      </c>
      <c r="F27" s="169">
        <v>64</v>
      </c>
      <c r="G27" s="172">
        <v>8</v>
      </c>
      <c r="H27" s="114">
        <f>VLOOKUP($N27,'UMC Table 4-A'!$A$10:$E$139,4,FALSE)</f>
        <v>10</v>
      </c>
      <c r="I27" s="114" t="str">
        <f>VLOOKUP($N27,'UMC Table 4-A'!$A$10:$E$139,5,FALSE)</f>
        <v>YES</v>
      </c>
      <c r="J27" s="111">
        <f t="shared" si="0"/>
        <v>90</v>
      </c>
      <c r="K27" s="116">
        <v>0</v>
      </c>
      <c r="L27" s="114">
        <f t="shared" si="1"/>
        <v>90</v>
      </c>
      <c r="M27" s="117"/>
      <c r="N27" s="114" t="s">
        <v>94</v>
      </c>
      <c r="O27" s="114" t="str">
        <f>VLOOKUP($N27,'UMC Table 4-A'!$A$10:$E$139,2,FALSE)</f>
        <v>NEGATIVE</v>
      </c>
      <c r="P27" s="112" t="str">
        <f>VLOOKUP($N27,'UMC Table 4-A'!$A$10:$E$139,3,FALSE)</f>
        <v>NR</v>
      </c>
      <c r="Q27" s="152">
        <f t="shared" si="2"/>
        <v>0</v>
      </c>
      <c r="R27" s="112" t="str">
        <f>VLOOKUP($N27,'UMC Table 4-A'!$A$10:$E$139,5,FALSE)</f>
        <v>YES</v>
      </c>
      <c r="S27" s="113">
        <f t="shared" si="3"/>
        <v>0</v>
      </c>
      <c r="T27" s="137">
        <f t="shared" si="4"/>
        <v>0</v>
      </c>
      <c r="U27" s="137">
        <f t="shared" si="5"/>
        <v>0</v>
      </c>
      <c r="V27" s="137">
        <f t="shared" si="6"/>
        <v>90</v>
      </c>
      <c r="W27" s="89">
        <f t="shared" si="7"/>
        <v>-90</v>
      </c>
      <c r="X27" s="31" t="str">
        <f t="shared" si="8"/>
        <v>No</v>
      </c>
      <c r="Y27" s="32">
        <f t="shared" si="9"/>
        <v>0</v>
      </c>
      <c r="Z27" s="70" t="e">
        <f t="shared" si="10"/>
        <v>#DIV/0!</v>
      </c>
      <c r="AA27" s="32">
        <f t="shared" si="11"/>
        <v>0</v>
      </c>
      <c r="AD27" s="113" t="s">
        <v>150</v>
      </c>
      <c r="AE27" s="113" t="s">
        <v>203</v>
      </c>
      <c r="AF27" s="113" t="s">
        <v>209</v>
      </c>
      <c r="AG27" s="112">
        <f t="shared" si="23"/>
        <v>895</v>
      </c>
      <c r="AH27" s="112">
        <f t="shared" si="13"/>
        <v>10</v>
      </c>
      <c r="AI27" s="112">
        <f t="shared" si="17"/>
        <v>5</v>
      </c>
      <c r="AJ27" s="112">
        <f t="shared" si="24"/>
        <v>0.5</v>
      </c>
      <c r="AK27" s="112">
        <f t="shared" si="24"/>
        <v>140</v>
      </c>
      <c r="AL27" s="112">
        <f t="shared" si="24"/>
        <v>100</v>
      </c>
      <c r="AM27" s="112">
        <f t="shared" si="24"/>
        <v>55</v>
      </c>
      <c r="AN27" s="112">
        <f t="shared" si="24"/>
        <v>85</v>
      </c>
      <c r="AO27" s="112">
        <f t="shared" si="19"/>
        <v>29</v>
      </c>
      <c r="AP27" s="115">
        <f t="shared" si="20"/>
        <v>1.45</v>
      </c>
      <c r="AQ27" s="115">
        <f t="shared" si="16"/>
        <v>1.45</v>
      </c>
      <c r="AR27" s="115">
        <f t="shared" si="21"/>
        <v>5</v>
      </c>
      <c r="AS27" s="115">
        <f t="shared" si="14"/>
        <v>30</v>
      </c>
      <c r="AT27" s="115" t="str">
        <f t="shared" si="25"/>
        <v>F5/M-503</v>
      </c>
      <c r="AU27" s="112" t="str">
        <f t="shared" si="25"/>
        <v>1, 2</v>
      </c>
    </row>
    <row r="28" spans="2:52" ht="15" customHeight="1" x14ac:dyDescent="0.2">
      <c r="B28" s="160"/>
      <c r="C28" s="162" t="s">
        <v>141</v>
      </c>
      <c r="D28" s="167" t="s">
        <v>569</v>
      </c>
      <c r="E28" s="168">
        <v>2014</v>
      </c>
      <c r="F28" s="168">
        <v>218</v>
      </c>
      <c r="G28" s="173">
        <v>9.5</v>
      </c>
      <c r="H28" s="114">
        <f>VLOOKUP($N28,'UMC Table 4-A'!$A$10:$E$139,4,FALSE)</f>
        <v>4</v>
      </c>
      <c r="I28" s="114" t="str">
        <f>VLOOKUP($N28,'UMC Table 4-A'!$A$10:$E$139,5,FALSE)</f>
        <v>NR</v>
      </c>
      <c r="J28" s="111" t="str">
        <f t="shared" si="0"/>
        <v>-</v>
      </c>
      <c r="K28" s="116">
        <v>0</v>
      </c>
      <c r="L28" s="114">
        <f t="shared" si="1"/>
        <v>140</v>
      </c>
      <c r="M28" s="117">
        <f>F28</f>
        <v>218</v>
      </c>
      <c r="N28" s="114" t="s">
        <v>123</v>
      </c>
      <c r="O28" s="114" t="str">
        <f>VLOOKUP($N28,'UMC Table 4-A'!$A$10:$E$139,2,FALSE)</f>
        <v>NO REQUIREMENT FOR CONTINUOUS DIRECTIONAL CONTROL</v>
      </c>
      <c r="P28" s="112">
        <f>VLOOKUP($N28,'UMC Table 4-A'!$A$10:$E$139,3,FALSE)</f>
        <v>2</v>
      </c>
      <c r="Q28" s="152">
        <f t="shared" si="2"/>
        <v>70</v>
      </c>
      <c r="R28" s="112" t="str">
        <f>VLOOKUP($N28,'UMC Table 4-A'!$A$10:$E$139,5,FALSE)</f>
        <v>NR</v>
      </c>
      <c r="S28" s="113">
        <f t="shared" si="3"/>
        <v>220</v>
      </c>
      <c r="T28" s="137">
        <f t="shared" si="4"/>
        <v>220</v>
      </c>
      <c r="U28" s="137">
        <f t="shared" si="5"/>
        <v>220</v>
      </c>
      <c r="V28" s="137">
        <f t="shared" si="6"/>
        <v>0</v>
      </c>
      <c r="W28" s="89">
        <f t="shared" si="7"/>
        <v>0</v>
      </c>
      <c r="X28" s="31" t="str">
        <f t="shared" si="8"/>
        <v>Yes</v>
      </c>
      <c r="Y28" s="32">
        <f t="shared" si="9"/>
        <v>1.0091743119266054</v>
      </c>
      <c r="Z28" s="70">
        <f t="shared" si="10"/>
        <v>31.818181818181817</v>
      </c>
      <c r="AA28" s="32">
        <f t="shared" si="11"/>
        <v>6.3737324963785609</v>
      </c>
      <c r="AD28" s="113" t="s">
        <v>151</v>
      </c>
      <c r="AE28" s="113" t="s">
        <v>203</v>
      </c>
      <c r="AF28" s="113" t="s">
        <v>209</v>
      </c>
      <c r="AG28" s="112">
        <f t="shared" si="23"/>
        <v>250</v>
      </c>
      <c r="AH28" s="112">
        <f t="shared" si="13"/>
        <v>6</v>
      </c>
      <c r="AI28" s="112">
        <f t="shared" si="17"/>
        <v>3</v>
      </c>
      <c r="AJ28" s="112">
        <f t="shared" si="24"/>
        <v>0.5</v>
      </c>
      <c r="AK28" s="112">
        <f t="shared" si="24"/>
        <v>140</v>
      </c>
      <c r="AL28" s="112">
        <f t="shared" si="24"/>
        <v>100</v>
      </c>
      <c r="AM28" s="112">
        <f t="shared" si="24"/>
        <v>55</v>
      </c>
      <c r="AN28" s="112">
        <f t="shared" si="24"/>
        <v>85</v>
      </c>
      <c r="AO28" s="112">
        <f t="shared" si="19"/>
        <v>8.1</v>
      </c>
      <c r="AP28" s="115">
        <f t="shared" si="20"/>
        <v>0.40500000000000003</v>
      </c>
      <c r="AQ28" s="115">
        <f t="shared" si="16"/>
        <v>0.5</v>
      </c>
      <c r="AR28" s="115">
        <f t="shared" si="21"/>
        <v>5</v>
      </c>
      <c r="AS28" s="115">
        <f t="shared" si="14"/>
        <v>20</v>
      </c>
      <c r="AT28" s="115" t="str">
        <f t="shared" si="25"/>
        <v>F5/M-503</v>
      </c>
      <c r="AU28" s="112" t="str">
        <f t="shared" si="25"/>
        <v>1, 2</v>
      </c>
    </row>
    <row r="29" spans="2:52" ht="15" customHeight="1" x14ac:dyDescent="0.2">
      <c r="B29" s="160"/>
      <c r="C29" s="162" t="s">
        <v>141</v>
      </c>
      <c r="D29" s="148" t="s">
        <v>733</v>
      </c>
      <c r="E29" s="169" t="s">
        <v>772</v>
      </c>
      <c r="F29" s="169">
        <v>64</v>
      </c>
      <c r="G29" s="172">
        <v>8</v>
      </c>
      <c r="H29" s="114">
        <f>VLOOKUP($N29,'UMC Table 4-A'!$A$10:$E$139,4,FALSE)</f>
        <v>10</v>
      </c>
      <c r="I29" s="114" t="str">
        <f>VLOOKUP($N29,'UMC Table 4-A'!$A$10:$E$139,5,FALSE)</f>
        <v>YES</v>
      </c>
      <c r="J29" s="111">
        <f t="shared" si="0"/>
        <v>90</v>
      </c>
      <c r="K29" s="116">
        <v>0</v>
      </c>
      <c r="L29" s="114">
        <f t="shared" si="1"/>
        <v>90</v>
      </c>
      <c r="M29" s="117"/>
      <c r="N29" s="114" t="s">
        <v>94</v>
      </c>
      <c r="O29" s="114" t="str">
        <f>VLOOKUP($N29,'UMC Table 4-A'!$A$10:$E$139,2,FALSE)</f>
        <v>NEGATIVE</v>
      </c>
      <c r="P29" s="112" t="str">
        <f>VLOOKUP($N29,'UMC Table 4-A'!$A$10:$E$139,3,FALSE)</f>
        <v>NR</v>
      </c>
      <c r="Q29" s="152">
        <f t="shared" si="2"/>
        <v>0</v>
      </c>
      <c r="R29" s="112" t="str">
        <f>VLOOKUP($N29,'UMC Table 4-A'!$A$10:$E$139,5,FALSE)</f>
        <v>YES</v>
      </c>
      <c r="S29" s="113">
        <f t="shared" si="3"/>
        <v>0</v>
      </c>
      <c r="T29" s="137">
        <f t="shared" si="4"/>
        <v>0</v>
      </c>
      <c r="U29" s="137">
        <f t="shared" si="5"/>
        <v>0</v>
      </c>
      <c r="V29" s="137">
        <f t="shared" si="6"/>
        <v>90</v>
      </c>
      <c r="W29" s="89">
        <f t="shared" si="7"/>
        <v>-90</v>
      </c>
      <c r="X29" s="31" t="str">
        <f t="shared" si="8"/>
        <v>No</v>
      </c>
      <c r="Y29" s="32">
        <f t="shared" si="9"/>
        <v>0</v>
      </c>
      <c r="Z29" s="70" t="e">
        <f t="shared" si="10"/>
        <v>#DIV/0!</v>
      </c>
      <c r="AA29" s="32">
        <f t="shared" si="11"/>
        <v>0</v>
      </c>
      <c r="AD29" s="113" t="s">
        <v>152</v>
      </c>
      <c r="AE29" s="113" t="s">
        <v>203</v>
      </c>
      <c r="AF29" s="113" t="s">
        <v>209</v>
      </c>
      <c r="AG29" s="31">
        <f>SUMIF($C$8:$C$115,AD29,$T$8:$T$115)</f>
        <v>240</v>
      </c>
      <c r="AH29" s="112">
        <f t="shared" si="13"/>
        <v>6</v>
      </c>
      <c r="AI29" s="112">
        <f t="shared" si="17"/>
        <v>3</v>
      </c>
      <c r="AJ29" s="112">
        <f t="shared" si="24"/>
        <v>0.5</v>
      </c>
      <c r="AK29" s="112">
        <f t="shared" si="24"/>
        <v>140</v>
      </c>
      <c r="AL29" s="112">
        <f t="shared" si="24"/>
        <v>100</v>
      </c>
      <c r="AM29" s="112">
        <f t="shared" si="24"/>
        <v>55</v>
      </c>
      <c r="AN29" s="112">
        <f t="shared" si="24"/>
        <v>85</v>
      </c>
      <c r="AO29" s="112">
        <f t="shared" si="19"/>
        <v>7.8000000000000007</v>
      </c>
      <c r="AP29" s="115">
        <f t="shared" si="20"/>
        <v>0.39000000000000007</v>
      </c>
      <c r="AQ29" s="115">
        <f t="shared" si="16"/>
        <v>0.5</v>
      </c>
      <c r="AR29" s="115">
        <f t="shared" si="21"/>
        <v>5</v>
      </c>
      <c r="AS29" s="115">
        <f t="shared" si="14"/>
        <v>20</v>
      </c>
      <c r="AT29" s="115" t="str">
        <f t="shared" si="25"/>
        <v>F5/M-503</v>
      </c>
      <c r="AU29" s="112" t="str">
        <f t="shared" si="25"/>
        <v>1, 2</v>
      </c>
    </row>
    <row r="30" spans="2:52" ht="15" customHeight="1" x14ac:dyDescent="0.2">
      <c r="B30" s="160"/>
      <c r="C30" s="162" t="s">
        <v>142</v>
      </c>
      <c r="D30" s="167" t="s">
        <v>569</v>
      </c>
      <c r="E30" s="168">
        <v>2013</v>
      </c>
      <c r="F30" s="168">
        <v>232</v>
      </c>
      <c r="G30" s="173">
        <v>9.5</v>
      </c>
      <c r="H30" s="114">
        <f>VLOOKUP($N30,'UMC Table 4-A'!$A$10:$E$139,4,FALSE)</f>
        <v>4</v>
      </c>
      <c r="I30" s="114" t="str">
        <f>VLOOKUP($N30,'UMC Table 4-A'!$A$10:$E$139,5,FALSE)</f>
        <v>NR</v>
      </c>
      <c r="J30" s="111" t="str">
        <f t="shared" si="0"/>
        <v>-</v>
      </c>
      <c r="K30" s="116">
        <v>0</v>
      </c>
      <c r="L30" s="114">
        <f t="shared" si="1"/>
        <v>150</v>
      </c>
      <c r="M30" s="117">
        <f>F30</f>
        <v>232</v>
      </c>
      <c r="N30" s="114" t="s">
        <v>123</v>
      </c>
      <c r="O30" s="114" t="str">
        <f>VLOOKUP($N30,'UMC Table 4-A'!$A$10:$E$139,2,FALSE)</f>
        <v>NO REQUIREMENT FOR CONTINUOUS DIRECTIONAL CONTROL</v>
      </c>
      <c r="P30" s="112">
        <f>VLOOKUP($N30,'UMC Table 4-A'!$A$10:$E$139,3,FALSE)</f>
        <v>2</v>
      </c>
      <c r="Q30" s="152">
        <f t="shared" si="2"/>
        <v>80</v>
      </c>
      <c r="R30" s="112" t="str">
        <f>VLOOKUP($N30,'UMC Table 4-A'!$A$10:$E$139,5,FALSE)</f>
        <v>NR</v>
      </c>
      <c r="S30" s="113">
        <f t="shared" si="3"/>
        <v>235</v>
      </c>
      <c r="T30" s="137">
        <f t="shared" si="4"/>
        <v>235</v>
      </c>
      <c r="U30" s="137">
        <f t="shared" si="5"/>
        <v>235</v>
      </c>
      <c r="V30" s="137">
        <f t="shared" si="6"/>
        <v>0</v>
      </c>
      <c r="W30" s="89">
        <f t="shared" si="7"/>
        <v>0</v>
      </c>
      <c r="X30" s="31" t="str">
        <f t="shared" si="8"/>
        <v>Yes</v>
      </c>
      <c r="Y30" s="32">
        <f t="shared" si="9"/>
        <v>1.0129310344827587</v>
      </c>
      <c r="Z30" s="70">
        <f t="shared" si="10"/>
        <v>34.042553191489361</v>
      </c>
      <c r="AA30" s="32">
        <f t="shared" si="11"/>
        <v>6.3974591651542649</v>
      </c>
      <c r="AD30" s="113" t="s">
        <v>153</v>
      </c>
      <c r="AE30" s="113" t="s">
        <v>203</v>
      </c>
      <c r="AF30" s="113" t="s">
        <v>209</v>
      </c>
      <c r="AG30" s="112">
        <f t="shared" ref="AG30:AG44" si="26">SUMIF($C$8:$C$103,AD30,$T$8:$T$103)</f>
        <v>235</v>
      </c>
      <c r="AH30" s="112">
        <f t="shared" si="13"/>
        <v>6</v>
      </c>
      <c r="AI30" s="112">
        <f t="shared" si="17"/>
        <v>3</v>
      </c>
      <c r="AJ30" s="112">
        <f t="shared" si="24"/>
        <v>0.5</v>
      </c>
      <c r="AK30" s="112">
        <f t="shared" si="24"/>
        <v>140</v>
      </c>
      <c r="AL30" s="112">
        <f t="shared" si="24"/>
        <v>100</v>
      </c>
      <c r="AM30" s="112">
        <f t="shared" si="24"/>
        <v>55</v>
      </c>
      <c r="AN30" s="112">
        <f t="shared" si="24"/>
        <v>85</v>
      </c>
      <c r="AO30" s="112">
        <f t="shared" si="19"/>
        <v>7.6000000000000005</v>
      </c>
      <c r="AP30" s="115">
        <f t="shared" si="20"/>
        <v>0.38000000000000006</v>
      </c>
      <c r="AQ30" s="115">
        <f t="shared" si="16"/>
        <v>0.5</v>
      </c>
      <c r="AR30" s="115">
        <f t="shared" si="21"/>
        <v>5</v>
      </c>
      <c r="AS30" s="115">
        <f t="shared" si="14"/>
        <v>20</v>
      </c>
      <c r="AT30" s="115" t="str">
        <f t="shared" si="25"/>
        <v>F5/M-503</v>
      </c>
      <c r="AU30" s="112" t="str">
        <f t="shared" si="25"/>
        <v>1, 2</v>
      </c>
    </row>
    <row r="31" spans="2:52" ht="15" customHeight="1" x14ac:dyDescent="0.2">
      <c r="B31" s="160"/>
      <c r="C31" s="162" t="s">
        <v>142</v>
      </c>
      <c r="D31" s="148" t="s">
        <v>733</v>
      </c>
      <c r="E31" s="169" t="s">
        <v>773</v>
      </c>
      <c r="F31" s="169">
        <v>64</v>
      </c>
      <c r="G31" s="172">
        <v>8</v>
      </c>
      <c r="H31" s="114">
        <f>VLOOKUP($N31,'UMC Table 4-A'!$A$10:$E$139,4,FALSE)</f>
        <v>10</v>
      </c>
      <c r="I31" s="114" t="str">
        <f>VLOOKUP($N31,'UMC Table 4-A'!$A$10:$E$139,5,FALSE)</f>
        <v>YES</v>
      </c>
      <c r="J31" s="111">
        <f t="shared" si="0"/>
        <v>90</v>
      </c>
      <c r="K31" s="116">
        <v>0</v>
      </c>
      <c r="L31" s="114">
        <f t="shared" si="1"/>
        <v>90</v>
      </c>
      <c r="M31" s="117"/>
      <c r="N31" s="114" t="s">
        <v>94</v>
      </c>
      <c r="O31" s="114" t="str">
        <f>VLOOKUP($N31,'UMC Table 4-A'!$A$10:$E$139,2,FALSE)</f>
        <v>NEGATIVE</v>
      </c>
      <c r="P31" s="112" t="str">
        <f>VLOOKUP($N31,'UMC Table 4-A'!$A$10:$E$139,3,FALSE)</f>
        <v>NR</v>
      </c>
      <c r="Q31" s="152">
        <f t="shared" si="2"/>
        <v>0</v>
      </c>
      <c r="R31" s="112" t="str">
        <f>VLOOKUP($N31,'UMC Table 4-A'!$A$10:$E$139,5,FALSE)</f>
        <v>YES</v>
      </c>
      <c r="S31" s="113">
        <f t="shared" si="3"/>
        <v>0</v>
      </c>
      <c r="T31" s="137">
        <f t="shared" si="4"/>
        <v>0</v>
      </c>
      <c r="U31" s="137">
        <f t="shared" si="5"/>
        <v>0</v>
      </c>
      <c r="V31" s="137">
        <f t="shared" si="6"/>
        <v>90</v>
      </c>
      <c r="W31" s="89">
        <f t="shared" si="7"/>
        <v>-90</v>
      </c>
      <c r="X31" s="31" t="str">
        <f t="shared" si="8"/>
        <v>No</v>
      </c>
      <c r="Y31" s="32">
        <f t="shared" si="9"/>
        <v>0</v>
      </c>
      <c r="Z31" s="70" t="e">
        <f t="shared" si="10"/>
        <v>#DIV/0!</v>
      </c>
      <c r="AA31" s="32">
        <f t="shared" si="11"/>
        <v>0</v>
      </c>
      <c r="AD31" s="113" t="s">
        <v>154</v>
      </c>
      <c r="AE31" s="113" t="s">
        <v>203</v>
      </c>
      <c r="AF31" s="113" t="s">
        <v>209</v>
      </c>
      <c r="AG31" s="112">
        <f t="shared" si="26"/>
        <v>235</v>
      </c>
      <c r="AH31" s="112">
        <f t="shared" si="13"/>
        <v>6</v>
      </c>
      <c r="AI31" s="112">
        <f t="shared" si="17"/>
        <v>3</v>
      </c>
      <c r="AJ31" s="112">
        <f t="shared" si="24"/>
        <v>0.5</v>
      </c>
      <c r="AK31" s="112">
        <f t="shared" si="24"/>
        <v>140</v>
      </c>
      <c r="AL31" s="112">
        <f t="shared" si="24"/>
        <v>100</v>
      </c>
      <c r="AM31" s="112">
        <f t="shared" si="24"/>
        <v>55</v>
      </c>
      <c r="AN31" s="112">
        <f t="shared" si="24"/>
        <v>85</v>
      </c>
      <c r="AO31" s="112">
        <f t="shared" si="19"/>
        <v>7.6000000000000005</v>
      </c>
      <c r="AP31" s="115">
        <f t="shared" si="20"/>
        <v>0.38000000000000006</v>
      </c>
      <c r="AQ31" s="115">
        <f t="shared" si="16"/>
        <v>0.5</v>
      </c>
      <c r="AR31" s="115">
        <f t="shared" si="21"/>
        <v>5</v>
      </c>
      <c r="AS31" s="115">
        <f t="shared" si="14"/>
        <v>20</v>
      </c>
      <c r="AT31" s="115" t="str">
        <f t="shared" si="25"/>
        <v>F5/M-503</v>
      </c>
      <c r="AU31" s="112" t="str">
        <f t="shared" si="25"/>
        <v>1, 2</v>
      </c>
    </row>
    <row r="32" spans="2:52" ht="15" customHeight="1" x14ac:dyDescent="0.2">
      <c r="B32" s="160"/>
      <c r="C32" s="162" t="s">
        <v>143</v>
      </c>
      <c r="D32" s="167" t="s">
        <v>569</v>
      </c>
      <c r="E32" s="168">
        <v>2012</v>
      </c>
      <c r="F32" s="168">
        <v>232</v>
      </c>
      <c r="G32" s="173">
        <v>9.5</v>
      </c>
      <c r="H32" s="114">
        <f>VLOOKUP($N32,'UMC Table 4-A'!$A$10:$E$139,4,FALSE)</f>
        <v>4</v>
      </c>
      <c r="I32" s="114" t="str">
        <f>VLOOKUP($N32,'UMC Table 4-A'!$A$10:$E$139,5,FALSE)</f>
        <v>NR</v>
      </c>
      <c r="J32" s="111" t="str">
        <f t="shared" si="0"/>
        <v>-</v>
      </c>
      <c r="K32" s="116">
        <v>0</v>
      </c>
      <c r="L32" s="114">
        <f t="shared" si="1"/>
        <v>150</v>
      </c>
      <c r="M32" s="117">
        <f>F32</f>
        <v>232</v>
      </c>
      <c r="N32" s="114" t="s">
        <v>123</v>
      </c>
      <c r="O32" s="114" t="str">
        <f>VLOOKUP($N32,'UMC Table 4-A'!$A$10:$E$139,2,FALSE)</f>
        <v>NO REQUIREMENT FOR CONTINUOUS DIRECTIONAL CONTROL</v>
      </c>
      <c r="P32" s="112">
        <f>VLOOKUP($N32,'UMC Table 4-A'!$A$10:$E$139,3,FALSE)</f>
        <v>2</v>
      </c>
      <c r="Q32" s="152">
        <f t="shared" si="2"/>
        <v>80</v>
      </c>
      <c r="R32" s="112" t="str">
        <f>VLOOKUP($N32,'UMC Table 4-A'!$A$10:$E$139,5,FALSE)</f>
        <v>NR</v>
      </c>
      <c r="S32" s="113">
        <f t="shared" si="3"/>
        <v>235</v>
      </c>
      <c r="T32" s="137">
        <f t="shared" si="4"/>
        <v>235</v>
      </c>
      <c r="U32" s="137">
        <f t="shared" si="5"/>
        <v>235</v>
      </c>
      <c r="V32" s="137">
        <f t="shared" si="6"/>
        <v>0</v>
      </c>
      <c r="W32" s="89">
        <f t="shared" si="7"/>
        <v>0</v>
      </c>
      <c r="X32" s="31" t="str">
        <f t="shared" si="8"/>
        <v>Yes</v>
      </c>
      <c r="Y32" s="32">
        <f t="shared" si="9"/>
        <v>1.0129310344827587</v>
      </c>
      <c r="Z32" s="70">
        <f t="shared" si="10"/>
        <v>34.042553191489361</v>
      </c>
      <c r="AA32" s="32">
        <f t="shared" si="11"/>
        <v>6.3974591651542649</v>
      </c>
      <c r="AD32" s="113" t="s">
        <v>155</v>
      </c>
      <c r="AE32" s="113" t="s">
        <v>203</v>
      </c>
      <c r="AF32" s="113" t="s">
        <v>209</v>
      </c>
      <c r="AG32" s="112">
        <f t="shared" si="26"/>
        <v>225</v>
      </c>
      <c r="AH32" s="112">
        <f t="shared" si="13"/>
        <v>6</v>
      </c>
      <c r="AI32" s="112">
        <f t="shared" si="17"/>
        <v>3</v>
      </c>
      <c r="AJ32" s="112">
        <f t="shared" si="24"/>
        <v>0.5</v>
      </c>
      <c r="AK32" s="112">
        <f t="shared" si="24"/>
        <v>140</v>
      </c>
      <c r="AL32" s="112">
        <f t="shared" si="24"/>
        <v>100</v>
      </c>
      <c r="AM32" s="112">
        <f t="shared" si="24"/>
        <v>55</v>
      </c>
      <c r="AN32" s="112">
        <f t="shared" si="24"/>
        <v>85</v>
      </c>
      <c r="AO32" s="112">
        <f t="shared" si="19"/>
        <v>7.3000000000000007</v>
      </c>
      <c r="AP32" s="115">
        <f t="shared" si="20"/>
        <v>0.36500000000000005</v>
      </c>
      <c r="AQ32" s="115">
        <f t="shared" si="16"/>
        <v>0.5</v>
      </c>
      <c r="AR32" s="115">
        <f t="shared" si="21"/>
        <v>5</v>
      </c>
      <c r="AS32" s="115">
        <f t="shared" si="14"/>
        <v>20</v>
      </c>
      <c r="AT32" s="115" t="str">
        <f t="shared" si="25"/>
        <v>F5/M-503</v>
      </c>
      <c r="AU32" s="112" t="str">
        <f t="shared" si="25"/>
        <v>1, 2</v>
      </c>
    </row>
    <row r="33" spans="2:48" ht="15" customHeight="1" x14ac:dyDescent="0.2">
      <c r="B33" s="160"/>
      <c r="C33" s="162" t="s">
        <v>143</v>
      </c>
      <c r="D33" s="148" t="s">
        <v>733</v>
      </c>
      <c r="E33" s="169" t="s">
        <v>774</v>
      </c>
      <c r="F33" s="169">
        <v>64</v>
      </c>
      <c r="G33" s="172">
        <v>8</v>
      </c>
      <c r="H33" s="114">
        <f>VLOOKUP($N33,'UMC Table 4-A'!$A$10:$E$139,4,FALSE)</f>
        <v>10</v>
      </c>
      <c r="I33" s="114" t="str">
        <f>VLOOKUP($N33,'UMC Table 4-A'!$A$10:$E$139,5,FALSE)</f>
        <v>YES</v>
      </c>
      <c r="J33" s="111">
        <f t="shared" si="0"/>
        <v>90</v>
      </c>
      <c r="K33" s="116">
        <v>0</v>
      </c>
      <c r="L33" s="114">
        <f t="shared" si="1"/>
        <v>90</v>
      </c>
      <c r="M33" s="117"/>
      <c r="N33" s="114" t="s">
        <v>94</v>
      </c>
      <c r="O33" s="114" t="str">
        <f>VLOOKUP($N33,'UMC Table 4-A'!$A$10:$E$139,2,FALSE)</f>
        <v>NEGATIVE</v>
      </c>
      <c r="P33" s="112" t="str">
        <f>VLOOKUP($N33,'UMC Table 4-A'!$A$10:$E$139,3,FALSE)</f>
        <v>NR</v>
      </c>
      <c r="Q33" s="152">
        <f t="shared" si="2"/>
        <v>0</v>
      </c>
      <c r="R33" s="112" t="str">
        <f>VLOOKUP($N33,'UMC Table 4-A'!$A$10:$E$139,5,FALSE)</f>
        <v>YES</v>
      </c>
      <c r="S33" s="113">
        <f t="shared" si="3"/>
        <v>0</v>
      </c>
      <c r="T33" s="137">
        <f t="shared" si="4"/>
        <v>0</v>
      </c>
      <c r="U33" s="137">
        <f t="shared" si="5"/>
        <v>0</v>
      </c>
      <c r="V33" s="137">
        <f t="shared" si="6"/>
        <v>90</v>
      </c>
      <c r="W33" s="89">
        <f t="shared" si="7"/>
        <v>-90</v>
      </c>
      <c r="X33" s="31" t="str">
        <f t="shared" si="8"/>
        <v>No</v>
      </c>
      <c r="Y33" s="32">
        <f t="shared" si="9"/>
        <v>0</v>
      </c>
      <c r="Z33" s="70" t="e">
        <f t="shared" si="10"/>
        <v>#DIV/0!</v>
      </c>
      <c r="AA33" s="32">
        <f t="shared" si="11"/>
        <v>0</v>
      </c>
      <c r="AD33" s="113" t="s">
        <v>156</v>
      </c>
      <c r="AE33" s="113" t="s">
        <v>203</v>
      </c>
      <c r="AF33" s="113" t="s">
        <v>209</v>
      </c>
      <c r="AG33" s="112">
        <f t="shared" si="26"/>
        <v>620</v>
      </c>
      <c r="AH33" s="112">
        <f t="shared" si="13"/>
        <v>8</v>
      </c>
      <c r="AI33" s="112">
        <f t="shared" si="17"/>
        <v>4</v>
      </c>
      <c r="AJ33" s="112">
        <f t="shared" si="24"/>
        <v>0.5</v>
      </c>
      <c r="AK33" s="112">
        <f t="shared" si="24"/>
        <v>140</v>
      </c>
      <c r="AL33" s="112">
        <f t="shared" si="24"/>
        <v>100</v>
      </c>
      <c r="AM33" s="112">
        <f t="shared" si="24"/>
        <v>55</v>
      </c>
      <c r="AN33" s="112">
        <f t="shared" si="24"/>
        <v>85</v>
      </c>
      <c r="AO33" s="112">
        <f t="shared" si="19"/>
        <v>20.100000000000001</v>
      </c>
      <c r="AP33" s="115">
        <f t="shared" si="20"/>
        <v>1.0049999999999999</v>
      </c>
      <c r="AQ33" s="115">
        <f t="shared" si="16"/>
        <v>1.0049999999999999</v>
      </c>
      <c r="AR33" s="115">
        <f t="shared" si="21"/>
        <v>5</v>
      </c>
      <c r="AS33" s="115">
        <f t="shared" si="14"/>
        <v>25</v>
      </c>
      <c r="AT33" s="115" t="str">
        <f t="shared" si="25"/>
        <v>F5/M-503</v>
      </c>
      <c r="AU33" s="112" t="str">
        <f t="shared" si="25"/>
        <v>1, 2</v>
      </c>
    </row>
    <row r="34" spans="2:48" ht="15" customHeight="1" x14ac:dyDescent="0.2">
      <c r="B34" s="160"/>
      <c r="C34" s="162" t="s">
        <v>144</v>
      </c>
      <c r="D34" s="167" t="s">
        <v>569</v>
      </c>
      <c r="E34" s="168">
        <v>2011</v>
      </c>
      <c r="F34" s="168">
        <v>222</v>
      </c>
      <c r="G34" s="173">
        <v>9.5</v>
      </c>
      <c r="H34" s="114">
        <f>VLOOKUP($N34,'UMC Table 4-A'!$A$10:$E$139,4,FALSE)</f>
        <v>4</v>
      </c>
      <c r="I34" s="114" t="str">
        <f>VLOOKUP($N34,'UMC Table 4-A'!$A$10:$E$139,5,FALSE)</f>
        <v>NR</v>
      </c>
      <c r="J34" s="111" t="str">
        <f t="shared" si="0"/>
        <v>-</v>
      </c>
      <c r="K34" s="116">
        <v>0</v>
      </c>
      <c r="L34" s="114">
        <f t="shared" si="1"/>
        <v>150</v>
      </c>
      <c r="M34" s="117">
        <f>F34</f>
        <v>222</v>
      </c>
      <c r="N34" s="114" t="s">
        <v>123</v>
      </c>
      <c r="O34" s="114" t="str">
        <f>VLOOKUP($N34,'UMC Table 4-A'!$A$10:$E$139,2,FALSE)</f>
        <v>NO REQUIREMENT FOR CONTINUOUS DIRECTIONAL CONTROL</v>
      </c>
      <c r="P34" s="112">
        <f>VLOOKUP($N34,'UMC Table 4-A'!$A$10:$E$139,3,FALSE)</f>
        <v>2</v>
      </c>
      <c r="Q34" s="152">
        <f t="shared" si="2"/>
        <v>80</v>
      </c>
      <c r="R34" s="112" t="str">
        <f>VLOOKUP($N34,'UMC Table 4-A'!$A$10:$E$139,5,FALSE)</f>
        <v>NR</v>
      </c>
      <c r="S34" s="113">
        <f t="shared" si="3"/>
        <v>225</v>
      </c>
      <c r="T34" s="137">
        <f t="shared" si="4"/>
        <v>225</v>
      </c>
      <c r="U34" s="137">
        <f t="shared" si="5"/>
        <v>225</v>
      </c>
      <c r="V34" s="137">
        <f t="shared" si="6"/>
        <v>0</v>
      </c>
      <c r="W34" s="89">
        <f t="shared" si="7"/>
        <v>0</v>
      </c>
      <c r="X34" s="31" t="str">
        <f t="shared" si="8"/>
        <v>Yes</v>
      </c>
      <c r="Y34" s="32">
        <f t="shared" si="9"/>
        <v>1.0135135135135136</v>
      </c>
      <c r="Z34" s="70">
        <f t="shared" si="10"/>
        <v>35.555555555555557</v>
      </c>
      <c r="AA34" s="32">
        <f t="shared" si="11"/>
        <v>6.4011379800853492</v>
      </c>
      <c r="AD34" s="113" t="s">
        <v>157</v>
      </c>
      <c r="AE34" s="113" t="s">
        <v>203</v>
      </c>
      <c r="AF34" s="113" t="s">
        <v>209</v>
      </c>
      <c r="AG34" s="112">
        <f t="shared" si="26"/>
        <v>240</v>
      </c>
      <c r="AH34" s="112">
        <f t="shared" si="13"/>
        <v>6</v>
      </c>
      <c r="AI34" s="112">
        <f t="shared" si="17"/>
        <v>3</v>
      </c>
      <c r="AJ34" s="112">
        <f t="shared" si="24"/>
        <v>0.5</v>
      </c>
      <c r="AK34" s="112">
        <f t="shared" si="24"/>
        <v>140</v>
      </c>
      <c r="AL34" s="112">
        <f t="shared" si="24"/>
        <v>100</v>
      </c>
      <c r="AM34" s="112">
        <f t="shared" si="24"/>
        <v>55</v>
      </c>
      <c r="AN34" s="112">
        <f t="shared" si="24"/>
        <v>85</v>
      </c>
      <c r="AO34" s="112">
        <f t="shared" si="19"/>
        <v>7.8000000000000007</v>
      </c>
      <c r="AP34" s="115">
        <f t="shared" si="20"/>
        <v>0.39000000000000007</v>
      </c>
      <c r="AQ34" s="115">
        <f t="shared" si="16"/>
        <v>0.5</v>
      </c>
      <c r="AR34" s="115">
        <f t="shared" si="21"/>
        <v>5</v>
      </c>
      <c r="AS34" s="115">
        <f t="shared" si="14"/>
        <v>20</v>
      </c>
      <c r="AT34" s="115" t="str">
        <f>AT33</f>
        <v>F5/M-503</v>
      </c>
      <c r="AU34" s="112" t="str">
        <f t="shared" si="25"/>
        <v>1, 2</v>
      </c>
    </row>
    <row r="35" spans="2:48" ht="15" customHeight="1" x14ac:dyDescent="0.2">
      <c r="B35" s="160"/>
      <c r="C35" s="162" t="s">
        <v>144</v>
      </c>
      <c r="D35" s="148" t="s">
        <v>733</v>
      </c>
      <c r="E35" s="169" t="s">
        <v>775</v>
      </c>
      <c r="F35" s="169">
        <v>64</v>
      </c>
      <c r="G35" s="172">
        <v>8</v>
      </c>
      <c r="H35" s="114">
        <f>VLOOKUP($N35,'UMC Table 4-A'!$A$10:$E$139,4,FALSE)</f>
        <v>10</v>
      </c>
      <c r="I35" s="114" t="str">
        <f>VLOOKUP($N35,'UMC Table 4-A'!$A$10:$E$139,5,FALSE)</f>
        <v>YES</v>
      </c>
      <c r="J35" s="111">
        <f t="shared" si="0"/>
        <v>90</v>
      </c>
      <c r="K35" s="116">
        <v>0</v>
      </c>
      <c r="L35" s="114">
        <f t="shared" si="1"/>
        <v>90</v>
      </c>
      <c r="M35" s="117"/>
      <c r="N35" s="114" t="s">
        <v>94</v>
      </c>
      <c r="O35" s="114" t="str">
        <f>VLOOKUP($N35,'UMC Table 4-A'!$A$10:$E$139,2,FALSE)</f>
        <v>NEGATIVE</v>
      </c>
      <c r="P35" s="112" t="str">
        <f>VLOOKUP($N35,'UMC Table 4-A'!$A$10:$E$139,3,FALSE)</f>
        <v>NR</v>
      </c>
      <c r="Q35" s="152">
        <f t="shared" si="2"/>
        <v>0</v>
      </c>
      <c r="R35" s="112" t="str">
        <f>VLOOKUP($N35,'UMC Table 4-A'!$A$10:$E$139,5,FALSE)</f>
        <v>YES</v>
      </c>
      <c r="S35" s="113">
        <f t="shared" si="3"/>
        <v>0</v>
      </c>
      <c r="T35" s="137">
        <f t="shared" si="4"/>
        <v>0</v>
      </c>
      <c r="U35" s="137">
        <f t="shared" si="5"/>
        <v>0</v>
      </c>
      <c r="V35" s="137">
        <f t="shared" si="6"/>
        <v>90</v>
      </c>
      <c r="W35" s="89">
        <f t="shared" si="7"/>
        <v>-90</v>
      </c>
      <c r="X35" s="31" t="str">
        <f t="shared" si="8"/>
        <v>No</v>
      </c>
      <c r="Y35" s="32">
        <f t="shared" si="9"/>
        <v>0</v>
      </c>
      <c r="Z35" s="70" t="e">
        <f t="shared" si="10"/>
        <v>#DIV/0!</v>
      </c>
      <c r="AA35" s="32">
        <f t="shared" si="11"/>
        <v>0</v>
      </c>
      <c r="AD35" s="113" t="s">
        <v>158</v>
      </c>
      <c r="AE35" s="113" t="s">
        <v>203</v>
      </c>
      <c r="AF35" s="113" t="s">
        <v>209</v>
      </c>
      <c r="AG35" s="112">
        <f t="shared" si="26"/>
        <v>235</v>
      </c>
      <c r="AH35" s="112">
        <f t="shared" si="13"/>
        <v>6</v>
      </c>
      <c r="AI35" s="112">
        <f t="shared" si="17"/>
        <v>3</v>
      </c>
      <c r="AJ35" s="112">
        <f t="shared" si="24"/>
        <v>0.5</v>
      </c>
      <c r="AK35" s="112">
        <f t="shared" si="24"/>
        <v>140</v>
      </c>
      <c r="AL35" s="112">
        <f t="shared" si="24"/>
        <v>100</v>
      </c>
      <c r="AM35" s="112">
        <f t="shared" si="24"/>
        <v>55</v>
      </c>
      <c r="AN35" s="112">
        <f t="shared" si="24"/>
        <v>85</v>
      </c>
      <c r="AO35" s="112">
        <f t="shared" si="19"/>
        <v>7.6000000000000005</v>
      </c>
      <c r="AP35" s="115">
        <f t="shared" si="20"/>
        <v>0.38000000000000006</v>
      </c>
      <c r="AQ35" s="115">
        <f t="shared" si="16"/>
        <v>0.5</v>
      </c>
      <c r="AR35" s="115">
        <f t="shared" si="21"/>
        <v>5</v>
      </c>
      <c r="AS35" s="115">
        <f t="shared" si="14"/>
        <v>20</v>
      </c>
      <c r="AT35" s="115" t="str">
        <f t="shared" si="25"/>
        <v>F5/M-503</v>
      </c>
      <c r="AU35" s="112" t="str">
        <f t="shared" si="25"/>
        <v>1, 2</v>
      </c>
    </row>
    <row r="36" spans="2:48" ht="15" customHeight="1" x14ac:dyDescent="0.2">
      <c r="B36" s="160"/>
      <c r="C36" s="162" t="s">
        <v>145</v>
      </c>
      <c r="D36" s="167" t="s">
        <v>569</v>
      </c>
      <c r="E36" s="168">
        <v>2010</v>
      </c>
      <c r="F36" s="168">
        <v>229</v>
      </c>
      <c r="G36" s="173">
        <v>9.5</v>
      </c>
      <c r="H36" s="114">
        <f>VLOOKUP($N36,'UMC Table 4-A'!$A$10:$E$139,4,FALSE)</f>
        <v>4</v>
      </c>
      <c r="I36" s="114" t="str">
        <f>VLOOKUP($N36,'UMC Table 4-A'!$A$10:$E$139,5,FALSE)</f>
        <v>NR</v>
      </c>
      <c r="J36" s="111" t="str">
        <f t="shared" si="0"/>
        <v>-</v>
      </c>
      <c r="K36" s="116">
        <v>0</v>
      </c>
      <c r="L36" s="114">
        <f t="shared" si="1"/>
        <v>150</v>
      </c>
      <c r="M36" s="117">
        <f>F36</f>
        <v>229</v>
      </c>
      <c r="N36" s="114" t="s">
        <v>123</v>
      </c>
      <c r="O36" s="114" t="str">
        <f>VLOOKUP($N36,'UMC Table 4-A'!$A$10:$E$139,2,FALSE)</f>
        <v>NO REQUIREMENT FOR CONTINUOUS DIRECTIONAL CONTROL</v>
      </c>
      <c r="P36" s="112">
        <f>VLOOKUP($N36,'UMC Table 4-A'!$A$10:$E$139,3,FALSE)</f>
        <v>2</v>
      </c>
      <c r="Q36" s="152">
        <f t="shared" si="2"/>
        <v>80</v>
      </c>
      <c r="R36" s="112" t="str">
        <f>VLOOKUP($N36,'UMC Table 4-A'!$A$10:$E$139,5,FALSE)</f>
        <v>NR</v>
      </c>
      <c r="S36" s="113">
        <f t="shared" si="3"/>
        <v>230</v>
      </c>
      <c r="T36" s="137">
        <f t="shared" si="4"/>
        <v>230</v>
      </c>
      <c r="U36" s="137">
        <f t="shared" si="5"/>
        <v>230</v>
      </c>
      <c r="V36" s="137">
        <f t="shared" si="6"/>
        <v>0</v>
      </c>
      <c r="W36" s="89">
        <f t="shared" si="7"/>
        <v>0</v>
      </c>
      <c r="X36" s="31" t="str">
        <f t="shared" si="8"/>
        <v>Yes</v>
      </c>
      <c r="Y36" s="32">
        <f t="shared" si="9"/>
        <v>1.0043668122270741</v>
      </c>
      <c r="Z36" s="70">
        <f t="shared" si="10"/>
        <v>34.782608695652172</v>
      </c>
      <c r="AA36" s="32">
        <f t="shared" si="11"/>
        <v>6.3433693403815212</v>
      </c>
      <c r="AD36" s="113" t="s">
        <v>159</v>
      </c>
      <c r="AE36" s="113" t="s">
        <v>203</v>
      </c>
      <c r="AF36" s="113" t="s">
        <v>209</v>
      </c>
      <c r="AG36" s="112">
        <f t="shared" si="26"/>
        <v>235</v>
      </c>
      <c r="AH36" s="112">
        <f t="shared" si="13"/>
        <v>6</v>
      </c>
      <c r="AI36" s="112">
        <f t="shared" si="17"/>
        <v>3</v>
      </c>
      <c r="AJ36" s="112">
        <f t="shared" si="24"/>
        <v>0.5</v>
      </c>
      <c r="AK36" s="112">
        <f t="shared" si="24"/>
        <v>140</v>
      </c>
      <c r="AL36" s="112">
        <f t="shared" si="24"/>
        <v>100</v>
      </c>
      <c r="AM36" s="112">
        <f t="shared" si="24"/>
        <v>55</v>
      </c>
      <c r="AN36" s="112">
        <f t="shared" si="24"/>
        <v>85</v>
      </c>
      <c r="AO36" s="112">
        <f t="shared" si="19"/>
        <v>7.6000000000000005</v>
      </c>
      <c r="AP36" s="115">
        <f t="shared" si="20"/>
        <v>0.38000000000000006</v>
      </c>
      <c r="AQ36" s="115">
        <f t="shared" si="16"/>
        <v>0.5</v>
      </c>
      <c r="AR36" s="115">
        <f t="shared" si="21"/>
        <v>5</v>
      </c>
      <c r="AS36" s="115">
        <f t="shared" si="14"/>
        <v>20</v>
      </c>
      <c r="AT36" s="115" t="str">
        <f t="shared" si="25"/>
        <v>F5/M-503</v>
      </c>
      <c r="AU36" s="112" t="str">
        <f t="shared" si="25"/>
        <v>1, 2</v>
      </c>
    </row>
    <row r="37" spans="2:48" ht="15" customHeight="1" x14ac:dyDescent="0.2">
      <c r="B37" s="160"/>
      <c r="C37" s="162" t="s">
        <v>145</v>
      </c>
      <c r="D37" s="148" t="s">
        <v>733</v>
      </c>
      <c r="E37" s="169" t="s">
        <v>776</v>
      </c>
      <c r="F37" s="169">
        <v>64</v>
      </c>
      <c r="G37" s="172">
        <v>8</v>
      </c>
      <c r="H37" s="114">
        <f>VLOOKUP($N37,'UMC Table 4-A'!$A$10:$E$139,4,FALSE)</f>
        <v>10</v>
      </c>
      <c r="I37" s="114" t="str">
        <f>VLOOKUP($N37,'UMC Table 4-A'!$A$10:$E$139,5,FALSE)</f>
        <v>YES</v>
      </c>
      <c r="J37" s="111">
        <f t="shared" si="0"/>
        <v>90</v>
      </c>
      <c r="K37" s="116">
        <v>0</v>
      </c>
      <c r="L37" s="114">
        <f t="shared" si="1"/>
        <v>90</v>
      </c>
      <c r="M37" s="117"/>
      <c r="N37" s="114" t="s">
        <v>94</v>
      </c>
      <c r="O37" s="114" t="str">
        <f>VLOOKUP($N37,'UMC Table 4-A'!$A$10:$E$139,2,FALSE)</f>
        <v>NEGATIVE</v>
      </c>
      <c r="P37" s="112" t="str">
        <f>VLOOKUP($N37,'UMC Table 4-A'!$A$10:$E$139,3,FALSE)</f>
        <v>NR</v>
      </c>
      <c r="Q37" s="152">
        <f t="shared" si="2"/>
        <v>0</v>
      </c>
      <c r="R37" s="112" t="str">
        <f>VLOOKUP($N37,'UMC Table 4-A'!$A$10:$E$139,5,FALSE)</f>
        <v>YES</v>
      </c>
      <c r="S37" s="113">
        <f t="shared" si="3"/>
        <v>0</v>
      </c>
      <c r="T37" s="137">
        <f t="shared" si="4"/>
        <v>0</v>
      </c>
      <c r="U37" s="137">
        <f t="shared" si="5"/>
        <v>0</v>
      </c>
      <c r="V37" s="137">
        <f t="shared" si="6"/>
        <v>90</v>
      </c>
      <c r="W37" s="89">
        <f t="shared" si="7"/>
        <v>-90</v>
      </c>
      <c r="X37" s="31" t="str">
        <f t="shared" si="8"/>
        <v>No</v>
      </c>
      <c r="Y37" s="32">
        <f t="shared" si="9"/>
        <v>0</v>
      </c>
      <c r="Z37" s="70" t="e">
        <f t="shared" si="10"/>
        <v>#DIV/0!</v>
      </c>
      <c r="AA37" s="32">
        <f t="shared" si="11"/>
        <v>0</v>
      </c>
      <c r="AD37" s="113" t="s">
        <v>160</v>
      </c>
      <c r="AE37" s="113" t="s">
        <v>203</v>
      </c>
      <c r="AF37" s="113" t="s">
        <v>209</v>
      </c>
      <c r="AG37" s="112">
        <f t="shared" si="26"/>
        <v>235</v>
      </c>
      <c r="AH37" s="112">
        <f t="shared" si="13"/>
        <v>6</v>
      </c>
      <c r="AI37" s="112">
        <f t="shared" si="17"/>
        <v>3</v>
      </c>
      <c r="AJ37" s="112">
        <f t="shared" si="24"/>
        <v>0.5</v>
      </c>
      <c r="AK37" s="112">
        <f t="shared" si="24"/>
        <v>140</v>
      </c>
      <c r="AL37" s="112">
        <f t="shared" si="24"/>
        <v>100</v>
      </c>
      <c r="AM37" s="112">
        <f t="shared" si="24"/>
        <v>55</v>
      </c>
      <c r="AN37" s="112">
        <f t="shared" si="24"/>
        <v>85</v>
      </c>
      <c r="AO37" s="112">
        <f t="shared" si="19"/>
        <v>7.6000000000000005</v>
      </c>
      <c r="AP37" s="115">
        <f t="shared" si="20"/>
        <v>0.38000000000000006</v>
      </c>
      <c r="AQ37" s="115">
        <f t="shared" si="16"/>
        <v>0.5</v>
      </c>
      <c r="AR37" s="115">
        <f t="shared" si="21"/>
        <v>5</v>
      </c>
      <c r="AS37" s="115">
        <f t="shared" si="14"/>
        <v>20</v>
      </c>
      <c r="AT37" s="115" t="str">
        <f t="shared" si="25"/>
        <v>F5/M-503</v>
      </c>
      <c r="AU37" s="112" t="str">
        <f t="shared" si="25"/>
        <v>1, 2</v>
      </c>
    </row>
    <row r="38" spans="2:48" ht="15" customHeight="1" x14ac:dyDescent="0.2">
      <c r="B38" s="160"/>
      <c r="C38" s="162" t="s">
        <v>146</v>
      </c>
      <c r="D38" s="167" t="s">
        <v>461</v>
      </c>
      <c r="E38" s="168" t="s">
        <v>572</v>
      </c>
      <c r="F38" s="168">
        <v>810</v>
      </c>
      <c r="G38" s="172">
        <v>9</v>
      </c>
      <c r="H38" s="114">
        <f>VLOOKUP($N38,'UMC Table 4-A'!$A$10:$E$139,4,FALSE)</f>
        <v>2</v>
      </c>
      <c r="I38" s="114" t="str">
        <f>VLOOKUP($N38,'UMC Table 4-A'!$A$10:$E$139,5,FALSE)</f>
        <v>NR</v>
      </c>
      <c r="J38" s="111" t="str">
        <f t="shared" si="0"/>
        <v>-</v>
      </c>
      <c r="K38" s="116">
        <v>0</v>
      </c>
      <c r="L38" s="152">
        <f t="shared" si="1"/>
        <v>250</v>
      </c>
      <c r="M38" s="117">
        <f>F38</f>
        <v>810</v>
      </c>
      <c r="N38" s="114" t="s">
        <v>115</v>
      </c>
      <c r="O38" s="114" t="str">
        <f>VLOOKUP($N38,'UMC Table 4-A'!$A$10:$E$139,2,FALSE)</f>
        <v>NO REQUIREMENT FOR CONTINUOUS DIRECTIONAL CONTROL</v>
      </c>
      <c r="P38" s="112" t="str">
        <f>VLOOKUP($N38,'UMC Table 4-A'!$A$10:$E$139,3,FALSE)</f>
        <v>NR</v>
      </c>
      <c r="Q38" s="152">
        <f t="shared" si="2"/>
        <v>0</v>
      </c>
      <c r="R38" s="112" t="str">
        <f>VLOOKUP($N38,'UMC Table 4-A'!$A$10:$E$139,5,FALSE)</f>
        <v>NR</v>
      </c>
      <c r="S38" s="113">
        <f t="shared" si="3"/>
        <v>810</v>
      </c>
      <c r="T38" s="137">
        <f t="shared" si="4"/>
        <v>810</v>
      </c>
      <c r="U38" s="137">
        <f t="shared" si="5"/>
        <v>810</v>
      </c>
      <c r="V38" s="137">
        <f t="shared" si="6"/>
        <v>0</v>
      </c>
      <c r="W38" s="89">
        <f t="shared" si="7"/>
        <v>0</v>
      </c>
      <c r="X38" s="31" t="str">
        <f t="shared" si="8"/>
        <v>Yes</v>
      </c>
      <c r="Y38" s="32">
        <f t="shared" si="9"/>
        <v>1</v>
      </c>
      <c r="Z38" s="70">
        <f t="shared" si="10"/>
        <v>0</v>
      </c>
      <c r="AA38" s="32">
        <f t="shared" si="11"/>
        <v>6.6666666666666661</v>
      </c>
      <c r="AD38" s="113" t="s">
        <v>161</v>
      </c>
      <c r="AE38" s="113" t="s">
        <v>203</v>
      </c>
      <c r="AF38" s="113" t="s">
        <v>209</v>
      </c>
      <c r="AG38" s="112">
        <f t="shared" si="26"/>
        <v>225</v>
      </c>
      <c r="AH38" s="112">
        <f t="shared" si="13"/>
        <v>6</v>
      </c>
      <c r="AI38" s="112">
        <f t="shared" si="17"/>
        <v>3</v>
      </c>
      <c r="AJ38" s="112">
        <f t="shared" si="24"/>
        <v>0.5</v>
      </c>
      <c r="AK38" s="112">
        <f t="shared" si="24"/>
        <v>140</v>
      </c>
      <c r="AL38" s="112">
        <f t="shared" si="24"/>
        <v>100</v>
      </c>
      <c r="AM38" s="112">
        <f t="shared" si="24"/>
        <v>55</v>
      </c>
      <c r="AN38" s="112">
        <f t="shared" si="24"/>
        <v>85</v>
      </c>
      <c r="AO38" s="112">
        <f t="shared" si="19"/>
        <v>7.3000000000000007</v>
      </c>
      <c r="AP38" s="115">
        <f t="shared" si="20"/>
        <v>0.36500000000000005</v>
      </c>
      <c r="AQ38" s="115">
        <f t="shared" si="16"/>
        <v>0.5</v>
      </c>
      <c r="AR38" s="115">
        <f t="shared" si="21"/>
        <v>5</v>
      </c>
      <c r="AS38" s="115">
        <f t="shared" si="14"/>
        <v>20</v>
      </c>
      <c r="AT38" s="115" t="str">
        <f t="shared" si="25"/>
        <v>F5/M-503</v>
      </c>
      <c r="AU38" s="112" t="str">
        <f t="shared" si="25"/>
        <v>1, 2</v>
      </c>
    </row>
    <row r="39" spans="2:48" ht="15" customHeight="1" x14ac:dyDescent="0.2">
      <c r="B39" s="160"/>
      <c r="C39" s="162" t="s">
        <v>146</v>
      </c>
      <c r="D39" s="148" t="s">
        <v>682</v>
      </c>
      <c r="E39" s="169" t="s">
        <v>753</v>
      </c>
      <c r="F39" s="169">
        <v>72</v>
      </c>
      <c r="G39" s="172">
        <v>8</v>
      </c>
      <c r="H39" s="114">
        <f>VLOOKUP($N39,'UMC Table 4-A'!$A$10:$E$139,4,FALSE)</f>
        <v>10</v>
      </c>
      <c r="I39" s="114" t="str">
        <f>VLOOKUP($N39,'UMC Table 4-A'!$A$10:$E$139,5,FALSE)</f>
        <v>YES</v>
      </c>
      <c r="J39" s="111">
        <f t="shared" si="0"/>
        <v>100</v>
      </c>
      <c r="K39" s="116">
        <v>0</v>
      </c>
      <c r="L39" s="152">
        <f t="shared" si="1"/>
        <v>100</v>
      </c>
      <c r="M39" s="117"/>
      <c r="N39" s="114" t="s">
        <v>94</v>
      </c>
      <c r="O39" s="114" t="str">
        <f>VLOOKUP($N39,'UMC Table 4-A'!$A$10:$E$139,2,FALSE)</f>
        <v>NEGATIVE</v>
      </c>
      <c r="P39" s="112" t="str">
        <f>VLOOKUP($N39,'UMC Table 4-A'!$A$10:$E$139,3,FALSE)</f>
        <v>NR</v>
      </c>
      <c r="Q39" s="152">
        <f t="shared" si="2"/>
        <v>0</v>
      </c>
      <c r="R39" s="112" t="str">
        <f>VLOOKUP($N39,'UMC Table 4-A'!$A$10:$E$139,5,FALSE)</f>
        <v>YES</v>
      </c>
      <c r="S39" s="113">
        <f t="shared" si="3"/>
        <v>0</v>
      </c>
      <c r="T39" s="137">
        <f t="shared" si="4"/>
        <v>0</v>
      </c>
      <c r="U39" s="137">
        <f t="shared" si="5"/>
        <v>0</v>
      </c>
      <c r="V39" s="137">
        <f t="shared" si="6"/>
        <v>100</v>
      </c>
      <c r="W39" s="89">
        <f t="shared" si="7"/>
        <v>-100</v>
      </c>
      <c r="X39" s="31" t="str">
        <f t="shared" si="8"/>
        <v>No</v>
      </c>
      <c r="Y39" s="32">
        <f t="shared" si="9"/>
        <v>0</v>
      </c>
      <c r="Z39" s="70" t="e">
        <f t="shared" si="10"/>
        <v>#DIV/0!</v>
      </c>
      <c r="AA39" s="32">
        <f t="shared" si="11"/>
        <v>0</v>
      </c>
      <c r="AD39" s="113" t="s">
        <v>162</v>
      </c>
      <c r="AE39" s="113" t="s">
        <v>203</v>
      </c>
      <c r="AF39" s="113" t="s">
        <v>209</v>
      </c>
      <c r="AG39" s="112">
        <f t="shared" si="26"/>
        <v>235</v>
      </c>
      <c r="AH39" s="112">
        <f t="shared" si="13"/>
        <v>6</v>
      </c>
      <c r="AI39" s="112">
        <f t="shared" si="17"/>
        <v>3</v>
      </c>
      <c r="AJ39" s="112">
        <f t="shared" si="24"/>
        <v>0.5</v>
      </c>
      <c r="AK39" s="112">
        <f t="shared" si="24"/>
        <v>140</v>
      </c>
      <c r="AL39" s="112">
        <f t="shared" si="24"/>
        <v>100</v>
      </c>
      <c r="AM39" s="112">
        <f t="shared" si="24"/>
        <v>55</v>
      </c>
      <c r="AN39" s="112">
        <f t="shared" si="24"/>
        <v>85</v>
      </c>
      <c r="AO39" s="112">
        <f t="shared" si="19"/>
        <v>7.6000000000000005</v>
      </c>
      <c r="AP39" s="115">
        <f t="shared" si="20"/>
        <v>0.38000000000000006</v>
      </c>
      <c r="AQ39" s="115">
        <f t="shared" si="16"/>
        <v>0.5</v>
      </c>
      <c r="AR39" s="115">
        <f t="shared" si="21"/>
        <v>5</v>
      </c>
      <c r="AS39" s="115">
        <f t="shared" si="14"/>
        <v>20</v>
      </c>
      <c r="AT39" s="115" t="str">
        <f t="shared" si="25"/>
        <v>F5/M-503</v>
      </c>
      <c r="AU39" s="112" t="str">
        <f t="shared" si="25"/>
        <v>1, 2</v>
      </c>
    </row>
    <row r="40" spans="2:48" ht="15" customHeight="1" x14ac:dyDescent="0.2">
      <c r="B40" s="160"/>
      <c r="C40" s="162" t="s">
        <v>147</v>
      </c>
      <c r="D40" s="167" t="s">
        <v>573</v>
      </c>
      <c r="E40" s="168" t="s">
        <v>574</v>
      </c>
      <c r="F40" s="168">
        <v>190</v>
      </c>
      <c r="G40" s="172">
        <v>9</v>
      </c>
      <c r="H40" s="114">
        <f>VLOOKUP($N40,'UMC Table 4-A'!$A$10:$E$139,4,FALSE)</f>
        <v>6</v>
      </c>
      <c r="I40" s="114" t="str">
        <f>VLOOKUP($N40,'UMC Table 4-A'!$A$10:$E$139,5,FALSE)</f>
        <v>NR</v>
      </c>
      <c r="J40" s="111" t="str">
        <f t="shared" ref="J40:J72" si="27">IF(I40="Yes",L40,"-")</f>
        <v>-</v>
      </c>
      <c r="K40" s="116">
        <v>0</v>
      </c>
      <c r="L40" s="152">
        <f t="shared" ref="L40:L72" si="28">IF(H40&lt;&gt;"NR",ROUNDUP((F40*G40*H40)/60,-1),0)</f>
        <v>180</v>
      </c>
      <c r="M40" s="117">
        <f t="shared" ref="M40:M52" si="29">F40</f>
        <v>190</v>
      </c>
      <c r="N40" s="114" t="s">
        <v>91</v>
      </c>
      <c r="O40" s="114" t="str">
        <f>VLOOKUP($N40,'UMC Table 4-A'!$A$10:$E$139,2,FALSE)</f>
        <v>NO REQUIREMENT FOR CONTINUOUS DIRECTIONAL CONTROL</v>
      </c>
      <c r="P40" s="112">
        <f>VLOOKUP($N40,'UMC Table 4-A'!$A$10:$E$139,3,FALSE)</f>
        <v>2</v>
      </c>
      <c r="Q40" s="152">
        <f t="shared" ref="Q40:Q72" si="30">IF(P40&lt;&gt;"NR",ROUNDUP((F40*G40*P40)/60,-1),0)</f>
        <v>60</v>
      </c>
      <c r="R40" s="112" t="str">
        <f>VLOOKUP($N40,'UMC Table 4-A'!$A$10:$E$139,5,FALSE)</f>
        <v>NR</v>
      </c>
      <c r="S40" s="113">
        <f t="shared" ref="S40:S72" si="31">IF(O40="Negative",IF(OR(N40="Toilet room",N40="Janitor's closet, housekeeping"),0,IF(0.1*V40&gt;50,220-0.1*V40,V40-50)),IF(R40="Yes",0,CEILING(MAX(K40:M40),5)))</f>
        <v>190</v>
      </c>
      <c r="T40" s="137">
        <f t="shared" ref="T40:T72" si="32">S40</f>
        <v>190</v>
      </c>
      <c r="U40" s="137">
        <f t="shared" ref="U40:U72" si="33">IF(R40="Yes",0,IF(O40="Positive",IF(0.1*S40&gt;50,S40-0.1*S40,S40-50),IF(O40="Negative",IF(0.1*S40&gt;50,S40+0.1*S40,S40+50),S40)))</f>
        <v>190</v>
      </c>
      <c r="V40" s="137">
        <f t="shared" ref="V40:V72" si="34">IF(R40="Yes",J40,0)</f>
        <v>0</v>
      </c>
      <c r="W40" s="89">
        <f t="shared" ref="W40:W72" si="35">T40-U40-V40</f>
        <v>0</v>
      </c>
      <c r="X40" s="31" t="str">
        <f t="shared" ref="X40:X72" si="36">IF(S40-U40-V40+W40=0,"Yes","No")</f>
        <v>Yes</v>
      </c>
      <c r="Y40" s="32">
        <f t="shared" ref="Y40:Y72" si="37">S40/F40</f>
        <v>1</v>
      </c>
      <c r="Z40" s="70">
        <f t="shared" ref="Z40:Z72" si="38">(Q40/T40)*100</f>
        <v>31.578947368421051</v>
      </c>
      <c r="AA40" s="32">
        <f t="shared" ref="AA40:AA72" si="39">S40/F40/G40*60</f>
        <v>6.6666666666666661</v>
      </c>
      <c r="AD40" s="113" t="s">
        <v>163</v>
      </c>
      <c r="AE40" s="113" t="s">
        <v>203</v>
      </c>
      <c r="AF40" s="113" t="s">
        <v>209</v>
      </c>
      <c r="AG40" s="112">
        <f t="shared" si="26"/>
        <v>845</v>
      </c>
      <c r="AH40" s="112">
        <f t="shared" si="13"/>
        <v>10</v>
      </c>
      <c r="AI40" s="112">
        <f t="shared" si="17"/>
        <v>5</v>
      </c>
      <c r="AJ40" s="112">
        <f t="shared" si="24"/>
        <v>0.5</v>
      </c>
      <c r="AK40" s="112">
        <f t="shared" si="24"/>
        <v>140</v>
      </c>
      <c r="AL40" s="112">
        <f t="shared" si="24"/>
        <v>100</v>
      </c>
      <c r="AM40" s="112">
        <f t="shared" si="24"/>
        <v>55</v>
      </c>
      <c r="AN40" s="112">
        <f t="shared" si="24"/>
        <v>85</v>
      </c>
      <c r="AO40" s="112">
        <f t="shared" si="19"/>
        <v>27.400000000000002</v>
      </c>
      <c r="AP40" s="115">
        <f t="shared" si="20"/>
        <v>1.37</v>
      </c>
      <c r="AQ40" s="115">
        <f t="shared" si="16"/>
        <v>1.37</v>
      </c>
      <c r="AR40" s="115">
        <f t="shared" si="21"/>
        <v>5</v>
      </c>
      <c r="AS40" s="115">
        <f t="shared" si="14"/>
        <v>30</v>
      </c>
      <c r="AT40" s="115" t="str">
        <f t="shared" si="25"/>
        <v>F5/M-503</v>
      </c>
      <c r="AU40" s="112" t="str">
        <f t="shared" si="25"/>
        <v>1, 2</v>
      </c>
    </row>
    <row r="41" spans="2:48" ht="15" customHeight="1" x14ac:dyDescent="0.2">
      <c r="B41" s="160"/>
      <c r="C41" s="162" t="s">
        <v>148</v>
      </c>
      <c r="D41" s="167" t="s">
        <v>571</v>
      </c>
      <c r="E41" s="168">
        <v>2108</v>
      </c>
      <c r="F41" s="168">
        <v>30</v>
      </c>
      <c r="G41" s="173">
        <v>8.5</v>
      </c>
      <c r="H41" s="114">
        <f>VLOOKUP($N41,'UMC Table 4-A'!$A$10:$E$139,4,FALSE)</f>
        <v>6</v>
      </c>
      <c r="I41" s="114" t="str">
        <f>VLOOKUP($N41,'UMC Table 4-A'!$A$10:$E$139,5,FALSE)</f>
        <v>NR</v>
      </c>
      <c r="J41" s="111" t="str">
        <f t="shared" si="27"/>
        <v>-</v>
      </c>
      <c r="K41" s="116">
        <v>0</v>
      </c>
      <c r="L41" s="152">
        <f t="shared" si="28"/>
        <v>30</v>
      </c>
      <c r="M41" s="117">
        <f t="shared" si="29"/>
        <v>30</v>
      </c>
      <c r="N41" s="114" t="s">
        <v>91</v>
      </c>
      <c r="O41" s="114" t="str">
        <f>VLOOKUP($N41,'UMC Table 4-A'!$A$10:$E$139,2,FALSE)</f>
        <v>NO REQUIREMENT FOR CONTINUOUS DIRECTIONAL CONTROL</v>
      </c>
      <c r="P41" s="112">
        <f>VLOOKUP($N41,'UMC Table 4-A'!$A$10:$E$139,3,FALSE)</f>
        <v>2</v>
      </c>
      <c r="Q41" s="152">
        <f t="shared" si="30"/>
        <v>10</v>
      </c>
      <c r="R41" s="112" t="str">
        <f>VLOOKUP($N41,'UMC Table 4-A'!$A$10:$E$139,5,FALSE)</f>
        <v>NR</v>
      </c>
      <c r="S41" s="113">
        <f t="shared" si="31"/>
        <v>30</v>
      </c>
      <c r="T41" s="137">
        <f t="shared" si="32"/>
        <v>30</v>
      </c>
      <c r="U41" s="137">
        <f t="shared" si="33"/>
        <v>30</v>
      </c>
      <c r="V41" s="137">
        <f t="shared" si="34"/>
        <v>0</v>
      </c>
      <c r="W41" s="89">
        <f t="shared" si="35"/>
        <v>0</v>
      </c>
      <c r="X41" s="31" t="str">
        <f t="shared" si="36"/>
        <v>Yes</v>
      </c>
      <c r="Y41" s="32">
        <f t="shared" si="37"/>
        <v>1</v>
      </c>
      <c r="Z41" s="70">
        <f t="shared" si="38"/>
        <v>33.333333333333329</v>
      </c>
      <c r="AA41" s="32">
        <f t="shared" si="39"/>
        <v>7.0588235294117645</v>
      </c>
      <c r="AD41" s="113" t="s">
        <v>164</v>
      </c>
      <c r="AE41" s="113" t="s">
        <v>203</v>
      </c>
      <c r="AF41" s="113" t="s">
        <v>209</v>
      </c>
      <c r="AG41" s="112">
        <f t="shared" si="26"/>
        <v>645</v>
      </c>
      <c r="AH41" s="112">
        <f t="shared" si="13"/>
        <v>8</v>
      </c>
      <c r="AI41" s="112">
        <f t="shared" si="17"/>
        <v>4</v>
      </c>
      <c r="AJ41" s="112">
        <f t="shared" si="24"/>
        <v>0.5</v>
      </c>
      <c r="AK41" s="112">
        <f t="shared" si="24"/>
        <v>140</v>
      </c>
      <c r="AL41" s="112">
        <f t="shared" si="24"/>
        <v>100</v>
      </c>
      <c r="AM41" s="112">
        <f t="shared" si="24"/>
        <v>55</v>
      </c>
      <c r="AN41" s="112">
        <f t="shared" si="24"/>
        <v>85</v>
      </c>
      <c r="AO41" s="112">
        <f t="shared" si="19"/>
        <v>20.900000000000002</v>
      </c>
      <c r="AP41" s="115">
        <f t="shared" si="20"/>
        <v>1.0450000000000002</v>
      </c>
      <c r="AQ41" s="115">
        <f t="shared" si="16"/>
        <v>1.0450000000000002</v>
      </c>
      <c r="AR41" s="115">
        <f t="shared" si="21"/>
        <v>5</v>
      </c>
      <c r="AS41" s="115">
        <f t="shared" si="14"/>
        <v>25</v>
      </c>
      <c r="AT41" s="115" t="str">
        <f t="shared" si="25"/>
        <v>F5/M-503</v>
      </c>
      <c r="AU41" s="112" t="str">
        <f t="shared" si="25"/>
        <v>1, 2</v>
      </c>
    </row>
    <row r="42" spans="2:48" ht="15" customHeight="1" x14ac:dyDescent="0.2">
      <c r="B42" s="160"/>
      <c r="C42" s="162" t="s">
        <v>148</v>
      </c>
      <c r="D42" s="167" t="s">
        <v>575</v>
      </c>
      <c r="E42" s="168">
        <v>2109</v>
      </c>
      <c r="F42" s="168">
        <v>428</v>
      </c>
      <c r="G42" s="172">
        <v>9</v>
      </c>
      <c r="H42" s="114">
        <f>VLOOKUP($N42,'UMC Table 4-A'!$A$10:$E$139,4,FALSE)</f>
        <v>6</v>
      </c>
      <c r="I42" s="114" t="str">
        <f>VLOOKUP($N42,'UMC Table 4-A'!$A$10:$E$139,5,FALSE)</f>
        <v>NR</v>
      </c>
      <c r="J42" s="111" t="str">
        <f t="shared" si="27"/>
        <v>-</v>
      </c>
      <c r="K42" s="116">
        <v>0</v>
      </c>
      <c r="L42" s="152">
        <f t="shared" si="28"/>
        <v>390</v>
      </c>
      <c r="M42" s="117">
        <f t="shared" si="29"/>
        <v>428</v>
      </c>
      <c r="N42" s="114" t="s">
        <v>91</v>
      </c>
      <c r="O42" s="114" t="str">
        <f>VLOOKUP($N42,'UMC Table 4-A'!$A$10:$E$139,2,FALSE)</f>
        <v>NO REQUIREMENT FOR CONTINUOUS DIRECTIONAL CONTROL</v>
      </c>
      <c r="P42" s="112">
        <f>VLOOKUP($N42,'UMC Table 4-A'!$A$10:$E$139,3,FALSE)</f>
        <v>2</v>
      </c>
      <c r="Q42" s="152">
        <f t="shared" si="30"/>
        <v>130</v>
      </c>
      <c r="R42" s="112" t="str">
        <f>VLOOKUP($N42,'UMC Table 4-A'!$A$10:$E$139,5,FALSE)</f>
        <v>NR</v>
      </c>
      <c r="S42" s="113">
        <f t="shared" si="31"/>
        <v>430</v>
      </c>
      <c r="T42" s="137">
        <f t="shared" si="32"/>
        <v>430</v>
      </c>
      <c r="U42" s="137">
        <f t="shared" si="33"/>
        <v>430</v>
      </c>
      <c r="V42" s="137">
        <f t="shared" si="34"/>
        <v>0</v>
      </c>
      <c r="W42" s="89">
        <f t="shared" si="35"/>
        <v>0</v>
      </c>
      <c r="X42" s="31" t="str">
        <f t="shared" si="36"/>
        <v>Yes</v>
      </c>
      <c r="Y42" s="32">
        <f t="shared" si="37"/>
        <v>1.0046728971962617</v>
      </c>
      <c r="Z42" s="70">
        <f t="shared" si="38"/>
        <v>30.232558139534881</v>
      </c>
      <c r="AA42" s="32">
        <f t="shared" si="39"/>
        <v>6.6978193146417446</v>
      </c>
      <c r="AD42" s="113" t="s">
        <v>165</v>
      </c>
      <c r="AE42" s="113" t="s">
        <v>203</v>
      </c>
      <c r="AF42" s="113" t="s">
        <v>209</v>
      </c>
      <c r="AG42" s="112">
        <f t="shared" si="26"/>
        <v>190</v>
      </c>
      <c r="AH42" s="112">
        <f t="shared" si="13"/>
        <v>6</v>
      </c>
      <c r="AI42" s="112">
        <f t="shared" si="17"/>
        <v>3</v>
      </c>
      <c r="AJ42" s="112">
        <f t="shared" ref="AJ42:AN44" si="40">AJ41</f>
        <v>0.5</v>
      </c>
      <c r="AK42" s="112">
        <f t="shared" si="40"/>
        <v>140</v>
      </c>
      <c r="AL42" s="112">
        <f t="shared" si="40"/>
        <v>100</v>
      </c>
      <c r="AM42" s="112">
        <f t="shared" si="40"/>
        <v>55</v>
      </c>
      <c r="AN42" s="112">
        <f t="shared" si="40"/>
        <v>85</v>
      </c>
      <c r="AO42" s="112">
        <f t="shared" si="19"/>
        <v>6.2</v>
      </c>
      <c r="AP42" s="115">
        <f t="shared" si="20"/>
        <v>0.31</v>
      </c>
      <c r="AQ42" s="115">
        <f t="shared" si="16"/>
        <v>0.5</v>
      </c>
      <c r="AR42" s="115">
        <f t="shared" si="21"/>
        <v>5</v>
      </c>
      <c r="AS42" s="115">
        <f t="shared" si="14"/>
        <v>20</v>
      </c>
      <c r="AT42" s="115" t="str">
        <f t="shared" ref="AT42:AU44" si="41">AT41</f>
        <v>F5/M-503</v>
      </c>
      <c r="AU42" s="112" t="str">
        <f t="shared" si="41"/>
        <v>1, 2</v>
      </c>
    </row>
    <row r="43" spans="2:48" ht="15" customHeight="1" x14ac:dyDescent="0.2">
      <c r="B43" s="160"/>
      <c r="C43" s="162" t="s">
        <v>148</v>
      </c>
      <c r="D43" s="167" t="s">
        <v>575</v>
      </c>
      <c r="E43" s="168">
        <v>2109</v>
      </c>
      <c r="F43" s="168">
        <v>428</v>
      </c>
      <c r="G43" s="172">
        <v>9</v>
      </c>
      <c r="H43" s="114">
        <f>VLOOKUP($N43,'UMC Table 4-A'!$A$10:$E$139,4,FALSE)</f>
        <v>6</v>
      </c>
      <c r="I43" s="114" t="str">
        <f>VLOOKUP($N43,'UMC Table 4-A'!$A$10:$E$139,5,FALSE)</f>
        <v>NR</v>
      </c>
      <c r="J43" s="111" t="str">
        <f t="shared" si="27"/>
        <v>-</v>
      </c>
      <c r="K43" s="116">
        <v>0</v>
      </c>
      <c r="L43" s="152">
        <f t="shared" si="28"/>
        <v>390</v>
      </c>
      <c r="M43" s="117">
        <f t="shared" si="29"/>
        <v>428</v>
      </c>
      <c r="N43" s="114" t="s">
        <v>91</v>
      </c>
      <c r="O43" s="114" t="str">
        <f>VLOOKUP($N43,'UMC Table 4-A'!$A$10:$E$139,2,FALSE)</f>
        <v>NO REQUIREMENT FOR CONTINUOUS DIRECTIONAL CONTROL</v>
      </c>
      <c r="P43" s="112">
        <f>VLOOKUP($N43,'UMC Table 4-A'!$A$10:$E$139,3,FALSE)</f>
        <v>2</v>
      </c>
      <c r="Q43" s="152">
        <f t="shared" si="30"/>
        <v>130</v>
      </c>
      <c r="R43" s="112" t="str">
        <f>VLOOKUP($N43,'UMC Table 4-A'!$A$10:$E$139,5,FALSE)</f>
        <v>NR</v>
      </c>
      <c r="S43" s="113">
        <f t="shared" si="31"/>
        <v>430</v>
      </c>
      <c r="T43" s="137">
        <f t="shared" si="32"/>
        <v>430</v>
      </c>
      <c r="U43" s="137">
        <f t="shared" si="33"/>
        <v>430</v>
      </c>
      <c r="V43" s="137">
        <f t="shared" si="34"/>
        <v>0</v>
      </c>
      <c r="W43" s="89">
        <f t="shared" si="35"/>
        <v>0</v>
      </c>
      <c r="X43" s="31" t="str">
        <f t="shared" si="36"/>
        <v>Yes</v>
      </c>
      <c r="Y43" s="32">
        <f t="shared" si="37"/>
        <v>1.0046728971962617</v>
      </c>
      <c r="Z43" s="70">
        <f t="shared" si="38"/>
        <v>30.232558139534881</v>
      </c>
      <c r="AA43" s="32">
        <f t="shared" si="39"/>
        <v>6.6978193146417446</v>
      </c>
      <c r="AD43" s="113" t="s">
        <v>166</v>
      </c>
      <c r="AE43" s="113" t="s">
        <v>203</v>
      </c>
      <c r="AF43" s="113" t="s">
        <v>209</v>
      </c>
      <c r="AG43" s="112">
        <f t="shared" si="26"/>
        <v>290</v>
      </c>
      <c r="AH43" s="112">
        <f t="shared" si="13"/>
        <v>6</v>
      </c>
      <c r="AI43" s="112">
        <f t="shared" si="17"/>
        <v>3</v>
      </c>
      <c r="AJ43" s="112">
        <f t="shared" si="40"/>
        <v>0.5</v>
      </c>
      <c r="AK43" s="112">
        <f t="shared" si="40"/>
        <v>140</v>
      </c>
      <c r="AL43" s="112">
        <f t="shared" si="40"/>
        <v>100</v>
      </c>
      <c r="AM43" s="112">
        <f t="shared" si="40"/>
        <v>55</v>
      </c>
      <c r="AN43" s="112">
        <f t="shared" si="40"/>
        <v>85</v>
      </c>
      <c r="AO43" s="112">
        <f t="shared" si="19"/>
        <v>9.4</v>
      </c>
      <c r="AP43" s="115">
        <f t="shared" si="20"/>
        <v>0.47</v>
      </c>
      <c r="AQ43" s="115">
        <f t="shared" si="16"/>
        <v>0.5</v>
      </c>
      <c r="AR43" s="115">
        <f t="shared" si="21"/>
        <v>5</v>
      </c>
      <c r="AS43" s="115">
        <f t="shared" si="14"/>
        <v>20</v>
      </c>
      <c r="AT43" s="115" t="str">
        <f>AT42</f>
        <v>F5/M-503</v>
      </c>
      <c r="AU43" s="112" t="str">
        <f t="shared" si="41"/>
        <v>1, 2</v>
      </c>
    </row>
    <row r="44" spans="2:48" ht="15" customHeight="1" x14ac:dyDescent="0.2">
      <c r="B44" s="160"/>
      <c r="C44" s="162" t="s">
        <v>148</v>
      </c>
      <c r="D44" s="167" t="s">
        <v>461</v>
      </c>
      <c r="E44" s="168" t="s">
        <v>578</v>
      </c>
      <c r="F44" s="168">
        <v>875</v>
      </c>
      <c r="G44" s="172">
        <v>9</v>
      </c>
      <c r="H44" s="114">
        <f>VLOOKUP($N44,'UMC Table 4-A'!$A$10:$E$139,4,FALSE)</f>
        <v>2</v>
      </c>
      <c r="I44" s="114" t="str">
        <f>VLOOKUP($N44,'UMC Table 4-A'!$A$10:$E$139,5,FALSE)</f>
        <v>NR</v>
      </c>
      <c r="J44" s="111" t="str">
        <f t="shared" si="27"/>
        <v>-</v>
      </c>
      <c r="K44" s="116">
        <v>0</v>
      </c>
      <c r="L44" s="152">
        <f t="shared" si="28"/>
        <v>270</v>
      </c>
      <c r="M44" s="117">
        <f t="shared" si="29"/>
        <v>875</v>
      </c>
      <c r="N44" s="114" t="s">
        <v>115</v>
      </c>
      <c r="O44" s="114" t="str">
        <f>VLOOKUP($N44,'UMC Table 4-A'!$A$10:$E$139,2,FALSE)</f>
        <v>NO REQUIREMENT FOR CONTINUOUS DIRECTIONAL CONTROL</v>
      </c>
      <c r="P44" s="112" t="str">
        <f>VLOOKUP($N44,'UMC Table 4-A'!$A$10:$E$139,3,FALSE)</f>
        <v>NR</v>
      </c>
      <c r="Q44" s="152">
        <f t="shared" si="30"/>
        <v>0</v>
      </c>
      <c r="R44" s="112" t="str">
        <f>VLOOKUP($N44,'UMC Table 4-A'!$A$10:$E$139,5,FALSE)</f>
        <v>NR</v>
      </c>
      <c r="S44" s="113">
        <f t="shared" si="31"/>
        <v>875</v>
      </c>
      <c r="T44" s="137">
        <f t="shared" si="32"/>
        <v>875</v>
      </c>
      <c r="U44" s="137">
        <f t="shared" si="33"/>
        <v>875</v>
      </c>
      <c r="V44" s="137">
        <f t="shared" si="34"/>
        <v>0</v>
      </c>
      <c r="W44" s="89">
        <f t="shared" si="35"/>
        <v>0</v>
      </c>
      <c r="X44" s="31" t="str">
        <f t="shared" si="36"/>
        <v>Yes</v>
      </c>
      <c r="Y44" s="32">
        <f t="shared" si="37"/>
        <v>1</v>
      </c>
      <c r="Z44" s="70">
        <f t="shared" si="38"/>
        <v>0</v>
      </c>
      <c r="AA44" s="32">
        <f t="shared" si="39"/>
        <v>6.6666666666666661</v>
      </c>
      <c r="AD44" s="113" t="s">
        <v>167</v>
      </c>
      <c r="AE44" s="113" t="s">
        <v>203</v>
      </c>
      <c r="AF44" s="113" t="s">
        <v>209</v>
      </c>
      <c r="AG44" s="112">
        <f t="shared" si="26"/>
        <v>500</v>
      </c>
      <c r="AH44" s="112">
        <f t="shared" si="13"/>
        <v>8</v>
      </c>
      <c r="AI44" s="112">
        <f t="shared" si="17"/>
        <v>4</v>
      </c>
      <c r="AJ44" s="112">
        <f t="shared" si="40"/>
        <v>0.5</v>
      </c>
      <c r="AK44" s="112">
        <f t="shared" si="40"/>
        <v>140</v>
      </c>
      <c r="AL44" s="112">
        <f t="shared" si="40"/>
        <v>100</v>
      </c>
      <c r="AM44" s="112">
        <f t="shared" si="40"/>
        <v>55</v>
      </c>
      <c r="AN44" s="112">
        <f t="shared" si="40"/>
        <v>85</v>
      </c>
      <c r="AO44" s="112">
        <f t="shared" si="19"/>
        <v>16.2</v>
      </c>
      <c r="AP44" s="115">
        <f t="shared" si="20"/>
        <v>0.81</v>
      </c>
      <c r="AQ44" s="115">
        <f t="shared" si="16"/>
        <v>0.81</v>
      </c>
      <c r="AR44" s="115">
        <f t="shared" si="21"/>
        <v>5</v>
      </c>
      <c r="AS44" s="115">
        <f t="shared" si="14"/>
        <v>25</v>
      </c>
      <c r="AT44" s="115" t="str">
        <f t="shared" si="41"/>
        <v>F5/M-503</v>
      </c>
      <c r="AU44" s="112" t="str">
        <f t="shared" si="41"/>
        <v>1, 2</v>
      </c>
    </row>
    <row r="45" spans="2:48" ht="15" customHeight="1" x14ac:dyDescent="0.2">
      <c r="B45" s="160"/>
      <c r="C45" s="162" t="s">
        <v>148</v>
      </c>
      <c r="D45" s="167" t="s">
        <v>576</v>
      </c>
      <c r="E45" s="168" t="s">
        <v>577</v>
      </c>
      <c r="F45" s="168">
        <v>156</v>
      </c>
      <c r="G45" s="172">
        <v>9</v>
      </c>
      <c r="H45" s="114">
        <f>VLOOKUP($N45,'UMC Table 4-A'!$A$10:$E$139,4,FALSE)</f>
        <v>6</v>
      </c>
      <c r="I45" s="114" t="str">
        <f>VLOOKUP($N45,'UMC Table 4-A'!$A$10:$E$139,5,FALSE)</f>
        <v>NR</v>
      </c>
      <c r="J45" s="111" t="str">
        <f t="shared" si="27"/>
        <v>-</v>
      </c>
      <c r="K45" s="116">
        <v>0</v>
      </c>
      <c r="L45" s="152">
        <f t="shared" si="28"/>
        <v>150</v>
      </c>
      <c r="M45" s="117">
        <f t="shared" si="29"/>
        <v>156</v>
      </c>
      <c r="N45" s="114" t="s">
        <v>91</v>
      </c>
      <c r="O45" s="114" t="str">
        <f>VLOOKUP($N45,'UMC Table 4-A'!$A$10:$E$139,2,FALSE)</f>
        <v>NO REQUIREMENT FOR CONTINUOUS DIRECTIONAL CONTROL</v>
      </c>
      <c r="P45" s="112">
        <f>VLOOKUP($N45,'UMC Table 4-A'!$A$10:$E$139,3,FALSE)</f>
        <v>2</v>
      </c>
      <c r="Q45" s="152">
        <f t="shared" si="30"/>
        <v>50</v>
      </c>
      <c r="R45" s="112" t="str">
        <f>VLOOKUP($N45,'UMC Table 4-A'!$A$10:$E$139,5,FALSE)</f>
        <v>NR</v>
      </c>
      <c r="S45" s="113">
        <f t="shared" si="31"/>
        <v>160</v>
      </c>
      <c r="T45" s="137">
        <f t="shared" si="32"/>
        <v>160</v>
      </c>
      <c r="U45" s="137">
        <f t="shared" si="33"/>
        <v>160</v>
      </c>
      <c r="V45" s="137">
        <f t="shared" si="34"/>
        <v>0</v>
      </c>
      <c r="W45" s="89">
        <f t="shared" si="35"/>
        <v>0</v>
      </c>
      <c r="X45" s="31" t="str">
        <f t="shared" si="36"/>
        <v>Yes</v>
      </c>
      <c r="Y45" s="32">
        <f t="shared" si="37"/>
        <v>1.0256410256410255</v>
      </c>
      <c r="Z45" s="70">
        <f t="shared" si="38"/>
        <v>31.25</v>
      </c>
      <c r="AA45" s="32">
        <f t="shared" si="39"/>
        <v>6.8376068376068373</v>
      </c>
      <c r="AD45" s="113" t="s">
        <v>168</v>
      </c>
      <c r="AE45" s="113" t="s">
        <v>203</v>
      </c>
      <c r="AF45" s="113" t="s">
        <v>209</v>
      </c>
      <c r="AG45" s="112">
        <f t="shared" ref="AG45:AG58" si="42">SUMIF($C$8:$C$103,AD45,$T$8:$T$103)</f>
        <v>105</v>
      </c>
      <c r="AH45" s="112">
        <f t="shared" ref="AH45:AH58" si="43">VLOOKUP(AG45,$AX$12:$AY$17,2,TRUE)</f>
        <v>6</v>
      </c>
      <c r="AI45" s="112">
        <f t="shared" ref="AI45:AI58" si="44">AH45/2</f>
        <v>3</v>
      </c>
      <c r="AJ45" s="112">
        <f t="shared" ref="AJ45:AN45" si="45">AJ44</f>
        <v>0.5</v>
      </c>
      <c r="AK45" s="112">
        <f t="shared" si="45"/>
        <v>140</v>
      </c>
      <c r="AL45" s="112">
        <f t="shared" si="45"/>
        <v>100</v>
      </c>
      <c r="AM45" s="112">
        <f t="shared" si="45"/>
        <v>55</v>
      </c>
      <c r="AN45" s="112">
        <f t="shared" si="45"/>
        <v>85</v>
      </c>
      <c r="AO45" s="112">
        <f t="shared" ref="AO45:AO58" si="46">MROUND((1.08*(AN45-AM45)*AG45)/1000,0.1)</f>
        <v>3.4000000000000004</v>
      </c>
      <c r="AP45" s="115">
        <f t="shared" ref="AP45:AP58" si="47">(AO45*1000)/(500*(AK45-AL45))</f>
        <v>0.17</v>
      </c>
      <c r="AQ45" s="115">
        <f t="shared" ref="AQ45:AQ58" si="48">IF(AP45&lt;0.5,0.5,AP45)</f>
        <v>0.5</v>
      </c>
      <c r="AR45" s="115">
        <f t="shared" si="21"/>
        <v>5</v>
      </c>
      <c r="AS45" s="115">
        <f t="shared" ref="AS45:AS58" si="49">_xlfn.XLOOKUP(AH45,$AY$12:$AY$17,$AZ$12:$AZ$17,)</f>
        <v>20</v>
      </c>
      <c r="AT45" s="115" t="str">
        <f t="shared" ref="AT45:AU45" si="50">AT44</f>
        <v>F5/M-503</v>
      </c>
      <c r="AU45" s="112" t="str">
        <f t="shared" si="50"/>
        <v>1, 2</v>
      </c>
      <c r="AV45" s="17"/>
    </row>
    <row r="46" spans="2:48" ht="15" customHeight="1" x14ac:dyDescent="0.2">
      <c r="B46" s="160"/>
      <c r="C46" s="162" t="s">
        <v>149</v>
      </c>
      <c r="D46" s="167" t="s">
        <v>461</v>
      </c>
      <c r="E46" s="168" t="s">
        <v>580</v>
      </c>
      <c r="F46" s="168">
        <v>260</v>
      </c>
      <c r="G46" s="172">
        <v>9</v>
      </c>
      <c r="H46" s="114">
        <f>VLOOKUP($N46,'UMC Table 4-A'!$A$10:$E$139,4,FALSE)</f>
        <v>2</v>
      </c>
      <c r="I46" s="114" t="str">
        <f>VLOOKUP($N46,'UMC Table 4-A'!$A$10:$E$139,5,FALSE)</f>
        <v>NR</v>
      </c>
      <c r="J46" s="111" t="str">
        <f t="shared" si="27"/>
        <v>-</v>
      </c>
      <c r="K46" s="116">
        <v>0</v>
      </c>
      <c r="L46" s="152">
        <f t="shared" si="28"/>
        <v>80</v>
      </c>
      <c r="M46" s="117">
        <f t="shared" si="29"/>
        <v>260</v>
      </c>
      <c r="N46" s="114" t="s">
        <v>115</v>
      </c>
      <c r="O46" s="114" t="str">
        <f>VLOOKUP($N46,'UMC Table 4-A'!$A$10:$E$139,2,FALSE)</f>
        <v>NO REQUIREMENT FOR CONTINUOUS DIRECTIONAL CONTROL</v>
      </c>
      <c r="P46" s="112" t="str">
        <f>VLOOKUP($N46,'UMC Table 4-A'!$A$10:$E$139,3,FALSE)</f>
        <v>NR</v>
      </c>
      <c r="Q46" s="152">
        <f t="shared" si="30"/>
        <v>0</v>
      </c>
      <c r="R46" s="112" t="str">
        <f>VLOOKUP($N46,'UMC Table 4-A'!$A$10:$E$139,5,FALSE)</f>
        <v>NR</v>
      </c>
      <c r="S46" s="113">
        <f t="shared" si="31"/>
        <v>260</v>
      </c>
      <c r="T46" s="137">
        <f t="shared" si="32"/>
        <v>260</v>
      </c>
      <c r="U46" s="137">
        <f t="shared" si="33"/>
        <v>260</v>
      </c>
      <c r="V46" s="137">
        <f t="shared" si="34"/>
        <v>0</v>
      </c>
      <c r="W46" s="89">
        <f t="shared" si="35"/>
        <v>0</v>
      </c>
      <c r="X46" s="31" t="str">
        <f t="shared" si="36"/>
        <v>Yes</v>
      </c>
      <c r="Y46" s="32">
        <f t="shared" si="37"/>
        <v>1</v>
      </c>
      <c r="Z46" s="70">
        <f t="shared" si="38"/>
        <v>0</v>
      </c>
      <c r="AA46" s="32">
        <f t="shared" si="39"/>
        <v>6.6666666666666661</v>
      </c>
      <c r="AD46" s="113" t="s">
        <v>169</v>
      </c>
      <c r="AE46" s="113" t="s">
        <v>203</v>
      </c>
      <c r="AF46" s="113" t="s">
        <v>209</v>
      </c>
      <c r="AG46" s="112">
        <f t="shared" si="42"/>
        <v>0</v>
      </c>
      <c r="AH46" s="112" t="e">
        <f t="shared" si="43"/>
        <v>#N/A</v>
      </c>
      <c r="AI46" s="112" t="e">
        <f t="shared" si="44"/>
        <v>#N/A</v>
      </c>
      <c r="AJ46" s="112">
        <f t="shared" ref="AJ46:AN46" si="51">AJ45</f>
        <v>0.5</v>
      </c>
      <c r="AK46" s="112">
        <f t="shared" si="51"/>
        <v>140</v>
      </c>
      <c r="AL46" s="112">
        <f t="shared" si="51"/>
        <v>100</v>
      </c>
      <c r="AM46" s="112">
        <f t="shared" si="51"/>
        <v>55</v>
      </c>
      <c r="AN46" s="112">
        <f t="shared" si="51"/>
        <v>85</v>
      </c>
      <c r="AO46" s="112">
        <f t="shared" si="46"/>
        <v>0</v>
      </c>
      <c r="AP46" s="115">
        <f t="shared" si="47"/>
        <v>0</v>
      </c>
      <c r="AQ46" s="115">
        <f t="shared" si="48"/>
        <v>0.5</v>
      </c>
      <c r="AR46" s="115">
        <f t="shared" si="21"/>
        <v>5</v>
      </c>
      <c r="AS46" s="115" t="e">
        <f t="shared" si="49"/>
        <v>#N/A</v>
      </c>
      <c r="AT46" s="115" t="str">
        <f t="shared" ref="AT46:AU46" si="52">AT45</f>
        <v>F5/M-503</v>
      </c>
      <c r="AU46" s="112" t="str">
        <f t="shared" si="52"/>
        <v>1, 2</v>
      </c>
      <c r="AV46" s="17"/>
    </row>
    <row r="47" spans="2:48" ht="15" customHeight="1" x14ac:dyDescent="0.2">
      <c r="B47" s="160"/>
      <c r="C47" s="162" t="s">
        <v>149</v>
      </c>
      <c r="D47" s="167" t="s">
        <v>579</v>
      </c>
      <c r="E47" s="168">
        <v>2111</v>
      </c>
      <c r="F47" s="168">
        <v>100</v>
      </c>
      <c r="G47" s="172">
        <v>9</v>
      </c>
      <c r="H47" s="114">
        <f>VLOOKUP($N47,'UMC Table 4-A'!$A$10:$E$139,4,FALSE)</f>
        <v>6</v>
      </c>
      <c r="I47" s="114" t="str">
        <f>VLOOKUP($N47,'UMC Table 4-A'!$A$10:$E$139,5,FALSE)</f>
        <v>NR</v>
      </c>
      <c r="J47" s="111" t="str">
        <f t="shared" si="27"/>
        <v>-</v>
      </c>
      <c r="K47" s="116">
        <v>0</v>
      </c>
      <c r="L47" s="152">
        <f t="shared" si="28"/>
        <v>90</v>
      </c>
      <c r="M47" s="117">
        <f t="shared" si="29"/>
        <v>100</v>
      </c>
      <c r="N47" s="114" t="s">
        <v>91</v>
      </c>
      <c r="O47" s="114" t="str">
        <f>VLOOKUP($N47,'UMC Table 4-A'!$A$10:$E$139,2,FALSE)</f>
        <v>NO REQUIREMENT FOR CONTINUOUS DIRECTIONAL CONTROL</v>
      </c>
      <c r="P47" s="112">
        <f>VLOOKUP($N47,'UMC Table 4-A'!$A$10:$E$139,3,FALSE)</f>
        <v>2</v>
      </c>
      <c r="Q47" s="152">
        <f t="shared" si="30"/>
        <v>30</v>
      </c>
      <c r="R47" s="112" t="str">
        <f>VLOOKUP($N47,'UMC Table 4-A'!$A$10:$E$139,5,FALSE)</f>
        <v>NR</v>
      </c>
      <c r="S47" s="113">
        <f t="shared" si="31"/>
        <v>100</v>
      </c>
      <c r="T47" s="137">
        <f t="shared" si="32"/>
        <v>100</v>
      </c>
      <c r="U47" s="137">
        <f t="shared" si="33"/>
        <v>100</v>
      </c>
      <c r="V47" s="137">
        <f t="shared" si="34"/>
        <v>0</v>
      </c>
      <c r="W47" s="89">
        <f t="shared" si="35"/>
        <v>0</v>
      </c>
      <c r="X47" s="31" t="str">
        <f t="shared" si="36"/>
        <v>Yes</v>
      </c>
      <c r="Y47" s="32">
        <f t="shared" si="37"/>
        <v>1</v>
      </c>
      <c r="Z47" s="70">
        <f t="shared" si="38"/>
        <v>30</v>
      </c>
      <c r="AA47" s="32">
        <f t="shared" si="39"/>
        <v>6.6666666666666661</v>
      </c>
      <c r="AD47" s="113" t="s">
        <v>170</v>
      </c>
      <c r="AE47" s="113" t="s">
        <v>203</v>
      </c>
      <c r="AF47" s="113" t="s">
        <v>209</v>
      </c>
      <c r="AG47" s="112">
        <f t="shared" si="42"/>
        <v>210</v>
      </c>
      <c r="AH47" s="112">
        <f t="shared" si="43"/>
        <v>6</v>
      </c>
      <c r="AI47" s="112">
        <f t="shared" si="44"/>
        <v>3</v>
      </c>
      <c r="AJ47" s="112">
        <f t="shared" ref="AJ47:AN47" si="53">AJ46</f>
        <v>0.5</v>
      </c>
      <c r="AK47" s="112">
        <f t="shared" si="53"/>
        <v>140</v>
      </c>
      <c r="AL47" s="112">
        <f t="shared" si="53"/>
        <v>100</v>
      </c>
      <c r="AM47" s="112">
        <f t="shared" si="53"/>
        <v>55</v>
      </c>
      <c r="AN47" s="112">
        <f t="shared" si="53"/>
        <v>85</v>
      </c>
      <c r="AO47" s="112">
        <f t="shared" si="46"/>
        <v>6.8000000000000007</v>
      </c>
      <c r="AP47" s="115">
        <f t="shared" si="47"/>
        <v>0.34</v>
      </c>
      <c r="AQ47" s="115">
        <f t="shared" si="48"/>
        <v>0.5</v>
      </c>
      <c r="AR47" s="115">
        <f t="shared" si="21"/>
        <v>5</v>
      </c>
      <c r="AS47" s="115">
        <f t="shared" si="49"/>
        <v>20</v>
      </c>
      <c r="AT47" s="115" t="str">
        <f t="shared" ref="AT47:AU47" si="54">AT46</f>
        <v>F5/M-503</v>
      </c>
      <c r="AU47" s="112" t="str">
        <f t="shared" si="54"/>
        <v>1, 2</v>
      </c>
      <c r="AV47" s="17"/>
    </row>
    <row r="48" spans="2:48" ht="15" customHeight="1" x14ac:dyDescent="0.2">
      <c r="B48" s="160"/>
      <c r="C48" s="162" t="s">
        <v>150</v>
      </c>
      <c r="D48" s="167" t="s">
        <v>571</v>
      </c>
      <c r="E48" s="168">
        <v>2103</v>
      </c>
      <c r="F48" s="168">
        <v>13</v>
      </c>
      <c r="G48" s="173">
        <v>8.5</v>
      </c>
      <c r="H48" s="114">
        <f>VLOOKUP($N48,'UMC Table 4-A'!$A$10:$E$139,4,FALSE)</f>
        <v>6</v>
      </c>
      <c r="I48" s="114" t="str">
        <f>VLOOKUP($N48,'UMC Table 4-A'!$A$10:$E$139,5,FALSE)</f>
        <v>NR</v>
      </c>
      <c r="J48" s="111" t="str">
        <f t="shared" si="27"/>
        <v>-</v>
      </c>
      <c r="K48" s="116">
        <v>0</v>
      </c>
      <c r="L48" s="152">
        <f t="shared" si="28"/>
        <v>20</v>
      </c>
      <c r="M48" s="117">
        <f t="shared" si="29"/>
        <v>13</v>
      </c>
      <c r="N48" s="114" t="s">
        <v>91</v>
      </c>
      <c r="O48" s="114" t="str">
        <f>VLOOKUP($N48,'UMC Table 4-A'!$A$10:$E$139,2,FALSE)</f>
        <v>NO REQUIREMENT FOR CONTINUOUS DIRECTIONAL CONTROL</v>
      </c>
      <c r="P48" s="112">
        <f>VLOOKUP($N48,'UMC Table 4-A'!$A$10:$E$139,3,FALSE)</f>
        <v>2</v>
      </c>
      <c r="Q48" s="152">
        <f t="shared" si="30"/>
        <v>10</v>
      </c>
      <c r="R48" s="112" t="str">
        <f>VLOOKUP($N48,'UMC Table 4-A'!$A$10:$E$139,5,FALSE)</f>
        <v>NR</v>
      </c>
      <c r="S48" s="113">
        <f t="shared" si="31"/>
        <v>20</v>
      </c>
      <c r="T48" s="137">
        <f t="shared" si="32"/>
        <v>20</v>
      </c>
      <c r="U48" s="137">
        <f t="shared" si="33"/>
        <v>20</v>
      </c>
      <c r="V48" s="137">
        <f t="shared" si="34"/>
        <v>0</v>
      </c>
      <c r="W48" s="89">
        <f t="shared" si="35"/>
        <v>0</v>
      </c>
      <c r="X48" s="31" t="str">
        <f t="shared" si="36"/>
        <v>Yes</v>
      </c>
      <c r="Y48" s="32">
        <f t="shared" si="37"/>
        <v>1.5384615384615385</v>
      </c>
      <c r="Z48" s="70">
        <f t="shared" si="38"/>
        <v>50</v>
      </c>
      <c r="AA48" s="32">
        <f t="shared" si="39"/>
        <v>10.859728506787331</v>
      </c>
      <c r="AD48" s="113" t="s">
        <v>171</v>
      </c>
      <c r="AE48" s="113" t="s">
        <v>203</v>
      </c>
      <c r="AF48" s="113" t="s">
        <v>209</v>
      </c>
      <c r="AG48" s="112">
        <f t="shared" si="42"/>
        <v>135</v>
      </c>
      <c r="AH48" s="112">
        <f t="shared" si="43"/>
        <v>6</v>
      </c>
      <c r="AI48" s="112">
        <f t="shared" si="44"/>
        <v>3</v>
      </c>
      <c r="AJ48" s="112">
        <f t="shared" ref="AJ48:AN48" si="55">AJ47</f>
        <v>0.5</v>
      </c>
      <c r="AK48" s="112">
        <f t="shared" si="55"/>
        <v>140</v>
      </c>
      <c r="AL48" s="112">
        <f t="shared" si="55"/>
        <v>100</v>
      </c>
      <c r="AM48" s="112">
        <f t="shared" si="55"/>
        <v>55</v>
      </c>
      <c r="AN48" s="112">
        <f t="shared" si="55"/>
        <v>85</v>
      </c>
      <c r="AO48" s="112">
        <f t="shared" si="46"/>
        <v>4.4000000000000004</v>
      </c>
      <c r="AP48" s="115">
        <f t="shared" si="47"/>
        <v>0.22</v>
      </c>
      <c r="AQ48" s="115">
        <f t="shared" si="48"/>
        <v>0.5</v>
      </c>
      <c r="AR48" s="115">
        <f t="shared" si="21"/>
        <v>5</v>
      </c>
      <c r="AS48" s="115">
        <f t="shared" si="49"/>
        <v>20</v>
      </c>
      <c r="AT48" s="115" t="str">
        <f t="shared" ref="AT48:AU48" si="56">AT47</f>
        <v>F5/M-503</v>
      </c>
      <c r="AU48" s="112" t="str">
        <f t="shared" si="56"/>
        <v>1, 2</v>
      </c>
      <c r="AV48" s="17"/>
    </row>
    <row r="49" spans="2:48" ht="15" customHeight="1" x14ac:dyDescent="0.2">
      <c r="B49" s="160"/>
      <c r="C49" s="162" t="s">
        <v>150</v>
      </c>
      <c r="D49" s="167" t="s">
        <v>461</v>
      </c>
      <c r="E49" s="168" t="s">
        <v>578</v>
      </c>
      <c r="F49" s="168">
        <v>875</v>
      </c>
      <c r="G49" s="172">
        <v>9</v>
      </c>
      <c r="H49" s="114">
        <f>VLOOKUP($N49,'UMC Table 4-A'!$A$10:$E$139,4,FALSE)</f>
        <v>2</v>
      </c>
      <c r="I49" s="114" t="str">
        <f>VLOOKUP($N49,'UMC Table 4-A'!$A$10:$E$139,5,FALSE)</f>
        <v>NR</v>
      </c>
      <c r="J49" s="111" t="str">
        <f t="shared" si="27"/>
        <v>-</v>
      </c>
      <c r="K49" s="116">
        <v>0</v>
      </c>
      <c r="L49" s="152">
        <f t="shared" si="28"/>
        <v>270</v>
      </c>
      <c r="M49" s="117">
        <f t="shared" si="29"/>
        <v>875</v>
      </c>
      <c r="N49" s="114" t="s">
        <v>115</v>
      </c>
      <c r="O49" s="114" t="str">
        <f>VLOOKUP($N49,'UMC Table 4-A'!$A$10:$E$139,2,FALSE)</f>
        <v>NO REQUIREMENT FOR CONTINUOUS DIRECTIONAL CONTROL</v>
      </c>
      <c r="P49" s="112" t="str">
        <f>VLOOKUP($N49,'UMC Table 4-A'!$A$10:$E$139,3,FALSE)</f>
        <v>NR</v>
      </c>
      <c r="Q49" s="152">
        <f t="shared" si="30"/>
        <v>0</v>
      </c>
      <c r="R49" s="112" t="str">
        <f>VLOOKUP($N49,'UMC Table 4-A'!$A$10:$E$139,5,FALSE)</f>
        <v>NR</v>
      </c>
      <c r="S49" s="113">
        <f t="shared" si="31"/>
        <v>875</v>
      </c>
      <c r="T49" s="137">
        <f t="shared" si="32"/>
        <v>875</v>
      </c>
      <c r="U49" s="137">
        <f t="shared" si="33"/>
        <v>875</v>
      </c>
      <c r="V49" s="137">
        <f t="shared" si="34"/>
        <v>0</v>
      </c>
      <c r="W49" s="89">
        <f t="shared" si="35"/>
        <v>0</v>
      </c>
      <c r="X49" s="31" t="str">
        <f t="shared" si="36"/>
        <v>Yes</v>
      </c>
      <c r="Y49" s="32">
        <f t="shared" si="37"/>
        <v>1</v>
      </c>
      <c r="Z49" s="70">
        <f t="shared" si="38"/>
        <v>0</v>
      </c>
      <c r="AA49" s="32">
        <f t="shared" si="39"/>
        <v>6.6666666666666661</v>
      </c>
      <c r="AD49" s="113" t="s">
        <v>172</v>
      </c>
      <c r="AE49" s="113" t="s">
        <v>203</v>
      </c>
      <c r="AF49" s="113" t="s">
        <v>209</v>
      </c>
      <c r="AG49" s="112">
        <f t="shared" si="42"/>
        <v>220</v>
      </c>
      <c r="AH49" s="112">
        <f t="shared" si="43"/>
        <v>6</v>
      </c>
      <c r="AI49" s="112">
        <f t="shared" si="44"/>
        <v>3</v>
      </c>
      <c r="AJ49" s="112">
        <f t="shared" ref="AJ49:AN49" si="57">AJ48</f>
        <v>0.5</v>
      </c>
      <c r="AK49" s="112">
        <f t="shared" si="57"/>
        <v>140</v>
      </c>
      <c r="AL49" s="112">
        <f t="shared" si="57"/>
        <v>100</v>
      </c>
      <c r="AM49" s="112">
        <f t="shared" si="57"/>
        <v>55</v>
      </c>
      <c r="AN49" s="112">
        <f t="shared" si="57"/>
        <v>85</v>
      </c>
      <c r="AO49" s="112">
        <f t="shared" si="46"/>
        <v>7.1000000000000005</v>
      </c>
      <c r="AP49" s="115">
        <f t="shared" si="47"/>
        <v>0.35500000000000004</v>
      </c>
      <c r="AQ49" s="115">
        <f t="shared" si="48"/>
        <v>0.5</v>
      </c>
      <c r="AR49" s="115">
        <f t="shared" si="21"/>
        <v>5</v>
      </c>
      <c r="AS49" s="115">
        <f t="shared" si="49"/>
        <v>20</v>
      </c>
      <c r="AT49" s="115" t="str">
        <f t="shared" ref="AT49:AU49" si="58">AT48</f>
        <v>F5/M-503</v>
      </c>
      <c r="AU49" s="112" t="str">
        <f t="shared" si="58"/>
        <v>1, 2</v>
      </c>
      <c r="AV49" s="17"/>
    </row>
    <row r="50" spans="2:48" ht="15" customHeight="1" x14ac:dyDescent="0.2">
      <c r="B50" s="160"/>
      <c r="C50" s="162" t="s">
        <v>151</v>
      </c>
      <c r="D50" s="167" t="s">
        <v>569</v>
      </c>
      <c r="E50" s="168">
        <v>2000</v>
      </c>
      <c r="F50" s="168">
        <v>248</v>
      </c>
      <c r="G50" s="173">
        <v>9.5</v>
      </c>
      <c r="H50" s="114">
        <f>VLOOKUP($N50,'UMC Table 4-A'!$A$10:$E$139,4,FALSE)</f>
        <v>4</v>
      </c>
      <c r="I50" s="114" t="str">
        <f>VLOOKUP($N50,'UMC Table 4-A'!$A$10:$E$139,5,FALSE)</f>
        <v>NR</v>
      </c>
      <c r="J50" s="111" t="str">
        <f t="shared" si="27"/>
        <v>-</v>
      </c>
      <c r="K50" s="116">
        <v>0</v>
      </c>
      <c r="L50" s="152">
        <f t="shared" si="28"/>
        <v>160</v>
      </c>
      <c r="M50" s="117">
        <f t="shared" si="29"/>
        <v>248</v>
      </c>
      <c r="N50" s="114" t="s">
        <v>123</v>
      </c>
      <c r="O50" s="114" t="str">
        <f>VLOOKUP($N50,'UMC Table 4-A'!$A$10:$E$139,2,FALSE)</f>
        <v>NO REQUIREMENT FOR CONTINUOUS DIRECTIONAL CONTROL</v>
      </c>
      <c r="P50" s="112">
        <f>VLOOKUP($N50,'UMC Table 4-A'!$A$10:$E$139,3,FALSE)</f>
        <v>2</v>
      </c>
      <c r="Q50" s="152">
        <f t="shared" si="30"/>
        <v>80</v>
      </c>
      <c r="R50" s="112" t="str">
        <f>VLOOKUP($N50,'UMC Table 4-A'!$A$10:$E$139,5,FALSE)</f>
        <v>NR</v>
      </c>
      <c r="S50" s="113">
        <f t="shared" si="31"/>
        <v>250</v>
      </c>
      <c r="T50" s="137">
        <f t="shared" si="32"/>
        <v>250</v>
      </c>
      <c r="U50" s="137">
        <f t="shared" si="33"/>
        <v>250</v>
      </c>
      <c r="V50" s="137">
        <f t="shared" si="34"/>
        <v>0</v>
      </c>
      <c r="W50" s="89">
        <f t="shared" si="35"/>
        <v>0</v>
      </c>
      <c r="X50" s="31" t="str">
        <f t="shared" si="36"/>
        <v>Yes</v>
      </c>
      <c r="Y50" s="32">
        <f t="shared" si="37"/>
        <v>1.0080645161290323</v>
      </c>
      <c r="Z50" s="70">
        <f t="shared" si="38"/>
        <v>32</v>
      </c>
      <c r="AA50" s="32">
        <f t="shared" si="39"/>
        <v>6.3667232597623089</v>
      </c>
      <c r="AD50" s="113" t="s">
        <v>173</v>
      </c>
      <c r="AE50" s="113" t="s">
        <v>203</v>
      </c>
      <c r="AF50" s="113" t="s">
        <v>209</v>
      </c>
      <c r="AG50" s="112">
        <f t="shared" si="42"/>
        <v>1110</v>
      </c>
      <c r="AH50" s="112">
        <f t="shared" si="43"/>
        <v>12</v>
      </c>
      <c r="AI50" s="112">
        <f t="shared" si="44"/>
        <v>6</v>
      </c>
      <c r="AJ50" s="112">
        <f t="shared" ref="AJ50:AN50" si="59">AJ49</f>
        <v>0.5</v>
      </c>
      <c r="AK50" s="112">
        <f t="shared" si="59"/>
        <v>140</v>
      </c>
      <c r="AL50" s="112">
        <f t="shared" si="59"/>
        <v>100</v>
      </c>
      <c r="AM50" s="112">
        <f t="shared" si="59"/>
        <v>55</v>
      </c>
      <c r="AN50" s="112">
        <f t="shared" si="59"/>
        <v>85</v>
      </c>
      <c r="AO50" s="112">
        <f t="shared" si="46"/>
        <v>36</v>
      </c>
      <c r="AP50" s="115">
        <f t="shared" si="47"/>
        <v>1.8</v>
      </c>
      <c r="AQ50" s="115">
        <f t="shared" si="48"/>
        <v>1.8</v>
      </c>
      <c r="AR50" s="115">
        <f t="shared" si="21"/>
        <v>5</v>
      </c>
      <c r="AS50" s="115">
        <f t="shared" si="49"/>
        <v>40</v>
      </c>
      <c r="AT50" s="115" t="str">
        <f t="shared" ref="AT50:AU50" si="60">AT49</f>
        <v>F5/M-503</v>
      </c>
      <c r="AU50" s="112" t="str">
        <f t="shared" si="60"/>
        <v>1, 2</v>
      </c>
      <c r="AV50" s="17"/>
    </row>
    <row r="51" spans="2:48" ht="15" customHeight="1" x14ac:dyDescent="0.2">
      <c r="B51" s="179"/>
      <c r="C51" s="162" t="s">
        <v>151</v>
      </c>
      <c r="D51" s="148" t="s">
        <v>733</v>
      </c>
      <c r="E51" s="168" t="s">
        <v>821</v>
      </c>
      <c r="F51" s="168">
        <v>67</v>
      </c>
      <c r="G51" s="172">
        <v>8</v>
      </c>
      <c r="H51" s="114">
        <f>VLOOKUP($N51,'UMC Table 4-A'!$A$10:$E$139,4,FALSE)</f>
        <v>10</v>
      </c>
      <c r="I51" s="114" t="str">
        <f>VLOOKUP($N51,'UMC Table 4-A'!$A$10:$E$139,5,FALSE)</f>
        <v>YES</v>
      </c>
      <c r="J51" s="111">
        <f t="shared" ref="J51" si="61">IF(I51="Yes",L51,"-")</f>
        <v>90</v>
      </c>
      <c r="K51" s="116">
        <v>1</v>
      </c>
      <c r="L51" s="152">
        <f t="shared" ref="L51" si="62">IF(H51&lt;&gt;"NR",ROUNDUP((F51*G51*H51)/60,-1),0)</f>
        <v>90</v>
      </c>
      <c r="M51" s="114"/>
      <c r="N51" s="111" t="s">
        <v>94</v>
      </c>
      <c r="O51" s="114" t="str">
        <f>VLOOKUP($N51,'UMC Table 4-A'!$A$10:$E$139,2,FALSE)</f>
        <v>NEGATIVE</v>
      </c>
      <c r="P51" s="112" t="str">
        <f>VLOOKUP($N51,'UMC Table 4-A'!$A$10:$E$139,3,FALSE)</f>
        <v>NR</v>
      </c>
      <c r="Q51" s="152">
        <f t="shared" ref="Q51" si="63">IF(P51&lt;&gt;"NR",ROUNDUP((F51*G51*P51)/60,-1),0)</f>
        <v>0</v>
      </c>
      <c r="R51" s="112" t="str">
        <f>VLOOKUP($N51,'UMC Table 4-A'!$A$10:$E$139,5,FALSE)</f>
        <v>YES</v>
      </c>
      <c r="S51" s="113">
        <f t="shared" ref="S51" si="64">IF(O51="Negative",IF(OR(N51="Toilet room",N51="Janitor's closet, housekeeping"),0,IF(0.1*V51&gt;50,220-0.1*V51,V51-50)),IF(R51="Yes",0,CEILING(MAX(K51:M51),5)))</f>
        <v>0</v>
      </c>
      <c r="T51" s="137">
        <f t="shared" ref="T51" si="65">S51</f>
        <v>0</v>
      </c>
      <c r="U51" s="137">
        <f t="shared" ref="U51" si="66">IF(R51="Yes",0,IF(O51="Positive",IF(0.1*S51&gt;50,S51-0.1*S51,S51-50),IF(O51="Negative",IF(0.1*S51&gt;50,S51+0.1*S51,S51+50),S51)))</f>
        <v>0</v>
      </c>
      <c r="V51" s="137">
        <f t="shared" ref="V51" si="67">IF(R51="Yes",J51,0)</f>
        <v>90</v>
      </c>
      <c r="W51" s="89">
        <f t="shared" ref="W51" si="68">T51-U51-V51</f>
        <v>-90</v>
      </c>
      <c r="X51" s="31" t="str">
        <f t="shared" ref="X51" si="69">IF(S51-U51-V51+W51=0,"Yes","No")</f>
        <v>No</v>
      </c>
      <c r="Y51" s="32">
        <f t="shared" ref="Y51" si="70">S51/F51</f>
        <v>0</v>
      </c>
      <c r="Z51" s="70" t="e">
        <f t="shared" ref="Z51" si="71">(Q51/T51)*100</f>
        <v>#DIV/0!</v>
      </c>
      <c r="AA51" s="32">
        <f t="shared" ref="AA51" si="72">S51/F51/G51*60</f>
        <v>0</v>
      </c>
      <c r="AD51" s="113" t="s">
        <v>174</v>
      </c>
      <c r="AE51" s="113" t="s">
        <v>203</v>
      </c>
      <c r="AF51" s="113" t="s">
        <v>209</v>
      </c>
      <c r="AG51" s="112">
        <f t="shared" si="42"/>
        <v>180</v>
      </c>
      <c r="AH51" s="112">
        <f t="shared" si="43"/>
        <v>6</v>
      </c>
      <c r="AI51" s="112">
        <f t="shared" si="44"/>
        <v>3</v>
      </c>
      <c r="AJ51" s="112">
        <f t="shared" ref="AJ51:AN51" si="73">AJ50</f>
        <v>0.5</v>
      </c>
      <c r="AK51" s="112">
        <f t="shared" si="73"/>
        <v>140</v>
      </c>
      <c r="AL51" s="112">
        <f t="shared" si="73"/>
        <v>100</v>
      </c>
      <c r="AM51" s="112">
        <f t="shared" si="73"/>
        <v>55</v>
      </c>
      <c r="AN51" s="112">
        <f t="shared" si="73"/>
        <v>85</v>
      </c>
      <c r="AO51" s="112">
        <f t="shared" si="46"/>
        <v>5.8000000000000007</v>
      </c>
      <c r="AP51" s="115">
        <f t="shared" si="47"/>
        <v>0.29000000000000004</v>
      </c>
      <c r="AQ51" s="115">
        <f t="shared" si="48"/>
        <v>0.5</v>
      </c>
      <c r="AR51" s="115">
        <f t="shared" si="21"/>
        <v>5</v>
      </c>
      <c r="AS51" s="115">
        <f t="shared" si="49"/>
        <v>20</v>
      </c>
      <c r="AT51" s="115" t="str">
        <f t="shared" ref="AT51:AU51" si="74">AT50</f>
        <v>F5/M-503</v>
      </c>
      <c r="AU51" s="112" t="str">
        <f t="shared" si="74"/>
        <v>1, 2</v>
      </c>
      <c r="AV51" s="17"/>
    </row>
    <row r="52" spans="2:48" ht="15" customHeight="1" x14ac:dyDescent="0.2">
      <c r="B52" s="160"/>
      <c r="C52" s="162" t="s">
        <v>152</v>
      </c>
      <c r="D52" s="167" t="s">
        <v>569</v>
      </c>
      <c r="E52" s="168">
        <v>2001</v>
      </c>
      <c r="F52" s="168">
        <v>237</v>
      </c>
      <c r="G52" s="173">
        <v>9.5</v>
      </c>
      <c r="H52" s="114">
        <f>VLOOKUP($N52,'UMC Table 4-A'!$A$10:$E$139,4,FALSE)</f>
        <v>4</v>
      </c>
      <c r="I52" s="114" t="str">
        <f>VLOOKUP($N52,'UMC Table 4-A'!$A$10:$E$139,5,FALSE)</f>
        <v>NR</v>
      </c>
      <c r="J52" s="111" t="str">
        <f t="shared" si="27"/>
        <v>-</v>
      </c>
      <c r="K52" s="116">
        <v>0</v>
      </c>
      <c r="L52" s="152">
        <f t="shared" si="28"/>
        <v>160</v>
      </c>
      <c r="M52" s="117">
        <f t="shared" si="29"/>
        <v>237</v>
      </c>
      <c r="N52" s="114" t="s">
        <v>123</v>
      </c>
      <c r="O52" s="114" t="str">
        <f>VLOOKUP($N52,'UMC Table 4-A'!$A$10:$E$139,2,FALSE)</f>
        <v>NO REQUIREMENT FOR CONTINUOUS DIRECTIONAL CONTROL</v>
      </c>
      <c r="P52" s="112">
        <f>VLOOKUP($N52,'UMC Table 4-A'!$A$10:$E$139,3,FALSE)</f>
        <v>2</v>
      </c>
      <c r="Q52" s="152">
        <f t="shared" si="30"/>
        <v>80</v>
      </c>
      <c r="R52" s="112" t="str">
        <f>VLOOKUP($N52,'UMC Table 4-A'!$A$10:$E$139,5,FALSE)</f>
        <v>NR</v>
      </c>
      <c r="S52" s="113">
        <f t="shared" si="31"/>
        <v>240</v>
      </c>
      <c r="T52" s="137">
        <f t="shared" si="32"/>
        <v>240</v>
      </c>
      <c r="U52" s="137">
        <f t="shared" si="33"/>
        <v>240</v>
      </c>
      <c r="V52" s="137">
        <f t="shared" si="34"/>
        <v>0</v>
      </c>
      <c r="W52" s="89">
        <f t="shared" si="35"/>
        <v>0</v>
      </c>
      <c r="X52" s="31" t="str">
        <f t="shared" si="36"/>
        <v>Yes</v>
      </c>
      <c r="Y52" s="32">
        <f t="shared" si="37"/>
        <v>1.0126582278481013</v>
      </c>
      <c r="Z52" s="70">
        <f t="shared" si="38"/>
        <v>33.333333333333329</v>
      </c>
      <c r="AA52" s="32">
        <f t="shared" si="39"/>
        <v>6.3957361758827451</v>
      </c>
      <c r="AD52" s="113" t="s">
        <v>175</v>
      </c>
      <c r="AE52" s="113" t="s">
        <v>203</v>
      </c>
      <c r="AF52" s="113" t="s">
        <v>209</v>
      </c>
      <c r="AG52" s="112">
        <f t="shared" si="42"/>
        <v>210</v>
      </c>
      <c r="AH52" s="112">
        <f t="shared" si="43"/>
        <v>6</v>
      </c>
      <c r="AI52" s="112">
        <f t="shared" si="44"/>
        <v>3</v>
      </c>
      <c r="AJ52" s="112">
        <f t="shared" ref="AJ52:AN52" si="75">AJ51</f>
        <v>0.5</v>
      </c>
      <c r="AK52" s="112">
        <f t="shared" si="75"/>
        <v>140</v>
      </c>
      <c r="AL52" s="112">
        <f t="shared" si="75"/>
        <v>100</v>
      </c>
      <c r="AM52" s="112">
        <f t="shared" si="75"/>
        <v>55</v>
      </c>
      <c r="AN52" s="112">
        <f t="shared" si="75"/>
        <v>85</v>
      </c>
      <c r="AO52" s="112">
        <f t="shared" si="46"/>
        <v>6.8000000000000007</v>
      </c>
      <c r="AP52" s="115">
        <f t="shared" si="47"/>
        <v>0.34</v>
      </c>
      <c r="AQ52" s="115">
        <f t="shared" si="48"/>
        <v>0.5</v>
      </c>
      <c r="AR52" s="115">
        <f t="shared" si="21"/>
        <v>5</v>
      </c>
      <c r="AS52" s="115">
        <f t="shared" si="49"/>
        <v>20</v>
      </c>
      <c r="AT52" s="115" t="str">
        <f t="shared" ref="AT52:AU52" si="76">AT51</f>
        <v>F5/M-503</v>
      </c>
      <c r="AU52" s="112" t="str">
        <f t="shared" si="76"/>
        <v>1, 2</v>
      </c>
      <c r="AV52" s="17"/>
    </row>
    <row r="53" spans="2:48" ht="15" customHeight="1" x14ac:dyDescent="0.2">
      <c r="B53" s="160"/>
      <c r="C53" s="162" t="s">
        <v>152</v>
      </c>
      <c r="D53" s="148" t="s">
        <v>733</v>
      </c>
      <c r="E53" s="169" t="s">
        <v>763</v>
      </c>
      <c r="F53" s="169">
        <v>64</v>
      </c>
      <c r="G53" s="172">
        <v>8</v>
      </c>
      <c r="H53" s="114">
        <f>VLOOKUP($N53,'UMC Table 4-A'!$A$10:$E$139,4,FALSE)</f>
        <v>10</v>
      </c>
      <c r="I53" s="114" t="str">
        <f>VLOOKUP($N53,'UMC Table 4-A'!$A$10:$E$139,5,FALSE)</f>
        <v>YES</v>
      </c>
      <c r="J53" s="111">
        <f t="shared" si="27"/>
        <v>90</v>
      </c>
      <c r="K53" s="116">
        <v>0</v>
      </c>
      <c r="L53" s="152">
        <f t="shared" si="28"/>
        <v>90</v>
      </c>
      <c r="M53" s="117"/>
      <c r="N53" s="114" t="s">
        <v>94</v>
      </c>
      <c r="O53" s="114" t="str">
        <f>VLOOKUP($N53,'UMC Table 4-A'!$A$10:$E$139,2,FALSE)</f>
        <v>NEGATIVE</v>
      </c>
      <c r="P53" s="112" t="str">
        <f>VLOOKUP($N53,'UMC Table 4-A'!$A$10:$E$139,3,FALSE)</f>
        <v>NR</v>
      </c>
      <c r="Q53" s="152">
        <f t="shared" si="30"/>
        <v>0</v>
      </c>
      <c r="R53" s="112" t="str">
        <f>VLOOKUP($N53,'UMC Table 4-A'!$A$10:$E$139,5,FALSE)</f>
        <v>YES</v>
      </c>
      <c r="S53" s="113">
        <f t="shared" si="31"/>
        <v>0</v>
      </c>
      <c r="T53" s="137">
        <f t="shared" si="32"/>
        <v>0</v>
      </c>
      <c r="U53" s="137">
        <f t="shared" si="33"/>
        <v>0</v>
      </c>
      <c r="V53" s="137">
        <f t="shared" si="34"/>
        <v>90</v>
      </c>
      <c r="W53" s="89">
        <f t="shared" si="35"/>
        <v>-90</v>
      </c>
      <c r="X53" s="31" t="str">
        <f t="shared" si="36"/>
        <v>No</v>
      </c>
      <c r="Y53" s="32">
        <f t="shared" si="37"/>
        <v>0</v>
      </c>
      <c r="Z53" s="70" t="e">
        <f t="shared" si="38"/>
        <v>#DIV/0!</v>
      </c>
      <c r="AA53" s="32">
        <f t="shared" si="39"/>
        <v>0</v>
      </c>
      <c r="AD53" s="113" t="s">
        <v>176</v>
      </c>
      <c r="AE53" s="113" t="s">
        <v>203</v>
      </c>
      <c r="AF53" s="113" t="s">
        <v>209</v>
      </c>
      <c r="AG53" s="112">
        <f t="shared" si="42"/>
        <v>90</v>
      </c>
      <c r="AH53" s="112">
        <f t="shared" si="43"/>
        <v>6</v>
      </c>
      <c r="AI53" s="112">
        <f t="shared" si="44"/>
        <v>3</v>
      </c>
      <c r="AJ53" s="112">
        <f t="shared" ref="AJ53:AN53" si="77">AJ52</f>
        <v>0.5</v>
      </c>
      <c r="AK53" s="112">
        <f t="shared" si="77"/>
        <v>140</v>
      </c>
      <c r="AL53" s="112">
        <f t="shared" si="77"/>
        <v>100</v>
      </c>
      <c r="AM53" s="112">
        <f t="shared" si="77"/>
        <v>55</v>
      </c>
      <c r="AN53" s="112">
        <f t="shared" si="77"/>
        <v>85</v>
      </c>
      <c r="AO53" s="112">
        <f t="shared" si="46"/>
        <v>2.9000000000000004</v>
      </c>
      <c r="AP53" s="115">
        <f t="shared" si="47"/>
        <v>0.14500000000000002</v>
      </c>
      <c r="AQ53" s="115">
        <f t="shared" si="48"/>
        <v>0.5</v>
      </c>
      <c r="AR53" s="115">
        <f t="shared" si="21"/>
        <v>5</v>
      </c>
      <c r="AS53" s="115">
        <f t="shared" si="49"/>
        <v>20</v>
      </c>
      <c r="AT53" s="115" t="str">
        <f t="shared" ref="AT53:AU53" si="78">AT52</f>
        <v>F5/M-503</v>
      </c>
      <c r="AU53" s="112" t="str">
        <f t="shared" si="78"/>
        <v>1, 2</v>
      </c>
      <c r="AV53" s="17"/>
    </row>
    <row r="54" spans="2:48" ht="15" customHeight="1" x14ac:dyDescent="0.2">
      <c r="B54" s="160"/>
      <c r="C54" s="162" t="s">
        <v>153</v>
      </c>
      <c r="D54" s="167" t="s">
        <v>569</v>
      </c>
      <c r="E54" s="168">
        <v>2002</v>
      </c>
      <c r="F54" s="168">
        <v>232</v>
      </c>
      <c r="G54" s="173">
        <v>9.5</v>
      </c>
      <c r="H54" s="114">
        <f>VLOOKUP($N54,'UMC Table 4-A'!$A$10:$E$139,4,FALSE)</f>
        <v>4</v>
      </c>
      <c r="I54" s="114" t="str">
        <f>VLOOKUP($N54,'UMC Table 4-A'!$A$10:$E$139,5,FALSE)</f>
        <v>NR</v>
      </c>
      <c r="J54" s="111" t="str">
        <f t="shared" si="27"/>
        <v>-</v>
      </c>
      <c r="K54" s="116">
        <v>0</v>
      </c>
      <c r="L54" s="152">
        <f t="shared" si="28"/>
        <v>150</v>
      </c>
      <c r="M54" s="117">
        <f>F54</f>
        <v>232</v>
      </c>
      <c r="N54" s="114" t="s">
        <v>123</v>
      </c>
      <c r="O54" s="114" t="str">
        <f>VLOOKUP($N54,'UMC Table 4-A'!$A$10:$E$139,2,FALSE)</f>
        <v>NO REQUIREMENT FOR CONTINUOUS DIRECTIONAL CONTROL</v>
      </c>
      <c r="P54" s="112">
        <f>VLOOKUP($N54,'UMC Table 4-A'!$A$10:$E$139,3,FALSE)</f>
        <v>2</v>
      </c>
      <c r="Q54" s="152">
        <f t="shared" si="30"/>
        <v>80</v>
      </c>
      <c r="R54" s="112" t="str">
        <f>VLOOKUP($N54,'UMC Table 4-A'!$A$10:$E$139,5,FALSE)</f>
        <v>NR</v>
      </c>
      <c r="S54" s="113">
        <f t="shared" si="31"/>
        <v>235</v>
      </c>
      <c r="T54" s="137">
        <f t="shared" si="32"/>
        <v>235</v>
      </c>
      <c r="U54" s="137">
        <f t="shared" si="33"/>
        <v>235</v>
      </c>
      <c r="V54" s="137">
        <f t="shared" si="34"/>
        <v>0</v>
      </c>
      <c r="W54" s="89">
        <f t="shared" si="35"/>
        <v>0</v>
      </c>
      <c r="X54" s="31" t="str">
        <f t="shared" si="36"/>
        <v>Yes</v>
      </c>
      <c r="Y54" s="32">
        <f t="shared" si="37"/>
        <v>1.0129310344827587</v>
      </c>
      <c r="Z54" s="70">
        <f t="shared" si="38"/>
        <v>34.042553191489361</v>
      </c>
      <c r="AA54" s="32">
        <f t="shared" si="39"/>
        <v>6.3974591651542649</v>
      </c>
      <c r="AD54" s="113" t="s">
        <v>177</v>
      </c>
      <c r="AE54" s="113" t="s">
        <v>203</v>
      </c>
      <c r="AF54" s="113" t="s">
        <v>209</v>
      </c>
      <c r="AG54" s="112">
        <f t="shared" si="42"/>
        <v>185</v>
      </c>
      <c r="AH54" s="112">
        <f t="shared" si="43"/>
        <v>6</v>
      </c>
      <c r="AI54" s="112">
        <f t="shared" si="44"/>
        <v>3</v>
      </c>
      <c r="AJ54" s="112">
        <f t="shared" ref="AJ54:AN54" si="79">AJ53</f>
        <v>0.5</v>
      </c>
      <c r="AK54" s="112">
        <f t="shared" si="79"/>
        <v>140</v>
      </c>
      <c r="AL54" s="112">
        <f t="shared" si="79"/>
        <v>100</v>
      </c>
      <c r="AM54" s="112">
        <f t="shared" si="79"/>
        <v>55</v>
      </c>
      <c r="AN54" s="112">
        <f t="shared" si="79"/>
        <v>85</v>
      </c>
      <c r="AO54" s="112">
        <f t="shared" si="46"/>
        <v>6</v>
      </c>
      <c r="AP54" s="115">
        <f t="shared" si="47"/>
        <v>0.3</v>
      </c>
      <c r="AQ54" s="115">
        <f t="shared" si="48"/>
        <v>0.5</v>
      </c>
      <c r="AR54" s="115">
        <f t="shared" si="21"/>
        <v>5</v>
      </c>
      <c r="AS54" s="115">
        <f t="shared" si="49"/>
        <v>20</v>
      </c>
      <c r="AT54" s="115" t="str">
        <f t="shared" ref="AT54:AU54" si="80">AT53</f>
        <v>F5/M-503</v>
      </c>
      <c r="AU54" s="112" t="str">
        <f t="shared" si="80"/>
        <v>1, 2</v>
      </c>
      <c r="AV54" s="17"/>
    </row>
    <row r="55" spans="2:48" ht="15" customHeight="1" x14ac:dyDescent="0.2">
      <c r="B55" s="160"/>
      <c r="C55" s="162" t="s">
        <v>153</v>
      </c>
      <c r="D55" s="148" t="s">
        <v>733</v>
      </c>
      <c r="E55" s="169" t="s">
        <v>762</v>
      </c>
      <c r="F55" s="169">
        <v>64</v>
      </c>
      <c r="G55" s="172">
        <v>8</v>
      </c>
      <c r="H55" s="114">
        <f>VLOOKUP($N55,'UMC Table 4-A'!$A$10:$E$139,4,FALSE)</f>
        <v>10</v>
      </c>
      <c r="I55" s="114" t="str">
        <f>VLOOKUP($N55,'UMC Table 4-A'!$A$10:$E$139,5,FALSE)</f>
        <v>YES</v>
      </c>
      <c r="J55" s="111">
        <f t="shared" si="27"/>
        <v>90</v>
      </c>
      <c r="K55" s="116">
        <v>0</v>
      </c>
      <c r="L55" s="152">
        <f t="shared" si="28"/>
        <v>90</v>
      </c>
      <c r="M55" s="117"/>
      <c r="N55" s="114" t="s">
        <v>94</v>
      </c>
      <c r="O55" s="114" t="str">
        <f>VLOOKUP($N55,'UMC Table 4-A'!$A$10:$E$139,2,FALSE)</f>
        <v>NEGATIVE</v>
      </c>
      <c r="P55" s="112" t="str">
        <f>VLOOKUP($N55,'UMC Table 4-A'!$A$10:$E$139,3,FALSE)</f>
        <v>NR</v>
      </c>
      <c r="Q55" s="152">
        <f t="shared" si="30"/>
        <v>0</v>
      </c>
      <c r="R55" s="112" t="str">
        <f>VLOOKUP($N55,'UMC Table 4-A'!$A$10:$E$139,5,FALSE)</f>
        <v>YES</v>
      </c>
      <c r="S55" s="113">
        <f t="shared" si="31"/>
        <v>0</v>
      </c>
      <c r="T55" s="137">
        <f t="shared" si="32"/>
        <v>0</v>
      </c>
      <c r="U55" s="137">
        <f t="shared" si="33"/>
        <v>0</v>
      </c>
      <c r="V55" s="137">
        <f t="shared" si="34"/>
        <v>90</v>
      </c>
      <c r="W55" s="89">
        <f t="shared" si="35"/>
        <v>-90</v>
      </c>
      <c r="X55" s="31" t="str">
        <f t="shared" si="36"/>
        <v>No</v>
      </c>
      <c r="Y55" s="32">
        <f t="shared" si="37"/>
        <v>0</v>
      </c>
      <c r="Z55" s="70" t="e">
        <f t="shared" si="38"/>
        <v>#DIV/0!</v>
      </c>
      <c r="AA55" s="32">
        <f t="shared" si="39"/>
        <v>0</v>
      </c>
      <c r="AD55" s="113" t="s">
        <v>178</v>
      </c>
      <c r="AE55" s="113" t="s">
        <v>203</v>
      </c>
      <c r="AF55" s="113" t="s">
        <v>209</v>
      </c>
      <c r="AG55" s="112">
        <f t="shared" si="42"/>
        <v>205</v>
      </c>
      <c r="AH55" s="112">
        <f t="shared" si="43"/>
        <v>6</v>
      </c>
      <c r="AI55" s="112">
        <f t="shared" si="44"/>
        <v>3</v>
      </c>
      <c r="AJ55" s="112">
        <f t="shared" ref="AJ55:AN55" si="81">AJ54</f>
        <v>0.5</v>
      </c>
      <c r="AK55" s="112">
        <f t="shared" si="81"/>
        <v>140</v>
      </c>
      <c r="AL55" s="112">
        <f t="shared" si="81"/>
        <v>100</v>
      </c>
      <c r="AM55" s="112">
        <f t="shared" si="81"/>
        <v>55</v>
      </c>
      <c r="AN55" s="112">
        <f t="shared" si="81"/>
        <v>85</v>
      </c>
      <c r="AO55" s="112">
        <f t="shared" si="46"/>
        <v>6.6000000000000005</v>
      </c>
      <c r="AP55" s="115">
        <f t="shared" si="47"/>
        <v>0.33000000000000007</v>
      </c>
      <c r="AQ55" s="115">
        <f t="shared" si="48"/>
        <v>0.5</v>
      </c>
      <c r="AR55" s="115">
        <f t="shared" si="21"/>
        <v>5</v>
      </c>
      <c r="AS55" s="115">
        <f t="shared" si="49"/>
        <v>20</v>
      </c>
      <c r="AT55" s="115" t="str">
        <f t="shared" ref="AT55:AU55" si="82">AT54</f>
        <v>F5/M-503</v>
      </c>
      <c r="AU55" s="112" t="str">
        <f t="shared" si="82"/>
        <v>1, 2</v>
      </c>
      <c r="AV55" s="17"/>
    </row>
    <row r="56" spans="2:48" ht="15" customHeight="1" x14ac:dyDescent="0.2">
      <c r="B56" s="160"/>
      <c r="C56" s="162" t="s">
        <v>154</v>
      </c>
      <c r="D56" s="167" t="s">
        <v>569</v>
      </c>
      <c r="E56" s="168">
        <v>2003</v>
      </c>
      <c r="F56" s="168">
        <v>232</v>
      </c>
      <c r="G56" s="173">
        <v>9.5</v>
      </c>
      <c r="H56" s="114">
        <f>VLOOKUP($N56,'UMC Table 4-A'!$A$10:$E$139,4,FALSE)</f>
        <v>4</v>
      </c>
      <c r="I56" s="114" t="str">
        <f>VLOOKUP($N56,'UMC Table 4-A'!$A$10:$E$139,5,FALSE)</f>
        <v>NR</v>
      </c>
      <c r="J56" s="111" t="str">
        <f t="shared" si="27"/>
        <v>-</v>
      </c>
      <c r="K56" s="116">
        <v>0</v>
      </c>
      <c r="L56" s="152">
        <f t="shared" si="28"/>
        <v>150</v>
      </c>
      <c r="M56" s="117">
        <f>F56</f>
        <v>232</v>
      </c>
      <c r="N56" s="114" t="s">
        <v>123</v>
      </c>
      <c r="O56" s="114" t="str">
        <f>VLOOKUP($N56,'UMC Table 4-A'!$A$10:$E$139,2,FALSE)</f>
        <v>NO REQUIREMENT FOR CONTINUOUS DIRECTIONAL CONTROL</v>
      </c>
      <c r="P56" s="112">
        <f>VLOOKUP($N56,'UMC Table 4-A'!$A$10:$E$139,3,FALSE)</f>
        <v>2</v>
      </c>
      <c r="Q56" s="152">
        <f t="shared" si="30"/>
        <v>80</v>
      </c>
      <c r="R56" s="112" t="str">
        <f>VLOOKUP($N56,'UMC Table 4-A'!$A$10:$E$139,5,FALSE)</f>
        <v>NR</v>
      </c>
      <c r="S56" s="113">
        <f t="shared" si="31"/>
        <v>235</v>
      </c>
      <c r="T56" s="137">
        <f t="shared" si="32"/>
        <v>235</v>
      </c>
      <c r="U56" s="137">
        <f t="shared" si="33"/>
        <v>235</v>
      </c>
      <c r="V56" s="137">
        <f t="shared" si="34"/>
        <v>0</v>
      </c>
      <c r="W56" s="89">
        <f t="shared" si="35"/>
        <v>0</v>
      </c>
      <c r="X56" s="31" t="str">
        <f t="shared" si="36"/>
        <v>Yes</v>
      </c>
      <c r="Y56" s="32">
        <f t="shared" si="37"/>
        <v>1.0129310344827587</v>
      </c>
      <c r="Z56" s="70">
        <f t="shared" si="38"/>
        <v>34.042553191489361</v>
      </c>
      <c r="AA56" s="32">
        <f t="shared" si="39"/>
        <v>6.3974591651542649</v>
      </c>
      <c r="AD56" s="113" t="s">
        <v>179</v>
      </c>
      <c r="AE56" s="113" t="s">
        <v>203</v>
      </c>
      <c r="AF56" s="113" t="s">
        <v>209</v>
      </c>
      <c r="AG56" s="112">
        <f t="shared" si="42"/>
        <v>320</v>
      </c>
      <c r="AH56" s="112">
        <f t="shared" si="43"/>
        <v>6</v>
      </c>
      <c r="AI56" s="112">
        <f t="shared" si="44"/>
        <v>3</v>
      </c>
      <c r="AJ56" s="112">
        <f t="shared" ref="AJ56:AN56" si="83">AJ55</f>
        <v>0.5</v>
      </c>
      <c r="AK56" s="112">
        <f t="shared" si="83"/>
        <v>140</v>
      </c>
      <c r="AL56" s="112">
        <f t="shared" si="83"/>
        <v>100</v>
      </c>
      <c r="AM56" s="112">
        <f t="shared" si="83"/>
        <v>55</v>
      </c>
      <c r="AN56" s="112">
        <f t="shared" si="83"/>
        <v>85</v>
      </c>
      <c r="AO56" s="112">
        <f t="shared" si="46"/>
        <v>10.4</v>
      </c>
      <c r="AP56" s="115">
        <f t="shared" si="47"/>
        <v>0.52</v>
      </c>
      <c r="AQ56" s="115">
        <f t="shared" si="48"/>
        <v>0.52</v>
      </c>
      <c r="AR56" s="115">
        <f t="shared" si="21"/>
        <v>5</v>
      </c>
      <c r="AS56" s="115">
        <f t="shared" si="49"/>
        <v>20</v>
      </c>
      <c r="AT56" s="115" t="str">
        <f t="shared" ref="AT56:AU56" si="84">AT55</f>
        <v>F5/M-503</v>
      </c>
      <c r="AU56" s="112" t="str">
        <f t="shared" si="84"/>
        <v>1, 2</v>
      </c>
      <c r="AV56" s="17"/>
    </row>
    <row r="57" spans="2:48" ht="15" customHeight="1" x14ac:dyDescent="0.2">
      <c r="B57" s="160"/>
      <c r="C57" s="162" t="s">
        <v>154</v>
      </c>
      <c r="D57" s="148" t="s">
        <v>733</v>
      </c>
      <c r="E57" s="169" t="s">
        <v>761</v>
      </c>
      <c r="F57" s="169">
        <v>64</v>
      </c>
      <c r="G57" s="172">
        <v>8</v>
      </c>
      <c r="H57" s="114">
        <f>VLOOKUP($N57,'UMC Table 4-A'!$A$10:$E$139,4,FALSE)</f>
        <v>10</v>
      </c>
      <c r="I57" s="114" t="str">
        <f>VLOOKUP($N57,'UMC Table 4-A'!$A$10:$E$139,5,FALSE)</f>
        <v>YES</v>
      </c>
      <c r="J57" s="111">
        <f t="shared" si="27"/>
        <v>90</v>
      </c>
      <c r="K57" s="116">
        <v>0</v>
      </c>
      <c r="L57" s="152">
        <f t="shared" si="28"/>
        <v>90</v>
      </c>
      <c r="M57" s="117"/>
      <c r="N57" s="114" t="s">
        <v>94</v>
      </c>
      <c r="O57" s="114" t="str">
        <f>VLOOKUP($N57,'UMC Table 4-A'!$A$10:$E$139,2,FALSE)</f>
        <v>NEGATIVE</v>
      </c>
      <c r="P57" s="112" t="str">
        <f>VLOOKUP($N57,'UMC Table 4-A'!$A$10:$E$139,3,FALSE)</f>
        <v>NR</v>
      </c>
      <c r="Q57" s="152">
        <f t="shared" si="30"/>
        <v>0</v>
      </c>
      <c r="R57" s="112" t="str">
        <f>VLOOKUP($N57,'UMC Table 4-A'!$A$10:$E$139,5,FALSE)</f>
        <v>YES</v>
      </c>
      <c r="S57" s="113">
        <f t="shared" si="31"/>
        <v>0</v>
      </c>
      <c r="T57" s="137">
        <f t="shared" si="32"/>
        <v>0</v>
      </c>
      <c r="U57" s="137">
        <f t="shared" si="33"/>
        <v>0</v>
      </c>
      <c r="V57" s="137">
        <f t="shared" si="34"/>
        <v>90</v>
      </c>
      <c r="W57" s="89">
        <f t="shared" si="35"/>
        <v>-90</v>
      </c>
      <c r="X57" s="31" t="str">
        <f t="shared" si="36"/>
        <v>No</v>
      </c>
      <c r="Y57" s="32">
        <f t="shared" si="37"/>
        <v>0</v>
      </c>
      <c r="Z57" s="70" t="e">
        <f t="shared" si="38"/>
        <v>#DIV/0!</v>
      </c>
      <c r="AA57" s="32">
        <f t="shared" si="39"/>
        <v>0</v>
      </c>
      <c r="AD57" s="113" t="s">
        <v>180</v>
      </c>
      <c r="AE57" s="113" t="s">
        <v>203</v>
      </c>
      <c r="AF57" s="113" t="s">
        <v>209</v>
      </c>
      <c r="AG57" s="112">
        <f t="shared" si="42"/>
        <v>305</v>
      </c>
      <c r="AH57" s="112">
        <f t="shared" si="43"/>
        <v>6</v>
      </c>
      <c r="AI57" s="112">
        <f t="shared" si="44"/>
        <v>3</v>
      </c>
      <c r="AJ57" s="112">
        <f t="shared" ref="AJ57:AN57" si="85">AJ56</f>
        <v>0.5</v>
      </c>
      <c r="AK57" s="112">
        <f t="shared" si="85"/>
        <v>140</v>
      </c>
      <c r="AL57" s="112">
        <f t="shared" si="85"/>
        <v>100</v>
      </c>
      <c r="AM57" s="112">
        <f t="shared" si="85"/>
        <v>55</v>
      </c>
      <c r="AN57" s="112">
        <f t="shared" si="85"/>
        <v>85</v>
      </c>
      <c r="AO57" s="112">
        <f t="shared" si="46"/>
        <v>9.9</v>
      </c>
      <c r="AP57" s="115">
        <f t="shared" si="47"/>
        <v>0.495</v>
      </c>
      <c r="AQ57" s="115">
        <f t="shared" si="48"/>
        <v>0.5</v>
      </c>
      <c r="AR57" s="115">
        <f t="shared" si="21"/>
        <v>5</v>
      </c>
      <c r="AS57" s="115">
        <f t="shared" si="49"/>
        <v>20</v>
      </c>
      <c r="AT57" s="115" t="str">
        <f t="shared" ref="AT57:AU57" si="86">AT56</f>
        <v>F5/M-503</v>
      </c>
      <c r="AU57" s="112" t="str">
        <f t="shared" si="86"/>
        <v>1, 2</v>
      </c>
      <c r="AV57" s="17"/>
    </row>
    <row r="58" spans="2:48" ht="15" customHeight="1" x14ac:dyDescent="0.2">
      <c r="B58" s="160"/>
      <c r="C58" s="162" t="s">
        <v>155</v>
      </c>
      <c r="D58" s="167" t="s">
        <v>569</v>
      </c>
      <c r="E58" s="168">
        <v>2004</v>
      </c>
      <c r="F58" s="168">
        <v>223</v>
      </c>
      <c r="G58" s="173">
        <v>9.5</v>
      </c>
      <c r="H58" s="114">
        <f>VLOOKUP($N58,'UMC Table 4-A'!$A$10:$E$139,4,FALSE)</f>
        <v>4</v>
      </c>
      <c r="I58" s="114" t="str">
        <f>VLOOKUP($N58,'UMC Table 4-A'!$A$10:$E$139,5,FALSE)</f>
        <v>NR</v>
      </c>
      <c r="J58" s="111" t="str">
        <f t="shared" si="27"/>
        <v>-</v>
      </c>
      <c r="K58" s="116">
        <v>0</v>
      </c>
      <c r="L58" s="152">
        <f t="shared" si="28"/>
        <v>150</v>
      </c>
      <c r="M58" s="117">
        <f>F58</f>
        <v>223</v>
      </c>
      <c r="N58" s="114" t="s">
        <v>123</v>
      </c>
      <c r="O58" s="114" t="str">
        <f>VLOOKUP($N58,'UMC Table 4-A'!$A$10:$E$139,2,FALSE)</f>
        <v>NO REQUIREMENT FOR CONTINUOUS DIRECTIONAL CONTROL</v>
      </c>
      <c r="P58" s="112">
        <f>VLOOKUP($N58,'UMC Table 4-A'!$A$10:$E$139,3,FALSE)</f>
        <v>2</v>
      </c>
      <c r="Q58" s="152">
        <f t="shared" si="30"/>
        <v>80</v>
      </c>
      <c r="R58" s="112" t="str">
        <f>VLOOKUP($N58,'UMC Table 4-A'!$A$10:$E$139,5,FALSE)</f>
        <v>NR</v>
      </c>
      <c r="S58" s="113">
        <f t="shared" si="31"/>
        <v>225</v>
      </c>
      <c r="T58" s="137">
        <f t="shared" si="32"/>
        <v>225</v>
      </c>
      <c r="U58" s="137">
        <f t="shared" si="33"/>
        <v>225</v>
      </c>
      <c r="V58" s="137">
        <f t="shared" si="34"/>
        <v>0</v>
      </c>
      <c r="W58" s="89">
        <f t="shared" si="35"/>
        <v>0</v>
      </c>
      <c r="X58" s="31" t="str">
        <f t="shared" si="36"/>
        <v>Yes</v>
      </c>
      <c r="Y58" s="32">
        <f t="shared" si="37"/>
        <v>1.0089686098654709</v>
      </c>
      <c r="Z58" s="70">
        <f t="shared" si="38"/>
        <v>35.555555555555557</v>
      </c>
      <c r="AA58" s="32">
        <f t="shared" si="39"/>
        <v>6.3724333254661323</v>
      </c>
      <c r="AD58" s="113" t="s">
        <v>181</v>
      </c>
      <c r="AE58" s="113" t="s">
        <v>203</v>
      </c>
      <c r="AF58" s="113" t="s">
        <v>209</v>
      </c>
      <c r="AG58" s="112">
        <f t="shared" si="42"/>
        <v>195</v>
      </c>
      <c r="AH58" s="112">
        <f t="shared" si="43"/>
        <v>6</v>
      </c>
      <c r="AI58" s="112">
        <f t="shared" si="44"/>
        <v>3</v>
      </c>
      <c r="AJ58" s="112">
        <f t="shared" ref="AJ58:AN58" si="87">AJ57</f>
        <v>0.5</v>
      </c>
      <c r="AK58" s="112">
        <f t="shared" si="87"/>
        <v>140</v>
      </c>
      <c r="AL58" s="112">
        <f t="shared" si="87"/>
        <v>100</v>
      </c>
      <c r="AM58" s="112">
        <f t="shared" si="87"/>
        <v>55</v>
      </c>
      <c r="AN58" s="112">
        <f t="shared" si="87"/>
        <v>85</v>
      </c>
      <c r="AO58" s="112">
        <f t="shared" si="46"/>
        <v>6.3000000000000007</v>
      </c>
      <c r="AP58" s="115">
        <f t="shared" si="47"/>
        <v>0.31500000000000006</v>
      </c>
      <c r="AQ58" s="115">
        <f t="shared" si="48"/>
        <v>0.5</v>
      </c>
      <c r="AR58" s="115">
        <f t="shared" si="21"/>
        <v>5</v>
      </c>
      <c r="AS58" s="115">
        <f t="shared" si="49"/>
        <v>20</v>
      </c>
      <c r="AT58" s="115" t="str">
        <f t="shared" ref="AT58:AU58" si="88">AT57</f>
        <v>F5/M-503</v>
      </c>
      <c r="AU58" s="112" t="str">
        <f t="shared" si="88"/>
        <v>1, 2</v>
      </c>
      <c r="AV58" s="17"/>
    </row>
    <row r="59" spans="2:48" ht="15" customHeight="1" x14ac:dyDescent="0.2">
      <c r="B59" s="160"/>
      <c r="C59" s="162" t="s">
        <v>155</v>
      </c>
      <c r="D59" s="148" t="s">
        <v>733</v>
      </c>
      <c r="E59" s="169" t="s">
        <v>760</v>
      </c>
      <c r="F59" s="169">
        <v>64</v>
      </c>
      <c r="G59" s="172">
        <v>8</v>
      </c>
      <c r="H59" s="114">
        <f>VLOOKUP($N59,'UMC Table 4-A'!$A$10:$E$139,4,FALSE)</f>
        <v>10</v>
      </c>
      <c r="I59" s="114" t="str">
        <f>VLOOKUP($N59,'UMC Table 4-A'!$A$10:$E$139,5,FALSE)</f>
        <v>YES</v>
      </c>
      <c r="J59" s="111">
        <f t="shared" si="27"/>
        <v>90</v>
      </c>
      <c r="K59" s="116">
        <v>0</v>
      </c>
      <c r="L59" s="152">
        <f t="shared" si="28"/>
        <v>90</v>
      </c>
      <c r="M59" s="117"/>
      <c r="N59" s="114" t="s">
        <v>94</v>
      </c>
      <c r="O59" s="114" t="str">
        <f>VLOOKUP($N59,'UMC Table 4-A'!$A$10:$E$139,2,FALSE)</f>
        <v>NEGATIVE</v>
      </c>
      <c r="P59" s="112" t="str">
        <f>VLOOKUP($N59,'UMC Table 4-A'!$A$10:$E$139,3,FALSE)</f>
        <v>NR</v>
      </c>
      <c r="Q59" s="152">
        <f t="shared" si="30"/>
        <v>0</v>
      </c>
      <c r="R59" s="112" t="str">
        <f>VLOOKUP($N59,'UMC Table 4-A'!$A$10:$E$139,5,FALSE)</f>
        <v>YES</v>
      </c>
      <c r="S59" s="113">
        <f t="shared" si="31"/>
        <v>0</v>
      </c>
      <c r="T59" s="137">
        <f t="shared" si="32"/>
        <v>0</v>
      </c>
      <c r="U59" s="137">
        <f t="shared" si="33"/>
        <v>0</v>
      </c>
      <c r="V59" s="137">
        <f t="shared" si="34"/>
        <v>90</v>
      </c>
      <c r="W59" s="89">
        <f t="shared" si="35"/>
        <v>-90</v>
      </c>
      <c r="X59" s="31" t="str">
        <f t="shared" si="36"/>
        <v>No</v>
      </c>
      <c r="Y59" s="32">
        <f t="shared" si="37"/>
        <v>0</v>
      </c>
      <c r="Z59" s="70" t="e">
        <f t="shared" si="38"/>
        <v>#DIV/0!</v>
      </c>
      <c r="AA59" s="32">
        <f t="shared" si="39"/>
        <v>0</v>
      </c>
      <c r="AD59" s="113" t="s">
        <v>182</v>
      </c>
      <c r="AE59" s="113" t="s">
        <v>203</v>
      </c>
      <c r="AF59" s="113" t="s">
        <v>209</v>
      </c>
      <c r="AG59" s="112">
        <f t="shared" ref="AG59" si="89">SUMIF($C$8:$C$103,AD59,$T$8:$T$103)</f>
        <v>90</v>
      </c>
      <c r="AH59" s="112">
        <f t="shared" ref="AH59:AH64" si="90">VLOOKUP(AG59,$AX$12:$AY$17,2,TRUE)</f>
        <v>6</v>
      </c>
      <c r="AI59" s="112">
        <f t="shared" ref="AI59:AI64" si="91">AH59/2</f>
        <v>3</v>
      </c>
      <c r="AJ59" s="112">
        <f t="shared" ref="AJ59:AN59" si="92">AJ58</f>
        <v>0.5</v>
      </c>
      <c r="AK59" s="112">
        <f t="shared" si="92"/>
        <v>140</v>
      </c>
      <c r="AL59" s="112">
        <f t="shared" si="92"/>
        <v>100</v>
      </c>
      <c r="AM59" s="112">
        <f t="shared" si="92"/>
        <v>55</v>
      </c>
      <c r="AN59" s="112">
        <f t="shared" si="92"/>
        <v>85</v>
      </c>
      <c r="AO59" s="112">
        <f t="shared" ref="AO59:AO64" si="93">MROUND((1.08*(AN59-AM59)*AG59)/1000,0.1)</f>
        <v>2.9000000000000004</v>
      </c>
      <c r="AP59" s="115">
        <f t="shared" ref="AP59:AP64" si="94">(AO59*1000)/(500*(AK59-AL59))</f>
        <v>0.14500000000000002</v>
      </c>
      <c r="AQ59" s="115">
        <f t="shared" ref="AQ59:AQ64" si="95">IF(AP59&lt;0.5,0.5,AP59)</f>
        <v>0.5</v>
      </c>
      <c r="AR59" s="115">
        <f t="shared" si="21"/>
        <v>5</v>
      </c>
      <c r="AS59" s="115">
        <f t="shared" ref="AS59:AS64" si="96">_xlfn.XLOOKUP(AH59,$AY$12:$AY$17,$AZ$12:$AZ$17,)</f>
        <v>20</v>
      </c>
      <c r="AT59" s="115" t="str">
        <f t="shared" ref="AT59:AU59" si="97">AT58</f>
        <v>F5/M-503</v>
      </c>
      <c r="AU59" s="112" t="str">
        <f t="shared" si="97"/>
        <v>1, 2</v>
      </c>
      <c r="AV59" s="17"/>
    </row>
    <row r="60" spans="2:48" ht="15" customHeight="1" x14ac:dyDescent="0.2">
      <c r="B60" s="160"/>
      <c r="C60" s="162" t="s">
        <v>156</v>
      </c>
      <c r="D60" s="167" t="s">
        <v>581</v>
      </c>
      <c r="E60" s="168">
        <v>2104</v>
      </c>
      <c r="F60" s="168">
        <v>559</v>
      </c>
      <c r="G60" s="172">
        <v>9</v>
      </c>
      <c r="H60" s="114">
        <f>VLOOKUP($N60,'UMC Table 4-A'!$A$10:$E$139,4,FALSE)</f>
        <v>6</v>
      </c>
      <c r="I60" s="114" t="str">
        <f>VLOOKUP($N60,'UMC Table 4-A'!$A$10:$E$139,5,FALSE)</f>
        <v>NR</v>
      </c>
      <c r="J60" s="111" t="str">
        <f t="shared" si="27"/>
        <v>-</v>
      </c>
      <c r="K60" s="116">
        <v>0</v>
      </c>
      <c r="L60" s="152">
        <f t="shared" si="28"/>
        <v>510</v>
      </c>
      <c r="M60" s="117">
        <f>F60</f>
        <v>559</v>
      </c>
      <c r="N60" s="114" t="s">
        <v>91</v>
      </c>
      <c r="O60" s="114" t="str">
        <f>VLOOKUP($N60,'UMC Table 4-A'!$A$10:$E$139,2,FALSE)</f>
        <v>NO REQUIREMENT FOR CONTINUOUS DIRECTIONAL CONTROL</v>
      </c>
      <c r="P60" s="112">
        <f>VLOOKUP($N60,'UMC Table 4-A'!$A$10:$E$139,3,FALSE)</f>
        <v>2</v>
      </c>
      <c r="Q60" s="152">
        <f t="shared" si="30"/>
        <v>170</v>
      </c>
      <c r="R60" s="112" t="str">
        <f>VLOOKUP($N60,'UMC Table 4-A'!$A$10:$E$139,5,FALSE)</f>
        <v>NR</v>
      </c>
      <c r="S60" s="113">
        <f t="shared" si="31"/>
        <v>560</v>
      </c>
      <c r="T60" s="137">
        <f t="shared" si="32"/>
        <v>560</v>
      </c>
      <c r="U60" s="137">
        <f t="shared" si="33"/>
        <v>560</v>
      </c>
      <c r="V60" s="137">
        <f t="shared" si="34"/>
        <v>0</v>
      </c>
      <c r="W60" s="89">
        <f t="shared" si="35"/>
        <v>0</v>
      </c>
      <c r="X60" s="31" t="str">
        <f t="shared" si="36"/>
        <v>Yes</v>
      </c>
      <c r="Y60" s="32">
        <f t="shared" si="37"/>
        <v>1.0017889087656529</v>
      </c>
      <c r="Z60" s="70">
        <f t="shared" si="38"/>
        <v>30.357142857142854</v>
      </c>
      <c r="AA60" s="32">
        <f t="shared" si="39"/>
        <v>6.6785927251043518</v>
      </c>
      <c r="AD60" s="113" t="s">
        <v>183</v>
      </c>
      <c r="AE60" s="113" t="s">
        <v>203</v>
      </c>
      <c r="AF60" s="113" t="s">
        <v>209</v>
      </c>
      <c r="AG60" s="112">
        <f>SUMIF($C$8:$C$104,AD60,$T$8:$T$104)</f>
        <v>115</v>
      </c>
      <c r="AH60" s="112">
        <f t="shared" si="90"/>
        <v>6</v>
      </c>
      <c r="AI60" s="112">
        <f t="shared" si="91"/>
        <v>3</v>
      </c>
      <c r="AJ60" s="112">
        <f t="shared" ref="AJ60:AN60" si="98">AJ59</f>
        <v>0.5</v>
      </c>
      <c r="AK60" s="112">
        <f t="shared" si="98"/>
        <v>140</v>
      </c>
      <c r="AL60" s="112">
        <f t="shared" si="98"/>
        <v>100</v>
      </c>
      <c r="AM60" s="112">
        <f t="shared" si="98"/>
        <v>55</v>
      </c>
      <c r="AN60" s="112">
        <f t="shared" si="98"/>
        <v>85</v>
      </c>
      <c r="AO60" s="112">
        <f t="shared" si="93"/>
        <v>3.7</v>
      </c>
      <c r="AP60" s="115">
        <f t="shared" si="94"/>
        <v>0.185</v>
      </c>
      <c r="AQ60" s="115">
        <f t="shared" si="95"/>
        <v>0.5</v>
      </c>
      <c r="AR60" s="115">
        <f t="shared" si="21"/>
        <v>5</v>
      </c>
      <c r="AS60" s="115">
        <f t="shared" si="96"/>
        <v>20</v>
      </c>
      <c r="AT60" s="115" t="str">
        <f t="shared" ref="AT60:AU60" si="99">AT59</f>
        <v>F5/M-503</v>
      </c>
      <c r="AU60" s="112" t="str">
        <f t="shared" si="99"/>
        <v>1, 2</v>
      </c>
      <c r="AV60" s="17"/>
    </row>
    <row r="61" spans="2:48" ht="15" customHeight="1" x14ac:dyDescent="0.2">
      <c r="B61" s="160"/>
      <c r="C61" s="162" t="s">
        <v>156</v>
      </c>
      <c r="D61" s="167" t="s">
        <v>582</v>
      </c>
      <c r="E61" s="168">
        <v>2227</v>
      </c>
      <c r="F61" s="168">
        <v>57</v>
      </c>
      <c r="G61" s="172">
        <v>9</v>
      </c>
      <c r="H61" s="114">
        <f>VLOOKUP($N61,'UMC Table 4-A'!$A$10:$E$139,4,FALSE)</f>
        <v>6</v>
      </c>
      <c r="I61" s="114" t="str">
        <f>VLOOKUP($N61,'UMC Table 4-A'!$A$10:$E$139,5,FALSE)</f>
        <v>NR</v>
      </c>
      <c r="J61" s="111" t="str">
        <f t="shared" si="27"/>
        <v>-</v>
      </c>
      <c r="K61" s="116">
        <v>0</v>
      </c>
      <c r="L61" s="152">
        <f t="shared" si="28"/>
        <v>60</v>
      </c>
      <c r="M61" s="117">
        <f>F61</f>
        <v>57</v>
      </c>
      <c r="N61" s="114" t="s">
        <v>91</v>
      </c>
      <c r="O61" s="114" t="str">
        <f>VLOOKUP($N61,'UMC Table 4-A'!$A$10:$E$139,2,FALSE)</f>
        <v>NO REQUIREMENT FOR CONTINUOUS DIRECTIONAL CONTROL</v>
      </c>
      <c r="P61" s="112">
        <f>VLOOKUP($N61,'UMC Table 4-A'!$A$10:$E$139,3,FALSE)</f>
        <v>2</v>
      </c>
      <c r="Q61" s="152">
        <f t="shared" si="30"/>
        <v>20</v>
      </c>
      <c r="R61" s="112" t="str">
        <f>VLOOKUP($N61,'UMC Table 4-A'!$A$10:$E$139,5,FALSE)</f>
        <v>NR</v>
      </c>
      <c r="S61" s="113">
        <f t="shared" si="31"/>
        <v>60</v>
      </c>
      <c r="T61" s="137">
        <f t="shared" si="32"/>
        <v>60</v>
      </c>
      <c r="U61" s="137">
        <f t="shared" si="33"/>
        <v>60</v>
      </c>
      <c r="V61" s="137">
        <f t="shared" si="34"/>
        <v>0</v>
      </c>
      <c r="W61" s="89">
        <f t="shared" si="35"/>
        <v>0</v>
      </c>
      <c r="X61" s="31" t="str">
        <f t="shared" si="36"/>
        <v>Yes</v>
      </c>
      <c r="Y61" s="32">
        <f t="shared" si="37"/>
        <v>1.0526315789473684</v>
      </c>
      <c r="Z61" s="70">
        <f t="shared" si="38"/>
        <v>33.333333333333329</v>
      </c>
      <c r="AA61" s="32">
        <f t="shared" si="39"/>
        <v>7.0175438596491224</v>
      </c>
      <c r="AD61" s="113" t="s">
        <v>184</v>
      </c>
      <c r="AE61" s="113" t="s">
        <v>203</v>
      </c>
      <c r="AF61" s="113" t="s">
        <v>209</v>
      </c>
      <c r="AG61" s="112">
        <f>SUMIF($C$8:$C$105,AD61,$T$8:$T$105)</f>
        <v>70</v>
      </c>
      <c r="AH61" s="112">
        <f t="shared" si="90"/>
        <v>6</v>
      </c>
      <c r="AI61" s="112">
        <f t="shared" si="91"/>
        <v>3</v>
      </c>
      <c r="AJ61" s="112">
        <f t="shared" ref="AJ61:AN61" si="100">AJ60</f>
        <v>0.5</v>
      </c>
      <c r="AK61" s="112">
        <f t="shared" si="100"/>
        <v>140</v>
      </c>
      <c r="AL61" s="112">
        <f t="shared" si="100"/>
        <v>100</v>
      </c>
      <c r="AM61" s="112">
        <f t="shared" si="100"/>
        <v>55</v>
      </c>
      <c r="AN61" s="112">
        <f t="shared" si="100"/>
        <v>85</v>
      </c>
      <c r="AO61" s="112">
        <f t="shared" si="93"/>
        <v>2.3000000000000003</v>
      </c>
      <c r="AP61" s="115">
        <f t="shared" si="94"/>
        <v>0.11500000000000002</v>
      </c>
      <c r="AQ61" s="115">
        <f t="shared" si="95"/>
        <v>0.5</v>
      </c>
      <c r="AR61" s="115">
        <f t="shared" si="21"/>
        <v>5</v>
      </c>
      <c r="AS61" s="115">
        <f t="shared" si="96"/>
        <v>20</v>
      </c>
      <c r="AT61" s="115" t="str">
        <f t="shared" ref="AT61:AU61" si="101">AT60</f>
        <v>F5/M-503</v>
      </c>
      <c r="AU61" s="112" t="str">
        <f t="shared" si="101"/>
        <v>1, 2</v>
      </c>
      <c r="AV61" s="17"/>
    </row>
    <row r="62" spans="2:48" ht="15" customHeight="1" x14ac:dyDescent="0.2">
      <c r="B62" s="160"/>
      <c r="C62" s="162" t="s">
        <v>157</v>
      </c>
      <c r="D62" s="167" t="s">
        <v>583</v>
      </c>
      <c r="E62" s="168">
        <v>2222</v>
      </c>
      <c r="F62" s="168">
        <v>238</v>
      </c>
      <c r="G62" s="172">
        <v>9</v>
      </c>
      <c r="H62" s="114">
        <f>VLOOKUP($N62,'UMC Table 4-A'!$A$10:$E$139,4,FALSE)</f>
        <v>6</v>
      </c>
      <c r="I62" s="114" t="str">
        <f>VLOOKUP($N62,'UMC Table 4-A'!$A$10:$E$139,5,FALSE)</f>
        <v>NR</v>
      </c>
      <c r="J62" s="111" t="str">
        <f t="shared" si="27"/>
        <v>-</v>
      </c>
      <c r="K62" s="116">
        <v>0</v>
      </c>
      <c r="L62" s="152">
        <f t="shared" si="28"/>
        <v>220</v>
      </c>
      <c r="M62" s="117">
        <f>F62</f>
        <v>238</v>
      </c>
      <c r="N62" s="114" t="s">
        <v>91</v>
      </c>
      <c r="O62" s="114" t="str">
        <f>VLOOKUP($N62,'UMC Table 4-A'!$A$10:$E$139,2,FALSE)</f>
        <v>NO REQUIREMENT FOR CONTINUOUS DIRECTIONAL CONTROL</v>
      </c>
      <c r="P62" s="112">
        <f>VLOOKUP($N62,'UMC Table 4-A'!$A$10:$E$139,3,FALSE)</f>
        <v>2</v>
      </c>
      <c r="Q62" s="152">
        <f t="shared" si="30"/>
        <v>80</v>
      </c>
      <c r="R62" s="112" t="str">
        <f>VLOOKUP($N62,'UMC Table 4-A'!$A$10:$E$139,5,FALSE)</f>
        <v>NR</v>
      </c>
      <c r="S62" s="113">
        <f t="shared" si="31"/>
        <v>240</v>
      </c>
      <c r="T62" s="137">
        <f t="shared" si="32"/>
        <v>240</v>
      </c>
      <c r="U62" s="137">
        <f t="shared" si="33"/>
        <v>240</v>
      </c>
      <c r="V62" s="137">
        <f t="shared" si="34"/>
        <v>0</v>
      </c>
      <c r="W62" s="89">
        <f t="shared" si="35"/>
        <v>0</v>
      </c>
      <c r="X62" s="31" t="str">
        <f t="shared" si="36"/>
        <v>Yes</v>
      </c>
      <c r="Y62" s="32">
        <f t="shared" si="37"/>
        <v>1.0084033613445378</v>
      </c>
      <c r="Z62" s="70">
        <f t="shared" si="38"/>
        <v>33.333333333333329</v>
      </c>
      <c r="AA62" s="32">
        <f t="shared" si="39"/>
        <v>6.7226890756302513</v>
      </c>
      <c r="AD62" s="113" t="s">
        <v>185</v>
      </c>
      <c r="AE62" s="113" t="s">
        <v>203</v>
      </c>
      <c r="AF62" s="113" t="s">
        <v>209</v>
      </c>
      <c r="AG62" s="112">
        <f>SUMIF($C$8:$C$106,AD62,$T$8:$T$106)</f>
        <v>0</v>
      </c>
      <c r="AH62" s="112" t="e">
        <f t="shared" si="90"/>
        <v>#N/A</v>
      </c>
      <c r="AI62" s="112" t="e">
        <f t="shared" si="91"/>
        <v>#N/A</v>
      </c>
      <c r="AJ62" s="112">
        <f t="shared" ref="AJ62:AN62" si="102">AJ61</f>
        <v>0.5</v>
      </c>
      <c r="AK62" s="112">
        <f t="shared" si="102"/>
        <v>140</v>
      </c>
      <c r="AL62" s="112">
        <f t="shared" si="102"/>
        <v>100</v>
      </c>
      <c r="AM62" s="112">
        <f t="shared" si="102"/>
        <v>55</v>
      </c>
      <c r="AN62" s="112">
        <f t="shared" si="102"/>
        <v>85</v>
      </c>
      <c r="AO62" s="112">
        <f t="shared" si="93"/>
        <v>0</v>
      </c>
      <c r="AP62" s="115">
        <f t="shared" si="94"/>
        <v>0</v>
      </c>
      <c r="AQ62" s="115">
        <f t="shared" si="95"/>
        <v>0.5</v>
      </c>
      <c r="AR62" s="115">
        <f t="shared" si="21"/>
        <v>5</v>
      </c>
      <c r="AS62" s="115" t="e">
        <f t="shared" si="96"/>
        <v>#N/A</v>
      </c>
      <c r="AT62" s="115" t="str">
        <f t="shared" ref="AT62:AU62" si="103">AT61</f>
        <v>F5/M-503</v>
      </c>
      <c r="AU62" s="112" t="str">
        <f t="shared" si="103"/>
        <v>1, 2</v>
      </c>
      <c r="AV62" s="17"/>
    </row>
    <row r="63" spans="2:48" ht="15" customHeight="1" x14ac:dyDescent="0.2">
      <c r="B63" s="160"/>
      <c r="C63" s="162" t="s">
        <v>158</v>
      </c>
      <c r="D63" s="167" t="s">
        <v>569</v>
      </c>
      <c r="E63" s="168">
        <v>2034</v>
      </c>
      <c r="F63" s="168">
        <v>232</v>
      </c>
      <c r="G63" s="173">
        <v>9.5</v>
      </c>
      <c r="H63" s="114">
        <f>VLOOKUP($N63,'UMC Table 4-A'!$A$10:$E$139,4,FALSE)</f>
        <v>4</v>
      </c>
      <c r="I63" s="114" t="str">
        <f>VLOOKUP($N63,'UMC Table 4-A'!$A$10:$E$139,5,FALSE)</f>
        <v>NR</v>
      </c>
      <c r="J63" s="111" t="str">
        <f t="shared" si="27"/>
        <v>-</v>
      </c>
      <c r="K63" s="116">
        <v>0</v>
      </c>
      <c r="L63" s="152">
        <f t="shared" si="28"/>
        <v>150</v>
      </c>
      <c r="M63" s="117">
        <f>F63</f>
        <v>232</v>
      </c>
      <c r="N63" s="114" t="s">
        <v>123</v>
      </c>
      <c r="O63" s="114" t="str">
        <f>VLOOKUP($N63,'UMC Table 4-A'!$A$10:$E$139,2,FALSE)</f>
        <v>NO REQUIREMENT FOR CONTINUOUS DIRECTIONAL CONTROL</v>
      </c>
      <c r="P63" s="112">
        <f>VLOOKUP($N63,'UMC Table 4-A'!$A$10:$E$139,3,FALSE)</f>
        <v>2</v>
      </c>
      <c r="Q63" s="152">
        <f t="shared" si="30"/>
        <v>80</v>
      </c>
      <c r="R63" s="112" t="str">
        <f>VLOOKUP($N63,'UMC Table 4-A'!$A$10:$E$139,5,FALSE)</f>
        <v>NR</v>
      </c>
      <c r="S63" s="113">
        <f t="shared" si="31"/>
        <v>235</v>
      </c>
      <c r="T63" s="137">
        <f t="shared" si="32"/>
        <v>235</v>
      </c>
      <c r="U63" s="137">
        <f t="shared" si="33"/>
        <v>235</v>
      </c>
      <c r="V63" s="137">
        <f t="shared" si="34"/>
        <v>0</v>
      </c>
      <c r="W63" s="89">
        <f t="shared" si="35"/>
        <v>0</v>
      </c>
      <c r="X63" s="31" t="str">
        <f t="shared" si="36"/>
        <v>Yes</v>
      </c>
      <c r="Y63" s="32">
        <f t="shared" si="37"/>
        <v>1.0129310344827587</v>
      </c>
      <c r="Z63" s="70">
        <f t="shared" si="38"/>
        <v>34.042553191489361</v>
      </c>
      <c r="AA63" s="32">
        <f t="shared" si="39"/>
        <v>6.3974591651542649</v>
      </c>
      <c r="AD63" s="113" t="s">
        <v>186</v>
      </c>
      <c r="AE63" s="113" t="s">
        <v>203</v>
      </c>
      <c r="AF63" s="113" t="s">
        <v>209</v>
      </c>
      <c r="AG63" s="112">
        <f>SUMIF($C$8:$C$107,AD63,$T$8:$T$107)</f>
        <v>90</v>
      </c>
      <c r="AH63" s="112">
        <f t="shared" si="90"/>
        <v>6</v>
      </c>
      <c r="AI63" s="112">
        <f t="shared" si="91"/>
        <v>3</v>
      </c>
      <c r="AJ63" s="112">
        <f t="shared" ref="AJ63:AN63" si="104">AJ62</f>
        <v>0.5</v>
      </c>
      <c r="AK63" s="112">
        <f t="shared" si="104"/>
        <v>140</v>
      </c>
      <c r="AL63" s="112">
        <f t="shared" si="104"/>
        <v>100</v>
      </c>
      <c r="AM63" s="112">
        <f t="shared" si="104"/>
        <v>55</v>
      </c>
      <c r="AN63" s="112">
        <f t="shared" si="104"/>
        <v>85</v>
      </c>
      <c r="AO63" s="112">
        <f t="shared" si="93"/>
        <v>2.9000000000000004</v>
      </c>
      <c r="AP63" s="115">
        <f t="shared" si="94"/>
        <v>0.14500000000000002</v>
      </c>
      <c r="AQ63" s="115">
        <f t="shared" si="95"/>
        <v>0.5</v>
      </c>
      <c r="AR63" s="115">
        <f t="shared" si="21"/>
        <v>5</v>
      </c>
      <c r="AS63" s="115">
        <f t="shared" si="96"/>
        <v>20</v>
      </c>
      <c r="AT63" s="115" t="str">
        <f t="shared" ref="AT63:AU63" si="105">AT62</f>
        <v>F5/M-503</v>
      </c>
      <c r="AU63" s="112" t="str">
        <f t="shared" si="105"/>
        <v>1, 2</v>
      </c>
      <c r="AV63" s="17"/>
    </row>
    <row r="64" spans="2:48" ht="15" customHeight="1" x14ac:dyDescent="0.2">
      <c r="B64" s="160"/>
      <c r="C64" s="162" t="s">
        <v>158</v>
      </c>
      <c r="D64" s="148" t="s">
        <v>733</v>
      </c>
      <c r="E64" s="169" t="s">
        <v>758</v>
      </c>
      <c r="F64" s="169">
        <v>64</v>
      </c>
      <c r="G64" s="172">
        <v>8</v>
      </c>
      <c r="H64" s="114">
        <f>VLOOKUP($N64,'UMC Table 4-A'!$A$10:$E$139,4,FALSE)</f>
        <v>10</v>
      </c>
      <c r="I64" s="114" t="str">
        <f>VLOOKUP($N64,'UMC Table 4-A'!$A$10:$E$139,5,FALSE)</f>
        <v>YES</v>
      </c>
      <c r="J64" s="111">
        <f t="shared" si="27"/>
        <v>90</v>
      </c>
      <c r="K64" s="116">
        <v>0</v>
      </c>
      <c r="L64" s="152">
        <f t="shared" si="28"/>
        <v>90</v>
      </c>
      <c r="M64" s="117"/>
      <c r="N64" s="114" t="s">
        <v>94</v>
      </c>
      <c r="O64" s="114" t="str">
        <f>VLOOKUP($N64,'UMC Table 4-A'!$A$10:$E$139,2,FALSE)</f>
        <v>NEGATIVE</v>
      </c>
      <c r="P64" s="112" t="str">
        <f>VLOOKUP($N64,'UMC Table 4-A'!$A$10:$E$139,3,FALSE)</f>
        <v>NR</v>
      </c>
      <c r="Q64" s="152">
        <f t="shared" si="30"/>
        <v>0</v>
      </c>
      <c r="R64" s="112" t="str">
        <f>VLOOKUP($N64,'UMC Table 4-A'!$A$10:$E$139,5,FALSE)</f>
        <v>YES</v>
      </c>
      <c r="S64" s="113">
        <f t="shared" si="31"/>
        <v>0</v>
      </c>
      <c r="T64" s="137">
        <f t="shared" si="32"/>
        <v>0</v>
      </c>
      <c r="U64" s="137">
        <f t="shared" si="33"/>
        <v>0</v>
      </c>
      <c r="V64" s="137">
        <f t="shared" si="34"/>
        <v>90</v>
      </c>
      <c r="W64" s="89">
        <f t="shared" si="35"/>
        <v>-90</v>
      </c>
      <c r="X64" s="31" t="str">
        <f t="shared" si="36"/>
        <v>No</v>
      </c>
      <c r="Y64" s="32">
        <f t="shared" si="37"/>
        <v>0</v>
      </c>
      <c r="Z64" s="70" t="e">
        <f t="shared" si="38"/>
        <v>#DIV/0!</v>
      </c>
      <c r="AA64" s="32">
        <f t="shared" si="39"/>
        <v>0</v>
      </c>
      <c r="AD64" s="113" t="s">
        <v>187</v>
      </c>
      <c r="AE64" s="113" t="s">
        <v>203</v>
      </c>
      <c r="AF64" s="113" t="s">
        <v>209</v>
      </c>
      <c r="AG64" s="112">
        <f>SUMIF($C$8:$C$108,AD64,$T$8:$T$108)</f>
        <v>65</v>
      </c>
      <c r="AH64" s="112">
        <f t="shared" si="90"/>
        <v>6</v>
      </c>
      <c r="AI64" s="112">
        <f t="shared" si="91"/>
        <v>3</v>
      </c>
      <c r="AJ64" s="112">
        <f t="shared" ref="AJ64:AN64" si="106">AJ63</f>
        <v>0.5</v>
      </c>
      <c r="AK64" s="112">
        <f t="shared" si="106"/>
        <v>140</v>
      </c>
      <c r="AL64" s="112">
        <f t="shared" si="106"/>
        <v>100</v>
      </c>
      <c r="AM64" s="112">
        <f t="shared" si="106"/>
        <v>55</v>
      </c>
      <c r="AN64" s="112">
        <f t="shared" si="106"/>
        <v>85</v>
      </c>
      <c r="AO64" s="112">
        <f t="shared" si="93"/>
        <v>2.1</v>
      </c>
      <c r="AP64" s="115">
        <f t="shared" si="94"/>
        <v>0.105</v>
      </c>
      <c r="AQ64" s="115">
        <f t="shared" si="95"/>
        <v>0.5</v>
      </c>
      <c r="AR64" s="115">
        <f t="shared" si="21"/>
        <v>5</v>
      </c>
      <c r="AS64" s="115">
        <f t="shared" si="96"/>
        <v>20</v>
      </c>
      <c r="AT64" s="115" t="str">
        <f t="shared" ref="AT64:AU64" si="107">AT63</f>
        <v>F5/M-503</v>
      </c>
      <c r="AU64" s="112" t="str">
        <f t="shared" si="107"/>
        <v>1, 2</v>
      </c>
      <c r="AV64" s="17"/>
    </row>
    <row r="65" spans="2:48" ht="15" customHeight="1" x14ac:dyDescent="0.2">
      <c r="B65" s="160"/>
      <c r="C65" s="162" t="s">
        <v>159</v>
      </c>
      <c r="D65" s="167" t="s">
        <v>569</v>
      </c>
      <c r="E65" s="168">
        <v>2033</v>
      </c>
      <c r="F65" s="168">
        <v>232</v>
      </c>
      <c r="G65" s="173">
        <v>9.5</v>
      </c>
      <c r="H65" s="114">
        <f>VLOOKUP($N65,'UMC Table 4-A'!$A$10:$E$139,4,FALSE)</f>
        <v>4</v>
      </c>
      <c r="I65" s="114" t="str">
        <f>VLOOKUP($N65,'UMC Table 4-A'!$A$10:$E$139,5,FALSE)</f>
        <v>NR</v>
      </c>
      <c r="J65" s="111" t="str">
        <f t="shared" si="27"/>
        <v>-</v>
      </c>
      <c r="K65" s="116">
        <v>0</v>
      </c>
      <c r="L65" s="152">
        <f t="shared" si="28"/>
        <v>150</v>
      </c>
      <c r="M65" s="117">
        <f>F65</f>
        <v>232</v>
      </c>
      <c r="N65" s="114" t="s">
        <v>123</v>
      </c>
      <c r="O65" s="114" t="str">
        <f>VLOOKUP($N65,'UMC Table 4-A'!$A$10:$E$139,2,FALSE)</f>
        <v>NO REQUIREMENT FOR CONTINUOUS DIRECTIONAL CONTROL</v>
      </c>
      <c r="P65" s="112">
        <f>VLOOKUP($N65,'UMC Table 4-A'!$A$10:$E$139,3,FALSE)</f>
        <v>2</v>
      </c>
      <c r="Q65" s="152">
        <f t="shared" si="30"/>
        <v>80</v>
      </c>
      <c r="R65" s="112" t="str">
        <f>VLOOKUP($N65,'UMC Table 4-A'!$A$10:$E$139,5,FALSE)</f>
        <v>NR</v>
      </c>
      <c r="S65" s="113">
        <f t="shared" si="31"/>
        <v>235</v>
      </c>
      <c r="T65" s="137">
        <f t="shared" si="32"/>
        <v>235</v>
      </c>
      <c r="U65" s="137">
        <f t="shared" si="33"/>
        <v>235</v>
      </c>
      <c r="V65" s="137">
        <f t="shared" si="34"/>
        <v>0</v>
      </c>
      <c r="W65" s="89">
        <f t="shared" si="35"/>
        <v>0</v>
      </c>
      <c r="X65" s="31" t="str">
        <f t="shared" si="36"/>
        <v>Yes</v>
      </c>
      <c r="Y65" s="32">
        <f t="shared" si="37"/>
        <v>1.0129310344827587</v>
      </c>
      <c r="Z65" s="70">
        <f t="shared" si="38"/>
        <v>34.042553191489361</v>
      </c>
      <c r="AA65" s="32">
        <f t="shared" si="39"/>
        <v>6.3974591651542649</v>
      </c>
      <c r="AD65" s="184" t="s">
        <v>207</v>
      </c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7"/>
      <c r="AP65" s="207"/>
      <c r="AQ65" s="207"/>
      <c r="AR65" s="207"/>
      <c r="AS65" s="207"/>
      <c r="AT65" s="207"/>
      <c r="AU65" s="208"/>
      <c r="AV65" s="17"/>
    </row>
    <row r="66" spans="2:48" ht="15" customHeight="1" x14ac:dyDescent="0.2">
      <c r="B66" s="160"/>
      <c r="C66" s="162" t="s">
        <v>159</v>
      </c>
      <c r="D66" s="148" t="s">
        <v>733</v>
      </c>
      <c r="E66" s="169" t="s">
        <v>757</v>
      </c>
      <c r="F66" s="169">
        <v>64</v>
      </c>
      <c r="G66" s="172">
        <v>8</v>
      </c>
      <c r="H66" s="114">
        <f>VLOOKUP($N66,'UMC Table 4-A'!$A$10:$E$139,4,FALSE)</f>
        <v>10</v>
      </c>
      <c r="I66" s="114" t="str">
        <f>VLOOKUP($N66,'UMC Table 4-A'!$A$10:$E$139,5,FALSE)</f>
        <v>YES</v>
      </c>
      <c r="J66" s="111">
        <f t="shared" si="27"/>
        <v>90</v>
      </c>
      <c r="K66" s="116">
        <v>0</v>
      </c>
      <c r="L66" s="152">
        <f t="shared" si="28"/>
        <v>90</v>
      </c>
      <c r="M66" s="117"/>
      <c r="N66" s="114" t="s">
        <v>94</v>
      </c>
      <c r="O66" s="114" t="str">
        <f>VLOOKUP($N66,'UMC Table 4-A'!$A$10:$E$139,2,FALSE)</f>
        <v>NEGATIVE</v>
      </c>
      <c r="P66" s="112" t="str">
        <f>VLOOKUP($N66,'UMC Table 4-A'!$A$10:$E$139,3,FALSE)</f>
        <v>NR</v>
      </c>
      <c r="Q66" s="152">
        <f t="shared" si="30"/>
        <v>0</v>
      </c>
      <c r="R66" s="112" t="str">
        <f>VLOOKUP($N66,'UMC Table 4-A'!$A$10:$E$139,5,FALSE)</f>
        <v>YES</v>
      </c>
      <c r="S66" s="113">
        <f t="shared" si="31"/>
        <v>0</v>
      </c>
      <c r="T66" s="137">
        <f t="shared" si="32"/>
        <v>0</v>
      </c>
      <c r="U66" s="137">
        <f t="shared" si="33"/>
        <v>0</v>
      </c>
      <c r="V66" s="137">
        <f t="shared" si="34"/>
        <v>90</v>
      </c>
      <c r="W66" s="89">
        <f t="shared" si="35"/>
        <v>-90</v>
      </c>
      <c r="X66" s="31" t="str">
        <f t="shared" si="36"/>
        <v>No</v>
      </c>
      <c r="Y66" s="32">
        <f t="shared" si="37"/>
        <v>0</v>
      </c>
      <c r="Z66" s="70" t="e">
        <f t="shared" si="38"/>
        <v>#DIV/0!</v>
      </c>
      <c r="AA66" s="32">
        <f t="shared" si="39"/>
        <v>0</v>
      </c>
      <c r="AD66" s="187"/>
      <c r="AE66" s="188"/>
      <c r="AF66" s="188"/>
      <c r="AG66" s="188"/>
      <c r="AH66" s="188"/>
      <c r="AI66" s="188"/>
      <c r="AJ66" s="188"/>
      <c r="AK66" s="188"/>
      <c r="AL66" s="188"/>
      <c r="AM66" s="188"/>
      <c r="AN66" s="188"/>
      <c r="AO66" s="188"/>
      <c r="AP66" s="188"/>
      <c r="AQ66" s="188"/>
      <c r="AR66" s="188"/>
      <c r="AS66" s="188"/>
      <c r="AT66" s="188"/>
      <c r="AU66" s="189"/>
      <c r="AV66" s="17"/>
    </row>
    <row r="67" spans="2:48" ht="15" customHeight="1" x14ac:dyDescent="0.2">
      <c r="B67" s="160"/>
      <c r="C67" s="162" t="s">
        <v>160</v>
      </c>
      <c r="D67" s="167" t="s">
        <v>569</v>
      </c>
      <c r="E67" s="168">
        <v>2032</v>
      </c>
      <c r="F67" s="168">
        <v>232</v>
      </c>
      <c r="G67" s="173">
        <v>9.5</v>
      </c>
      <c r="H67" s="114">
        <f>VLOOKUP($N67,'UMC Table 4-A'!$A$10:$E$139,4,FALSE)</f>
        <v>4</v>
      </c>
      <c r="I67" s="114" t="str">
        <f>VLOOKUP($N67,'UMC Table 4-A'!$A$10:$E$139,5,FALSE)</f>
        <v>NR</v>
      </c>
      <c r="J67" s="111" t="str">
        <f t="shared" si="27"/>
        <v>-</v>
      </c>
      <c r="K67" s="116">
        <v>0</v>
      </c>
      <c r="L67" s="152">
        <f t="shared" si="28"/>
        <v>150</v>
      </c>
      <c r="M67" s="117">
        <f>F67</f>
        <v>232</v>
      </c>
      <c r="N67" s="114" t="s">
        <v>123</v>
      </c>
      <c r="O67" s="114" t="str">
        <f>VLOOKUP($N67,'UMC Table 4-A'!$A$10:$E$139,2,FALSE)</f>
        <v>NO REQUIREMENT FOR CONTINUOUS DIRECTIONAL CONTROL</v>
      </c>
      <c r="P67" s="112">
        <f>VLOOKUP($N67,'UMC Table 4-A'!$A$10:$E$139,3,FALSE)</f>
        <v>2</v>
      </c>
      <c r="Q67" s="152">
        <f t="shared" si="30"/>
        <v>80</v>
      </c>
      <c r="R67" s="112" t="str">
        <f>VLOOKUP($N67,'UMC Table 4-A'!$A$10:$E$139,5,FALSE)</f>
        <v>NR</v>
      </c>
      <c r="S67" s="113">
        <f t="shared" si="31"/>
        <v>235</v>
      </c>
      <c r="T67" s="137">
        <f t="shared" si="32"/>
        <v>235</v>
      </c>
      <c r="U67" s="137">
        <f t="shared" si="33"/>
        <v>235</v>
      </c>
      <c r="V67" s="137">
        <f t="shared" si="34"/>
        <v>0</v>
      </c>
      <c r="W67" s="89">
        <f t="shared" si="35"/>
        <v>0</v>
      </c>
      <c r="X67" s="31" t="str">
        <f t="shared" si="36"/>
        <v>Yes</v>
      </c>
      <c r="Y67" s="32">
        <f t="shared" si="37"/>
        <v>1.0129310344827587</v>
      </c>
      <c r="Z67" s="70">
        <f t="shared" si="38"/>
        <v>34.042553191489361</v>
      </c>
      <c r="AA67" s="32">
        <f t="shared" si="39"/>
        <v>6.3974591651542649</v>
      </c>
      <c r="AD67" s="187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Q67" s="188"/>
      <c r="AR67" s="188"/>
      <c r="AS67" s="188"/>
      <c r="AT67" s="188"/>
      <c r="AU67" s="189"/>
      <c r="AV67" s="17"/>
    </row>
    <row r="68" spans="2:48" ht="15" customHeight="1" x14ac:dyDescent="0.2">
      <c r="B68" s="160"/>
      <c r="C68" s="162" t="s">
        <v>160</v>
      </c>
      <c r="D68" s="148" t="s">
        <v>733</v>
      </c>
      <c r="E68" s="169" t="s">
        <v>756</v>
      </c>
      <c r="F68" s="169">
        <v>64</v>
      </c>
      <c r="G68" s="172">
        <v>8</v>
      </c>
      <c r="H68" s="114">
        <f>VLOOKUP($N68,'UMC Table 4-A'!$A$10:$E$139,4,FALSE)</f>
        <v>10</v>
      </c>
      <c r="I68" s="114" t="str">
        <f>VLOOKUP($N68,'UMC Table 4-A'!$A$10:$E$139,5,FALSE)</f>
        <v>YES</v>
      </c>
      <c r="J68" s="111">
        <f t="shared" si="27"/>
        <v>90</v>
      </c>
      <c r="K68" s="116">
        <v>0</v>
      </c>
      <c r="L68" s="152">
        <f t="shared" si="28"/>
        <v>90</v>
      </c>
      <c r="M68" s="117"/>
      <c r="N68" s="114" t="s">
        <v>94</v>
      </c>
      <c r="O68" s="114" t="str">
        <f>VLOOKUP($N68,'UMC Table 4-A'!$A$10:$E$139,2,FALSE)</f>
        <v>NEGATIVE</v>
      </c>
      <c r="P68" s="112" t="str">
        <f>VLOOKUP($N68,'UMC Table 4-A'!$A$10:$E$139,3,FALSE)</f>
        <v>NR</v>
      </c>
      <c r="Q68" s="152">
        <f t="shared" si="30"/>
        <v>0</v>
      </c>
      <c r="R68" s="112" t="str">
        <f>VLOOKUP($N68,'UMC Table 4-A'!$A$10:$E$139,5,FALSE)</f>
        <v>YES</v>
      </c>
      <c r="S68" s="113">
        <f t="shared" si="31"/>
        <v>0</v>
      </c>
      <c r="T68" s="137">
        <f t="shared" si="32"/>
        <v>0</v>
      </c>
      <c r="U68" s="137">
        <f t="shared" si="33"/>
        <v>0</v>
      </c>
      <c r="V68" s="137">
        <f t="shared" si="34"/>
        <v>90</v>
      </c>
      <c r="W68" s="89">
        <f t="shared" si="35"/>
        <v>-90</v>
      </c>
      <c r="X68" s="31" t="str">
        <f t="shared" si="36"/>
        <v>No</v>
      </c>
      <c r="Y68" s="32">
        <f t="shared" si="37"/>
        <v>0</v>
      </c>
      <c r="Z68" s="70" t="e">
        <f t="shared" si="38"/>
        <v>#DIV/0!</v>
      </c>
      <c r="AA68" s="32">
        <f t="shared" si="39"/>
        <v>0</v>
      </c>
      <c r="AD68" s="190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2"/>
      <c r="AV68" s="17"/>
    </row>
    <row r="69" spans="2:48" ht="15" customHeight="1" x14ac:dyDescent="0.2">
      <c r="B69" s="160"/>
      <c r="C69" s="162" t="s">
        <v>161</v>
      </c>
      <c r="D69" s="167" t="s">
        <v>569</v>
      </c>
      <c r="E69" s="168">
        <v>2031</v>
      </c>
      <c r="F69" s="168">
        <v>224</v>
      </c>
      <c r="G69" s="173">
        <v>9.5</v>
      </c>
      <c r="H69" s="114">
        <f>VLOOKUP($N69,'UMC Table 4-A'!$A$10:$E$139,4,FALSE)</f>
        <v>4</v>
      </c>
      <c r="I69" s="114" t="str">
        <f>VLOOKUP($N69,'UMC Table 4-A'!$A$10:$E$139,5,FALSE)</f>
        <v>NR</v>
      </c>
      <c r="J69" s="111" t="str">
        <f t="shared" si="27"/>
        <v>-</v>
      </c>
      <c r="K69" s="116">
        <v>0</v>
      </c>
      <c r="L69" s="152">
        <f t="shared" si="28"/>
        <v>150</v>
      </c>
      <c r="M69" s="117">
        <f>F69</f>
        <v>224</v>
      </c>
      <c r="N69" s="114" t="s">
        <v>123</v>
      </c>
      <c r="O69" s="114" t="str">
        <f>VLOOKUP($N69,'UMC Table 4-A'!$A$10:$E$139,2,FALSE)</f>
        <v>NO REQUIREMENT FOR CONTINUOUS DIRECTIONAL CONTROL</v>
      </c>
      <c r="P69" s="112">
        <f>VLOOKUP($N69,'UMC Table 4-A'!$A$10:$E$139,3,FALSE)</f>
        <v>2</v>
      </c>
      <c r="Q69" s="152">
        <f t="shared" si="30"/>
        <v>80</v>
      </c>
      <c r="R69" s="112" t="str">
        <f>VLOOKUP($N69,'UMC Table 4-A'!$A$10:$E$139,5,FALSE)</f>
        <v>NR</v>
      </c>
      <c r="S69" s="113">
        <f t="shared" si="31"/>
        <v>225</v>
      </c>
      <c r="T69" s="137">
        <f t="shared" si="32"/>
        <v>225</v>
      </c>
      <c r="U69" s="137">
        <f t="shared" si="33"/>
        <v>225</v>
      </c>
      <c r="V69" s="137">
        <f t="shared" si="34"/>
        <v>0</v>
      </c>
      <c r="W69" s="89">
        <f t="shared" si="35"/>
        <v>0</v>
      </c>
      <c r="X69" s="31" t="str">
        <f t="shared" si="36"/>
        <v>Yes</v>
      </c>
      <c r="Y69" s="32">
        <f t="shared" si="37"/>
        <v>1.0044642857142858</v>
      </c>
      <c r="Z69" s="70">
        <f t="shared" si="38"/>
        <v>35.555555555555557</v>
      </c>
      <c r="AA69" s="32">
        <f t="shared" si="39"/>
        <v>6.3439849624060161</v>
      </c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V69" s="17"/>
    </row>
    <row r="70" spans="2:48" ht="15" customHeight="1" x14ac:dyDescent="0.2">
      <c r="B70" s="160"/>
      <c r="C70" s="162" t="s">
        <v>161</v>
      </c>
      <c r="D70" s="148" t="s">
        <v>733</v>
      </c>
      <c r="E70" s="169" t="s">
        <v>755</v>
      </c>
      <c r="F70" s="169">
        <v>64</v>
      </c>
      <c r="G70" s="172">
        <v>8</v>
      </c>
      <c r="H70" s="114">
        <f>VLOOKUP($N70,'UMC Table 4-A'!$A$10:$E$139,4,FALSE)</f>
        <v>10</v>
      </c>
      <c r="I70" s="114" t="str">
        <f>VLOOKUP($N70,'UMC Table 4-A'!$A$10:$E$139,5,FALSE)</f>
        <v>YES</v>
      </c>
      <c r="J70" s="111">
        <f t="shared" si="27"/>
        <v>90</v>
      </c>
      <c r="K70" s="116">
        <v>0</v>
      </c>
      <c r="L70" s="152">
        <f t="shared" si="28"/>
        <v>90</v>
      </c>
      <c r="M70" s="117"/>
      <c r="N70" s="114" t="s">
        <v>94</v>
      </c>
      <c r="O70" s="114" t="str">
        <f>VLOOKUP($N70,'UMC Table 4-A'!$A$10:$E$139,2,FALSE)</f>
        <v>NEGATIVE</v>
      </c>
      <c r="P70" s="112" t="str">
        <f>VLOOKUP($N70,'UMC Table 4-A'!$A$10:$E$139,3,FALSE)</f>
        <v>NR</v>
      </c>
      <c r="Q70" s="152">
        <f t="shared" si="30"/>
        <v>0</v>
      </c>
      <c r="R70" s="112" t="str">
        <f>VLOOKUP($N70,'UMC Table 4-A'!$A$10:$E$139,5,FALSE)</f>
        <v>YES</v>
      </c>
      <c r="S70" s="113">
        <f t="shared" si="31"/>
        <v>0</v>
      </c>
      <c r="T70" s="137">
        <f t="shared" si="32"/>
        <v>0</v>
      </c>
      <c r="U70" s="137">
        <f t="shared" si="33"/>
        <v>0</v>
      </c>
      <c r="V70" s="137">
        <f t="shared" si="34"/>
        <v>90</v>
      </c>
      <c r="W70" s="89">
        <f t="shared" si="35"/>
        <v>-90</v>
      </c>
      <c r="X70" s="31" t="str">
        <f t="shared" si="36"/>
        <v>No</v>
      </c>
      <c r="Y70" s="32">
        <f t="shared" si="37"/>
        <v>0</v>
      </c>
      <c r="Z70" s="70" t="e">
        <f t="shared" si="38"/>
        <v>#DIV/0!</v>
      </c>
      <c r="AA70" s="32">
        <f t="shared" si="39"/>
        <v>0</v>
      </c>
      <c r="AD70" s="98" t="s">
        <v>78</v>
      </c>
      <c r="AE70" s="98"/>
      <c r="AF70" s="98"/>
      <c r="AG70" s="98"/>
      <c r="AH70" s="98"/>
      <c r="AI70" s="98"/>
      <c r="AJ70" s="98"/>
      <c r="AK70" s="98"/>
      <c r="AL70" s="98"/>
      <c r="AM70" s="98"/>
      <c r="AN70" s="98"/>
      <c r="AO70" s="98">
        <f>SUM(AO8:AO44)</f>
        <v>464.00000000000011</v>
      </c>
      <c r="AP70" s="98"/>
      <c r="AQ70" s="99">
        <f>SUM(AQ8:AQ44)</f>
        <v>26.540000000000003</v>
      </c>
      <c r="AR70" s="99"/>
      <c r="AS70" s="99"/>
      <c r="AT70" s="99"/>
      <c r="AV70" s="17"/>
    </row>
    <row r="71" spans="2:48" ht="15" customHeight="1" x14ac:dyDescent="0.2">
      <c r="B71" s="160"/>
      <c r="C71" s="162" t="s">
        <v>162</v>
      </c>
      <c r="D71" s="167" t="s">
        <v>569</v>
      </c>
      <c r="E71" s="168">
        <v>2030</v>
      </c>
      <c r="F71" s="168">
        <v>235</v>
      </c>
      <c r="G71" s="173">
        <v>9.5</v>
      </c>
      <c r="H71" s="114">
        <f>VLOOKUP($N71,'UMC Table 4-A'!$A$10:$E$139,4,FALSE)</f>
        <v>4</v>
      </c>
      <c r="I71" s="114" t="str">
        <f>VLOOKUP($N71,'UMC Table 4-A'!$A$10:$E$139,5,FALSE)</f>
        <v>NR</v>
      </c>
      <c r="J71" s="111" t="str">
        <f t="shared" si="27"/>
        <v>-</v>
      </c>
      <c r="K71" s="116">
        <v>0</v>
      </c>
      <c r="L71" s="152">
        <f t="shared" si="28"/>
        <v>150</v>
      </c>
      <c r="M71" s="117">
        <f>F71</f>
        <v>235</v>
      </c>
      <c r="N71" s="114" t="s">
        <v>123</v>
      </c>
      <c r="O71" s="114" t="str">
        <f>VLOOKUP($N71,'UMC Table 4-A'!$A$10:$E$139,2,FALSE)</f>
        <v>NO REQUIREMENT FOR CONTINUOUS DIRECTIONAL CONTROL</v>
      </c>
      <c r="P71" s="112">
        <f>VLOOKUP($N71,'UMC Table 4-A'!$A$10:$E$139,3,FALSE)</f>
        <v>2</v>
      </c>
      <c r="Q71" s="152">
        <f t="shared" si="30"/>
        <v>80</v>
      </c>
      <c r="R71" s="112" t="str">
        <f>VLOOKUP($N71,'UMC Table 4-A'!$A$10:$E$139,5,FALSE)</f>
        <v>NR</v>
      </c>
      <c r="S71" s="113">
        <f t="shared" si="31"/>
        <v>235</v>
      </c>
      <c r="T71" s="137">
        <f t="shared" si="32"/>
        <v>235</v>
      </c>
      <c r="U71" s="137">
        <f t="shared" si="33"/>
        <v>235</v>
      </c>
      <c r="V71" s="137">
        <f t="shared" si="34"/>
        <v>0</v>
      </c>
      <c r="W71" s="89">
        <f t="shared" si="35"/>
        <v>0</v>
      </c>
      <c r="X71" s="31" t="str">
        <f t="shared" si="36"/>
        <v>Yes</v>
      </c>
      <c r="Y71" s="32">
        <f t="shared" si="37"/>
        <v>1</v>
      </c>
      <c r="Z71" s="70">
        <f t="shared" si="38"/>
        <v>34.042553191489361</v>
      </c>
      <c r="AA71" s="32">
        <f t="shared" si="39"/>
        <v>6.3157894736842106</v>
      </c>
      <c r="AV71" s="17"/>
    </row>
    <row r="72" spans="2:48" ht="15" customHeight="1" x14ac:dyDescent="0.2">
      <c r="B72" s="160"/>
      <c r="C72" s="162" t="s">
        <v>162</v>
      </c>
      <c r="D72" s="148" t="s">
        <v>733</v>
      </c>
      <c r="E72" s="169" t="s">
        <v>754</v>
      </c>
      <c r="F72" s="169">
        <v>66</v>
      </c>
      <c r="G72" s="172">
        <v>8</v>
      </c>
      <c r="H72" s="114">
        <f>VLOOKUP($N72,'UMC Table 4-A'!$A$10:$E$139,4,FALSE)</f>
        <v>10</v>
      </c>
      <c r="I72" s="114" t="str">
        <f>VLOOKUP($N72,'UMC Table 4-A'!$A$10:$E$139,5,FALSE)</f>
        <v>YES</v>
      </c>
      <c r="J72" s="111">
        <f t="shared" si="27"/>
        <v>90</v>
      </c>
      <c r="K72" s="116">
        <v>0</v>
      </c>
      <c r="L72" s="152">
        <f t="shared" si="28"/>
        <v>90</v>
      </c>
      <c r="M72" s="117"/>
      <c r="N72" s="114" t="s">
        <v>94</v>
      </c>
      <c r="O72" s="114" t="str">
        <f>VLOOKUP($N72,'UMC Table 4-A'!$A$10:$E$139,2,FALSE)</f>
        <v>NEGATIVE</v>
      </c>
      <c r="P72" s="112" t="str">
        <f>VLOOKUP($N72,'UMC Table 4-A'!$A$10:$E$139,3,FALSE)</f>
        <v>NR</v>
      </c>
      <c r="Q72" s="152">
        <f t="shared" si="30"/>
        <v>0</v>
      </c>
      <c r="R72" s="112" t="str">
        <f>VLOOKUP($N72,'UMC Table 4-A'!$A$10:$E$139,5,FALSE)</f>
        <v>YES</v>
      </c>
      <c r="S72" s="113">
        <f t="shared" si="31"/>
        <v>0</v>
      </c>
      <c r="T72" s="137">
        <f t="shared" si="32"/>
        <v>0</v>
      </c>
      <c r="U72" s="137">
        <f t="shared" si="33"/>
        <v>0</v>
      </c>
      <c r="V72" s="137">
        <f t="shared" si="34"/>
        <v>90</v>
      </c>
      <c r="W72" s="89">
        <f t="shared" si="35"/>
        <v>-90</v>
      </c>
      <c r="X72" s="31" t="str">
        <f t="shared" si="36"/>
        <v>No</v>
      </c>
      <c r="Y72" s="32">
        <f t="shared" si="37"/>
        <v>0</v>
      </c>
      <c r="Z72" s="70" t="e">
        <f t="shared" si="38"/>
        <v>#DIV/0!</v>
      </c>
      <c r="AA72" s="32">
        <f t="shared" si="39"/>
        <v>0</v>
      </c>
      <c r="AB72" s="62"/>
      <c r="AV72" s="17"/>
    </row>
    <row r="73" spans="2:48" ht="15" customHeight="1" x14ac:dyDescent="0.2">
      <c r="B73" s="160"/>
      <c r="C73" s="162" t="s">
        <v>163</v>
      </c>
      <c r="D73" s="167" t="s">
        <v>461</v>
      </c>
      <c r="E73" s="168" t="s">
        <v>584</v>
      </c>
      <c r="F73" s="168">
        <v>842</v>
      </c>
      <c r="G73" s="172">
        <v>8</v>
      </c>
      <c r="H73" s="114">
        <f>VLOOKUP($N73,'UMC Table 4-A'!$A$10:$E$139,4,FALSE)</f>
        <v>2</v>
      </c>
      <c r="I73" s="114" t="str">
        <f>VLOOKUP($N73,'UMC Table 4-A'!$A$10:$E$139,5,FALSE)</f>
        <v>NR</v>
      </c>
      <c r="J73" s="111" t="str">
        <f t="shared" ref="J73:J103" si="108">IF(I73="Yes",L73,"-")</f>
        <v>-</v>
      </c>
      <c r="K73" s="116">
        <v>0</v>
      </c>
      <c r="L73" s="152">
        <f t="shared" ref="L73:L103" si="109">IF(H73&lt;&gt;"NR",ROUNDUP((F73*G73*H73)/60,-1),0)</f>
        <v>230</v>
      </c>
      <c r="M73" s="117">
        <f>F73</f>
        <v>842</v>
      </c>
      <c r="N73" s="114" t="s">
        <v>115</v>
      </c>
      <c r="O73" s="114" t="str">
        <f>VLOOKUP($N73,'UMC Table 4-A'!$A$10:$E$139,2,FALSE)</f>
        <v>NO REQUIREMENT FOR CONTINUOUS DIRECTIONAL CONTROL</v>
      </c>
      <c r="P73" s="112" t="str">
        <f>VLOOKUP($N73,'UMC Table 4-A'!$A$10:$E$139,3,FALSE)</f>
        <v>NR</v>
      </c>
      <c r="Q73" s="152">
        <f t="shared" ref="Q73:Q103" si="110">IF(P73&lt;&gt;"NR",ROUNDUP((F73*G73*P73)/60,-1),0)</f>
        <v>0</v>
      </c>
      <c r="R73" s="112" t="str">
        <f>VLOOKUP($N73,'UMC Table 4-A'!$A$10:$E$139,5,FALSE)</f>
        <v>NR</v>
      </c>
      <c r="S73" s="113">
        <f t="shared" ref="S73:S103" si="111">IF(O73="Negative",IF(OR(N73="Toilet room",N73="Janitor's closet, housekeeping"),0,IF(0.1*V73&gt;50,220-0.1*V73,V73-50)),IF(R73="Yes",0,CEILING(MAX(K73:M73),5)))</f>
        <v>845</v>
      </c>
      <c r="T73" s="137">
        <f t="shared" ref="T73:T103" si="112">S73</f>
        <v>845</v>
      </c>
      <c r="U73" s="137">
        <f t="shared" ref="U73:U103" si="113">IF(R73="Yes",0,IF(O73="Positive",IF(0.1*S73&gt;50,S73-0.1*S73,S73-50),IF(O73="Negative",IF(0.1*S73&gt;50,S73+0.1*S73,S73+50),S73)))</f>
        <v>845</v>
      </c>
      <c r="V73" s="137">
        <f t="shared" ref="V73:V103" si="114">IF(R73="Yes",J73,0)</f>
        <v>0</v>
      </c>
      <c r="W73" s="89">
        <f t="shared" ref="W73:W103" si="115">T73-U73-V73</f>
        <v>0</v>
      </c>
      <c r="X73" s="31" t="str">
        <f t="shared" ref="X73:X103" si="116">IF(S73-U73-V73+W73=0,"Yes","No")</f>
        <v>Yes</v>
      </c>
      <c r="Y73" s="32">
        <f t="shared" ref="Y73:Y103" si="117">S73/F73</f>
        <v>1.0035629453681709</v>
      </c>
      <c r="Z73" s="70">
        <f t="shared" ref="Z73:Z103" si="118">(Q73/T73)*100</f>
        <v>0</v>
      </c>
      <c r="AA73" s="32">
        <f t="shared" ref="AA73:AA103" si="119">S73/F73/G73*60</f>
        <v>7.5267220902612824</v>
      </c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V73" s="17"/>
    </row>
    <row r="74" spans="2:48" ht="15" customHeight="1" x14ac:dyDescent="0.2">
      <c r="B74" s="160"/>
      <c r="C74" s="162" t="s">
        <v>163</v>
      </c>
      <c r="D74" s="148" t="s">
        <v>733</v>
      </c>
      <c r="E74" s="169" t="s">
        <v>759</v>
      </c>
      <c r="F74" s="169">
        <v>58</v>
      </c>
      <c r="G74" s="172">
        <v>8</v>
      </c>
      <c r="H74" s="114">
        <f>VLOOKUP($N74,'UMC Table 4-A'!$A$10:$E$139,4,FALSE)</f>
        <v>10</v>
      </c>
      <c r="I74" s="114" t="str">
        <f>VLOOKUP($N74,'UMC Table 4-A'!$A$10:$E$139,5,FALSE)</f>
        <v>YES</v>
      </c>
      <c r="J74" s="111">
        <f t="shared" si="108"/>
        <v>80</v>
      </c>
      <c r="K74" s="116">
        <v>0</v>
      </c>
      <c r="L74" s="152">
        <f t="shared" si="109"/>
        <v>80</v>
      </c>
      <c r="M74" s="117"/>
      <c r="N74" s="114" t="s">
        <v>94</v>
      </c>
      <c r="O74" s="114" t="str">
        <f>VLOOKUP($N74,'UMC Table 4-A'!$A$10:$E$139,2,FALSE)</f>
        <v>NEGATIVE</v>
      </c>
      <c r="P74" s="112" t="str">
        <f>VLOOKUP($N74,'UMC Table 4-A'!$A$10:$E$139,3,FALSE)</f>
        <v>NR</v>
      </c>
      <c r="Q74" s="152">
        <f t="shared" si="110"/>
        <v>0</v>
      </c>
      <c r="R74" s="112" t="str">
        <f>VLOOKUP($N74,'UMC Table 4-A'!$A$10:$E$139,5,FALSE)</f>
        <v>YES</v>
      </c>
      <c r="S74" s="113">
        <f t="shared" si="111"/>
        <v>0</v>
      </c>
      <c r="T74" s="137">
        <f t="shared" si="112"/>
        <v>0</v>
      </c>
      <c r="U74" s="137">
        <f t="shared" si="113"/>
        <v>0</v>
      </c>
      <c r="V74" s="137">
        <f t="shared" si="114"/>
        <v>80</v>
      </c>
      <c r="W74" s="89">
        <f t="shared" si="115"/>
        <v>-80</v>
      </c>
      <c r="X74" s="31" t="str">
        <f t="shared" si="116"/>
        <v>No</v>
      </c>
      <c r="Y74" s="32">
        <f t="shared" si="117"/>
        <v>0</v>
      </c>
      <c r="Z74" s="70" t="e">
        <f t="shared" si="118"/>
        <v>#DIV/0!</v>
      </c>
      <c r="AA74" s="32">
        <f t="shared" si="119"/>
        <v>0</v>
      </c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V74" s="17"/>
    </row>
    <row r="75" spans="2:48" ht="15" customHeight="1" x14ac:dyDescent="0.2">
      <c r="B75" s="160"/>
      <c r="C75" s="162" t="s">
        <v>164</v>
      </c>
      <c r="D75" s="167" t="s">
        <v>571</v>
      </c>
      <c r="E75" s="168" t="s">
        <v>586</v>
      </c>
      <c r="F75" s="168">
        <v>22</v>
      </c>
      <c r="G75" s="173">
        <v>8.5</v>
      </c>
      <c r="H75" s="114">
        <f>VLOOKUP($N75,'UMC Table 4-A'!$A$10:$E$139,4,FALSE)</f>
        <v>6</v>
      </c>
      <c r="I75" s="114" t="str">
        <f>VLOOKUP($N75,'UMC Table 4-A'!$A$10:$E$139,5,FALSE)</f>
        <v>NR</v>
      </c>
      <c r="J75" s="111" t="str">
        <f t="shared" si="108"/>
        <v>-</v>
      </c>
      <c r="K75" s="116">
        <v>0</v>
      </c>
      <c r="L75" s="152">
        <f t="shared" si="109"/>
        <v>20</v>
      </c>
      <c r="M75" s="117">
        <f t="shared" ref="M75:M90" si="120">F75</f>
        <v>22</v>
      </c>
      <c r="N75" s="114" t="s">
        <v>91</v>
      </c>
      <c r="O75" s="114" t="str">
        <f>VLOOKUP($N75,'UMC Table 4-A'!$A$10:$E$139,2,FALSE)</f>
        <v>NO REQUIREMENT FOR CONTINUOUS DIRECTIONAL CONTROL</v>
      </c>
      <c r="P75" s="112">
        <f>VLOOKUP($N75,'UMC Table 4-A'!$A$10:$E$139,3,FALSE)</f>
        <v>2</v>
      </c>
      <c r="Q75" s="152">
        <f t="shared" si="110"/>
        <v>10</v>
      </c>
      <c r="R75" s="112" t="str">
        <f>VLOOKUP($N75,'UMC Table 4-A'!$A$10:$E$139,5,FALSE)</f>
        <v>NR</v>
      </c>
      <c r="S75" s="113">
        <f t="shared" si="111"/>
        <v>25</v>
      </c>
      <c r="T75" s="137">
        <f t="shared" si="112"/>
        <v>25</v>
      </c>
      <c r="U75" s="137">
        <f t="shared" si="113"/>
        <v>25</v>
      </c>
      <c r="V75" s="137">
        <f t="shared" si="114"/>
        <v>0</v>
      </c>
      <c r="W75" s="89">
        <f t="shared" si="115"/>
        <v>0</v>
      </c>
      <c r="X75" s="31" t="str">
        <f t="shared" si="116"/>
        <v>Yes</v>
      </c>
      <c r="Y75" s="32">
        <f t="shared" si="117"/>
        <v>1.1363636363636365</v>
      </c>
      <c r="Z75" s="70">
        <f t="shared" si="118"/>
        <v>40</v>
      </c>
      <c r="AA75" s="32">
        <f t="shared" si="119"/>
        <v>8.0213903743315509</v>
      </c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V75" s="17"/>
    </row>
    <row r="76" spans="2:48" ht="15" customHeight="1" x14ac:dyDescent="0.2">
      <c r="B76" s="160"/>
      <c r="C76" s="162" t="s">
        <v>164</v>
      </c>
      <c r="D76" s="167" t="s">
        <v>585</v>
      </c>
      <c r="E76" s="168">
        <v>2209</v>
      </c>
      <c r="F76" s="168">
        <v>614</v>
      </c>
      <c r="G76" s="172">
        <v>10</v>
      </c>
      <c r="H76" s="114">
        <f>VLOOKUP($N76,'UMC Table 4-A'!$A$10:$E$139,4,FALSE)</f>
        <v>6</v>
      </c>
      <c r="I76" s="114" t="str">
        <f>VLOOKUP($N76,'UMC Table 4-A'!$A$10:$E$139,5,FALSE)</f>
        <v>NR</v>
      </c>
      <c r="J76" s="111" t="str">
        <f t="shared" si="108"/>
        <v>-</v>
      </c>
      <c r="K76" s="116">
        <v>0</v>
      </c>
      <c r="L76" s="152">
        <f t="shared" si="109"/>
        <v>620</v>
      </c>
      <c r="M76" s="117">
        <f t="shared" si="120"/>
        <v>614</v>
      </c>
      <c r="N76" s="114" t="s">
        <v>91</v>
      </c>
      <c r="O76" s="114" t="str">
        <f>VLOOKUP($N76,'UMC Table 4-A'!$A$10:$E$139,2,FALSE)</f>
        <v>NO REQUIREMENT FOR CONTINUOUS DIRECTIONAL CONTROL</v>
      </c>
      <c r="P76" s="112">
        <f>VLOOKUP($N76,'UMC Table 4-A'!$A$10:$E$139,3,FALSE)</f>
        <v>2</v>
      </c>
      <c r="Q76" s="152">
        <f t="shared" si="110"/>
        <v>210</v>
      </c>
      <c r="R76" s="112" t="str">
        <f>VLOOKUP($N76,'UMC Table 4-A'!$A$10:$E$139,5,FALSE)</f>
        <v>NR</v>
      </c>
      <c r="S76" s="113">
        <f t="shared" si="111"/>
        <v>620</v>
      </c>
      <c r="T76" s="137">
        <f t="shared" si="112"/>
        <v>620</v>
      </c>
      <c r="U76" s="137">
        <f t="shared" si="113"/>
        <v>620</v>
      </c>
      <c r="V76" s="137">
        <f t="shared" si="114"/>
        <v>0</v>
      </c>
      <c r="W76" s="89">
        <f t="shared" si="115"/>
        <v>0</v>
      </c>
      <c r="X76" s="31" t="str">
        <f t="shared" si="116"/>
        <v>Yes</v>
      </c>
      <c r="Y76" s="32">
        <f t="shared" si="117"/>
        <v>1.009771986970684</v>
      </c>
      <c r="Z76" s="70">
        <f t="shared" si="118"/>
        <v>33.87096774193548</v>
      </c>
      <c r="AA76" s="32">
        <f t="shared" si="119"/>
        <v>6.0586319218241043</v>
      </c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V76" s="17"/>
    </row>
    <row r="77" spans="2:48" ht="15" customHeight="1" x14ac:dyDescent="0.2">
      <c r="B77" s="160"/>
      <c r="C77" s="162" t="s">
        <v>165</v>
      </c>
      <c r="D77" s="167" t="s">
        <v>501</v>
      </c>
      <c r="E77" s="168">
        <v>2210</v>
      </c>
      <c r="F77" s="168">
        <v>90</v>
      </c>
      <c r="G77" s="172">
        <v>8</v>
      </c>
      <c r="H77" s="114">
        <f>VLOOKUP($N77,'UMC Table 4-A'!$A$10:$E$139,4,FALSE)</f>
        <v>6</v>
      </c>
      <c r="I77" s="114" t="str">
        <f>VLOOKUP($N77,'UMC Table 4-A'!$A$10:$E$139,5,FALSE)</f>
        <v>NR</v>
      </c>
      <c r="J77" s="111" t="str">
        <f t="shared" si="108"/>
        <v>-</v>
      </c>
      <c r="K77" s="116">
        <v>0</v>
      </c>
      <c r="L77" s="152">
        <f t="shared" si="109"/>
        <v>80</v>
      </c>
      <c r="M77" s="117">
        <f t="shared" si="120"/>
        <v>90</v>
      </c>
      <c r="N77" s="114" t="s">
        <v>91</v>
      </c>
      <c r="O77" s="114" t="str">
        <f>VLOOKUP($N77,'UMC Table 4-A'!$A$10:$E$139,2,FALSE)</f>
        <v>NO REQUIREMENT FOR CONTINUOUS DIRECTIONAL CONTROL</v>
      </c>
      <c r="P77" s="112">
        <f>VLOOKUP($N77,'UMC Table 4-A'!$A$10:$E$139,3,FALSE)</f>
        <v>2</v>
      </c>
      <c r="Q77" s="152">
        <f t="shared" si="110"/>
        <v>30</v>
      </c>
      <c r="R77" s="112" t="str">
        <f>VLOOKUP($N77,'UMC Table 4-A'!$A$10:$E$139,5,FALSE)</f>
        <v>NR</v>
      </c>
      <c r="S77" s="113">
        <f t="shared" si="111"/>
        <v>90</v>
      </c>
      <c r="T77" s="137">
        <f t="shared" si="112"/>
        <v>90</v>
      </c>
      <c r="U77" s="137">
        <f t="shared" si="113"/>
        <v>90</v>
      </c>
      <c r="V77" s="137">
        <f t="shared" si="114"/>
        <v>0</v>
      </c>
      <c r="W77" s="89">
        <f t="shared" si="115"/>
        <v>0</v>
      </c>
      <c r="X77" s="31" t="str">
        <f t="shared" si="116"/>
        <v>Yes</v>
      </c>
      <c r="Y77" s="32">
        <f t="shared" si="117"/>
        <v>1</v>
      </c>
      <c r="Z77" s="70">
        <f t="shared" si="118"/>
        <v>33.333333333333329</v>
      </c>
      <c r="AA77" s="32">
        <f t="shared" si="119"/>
        <v>7.5</v>
      </c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V77" s="17"/>
    </row>
    <row r="78" spans="2:48" ht="15" customHeight="1" x14ac:dyDescent="0.2">
      <c r="B78" s="160"/>
      <c r="C78" s="162" t="s">
        <v>165</v>
      </c>
      <c r="D78" s="167" t="s">
        <v>587</v>
      </c>
      <c r="E78" s="168">
        <v>2214</v>
      </c>
      <c r="F78" s="168">
        <v>98</v>
      </c>
      <c r="G78" s="172">
        <v>9</v>
      </c>
      <c r="H78" s="114">
        <f>VLOOKUP($N78,'UMC Table 4-A'!$A$10:$E$139,4,FALSE)</f>
        <v>6</v>
      </c>
      <c r="I78" s="114" t="str">
        <f>VLOOKUP($N78,'UMC Table 4-A'!$A$10:$E$139,5,FALSE)</f>
        <v>NR</v>
      </c>
      <c r="J78" s="111" t="str">
        <f t="shared" si="108"/>
        <v>-</v>
      </c>
      <c r="K78" s="116">
        <v>0</v>
      </c>
      <c r="L78" s="152">
        <f t="shared" si="109"/>
        <v>90</v>
      </c>
      <c r="M78" s="117">
        <f t="shared" si="120"/>
        <v>98</v>
      </c>
      <c r="N78" s="114" t="s">
        <v>91</v>
      </c>
      <c r="O78" s="114" t="str">
        <f>VLOOKUP($N78,'UMC Table 4-A'!$A$10:$E$139,2,FALSE)</f>
        <v>NO REQUIREMENT FOR CONTINUOUS DIRECTIONAL CONTROL</v>
      </c>
      <c r="P78" s="112">
        <f>VLOOKUP($N78,'UMC Table 4-A'!$A$10:$E$139,3,FALSE)</f>
        <v>2</v>
      </c>
      <c r="Q78" s="152">
        <f t="shared" si="110"/>
        <v>30</v>
      </c>
      <c r="R78" s="112" t="str">
        <f>VLOOKUP($N78,'UMC Table 4-A'!$A$10:$E$139,5,FALSE)</f>
        <v>NR</v>
      </c>
      <c r="S78" s="113">
        <f t="shared" si="111"/>
        <v>100</v>
      </c>
      <c r="T78" s="137">
        <f t="shared" si="112"/>
        <v>100</v>
      </c>
      <c r="U78" s="137">
        <f t="shared" si="113"/>
        <v>100</v>
      </c>
      <c r="V78" s="137">
        <f t="shared" si="114"/>
        <v>0</v>
      </c>
      <c r="W78" s="89">
        <f t="shared" si="115"/>
        <v>0</v>
      </c>
      <c r="X78" s="31" t="str">
        <f t="shared" si="116"/>
        <v>Yes</v>
      </c>
      <c r="Y78" s="32">
        <f t="shared" si="117"/>
        <v>1.0204081632653061</v>
      </c>
      <c r="Z78" s="70">
        <f t="shared" si="118"/>
        <v>30</v>
      </c>
      <c r="AA78" s="32">
        <f t="shared" si="119"/>
        <v>6.8027210884353746</v>
      </c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V78" s="17"/>
    </row>
    <row r="79" spans="2:48" ht="15" customHeight="1" x14ac:dyDescent="0.2">
      <c r="B79" s="160"/>
      <c r="C79" s="162" t="s">
        <v>166</v>
      </c>
      <c r="D79" s="167" t="s">
        <v>571</v>
      </c>
      <c r="E79" s="168">
        <v>2212</v>
      </c>
      <c r="F79" s="168">
        <v>22</v>
      </c>
      <c r="G79" s="172">
        <v>9</v>
      </c>
      <c r="H79" s="114">
        <f>VLOOKUP($N79,'UMC Table 4-A'!$A$10:$E$139,4,FALSE)</f>
        <v>6</v>
      </c>
      <c r="I79" s="114" t="str">
        <f>VLOOKUP($N79,'UMC Table 4-A'!$A$10:$E$139,5,FALSE)</f>
        <v>NR</v>
      </c>
      <c r="J79" s="111" t="str">
        <f t="shared" si="108"/>
        <v>-</v>
      </c>
      <c r="K79" s="116">
        <v>0</v>
      </c>
      <c r="L79" s="152">
        <f t="shared" si="109"/>
        <v>20</v>
      </c>
      <c r="M79" s="117">
        <f t="shared" si="120"/>
        <v>22</v>
      </c>
      <c r="N79" s="114" t="s">
        <v>91</v>
      </c>
      <c r="O79" s="114" t="str">
        <f>VLOOKUP($N79,'UMC Table 4-A'!$A$10:$E$139,2,FALSE)</f>
        <v>NO REQUIREMENT FOR CONTINUOUS DIRECTIONAL CONTROL</v>
      </c>
      <c r="P79" s="112">
        <f>VLOOKUP($N79,'UMC Table 4-A'!$A$10:$E$139,3,FALSE)</f>
        <v>2</v>
      </c>
      <c r="Q79" s="152">
        <f t="shared" si="110"/>
        <v>10</v>
      </c>
      <c r="R79" s="112" t="str">
        <f>VLOOKUP($N79,'UMC Table 4-A'!$A$10:$E$139,5,FALSE)</f>
        <v>NR</v>
      </c>
      <c r="S79" s="113">
        <f t="shared" si="111"/>
        <v>25</v>
      </c>
      <c r="T79" s="137">
        <f t="shared" si="112"/>
        <v>25</v>
      </c>
      <c r="U79" s="137">
        <f t="shared" si="113"/>
        <v>25</v>
      </c>
      <c r="V79" s="137">
        <f t="shared" si="114"/>
        <v>0</v>
      </c>
      <c r="W79" s="89">
        <f t="shared" si="115"/>
        <v>0</v>
      </c>
      <c r="X79" s="31" t="str">
        <f t="shared" si="116"/>
        <v>Yes</v>
      </c>
      <c r="Y79" s="32">
        <f t="shared" si="117"/>
        <v>1.1363636363636365</v>
      </c>
      <c r="Z79" s="70">
        <f t="shared" si="118"/>
        <v>40</v>
      </c>
      <c r="AA79" s="32">
        <f t="shared" si="119"/>
        <v>7.5757575757575761</v>
      </c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V79" s="17"/>
    </row>
    <row r="80" spans="2:48" ht="15" customHeight="1" x14ac:dyDescent="0.2">
      <c r="B80" s="160"/>
      <c r="C80" s="162" t="s">
        <v>166</v>
      </c>
      <c r="D80" s="167" t="s">
        <v>461</v>
      </c>
      <c r="E80" s="168" t="s">
        <v>588</v>
      </c>
      <c r="F80" s="168">
        <v>262</v>
      </c>
      <c r="G80" s="172">
        <v>9</v>
      </c>
      <c r="H80" s="114">
        <f>VLOOKUP($N80,'UMC Table 4-A'!$A$10:$E$139,4,FALSE)</f>
        <v>2</v>
      </c>
      <c r="I80" s="114" t="str">
        <f>VLOOKUP($N80,'UMC Table 4-A'!$A$10:$E$139,5,FALSE)</f>
        <v>NR</v>
      </c>
      <c r="J80" s="111" t="str">
        <f t="shared" si="108"/>
        <v>-</v>
      </c>
      <c r="K80" s="116">
        <v>0</v>
      </c>
      <c r="L80" s="152">
        <f t="shared" si="109"/>
        <v>80</v>
      </c>
      <c r="M80" s="117">
        <f t="shared" si="120"/>
        <v>262</v>
      </c>
      <c r="N80" s="114" t="s">
        <v>115</v>
      </c>
      <c r="O80" s="114" t="str">
        <f>VLOOKUP($N80,'UMC Table 4-A'!$A$10:$E$139,2,FALSE)</f>
        <v>NO REQUIREMENT FOR CONTINUOUS DIRECTIONAL CONTROL</v>
      </c>
      <c r="P80" s="112" t="str">
        <f>VLOOKUP($N80,'UMC Table 4-A'!$A$10:$E$139,3,FALSE)</f>
        <v>NR</v>
      </c>
      <c r="Q80" s="152">
        <f t="shared" si="110"/>
        <v>0</v>
      </c>
      <c r="R80" s="112" t="str">
        <f>VLOOKUP($N80,'UMC Table 4-A'!$A$10:$E$139,5,FALSE)</f>
        <v>NR</v>
      </c>
      <c r="S80" s="113">
        <f t="shared" si="111"/>
        <v>265</v>
      </c>
      <c r="T80" s="137">
        <f t="shared" si="112"/>
        <v>265</v>
      </c>
      <c r="U80" s="137">
        <f t="shared" si="113"/>
        <v>265</v>
      </c>
      <c r="V80" s="137">
        <f t="shared" si="114"/>
        <v>0</v>
      </c>
      <c r="W80" s="89">
        <f t="shared" si="115"/>
        <v>0</v>
      </c>
      <c r="X80" s="31" t="str">
        <f t="shared" si="116"/>
        <v>Yes</v>
      </c>
      <c r="Y80" s="32">
        <f t="shared" si="117"/>
        <v>1.0114503816793894</v>
      </c>
      <c r="Z80" s="70">
        <f t="shared" si="118"/>
        <v>0</v>
      </c>
      <c r="AA80" s="32">
        <f t="shared" si="119"/>
        <v>6.7430025445292623</v>
      </c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V80" s="17"/>
    </row>
    <row r="81" spans="2:48" ht="15" customHeight="1" x14ac:dyDescent="0.2">
      <c r="B81" s="160"/>
      <c r="C81" s="162" t="s">
        <v>167</v>
      </c>
      <c r="D81" s="167" t="s">
        <v>461</v>
      </c>
      <c r="E81" s="168" t="s">
        <v>589</v>
      </c>
      <c r="F81" s="168">
        <v>70</v>
      </c>
      <c r="G81" s="172">
        <v>9</v>
      </c>
      <c r="H81" s="114">
        <f>VLOOKUP($N81,'UMC Table 4-A'!$A$10:$E$139,4,FALSE)</f>
        <v>2</v>
      </c>
      <c r="I81" s="114" t="str">
        <f>VLOOKUP($N81,'UMC Table 4-A'!$A$10:$E$139,5,FALSE)</f>
        <v>NR</v>
      </c>
      <c r="J81" s="111" t="str">
        <f t="shared" si="108"/>
        <v>-</v>
      </c>
      <c r="K81" s="116">
        <v>0</v>
      </c>
      <c r="L81" s="152">
        <f t="shared" si="109"/>
        <v>30</v>
      </c>
      <c r="M81" s="117">
        <f t="shared" si="120"/>
        <v>70</v>
      </c>
      <c r="N81" s="114" t="s">
        <v>115</v>
      </c>
      <c r="O81" s="114" t="str">
        <f>VLOOKUP($N81,'UMC Table 4-A'!$A$10:$E$139,2,FALSE)</f>
        <v>NO REQUIREMENT FOR CONTINUOUS DIRECTIONAL CONTROL</v>
      </c>
      <c r="P81" s="112" t="str">
        <f>VLOOKUP($N81,'UMC Table 4-A'!$A$10:$E$139,3,FALSE)</f>
        <v>NR</v>
      </c>
      <c r="Q81" s="152">
        <f t="shared" si="110"/>
        <v>0</v>
      </c>
      <c r="R81" s="112" t="str">
        <f>VLOOKUP($N81,'UMC Table 4-A'!$A$10:$E$139,5,FALSE)</f>
        <v>NR</v>
      </c>
      <c r="S81" s="113">
        <f t="shared" si="111"/>
        <v>70</v>
      </c>
      <c r="T81" s="137">
        <f t="shared" si="112"/>
        <v>70</v>
      </c>
      <c r="U81" s="137">
        <f t="shared" si="113"/>
        <v>70</v>
      </c>
      <c r="V81" s="137">
        <f t="shared" si="114"/>
        <v>0</v>
      </c>
      <c r="W81" s="89">
        <f t="shared" si="115"/>
        <v>0</v>
      </c>
      <c r="X81" s="31" t="str">
        <f t="shared" si="116"/>
        <v>Yes</v>
      </c>
      <c r="Y81" s="32">
        <f t="shared" si="117"/>
        <v>1</v>
      </c>
      <c r="Z81" s="70">
        <f t="shared" si="118"/>
        <v>0</v>
      </c>
      <c r="AA81" s="32">
        <f t="shared" si="119"/>
        <v>6.6666666666666661</v>
      </c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V81" s="17"/>
    </row>
    <row r="82" spans="2:48" ht="15" customHeight="1" x14ac:dyDescent="0.2">
      <c r="B82" s="160"/>
      <c r="C82" s="162" t="s">
        <v>167</v>
      </c>
      <c r="D82" s="167" t="s">
        <v>590</v>
      </c>
      <c r="E82" s="168" t="s">
        <v>591</v>
      </c>
      <c r="F82" s="168">
        <v>68</v>
      </c>
      <c r="G82" s="172">
        <v>9</v>
      </c>
      <c r="H82" s="114">
        <f>VLOOKUP($N82,'UMC Table 4-A'!$A$10:$E$139,4,FALSE)</f>
        <v>2</v>
      </c>
      <c r="I82" s="114" t="str">
        <f>VLOOKUP($N82,'UMC Table 4-A'!$A$10:$E$139,5,FALSE)</f>
        <v>NR</v>
      </c>
      <c r="J82" s="111" t="str">
        <f t="shared" si="108"/>
        <v>-</v>
      </c>
      <c r="K82" s="116">
        <v>0</v>
      </c>
      <c r="L82" s="152">
        <f t="shared" si="109"/>
        <v>30</v>
      </c>
      <c r="M82" s="117">
        <f t="shared" si="120"/>
        <v>68</v>
      </c>
      <c r="N82" s="114" t="s">
        <v>92</v>
      </c>
      <c r="O82" s="114" t="str">
        <f>VLOOKUP($N82,'UMC Table 4-A'!$A$10:$E$139,2,FALSE)</f>
        <v>NO REQUIREMENT FOR CONTINUOUS DIRECTIONAL CONTROL</v>
      </c>
      <c r="P82" s="112" t="str">
        <f>VLOOKUP($N82,'UMC Table 4-A'!$A$10:$E$139,3,FALSE)</f>
        <v>NR</v>
      </c>
      <c r="Q82" s="152">
        <f t="shared" si="110"/>
        <v>0</v>
      </c>
      <c r="R82" s="112" t="str">
        <f>VLOOKUP($N82,'UMC Table 4-A'!$A$10:$E$139,5,FALSE)</f>
        <v>NR</v>
      </c>
      <c r="S82" s="113">
        <f t="shared" si="111"/>
        <v>70</v>
      </c>
      <c r="T82" s="137">
        <f t="shared" si="112"/>
        <v>70</v>
      </c>
      <c r="U82" s="137">
        <f t="shared" si="113"/>
        <v>70</v>
      </c>
      <c r="V82" s="137">
        <f t="shared" si="114"/>
        <v>0</v>
      </c>
      <c r="W82" s="89">
        <f t="shared" si="115"/>
        <v>0</v>
      </c>
      <c r="X82" s="31" t="str">
        <f t="shared" si="116"/>
        <v>Yes</v>
      </c>
      <c r="Y82" s="32">
        <f t="shared" si="117"/>
        <v>1.0294117647058822</v>
      </c>
      <c r="Z82" s="70">
        <f t="shared" si="118"/>
        <v>0</v>
      </c>
      <c r="AA82" s="32">
        <f t="shared" si="119"/>
        <v>6.8627450980392144</v>
      </c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V82" s="17"/>
    </row>
    <row r="83" spans="2:48" ht="15" customHeight="1" x14ac:dyDescent="0.2">
      <c r="B83" s="160"/>
      <c r="C83" s="162" t="s">
        <v>167</v>
      </c>
      <c r="D83" s="167" t="s">
        <v>592</v>
      </c>
      <c r="E83" s="168" t="s">
        <v>593</v>
      </c>
      <c r="F83" s="168">
        <v>179</v>
      </c>
      <c r="G83" s="172">
        <v>9</v>
      </c>
      <c r="H83" s="114">
        <f>VLOOKUP($N83,'UMC Table 4-A'!$A$10:$E$139,4,FALSE)</f>
        <v>2</v>
      </c>
      <c r="I83" s="114" t="str">
        <f>VLOOKUP($N83,'UMC Table 4-A'!$A$10:$E$139,5,FALSE)</f>
        <v>(AA)</v>
      </c>
      <c r="J83" s="111" t="str">
        <f t="shared" si="108"/>
        <v>-</v>
      </c>
      <c r="K83" s="116">
        <v>0</v>
      </c>
      <c r="L83" s="152">
        <f t="shared" si="109"/>
        <v>60</v>
      </c>
      <c r="M83" s="117">
        <f t="shared" si="120"/>
        <v>179</v>
      </c>
      <c r="N83" s="114" t="s">
        <v>190</v>
      </c>
      <c r="O83" s="114" t="str">
        <f>VLOOKUP($N83,'UMC Table 4-A'!$A$10:$E$139,2,FALSE)</f>
        <v>(AA)</v>
      </c>
      <c r="P83" s="112">
        <f>VLOOKUP($N83,'UMC Table 4-A'!$A$10:$E$139,3,FALSE)</f>
        <v>2</v>
      </c>
      <c r="Q83" s="152">
        <f t="shared" si="110"/>
        <v>60</v>
      </c>
      <c r="R83" s="112" t="str">
        <f>VLOOKUP($N83,'UMC Table 4-A'!$A$10:$E$139,5,FALSE)</f>
        <v>(AA)</v>
      </c>
      <c r="S83" s="113">
        <f t="shared" si="111"/>
        <v>180</v>
      </c>
      <c r="T83" s="137">
        <f t="shared" si="112"/>
        <v>180</v>
      </c>
      <c r="U83" s="137">
        <f t="shared" si="113"/>
        <v>180</v>
      </c>
      <c r="V83" s="137">
        <f t="shared" si="114"/>
        <v>0</v>
      </c>
      <c r="W83" s="89">
        <f t="shared" si="115"/>
        <v>0</v>
      </c>
      <c r="X83" s="31" t="str">
        <f t="shared" si="116"/>
        <v>Yes</v>
      </c>
      <c r="Y83" s="32">
        <f t="shared" si="117"/>
        <v>1.005586592178771</v>
      </c>
      <c r="Z83" s="70">
        <f t="shared" si="118"/>
        <v>33.333333333333329</v>
      </c>
      <c r="AA83" s="32">
        <f t="shared" si="119"/>
        <v>6.7039106145251397</v>
      </c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V83" s="17"/>
    </row>
    <row r="84" spans="2:48" ht="15" customHeight="1" x14ac:dyDescent="0.2">
      <c r="B84" s="160"/>
      <c r="C84" s="162" t="s">
        <v>167</v>
      </c>
      <c r="D84" s="167" t="s">
        <v>594</v>
      </c>
      <c r="E84" s="168" t="s">
        <v>595</v>
      </c>
      <c r="F84" s="168">
        <v>178</v>
      </c>
      <c r="G84" s="172">
        <v>9</v>
      </c>
      <c r="H84" s="114">
        <f>VLOOKUP($N84,'UMC Table 4-A'!$A$10:$E$139,4,FALSE)</f>
        <v>2</v>
      </c>
      <c r="I84" s="114" t="str">
        <f>VLOOKUP($N84,'UMC Table 4-A'!$A$10:$E$139,5,FALSE)</f>
        <v>(AA)</v>
      </c>
      <c r="J84" s="111" t="str">
        <f t="shared" si="108"/>
        <v>-</v>
      </c>
      <c r="K84" s="116">
        <v>0</v>
      </c>
      <c r="L84" s="152">
        <f t="shared" si="109"/>
        <v>60</v>
      </c>
      <c r="M84" s="117">
        <f t="shared" si="120"/>
        <v>178</v>
      </c>
      <c r="N84" s="114" t="s">
        <v>190</v>
      </c>
      <c r="O84" s="114" t="str">
        <f>VLOOKUP($N84,'UMC Table 4-A'!$A$10:$E$139,2,FALSE)</f>
        <v>(AA)</v>
      </c>
      <c r="P84" s="112">
        <f>VLOOKUP($N84,'UMC Table 4-A'!$A$10:$E$139,3,FALSE)</f>
        <v>2</v>
      </c>
      <c r="Q84" s="152">
        <f t="shared" si="110"/>
        <v>60</v>
      </c>
      <c r="R84" s="112" t="str">
        <f>VLOOKUP($N84,'UMC Table 4-A'!$A$10:$E$139,5,FALSE)</f>
        <v>(AA)</v>
      </c>
      <c r="S84" s="113">
        <f t="shared" si="111"/>
        <v>180</v>
      </c>
      <c r="T84" s="137">
        <f t="shared" si="112"/>
        <v>180</v>
      </c>
      <c r="U84" s="137">
        <f t="shared" si="113"/>
        <v>180</v>
      </c>
      <c r="V84" s="137">
        <f t="shared" si="114"/>
        <v>0</v>
      </c>
      <c r="W84" s="89">
        <f t="shared" si="115"/>
        <v>0</v>
      </c>
      <c r="X84" s="31" t="str">
        <f t="shared" si="116"/>
        <v>Yes</v>
      </c>
      <c r="Y84" s="32">
        <f t="shared" si="117"/>
        <v>1.0112359550561798</v>
      </c>
      <c r="Z84" s="70">
        <f t="shared" si="118"/>
        <v>33.333333333333329</v>
      </c>
      <c r="AA84" s="32">
        <f t="shared" si="119"/>
        <v>6.7415730337078648</v>
      </c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V84" s="17"/>
    </row>
    <row r="85" spans="2:48" ht="15" customHeight="1" x14ac:dyDescent="0.2">
      <c r="B85" s="160"/>
      <c r="C85" s="162" t="s">
        <v>168</v>
      </c>
      <c r="D85" s="167" t="s">
        <v>596</v>
      </c>
      <c r="E85" s="168" t="s">
        <v>597</v>
      </c>
      <c r="F85" s="168">
        <v>103</v>
      </c>
      <c r="G85" s="172">
        <v>9</v>
      </c>
      <c r="H85" s="114">
        <f>VLOOKUP($N85,'UMC Table 4-A'!$A$10:$E$139,4,FALSE)</f>
        <v>4</v>
      </c>
      <c r="I85" s="114" t="str">
        <f>VLOOKUP($N85,'UMC Table 4-A'!$A$10:$E$139,5,FALSE)</f>
        <v>NR</v>
      </c>
      <c r="J85" s="111" t="str">
        <f t="shared" si="108"/>
        <v>-</v>
      </c>
      <c r="K85" s="116">
        <v>0</v>
      </c>
      <c r="L85" s="152">
        <f t="shared" si="109"/>
        <v>70</v>
      </c>
      <c r="M85" s="117">
        <f t="shared" si="120"/>
        <v>103</v>
      </c>
      <c r="N85" s="114" t="s">
        <v>116</v>
      </c>
      <c r="O85" s="114" t="str">
        <f>VLOOKUP($N85,'UMC Table 4-A'!$A$10:$E$139,2,FALSE)</f>
        <v>NO REQUIREMENT FOR CONTINUOUS DIRECTIONAL CONTROL</v>
      </c>
      <c r="P85" s="112">
        <f>VLOOKUP($N85,'UMC Table 4-A'!$A$10:$E$139,3,FALSE)</f>
        <v>2</v>
      </c>
      <c r="Q85" s="152">
        <f t="shared" si="110"/>
        <v>40</v>
      </c>
      <c r="R85" s="112" t="str">
        <f>VLOOKUP($N85,'UMC Table 4-A'!$A$10:$E$139,5,FALSE)</f>
        <v>NR</v>
      </c>
      <c r="S85" s="113">
        <f t="shared" si="111"/>
        <v>105</v>
      </c>
      <c r="T85" s="137">
        <f t="shared" si="112"/>
        <v>105</v>
      </c>
      <c r="U85" s="137">
        <f t="shared" si="113"/>
        <v>105</v>
      </c>
      <c r="V85" s="137">
        <f t="shared" si="114"/>
        <v>0</v>
      </c>
      <c r="W85" s="89">
        <f t="shared" si="115"/>
        <v>0</v>
      </c>
      <c r="X85" s="31" t="str">
        <f t="shared" si="116"/>
        <v>Yes</v>
      </c>
      <c r="Y85" s="32">
        <f t="shared" si="117"/>
        <v>1.0194174757281553</v>
      </c>
      <c r="Z85" s="70">
        <f t="shared" si="118"/>
        <v>38.095238095238095</v>
      </c>
      <c r="AA85" s="32">
        <f t="shared" si="119"/>
        <v>6.7961165048543686</v>
      </c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V85" s="17"/>
    </row>
    <row r="86" spans="2:48" ht="15" customHeight="1" x14ac:dyDescent="0.2">
      <c r="B86" s="160"/>
      <c r="C86" s="162" t="s">
        <v>169</v>
      </c>
      <c r="D86" s="167" t="s">
        <v>598</v>
      </c>
      <c r="E86" s="168">
        <v>2217</v>
      </c>
      <c r="F86" s="168">
        <v>112</v>
      </c>
      <c r="G86" s="173">
        <v>9</v>
      </c>
      <c r="H86" s="114">
        <f>VLOOKUP($N86,'UMC Table 4-A'!$A$10:$E$139,4,FALSE)</f>
        <v>6</v>
      </c>
      <c r="I86" s="114" t="str">
        <f>VLOOKUP($N86,'UMC Table 4-A'!$A$10:$E$139,5,FALSE)</f>
        <v>YES</v>
      </c>
      <c r="J86" s="111">
        <f t="shared" si="108"/>
        <v>110</v>
      </c>
      <c r="K86" s="116">
        <v>0</v>
      </c>
      <c r="L86" s="152">
        <f t="shared" si="109"/>
        <v>110</v>
      </c>
      <c r="M86" s="117">
        <f t="shared" si="120"/>
        <v>112</v>
      </c>
      <c r="N86" s="114" t="s">
        <v>93</v>
      </c>
      <c r="O86" s="114" t="str">
        <f>VLOOKUP($N86,'UMC Table 4-A'!$A$10:$E$139,2,FALSE)</f>
        <v>NEGATIVE</v>
      </c>
      <c r="P86" s="112">
        <f>VLOOKUP($N86,'UMC Table 4-A'!$A$10:$E$139,3,FALSE)</f>
        <v>2</v>
      </c>
      <c r="Q86" s="152">
        <f t="shared" si="110"/>
        <v>40</v>
      </c>
      <c r="R86" s="112" t="str">
        <f>VLOOKUP($N86,'UMC Table 4-A'!$A$10:$E$139,5,FALSE)</f>
        <v>YES</v>
      </c>
      <c r="S86" s="113">
        <f t="shared" si="111"/>
        <v>60</v>
      </c>
      <c r="T86" s="137">
        <v>0</v>
      </c>
      <c r="U86" s="137">
        <f t="shared" si="113"/>
        <v>0</v>
      </c>
      <c r="V86" s="137">
        <f t="shared" si="114"/>
        <v>110</v>
      </c>
      <c r="W86" s="89">
        <f t="shared" si="115"/>
        <v>-110</v>
      </c>
      <c r="X86" s="31" t="str">
        <f t="shared" si="116"/>
        <v>No</v>
      </c>
      <c r="Y86" s="32">
        <f t="shared" si="117"/>
        <v>0.5357142857142857</v>
      </c>
      <c r="Z86" s="70" t="e">
        <f t="shared" si="118"/>
        <v>#DIV/0!</v>
      </c>
      <c r="AA86" s="32">
        <f t="shared" si="119"/>
        <v>3.5714285714285712</v>
      </c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V86" s="17"/>
    </row>
    <row r="87" spans="2:48" ht="15" customHeight="1" x14ac:dyDescent="0.2">
      <c r="B87" s="160"/>
      <c r="C87" s="162" t="s">
        <v>170</v>
      </c>
      <c r="D87" s="167" t="s">
        <v>599</v>
      </c>
      <c r="E87" s="168">
        <v>2219</v>
      </c>
      <c r="F87" s="168">
        <v>208</v>
      </c>
      <c r="G87" s="173">
        <v>9</v>
      </c>
      <c r="H87" s="114">
        <f>VLOOKUP($N87,'UMC Table 4-A'!$A$10:$E$139,4,FALSE)</f>
        <v>6</v>
      </c>
      <c r="I87" s="114" t="str">
        <f>VLOOKUP($N87,'UMC Table 4-A'!$A$10:$E$139,5,FALSE)</f>
        <v>NR</v>
      </c>
      <c r="J87" s="111" t="str">
        <f t="shared" si="108"/>
        <v>-</v>
      </c>
      <c r="K87" s="116">
        <v>0</v>
      </c>
      <c r="L87" s="152">
        <f t="shared" si="109"/>
        <v>190</v>
      </c>
      <c r="M87" s="117">
        <f t="shared" si="120"/>
        <v>208</v>
      </c>
      <c r="N87" s="114" t="s">
        <v>91</v>
      </c>
      <c r="O87" s="114" t="str">
        <f>VLOOKUP($N87,'UMC Table 4-A'!$A$10:$E$139,2,FALSE)</f>
        <v>NO REQUIREMENT FOR CONTINUOUS DIRECTIONAL CONTROL</v>
      </c>
      <c r="P87" s="112">
        <f>VLOOKUP($N87,'UMC Table 4-A'!$A$10:$E$139,3,FALSE)</f>
        <v>2</v>
      </c>
      <c r="Q87" s="152">
        <f t="shared" si="110"/>
        <v>70</v>
      </c>
      <c r="R87" s="112" t="str">
        <f>VLOOKUP($N87,'UMC Table 4-A'!$A$10:$E$139,5,FALSE)</f>
        <v>NR</v>
      </c>
      <c r="S87" s="113">
        <f t="shared" si="111"/>
        <v>210</v>
      </c>
      <c r="T87" s="137">
        <f t="shared" si="112"/>
        <v>210</v>
      </c>
      <c r="U87" s="137">
        <f t="shared" si="113"/>
        <v>210</v>
      </c>
      <c r="V87" s="137">
        <f t="shared" si="114"/>
        <v>0</v>
      </c>
      <c r="W87" s="89">
        <f t="shared" si="115"/>
        <v>0</v>
      </c>
      <c r="X87" s="31" t="str">
        <f t="shared" si="116"/>
        <v>Yes</v>
      </c>
      <c r="Y87" s="32">
        <f t="shared" si="117"/>
        <v>1.0096153846153846</v>
      </c>
      <c r="Z87" s="70">
        <f t="shared" si="118"/>
        <v>33.333333333333329</v>
      </c>
      <c r="AA87" s="32">
        <f t="shared" si="119"/>
        <v>6.7307692307692299</v>
      </c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V87" s="17"/>
    </row>
    <row r="88" spans="2:48" ht="15" customHeight="1" x14ac:dyDescent="0.2">
      <c r="B88" s="160"/>
      <c r="C88" s="162" t="s">
        <v>171</v>
      </c>
      <c r="D88" s="167" t="s">
        <v>600</v>
      </c>
      <c r="E88" s="168">
        <v>2205</v>
      </c>
      <c r="F88" s="168">
        <v>131</v>
      </c>
      <c r="G88" s="173">
        <v>9</v>
      </c>
      <c r="H88" s="114">
        <f>VLOOKUP($N88,'UMC Table 4-A'!$A$10:$E$139,4,FALSE)</f>
        <v>4</v>
      </c>
      <c r="I88" s="114" t="str">
        <f>VLOOKUP($N88,'UMC Table 4-A'!$A$10:$E$139,5,FALSE)</f>
        <v>NR</v>
      </c>
      <c r="J88" s="111" t="str">
        <f t="shared" si="108"/>
        <v>-</v>
      </c>
      <c r="K88" s="116">
        <v>0</v>
      </c>
      <c r="L88" s="152">
        <f t="shared" si="109"/>
        <v>80</v>
      </c>
      <c r="M88" s="117">
        <f t="shared" si="120"/>
        <v>131</v>
      </c>
      <c r="N88" s="114" t="s">
        <v>189</v>
      </c>
      <c r="O88" s="114" t="str">
        <f>VLOOKUP($N88,'UMC Table 4-A'!$A$10:$E$139,2,FALSE)</f>
        <v>POSITIVE</v>
      </c>
      <c r="P88" s="112">
        <f>VLOOKUP($N88,'UMC Table 4-A'!$A$10:$E$139,3,FALSE)</f>
        <v>2</v>
      </c>
      <c r="Q88" s="152">
        <f t="shared" si="110"/>
        <v>40</v>
      </c>
      <c r="R88" s="112" t="str">
        <f>VLOOKUP($N88,'UMC Table 4-A'!$A$10:$E$139,5,FALSE)</f>
        <v>NR</v>
      </c>
      <c r="S88" s="113">
        <f t="shared" si="111"/>
        <v>135</v>
      </c>
      <c r="T88" s="137">
        <f t="shared" si="112"/>
        <v>135</v>
      </c>
      <c r="U88" s="137">
        <v>35</v>
      </c>
      <c r="V88" s="137">
        <f t="shared" si="114"/>
        <v>0</v>
      </c>
      <c r="W88" s="89">
        <f t="shared" si="115"/>
        <v>100</v>
      </c>
      <c r="X88" s="31" t="str">
        <f t="shared" si="116"/>
        <v>No</v>
      </c>
      <c r="Y88" s="32">
        <f t="shared" si="117"/>
        <v>1.0305343511450382</v>
      </c>
      <c r="Z88" s="70">
        <f t="shared" si="118"/>
        <v>29.629629629629626</v>
      </c>
      <c r="AA88" s="32">
        <f t="shared" si="119"/>
        <v>6.8702290076335881</v>
      </c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V88" s="17"/>
    </row>
    <row r="89" spans="2:48" ht="15" customHeight="1" x14ac:dyDescent="0.2">
      <c r="B89" s="160"/>
      <c r="C89" s="162" t="s">
        <v>172</v>
      </c>
      <c r="D89" s="167" t="s">
        <v>601</v>
      </c>
      <c r="E89" s="168">
        <v>2204</v>
      </c>
      <c r="F89" s="168">
        <v>220</v>
      </c>
      <c r="G89" s="173">
        <v>9</v>
      </c>
      <c r="H89" s="114">
        <f>VLOOKUP($N89,'UMC Table 4-A'!$A$10:$E$139,4,FALSE)</f>
        <v>6</v>
      </c>
      <c r="I89" s="114" t="str">
        <f>VLOOKUP($N89,'UMC Table 4-A'!$A$10:$E$139,5,FALSE)</f>
        <v>NR</v>
      </c>
      <c r="J89" s="111" t="str">
        <f t="shared" si="108"/>
        <v>-</v>
      </c>
      <c r="K89" s="116">
        <v>0</v>
      </c>
      <c r="L89" s="152">
        <f t="shared" si="109"/>
        <v>200</v>
      </c>
      <c r="M89" s="117">
        <f t="shared" si="120"/>
        <v>220</v>
      </c>
      <c r="N89" s="114" t="s">
        <v>91</v>
      </c>
      <c r="O89" s="114" t="str">
        <f>VLOOKUP($N89,'UMC Table 4-A'!$A$10:$E$139,2,FALSE)</f>
        <v>NO REQUIREMENT FOR CONTINUOUS DIRECTIONAL CONTROL</v>
      </c>
      <c r="P89" s="112">
        <f>VLOOKUP($N89,'UMC Table 4-A'!$A$10:$E$139,3,FALSE)</f>
        <v>2</v>
      </c>
      <c r="Q89" s="152">
        <f t="shared" si="110"/>
        <v>70</v>
      </c>
      <c r="R89" s="112" t="str">
        <f>VLOOKUP($N89,'UMC Table 4-A'!$A$10:$E$139,5,FALSE)</f>
        <v>NR</v>
      </c>
      <c r="S89" s="113">
        <f t="shared" si="111"/>
        <v>220</v>
      </c>
      <c r="T89" s="137">
        <f t="shared" si="112"/>
        <v>220</v>
      </c>
      <c r="U89" s="137">
        <f t="shared" si="113"/>
        <v>220</v>
      </c>
      <c r="V89" s="137">
        <f t="shared" si="114"/>
        <v>0</v>
      </c>
      <c r="W89" s="89">
        <f t="shared" si="115"/>
        <v>0</v>
      </c>
      <c r="X89" s="31" t="str">
        <f t="shared" si="116"/>
        <v>Yes</v>
      </c>
      <c r="Y89" s="32">
        <f t="shared" si="117"/>
        <v>1</v>
      </c>
      <c r="Z89" s="70">
        <f t="shared" si="118"/>
        <v>31.818181818181817</v>
      </c>
      <c r="AA89" s="32">
        <f t="shared" si="119"/>
        <v>6.6666666666666661</v>
      </c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V89" s="17"/>
    </row>
    <row r="90" spans="2:48" ht="15" customHeight="1" x14ac:dyDescent="0.2">
      <c r="B90" s="160"/>
      <c r="C90" s="162" t="s">
        <v>173</v>
      </c>
      <c r="D90" s="167" t="s">
        <v>461</v>
      </c>
      <c r="E90" s="168" t="s">
        <v>570</v>
      </c>
      <c r="F90" s="168">
        <v>1106</v>
      </c>
      <c r="G90" s="173">
        <v>10</v>
      </c>
      <c r="H90" s="114">
        <f>VLOOKUP($N90,'UMC Table 4-A'!$A$10:$E$139,4,FALSE)</f>
        <v>2</v>
      </c>
      <c r="I90" s="114" t="str">
        <f>VLOOKUP($N90,'UMC Table 4-A'!$A$10:$E$139,5,FALSE)</f>
        <v>NR</v>
      </c>
      <c r="J90" s="111" t="str">
        <f t="shared" si="108"/>
        <v>-</v>
      </c>
      <c r="K90" s="116">
        <v>0</v>
      </c>
      <c r="L90" s="152">
        <f t="shared" si="109"/>
        <v>370</v>
      </c>
      <c r="M90" s="117">
        <f t="shared" si="120"/>
        <v>1106</v>
      </c>
      <c r="N90" s="114" t="s">
        <v>115</v>
      </c>
      <c r="O90" s="114" t="str">
        <f>VLOOKUP($N90,'UMC Table 4-A'!$A$10:$E$139,2,FALSE)</f>
        <v>NO REQUIREMENT FOR CONTINUOUS DIRECTIONAL CONTROL</v>
      </c>
      <c r="P90" s="112" t="str">
        <f>VLOOKUP($N90,'UMC Table 4-A'!$A$10:$E$139,3,FALSE)</f>
        <v>NR</v>
      </c>
      <c r="Q90" s="152">
        <f t="shared" si="110"/>
        <v>0</v>
      </c>
      <c r="R90" s="112" t="str">
        <f>VLOOKUP($N90,'UMC Table 4-A'!$A$10:$E$139,5,FALSE)</f>
        <v>NR</v>
      </c>
      <c r="S90" s="113">
        <f t="shared" si="111"/>
        <v>1110</v>
      </c>
      <c r="T90" s="137">
        <f t="shared" si="112"/>
        <v>1110</v>
      </c>
      <c r="U90" s="137">
        <f t="shared" si="113"/>
        <v>1110</v>
      </c>
      <c r="V90" s="137">
        <f t="shared" si="114"/>
        <v>0</v>
      </c>
      <c r="W90" s="89">
        <f t="shared" si="115"/>
        <v>0</v>
      </c>
      <c r="X90" s="31" t="str">
        <f t="shared" si="116"/>
        <v>Yes</v>
      </c>
      <c r="Y90" s="32">
        <f t="shared" si="117"/>
        <v>1.003616636528029</v>
      </c>
      <c r="Z90" s="70">
        <f t="shared" si="118"/>
        <v>0</v>
      </c>
      <c r="AA90" s="32">
        <f t="shared" si="119"/>
        <v>6.0216998191681741</v>
      </c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V90" s="17"/>
    </row>
    <row r="91" spans="2:48" ht="15" customHeight="1" x14ac:dyDescent="0.2">
      <c r="B91" s="160"/>
      <c r="C91" s="162" t="s">
        <v>173</v>
      </c>
      <c r="D91" s="148" t="s">
        <v>682</v>
      </c>
      <c r="E91" s="169" t="s">
        <v>752</v>
      </c>
      <c r="F91" s="169">
        <v>77</v>
      </c>
      <c r="G91" s="173">
        <v>9</v>
      </c>
      <c r="H91" s="114">
        <f>VLOOKUP($N91,'UMC Table 4-A'!$A$10:$E$139,4,FALSE)</f>
        <v>10</v>
      </c>
      <c r="I91" s="114" t="str">
        <f>VLOOKUP($N91,'UMC Table 4-A'!$A$10:$E$139,5,FALSE)</f>
        <v>YES</v>
      </c>
      <c r="J91" s="111">
        <f t="shared" si="108"/>
        <v>120</v>
      </c>
      <c r="K91" s="116">
        <v>0</v>
      </c>
      <c r="L91" s="152">
        <f t="shared" si="109"/>
        <v>120</v>
      </c>
      <c r="M91" s="117"/>
      <c r="N91" s="114" t="s">
        <v>94</v>
      </c>
      <c r="O91" s="114" t="str">
        <f>VLOOKUP($N91,'UMC Table 4-A'!$A$10:$E$139,2,FALSE)</f>
        <v>NEGATIVE</v>
      </c>
      <c r="P91" s="112" t="str">
        <f>VLOOKUP($N91,'UMC Table 4-A'!$A$10:$E$139,3,FALSE)</f>
        <v>NR</v>
      </c>
      <c r="Q91" s="152">
        <f t="shared" si="110"/>
        <v>0</v>
      </c>
      <c r="R91" s="112" t="str">
        <f>VLOOKUP($N91,'UMC Table 4-A'!$A$10:$E$139,5,FALSE)</f>
        <v>YES</v>
      </c>
      <c r="S91" s="113">
        <f t="shared" si="111"/>
        <v>0</v>
      </c>
      <c r="T91" s="137">
        <f t="shared" si="112"/>
        <v>0</v>
      </c>
      <c r="U91" s="137">
        <f t="shared" si="113"/>
        <v>0</v>
      </c>
      <c r="V91" s="137">
        <f t="shared" si="114"/>
        <v>120</v>
      </c>
      <c r="W91" s="89">
        <f t="shared" si="115"/>
        <v>-120</v>
      </c>
      <c r="X91" s="31" t="str">
        <f t="shared" si="116"/>
        <v>No</v>
      </c>
      <c r="Y91" s="32">
        <f t="shared" si="117"/>
        <v>0</v>
      </c>
      <c r="Z91" s="70" t="e">
        <f t="shared" si="118"/>
        <v>#DIV/0!</v>
      </c>
      <c r="AA91" s="32">
        <f t="shared" si="119"/>
        <v>0</v>
      </c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V91" s="17"/>
    </row>
    <row r="92" spans="2:48" ht="15" customHeight="1" x14ac:dyDescent="0.2">
      <c r="B92" s="160"/>
      <c r="C92" s="162" t="s">
        <v>174</v>
      </c>
      <c r="D92" s="167" t="s">
        <v>534</v>
      </c>
      <c r="E92" s="168">
        <v>2202</v>
      </c>
      <c r="F92" s="168">
        <v>121</v>
      </c>
      <c r="G92" s="173">
        <v>14.5</v>
      </c>
      <c r="H92" s="114">
        <f>VLOOKUP($N92,'UMC Table 4-A'!$A$10:$E$139,4,FALSE)</f>
        <v>6</v>
      </c>
      <c r="I92" s="114" t="str">
        <f>VLOOKUP($N92,'UMC Table 4-A'!$A$10:$E$139,5,FALSE)</f>
        <v>NR</v>
      </c>
      <c r="J92" s="111" t="str">
        <f t="shared" si="108"/>
        <v>-</v>
      </c>
      <c r="K92" s="116">
        <v>0</v>
      </c>
      <c r="L92" s="152">
        <f t="shared" si="109"/>
        <v>180</v>
      </c>
      <c r="M92" s="117">
        <f t="shared" ref="M92:M100" si="121">F92</f>
        <v>121</v>
      </c>
      <c r="N92" s="114" t="s">
        <v>91</v>
      </c>
      <c r="O92" s="114" t="str">
        <f>VLOOKUP($N92,'UMC Table 4-A'!$A$10:$E$139,2,FALSE)</f>
        <v>NO REQUIREMENT FOR CONTINUOUS DIRECTIONAL CONTROL</v>
      </c>
      <c r="P92" s="112">
        <f>VLOOKUP($N92,'UMC Table 4-A'!$A$10:$E$139,3,FALSE)</f>
        <v>2</v>
      </c>
      <c r="Q92" s="152">
        <f t="shared" si="110"/>
        <v>60</v>
      </c>
      <c r="R92" s="112" t="str">
        <f>VLOOKUP($N92,'UMC Table 4-A'!$A$10:$E$139,5,FALSE)</f>
        <v>NR</v>
      </c>
      <c r="S92" s="113">
        <f t="shared" si="111"/>
        <v>180</v>
      </c>
      <c r="T92" s="137">
        <f t="shared" si="112"/>
        <v>180</v>
      </c>
      <c r="U92" s="137">
        <f t="shared" si="113"/>
        <v>180</v>
      </c>
      <c r="V92" s="137">
        <f t="shared" si="114"/>
        <v>0</v>
      </c>
      <c r="W92" s="89">
        <f t="shared" si="115"/>
        <v>0</v>
      </c>
      <c r="X92" s="31" t="str">
        <f t="shared" si="116"/>
        <v>Yes</v>
      </c>
      <c r="Y92" s="32">
        <f t="shared" si="117"/>
        <v>1.4876033057851239</v>
      </c>
      <c r="Z92" s="70">
        <f t="shared" si="118"/>
        <v>33.333333333333329</v>
      </c>
      <c r="AA92" s="32">
        <f t="shared" si="119"/>
        <v>6.1555998860074093</v>
      </c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V92" s="17"/>
    </row>
    <row r="93" spans="2:48" ht="15" customHeight="1" x14ac:dyDescent="0.2">
      <c r="B93" s="160"/>
      <c r="C93" s="162" t="s">
        <v>175</v>
      </c>
      <c r="D93" s="167" t="s">
        <v>532</v>
      </c>
      <c r="E93" s="168">
        <v>2201</v>
      </c>
      <c r="F93" s="168">
        <v>139</v>
      </c>
      <c r="G93" s="173">
        <v>14.5</v>
      </c>
      <c r="H93" s="114">
        <f>VLOOKUP($N93,'UMC Table 4-A'!$A$10:$E$139,4,FALSE)</f>
        <v>6</v>
      </c>
      <c r="I93" s="114" t="str">
        <f>VLOOKUP($N93,'UMC Table 4-A'!$A$10:$E$139,5,FALSE)</f>
        <v>NR</v>
      </c>
      <c r="J93" s="111" t="str">
        <f t="shared" si="108"/>
        <v>-</v>
      </c>
      <c r="K93" s="116">
        <v>0</v>
      </c>
      <c r="L93" s="152">
        <f t="shared" si="109"/>
        <v>210</v>
      </c>
      <c r="M93" s="117">
        <f t="shared" si="121"/>
        <v>139</v>
      </c>
      <c r="N93" s="114" t="s">
        <v>91</v>
      </c>
      <c r="O93" s="114" t="str">
        <f>VLOOKUP($N93,'UMC Table 4-A'!$A$10:$E$139,2,FALSE)</f>
        <v>NO REQUIREMENT FOR CONTINUOUS DIRECTIONAL CONTROL</v>
      </c>
      <c r="P93" s="112">
        <f>VLOOKUP($N93,'UMC Table 4-A'!$A$10:$E$139,3,FALSE)</f>
        <v>2</v>
      </c>
      <c r="Q93" s="152">
        <f t="shared" si="110"/>
        <v>70</v>
      </c>
      <c r="R93" s="112" t="str">
        <f>VLOOKUP($N93,'UMC Table 4-A'!$A$10:$E$139,5,FALSE)</f>
        <v>NR</v>
      </c>
      <c r="S93" s="113">
        <f t="shared" si="111"/>
        <v>210</v>
      </c>
      <c r="T93" s="137">
        <f t="shared" si="112"/>
        <v>210</v>
      </c>
      <c r="U93" s="137">
        <f t="shared" si="113"/>
        <v>210</v>
      </c>
      <c r="V93" s="137">
        <f t="shared" si="114"/>
        <v>0</v>
      </c>
      <c r="W93" s="89">
        <f t="shared" si="115"/>
        <v>0</v>
      </c>
      <c r="X93" s="31" t="str">
        <f t="shared" si="116"/>
        <v>Yes</v>
      </c>
      <c r="Y93" s="32">
        <f t="shared" si="117"/>
        <v>1.5107913669064748</v>
      </c>
      <c r="Z93" s="70">
        <f t="shared" si="118"/>
        <v>33.333333333333329</v>
      </c>
      <c r="AA93" s="32">
        <f t="shared" si="119"/>
        <v>6.2515504837509299</v>
      </c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V93" s="17"/>
    </row>
    <row r="94" spans="2:48" ht="15" customHeight="1" x14ac:dyDescent="0.2">
      <c r="B94" s="160"/>
      <c r="C94" s="162" t="s">
        <v>176</v>
      </c>
      <c r="D94" s="167" t="s">
        <v>602</v>
      </c>
      <c r="E94" s="168">
        <v>2224</v>
      </c>
      <c r="F94" s="168">
        <v>90</v>
      </c>
      <c r="G94" s="173" t="s">
        <v>818</v>
      </c>
      <c r="H94" s="114">
        <f>VLOOKUP($N94,'UMC Table 4-A'!$A$10:$E$139,4,FALSE)</f>
        <v>6</v>
      </c>
      <c r="I94" s="114" t="str">
        <f>VLOOKUP($N94,'UMC Table 4-A'!$A$10:$E$139,5,FALSE)</f>
        <v>NR</v>
      </c>
      <c r="J94" s="111" t="str">
        <f t="shared" si="108"/>
        <v>-</v>
      </c>
      <c r="K94" s="116">
        <v>0</v>
      </c>
      <c r="L94" s="152">
        <f t="shared" si="109"/>
        <v>80</v>
      </c>
      <c r="M94" s="117">
        <f t="shared" si="121"/>
        <v>90</v>
      </c>
      <c r="N94" s="114" t="s">
        <v>91</v>
      </c>
      <c r="O94" s="114" t="str">
        <f>VLOOKUP($N94,'UMC Table 4-A'!$A$10:$E$139,2,FALSE)</f>
        <v>NO REQUIREMENT FOR CONTINUOUS DIRECTIONAL CONTROL</v>
      </c>
      <c r="P94" s="112">
        <f>VLOOKUP($N94,'UMC Table 4-A'!$A$10:$E$139,3,FALSE)</f>
        <v>2</v>
      </c>
      <c r="Q94" s="152">
        <f t="shared" si="110"/>
        <v>30</v>
      </c>
      <c r="R94" s="112" t="str">
        <f>VLOOKUP($N94,'UMC Table 4-A'!$A$10:$E$139,5,FALSE)</f>
        <v>NR</v>
      </c>
      <c r="S94" s="113">
        <f t="shared" si="111"/>
        <v>90</v>
      </c>
      <c r="T94" s="137">
        <f t="shared" si="112"/>
        <v>90</v>
      </c>
      <c r="U94" s="137">
        <f t="shared" si="113"/>
        <v>90</v>
      </c>
      <c r="V94" s="137">
        <f t="shared" si="114"/>
        <v>0</v>
      </c>
      <c r="W94" s="89">
        <f t="shared" si="115"/>
        <v>0</v>
      </c>
      <c r="X94" s="31" t="str">
        <f t="shared" si="116"/>
        <v>Yes</v>
      </c>
      <c r="Y94" s="32">
        <f t="shared" si="117"/>
        <v>1</v>
      </c>
      <c r="Z94" s="70">
        <f t="shared" si="118"/>
        <v>33.333333333333329</v>
      </c>
      <c r="AA94" s="32">
        <f t="shared" si="119"/>
        <v>7.5</v>
      </c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V94" s="17"/>
    </row>
    <row r="95" spans="2:48" ht="15" customHeight="1" x14ac:dyDescent="0.2">
      <c r="B95" s="30"/>
      <c r="C95" s="162" t="s">
        <v>177</v>
      </c>
      <c r="D95" s="167" t="s">
        <v>603</v>
      </c>
      <c r="E95" s="168">
        <v>2220</v>
      </c>
      <c r="F95" s="168">
        <v>87</v>
      </c>
      <c r="G95" s="172">
        <v>10</v>
      </c>
      <c r="H95" s="114">
        <f>VLOOKUP($N95,'UMC Table 4-A'!$A$10:$E$139,4,FALSE)</f>
        <v>6</v>
      </c>
      <c r="I95" s="114" t="str">
        <f>VLOOKUP($N95,'UMC Table 4-A'!$A$10:$E$139,5,FALSE)</f>
        <v>NR</v>
      </c>
      <c r="J95" s="111" t="str">
        <f t="shared" si="108"/>
        <v>-</v>
      </c>
      <c r="K95" s="116">
        <v>0</v>
      </c>
      <c r="L95" s="152">
        <f t="shared" si="109"/>
        <v>90</v>
      </c>
      <c r="M95" s="117">
        <f t="shared" si="121"/>
        <v>87</v>
      </c>
      <c r="N95" s="114" t="s">
        <v>91</v>
      </c>
      <c r="O95" s="114" t="str">
        <f>VLOOKUP($N95,'UMC Table 4-A'!$A$10:$E$139,2,FALSE)</f>
        <v>NO REQUIREMENT FOR CONTINUOUS DIRECTIONAL CONTROL</v>
      </c>
      <c r="P95" s="112">
        <f>VLOOKUP($N95,'UMC Table 4-A'!$A$10:$E$139,3,FALSE)</f>
        <v>2</v>
      </c>
      <c r="Q95" s="152">
        <f t="shared" si="110"/>
        <v>30</v>
      </c>
      <c r="R95" s="112" t="str">
        <f>VLOOKUP($N95,'UMC Table 4-A'!$A$10:$E$139,5,FALSE)</f>
        <v>NR</v>
      </c>
      <c r="S95" s="113">
        <f t="shared" si="111"/>
        <v>90</v>
      </c>
      <c r="T95" s="137">
        <f t="shared" si="112"/>
        <v>90</v>
      </c>
      <c r="U95" s="137">
        <f t="shared" si="113"/>
        <v>90</v>
      </c>
      <c r="V95" s="137">
        <f t="shared" si="114"/>
        <v>0</v>
      </c>
      <c r="W95" s="89">
        <f t="shared" si="115"/>
        <v>0</v>
      </c>
      <c r="X95" s="31" t="str">
        <f t="shared" si="116"/>
        <v>Yes</v>
      </c>
      <c r="Y95" s="32">
        <f t="shared" si="117"/>
        <v>1.0344827586206897</v>
      </c>
      <c r="Z95" s="70">
        <f t="shared" si="118"/>
        <v>33.333333333333329</v>
      </c>
      <c r="AA95" s="32">
        <f t="shared" si="119"/>
        <v>6.2068965517241388</v>
      </c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V95" s="17"/>
    </row>
    <row r="96" spans="2:48" ht="15" customHeight="1" x14ac:dyDescent="0.2">
      <c r="B96" s="30"/>
      <c r="C96" s="162" t="s">
        <v>177</v>
      </c>
      <c r="D96" s="167" t="s">
        <v>604</v>
      </c>
      <c r="E96" s="168">
        <v>2221</v>
      </c>
      <c r="F96" s="168">
        <v>91</v>
      </c>
      <c r="G96" s="173">
        <v>9</v>
      </c>
      <c r="H96" s="114">
        <f>VLOOKUP($N96,'UMC Table 4-A'!$A$10:$E$139,4,FALSE)</f>
        <v>6</v>
      </c>
      <c r="I96" s="114" t="str">
        <f>VLOOKUP($N96,'UMC Table 4-A'!$A$10:$E$139,5,FALSE)</f>
        <v>NR</v>
      </c>
      <c r="J96" s="111" t="str">
        <f t="shared" si="108"/>
        <v>-</v>
      </c>
      <c r="K96" s="116">
        <v>0</v>
      </c>
      <c r="L96" s="152">
        <f t="shared" si="109"/>
        <v>90</v>
      </c>
      <c r="M96" s="117">
        <f t="shared" si="121"/>
        <v>91</v>
      </c>
      <c r="N96" s="114" t="s">
        <v>91</v>
      </c>
      <c r="O96" s="114" t="str">
        <f>VLOOKUP($N96,'UMC Table 4-A'!$A$10:$E$139,2,FALSE)</f>
        <v>NO REQUIREMENT FOR CONTINUOUS DIRECTIONAL CONTROL</v>
      </c>
      <c r="P96" s="112">
        <f>VLOOKUP($N96,'UMC Table 4-A'!$A$10:$E$139,3,FALSE)</f>
        <v>2</v>
      </c>
      <c r="Q96" s="152">
        <f t="shared" si="110"/>
        <v>30</v>
      </c>
      <c r="R96" s="112" t="str">
        <f>VLOOKUP($N96,'UMC Table 4-A'!$A$10:$E$139,5,FALSE)</f>
        <v>NR</v>
      </c>
      <c r="S96" s="113">
        <f t="shared" si="111"/>
        <v>95</v>
      </c>
      <c r="T96" s="137">
        <f t="shared" si="112"/>
        <v>95</v>
      </c>
      <c r="U96" s="137">
        <f t="shared" si="113"/>
        <v>95</v>
      </c>
      <c r="V96" s="137">
        <f t="shared" si="114"/>
        <v>0</v>
      </c>
      <c r="W96" s="89">
        <f t="shared" si="115"/>
        <v>0</v>
      </c>
      <c r="X96" s="31" t="str">
        <f t="shared" si="116"/>
        <v>Yes</v>
      </c>
      <c r="Y96" s="32">
        <f t="shared" si="117"/>
        <v>1.043956043956044</v>
      </c>
      <c r="Z96" s="70">
        <f t="shared" si="118"/>
        <v>31.578947368421051</v>
      </c>
      <c r="AA96" s="32">
        <f t="shared" si="119"/>
        <v>6.9597069597069599</v>
      </c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V96" s="17"/>
    </row>
    <row r="97" spans="2:48" ht="15" customHeight="1" x14ac:dyDescent="0.2">
      <c r="B97" s="30"/>
      <c r="C97" s="162" t="s">
        <v>178</v>
      </c>
      <c r="D97" s="167" t="s">
        <v>571</v>
      </c>
      <c r="E97" s="168" t="s">
        <v>605</v>
      </c>
      <c r="F97" s="168">
        <v>20</v>
      </c>
      <c r="G97" s="173">
        <v>8.5</v>
      </c>
      <c r="H97" s="114">
        <f>VLOOKUP($N97,'UMC Table 4-A'!$A$10:$E$139,4,FALSE)</f>
        <v>6</v>
      </c>
      <c r="I97" s="114" t="str">
        <f>VLOOKUP($N97,'UMC Table 4-A'!$A$10:$E$139,5,FALSE)</f>
        <v>NR</v>
      </c>
      <c r="J97" s="111" t="str">
        <f t="shared" si="108"/>
        <v>-</v>
      </c>
      <c r="K97" s="116">
        <v>0</v>
      </c>
      <c r="L97" s="152">
        <f t="shared" si="109"/>
        <v>20</v>
      </c>
      <c r="M97" s="117">
        <f t="shared" si="121"/>
        <v>20</v>
      </c>
      <c r="N97" s="114" t="s">
        <v>91</v>
      </c>
      <c r="O97" s="114" t="str">
        <f>VLOOKUP($N97,'UMC Table 4-A'!$A$10:$E$139,2,FALSE)</f>
        <v>NO REQUIREMENT FOR CONTINUOUS DIRECTIONAL CONTROL</v>
      </c>
      <c r="P97" s="112">
        <f>VLOOKUP($N97,'UMC Table 4-A'!$A$10:$E$139,3,FALSE)</f>
        <v>2</v>
      </c>
      <c r="Q97" s="152">
        <f t="shared" si="110"/>
        <v>10</v>
      </c>
      <c r="R97" s="112" t="str">
        <f>VLOOKUP($N97,'UMC Table 4-A'!$A$10:$E$139,5,FALSE)</f>
        <v>NR</v>
      </c>
      <c r="S97" s="113">
        <f t="shared" si="111"/>
        <v>20</v>
      </c>
      <c r="T97" s="137">
        <f t="shared" si="112"/>
        <v>20</v>
      </c>
      <c r="U97" s="137">
        <f t="shared" si="113"/>
        <v>20</v>
      </c>
      <c r="V97" s="137">
        <f t="shared" si="114"/>
        <v>0</v>
      </c>
      <c r="W97" s="89">
        <f t="shared" si="115"/>
        <v>0</v>
      </c>
      <c r="X97" s="31" t="str">
        <f t="shared" si="116"/>
        <v>Yes</v>
      </c>
      <c r="Y97" s="32">
        <f t="shared" si="117"/>
        <v>1</v>
      </c>
      <c r="Z97" s="70">
        <f t="shared" si="118"/>
        <v>50</v>
      </c>
      <c r="AA97" s="32">
        <f t="shared" si="119"/>
        <v>7.0588235294117645</v>
      </c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V97" s="17"/>
    </row>
    <row r="98" spans="2:48" ht="15" customHeight="1" x14ac:dyDescent="0.2">
      <c r="B98" s="30"/>
      <c r="C98" s="162" t="s">
        <v>178</v>
      </c>
      <c r="D98" s="167" t="s">
        <v>606</v>
      </c>
      <c r="E98" s="168">
        <v>2223</v>
      </c>
      <c r="F98" s="168">
        <v>184</v>
      </c>
      <c r="G98" s="173">
        <v>9</v>
      </c>
      <c r="H98" s="114">
        <f>VLOOKUP($N98,'UMC Table 4-A'!$A$10:$E$139,4,FALSE)</f>
        <v>2</v>
      </c>
      <c r="I98" s="114" t="str">
        <f>VLOOKUP($N98,'UMC Table 4-A'!$A$10:$E$139,5,FALSE)</f>
        <v>(AA)</v>
      </c>
      <c r="J98" s="111" t="str">
        <f t="shared" si="108"/>
        <v>-</v>
      </c>
      <c r="K98" s="116">
        <v>0</v>
      </c>
      <c r="L98" s="152">
        <f t="shared" si="109"/>
        <v>60</v>
      </c>
      <c r="M98" s="117">
        <f t="shared" si="121"/>
        <v>184</v>
      </c>
      <c r="N98" s="114" t="s">
        <v>190</v>
      </c>
      <c r="O98" s="114" t="str">
        <f>VLOOKUP($N98,'UMC Table 4-A'!$A$10:$E$139,2,FALSE)</f>
        <v>(AA)</v>
      </c>
      <c r="P98" s="112">
        <f>VLOOKUP($N98,'UMC Table 4-A'!$A$10:$E$139,3,FALSE)</f>
        <v>2</v>
      </c>
      <c r="Q98" s="152">
        <f t="shared" si="110"/>
        <v>60</v>
      </c>
      <c r="R98" s="112" t="str">
        <f>VLOOKUP($N98,'UMC Table 4-A'!$A$10:$E$139,5,FALSE)</f>
        <v>(AA)</v>
      </c>
      <c r="S98" s="113">
        <f t="shared" si="111"/>
        <v>185</v>
      </c>
      <c r="T98" s="137">
        <f t="shared" si="112"/>
        <v>185</v>
      </c>
      <c r="U98" s="137">
        <f t="shared" si="113"/>
        <v>185</v>
      </c>
      <c r="V98" s="137">
        <f t="shared" si="114"/>
        <v>0</v>
      </c>
      <c r="W98" s="89">
        <f t="shared" si="115"/>
        <v>0</v>
      </c>
      <c r="X98" s="31" t="str">
        <f t="shared" si="116"/>
        <v>Yes</v>
      </c>
      <c r="Y98" s="32">
        <f t="shared" si="117"/>
        <v>1.0054347826086956</v>
      </c>
      <c r="Z98" s="70">
        <f t="shared" si="118"/>
        <v>32.432432432432435</v>
      </c>
      <c r="AA98" s="32">
        <f t="shared" si="119"/>
        <v>6.7028985507246377</v>
      </c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V98" s="17"/>
    </row>
    <row r="99" spans="2:48" ht="15" customHeight="1" x14ac:dyDescent="0.2">
      <c r="B99" s="30"/>
      <c r="C99" s="162" t="s">
        <v>179</v>
      </c>
      <c r="D99" s="167" t="s">
        <v>461</v>
      </c>
      <c r="E99" s="168" t="s">
        <v>607</v>
      </c>
      <c r="F99" s="168">
        <v>319</v>
      </c>
      <c r="G99" s="172">
        <v>9</v>
      </c>
      <c r="H99" s="114">
        <f>VLOOKUP($N99,'UMC Table 4-A'!$A$10:$E$139,4,FALSE)</f>
        <v>2</v>
      </c>
      <c r="I99" s="114" t="str">
        <f>VLOOKUP($N99,'UMC Table 4-A'!$A$10:$E$139,5,FALSE)</f>
        <v>NR</v>
      </c>
      <c r="J99" s="111" t="str">
        <f t="shared" si="108"/>
        <v>-</v>
      </c>
      <c r="K99" s="116">
        <v>0</v>
      </c>
      <c r="L99" s="152">
        <f t="shared" si="109"/>
        <v>100</v>
      </c>
      <c r="M99" s="117">
        <f t="shared" si="121"/>
        <v>319</v>
      </c>
      <c r="N99" s="114" t="s">
        <v>115</v>
      </c>
      <c r="O99" s="114" t="str">
        <f>VLOOKUP($N99,'UMC Table 4-A'!$A$10:$E$139,2,FALSE)</f>
        <v>NO REQUIREMENT FOR CONTINUOUS DIRECTIONAL CONTROL</v>
      </c>
      <c r="P99" s="112" t="str">
        <f>VLOOKUP($N99,'UMC Table 4-A'!$A$10:$E$139,3,FALSE)</f>
        <v>NR</v>
      </c>
      <c r="Q99" s="152">
        <f t="shared" si="110"/>
        <v>0</v>
      </c>
      <c r="R99" s="112" t="str">
        <f>VLOOKUP($N99,'UMC Table 4-A'!$A$10:$E$139,5,FALSE)</f>
        <v>NR</v>
      </c>
      <c r="S99" s="113">
        <f t="shared" si="111"/>
        <v>320</v>
      </c>
      <c r="T99" s="137">
        <f t="shared" si="112"/>
        <v>320</v>
      </c>
      <c r="U99" s="137">
        <f t="shared" si="113"/>
        <v>320</v>
      </c>
      <c r="V99" s="137">
        <f t="shared" si="114"/>
        <v>0</v>
      </c>
      <c r="W99" s="89">
        <f t="shared" si="115"/>
        <v>0</v>
      </c>
      <c r="X99" s="31" t="str">
        <f t="shared" si="116"/>
        <v>Yes</v>
      </c>
      <c r="Y99" s="32">
        <f t="shared" si="117"/>
        <v>1.0031347962382444</v>
      </c>
      <c r="Z99" s="70">
        <f t="shared" si="118"/>
        <v>0</v>
      </c>
      <c r="AA99" s="32">
        <f t="shared" si="119"/>
        <v>6.6875653082549631</v>
      </c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V99" s="17"/>
    </row>
    <row r="100" spans="2:48" ht="15" customHeight="1" x14ac:dyDescent="0.2">
      <c r="B100" s="30"/>
      <c r="C100" s="162" t="s">
        <v>180</v>
      </c>
      <c r="D100" s="167" t="s">
        <v>461</v>
      </c>
      <c r="E100" s="168" t="s">
        <v>608</v>
      </c>
      <c r="F100" s="168">
        <v>305</v>
      </c>
      <c r="G100" s="173">
        <v>8.5</v>
      </c>
      <c r="H100" s="114">
        <f>VLOOKUP($N100,'UMC Table 4-A'!$A$10:$E$139,4,FALSE)</f>
        <v>2</v>
      </c>
      <c r="I100" s="114" t="str">
        <f>VLOOKUP($N100,'UMC Table 4-A'!$A$10:$E$139,5,FALSE)</f>
        <v>NR</v>
      </c>
      <c r="J100" s="111" t="str">
        <f t="shared" si="108"/>
        <v>-</v>
      </c>
      <c r="K100" s="116">
        <v>0</v>
      </c>
      <c r="L100" s="152">
        <f t="shared" si="109"/>
        <v>90</v>
      </c>
      <c r="M100" s="117">
        <f t="shared" si="121"/>
        <v>305</v>
      </c>
      <c r="N100" s="114" t="s">
        <v>115</v>
      </c>
      <c r="O100" s="114" t="str">
        <f>VLOOKUP($N100,'UMC Table 4-A'!$A$10:$E$139,2,FALSE)</f>
        <v>NO REQUIREMENT FOR CONTINUOUS DIRECTIONAL CONTROL</v>
      </c>
      <c r="P100" s="112" t="str">
        <f>VLOOKUP($N100,'UMC Table 4-A'!$A$10:$E$139,3,FALSE)</f>
        <v>NR</v>
      </c>
      <c r="Q100" s="152">
        <f t="shared" si="110"/>
        <v>0</v>
      </c>
      <c r="R100" s="112" t="str">
        <f>VLOOKUP($N100,'UMC Table 4-A'!$A$10:$E$139,5,FALSE)</f>
        <v>NR</v>
      </c>
      <c r="S100" s="113">
        <f t="shared" si="111"/>
        <v>305</v>
      </c>
      <c r="T100" s="137">
        <f t="shared" si="112"/>
        <v>305</v>
      </c>
      <c r="U100" s="137">
        <f t="shared" si="113"/>
        <v>305</v>
      </c>
      <c r="V100" s="137">
        <f t="shared" si="114"/>
        <v>0</v>
      </c>
      <c r="W100" s="89">
        <f t="shared" si="115"/>
        <v>0</v>
      </c>
      <c r="X100" s="31" t="str">
        <f t="shared" si="116"/>
        <v>Yes</v>
      </c>
      <c r="Y100" s="32">
        <f t="shared" si="117"/>
        <v>1</v>
      </c>
      <c r="Z100" s="70">
        <f t="shared" si="118"/>
        <v>0</v>
      </c>
      <c r="AA100" s="32">
        <f t="shared" si="119"/>
        <v>7.0588235294117645</v>
      </c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V100" s="17"/>
    </row>
    <row r="101" spans="2:48" ht="15.75" customHeight="1" x14ac:dyDescent="0.2">
      <c r="B101" s="30"/>
      <c r="C101" s="162" t="s">
        <v>180</v>
      </c>
      <c r="D101" s="148" t="s">
        <v>739</v>
      </c>
      <c r="E101" s="169" t="s">
        <v>751</v>
      </c>
      <c r="F101" s="169">
        <v>35</v>
      </c>
      <c r="G101" s="172">
        <v>9</v>
      </c>
      <c r="H101" s="114">
        <f>VLOOKUP($N101,'UMC Table 4-A'!$A$10:$E$139,4,FALSE)</f>
        <v>10</v>
      </c>
      <c r="I101" s="114" t="str">
        <f>VLOOKUP($N101,'UMC Table 4-A'!$A$10:$E$139,5,FALSE)</f>
        <v>YES</v>
      </c>
      <c r="J101" s="111">
        <f t="shared" si="108"/>
        <v>60</v>
      </c>
      <c r="K101" s="116">
        <v>0</v>
      </c>
      <c r="L101" s="152">
        <f t="shared" si="109"/>
        <v>60</v>
      </c>
      <c r="M101" s="117"/>
      <c r="N101" s="114" t="s">
        <v>246</v>
      </c>
      <c r="O101" s="114" t="str">
        <f>VLOOKUP($N101,'UMC Table 4-A'!$A$10:$E$139,2,FALSE)</f>
        <v>NEGATIVE</v>
      </c>
      <c r="P101" s="112" t="str">
        <f>VLOOKUP($N101,'UMC Table 4-A'!$A$10:$E$139,3,FALSE)</f>
        <v>NR</v>
      </c>
      <c r="Q101" s="152">
        <f t="shared" si="110"/>
        <v>0</v>
      </c>
      <c r="R101" s="112" t="str">
        <f>VLOOKUP($N101,'UMC Table 4-A'!$A$10:$E$139,5,FALSE)</f>
        <v>YES</v>
      </c>
      <c r="S101" s="113">
        <f t="shared" si="111"/>
        <v>0</v>
      </c>
      <c r="T101" s="137">
        <f t="shared" si="112"/>
        <v>0</v>
      </c>
      <c r="U101" s="137">
        <f t="shared" si="113"/>
        <v>0</v>
      </c>
      <c r="V101" s="137">
        <f t="shared" si="114"/>
        <v>60</v>
      </c>
      <c r="W101" s="89">
        <f t="shared" si="115"/>
        <v>-60</v>
      </c>
      <c r="X101" s="31" t="str">
        <f t="shared" si="116"/>
        <v>No</v>
      </c>
      <c r="Y101" s="32">
        <f t="shared" si="117"/>
        <v>0</v>
      </c>
      <c r="Z101" s="70" t="e">
        <f t="shared" si="118"/>
        <v>#DIV/0!</v>
      </c>
      <c r="AA101" s="32">
        <f t="shared" si="119"/>
        <v>0</v>
      </c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V101" s="17"/>
    </row>
    <row r="102" spans="2:48" ht="15" x14ac:dyDescent="0.2">
      <c r="B102" s="30"/>
      <c r="C102" s="162" t="s">
        <v>181</v>
      </c>
      <c r="D102" s="167" t="s">
        <v>609</v>
      </c>
      <c r="E102" s="168">
        <v>2101</v>
      </c>
      <c r="F102" s="168">
        <v>195</v>
      </c>
      <c r="G102" s="172">
        <v>9</v>
      </c>
      <c r="H102" s="114">
        <f>VLOOKUP($N102,'UMC Table 4-A'!$A$10:$E$139,4,FALSE)</f>
        <v>6</v>
      </c>
      <c r="I102" s="114" t="str">
        <f>VLOOKUP($N102,'UMC Table 4-A'!$A$10:$E$139,5,FALSE)</f>
        <v>NR</v>
      </c>
      <c r="J102" s="111" t="str">
        <f t="shared" si="108"/>
        <v>-</v>
      </c>
      <c r="K102" s="116">
        <v>0</v>
      </c>
      <c r="L102" s="152">
        <f t="shared" si="109"/>
        <v>180</v>
      </c>
      <c r="M102" s="117">
        <f t="shared" ref="M102:M113" si="122">F102</f>
        <v>195</v>
      </c>
      <c r="N102" s="114" t="s">
        <v>91</v>
      </c>
      <c r="O102" s="114" t="str">
        <f>VLOOKUP($N102,'UMC Table 4-A'!$A$10:$E$139,2,FALSE)</f>
        <v>NO REQUIREMENT FOR CONTINUOUS DIRECTIONAL CONTROL</v>
      </c>
      <c r="P102" s="112">
        <f>VLOOKUP($N102,'UMC Table 4-A'!$A$10:$E$139,3,FALSE)</f>
        <v>2</v>
      </c>
      <c r="Q102" s="152">
        <f t="shared" si="110"/>
        <v>60</v>
      </c>
      <c r="R102" s="112" t="str">
        <f>VLOOKUP($N102,'UMC Table 4-A'!$A$10:$E$139,5,FALSE)</f>
        <v>NR</v>
      </c>
      <c r="S102" s="113">
        <f t="shared" si="111"/>
        <v>195</v>
      </c>
      <c r="T102" s="137">
        <f t="shared" si="112"/>
        <v>195</v>
      </c>
      <c r="U102" s="137">
        <f t="shared" si="113"/>
        <v>195</v>
      </c>
      <c r="V102" s="137">
        <f t="shared" si="114"/>
        <v>0</v>
      </c>
      <c r="W102" s="89">
        <f t="shared" si="115"/>
        <v>0</v>
      </c>
      <c r="X102" s="31" t="str">
        <f t="shared" si="116"/>
        <v>Yes</v>
      </c>
      <c r="Y102" s="32">
        <f t="shared" si="117"/>
        <v>1</v>
      </c>
      <c r="Z102" s="70">
        <f t="shared" si="118"/>
        <v>30.76923076923077</v>
      </c>
      <c r="AA102" s="32">
        <f t="shared" si="119"/>
        <v>6.6666666666666661</v>
      </c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V102" s="17"/>
    </row>
    <row r="103" spans="2:48" ht="15" x14ac:dyDescent="0.2">
      <c r="B103" s="30"/>
      <c r="C103" s="162" t="s">
        <v>182</v>
      </c>
      <c r="D103" s="167" t="s">
        <v>599</v>
      </c>
      <c r="E103" s="168">
        <v>2105</v>
      </c>
      <c r="F103" s="168">
        <v>87</v>
      </c>
      <c r="G103" s="172">
        <v>9</v>
      </c>
      <c r="H103" s="114">
        <f>VLOOKUP($N103,'UMC Table 4-A'!$A$10:$E$139,4,FALSE)</f>
        <v>6</v>
      </c>
      <c r="I103" s="114" t="str">
        <f>VLOOKUP($N103,'UMC Table 4-A'!$A$10:$E$139,5,FALSE)</f>
        <v>NR</v>
      </c>
      <c r="J103" s="111" t="str">
        <f t="shared" si="108"/>
        <v>-</v>
      </c>
      <c r="K103" s="116">
        <v>0</v>
      </c>
      <c r="L103" s="152">
        <f t="shared" si="109"/>
        <v>80</v>
      </c>
      <c r="M103" s="117">
        <f t="shared" si="122"/>
        <v>87</v>
      </c>
      <c r="N103" s="114" t="s">
        <v>91</v>
      </c>
      <c r="O103" s="114" t="str">
        <f>VLOOKUP($N103,'UMC Table 4-A'!$A$10:$E$139,2,FALSE)</f>
        <v>NO REQUIREMENT FOR CONTINUOUS DIRECTIONAL CONTROL</v>
      </c>
      <c r="P103" s="112">
        <f>VLOOKUP($N103,'UMC Table 4-A'!$A$10:$E$139,3,FALSE)</f>
        <v>2</v>
      </c>
      <c r="Q103" s="112">
        <f t="shared" si="110"/>
        <v>30</v>
      </c>
      <c r="R103" s="112" t="str">
        <f>VLOOKUP($N103,'UMC Table 4-A'!$A$10:$E$139,5,FALSE)</f>
        <v>NR</v>
      </c>
      <c r="S103" s="112">
        <f t="shared" si="111"/>
        <v>90</v>
      </c>
      <c r="T103" s="137">
        <f t="shared" si="112"/>
        <v>90</v>
      </c>
      <c r="U103" s="137">
        <f t="shared" si="113"/>
        <v>90</v>
      </c>
      <c r="V103" s="137">
        <f t="shared" si="114"/>
        <v>0</v>
      </c>
      <c r="W103" s="89">
        <f t="shared" si="115"/>
        <v>0</v>
      </c>
      <c r="X103" s="89" t="str">
        <f t="shared" si="116"/>
        <v>Yes</v>
      </c>
      <c r="Y103" s="89">
        <f t="shared" si="117"/>
        <v>1.0344827586206897</v>
      </c>
      <c r="Z103" s="89">
        <f t="shared" si="118"/>
        <v>33.333333333333329</v>
      </c>
      <c r="AA103" s="32">
        <f t="shared" si="119"/>
        <v>6.8965517241379315</v>
      </c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V103" s="17"/>
    </row>
    <row r="104" spans="2:48" ht="15" x14ac:dyDescent="0.2">
      <c r="B104" s="30"/>
      <c r="C104" s="162" t="s">
        <v>183</v>
      </c>
      <c r="D104" s="167" t="s">
        <v>600</v>
      </c>
      <c r="E104" s="168">
        <v>2106</v>
      </c>
      <c r="F104" s="168">
        <v>113</v>
      </c>
      <c r="G104" s="173">
        <v>9</v>
      </c>
      <c r="H104" s="114">
        <f>VLOOKUP($N104,'UMC Table 4-A'!$A$10:$E$139,4,FALSE)</f>
        <v>4</v>
      </c>
      <c r="I104" s="114" t="str">
        <f>VLOOKUP($N104,'UMC Table 4-A'!$A$10:$E$139,5,FALSE)</f>
        <v>NR</v>
      </c>
      <c r="J104" s="111" t="str">
        <f t="shared" ref="J104:J115" si="123">IF(I104="Yes",L104,"-")</f>
        <v>-</v>
      </c>
      <c r="K104" s="116">
        <v>0</v>
      </c>
      <c r="L104" s="152">
        <f t="shared" ref="L104:L115" si="124">IF(H104&lt;&gt;"NR",ROUNDUP((F104*G104*H104)/60,-1),0)</f>
        <v>70</v>
      </c>
      <c r="M104" s="117">
        <f t="shared" si="122"/>
        <v>113</v>
      </c>
      <c r="N104" s="114" t="s">
        <v>189</v>
      </c>
      <c r="O104" s="114" t="str">
        <f>VLOOKUP($N104,'UMC Table 4-A'!$A$10:$E$139,2,FALSE)</f>
        <v>POSITIVE</v>
      </c>
      <c r="P104" s="112">
        <f>VLOOKUP($N104,'UMC Table 4-A'!$A$10:$E$139,3,FALSE)</f>
        <v>2</v>
      </c>
      <c r="Q104" s="112">
        <f t="shared" ref="Q104:Q115" si="125">IF(P104&lt;&gt;"NR",ROUNDUP((F104*G104*P104)/60,-1),0)</f>
        <v>40</v>
      </c>
      <c r="R104" s="112" t="str">
        <f>VLOOKUP($N104,'UMC Table 4-A'!$A$10:$E$139,5,FALSE)</f>
        <v>NR</v>
      </c>
      <c r="S104" s="112">
        <f t="shared" ref="S104:S115" si="126">IF(O104="Negative",IF(OR(N104="Toilet room",N104="Janitor's closet, housekeeping"),0,IF(0.1*V104&gt;50,220-0.1*V104,V104-50)),IF(R104="Yes",0,CEILING(MAX(K104:M104),5)))</f>
        <v>115</v>
      </c>
      <c r="T104" s="137">
        <f t="shared" ref="T104:T114" si="127">S104</f>
        <v>115</v>
      </c>
      <c r="U104" s="137">
        <f t="shared" ref="U104:U115" si="128">IF(R104="Yes",0,IF(O104="Positive",IF(0.1*S104&gt;50,S104-0.1*S104,S104-50),IF(O104="Negative",IF(0.1*S104&gt;50,S104+0.1*S104,S104+50),S104)))</f>
        <v>65</v>
      </c>
      <c r="V104" s="137">
        <f t="shared" ref="V104:V113" si="129">IF(R104="Yes",J104,0)</f>
        <v>0</v>
      </c>
      <c r="W104" s="89">
        <f t="shared" ref="W104:W115" si="130">T104-U104-V104</f>
        <v>50</v>
      </c>
      <c r="X104" s="89" t="str">
        <f t="shared" ref="X104:X115" si="131">IF(S104-U104-V104+W104=0,"Yes","No")</f>
        <v>No</v>
      </c>
      <c r="Y104" s="89">
        <f t="shared" ref="Y104:Y115" si="132">S104/F104</f>
        <v>1.0176991150442478</v>
      </c>
      <c r="Z104" s="89">
        <f t="shared" ref="Z104:Z115" si="133">(Q104/T104)*100</f>
        <v>34.782608695652172</v>
      </c>
      <c r="AA104" s="32">
        <f t="shared" ref="AA104:AA115" si="134">S104/F104/G104*60</f>
        <v>6.7846607669616521</v>
      </c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V104" s="17"/>
    </row>
    <row r="105" spans="2:48" ht="15" customHeight="1" x14ac:dyDescent="0.2">
      <c r="B105" s="30"/>
      <c r="C105" s="162" t="s">
        <v>184</v>
      </c>
      <c r="D105" s="167" t="s">
        <v>590</v>
      </c>
      <c r="E105" s="168" t="s">
        <v>610</v>
      </c>
      <c r="F105" s="168">
        <v>70</v>
      </c>
      <c r="G105" s="173">
        <v>9</v>
      </c>
      <c r="H105" s="114">
        <f>VLOOKUP($N105,'UMC Table 4-A'!$A$10:$E$139,4,FALSE)</f>
        <v>2</v>
      </c>
      <c r="I105" s="114" t="str">
        <f>VLOOKUP($N105,'UMC Table 4-A'!$A$10:$E$139,5,FALSE)</f>
        <v>NR</v>
      </c>
      <c r="J105" s="111" t="str">
        <f t="shared" si="123"/>
        <v>-</v>
      </c>
      <c r="K105" s="116">
        <v>0</v>
      </c>
      <c r="L105" s="152">
        <f t="shared" si="124"/>
        <v>30</v>
      </c>
      <c r="M105" s="117">
        <f t="shared" si="122"/>
        <v>70</v>
      </c>
      <c r="N105" s="114" t="s">
        <v>92</v>
      </c>
      <c r="O105" s="114" t="str">
        <f>VLOOKUP($N105,'UMC Table 4-A'!$A$10:$E$139,2,FALSE)</f>
        <v>NO REQUIREMENT FOR CONTINUOUS DIRECTIONAL CONTROL</v>
      </c>
      <c r="P105" s="112" t="str">
        <f>VLOOKUP($N105,'UMC Table 4-A'!$A$10:$E$139,3,FALSE)</f>
        <v>NR</v>
      </c>
      <c r="Q105" s="112">
        <f t="shared" si="125"/>
        <v>0</v>
      </c>
      <c r="R105" s="112" t="str">
        <f>VLOOKUP($N105,'UMC Table 4-A'!$A$10:$E$139,5,FALSE)</f>
        <v>NR</v>
      </c>
      <c r="S105" s="112">
        <f t="shared" si="126"/>
        <v>70</v>
      </c>
      <c r="T105" s="137">
        <f t="shared" si="127"/>
        <v>70</v>
      </c>
      <c r="U105" s="137">
        <f t="shared" si="128"/>
        <v>70</v>
      </c>
      <c r="V105" s="137">
        <f t="shared" si="129"/>
        <v>0</v>
      </c>
      <c r="W105" s="89">
        <f t="shared" si="130"/>
        <v>0</v>
      </c>
      <c r="X105" s="31" t="str">
        <f t="shared" si="131"/>
        <v>Yes</v>
      </c>
      <c r="Y105" s="32">
        <f t="shared" si="132"/>
        <v>1</v>
      </c>
      <c r="Z105" s="161">
        <f t="shared" si="133"/>
        <v>0</v>
      </c>
      <c r="AA105" s="32">
        <f t="shared" si="134"/>
        <v>6.6666666666666661</v>
      </c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V105" s="17"/>
    </row>
    <row r="106" spans="2:48" ht="15" x14ac:dyDescent="0.2">
      <c r="B106" s="30"/>
      <c r="C106" s="162" t="s">
        <v>185</v>
      </c>
      <c r="D106" s="167" t="s">
        <v>598</v>
      </c>
      <c r="E106" s="168">
        <v>2113</v>
      </c>
      <c r="F106" s="168">
        <v>101</v>
      </c>
      <c r="G106" s="173">
        <v>9</v>
      </c>
      <c r="H106" s="114">
        <f>VLOOKUP($N106,'UMC Table 4-A'!$A$10:$E$139,4,FALSE)</f>
        <v>6</v>
      </c>
      <c r="I106" s="114" t="str">
        <f>VLOOKUP($N106,'UMC Table 4-A'!$A$10:$E$139,5,FALSE)</f>
        <v>YES</v>
      </c>
      <c r="J106" s="111">
        <f t="shared" si="123"/>
        <v>100</v>
      </c>
      <c r="K106" s="116">
        <v>0</v>
      </c>
      <c r="L106" s="152">
        <f t="shared" si="124"/>
        <v>100</v>
      </c>
      <c r="M106" s="117">
        <f t="shared" si="122"/>
        <v>101</v>
      </c>
      <c r="N106" s="114" t="s">
        <v>93</v>
      </c>
      <c r="O106" s="114" t="str">
        <f>VLOOKUP($N106,'UMC Table 4-A'!$A$10:$E$139,2,FALSE)</f>
        <v>NEGATIVE</v>
      </c>
      <c r="P106" s="112">
        <f>VLOOKUP($N106,'UMC Table 4-A'!$A$10:$E$139,3,FALSE)</f>
        <v>2</v>
      </c>
      <c r="Q106" s="152">
        <f t="shared" si="125"/>
        <v>40</v>
      </c>
      <c r="R106" s="112" t="str">
        <f>VLOOKUP($N106,'UMC Table 4-A'!$A$10:$E$139,5,FALSE)</f>
        <v>YES</v>
      </c>
      <c r="S106" s="113">
        <f t="shared" si="126"/>
        <v>50</v>
      </c>
      <c r="T106" s="137">
        <v>0</v>
      </c>
      <c r="U106" s="137">
        <f t="shared" si="128"/>
        <v>0</v>
      </c>
      <c r="V106" s="137">
        <f t="shared" si="129"/>
        <v>100</v>
      </c>
      <c r="W106" s="89">
        <f t="shared" si="130"/>
        <v>-100</v>
      </c>
      <c r="X106" s="31" t="str">
        <f t="shared" si="131"/>
        <v>No</v>
      </c>
      <c r="Y106" s="32">
        <f t="shared" si="132"/>
        <v>0.49504950495049505</v>
      </c>
      <c r="Z106" s="161" t="e">
        <f t="shared" si="133"/>
        <v>#DIV/0!</v>
      </c>
      <c r="AA106" s="32">
        <f t="shared" si="134"/>
        <v>3.3003300330033003</v>
      </c>
      <c r="AQ106" s="54"/>
      <c r="AR106" s="54"/>
      <c r="AS106" s="54"/>
      <c r="AT106" s="54"/>
    </row>
    <row r="107" spans="2:48" ht="15" x14ac:dyDescent="0.2">
      <c r="B107" s="30"/>
      <c r="C107" s="162" t="s">
        <v>186</v>
      </c>
      <c r="D107" s="167" t="s">
        <v>611</v>
      </c>
      <c r="E107" s="168">
        <v>2114</v>
      </c>
      <c r="F107" s="168">
        <v>88</v>
      </c>
      <c r="G107" s="173">
        <v>9</v>
      </c>
      <c r="H107" s="114">
        <f>VLOOKUP($N107,'UMC Table 4-A'!$A$10:$E$139,4,FALSE)</f>
        <v>6</v>
      </c>
      <c r="I107" s="114" t="str">
        <f>VLOOKUP($N107,'UMC Table 4-A'!$A$10:$E$139,5,FALSE)</f>
        <v>NR</v>
      </c>
      <c r="J107" s="111" t="str">
        <f t="shared" si="123"/>
        <v>-</v>
      </c>
      <c r="K107" s="116">
        <v>0</v>
      </c>
      <c r="L107" s="152">
        <f t="shared" si="124"/>
        <v>80</v>
      </c>
      <c r="M107" s="117">
        <f t="shared" si="122"/>
        <v>88</v>
      </c>
      <c r="N107" s="114" t="s">
        <v>91</v>
      </c>
      <c r="O107" s="114" t="str">
        <f>VLOOKUP($N107,'UMC Table 4-A'!$A$10:$E$139,2,FALSE)</f>
        <v>NO REQUIREMENT FOR CONTINUOUS DIRECTIONAL CONTROL</v>
      </c>
      <c r="P107" s="112">
        <f>VLOOKUP($N107,'UMC Table 4-A'!$A$10:$E$139,3,FALSE)</f>
        <v>2</v>
      </c>
      <c r="Q107" s="152">
        <f t="shared" si="125"/>
        <v>30</v>
      </c>
      <c r="R107" s="112" t="str">
        <f>VLOOKUP($N107,'UMC Table 4-A'!$A$10:$E$139,5,FALSE)</f>
        <v>NR</v>
      </c>
      <c r="S107" s="113">
        <f t="shared" si="126"/>
        <v>90</v>
      </c>
      <c r="T107" s="137">
        <f t="shared" si="127"/>
        <v>90</v>
      </c>
      <c r="U107" s="137">
        <f t="shared" si="128"/>
        <v>90</v>
      </c>
      <c r="V107" s="137">
        <f t="shared" si="129"/>
        <v>0</v>
      </c>
      <c r="W107" s="89">
        <f t="shared" si="130"/>
        <v>0</v>
      </c>
      <c r="X107" s="31" t="str">
        <f t="shared" si="131"/>
        <v>Yes</v>
      </c>
      <c r="Y107" s="32">
        <f t="shared" si="132"/>
        <v>1.0227272727272727</v>
      </c>
      <c r="Z107" s="161">
        <f t="shared" si="133"/>
        <v>33.333333333333329</v>
      </c>
      <c r="AA107" s="32">
        <f t="shared" si="134"/>
        <v>6.8181818181818183</v>
      </c>
    </row>
    <row r="108" spans="2:48" ht="15" x14ac:dyDescent="0.2">
      <c r="B108" s="30"/>
      <c r="C108" s="162" t="s">
        <v>187</v>
      </c>
      <c r="D108" s="167" t="s">
        <v>461</v>
      </c>
      <c r="E108" s="168" t="s">
        <v>612</v>
      </c>
      <c r="F108" s="168">
        <v>65</v>
      </c>
      <c r="G108" s="173">
        <v>9</v>
      </c>
      <c r="H108" s="114">
        <f>VLOOKUP($N108,'UMC Table 4-A'!$A$10:$E$139,4,FALSE)</f>
        <v>2</v>
      </c>
      <c r="I108" s="114" t="str">
        <f>VLOOKUP($N108,'UMC Table 4-A'!$A$10:$E$139,5,FALSE)</f>
        <v>NR</v>
      </c>
      <c r="J108" s="111" t="str">
        <f t="shared" si="123"/>
        <v>-</v>
      </c>
      <c r="K108" s="116">
        <v>0</v>
      </c>
      <c r="L108" s="152">
        <f t="shared" si="124"/>
        <v>20</v>
      </c>
      <c r="M108" s="117">
        <f t="shared" si="122"/>
        <v>65</v>
      </c>
      <c r="N108" s="114" t="s">
        <v>115</v>
      </c>
      <c r="O108" s="114" t="str">
        <f>VLOOKUP($N108,'UMC Table 4-A'!$A$10:$E$139,2,FALSE)</f>
        <v>NO REQUIREMENT FOR CONTINUOUS DIRECTIONAL CONTROL</v>
      </c>
      <c r="P108" s="112" t="str">
        <f>VLOOKUP($N108,'UMC Table 4-A'!$A$10:$E$139,3,FALSE)</f>
        <v>NR</v>
      </c>
      <c r="Q108" s="152">
        <f t="shared" si="125"/>
        <v>0</v>
      </c>
      <c r="R108" s="112" t="str">
        <f>VLOOKUP($N108,'UMC Table 4-A'!$A$10:$E$139,5,FALSE)</f>
        <v>NR</v>
      </c>
      <c r="S108" s="113">
        <f t="shared" si="126"/>
        <v>65</v>
      </c>
      <c r="T108" s="137">
        <f t="shared" si="127"/>
        <v>65</v>
      </c>
      <c r="U108" s="137">
        <f t="shared" si="128"/>
        <v>65</v>
      </c>
      <c r="V108" s="137">
        <f t="shared" si="129"/>
        <v>0</v>
      </c>
      <c r="W108" s="89">
        <f t="shared" si="130"/>
        <v>0</v>
      </c>
      <c r="X108" s="31" t="str">
        <f t="shared" si="131"/>
        <v>Yes</v>
      </c>
      <c r="Y108" s="32">
        <f t="shared" si="132"/>
        <v>1</v>
      </c>
      <c r="Z108" s="161">
        <f t="shared" si="133"/>
        <v>0</v>
      </c>
      <c r="AA108" s="32">
        <f t="shared" si="134"/>
        <v>6.6666666666666661</v>
      </c>
    </row>
    <row r="109" spans="2:48" ht="15" x14ac:dyDescent="0.2">
      <c r="B109" s="30"/>
      <c r="C109" s="162" t="s">
        <v>187</v>
      </c>
      <c r="D109" s="167" t="s">
        <v>613</v>
      </c>
      <c r="E109" s="168" t="s">
        <v>614</v>
      </c>
      <c r="F109" s="168">
        <v>200</v>
      </c>
      <c r="G109" s="173">
        <v>9</v>
      </c>
      <c r="H109" s="114">
        <f>VLOOKUP($N109,'UMC Table 4-A'!$A$10:$E$139,4,FALSE)</f>
        <v>2</v>
      </c>
      <c r="I109" s="114" t="str">
        <f>VLOOKUP($N109,'UMC Table 4-A'!$A$10:$E$139,5,FALSE)</f>
        <v>(AA)</v>
      </c>
      <c r="J109" s="111" t="str">
        <f t="shared" si="123"/>
        <v>-</v>
      </c>
      <c r="K109" s="116">
        <v>0</v>
      </c>
      <c r="L109" s="152">
        <f t="shared" si="124"/>
        <v>60</v>
      </c>
      <c r="M109" s="117">
        <f t="shared" si="122"/>
        <v>200</v>
      </c>
      <c r="N109" s="114" t="s">
        <v>190</v>
      </c>
      <c r="O109" s="114" t="str">
        <f>VLOOKUP($N109,'UMC Table 4-A'!$A$10:$E$139,2,FALSE)</f>
        <v>(AA)</v>
      </c>
      <c r="P109" s="112">
        <f>VLOOKUP($N109,'UMC Table 4-A'!$A$10:$E$139,3,FALSE)</f>
        <v>2</v>
      </c>
      <c r="Q109" s="152">
        <f t="shared" si="125"/>
        <v>60</v>
      </c>
      <c r="R109" s="112" t="str">
        <f>VLOOKUP($N109,'UMC Table 4-A'!$A$10:$E$139,5,FALSE)</f>
        <v>(AA)</v>
      </c>
      <c r="S109" s="113">
        <f t="shared" si="126"/>
        <v>200</v>
      </c>
      <c r="T109" s="137">
        <f t="shared" si="127"/>
        <v>200</v>
      </c>
      <c r="U109" s="137">
        <f t="shared" si="128"/>
        <v>200</v>
      </c>
      <c r="V109" s="137">
        <f t="shared" si="129"/>
        <v>0</v>
      </c>
      <c r="W109" s="89">
        <f t="shared" si="130"/>
        <v>0</v>
      </c>
      <c r="X109" s="31" t="str">
        <f t="shared" si="131"/>
        <v>Yes</v>
      </c>
      <c r="Y109" s="32">
        <f t="shared" si="132"/>
        <v>1</v>
      </c>
      <c r="Z109" s="161">
        <f t="shared" si="133"/>
        <v>30</v>
      </c>
      <c r="AA109" s="32">
        <f t="shared" si="134"/>
        <v>6.6666666666666661</v>
      </c>
    </row>
    <row r="110" spans="2:48" ht="15" x14ac:dyDescent="0.2">
      <c r="B110" s="30"/>
      <c r="C110" s="162" t="s">
        <v>187</v>
      </c>
      <c r="D110" s="167" t="s">
        <v>613</v>
      </c>
      <c r="E110" s="168" t="s">
        <v>614</v>
      </c>
      <c r="F110" s="168">
        <v>200</v>
      </c>
      <c r="G110" s="173">
        <v>9</v>
      </c>
      <c r="H110" s="114">
        <f>VLOOKUP($N110,'UMC Table 4-A'!$A$10:$E$139,4,FALSE)</f>
        <v>2</v>
      </c>
      <c r="I110" s="114" t="str">
        <f>VLOOKUP($N110,'UMC Table 4-A'!$A$10:$E$139,5,FALSE)</f>
        <v>(AA)</v>
      </c>
      <c r="J110" s="111" t="str">
        <f t="shared" si="123"/>
        <v>-</v>
      </c>
      <c r="K110" s="116">
        <v>0</v>
      </c>
      <c r="L110" s="152">
        <f t="shared" si="124"/>
        <v>60</v>
      </c>
      <c r="M110" s="117">
        <f t="shared" si="122"/>
        <v>200</v>
      </c>
      <c r="N110" s="114" t="s">
        <v>190</v>
      </c>
      <c r="O110" s="114" t="str">
        <f>VLOOKUP($N110,'UMC Table 4-A'!$A$10:$E$139,2,FALSE)</f>
        <v>(AA)</v>
      </c>
      <c r="P110" s="112">
        <f>VLOOKUP($N110,'UMC Table 4-A'!$A$10:$E$139,3,FALSE)</f>
        <v>2</v>
      </c>
      <c r="Q110" s="152">
        <f t="shared" si="125"/>
        <v>60</v>
      </c>
      <c r="R110" s="112" t="str">
        <f>VLOOKUP($N110,'UMC Table 4-A'!$A$10:$E$139,5,FALSE)</f>
        <v>(AA)</v>
      </c>
      <c r="S110" s="113">
        <f t="shared" si="126"/>
        <v>200</v>
      </c>
      <c r="T110" s="137">
        <f t="shared" si="127"/>
        <v>200</v>
      </c>
      <c r="U110" s="137">
        <f t="shared" si="128"/>
        <v>200</v>
      </c>
      <c r="V110" s="137">
        <f t="shared" si="129"/>
        <v>0</v>
      </c>
      <c r="W110" s="89">
        <f t="shared" si="130"/>
        <v>0</v>
      </c>
      <c r="X110" s="31" t="str">
        <f t="shared" si="131"/>
        <v>Yes</v>
      </c>
      <c r="Y110" s="32">
        <f t="shared" si="132"/>
        <v>1</v>
      </c>
      <c r="Z110" s="161">
        <f t="shared" si="133"/>
        <v>30</v>
      </c>
      <c r="AA110" s="32">
        <f t="shared" si="134"/>
        <v>6.6666666666666661</v>
      </c>
    </row>
    <row r="111" spans="2:48" ht="15" x14ac:dyDescent="0.2">
      <c r="B111" s="30"/>
      <c r="C111" s="162" t="s">
        <v>187</v>
      </c>
      <c r="D111" s="167" t="s">
        <v>615</v>
      </c>
      <c r="E111" s="168" t="s">
        <v>616</v>
      </c>
      <c r="F111" s="168">
        <v>181</v>
      </c>
      <c r="G111" s="173">
        <v>9</v>
      </c>
      <c r="H111" s="114">
        <f>VLOOKUP($N111,'UMC Table 4-A'!$A$10:$E$139,4,FALSE)</f>
        <v>2</v>
      </c>
      <c r="I111" s="114" t="str">
        <f>VLOOKUP($N111,'UMC Table 4-A'!$A$10:$E$139,5,FALSE)</f>
        <v>(AA)</v>
      </c>
      <c r="J111" s="111" t="str">
        <f t="shared" si="123"/>
        <v>-</v>
      </c>
      <c r="K111" s="116">
        <v>0</v>
      </c>
      <c r="L111" s="152">
        <f t="shared" si="124"/>
        <v>60</v>
      </c>
      <c r="M111" s="117">
        <f t="shared" si="122"/>
        <v>181</v>
      </c>
      <c r="N111" s="114" t="s">
        <v>190</v>
      </c>
      <c r="O111" s="114" t="str">
        <f>VLOOKUP($N111,'UMC Table 4-A'!$A$10:$E$139,2,FALSE)</f>
        <v>(AA)</v>
      </c>
      <c r="P111" s="112">
        <f>VLOOKUP($N111,'UMC Table 4-A'!$A$10:$E$139,3,FALSE)</f>
        <v>2</v>
      </c>
      <c r="Q111" s="152">
        <f t="shared" si="125"/>
        <v>60</v>
      </c>
      <c r="R111" s="112" t="str">
        <f>VLOOKUP($N111,'UMC Table 4-A'!$A$10:$E$139,5,FALSE)</f>
        <v>(AA)</v>
      </c>
      <c r="S111" s="113">
        <f t="shared" si="126"/>
        <v>185</v>
      </c>
      <c r="T111" s="137">
        <f t="shared" si="127"/>
        <v>185</v>
      </c>
      <c r="U111" s="137">
        <f t="shared" si="128"/>
        <v>185</v>
      </c>
      <c r="V111" s="137">
        <f t="shared" si="129"/>
        <v>0</v>
      </c>
      <c r="W111" s="89">
        <f t="shared" si="130"/>
        <v>0</v>
      </c>
      <c r="X111" s="31" t="str">
        <f t="shared" si="131"/>
        <v>Yes</v>
      </c>
      <c r="Y111" s="32">
        <f t="shared" si="132"/>
        <v>1.0220994475138121</v>
      </c>
      <c r="Z111" s="161">
        <f t="shared" si="133"/>
        <v>32.432432432432435</v>
      </c>
      <c r="AA111" s="32">
        <f t="shared" si="134"/>
        <v>6.8139963167587467</v>
      </c>
    </row>
    <row r="112" spans="2:48" ht="15" x14ac:dyDescent="0.2">
      <c r="B112" s="30"/>
      <c r="C112" s="162" t="s">
        <v>188</v>
      </c>
      <c r="D112" s="167" t="s">
        <v>596</v>
      </c>
      <c r="E112" s="168" t="s">
        <v>617</v>
      </c>
      <c r="F112" s="168">
        <v>103</v>
      </c>
      <c r="G112" s="173">
        <v>9</v>
      </c>
      <c r="H112" s="114">
        <f>VLOOKUP($N112,'UMC Table 4-A'!$A$10:$E$139,4,FALSE)</f>
        <v>4</v>
      </c>
      <c r="I112" s="114" t="str">
        <f>VLOOKUP($N112,'UMC Table 4-A'!$A$10:$E$139,5,FALSE)</f>
        <v>NR</v>
      </c>
      <c r="J112" s="111" t="str">
        <f t="shared" si="123"/>
        <v>-</v>
      </c>
      <c r="K112" s="116">
        <v>0</v>
      </c>
      <c r="L112" s="152">
        <f t="shared" si="124"/>
        <v>70</v>
      </c>
      <c r="M112" s="117">
        <f t="shared" si="122"/>
        <v>103</v>
      </c>
      <c r="N112" s="114" t="s">
        <v>116</v>
      </c>
      <c r="O112" s="114" t="str">
        <f>VLOOKUP($N112,'UMC Table 4-A'!$A$10:$E$139,2,FALSE)</f>
        <v>NO REQUIREMENT FOR CONTINUOUS DIRECTIONAL CONTROL</v>
      </c>
      <c r="P112" s="112">
        <f>VLOOKUP($N112,'UMC Table 4-A'!$A$10:$E$139,3,FALSE)</f>
        <v>2</v>
      </c>
      <c r="Q112" s="152">
        <f t="shared" si="125"/>
        <v>40</v>
      </c>
      <c r="R112" s="112" t="str">
        <f>VLOOKUP($N112,'UMC Table 4-A'!$A$10:$E$139,5,FALSE)</f>
        <v>NR</v>
      </c>
      <c r="S112" s="113">
        <f t="shared" si="126"/>
        <v>105</v>
      </c>
      <c r="T112" s="137">
        <f t="shared" si="127"/>
        <v>105</v>
      </c>
      <c r="U112" s="137">
        <f t="shared" si="128"/>
        <v>105</v>
      </c>
      <c r="V112" s="137">
        <f t="shared" si="129"/>
        <v>0</v>
      </c>
      <c r="W112" s="89">
        <f t="shared" si="130"/>
        <v>0</v>
      </c>
      <c r="X112" s="31" t="str">
        <f t="shared" si="131"/>
        <v>Yes</v>
      </c>
      <c r="Y112" s="32">
        <f t="shared" si="132"/>
        <v>1.0194174757281553</v>
      </c>
      <c r="Z112" s="161">
        <f t="shared" si="133"/>
        <v>38.095238095238095</v>
      </c>
      <c r="AA112" s="32">
        <f t="shared" si="134"/>
        <v>6.7961165048543686</v>
      </c>
    </row>
    <row r="113" spans="2:27" ht="15" x14ac:dyDescent="0.2">
      <c r="B113" s="30"/>
      <c r="C113" s="162" t="s">
        <v>618</v>
      </c>
      <c r="D113" s="167" t="s">
        <v>619</v>
      </c>
      <c r="E113" s="168">
        <v>2005</v>
      </c>
      <c r="F113" s="168">
        <v>272</v>
      </c>
      <c r="G113" s="173">
        <v>9.5</v>
      </c>
      <c r="H113" s="114">
        <f>VLOOKUP($N113,'UMC Table 4-A'!$A$10:$E$139,4,FALSE)</f>
        <v>12</v>
      </c>
      <c r="I113" s="114" t="str">
        <f>VLOOKUP($N113,'UMC Table 4-A'!$A$10:$E$139,5,FALSE)</f>
        <v>YES</v>
      </c>
      <c r="J113" s="111">
        <f t="shared" si="123"/>
        <v>520</v>
      </c>
      <c r="K113" s="116">
        <v>0</v>
      </c>
      <c r="L113" s="152">
        <f t="shared" si="124"/>
        <v>520</v>
      </c>
      <c r="M113" s="117">
        <f t="shared" si="122"/>
        <v>272</v>
      </c>
      <c r="N113" s="114" t="s">
        <v>193</v>
      </c>
      <c r="O113" s="114" t="str">
        <f>VLOOKUP($N113,'UMC Table 4-A'!$A$10:$E$139,2,FALSE)</f>
        <v>NEGATIVE U</v>
      </c>
      <c r="P113" s="112">
        <f>VLOOKUP($N113,'UMC Table 4-A'!$A$10:$E$139,3,FALSE)</f>
        <v>2</v>
      </c>
      <c r="Q113" s="152">
        <f t="shared" si="125"/>
        <v>90</v>
      </c>
      <c r="R113" s="112" t="str">
        <f>VLOOKUP($N113,'UMC Table 4-A'!$A$10:$E$139,5,FALSE)</f>
        <v>YES</v>
      </c>
      <c r="S113" s="113">
        <f t="shared" si="126"/>
        <v>0</v>
      </c>
      <c r="T113" s="137">
        <v>320</v>
      </c>
      <c r="U113" s="137">
        <f t="shared" si="128"/>
        <v>0</v>
      </c>
      <c r="V113" s="137">
        <f t="shared" si="129"/>
        <v>520</v>
      </c>
      <c r="W113" s="89">
        <f t="shared" si="130"/>
        <v>-200</v>
      </c>
      <c r="X113" s="31" t="str">
        <f t="shared" si="131"/>
        <v>No</v>
      </c>
      <c r="Y113" s="32">
        <f t="shared" si="132"/>
        <v>0</v>
      </c>
      <c r="Z113" s="161">
        <f t="shared" si="133"/>
        <v>28.125</v>
      </c>
      <c r="AA113" s="32">
        <f t="shared" si="134"/>
        <v>0</v>
      </c>
    </row>
    <row r="114" spans="2:27" ht="15" x14ac:dyDescent="0.2">
      <c r="B114" s="30"/>
      <c r="C114" s="162" t="s">
        <v>618</v>
      </c>
      <c r="D114" s="148" t="s">
        <v>733</v>
      </c>
      <c r="E114" s="169" t="s">
        <v>777</v>
      </c>
      <c r="F114" s="169">
        <v>62</v>
      </c>
      <c r="G114" s="172">
        <v>8</v>
      </c>
      <c r="H114" s="114">
        <f>VLOOKUP($N114,'UMC Table 4-A'!$A$10:$E$139,4,FALSE)</f>
        <v>10</v>
      </c>
      <c r="I114" s="114" t="str">
        <f>VLOOKUP($N114,'UMC Table 4-A'!$A$10:$E$139,5,FALSE)</f>
        <v>YES</v>
      </c>
      <c r="J114" s="111">
        <f t="shared" si="123"/>
        <v>90</v>
      </c>
      <c r="K114" s="116">
        <v>0</v>
      </c>
      <c r="L114" s="152">
        <f t="shared" si="124"/>
        <v>90</v>
      </c>
      <c r="M114" s="117"/>
      <c r="N114" s="114" t="s">
        <v>94</v>
      </c>
      <c r="O114" s="114" t="str">
        <f>VLOOKUP($N114,'UMC Table 4-A'!$A$10:$E$139,2,FALSE)</f>
        <v>NEGATIVE</v>
      </c>
      <c r="P114" s="112" t="str">
        <f>VLOOKUP($N114,'UMC Table 4-A'!$A$10:$E$139,3,FALSE)</f>
        <v>NR</v>
      </c>
      <c r="Q114" s="152">
        <f t="shared" si="125"/>
        <v>0</v>
      </c>
      <c r="R114" s="112" t="str">
        <f>VLOOKUP($N114,'UMC Table 4-A'!$A$10:$E$139,5,FALSE)</f>
        <v>YES</v>
      </c>
      <c r="S114" s="113">
        <f t="shared" si="126"/>
        <v>0</v>
      </c>
      <c r="T114" s="137">
        <f t="shared" si="127"/>
        <v>0</v>
      </c>
      <c r="U114" s="137">
        <f t="shared" si="128"/>
        <v>0</v>
      </c>
      <c r="V114" s="137">
        <v>100</v>
      </c>
      <c r="W114" s="89">
        <f t="shared" si="130"/>
        <v>-100</v>
      </c>
      <c r="X114" s="31" t="str">
        <f t="shared" si="131"/>
        <v>No</v>
      </c>
      <c r="Y114" s="32">
        <f t="shared" si="132"/>
        <v>0</v>
      </c>
      <c r="Z114" s="161" t="e">
        <f t="shared" si="133"/>
        <v>#DIV/0!</v>
      </c>
      <c r="AA114" s="32">
        <f t="shared" si="134"/>
        <v>0</v>
      </c>
    </row>
    <row r="115" spans="2:27" ht="15" x14ac:dyDescent="0.2">
      <c r="B115" s="30"/>
      <c r="C115" s="162" t="s">
        <v>620</v>
      </c>
      <c r="D115" s="167" t="s">
        <v>621</v>
      </c>
      <c r="E115" s="168" t="s">
        <v>622</v>
      </c>
      <c r="F115" s="168">
        <v>56</v>
      </c>
      <c r="G115" s="172">
        <v>9</v>
      </c>
      <c r="H115" s="114">
        <f>VLOOKUP($N115,'UMC Table 4-A'!$A$10:$E$139,4,FALSE)</f>
        <v>10</v>
      </c>
      <c r="I115" s="114" t="str">
        <f>VLOOKUP($N115,'UMC Table 4-A'!$A$10:$E$139,5,FALSE)</f>
        <v>YES</v>
      </c>
      <c r="J115" s="111">
        <f t="shared" si="123"/>
        <v>90</v>
      </c>
      <c r="K115" s="116">
        <v>0</v>
      </c>
      <c r="L115" s="152">
        <f t="shared" si="124"/>
        <v>90</v>
      </c>
      <c r="M115" s="117">
        <f>F115</f>
        <v>56</v>
      </c>
      <c r="N115" s="114" t="s">
        <v>194</v>
      </c>
      <c r="O115" s="114" t="str">
        <f>VLOOKUP($N115,'UMC Table 4-A'!$A$10:$E$139,2,FALSE)</f>
        <v>(E)</v>
      </c>
      <c r="P115" s="112" t="str">
        <f>VLOOKUP($N115,'UMC Table 4-A'!$A$10:$E$139,3,FALSE)</f>
        <v>NR</v>
      </c>
      <c r="Q115" s="152">
        <f t="shared" si="125"/>
        <v>0</v>
      </c>
      <c r="R115" s="112" t="str">
        <f>VLOOKUP($N115,'UMC Table 4-A'!$A$10:$E$139,5,FALSE)</f>
        <v>YES</v>
      </c>
      <c r="S115" s="113">
        <f t="shared" si="126"/>
        <v>0</v>
      </c>
      <c r="T115" s="137">
        <v>100</v>
      </c>
      <c r="U115" s="137">
        <f t="shared" si="128"/>
        <v>0</v>
      </c>
      <c r="V115" s="137">
        <v>100</v>
      </c>
      <c r="W115" s="89">
        <f t="shared" si="130"/>
        <v>0</v>
      </c>
      <c r="X115" s="31" t="str">
        <f t="shared" si="131"/>
        <v>No</v>
      </c>
      <c r="Y115" s="32">
        <f t="shared" si="132"/>
        <v>0</v>
      </c>
      <c r="Z115" s="70">
        <f t="shared" si="133"/>
        <v>0</v>
      </c>
      <c r="AA115" s="32">
        <f t="shared" si="134"/>
        <v>0</v>
      </c>
    </row>
    <row r="116" spans="2:27" ht="13.5" thickBot="1" x14ac:dyDescent="0.25">
      <c r="B116" s="56"/>
      <c r="C116" s="57"/>
      <c r="E116" s="95" t="s">
        <v>98</v>
      </c>
      <c r="F116" s="96">
        <f>SUM(F8:F115)</f>
        <v>21019</v>
      </c>
      <c r="G116" s="1"/>
      <c r="H116" s="22"/>
      <c r="K116" s="19"/>
      <c r="L116" s="10"/>
      <c r="M116" s="10"/>
      <c r="N116" s="11"/>
      <c r="O116" s="11"/>
      <c r="P116" s="51" t="s">
        <v>17</v>
      </c>
      <c r="Q116" s="52">
        <f>SUM(Q8:Q115)</f>
        <v>4090</v>
      </c>
      <c r="R116" s="53"/>
      <c r="S116" s="53">
        <f>SUM(S8:S103)</f>
        <v>17940</v>
      </c>
      <c r="T116" s="53">
        <f>SUM(T8:T115)</f>
        <v>19330</v>
      </c>
      <c r="U116" s="53">
        <f>SUM(U8:U115)</f>
        <v>18760</v>
      </c>
      <c r="V116" s="53">
        <f>SUM(V8:V115)</f>
        <v>3450</v>
      </c>
      <c r="W116" s="90">
        <f t="shared" ref="W116" si="135">T116-U116-V116</f>
        <v>-2880</v>
      </c>
      <c r="X116" s="53" t="str">
        <f>IF(T116-U116-V116-W116=0,"Yes","No")</f>
        <v>Yes</v>
      </c>
      <c r="Y116" s="12"/>
      <c r="AA116" s="13"/>
    </row>
    <row r="117" spans="2:27" ht="13.5" thickBot="1" x14ac:dyDescent="0.25">
      <c r="B117" s="56"/>
      <c r="C117" s="57"/>
      <c r="E117" s="93"/>
      <c r="G117" s="1"/>
      <c r="H117" s="22"/>
      <c r="K117" s="19"/>
      <c r="L117" s="10"/>
      <c r="M117" s="10"/>
      <c r="N117" s="11"/>
      <c r="O117" s="11"/>
      <c r="P117" s="80" t="s">
        <v>101</v>
      </c>
      <c r="Q117" s="80">
        <v>3200</v>
      </c>
      <c r="R117" s="13"/>
      <c r="S117" s="13"/>
      <c r="T117" s="13"/>
      <c r="U117" s="13"/>
      <c r="V117" s="13"/>
      <c r="W117" s="91"/>
      <c r="X117" s="13"/>
      <c r="Y117" s="12"/>
      <c r="AA117" s="13"/>
    </row>
    <row r="118" spans="2:27" ht="16.5" thickBot="1" x14ac:dyDescent="0.25">
      <c r="B118" s="58"/>
      <c r="C118" s="57"/>
      <c r="G118" s="1"/>
      <c r="H118" s="22"/>
      <c r="K118" s="19"/>
      <c r="L118" s="10"/>
      <c r="M118" s="10"/>
      <c r="N118" s="11"/>
      <c r="O118" s="77" t="s">
        <v>100</v>
      </c>
      <c r="P118" s="50">
        <v>1.2</v>
      </c>
      <c r="Q118" s="82">
        <f>ROUNDUP((Q116*P118)+Q117,-2)</f>
        <v>8200</v>
      </c>
      <c r="R118" s="83"/>
      <c r="S118" s="83"/>
      <c r="T118" s="83">
        <f>ROUNDUP(T116*P118,-2)</f>
        <v>23200</v>
      </c>
      <c r="U118" s="83">
        <f>ROUNDUP(U116*P118,-2)</f>
        <v>22600</v>
      </c>
      <c r="V118" s="83">
        <f>ROUNDUP(V116*P118,-2)</f>
        <v>4200</v>
      </c>
      <c r="W118" s="92"/>
      <c r="X118" s="83"/>
      <c r="Y118" s="12"/>
      <c r="AA118" s="12"/>
    </row>
    <row r="119" spans="2:27" x14ac:dyDescent="0.2">
      <c r="B119" s="56"/>
      <c r="C119" s="57"/>
      <c r="O119" s="1" t="s">
        <v>48</v>
      </c>
      <c r="P119" s="78" t="s">
        <v>87</v>
      </c>
      <c r="Q119" s="79">
        <f>(Q118/T118)*100</f>
        <v>35.344827586206897</v>
      </c>
    </row>
    <row r="120" spans="2:27" x14ac:dyDescent="0.2">
      <c r="K120"/>
      <c r="N120"/>
    </row>
  </sheetData>
  <dataConsolidate topLabels="1">
    <dataRefs count="1">
      <dataRef ref="C8:D86" sheet="AHU-1"/>
    </dataRefs>
  </dataConsolidate>
  <mergeCells count="8">
    <mergeCell ref="AD65:AU68"/>
    <mergeCell ref="AX10:AZ10"/>
    <mergeCell ref="D5:V5"/>
    <mergeCell ref="D6:G6"/>
    <mergeCell ref="H6:R6"/>
    <mergeCell ref="S6:V6"/>
    <mergeCell ref="Y6:AA6"/>
    <mergeCell ref="AD6:AU6"/>
  </mergeCells>
  <phoneticPr fontId="28" type="noConversion"/>
  <conditionalFormatting sqref="S8:W102 S106:W115 T105:W105 T103:Z104">
    <cfRule type="cellIs" dxfId="8" priority="4" operator="equal">
      <formula>0</formula>
    </cfRule>
  </conditionalFormatting>
  <conditionalFormatting sqref="T8:T115">
    <cfRule type="cellIs" dxfId="7" priority="5" operator="notEqual">
      <formula>$S$8</formula>
    </cfRule>
  </conditionalFormatting>
  <conditionalFormatting sqref="AE8:AI8">
    <cfRule type="cellIs" dxfId="6" priority="1" operator="equal">
      <formula>0</formula>
    </cfRule>
  </conditionalFormatting>
  <conditionalFormatting sqref="AF8">
    <cfRule type="cellIs" dxfId="5" priority="2" operator="notEqual">
      <formula>$S$8</formula>
    </cfRule>
  </conditionalFormatting>
  <conditionalFormatting sqref="AL8 Z8:Z102 Z105:Z115">
    <cfRule type="cellIs" dxfId="4" priority="3" operator="greaterThan">
      <formula>$Q$119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DF2B7935-CBC8-4777-B0F0-DF54AC0582CD}">
          <x14:formula1>
            <xm:f>'UMC Table 4-A'!$A$10:$A$139</xm:f>
          </x14:formula1>
          <xm:sqref>N8:N115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35BE-018E-42DF-8200-EE6B64006DAE}">
  <sheetPr codeName="Sheet9">
    <tabColor indexed="43"/>
    <pageSetUpPr fitToPage="1"/>
  </sheetPr>
  <dimension ref="A1:AZ122"/>
  <sheetViews>
    <sheetView showGridLines="0" zoomScale="80" zoomScaleNormal="80" zoomScaleSheetLayoutView="50" zoomScalePageLayoutView="85" workbookViewId="0">
      <pane xSplit="4" ySplit="7" topLeftCell="N92" activePane="bottomRight" state="frozen"/>
      <selection pane="topRight" activeCell="E1" sqref="E1"/>
      <selection pane="bottomLeft" activeCell="A8" sqref="A8"/>
      <selection pane="bottomRight" activeCell="V120" sqref="V120"/>
    </sheetView>
  </sheetViews>
  <sheetFormatPr defaultRowHeight="12.75" x14ac:dyDescent="0.2"/>
  <cols>
    <col min="1" max="1" width="2.85546875" customWidth="1"/>
    <col min="2" max="2" width="12.7109375" customWidth="1"/>
    <col min="3" max="3" width="23.28515625" style="17" customWidth="1"/>
    <col min="4" max="4" width="22" style="94" customWidth="1"/>
    <col min="5" max="5" width="16" style="17" bestFit="1" customWidth="1"/>
    <col min="6" max="6" width="13.28515625" style="17" customWidth="1"/>
    <col min="7" max="7" width="6.7109375" customWidth="1"/>
    <col min="8" max="8" width="13" style="21" customWidth="1"/>
    <col min="9" max="10" width="7.7109375" customWidth="1"/>
    <col min="11" max="11" width="11.85546875" style="1" customWidth="1"/>
    <col min="12" max="12" width="12.7109375" customWidth="1"/>
    <col min="13" max="13" width="11.42578125" hidden="1" customWidth="1"/>
    <col min="14" max="14" width="64.28515625" style="1" bestFit="1" customWidth="1"/>
    <col min="15" max="15" width="73.140625" style="1" bestFit="1" customWidth="1"/>
    <col min="16" max="16" width="31.28515625" customWidth="1"/>
    <col min="17" max="17" width="13" bestFit="1" customWidth="1"/>
    <col min="18" max="18" width="18" customWidth="1"/>
    <col min="19" max="19" width="22.85546875" style="1" customWidth="1"/>
    <col min="20" max="20" width="16.5703125" style="1" customWidth="1"/>
    <col min="21" max="21" width="10.140625" style="17" customWidth="1"/>
    <col min="22" max="22" width="10" style="1" customWidth="1"/>
    <col min="23" max="23" width="18" style="85" customWidth="1"/>
    <col min="24" max="24" width="11.28515625" customWidth="1"/>
    <col min="25" max="25" width="9.85546875" style="17" customWidth="1"/>
    <col min="26" max="26" width="15.85546875" style="17" customWidth="1"/>
    <col min="27" max="27" width="9.42578125" style="17" customWidth="1"/>
    <col min="28" max="28" width="22.5703125" style="17" bestFit="1" customWidth="1"/>
    <col min="29" max="29" width="9.28515625" style="17" customWidth="1"/>
    <col min="30" max="30" width="11.42578125" style="86" bestFit="1" customWidth="1"/>
    <col min="31" max="31" width="22" style="86" bestFit="1" customWidth="1"/>
    <col min="32" max="32" width="33.5703125" style="86" customWidth="1"/>
    <col min="33" max="33" width="6.42578125" style="55" bestFit="1" customWidth="1"/>
    <col min="34" max="34" width="13" style="55" bestFit="1" customWidth="1"/>
    <col min="35" max="35" width="9.28515625" style="55" hidden="1" customWidth="1"/>
    <col min="36" max="36" width="14.140625" style="55" bestFit="1" customWidth="1"/>
    <col min="37" max="37" width="6.42578125" bestFit="1" customWidth="1"/>
    <col min="38" max="38" width="8" hidden="1" customWidth="1"/>
    <col min="39" max="39" width="5.7109375" bestFit="1" customWidth="1"/>
    <col min="40" max="40" width="9.42578125" hidden="1" customWidth="1"/>
    <col min="41" max="41" width="9" customWidth="1"/>
    <col min="42" max="42" width="0" hidden="1" customWidth="1"/>
    <col min="43" max="43" width="8" customWidth="1"/>
    <col min="44" max="44" width="9.5703125" customWidth="1"/>
    <col min="45" max="45" width="10.28515625" customWidth="1"/>
    <col min="46" max="46" width="11" customWidth="1"/>
    <col min="47" max="47" width="12.85546875" bestFit="1" customWidth="1"/>
  </cols>
  <sheetData>
    <row r="1" spans="1:52" ht="30" x14ac:dyDescent="0.4">
      <c r="B1" s="59" t="s">
        <v>54</v>
      </c>
    </row>
    <row r="3" spans="1:52" x14ac:dyDescent="0.2">
      <c r="C3"/>
      <c r="H3"/>
      <c r="K3"/>
      <c r="N3" t="s">
        <v>55</v>
      </c>
      <c r="O3"/>
      <c r="S3"/>
      <c r="T3"/>
      <c r="U3"/>
      <c r="V3"/>
      <c r="W3" s="87"/>
      <c r="Y3"/>
      <c r="Z3"/>
      <c r="AA3"/>
    </row>
    <row r="4" spans="1:52" ht="15.75" customHeight="1" x14ac:dyDescent="0.2">
      <c r="C4"/>
      <c r="H4"/>
      <c r="K4"/>
      <c r="N4"/>
      <c r="O4"/>
      <c r="S4"/>
      <c r="T4"/>
      <c r="U4"/>
      <c r="V4"/>
      <c r="W4" s="87"/>
      <c r="Y4"/>
      <c r="Z4"/>
      <c r="AA4"/>
    </row>
    <row r="5" spans="1:52" ht="30" x14ac:dyDescent="0.2">
      <c r="C5"/>
      <c r="D5" s="193" t="s">
        <v>460</v>
      </c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5"/>
      <c r="W5" s="87"/>
      <c r="Y5"/>
      <c r="Z5"/>
      <c r="AA5"/>
    </row>
    <row r="6" spans="1:52" ht="30" x14ac:dyDescent="0.2">
      <c r="B6" s="121"/>
      <c r="C6" s="121"/>
      <c r="D6" s="204" t="s">
        <v>106</v>
      </c>
      <c r="E6" s="205"/>
      <c r="F6" s="205"/>
      <c r="G6" s="206"/>
      <c r="H6" s="203" t="s">
        <v>107</v>
      </c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4" t="s">
        <v>105</v>
      </c>
      <c r="T6" s="205"/>
      <c r="U6" s="205"/>
      <c r="V6" s="206"/>
      <c r="W6" s="121"/>
      <c r="X6" s="121"/>
      <c r="Y6" s="202" t="s">
        <v>104</v>
      </c>
      <c r="Z6" s="202"/>
      <c r="AA6" s="202"/>
      <c r="AD6" s="199" t="s">
        <v>205</v>
      </c>
      <c r="AE6" s="200"/>
      <c r="AF6" s="200"/>
      <c r="AG6" s="200"/>
      <c r="AH6" s="200"/>
      <c r="AI6" s="200"/>
      <c r="AJ6" s="200"/>
      <c r="AK6" s="200"/>
      <c r="AL6" s="200"/>
      <c r="AM6" s="200"/>
      <c r="AN6" s="200"/>
      <c r="AO6" s="200"/>
      <c r="AP6" s="200"/>
      <c r="AQ6" s="200"/>
      <c r="AR6" s="200"/>
      <c r="AS6" s="200"/>
      <c r="AT6" s="200"/>
      <c r="AU6" s="201"/>
    </row>
    <row r="7" spans="1:52" s="107" customFormat="1" ht="53.1" customHeight="1" thickBot="1" x14ac:dyDescent="0.25">
      <c r="A7" s="102"/>
      <c r="B7" s="100" t="s">
        <v>11</v>
      </c>
      <c r="C7" s="101" t="s">
        <v>19</v>
      </c>
      <c r="D7" s="122" t="s">
        <v>10</v>
      </c>
      <c r="E7" s="123" t="s">
        <v>43</v>
      </c>
      <c r="F7" s="124" t="s">
        <v>206</v>
      </c>
      <c r="G7" s="125" t="s">
        <v>0</v>
      </c>
      <c r="H7" s="126" t="s">
        <v>327</v>
      </c>
      <c r="I7" s="127" t="s">
        <v>44</v>
      </c>
      <c r="J7" s="128" t="s">
        <v>328</v>
      </c>
      <c r="K7" s="126" t="s">
        <v>329</v>
      </c>
      <c r="L7" s="126" t="s">
        <v>330</v>
      </c>
      <c r="M7" s="126" t="s">
        <v>13</v>
      </c>
      <c r="N7" s="129" t="s">
        <v>331</v>
      </c>
      <c r="O7" s="124" t="s">
        <v>332</v>
      </c>
      <c r="P7" s="124" t="s">
        <v>333</v>
      </c>
      <c r="Q7" s="124" t="s">
        <v>20</v>
      </c>
      <c r="R7" s="125" t="s">
        <v>334</v>
      </c>
      <c r="S7" s="129" t="s">
        <v>99</v>
      </c>
      <c r="T7" s="129" t="s">
        <v>335</v>
      </c>
      <c r="U7" s="124" t="s">
        <v>14</v>
      </c>
      <c r="V7" s="125" t="s">
        <v>15</v>
      </c>
      <c r="W7" s="104" t="s">
        <v>16</v>
      </c>
      <c r="X7" s="104" t="s">
        <v>18</v>
      </c>
      <c r="Y7" s="105" t="s">
        <v>37</v>
      </c>
      <c r="Z7" s="105" t="s">
        <v>86</v>
      </c>
      <c r="AA7" s="103" t="s">
        <v>38</v>
      </c>
      <c r="AB7" s="106"/>
      <c r="AC7" s="106"/>
      <c r="AD7" s="154" t="s">
        <v>326</v>
      </c>
      <c r="AE7" s="113" t="s">
        <v>200</v>
      </c>
      <c r="AF7" s="108" t="s">
        <v>201</v>
      </c>
      <c r="AG7" s="109" t="s">
        <v>52</v>
      </c>
      <c r="AH7" s="110" t="s">
        <v>208</v>
      </c>
      <c r="AI7" s="110" t="s">
        <v>102</v>
      </c>
      <c r="AJ7" s="110" t="s">
        <v>199</v>
      </c>
      <c r="AK7" s="109" t="s">
        <v>50</v>
      </c>
      <c r="AL7" s="111" t="s">
        <v>122</v>
      </c>
      <c r="AM7" s="112" t="s">
        <v>51</v>
      </c>
      <c r="AN7" s="111" t="s">
        <v>121</v>
      </c>
      <c r="AO7" s="111" t="s">
        <v>120</v>
      </c>
      <c r="AP7" s="112" t="s">
        <v>49</v>
      </c>
      <c r="AQ7" s="111" t="s">
        <v>49</v>
      </c>
      <c r="AR7" s="111" t="s">
        <v>196</v>
      </c>
      <c r="AS7" s="111" t="s">
        <v>197</v>
      </c>
      <c r="AT7" s="111" t="s">
        <v>198</v>
      </c>
      <c r="AU7" s="111" t="s">
        <v>108</v>
      </c>
    </row>
    <row r="8" spans="1:52" ht="15" customHeight="1" x14ac:dyDescent="0.2">
      <c r="B8" s="159"/>
      <c r="C8" s="148" t="s">
        <v>336</v>
      </c>
      <c r="D8" s="121" t="s">
        <v>571</v>
      </c>
      <c r="E8" s="158" t="s">
        <v>624</v>
      </c>
      <c r="F8" s="158">
        <v>23</v>
      </c>
      <c r="G8" s="173">
        <v>8.5</v>
      </c>
      <c r="H8" s="114">
        <f>VLOOKUP($N8,'UMC Table 4-A'!$A$10:$E$139,4,FALSE)</f>
        <v>6</v>
      </c>
      <c r="I8" s="114" t="str">
        <f>VLOOKUP($N8,'UMC Table 4-A'!$A$10:$E$139,5,FALSE)</f>
        <v>NR</v>
      </c>
      <c r="J8" s="111" t="str">
        <f t="shared" ref="J8:J39" si="0">IF(I8="Yes",L8,"-")</f>
        <v>-</v>
      </c>
      <c r="K8" s="116">
        <v>0</v>
      </c>
      <c r="L8" s="114">
        <f t="shared" ref="L8:L39" si="1">IF(H8&lt;&gt;"NR",ROUNDUP((F8*G8*H8)/60,-1),0)</f>
        <v>20</v>
      </c>
      <c r="M8" s="117">
        <f>F8</f>
        <v>23</v>
      </c>
      <c r="N8" s="114" t="s">
        <v>91</v>
      </c>
      <c r="O8" s="114" t="str">
        <f>VLOOKUP($N8,'UMC Table 4-A'!$A$10:$E$139,2,FALSE)</f>
        <v>NO REQUIREMENT FOR CONTINUOUS DIRECTIONAL CONTROL</v>
      </c>
      <c r="P8" s="174">
        <f>VLOOKUP($N8,'UMC Table 4-A'!$A$10:$E$139,3,FALSE)</f>
        <v>2</v>
      </c>
      <c r="Q8" s="152">
        <f t="shared" ref="Q8:Q39" si="2">IF(P8&lt;&gt;"NR",ROUNDUP((F8*G8*P8)/60,-1),0)</f>
        <v>10</v>
      </c>
      <c r="R8" s="149" t="str">
        <f>VLOOKUP($N8,'UMC Table 4-A'!$A$10:$E$139,5,FALSE)</f>
        <v>NR</v>
      </c>
      <c r="S8" s="134">
        <f t="shared" ref="S8:S39" si="3">IF(O8="Negative",IF(OR(N8="Toilet room",N8="Janitor's closet, housekeeping"),0,IF(0.1*V8&gt;50,220-0.1*V8,V8-50)),IF(R8="Yes",0,CEILING(MAX(K8:M8),5)))</f>
        <v>25</v>
      </c>
      <c r="T8" s="136">
        <f t="shared" ref="T8:T39" si="4">S8</f>
        <v>25</v>
      </c>
      <c r="U8" s="137">
        <f t="shared" ref="U8:U39" si="5">IF(R8="Yes",0,IF(O8="Positive",IF(0.1*S8&gt;50,S8-0.1*S8,S8-50),IF(O8="Negative",IF(0.1*S8&gt;50,S8+0.1*S8,S8+50),S8)))</f>
        <v>25</v>
      </c>
      <c r="V8" s="137">
        <f t="shared" ref="V8:V39" si="6">IF(R8="Yes",J8,0)</f>
        <v>0</v>
      </c>
      <c r="W8" s="88">
        <f t="shared" ref="W8:W39" si="7">T8-U8-V8</f>
        <v>0</v>
      </c>
      <c r="X8" s="33" t="str">
        <f t="shared" ref="X8:X39" si="8">IF(S8-U8-V8+W8=0,"Yes","No")</f>
        <v>Yes</v>
      </c>
      <c r="Y8" s="34">
        <f t="shared" ref="Y8:Y39" si="9">S8/F8</f>
        <v>1.0869565217391304</v>
      </c>
      <c r="Z8" s="70">
        <f t="shared" ref="Z8:Z39" si="10">(Q8/T8)*100</f>
        <v>40</v>
      </c>
      <c r="AA8" s="32">
        <f t="shared" ref="AA8:AA39" si="11">S8/F8/G8*60</f>
        <v>7.6726342710997431</v>
      </c>
      <c r="AD8" s="113" t="s">
        <v>336</v>
      </c>
      <c r="AE8" s="113" t="s">
        <v>203</v>
      </c>
      <c r="AF8" s="113" t="s">
        <v>209</v>
      </c>
      <c r="AG8" s="112">
        <f t="shared" ref="AG8:AG15" si="12">SUMIF($C$8:$C$87,AD8,$T$8:$T$87)</f>
        <v>1135</v>
      </c>
      <c r="AH8" s="112">
        <f t="shared" ref="AH8:AH44" si="13">VLOOKUP(AG8,$AX$12:$AY$17,2,TRUE)</f>
        <v>12</v>
      </c>
      <c r="AI8" s="112">
        <f>AH8/2</f>
        <v>6</v>
      </c>
      <c r="AJ8" s="112">
        <v>0.5</v>
      </c>
      <c r="AK8" s="112">
        <v>140</v>
      </c>
      <c r="AL8" s="112">
        <v>100</v>
      </c>
      <c r="AM8" s="112">
        <v>55</v>
      </c>
      <c r="AN8" s="112">
        <v>85</v>
      </c>
      <c r="AO8" s="112">
        <f>MROUND((1.08*(AN8-AM8)*AG8)/1000,0.1)</f>
        <v>36.800000000000004</v>
      </c>
      <c r="AP8" s="115">
        <f>(AO8*1000)/(500*(AK8-AL8))</f>
        <v>1.8400000000000003</v>
      </c>
      <c r="AQ8" s="115">
        <f>IF(AP8&lt;0.5,0.5,AP8)</f>
        <v>1.8400000000000003</v>
      </c>
      <c r="AR8" s="115">
        <v>5</v>
      </c>
      <c r="AS8" s="115">
        <f t="shared" ref="AS8:AS44" si="14">_xlfn.XLOOKUP(AH8,$AY$12:$AY$17,$AZ$12:$AZ$17,)</f>
        <v>40</v>
      </c>
      <c r="AT8" s="115" t="s">
        <v>823</v>
      </c>
      <c r="AU8" s="112" t="s">
        <v>204</v>
      </c>
    </row>
    <row r="9" spans="1:52" ht="15" customHeight="1" x14ac:dyDescent="0.2">
      <c r="B9" s="160"/>
      <c r="C9" s="148" t="s">
        <v>336</v>
      </c>
      <c r="D9" s="121" t="s">
        <v>461</v>
      </c>
      <c r="E9" s="158" t="s">
        <v>623</v>
      </c>
      <c r="F9" s="158">
        <v>1107</v>
      </c>
      <c r="G9" s="172">
        <v>9</v>
      </c>
      <c r="H9" s="114">
        <f>VLOOKUP($N9,'UMC Table 4-A'!$A$10:$E$139,4,FALSE)</f>
        <v>2</v>
      </c>
      <c r="I9" s="114" t="str">
        <f>VLOOKUP($N9,'UMC Table 4-A'!$A$10:$E$139,5,FALSE)</f>
        <v>NR</v>
      </c>
      <c r="J9" s="111" t="str">
        <f t="shared" si="0"/>
        <v>-</v>
      </c>
      <c r="K9" s="116">
        <v>0</v>
      </c>
      <c r="L9" s="114">
        <f t="shared" si="1"/>
        <v>340</v>
      </c>
      <c r="M9" s="114">
        <f>F9</f>
        <v>1107</v>
      </c>
      <c r="N9" s="111" t="s">
        <v>115</v>
      </c>
      <c r="O9" s="114" t="str">
        <f>VLOOKUP($N9,'UMC Table 4-A'!$A$10:$E$139,2,FALSE)</f>
        <v>NO REQUIREMENT FOR CONTINUOUS DIRECTIONAL CONTROL</v>
      </c>
      <c r="P9" s="174" t="str">
        <f>VLOOKUP($N9,'UMC Table 4-A'!$A$10:$E$139,3,FALSE)</f>
        <v>NR</v>
      </c>
      <c r="Q9" s="152">
        <f t="shared" si="2"/>
        <v>0</v>
      </c>
      <c r="R9" s="112" t="str">
        <f>VLOOKUP($N9,'UMC Table 4-A'!$A$10:$E$139,5,FALSE)</f>
        <v>NR</v>
      </c>
      <c r="S9" s="113">
        <f t="shared" si="3"/>
        <v>1110</v>
      </c>
      <c r="T9" s="118">
        <f t="shared" si="4"/>
        <v>1110</v>
      </c>
      <c r="U9" s="119">
        <f t="shared" si="5"/>
        <v>1110</v>
      </c>
      <c r="V9" s="137">
        <f t="shared" si="6"/>
        <v>0</v>
      </c>
      <c r="W9" s="89">
        <f t="shared" si="7"/>
        <v>0</v>
      </c>
      <c r="X9" s="31" t="str">
        <f t="shared" si="8"/>
        <v>Yes</v>
      </c>
      <c r="Y9" s="32">
        <f t="shared" si="9"/>
        <v>1.0027100271002709</v>
      </c>
      <c r="Z9" s="70">
        <f t="shared" si="10"/>
        <v>0</v>
      </c>
      <c r="AA9" s="32">
        <f t="shared" si="11"/>
        <v>6.684733514001806</v>
      </c>
      <c r="AD9" s="113" t="s">
        <v>337</v>
      </c>
      <c r="AE9" s="113" t="s">
        <v>203</v>
      </c>
      <c r="AF9" s="113" t="s">
        <v>209</v>
      </c>
      <c r="AG9" s="112">
        <f t="shared" si="12"/>
        <v>240</v>
      </c>
      <c r="AH9" s="112">
        <f t="shared" si="13"/>
        <v>6</v>
      </c>
      <c r="AI9" s="112">
        <f>AH9/2</f>
        <v>3</v>
      </c>
      <c r="AJ9" s="112">
        <f>AJ8</f>
        <v>0.5</v>
      </c>
      <c r="AK9" s="112">
        <f t="shared" ref="AK9:AN24" si="15">AK8</f>
        <v>140</v>
      </c>
      <c r="AL9" s="112">
        <f t="shared" si="15"/>
        <v>100</v>
      </c>
      <c r="AM9" s="112">
        <f t="shared" si="15"/>
        <v>55</v>
      </c>
      <c r="AN9" s="112">
        <f t="shared" si="15"/>
        <v>85</v>
      </c>
      <c r="AO9" s="112">
        <f>MROUND((1.08*(AN9-AM9)*AG9)/1000,0.1)</f>
        <v>7.8000000000000007</v>
      </c>
      <c r="AP9" s="115">
        <f>(AO9*1000)/(500*(AK9-AL9))</f>
        <v>0.39000000000000007</v>
      </c>
      <c r="AQ9" s="115">
        <f t="shared" ref="AQ9:AQ44" si="16">IF(AP9&lt;0.5,0.5,AP9)</f>
        <v>0.5</v>
      </c>
      <c r="AR9" s="115">
        <f>AR8</f>
        <v>5</v>
      </c>
      <c r="AS9" s="115">
        <f t="shared" si="14"/>
        <v>20</v>
      </c>
      <c r="AT9" s="115" t="str">
        <f>AT8</f>
        <v>F5/M-503</v>
      </c>
      <c r="AU9" s="112" t="str">
        <f>AU8</f>
        <v>1, 2</v>
      </c>
    </row>
    <row r="10" spans="1:52" ht="15" customHeight="1" x14ac:dyDescent="0.25">
      <c r="B10" s="160"/>
      <c r="C10" s="148" t="s">
        <v>337</v>
      </c>
      <c r="D10" s="121" t="s">
        <v>569</v>
      </c>
      <c r="E10" s="158" t="s">
        <v>625</v>
      </c>
      <c r="F10" s="158">
        <v>238</v>
      </c>
      <c r="G10" s="173">
        <v>9.5</v>
      </c>
      <c r="H10" s="114">
        <f>VLOOKUP($N10,'UMC Table 4-A'!$A$10:$E$139,4,FALSE)</f>
        <v>4</v>
      </c>
      <c r="I10" s="114" t="str">
        <f>VLOOKUP($N10,'UMC Table 4-A'!$A$10:$E$139,5,FALSE)</f>
        <v>NR</v>
      </c>
      <c r="J10" s="111" t="str">
        <f t="shared" si="0"/>
        <v>-</v>
      </c>
      <c r="K10" s="116">
        <v>0</v>
      </c>
      <c r="L10" s="114">
        <f t="shared" si="1"/>
        <v>160</v>
      </c>
      <c r="M10" s="117">
        <f>F10</f>
        <v>238</v>
      </c>
      <c r="N10" s="114" t="s">
        <v>123</v>
      </c>
      <c r="O10" s="114" t="str">
        <f>VLOOKUP($N10,'UMC Table 4-A'!$A$10:$E$139,2,FALSE)</f>
        <v>NO REQUIREMENT FOR CONTINUOUS DIRECTIONAL CONTROL</v>
      </c>
      <c r="P10" s="174">
        <f>VLOOKUP($N10,'UMC Table 4-A'!$A$10:$E$139,3,FALSE)</f>
        <v>2</v>
      </c>
      <c r="Q10" s="152">
        <f t="shared" si="2"/>
        <v>80</v>
      </c>
      <c r="R10" s="112" t="str">
        <f>VLOOKUP($N10,'UMC Table 4-A'!$A$10:$E$139,5,FALSE)</f>
        <v>NR</v>
      </c>
      <c r="S10" s="113">
        <f t="shared" si="3"/>
        <v>240</v>
      </c>
      <c r="T10" s="137">
        <f t="shared" si="4"/>
        <v>240</v>
      </c>
      <c r="U10" s="137">
        <f t="shared" si="5"/>
        <v>240</v>
      </c>
      <c r="V10" s="137">
        <f t="shared" si="6"/>
        <v>0</v>
      </c>
      <c r="W10" s="89">
        <f t="shared" si="7"/>
        <v>0</v>
      </c>
      <c r="X10" s="31" t="str">
        <f t="shared" si="8"/>
        <v>Yes</v>
      </c>
      <c r="Y10" s="32">
        <f t="shared" si="9"/>
        <v>1.0084033613445378</v>
      </c>
      <c r="Z10" s="70">
        <f t="shared" si="10"/>
        <v>33.333333333333329</v>
      </c>
      <c r="AA10" s="32">
        <f t="shared" si="11"/>
        <v>6.3688633348076067</v>
      </c>
      <c r="AD10" s="113" t="s">
        <v>338</v>
      </c>
      <c r="AE10" s="113" t="s">
        <v>203</v>
      </c>
      <c r="AF10" s="113" t="s">
        <v>209</v>
      </c>
      <c r="AG10" s="112">
        <f t="shared" si="12"/>
        <v>225</v>
      </c>
      <c r="AH10" s="112">
        <f t="shared" si="13"/>
        <v>6</v>
      </c>
      <c r="AI10" s="112">
        <f t="shared" ref="AI10:AI44" si="17">AH10/2</f>
        <v>3</v>
      </c>
      <c r="AJ10" s="112">
        <f t="shared" ref="AJ10:AN25" si="18">AJ9</f>
        <v>0.5</v>
      </c>
      <c r="AK10" s="112">
        <f t="shared" si="15"/>
        <v>140</v>
      </c>
      <c r="AL10" s="112">
        <f t="shared" si="15"/>
        <v>100</v>
      </c>
      <c r="AM10" s="112">
        <f t="shared" si="15"/>
        <v>55</v>
      </c>
      <c r="AN10" s="112">
        <f t="shared" si="15"/>
        <v>85</v>
      </c>
      <c r="AO10" s="112">
        <f t="shared" ref="AO10:AO44" si="19">MROUND((1.08*(AN10-AM10)*AG10)/1000,0.1)</f>
        <v>7.3000000000000007</v>
      </c>
      <c r="AP10" s="115">
        <f t="shared" ref="AP10:AP44" si="20">(AO10*1000)/(500*(AK10-AL10))</f>
        <v>0.36500000000000005</v>
      </c>
      <c r="AQ10" s="115">
        <f t="shared" si="16"/>
        <v>0.5</v>
      </c>
      <c r="AR10" s="115">
        <f t="shared" ref="AR10:AR66" si="21">AR9</f>
        <v>5</v>
      </c>
      <c r="AS10" s="115">
        <f t="shared" si="14"/>
        <v>20</v>
      </c>
      <c r="AT10" s="115" t="str">
        <f t="shared" ref="AT10:AU25" si="22">AT9</f>
        <v>F5/M-503</v>
      </c>
      <c r="AU10" s="112" t="str">
        <f t="shared" si="22"/>
        <v>1, 2</v>
      </c>
      <c r="AX10" s="196" t="s">
        <v>88</v>
      </c>
      <c r="AY10" s="197"/>
      <c r="AZ10" s="198"/>
    </row>
    <row r="11" spans="1:52" ht="15" customHeight="1" x14ac:dyDescent="0.2">
      <c r="B11" s="160"/>
      <c r="C11" s="164" t="s">
        <v>337</v>
      </c>
      <c r="D11" s="121" t="s">
        <v>733</v>
      </c>
      <c r="E11" s="158" t="s">
        <v>790</v>
      </c>
      <c r="F11" s="158">
        <v>64</v>
      </c>
      <c r="G11" s="172">
        <v>8</v>
      </c>
      <c r="H11" s="114">
        <f>VLOOKUP($N11,'UMC Table 4-A'!$A$10:$E$139,4,FALSE)</f>
        <v>10</v>
      </c>
      <c r="I11" s="114" t="str">
        <f>VLOOKUP($N11,'UMC Table 4-A'!$A$10:$E$139,5,FALSE)</f>
        <v>YES</v>
      </c>
      <c r="J11" s="111">
        <f t="shared" si="0"/>
        <v>90</v>
      </c>
      <c r="K11" s="116">
        <v>0</v>
      </c>
      <c r="L11" s="114">
        <f t="shared" si="1"/>
        <v>90</v>
      </c>
      <c r="M11" s="117"/>
      <c r="N11" s="114" t="s">
        <v>94</v>
      </c>
      <c r="O11" s="114" t="str">
        <f>VLOOKUP($N11,'UMC Table 4-A'!$A$10:$E$139,2,FALSE)</f>
        <v>NEGATIVE</v>
      </c>
      <c r="P11" s="174" t="str">
        <f>VLOOKUP($N11,'UMC Table 4-A'!$A$10:$E$139,3,FALSE)</f>
        <v>NR</v>
      </c>
      <c r="Q11" s="152">
        <f t="shared" si="2"/>
        <v>0</v>
      </c>
      <c r="R11" s="112" t="str">
        <f>VLOOKUP($N11,'UMC Table 4-A'!$A$10:$E$139,5,FALSE)</f>
        <v>YES</v>
      </c>
      <c r="S11" s="113">
        <f t="shared" si="3"/>
        <v>0</v>
      </c>
      <c r="T11" s="137">
        <f t="shared" si="4"/>
        <v>0</v>
      </c>
      <c r="U11" s="137">
        <f t="shared" si="5"/>
        <v>0</v>
      </c>
      <c r="V11" s="137">
        <f t="shared" si="6"/>
        <v>90</v>
      </c>
      <c r="W11" s="89">
        <f t="shared" si="7"/>
        <v>-90</v>
      </c>
      <c r="X11" s="31" t="str">
        <f t="shared" si="8"/>
        <v>No</v>
      </c>
      <c r="Y11" s="32">
        <f t="shared" si="9"/>
        <v>0</v>
      </c>
      <c r="Z11" s="70" t="e">
        <f t="shared" si="10"/>
        <v>#DIV/0!</v>
      </c>
      <c r="AA11" s="32">
        <f t="shared" si="11"/>
        <v>0</v>
      </c>
      <c r="AD11" s="113" t="s">
        <v>339</v>
      </c>
      <c r="AE11" s="113" t="s">
        <v>203</v>
      </c>
      <c r="AF11" s="113" t="s">
        <v>209</v>
      </c>
      <c r="AG11" s="112">
        <f t="shared" si="12"/>
        <v>235</v>
      </c>
      <c r="AH11" s="112">
        <f t="shared" si="13"/>
        <v>6</v>
      </c>
      <c r="AI11" s="112">
        <f t="shared" si="17"/>
        <v>3</v>
      </c>
      <c r="AJ11" s="112">
        <f t="shared" si="18"/>
        <v>0.5</v>
      </c>
      <c r="AK11" s="112">
        <f t="shared" si="15"/>
        <v>140</v>
      </c>
      <c r="AL11" s="112">
        <f t="shared" si="15"/>
        <v>100</v>
      </c>
      <c r="AM11" s="112">
        <f t="shared" si="15"/>
        <v>55</v>
      </c>
      <c r="AN11" s="112">
        <f t="shared" si="15"/>
        <v>85</v>
      </c>
      <c r="AO11" s="112">
        <f t="shared" si="19"/>
        <v>7.6000000000000005</v>
      </c>
      <c r="AP11" s="115">
        <f t="shared" si="20"/>
        <v>0.38000000000000006</v>
      </c>
      <c r="AQ11" s="115">
        <f t="shared" si="16"/>
        <v>0.5</v>
      </c>
      <c r="AR11" s="115">
        <f t="shared" si="21"/>
        <v>5</v>
      </c>
      <c r="AS11" s="115">
        <f t="shared" si="14"/>
        <v>20</v>
      </c>
      <c r="AT11" s="115" t="str">
        <f t="shared" si="22"/>
        <v>F5/M-503</v>
      </c>
      <c r="AU11" s="112" t="str">
        <f t="shared" si="22"/>
        <v>1, 2</v>
      </c>
      <c r="AX11" s="71" t="s">
        <v>52</v>
      </c>
      <c r="AY11" s="72" t="s">
        <v>89</v>
      </c>
      <c r="AZ11" s="72" t="s">
        <v>202</v>
      </c>
    </row>
    <row r="12" spans="1:52" ht="15" customHeight="1" x14ac:dyDescent="0.2">
      <c r="B12" s="160"/>
      <c r="C12" s="148" t="s">
        <v>338</v>
      </c>
      <c r="D12" s="121" t="s">
        <v>569</v>
      </c>
      <c r="E12" s="158" t="s">
        <v>626</v>
      </c>
      <c r="F12" s="158">
        <v>222</v>
      </c>
      <c r="G12" s="173">
        <v>9.5</v>
      </c>
      <c r="H12" s="114">
        <f>VLOOKUP($N12,'UMC Table 4-A'!$A$10:$E$139,4,FALSE)</f>
        <v>4</v>
      </c>
      <c r="I12" s="114" t="str">
        <f>VLOOKUP($N12,'UMC Table 4-A'!$A$10:$E$139,5,FALSE)</f>
        <v>NR</v>
      </c>
      <c r="J12" s="111" t="str">
        <f t="shared" si="0"/>
        <v>-</v>
      </c>
      <c r="K12" s="116">
        <v>0</v>
      </c>
      <c r="L12" s="114">
        <f t="shared" si="1"/>
        <v>150</v>
      </c>
      <c r="M12" s="117">
        <f>F12</f>
        <v>222</v>
      </c>
      <c r="N12" s="114" t="s">
        <v>123</v>
      </c>
      <c r="O12" s="114" t="str">
        <f>VLOOKUP($N12,'UMC Table 4-A'!$A$10:$E$139,2,FALSE)</f>
        <v>NO REQUIREMENT FOR CONTINUOUS DIRECTIONAL CONTROL</v>
      </c>
      <c r="P12" s="174">
        <f>VLOOKUP($N12,'UMC Table 4-A'!$A$10:$E$139,3,FALSE)</f>
        <v>2</v>
      </c>
      <c r="Q12" s="152">
        <f t="shared" si="2"/>
        <v>80</v>
      </c>
      <c r="R12" s="112" t="str">
        <f>VLOOKUP($N12,'UMC Table 4-A'!$A$10:$E$139,5,FALSE)</f>
        <v>NR</v>
      </c>
      <c r="S12" s="113">
        <f t="shared" si="3"/>
        <v>225</v>
      </c>
      <c r="T12" s="137">
        <f t="shared" si="4"/>
        <v>225</v>
      </c>
      <c r="U12" s="137">
        <f t="shared" si="5"/>
        <v>225</v>
      </c>
      <c r="V12" s="137">
        <f t="shared" si="6"/>
        <v>0</v>
      </c>
      <c r="W12" s="89">
        <f t="shared" si="7"/>
        <v>0</v>
      </c>
      <c r="X12" s="31" t="str">
        <f t="shared" si="8"/>
        <v>Yes</v>
      </c>
      <c r="Y12" s="32">
        <f t="shared" si="9"/>
        <v>1.0135135135135136</v>
      </c>
      <c r="Z12" s="70">
        <f t="shared" si="10"/>
        <v>35.555555555555557</v>
      </c>
      <c r="AA12" s="32">
        <f t="shared" si="11"/>
        <v>6.4011379800853492</v>
      </c>
      <c r="AD12" s="113" t="s">
        <v>340</v>
      </c>
      <c r="AE12" s="113" t="s">
        <v>203</v>
      </c>
      <c r="AF12" s="113" t="s">
        <v>209</v>
      </c>
      <c r="AG12" s="112">
        <f t="shared" si="12"/>
        <v>220</v>
      </c>
      <c r="AH12" s="112">
        <f t="shared" si="13"/>
        <v>6</v>
      </c>
      <c r="AI12" s="112">
        <f t="shared" si="17"/>
        <v>3</v>
      </c>
      <c r="AJ12" s="112">
        <f t="shared" si="18"/>
        <v>0.5</v>
      </c>
      <c r="AK12" s="112">
        <f t="shared" si="15"/>
        <v>140</v>
      </c>
      <c r="AL12" s="112">
        <f t="shared" si="15"/>
        <v>100</v>
      </c>
      <c r="AM12" s="112">
        <f t="shared" si="15"/>
        <v>55</v>
      </c>
      <c r="AN12" s="112">
        <f t="shared" si="15"/>
        <v>85</v>
      </c>
      <c r="AO12" s="112">
        <f t="shared" si="19"/>
        <v>7.1000000000000005</v>
      </c>
      <c r="AP12" s="115">
        <f t="shared" si="20"/>
        <v>0.35500000000000004</v>
      </c>
      <c r="AQ12" s="115">
        <f t="shared" si="16"/>
        <v>0.5</v>
      </c>
      <c r="AR12" s="115">
        <f t="shared" si="21"/>
        <v>5</v>
      </c>
      <c r="AS12" s="115">
        <f t="shared" si="14"/>
        <v>20</v>
      </c>
      <c r="AT12" s="115" t="str">
        <f t="shared" si="22"/>
        <v>F5/M-503</v>
      </c>
      <c r="AU12" s="112" t="str">
        <f t="shared" si="22"/>
        <v>1, 2</v>
      </c>
      <c r="AX12" s="60">
        <v>1</v>
      </c>
      <c r="AY12" s="73">
        <v>6</v>
      </c>
      <c r="AZ12" s="73">
        <v>20</v>
      </c>
    </row>
    <row r="13" spans="1:52" ht="15" customHeight="1" x14ac:dyDescent="0.2">
      <c r="B13" s="160"/>
      <c r="C13" s="164" t="s">
        <v>338</v>
      </c>
      <c r="D13" s="121" t="s">
        <v>733</v>
      </c>
      <c r="E13" s="158" t="s">
        <v>808</v>
      </c>
      <c r="F13" s="158">
        <v>64</v>
      </c>
      <c r="G13" s="172">
        <v>8</v>
      </c>
      <c r="H13" s="114">
        <f>VLOOKUP($N13,'UMC Table 4-A'!$A$10:$E$139,4,FALSE)</f>
        <v>10</v>
      </c>
      <c r="I13" s="114" t="str">
        <f>VLOOKUP($N13,'UMC Table 4-A'!$A$10:$E$139,5,FALSE)</f>
        <v>YES</v>
      </c>
      <c r="J13" s="111">
        <f t="shared" si="0"/>
        <v>90</v>
      </c>
      <c r="K13" s="116">
        <v>0</v>
      </c>
      <c r="L13" s="114">
        <f t="shared" si="1"/>
        <v>90</v>
      </c>
      <c r="M13" s="117"/>
      <c r="N13" s="114" t="s">
        <v>94</v>
      </c>
      <c r="O13" s="114" t="str">
        <f>VLOOKUP($N13,'UMC Table 4-A'!$A$10:$E$139,2,FALSE)</f>
        <v>NEGATIVE</v>
      </c>
      <c r="P13" s="174" t="str">
        <f>VLOOKUP($N13,'UMC Table 4-A'!$A$10:$E$139,3,FALSE)</f>
        <v>NR</v>
      </c>
      <c r="Q13" s="152">
        <f t="shared" si="2"/>
        <v>0</v>
      </c>
      <c r="R13" s="112" t="str">
        <f>VLOOKUP($N13,'UMC Table 4-A'!$A$10:$E$139,5,FALSE)</f>
        <v>YES</v>
      </c>
      <c r="S13" s="113">
        <f t="shared" si="3"/>
        <v>0</v>
      </c>
      <c r="T13" s="137">
        <f t="shared" si="4"/>
        <v>0</v>
      </c>
      <c r="U13" s="137">
        <f t="shared" si="5"/>
        <v>0</v>
      </c>
      <c r="V13" s="137">
        <f t="shared" si="6"/>
        <v>90</v>
      </c>
      <c r="W13" s="89">
        <f t="shared" si="7"/>
        <v>-90</v>
      </c>
      <c r="X13" s="31" t="str">
        <f t="shared" si="8"/>
        <v>No</v>
      </c>
      <c r="Y13" s="32">
        <f t="shared" si="9"/>
        <v>0</v>
      </c>
      <c r="Z13" s="70" t="e">
        <f t="shared" si="10"/>
        <v>#DIV/0!</v>
      </c>
      <c r="AA13" s="32">
        <f t="shared" si="11"/>
        <v>0</v>
      </c>
      <c r="AD13" s="113" t="s">
        <v>341</v>
      </c>
      <c r="AE13" s="113" t="s">
        <v>203</v>
      </c>
      <c r="AF13" s="113" t="s">
        <v>209</v>
      </c>
      <c r="AG13" s="112">
        <f t="shared" si="12"/>
        <v>235</v>
      </c>
      <c r="AH13" s="112">
        <f t="shared" si="13"/>
        <v>6</v>
      </c>
      <c r="AI13" s="112">
        <f t="shared" si="17"/>
        <v>3</v>
      </c>
      <c r="AJ13" s="112">
        <f t="shared" si="18"/>
        <v>0.5</v>
      </c>
      <c r="AK13" s="112">
        <f t="shared" si="15"/>
        <v>140</v>
      </c>
      <c r="AL13" s="112">
        <f t="shared" si="15"/>
        <v>100</v>
      </c>
      <c r="AM13" s="112">
        <f t="shared" si="15"/>
        <v>55</v>
      </c>
      <c r="AN13" s="112">
        <f t="shared" si="15"/>
        <v>85</v>
      </c>
      <c r="AO13" s="112">
        <f t="shared" si="19"/>
        <v>7.6000000000000005</v>
      </c>
      <c r="AP13" s="115">
        <f t="shared" si="20"/>
        <v>0.38000000000000006</v>
      </c>
      <c r="AQ13" s="115">
        <f t="shared" si="16"/>
        <v>0.5</v>
      </c>
      <c r="AR13" s="115">
        <f t="shared" si="21"/>
        <v>5</v>
      </c>
      <c r="AS13" s="115">
        <f t="shared" si="14"/>
        <v>20</v>
      </c>
      <c r="AT13" s="115" t="str">
        <f t="shared" si="22"/>
        <v>F5/M-503</v>
      </c>
      <c r="AU13" s="112" t="str">
        <f t="shared" si="22"/>
        <v>1, 2</v>
      </c>
      <c r="AX13" s="60">
        <v>400</v>
      </c>
      <c r="AY13" s="73">
        <v>8</v>
      </c>
      <c r="AZ13" s="73">
        <v>25</v>
      </c>
    </row>
    <row r="14" spans="1:52" ht="15" customHeight="1" x14ac:dyDescent="0.2">
      <c r="B14" s="160"/>
      <c r="C14" s="148" t="s">
        <v>339</v>
      </c>
      <c r="D14" s="121" t="s">
        <v>569</v>
      </c>
      <c r="E14" s="158" t="s">
        <v>627</v>
      </c>
      <c r="F14" s="158">
        <v>232</v>
      </c>
      <c r="G14" s="173">
        <v>9.5</v>
      </c>
      <c r="H14" s="114">
        <f>VLOOKUP($N14,'UMC Table 4-A'!$A$10:$E$139,4,FALSE)</f>
        <v>4</v>
      </c>
      <c r="I14" s="114" t="str">
        <f>VLOOKUP($N14,'UMC Table 4-A'!$A$10:$E$139,5,FALSE)</f>
        <v>NR</v>
      </c>
      <c r="J14" s="111" t="str">
        <f t="shared" si="0"/>
        <v>-</v>
      </c>
      <c r="K14" s="116">
        <v>0</v>
      </c>
      <c r="L14" s="114">
        <f t="shared" si="1"/>
        <v>150</v>
      </c>
      <c r="M14" s="117">
        <f>F14</f>
        <v>232</v>
      </c>
      <c r="N14" s="114" t="s">
        <v>123</v>
      </c>
      <c r="O14" s="114" t="str">
        <f>VLOOKUP($N14,'UMC Table 4-A'!$A$10:$E$139,2,FALSE)</f>
        <v>NO REQUIREMENT FOR CONTINUOUS DIRECTIONAL CONTROL</v>
      </c>
      <c r="P14" s="174">
        <f>VLOOKUP($N14,'UMC Table 4-A'!$A$10:$E$139,3,FALSE)</f>
        <v>2</v>
      </c>
      <c r="Q14" s="152">
        <f t="shared" si="2"/>
        <v>80</v>
      </c>
      <c r="R14" s="112" t="str">
        <f>VLOOKUP($N14,'UMC Table 4-A'!$A$10:$E$139,5,FALSE)</f>
        <v>NR</v>
      </c>
      <c r="S14" s="113">
        <f t="shared" si="3"/>
        <v>235</v>
      </c>
      <c r="T14" s="137">
        <f t="shared" si="4"/>
        <v>235</v>
      </c>
      <c r="U14" s="137">
        <f t="shared" si="5"/>
        <v>235</v>
      </c>
      <c r="V14" s="137">
        <f t="shared" si="6"/>
        <v>0</v>
      </c>
      <c r="W14" s="89">
        <f t="shared" si="7"/>
        <v>0</v>
      </c>
      <c r="X14" s="31" t="str">
        <f t="shared" si="8"/>
        <v>Yes</v>
      </c>
      <c r="Y14" s="32">
        <f t="shared" si="9"/>
        <v>1.0129310344827587</v>
      </c>
      <c r="Z14" s="70">
        <f t="shared" si="10"/>
        <v>34.042553191489361</v>
      </c>
      <c r="AA14" s="32">
        <f t="shared" si="11"/>
        <v>6.3974591651542649</v>
      </c>
      <c r="AD14" s="113" t="s">
        <v>342</v>
      </c>
      <c r="AE14" s="113" t="s">
        <v>203</v>
      </c>
      <c r="AF14" s="113" t="s">
        <v>209</v>
      </c>
      <c r="AG14" s="112">
        <f t="shared" si="12"/>
        <v>235</v>
      </c>
      <c r="AH14" s="112">
        <f t="shared" si="13"/>
        <v>6</v>
      </c>
      <c r="AI14" s="112">
        <f t="shared" si="17"/>
        <v>3</v>
      </c>
      <c r="AJ14" s="112">
        <f t="shared" si="18"/>
        <v>0.5</v>
      </c>
      <c r="AK14" s="112">
        <f t="shared" si="15"/>
        <v>140</v>
      </c>
      <c r="AL14" s="112">
        <f t="shared" si="15"/>
        <v>100</v>
      </c>
      <c r="AM14" s="112">
        <f t="shared" si="15"/>
        <v>55</v>
      </c>
      <c r="AN14" s="112">
        <f t="shared" si="15"/>
        <v>85</v>
      </c>
      <c r="AO14" s="112">
        <f t="shared" si="19"/>
        <v>7.6000000000000005</v>
      </c>
      <c r="AP14" s="115">
        <f t="shared" si="20"/>
        <v>0.38000000000000006</v>
      </c>
      <c r="AQ14" s="115">
        <f t="shared" si="16"/>
        <v>0.5</v>
      </c>
      <c r="AR14" s="115">
        <f t="shared" si="21"/>
        <v>5</v>
      </c>
      <c r="AS14" s="115">
        <f t="shared" si="14"/>
        <v>20</v>
      </c>
      <c r="AT14" s="115" t="str">
        <f t="shared" si="22"/>
        <v>F5/M-503</v>
      </c>
      <c r="AU14" s="112" t="str">
        <f t="shared" si="22"/>
        <v>1, 2</v>
      </c>
      <c r="AX14" s="60">
        <v>700</v>
      </c>
      <c r="AY14" s="73">
        <v>10</v>
      </c>
      <c r="AZ14" s="73">
        <v>30</v>
      </c>
    </row>
    <row r="15" spans="1:52" ht="15" customHeight="1" x14ac:dyDescent="0.2">
      <c r="B15" s="160"/>
      <c r="C15" s="164" t="s">
        <v>339</v>
      </c>
      <c r="D15" s="121" t="s">
        <v>733</v>
      </c>
      <c r="E15" s="158" t="s">
        <v>791</v>
      </c>
      <c r="F15" s="158">
        <v>64</v>
      </c>
      <c r="G15" s="172">
        <v>8</v>
      </c>
      <c r="H15" s="114">
        <f>VLOOKUP($N15,'UMC Table 4-A'!$A$10:$E$139,4,FALSE)</f>
        <v>10</v>
      </c>
      <c r="I15" s="114" t="str">
        <f>VLOOKUP($N15,'UMC Table 4-A'!$A$10:$E$139,5,FALSE)</f>
        <v>YES</v>
      </c>
      <c r="J15" s="111">
        <f t="shared" si="0"/>
        <v>90</v>
      </c>
      <c r="K15" s="116">
        <v>0</v>
      </c>
      <c r="L15" s="114">
        <f t="shared" si="1"/>
        <v>90</v>
      </c>
      <c r="M15" s="117"/>
      <c r="N15" s="114" t="s">
        <v>94</v>
      </c>
      <c r="O15" s="114" t="str">
        <f>VLOOKUP($N15,'UMC Table 4-A'!$A$10:$E$139,2,FALSE)</f>
        <v>NEGATIVE</v>
      </c>
      <c r="P15" s="174" t="str">
        <f>VLOOKUP($N15,'UMC Table 4-A'!$A$10:$E$139,3,FALSE)</f>
        <v>NR</v>
      </c>
      <c r="Q15" s="152">
        <f t="shared" si="2"/>
        <v>0</v>
      </c>
      <c r="R15" s="112" t="str">
        <f>VLOOKUP($N15,'UMC Table 4-A'!$A$10:$E$139,5,FALSE)</f>
        <v>YES</v>
      </c>
      <c r="S15" s="113">
        <f t="shared" si="3"/>
        <v>0</v>
      </c>
      <c r="T15" s="137">
        <f t="shared" si="4"/>
        <v>0</v>
      </c>
      <c r="U15" s="137">
        <f t="shared" si="5"/>
        <v>0</v>
      </c>
      <c r="V15" s="137">
        <f t="shared" si="6"/>
        <v>90</v>
      </c>
      <c r="W15" s="89">
        <f t="shared" si="7"/>
        <v>-90</v>
      </c>
      <c r="X15" s="31" t="str">
        <f t="shared" si="8"/>
        <v>No</v>
      </c>
      <c r="Y15" s="32">
        <f t="shared" si="9"/>
        <v>0</v>
      </c>
      <c r="Z15" s="70" t="e">
        <f t="shared" si="10"/>
        <v>#DIV/0!</v>
      </c>
      <c r="AA15" s="32">
        <f t="shared" si="11"/>
        <v>0</v>
      </c>
      <c r="AD15" s="113" t="s">
        <v>343</v>
      </c>
      <c r="AE15" s="113" t="s">
        <v>203</v>
      </c>
      <c r="AF15" s="113" t="s">
        <v>209</v>
      </c>
      <c r="AG15" s="112">
        <f t="shared" si="12"/>
        <v>235</v>
      </c>
      <c r="AH15" s="112">
        <f t="shared" si="13"/>
        <v>6</v>
      </c>
      <c r="AI15" s="112">
        <f t="shared" si="17"/>
        <v>3</v>
      </c>
      <c r="AJ15" s="112">
        <f t="shared" si="18"/>
        <v>0.5</v>
      </c>
      <c r="AK15" s="112">
        <f t="shared" si="15"/>
        <v>140</v>
      </c>
      <c r="AL15" s="112">
        <f t="shared" si="15"/>
        <v>100</v>
      </c>
      <c r="AM15" s="112">
        <f t="shared" si="15"/>
        <v>55</v>
      </c>
      <c r="AN15" s="112">
        <f t="shared" si="15"/>
        <v>85</v>
      </c>
      <c r="AO15" s="112">
        <f>MROUND((1.08*(AN15-AM15)*AG15)/1000,0.1)</f>
        <v>7.6000000000000005</v>
      </c>
      <c r="AP15" s="115">
        <f t="shared" si="20"/>
        <v>0.38000000000000006</v>
      </c>
      <c r="AQ15" s="115">
        <f t="shared" si="16"/>
        <v>0.5</v>
      </c>
      <c r="AR15" s="115">
        <f t="shared" si="21"/>
        <v>5</v>
      </c>
      <c r="AS15" s="115">
        <f t="shared" si="14"/>
        <v>20</v>
      </c>
      <c r="AT15" s="115" t="str">
        <f t="shared" si="22"/>
        <v>F5/M-503</v>
      </c>
      <c r="AU15" s="112" t="str">
        <f t="shared" si="22"/>
        <v>1, 2</v>
      </c>
      <c r="AX15" s="60">
        <v>1000</v>
      </c>
      <c r="AY15" s="73">
        <v>12</v>
      </c>
      <c r="AZ15" s="73">
        <v>40</v>
      </c>
    </row>
    <row r="16" spans="1:52" ht="15" customHeight="1" x14ac:dyDescent="0.2">
      <c r="B16" s="160"/>
      <c r="C16" s="148" t="s">
        <v>340</v>
      </c>
      <c r="D16" s="121" t="s">
        <v>569</v>
      </c>
      <c r="E16" s="158" t="s">
        <v>628</v>
      </c>
      <c r="F16" s="158">
        <v>217</v>
      </c>
      <c r="G16" s="173">
        <v>9.5</v>
      </c>
      <c r="H16" s="114">
        <f>VLOOKUP($N16,'UMC Table 4-A'!$A$10:$E$139,4,FALSE)</f>
        <v>4</v>
      </c>
      <c r="I16" s="114" t="str">
        <f>VLOOKUP($N16,'UMC Table 4-A'!$A$10:$E$139,5,FALSE)</f>
        <v>NR</v>
      </c>
      <c r="J16" s="111" t="str">
        <f t="shared" si="0"/>
        <v>-</v>
      </c>
      <c r="K16" s="116">
        <v>0</v>
      </c>
      <c r="L16" s="114">
        <f t="shared" si="1"/>
        <v>140</v>
      </c>
      <c r="M16" s="117">
        <f>F16</f>
        <v>217</v>
      </c>
      <c r="N16" s="114" t="s">
        <v>123</v>
      </c>
      <c r="O16" s="114" t="str">
        <f>VLOOKUP($N16,'UMC Table 4-A'!$A$10:$E$139,2,FALSE)</f>
        <v>NO REQUIREMENT FOR CONTINUOUS DIRECTIONAL CONTROL</v>
      </c>
      <c r="P16" s="174">
        <f>VLOOKUP($N16,'UMC Table 4-A'!$A$10:$E$139,3,FALSE)</f>
        <v>2</v>
      </c>
      <c r="Q16" s="152">
        <f t="shared" si="2"/>
        <v>70</v>
      </c>
      <c r="R16" s="112" t="str">
        <f>VLOOKUP($N16,'UMC Table 4-A'!$A$10:$E$139,5,FALSE)</f>
        <v>NR</v>
      </c>
      <c r="S16" s="113">
        <f t="shared" si="3"/>
        <v>220</v>
      </c>
      <c r="T16" s="137">
        <f t="shared" si="4"/>
        <v>220</v>
      </c>
      <c r="U16" s="137">
        <f t="shared" si="5"/>
        <v>220</v>
      </c>
      <c r="V16" s="137">
        <f t="shared" si="6"/>
        <v>0</v>
      </c>
      <c r="W16" s="89">
        <f t="shared" si="7"/>
        <v>0</v>
      </c>
      <c r="X16" s="31" t="str">
        <f t="shared" si="8"/>
        <v>Yes</v>
      </c>
      <c r="Y16" s="32">
        <f t="shared" si="9"/>
        <v>1.0138248847926268</v>
      </c>
      <c r="Z16" s="70">
        <f t="shared" si="10"/>
        <v>31.818181818181817</v>
      </c>
      <c r="AA16" s="32">
        <f t="shared" si="11"/>
        <v>6.4031045355323792</v>
      </c>
      <c r="AD16" s="113" t="s">
        <v>344</v>
      </c>
      <c r="AE16" s="113" t="s">
        <v>203</v>
      </c>
      <c r="AF16" s="113" t="s">
        <v>209</v>
      </c>
      <c r="AG16" s="31">
        <f>SUMIF($C$8:$C$117,AD16,$T$8:$T$117)</f>
        <v>275</v>
      </c>
      <c r="AH16" s="112">
        <f t="shared" si="13"/>
        <v>6</v>
      </c>
      <c r="AI16" s="112">
        <f t="shared" si="17"/>
        <v>3</v>
      </c>
      <c r="AJ16" s="112">
        <f t="shared" si="18"/>
        <v>0.5</v>
      </c>
      <c r="AK16" s="112">
        <f t="shared" si="15"/>
        <v>140</v>
      </c>
      <c r="AL16" s="112">
        <f t="shared" si="15"/>
        <v>100</v>
      </c>
      <c r="AM16" s="112">
        <f t="shared" si="15"/>
        <v>55</v>
      </c>
      <c r="AN16" s="112">
        <f t="shared" si="15"/>
        <v>85</v>
      </c>
      <c r="AO16" s="112">
        <f t="shared" si="19"/>
        <v>8.9</v>
      </c>
      <c r="AP16" s="115">
        <f t="shared" si="20"/>
        <v>0.44500000000000001</v>
      </c>
      <c r="AQ16" s="115">
        <f t="shared" si="16"/>
        <v>0.5</v>
      </c>
      <c r="AR16" s="115">
        <f t="shared" si="21"/>
        <v>5</v>
      </c>
      <c r="AS16" s="115">
        <f t="shared" si="14"/>
        <v>20</v>
      </c>
      <c r="AT16" s="115" t="str">
        <f t="shared" si="22"/>
        <v>F5/M-503</v>
      </c>
      <c r="AU16" s="112" t="str">
        <f t="shared" si="22"/>
        <v>1, 2</v>
      </c>
      <c r="AX16" s="60">
        <v>1500</v>
      </c>
      <c r="AY16" s="73">
        <v>14</v>
      </c>
      <c r="AZ16" s="73">
        <v>50</v>
      </c>
    </row>
    <row r="17" spans="2:52" ht="15" customHeight="1" thickBot="1" x14ac:dyDescent="0.25">
      <c r="B17" s="160"/>
      <c r="C17" s="164" t="s">
        <v>340</v>
      </c>
      <c r="D17" s="121" t="s">
        <v>733</v>
      </c>
      <c r="E17" s="158" t="s">
        <v>792</v>
      </c>
      <c r="F17" s="158">
        <v>64</v>
      </c>
      <c r="G17" s="172">
        <v>8</v>
      </c>
      <c r="H17" s="114">
        <f>VLOOKUP($N17,'UMC Table 4-A'!$A$10:$E$139,4,FALSE)</f>
        <v>10</v>
      </c>
      <c r="I17" s="114" t="str">
        <f>VLOOKUP($N17,'UMC Table 4-A'!$A$10:$E$139,5,FALSE)</f>
        <v>YES</v>
      </c>
      <c r="J17" s="111">
        <f t="shared" si="0"/>
        <v>90</v>
      </c>
      <c r="K17" s="116">
        <v>0</v>
      </c>
      <c r="L17" s="114">
        <f t="shared" si="1"/>
        <v>90</v>
      </c>
      <c r="M17" s="117"/>
      <c r="N17" s="114" t="s">
        <v>94</v>
      </c>
      <c r="O17" s="114" t="str">
        <f>VLOOKUP($N17,'UMC Table 4-A'!$A$10:$E$139,2,FALSE)</f>
        <v>NEGATIVE</v>
      </c>
      <c r="P17" s="174" t="str">
        <f>VLOOKUP($N17,'UMC Table 4-A'!$A$10:$E$139,3,FALSE)</f>
        <v>NR</v>
      </c>
      <c r="Q17" s="152">
        <f t="shared" si="2"/>
        <v>0</v>
      </c>
      <c r="R17" s="112" t="str">
        <f>VLOOKUP($N17,'UMC Table 4-A'!$A$10:$E$139,5,FALSE)</f>
        <v>YES</v>
      </c>
      <c r="S17" s="113">
        <f t="shared" si="3"/>
        <v>0</v>
      </c>
      <c r="T17" s="137">
        <f t="shared" si="4"/>
        <v>0</v>
      </c>
      <c r="U17" s="137">
        <f t="shared" si="5"/>
        <v>0</v>
      </c>
      <c r="V17" s="137">
        <f t="shared" si="6"/>
        <v>90</v>
      </c>
      <c r="W17" s="89">
        <f t="shared" si="7"/>
        <v>-90</v>
      </c>
      <c r="X17" s="31" t="str">
        <f t="shared" si="8"/>
        <v>No</v>
      </c>
      <c r="Y17" s="32">
        <f t="shared" si="9"/>
        <v>0</v>
      </c>
      <c r="Z17" s="70" t="e">
        <f t="shared" si="10"/>
        <v>#DIV/0!</v>
      </c>
      <c r="AA17" s="32">
        <f t="shared" si="11"/>
        <v>0</v>
      </c>
      <c r="AD17" s="113" t="s">
        <v>345</v>
      </c>
      <c r="AE17" s="113" t="s">
        <v>203</v>
      </c>
      <c r="AF17" s="113" t="s">
        <v>209</v>
      </c>
      <c r="AG17" s="112">
        <f t="shared" ref="AG17:AG39" si="23">SUMIF($C$8:$C$87,AD17,$T$8:$T$87)</f>
        <v>275</v>
      </c>
      <c r="AH17" s="112">
        <f t="shared" si="13"/>
        <v>6</v>
      </c>
      <c r="AI17" s="112">
        <f t="shared" si="17"/>
        <v>3</v>
      </c>
      <c r="AJ17" s="112">
        <f t="shared" si="18"/>
        <v>0.5</v>
      </c>
      <c r="AK17" s="112">
        <f t="shared" si="15"/>
        <v>140</v>
      </c>
      <c r="AL17" s="112">
        <f t="shared" si="15"/>
        <v>100</v>
      </c>
      <c r="AM17" s="112">
        <f t="shared" si="15"/>
        <v>55</v>
      </c>
      <c r="AN17" s="112">
        <f t="shared" si="15"/>
        <v>85</v>
      </c>
      <c r="AO17" s="112">
        <f t="shared" si="19"/>
        <v>8.9</v>
      </c>
      <c r="AP17" s="115">
        <f t="shared" si="20"/>
        <v>0.44500000000000001</v>
      </c>
      <c r="AQ17" s="115">
        <f t="shared" si="16"/>
        <v>0.5</v>
      </c>
      <c r="AR17" s="115">
        <f t="shared" si="21"/>
        <v>5</v>
      </c>
      <c r="AS17" s="115">
        <f t="shared" si="14"/>
        <v>20</v>
      </c>
      <c r="AT17" s="115" t="str">
        <f t="shared" si="22"/>
        <v>F5/M-503</v>
      </c>
      <c r="AU17" s="112" t="str">
        <f t="shared" si="22"/>
        <v>1, 2</v>
      </c>
      <c r="AX17" s="74">
        <v>2100</v>
      </c>
      <c r="AY17" s="75">
        <v>16</v>
      </c>
      <c r="AZ17" s="75">
        <v>50</v>
      </c>
    </row>
    <row r="18" spans="2:52" ht="15" customHeight="1" x14ac:dyDescent="0.2">
      <c r="B18" s="160"/>
      <c r="C18" s="148" t="s">
        <v>341</v>
      </c>
      <c r="D18" s="121" t="s">
        <v>569</v>
      </c>
      <c r="E18" s="158" t="s">
        <v>629</v>
      </c>
      <c r="F18" s="158">
        <v>232</v>
      </c>
      <c r="G18" s="173">
        <v>9.5</v>
      </c>
      <c r="H18" s="114">
        <f>VLOOKUP($N18,'UMC Table 4-A'!$A$10:$E$139,4,FALSE)</f>
        <v>4</v>
      </c>
      <c r="I18" s="114" t="str">
        <f>VLOOKUP($N18,'UMC Table 4-A'!$A$10:$E$139,5,FALSE)</f>
        <v>NR</v>
      </c>
      <c r="J18" s="111" t="str">
        <f t="shared" si="0"/>
        <v>-</v>
      </c>
      <c r="K18" s="116">
        <v>0</v>
      </c>
      <c r="L18" s="114">
        <f t="shared" si="1"/>
        <v>150</v>
      </c>
      <c r="M18" s="117">
        <f>F18</f>
        <v>232</v>
      </c>
      <c r="N18" s="114" t="s">
        <v>123</v>
      </c>
      <c r="O18" s="114" t="str">
        <f>VLOOKUP($N18,'UMC Table 4-A'!$A$10:$E$139,2,FALSE)</f>
        <v>NO REQUIREMENT FOR CONTINUOUS DIRECTIONAL CONTROL</v>
      </c>
      <c r="P18" s="174">
        <f>VLOOKUP($N18,'UMC Table 4-A'!$A$10:$E$139,3,FALSE)</f>
        <v>2</v>
      </c>
      <c r="Q18" s="152">
        <f t="shared" si="2"/>
        <v>80</v>
      </c>
      <c r="R18" s="112" t="str">
        <f>VLOOKUP($N18,'UMC Table 4-A'!$A$10:$E$139,5,FALSE)</f>
        <v>NR</v>
      </c>
      <c r="S18" s="113">
        <f t="shared" si="3"/>
        <v>235</v>
      </c>
      <c r="T18" s="137">
        <f t="shared" si="4"/>
        <v>235</v>
      </c>
      <c r="U18" s="137">
        <f t="shared" si="5"/>
        <v>235</v>
      </c>
      <c r="V18" s="137">
        <f t="shared" si="6"/>
        <v>0</v>
      </c>
      <c r="W18" s="89">
        <f t="shared" si="7"/>
        <v>0</v>
      </c>
      <c r="X18" s="31" t="str">
        <f t="shared" si="8"/>
        <v>Yes</v>
      </c>
      <c r="Y18" s="32">
        <f t="shared" si="9"/>
        <v>1.0129310344827587</v>
      </c>
      <c r="Z18" s="70">
        <f t="shared" si="10"/>
        <v>34.042553191489361</v>
      </c>
      <c r="AA18" s="32">
        <f t="shared" si="11"/>
        <v>6.3974591651542649</v>
      </c>
      <c r="AD18" s="113" t="s">
        <v>346</v>
      </c>
      <c r="AE18" s="113" t="s">
        <v>203</v>
      </c>
      <c r="AF18" s="113" t="s">
        <v>209</v>
      </c>
      <c r="AG18" s="112">
        <f t="shared" si="23"/>
        <v>235</v>
      </c>
      <c r="AH18" s="112">
        <f t="shared" si="13"/>
        <v>6</v>
      </c>
      <c r="AI18" s="112">
        <f t="shared" si="17"/>
        <v>3</v>
      </c>
      <c r="AJ18" s="112">
        <f t="shared" si="18"/>
        <v>0.5</v>
      </c>
      <c r="AK18" s="112">
        <f t="shared" si="15"/>
        <v>140</v>
      </c>
      <c r="AL18" s="112">
        <f t="shared" si="15"/>
        <v>100</v>
      </c>
      <c r="AM18" s="112">
        <f t="shared" si="15"/>
        <v>55</v>
      </c>
      <c r="AN18" s="112">
        <f t="shared" si="15"/>
        <v>85</v>
      </c>
      <c r="AO18" s="112">
        <f t="shared" si="19"/>
        <v>7.6000000000000005</v>
      </c>
      <c r="AP18" s="115">
        <f t="shared" si="20"/>
        <v>0.38000000000000006</v>
      </c>
      <c r="AQ18" s="115">
        <f t="shared" si="16"/>
        <v>0.5</v>
      </c>
      <c r="AR18" s="115">
        <f t="shared" si="21"/>
        <v>5</v>
      </c>
      <c r="AS18" s="115">
        <f t="shared" si="14"/>
        <v>20</v>
      </c>
      <c r="AT18" s="115" t="str">
        <f t="shared" si="22"/>
        <v>F5/M-503</v>
      </c>
      <c r="AU18" s="112" t="str">
        <f t="shared" si="22"/>
        <v>1, 2</v>
      </c>
    </row>
    <row r="19" spans="2:52" ht="15" customHeight="1" x14ac:dyDescent="0.2">
      <c r="B19" s="160"/>
      <c r="C19" s="164" t="s">
        <v>341</v>
      </c>
      <c r="D19" s="121" t="s">
        <v>733</v>
      </c>
      <c r="E19" s="158" t="s">
        <v>793</v>
      </c>
      <c r="F19" s="158">
        <v>64</v>
      </c>
      <c r="G19" s="172">
        <v>8</v>
      </c>
      <c r="H19" s="114">
        <f>VLOOKUP($N19,'UMC Table 4-A'!$A$10:$E$139,4,FALSE)</f>
        <v>10</v>
      </c>
      <c r="I19" s="114" t="str">
        <f>VLOOKUP($N19,'UMC Table 4-A'!$A$10:$E$139,5,FALSE)</f>
        <v>YES</v>
      </c>
      <c r="J19" s="111">
        <f t="shared" si="0"/>
        <v>90</v>
      </c>
      <c r="K19" s="116">
        <v>0</v>
      </c>
      <c r="L19" s="114">
        <f t="shared" si="1"/>
        <v>90</v>
      </c>
      <c r="M19" s="117"/>
      <c r="N19" s="114" t="s">
        <v>94</v>
      </c>
      <c r="O19" s="114" t="str">
        <f>VLOOKUP($N19,'UMC Table 4-A'!$A$10:$E$139,2,FALSE)</f>
        <v>NEGATIVE</v>
      </c>
      <c r="P19" s="174" t="str">
        <f>VLOOKUP($N19,'UMC Table 4-A'!$A$10:$E$139,3,FALSE)</f>
        <v>NR</v>
      </c>
      <c r="Q19" s="152">
        <f t="shared" si="2"/>
        <v>0</v>
      </c>
      <c r="R19" s="112" t="str">
        <f>VLOOKUP($N19,'UMC Table 4-A'!$A$10:$E$139,5,FALSE)</f>
        <v>YES</v>
      </c>
      <c r="S19" s="113">
        <f t="shared" si="3"/>
        <v>0</v>
      </c>
      <c r="T19" s="137">
        <f t="shared" si="4"/>
        <v>0</v>
      </c>
      <c r="U19" s="137">
        <f t="shared" si="5"/>
        <v>0</v>
      </c>
      <c r="V19" s="137">
        <f t="shared" si="6"/>
        <v>90</v>
      </c>
      <c r="W19" s="89">
        <f t="shared" si="7"/>
        <v>-90</v>
      </c>
      <c r="X19" s="31" t="str">
        <f t="shared" si="8"/>
        <v>No</v>
      </c>
      <c r="Y19" s="32">
        <f t="shared" si="9"/>
        <v>0</v>
      </c>
      <c r="Z19" s="70" t="e">
        <f t="shared" si="10"/>
        <v>#DIV/0!</v>
      </c>
      <c r="AA19" s="32">
        <f t="shared" si="11"/>
        <v>0</v>
      </c>
      <c r="AD19" s="113" t="s">
        <v>347</v>
      </c>
      <c r="AE19" s="113" t="s">
        <v>203</v>
      </c>
      <c r="AF19" s="113" t="s">
        <v>209</v>
      </c>
      <c r="AG19" s="112">
        <f t="shared" si="23"/>
        <v>235</v>
      </c>
      <c r="AH19" s="112">
        <f t="shared" si="13"/>
        <v>6</v>
      </c>
      <c r="AI19" s="112">
        <f t="shared" si="17"/>
        <v>3</v>
      </c>
      <c r="AJ19" s="112">
        <f t="shared" si="18"/>
        <v>0.5</v>
      </c>
      <c r="AK19" s="112">
        <f t="shared" si="15"/>
        <v>140</v>
      </c>
      <c r="AL19" s="112">
        <f t="shared" si="15"/>
        <v>100</v>
      </c>
      <c r="AM19" s="112">
        <f t="shared" si="15"/>
        <v>55</v>
      </c>
      <c r="AN19" s="112">
        <f t="shared" si="15"/>
        <v>85</v>
      </c>
      <c r="AO19" s="112">
        <f t="shared" si="19"/>
        <v>7.6000000000000005</v>
      </c>
      <c r="AP19" s="115">
        <f t="shared" si="20"/>
        <v>0.38000000000000006</v>
      </c>
      <c r="AQ19" s="115">
        <f t="shared" si="16"/>
        <v>0.5</v>
      </c>
      <c r="AR19" s="115">
        <f t="shared" si="21"/>
        <v>5</v>
      </c>
      <c r="AS19" s="115">
        <f t="shared" si="14"/>
        <v>20</v>
      </c>
      <c r="AT19" s="115" t="str">
        <f t="shared" si="22"/>
        <v>F5/M-503</v>
      </c>
      <c r="AU19" s="112" t="str">
        <f t="shared" si="22"/>
        <v>1, 2</v>
      </c>
    </row>
    <row r="20" spans="2:52" ht="15" customHeight="1" x14ac:dyDescent="0.2">
      <c r="B20" s="160"/>
      <c r="C20" s="148" t="s">
        <v>342</v>
      </c>
      <c r="D20" s="121" t="s">
        <v>569</v>
      </c>
      <c r="E20" s="158" t="s">
        <v>630</v>
      </c>
      <c r="F20" s="158">
        <v>232</v>
      </c>
      <c r="G20" s="173">
        <v>9.5</v>
      </c>
      <c r="H20" s="114">
        <f>VLOOKUP($N20,'UMC Table 4-A'!$A$10:$E$139,4,FALSE)</f>
        <v>4</v>
      </c>
      <c r="I20" s="114" t="str">
        <f>VLOOKUP($N20,'UMC Table 4-A'!$A$10:$E$139,5,FALSE)</f>
        <v>NR</v>
      </c>
      <c r="J20" s="111" t="str">
        <f t="shared" si="0"/>
        <v>-</v>
      </c>
      <c r="K20" s="116">
        <v>0</v>
      </c>
      <c r="L20" s="114">
        <f t="shared" si="1"/>
        <v>150</v>
      </c>
      <c r="M20" s="117">
        <f>F20</f>
        <v>232</v>
      </c>
      <c r="N20" s="114" t="s">
        <v>123</v>
      </c>
      <c r="O20" s="114" t="str">
        <f>VLOOKUP($N20,'UMC Table 4-A'!$A$10:$E$139,2,FALSE)</f>
        <v>NO REQUIREMENT FOR CONTINUOUS DIRECTIONAL CONTROL</v>
      </c>
      <c r="P20" s="174">
        <f>VLOOKUP($N20,'UMC Table 4-A'!$A$10:$E$139,3,FALSE)</f>
        <v>2</v>
      </c>
      <c r="Q20" s="152">
        <f t="shared" si="2"/>
        <v>80</v>
      </c>
      <c r="R20" s="112" t="str">
        <f>VLOOKUP($N20,'UMC Table 4-A'!$A$10:$E$139,5,FALSE)</f>
        <v>NR</v>
      </c>
      <c r="S20" s="113">
        <f t="shared" si="3"/>
        <v>235</v>
      </c>
      <c r="T20" s="137">
        <f t="shared" si="4"/>
        <v>235</v>
      </c>
      <c r="U20" s="137">
        <f t="shared" si="5"/>
        <v>235</v>
      </c>
      <c r="V20" s="137">
        <f t="shared" si="6"/>
        <v>0</v>
      </c>
      <c r="W20" s="89">
        <f t="shared" si="7"/>
        <v>0</v>
      </c>
      <c r="X20" s="31" t="str">
        <f t="shared" si="8"/>
        <v>Yes</v>
      </c>
      <c r="Y20" s="32">
        <f t="shared" si="9"/>
        <v>1.0129310344827587</v>
      </c>
      <c r="Z20" s="70">
        <f t="shared" si="10"/>
        <v>34.042553191489361</v>
      </c>
      <c r="AA20" s="32">
        <f t="shared" si="11"/>
        <v>6.3974591651542649</v>
      </c>
      <c r="AD20" s="113" t="s">
        <v>348</v>
      </c>
      <c r="AE20" s="113" t="s">
        <v>203</v>
      </c>
      <c r="AF20" s="113" t="s">
        <v>209</v>
      </c>
      <c r="AG20" s="112">
        <f t="shared" si="23"/>
        <v>220</v>
      </c>
      <c r="AH20" s="112">
        <f t="shared" si="13"/>
        <v>6</v>
      </c>
      <c r="AI20" s="112">
        <f t="shared" si="17"/>
        <v>3</v>
      </c>
      <c r="AJ20" s="112">
        <f t="shared" si="18"/>
        <v>0.5</v>
      </c>
      <c r="AK20" s="112">
        <f t="shared" si="15"/>
        <v>140</v>
      </c>
      <c r="AL20" s="112">
        <f t="shared" si="15"/>
        <v>100</v>
      </c>
      <c r="AM20" s="112">
        <f t="shared" si="15"/>
        <v>55</v>
      </c>
      <c r="AN20" s="112">
        <f t="shared" si="15"/>
        <v>85</v>
      </c>
      <c r="AO20" s="112">
        <f t="shared" si="19"/>
        <v>7.1000000000000005</v>
      </c>
      <c r="AP20" s="115">
        <f t="shared" si="20"/>
        <v>0.35500000000000004</v>
      </c>
      <c r="AQ20" s="115">
        <f t="shared" si="16"/>
        <v>0.5</v>
      </c>
      <c r="AR20" s="115">
        <f t="shared" si="21"/>
        <v>5</v>
      </c>
      <c r="AS20" s="115">
        <f t="shared" si="14"/>
        <v>20</v>
      </c>
      <c r="AT20" s="115" t="str">
        <f t="shared" si="22"/>
        <v>F5/M-503</v>
      </c>
      <c r="AU20" s="112" t="str">
        <f t="shared" si="22"/>
        <v>1, 2</v>
      </c>
    </row>
    <row r="21" spans="2:52" ht="15" customHeight="1" x14ac:dyDescent="0.2">
      <c r="B21" s="160"/>
      <c r="C21" s="164" t="s">
        <v>342</v>
      </c>
      <c r="D21" s="121" t="s">
        <v>788</v>
      </c>
      <c r="E21" s="158" t="s">
        <v>794</v>
      </c>
      <c r="F21" s="158">
        <v>64</v>
      </c>
      <c r="G21" s="172">
        <v>8</v>
      </c>
      <c r="H21" s="114">
        <f>VLOOKUP($N21,'UMC Table 4-A'!$A$10:$E$139,4,FALSE)</f>
        <v>10</v>
      </c>
      <c r="I21" s="114" t="str">
        <f>VLOOKUP($N21,'UMC Table 4-A'!$A$10:$E$139,5,FALSE)</f>
        <v>YES</v>
      </c>
      <c r="J21" s="111">
        <f t="shared" si="0"/>
        <v>90</v>
      </c>
      <c r="K21" s="116">
        <v>0</v>
      </c>
      <c r="L21" s="114">
        <f t="shared" si="1"/>
        <v>90</v>
      </c>
      <c r="M21" s="117"/>
      <c r="N21" s="114" t="s">
        <v>94</v>
      </c>
      <c r="O21" s="114" t="str">
        <f>VLOOKUP($N21,'UMC Table 4-A'!$A$10:$E$139,2,FALSE)</f>
        <v>NEGATIVE</v>
      </c>
      <c r="P21" s="174" t="str">
        <f>VLOOKUP($N21,'UMC Table 4-A'!$A$10:$E$139,3,FALSE)</f>
        <v>NR</v>
      </c>
      <c r="Q21" s="152">
        <f t="shared" si="2"/>
        <v>0</v>
      </c>
      <c r="R21" s="112" t="str">
        <f>VLOOKUP($N21,'UMC Table 4-A'!$A$10:$E$139,5,FALSE)</f>
        <v>YES</v>
      </c>
      <c r="S21" s="113">
        <f t="shared" si="3"/>
        <v>0</v>
      </c>
      <c r="T21" s="137">
        <f t="shared" si="4"/>
        <v>0</v>
      </c>
      <c r="U21" s="137">
        <f t="shared" si="5"/>
        <v>0</v>
      </c>
      <c r="V21" s="137">
        <f t="shared" si="6"/>
        <v>90</v>
      </c>
      <c r="W21" s="89">
        <f t="shared" si="7"/>
        <v>-90</v>
      </c>
      <c r="X21" s="31" t="str">
        <f t="shared" si="8"/>
        <v>No</v>
      </c>
      <c r="Y21" s="32">
        <f t="shared" si="9"/>
        <v>0</v>
      </c>
      <c r="Z21" s="70" t="e">
        <f t="shared" si="10"/>
        <v>#DIV/0!</v>
      </c>
      <c r="AA21" s="32">
        <f t="shared" si="11"/>
        <v>0</v>
      </c>
      <c r="AD21" s="113" t="s">
        <v>349</v>
      </c>
      <c r="AE21" s="113" t="s">
        <v>203</v>
      </c>
      <c r="AF21" s="113" t="s">
        <v>209</v>
      </c>
      <c r="AG21" s="112">
        <f t="shared" si="23"/>
        <v>225</v>
      </c>
      <c r="AH21" s="112">
        <f t="shared" si="13"/>
        <v>6</v>
      </c>
      <c r="AI21" s="112">
        <f t="shared" si="17"/>
        <v>3</v>
      </c>
      <c r="AJ21" s="112">
        <f t="shared" si="18"/>
        <v>0.5</v>
      </c>
      <c r="AK21" s="112">
        <f t="shared" si="15"/>
        <v>140</v>
      </c>
      <c r="AL21" s="112">
        <f t="shared" si="15"/>
        <v>100</v>
      </c>
      <c r="AM21" s="112">
        <f t="shared" si="15"/>
        <v>55</v>
      </c>
      <c r="AN21" s="112">
        <f t="shared" si="15"/>
        <v>85</v>
      </c>
      <c r="AO21" s="112">
        <f t="shared" si="19"/>
        <v>7.3000000000000007</v>
      </c>
      <c r="AP21" s="115">
        <f t="shared" si="20"/>
        <v>0.36500000000000005</v>
      </c>
      <c r="AQ21" s="115">
        <f t="shared" si="16"/>
        <v>0.5</v>
      </c>
      <c r="AR21" s="115">
        <f t="shared" si="21"/>
        <v>5</v>
      </c>
      <c r="AS21" s="115">
        <f t="shared" si="14"/>
        <v>20</v>
      </c>
      <c r="AT21" s="115" t="str">
        <f t="shared" si="22"/>
        <v>F5/M-503</v>
      </c>
      <c r="AU21" s="112" t="str">
        <f t="shared" si="22"/>
        <v>1, 2</v>
      </c>
    </row>
    <row r="22" spans="2:52" ht="15" customHeight="1" x14ac:dyDescent="0.2">
      <c r="B22" s="160"/>
      <c r="C22" s="148" t="s">
        <v>343</v>
      </c>
      <c r="D22" s="121" t="s">
        <v>569</v>
      </c>
      <c r="E22" s="158" t="s">
        <v>631</v>
      </c>
      <c r="F22" s="158">
        <v>233</v>
      </c>
      <c r="G22" s="173">
        <v>9.5</v>
      </c>
      <c r="H22" s="114">
        <f>VLOOKUP($N22,'UMC Table 4-A'!$A$10:$E$139,4,FALSE)</f>
        <v>4</v>
      </c>
      <c r="I22" s="114" t="str">
        <f>VLOOKUP($N22,'UMC Table 4-A'!$A$10:$E$139,5,FALSE)</f>
        <v>NR</v>
      </c>
      <c r="J22" s="111" t="str">
        <f t="shared" si="0"/>
        <v>-</v>
      </c>
      <c r="K22" s="116">
        <v>0</v>
      </c>
      <c r="L22" s="114">
        <f t="shared" si="1"/>
        <v>150</v>
      </c>
      <c r="M22" s="117">
        <f>F22</f>
        <v>233</v>
      </c>
      <c r="N22" s="114" t="s">
        <v>123</v>
      </c>
      <c r="O22" s="114" t="str">
        <f>VLOOKUP($N22,'UMC Table 4-A'!$A$10:$E$139,2,FALSE)</f>
        <v>NO REQUIREMENT FOR CONTINUOUS DIRECTIONAL CONTROL</v>
      </c>
      <c r="P22" s="174">
        <f>VLOOKUP($N22,'UMC Table 4-A'!$A$10:$E$139,3,FALSE)</f>
        <v>2</v>
      </c>
      <c r="Q22" s="152">
        <f t="shared" si="2"/>
        <v>80</v>
      </c>
      <c r="R22" s="112" t="str">
        <f>VLOOKUP($N22,'UMC Table 4-A'!$A$10:$E$139,5,FALSE)</f>
        <v>NR</v>
      </c>
      <c r="S22" s="113">
        <f t="shared" si="3"/>
        <v>235</v>
      </c>
      <c r="T22" s="137">
        <f t="shared" si="4"/>
        <v>235</v>
      </c>
      <c r="U22" s="137">
        <f t="shared" si="5"/>
        <v>235</v>
      </c>
      <c r="V22" s="137">
        <f t="shared" si="6"/>
        <v>0</v>
      </c>
      <c r="W22" s="89">
        <f t="shared" si="7"/>
        <v>0</v>
      </c>
      <c r="X22" s="31" t="str">
        <f t="shared" si="8"/>
        <v>Yes</v>
      </c>
      <c r="Y22" s="32">
        <f t="shared" si="9"/>
        <v>1.0085836909871244</v>
      </c>
      <c r="Z22" s="70">
        <f t="shared" si="10"/>
        <v>34.042553191489361</v>
      </c>
      <c r="AA22" s="32">
        <f t="shared" si="11"/>
        <v>6.370002258866049</v>
      </c>
      <c r="AD22" s="113" t="s">
        <v>350</v>
      </c>
      <c r="AE22" s="113" t="s">
        <v>203</v>
      </c>
      <c r="AF22" s="113" t="s">
        <v>209</v>
      </c>
      <c r="AG22" s="112">
        <f t="shared" si="23"/>
        <v>230</v>
      </c>
      <c r="AH22" s="112">
        <f t="shared" si="13"/>
        <v>6</v>
      </c>
      <c r="AI22" s="112">
        <f t="shared" si="17"/>
        <v>3</v>
      </c>
      <c r="AJ22" s="112">
        <f t="shared" si="18"/>
        <v>0.5</v>
      </c>
      <c r="AK22" s="112">
        <f t="shared" si="15"/>
        <v>140</v>
      </c>
      <c r="AL22" s="112">
        <f t="shared" si="15"/>
        <v>100</v>
      </c>
      <c r="AM22" s="112">
        <f t="shared" si="15"/>
        <v>55</v>
      </c>
      <c r="AN22" s="112">
        <f t="shared" si="15"/>
        <v>85</v>
      </c>
      <c r="AO22" s="112">
        <f t="shared" si="19"/>
        <v>7.5</v>
      </c>
      <c r="AP22" s="115">
        <f t="shared" si="20"/>
        <v>0.375</v>
      </c>
      <c r="AQ22" s="115">
        <f t="shared" si="16"/>
        <v>0.5</v>
      </c>
      <c r="AR22" s="115">
        <f t="shared" si="21"/>
        <v>5</v>
      </c>
      <c r="AS22" s="115">
        <f t="shared" si="14"/>
        <v>20</v>
      </c>
      <c r="AT22" s="115" t="str">
        <f t="shared" si="22"/>
        <v>F5/M-503</v>
      </c>
      <c r="AU22" s="112" t="str">
        <f t="shared" si="22"/>
        <v>1, 2</v>
      </c>
    </row>
    <row r="23" spans="2:52" ht="15" customHeight="1" x14ac:dyDescent="0.2">
      <c r="B23" s="160"/>
      <c r="C23" s="164" t="s">
        <v>343</v>
      </c>
      <c r="D23" s="121" t="s">
        <v>788</v>
      </c>
      <c r="E23" s="158" t="s">
        <v>789</v>
      </c>
      <c r="F23" s="158">
        <v>64</v>
      </c>
      <c r="G23" s="172">
        <v>8</v>
      </c>
      <c r="H23" s="114">
        <f>VLOOKUP($N23,'UMC Table 4-A'!$A$10:$E$139,4,FALSE)</f>
        <v>10</v>
      </c>
      <c r="I23" s="114" t="str">
        <f>VLOOKUP($N23,'UMC Table 4-A'!$A$10:$E$139,5,FALSE)</f>
        <v>YES</v>
      </c>
      <c r="J23" s="111">
        <f t="shared" si="0"/>
        <v>90</v>
      </c>
      <c r="K23" s="116">
        <v>0</v>
      </c>
      <c r="L23" s="114">
        <f t="shared" si="1"/>
        <v>90</v>
      </c>
      <c r="M23" s="117"/>
      <c r="N23" s="114" t="s">
        <v>94</v>
      </c>
      <c r="O23" s="114" t="str">
        <f>VLOOKUP($N23,'UMC Table 4-A'!$A$10:$E$139,2,FALSE)</f>
        <v>NEGATIVE</v>
      </c>
      <c r="P23" s="174" t="str">
        <f>VLOOKUP($N23,'UMC Table 4-A'!$A$10:$E$139,3,FALSE)</f>
        <v>NR</v>
      </c>
      <c r="Q23" s="152">
        <f t="shared" si="2"/>
        <v>0</v>
      </c>
      <c r="R23" s="112" t="str">
        <f>VLOOKUP($N23,'UMC Table 4-A'!$A$10:$E$139,5,FALSE)</f>
        <v>YES</v>
      </c>
      <c r="S23" s="113">
        <f t="shared" si="3"/>
        <v>0</v>
      </c>
      <c r="T23" s="137">
        <f t="shared" si="4"/>
        <v>0</v>
      </c>
      <c r="U23" s="137">
        <f t="shared" si="5"/>
        <v>0</v>
      </c>
      <c r="V23" s="137">
        <f t="shared" si="6"/>
        <v>90</v>
      </c>
      <c r="W23" s="89">
        <f t="shared" si="7"/>
        <v>-90</v>
      </c>
      <c r="X23" s="31" t="str">
        <f t="shared" si="8"/>
        <v>No</v>
      </c>
      <c r="Y23" s="32">
        <f t="shared" si="9"/>
        <v>0</v>
      </c>
      <c r="Z23" s="70" t="e">
        <f t="shared" si="10"/>
        <v>#DIV/0!</v>
      </c>
      <c r="AA23" s="32">
        <f t="shared" si="11"/>
        <v>0</v>
      </c>
      <c r="AD23" s="113" t="s">
        <v>351</v>
      </c>
      <c r="AE23" s="113" t="s">
        <v>203</v>
      </c>
      <c r="AF23" s="113" t="s">
        <v>209</v>
      </c>
      <c r="AG23" s="112">
        <f t="shared" si="23"/>
        <v>810</v>
      </c>
      <c r="AH23" s="112">
        <f t="shared" si="13"/>
        <v>10</v>
      </c>
      <c r="AI23" s="112">
        <f t="shared" si="17"/>
        <v>5</v>
      </c>
      <c r="AJ23" s="112">
        <f t="shared" si="18"/>
        <v>0.5</v>
      </c>
      <c r="AK23" s="112">
        <f t="shared" si="15"/>
        <v>140</v>
      </c>
      <c r="AL23" s="112">
        <f t="shared" si="15"/>
        <v>100</v>
      </c>
      <c r="AM23" s="112">
        <f t="shared" si="15"/>
        <v>55</v>
      </c>
      <c r="AN23" s="112">
        <f t="shared" si="15"/>
        <v>85</v>
      </c>
      <c r="AO23" s="112">
        <f t="shared" si="19"/>
        <v>26.200000000000003</v>
      </c>
      <c r="AP23" s="115">
        <f t="shared" si="20"/>
        <v>1.3100000000000003</v>
      </c>
      <c r="AQ23" s="115">
        <f t="shared" si="16"/>
        <v>1.3100000000000003</v>
      </c>
      <c r="AR23" s="115">
        <f t="shared" si="21"/>
        <v>5</v>
      </c>
      <c r="AS23" s="115">
        <f t="shared" si="14"/>
        <v>30</v>
      </c>
      <c r="AT23" s="115" t="str">
        <f t="shared" si="22"/>
        <v>F5/M-503</v>
      </c>
      <c r="AU23" s="112" t="str">
        <f t="shared" si="22"/>
        <v>1, 2</v>
      </c>
    </row>
    <row r="24" spans="2:52" ht="15" customHeight="1" x14ac:dyDescent="0.2">
      <c r="B24" s="160"/>
      <c r="C24" s="148" t="s">
        <v>344</v>
      </c>
      <c r="D24" s="121" t="s">
        <v>569</v>
      </c>
      <c r="E24" s="158" t="s">
        <v>632</v>
      </c>
      <c r="F24" s="158">
        <v>272</v>
      </c>
      <c r="G24" s="173">
        <v>9.5</v>
      </c>
      <c r="H24" s="114">
        <f>VLOOKUP($N24,'UMC Table 4-A'!$A$10:$E$139,4,FALSE)</f>
        <v>4</v>
      </c>
      <c r="I24" s="114" t="str">
        <f>VLOOKUP($N24,'UMC Table 4-A'!$A$10:$E$139,5,FALSE)</f>
        <v>NR</v>
      </c>
      <c r="J24" s="111" t="str">
        <f t="shared" si="0"/>
        <v>-</v>
      </c>
      <c r="K24" s="116">
        <v>0</v>
      </c>
      <c r="L24" s="114">
        <f t="shared" si="1"/>
        <v>180</v>
      </c>
      <c r="M24" s="117">
        <f>F24</f>
        <v>272</v>
      </c>
      <c r="N24" s="114" t="s">
        <v>123</v>
      </c>
      <c r="O24" s="114" t="str">
        <f>VLOOKUP($N24,'UMC Table 4-A'!$A$10:$E$139,2,FALSE)</f>
        <v>NO REQUIREMENT FOR CONTINUOUS DIRECTIONAL CONTROL</v>
      </c>
      <c r="P24" s="174">
        <f>VLOOKUP($N24,'UMC Table 4-A'!$A$10:$E$139,3,FALSE)</f>
        <v>2</v>
      </c>
      <c r="Q24" s="152">
        <f t="shared" si="2"/>
        <v>90</v>
      </c>
      <c r="R24" s="112" t="str">
        <f>VLOOKUP($N24,'UMC Table 4-A'!$A$10:$E$139,5,FALSE)</f>
        <v>NR</v>
      </c>
      <c r="S24" s="113">
        <f t="shared" si="3"/>
        <v>275</v>
      </c>
      <c r="T24" s="137">
        <f t="shared" si="4"/>
        <v>275</v>
      </c>
      <c r="U24" s="137">
        <f t="shared" si="5"/>
        <v>275</v>
      </c>
      <c r="V24" s="137">
        <f t="shared" si="6"/>
        <v>0</v>
      </c>
      <c r="W24" s="89">
        <f t="shared" si="7"/>
        <v>0</v>
      </c>
      <c r="X24" s="31" t="str">
        <f t="shared" si="8"/>
        <v>Yes</v>
      </c>
      <c r="Y24" s="32">
        <f t="shared" si="9"/>
        <v>1.0110294117647058</v>
      </c>
      <c r="Z24" s="70">
        <f t="shared" si="10"/>
        <v>32.727272727272727</v>
      </c>
      <c r="AA24" s="32">
        <f t="shared" si="11"/>
        <v>6.3854489164086683</v>
      </c>
      <c r="AD24" s="113" t="s">
        <v>352</v>
      </c>
      <c r="AE24" s="113" t="s">
        <v>203</v>
      </c>
      <c r="AF24" s="113" t="s">
        <v>209</v>
      </c>
      <c r="AG24" s="112">
        <f t="shared" si="23"/>
        <v>1240</v>
      </c>
      <c r="AH24" s="112">
        <f t="shared" si="13"/>
        <v>12</v>
      </c>
      <c r="AI24" s="112">
        <f t="shared" si="17"/>
        <v>6</v>
      </c>
      <c r="AJ24" s="112">
        <f t="shared" si="18"/>
        <v>0.5</v>
      </c>
      <c r="AK24" s="112">
        <f t="shared" si="15"/>
        <v>140</v>
      </c>
      <c r="AL24" s="112">
        <f t="shared" si="15"/>
        <v>100</v>
      </c>
      <c r="AM24" s="112">
        <f t="shared" si="15"/>
        <v>55</v>
      </c>
      <c r="AN24" s="112">
        <f t="shared" si="15"/>
        <v>85</v>
      </c>
      <c r="AO24" s="112">
        <f t="shared" si="19"/>
        <v>40.200000000000003</v>
      </c>
      <c r="AP24" s="115">
        <f t="shared" si="20"/>
        <v>2.0099999999999998</v>
      </c>
      <c r="AQ24" s="115">
        <f t="shared" si="16"/>
        <v>2.0099999999999998</v>
      </c>
      <c r="AR24" s="115">
        <f t="shared" si="21"/>
        <v>5</v>
      </c>
      <c r="AS24" s="115">
        <f t="shared" si="14"/>
        <v>40</v>
      </c>
      <c r="AT24" s="115" t="str">
        <f>AT23</f>
        <v>F5/M-503</v>
      </c>
      <c r="AU24" s="112" t="str">
        <f t="shared" si="22"/>
        <v>1, 2</v>
      </c>
    </row>
    <row r="25" spans="2:52" ht="15" customHeight="1" x14ac:dyDescent="0.2">
      <c r="B25" s="160"/>
      <c r="C25" s="164" t="s">
        <v>344</v>
      </c>
      <c r="D25" s="121" t="s">
        <v>733</v>
      </c>
      <c r="E25" s="158" t="s">
        <v>787</v>
      </c>
      <c r="F25" s="158">
        <v>64</v>
      </c>
      <c r="G25" s="172">
        <v>8</v>
      </c>
      <c r="H25" s="114">
        <f>VLOOKUP($N25,'UMC Table 4-A'!$A$10:$E$139,4,FALSE)</f>
        <v>10</v>
      </c>
      <c r="I25" s="114" t="str">
        <f>VLOOKUP($N25,'UMC Table 4-A'!$A$10:$E$139,5,FALSE)</f>
        <v>YES</v>
      </c>
      <c r="J25" s="111">
        <f t="shared" si="0"/>
        <v>90</v>
      </c>
      <c r="K25" s="116">
        <v>0</v>
      </c>
      <c r="L25" s="114">
        <f t="shared" si="1"/>
        <v>90</v>
      </c>
      <c r="M25" s="117"/>
      <c r="N25" s="114" t="s">
        <v>94</v>
      </c>
      <c r="O25" s="114" t="str">
        <f>VLOOKUP($N25,'UMC Table 4-A'!$A$10:$E$139,2,FALSE)</f>
        <v>NEGATIVE</v>
      </c>
      <c r="P25" s="174" t="str">
        <f>VLOOKUP($N25,'UMC Table 4-A'!$A$10:$E$139,3,FALSE)</f>
        <v>NR</v>
      </c>
      <c r="Q25" s="152">
        <f t="shared" si="2"/>
        <v>0</v>
      </c>
      <c r="R25" s="112" t="str">
        <f>VLOOKUP($N25,'UMC Table 4-A'!$A$10:$E$139,5,FALSE)</f>
        <v>YES</v>
      </c>
      <c r="S25" s="113">
        <f t="shared" si="3"/>
        <v>0</v>
      </c>
      <c r="T25" s="137">
        <f t="shared" si="4"/>
        <v>0</v>
      </c>
      <c r="U25" s="137">
        <f t="shared" si="5"/>
        <v>0</v>
      </c>
      <c r="V25" s="137">
        <f t="shared" si="6"/>
        <v>90</v>
      </c>
      <c r="W25" s="89">
        <f t="shared" si="7"/>
        <v>-90</v>
      </c>
      <c r="X25" s="31" t="str">
        <f t="shared" si="8"/>
        <v>No</v>
      </c>
      <c r="Y25" s="32">
        <f t="shared" si="9"/>
        <v>0</v>
      </c>
      <c r="Z25" s="70" t="e">
        <f t="shared" si="10"/>
        <v>#DIV/0!</v>
      </c>
      <c r="AA25" s="32">
        <f t="shared" si="11"/>
        <v>0</v>
      </c>
      <c r="AD25" s="113" t="s">
        <v>353</v>
      </c>
      <c r="AE25" s="113" t="s">
        <v>203</v>
      </c>
      <c r="AF25" s="113" t="s">
        <v>209</v>
      </c>
      <c r="AG25" s="112">
        <f t="shared" si="23"/>
        <v>1195</v>
      </c>
      <c r="AH25" s="112">
        <f t="shared" si="13"/>
        <v>12</v>
      </c>
      <c r="AI25" s="112">
        <f t="shared" si="17"/>
        <v>6</v>
      </c>
      <c r="AJ25" s="112">
        <f t="shared" si="18"/>
        <v>0.5</v>
      </c>
      <c r="AK25" s="112">
        <f t="shared" si="18"/>
        <v>140</v>
      </c>
      <c r="AL25" s="112">
        <f t="shared" si="18"/>
        <v>100</v>
      </c>
      <c r="AM25" s="112">
        <f t="shared" si="18"/>
        <v>55</v>
      </c>
      <c r="AN25" s="112">
        <f t="shared" si="18"/>
        <v>85</v>
      </c>
      <c r="AO25" s="112">
        <f t="shared" si="19"/>
        <v>38.700000000000003</v>
      </c>
      <c r="AP25" s="115">
        <f t="shared" si="20"/>
        <v>1.9350000000000001</v>
      </c>
      <c r="AQ25" s="115">
        <f t="shared" si="16"/>
        <v>1.9350000000000001</v>
      </c>
      <c r="AR25" s="115">
        <f t="shared" si="21"/>
        <v>5</v>
      </c>
      <c r="AS25" s="115">
        <f t="shared" si="14"/>
        <v>40</v>
      </c>
      <c r="AT25" s="115" t="str">
        <f t="shared" si="22"/>
        <v>F5/M-503</v>
      </c>
      <c r="AU25" s="112" t="str">
        <f t="shared" si="22"/>
        <v>1, 2</v>
      </c>
    </row>
    <row r="26" spans="2:52" ht="15" customHeight="1" x14ac:dyDescent="0.2">
      <c r="B26" s="160"/>
      <c r="C26" s="121" t="s">
        <v>345</v>
      </c>
      <c r="D26" s="121" t="s">
        <v>569</v>
      </c>
      <c r="E26" s="158" t="s">
        <v>633</v>
      </c>
      <c r="F26" s="158">
        <v>272</v>
      </c>
      <c r="G26" s="173">
        <v>9.5</v>
      </c>
      <c r="H26" s="114">
        <f>VLOOKUP($N26,'UMC Table 4-A'!$A$10:$E$139,4,FALSE)</f>
        <v>4</v>
      </c>
      <c r="I26" s="114" t="str">
        <f>VLOOKUP($N26,'UMC Table 4-A'!$A$10:$E$139,5,FALSE)</f>
        <v>NR</v>
      </c>
      <c r="J26" s="111" t="str">
        <f t="shared" si="0"/>
        <v>-</v>
      </c>
      <c r="K26" s="116">
        <v>0</v>
      </c>
      <c r="L26" s="114">
        <f t="shared" si="1"/>
        <v>180</v>
      </c>
      <c r="M26" s="117">
        <f>F26</f>
        <v>272</v>
      </c>
      <c r="N26" s="114" t="s">
        <v>123</v>
      </c>
      <c r="O26" s="114" t="str">
        <f>VLOOKUP($N26,'UMC Table 4-A'!$A$10:$E$139,2,FALSE)</f>
        <v>NO REQUIREMENT FOR CONTINUOUS DIRECTIONAL CONTROL</v>
      </c>
      <c r="P26" s="174">
        <f>VLOOKUP($N26,'UMC Table 4-A'!$A$10:$E$139,3,FALSE)</f>
        <v>2</v>
      </c>
      <c r="Q26" s="152">
        <f t="shared" si="2"/>
        <v>90</v>
      </c>
      <c r="R26" s="112" t="str">
        <f>VLOOKUP($N26,'UMC Table 4-A'!$A$10:$E$139,5,FALSE)</f>
        <v>NR</v>
      </c>
      <c r="S26" s="113">
        <f t="shared" si="3"/>
        <v>275</v>
      </c>
      <c r="T26" s="137">
        <f t="shared" si="4"/>
        <v>275</v>
      </c>
      <c r="U26" s="137">
        <f t="shared" si="5"/>
        <v>275</v>
      </c>
      <c r="V26" s="137">
        <f t="shared" si="6"/>
        <v>0</v>
      </c>
      <c r="W26" s="89">
        <f t="shared" si="7"/>
        <v>0</v>
      </c>
      <c r="X26" s="31" t="str">
        <f t="shared" si="8"/>
        <v>Yes</v>
      </c>
      <c r="Y26" s="32">
        <f t="shared" si="9"/>
        <v>1.0110294117647058</v>
      </c>
      <c r="Z26" s="70">
        <f t="shared" si="10"/>
        <v>32.727272727272727</v>
      </c>
      <c r="AA26" s="32">
        <f t="shared" si="11"/>
        <v>6.3854489164086683</v>
      </c>
      <c r="AD26" s="113" t="s">
        <v>354</v>
      </c>
      <c r="AE26" s="113" t="s">
        <v>203</v>
      </c>
      <c r="AF26" s="113" t="s">
        <v>209</v>
      </c>
      <c r="AG26" s="112">
        <f t="shared" si="23"/>
        <v>250</v>
      </c>
      <c r="AH26" s="112">
        <f t="shared" si="13"/>
        <v>6</v>
      </c>
      <c r="AI26" s="112">
        <f t="shared" si="17"/>
        <v>3</v>
      </c>
      <c r="AJ26" s="112">
        <f t="shared" ref="AJ26:AN41" si="24">AJ25</f>
        <v>0.5</v>
      </c>
      <c r="AK26" s="112">
        <f t="shared" si="24"/>
        <v>140</v>
      </c>
      <c r="AL26" s="112">
        <f t="shared" si="24"/>
        <v>100</v>
      </c>
      <c r="AM26" s="112">
        <f t="shared" si="24"/>
        <v>55</v>
      </c>
      <c r="AN26" s="112">
        <f t="shared" si="24"/>
        <v>85</v>
      </c>
      <c r="AO26" s="112">
        <f t="shared" si="19"/>
        <v>8.1</v>
      </c>
      <c r="AP26" s="115">
        <f t="shared" si="20"/>
        <v>0.40500000000000003</v>
      </c>
      <c r="AQ26" s="115">
        <f t="shared" si="16"/>
        <v>0.5</v>
      </c>
      <c r="AR26" s="115">
        <f t="shared" si="21"/>
        <v>5</v>
      </c>
      <c r="AS26" s="115">
        <f t="shared" si="14"/>
        <v>20</v>
      </c>
      <c r="AT26" s="115" t="str">
        <f t="shared" ref="AT26:AU41" si="25">AT25</f>
        <v>F5/M-503</v>
      </c>
      <c r="AU26" s="112" t="str">
        <f t="shared" si="25"/>
        <v>1, 2</v>
      </c>
    </row>
    <row r="27" spans="2:52" ht="15" customHeight="1" x14ac:dyDescent="0.2">
      <c r="B27" s="160"/>
      <c r="C27" s="164" t="s">
        <v>345</v>
      </c>
      <c r="D27" s="121" t="s">
        <v>733</v>
      </c>
      <c r="E27" s="158" t="s">
        <v>786</v>
      </c>
      <c r="F27" s="158">
        <v>64</v>
      </c>
      <c r="G27" s="172">
        <v>8</v>
      </c>
      <c r="H27" s="114">
        <f>VLOOKUP($N27,'UMC Table 4-A'!$A$10:$E$139,4,FALSE)</f>
        <v>10</v>
      </c>
      <c r="I27" s="114" t="str">
        <f>VLOOKUP($N27,'UMC Table 4-A'!$A$10:$E$139,5,FALSE)</f>
        <v>YES</v>
      </c>
      <c r="J27" s="111">
        <f t="shared" si="0"/>
        <v>90</v>
      </c>
      <c r="K27" s="116">
        <v>0</v>
      </c>
      <c r="L27" s="114">
        <f t="shared" si="1"/>
        <v>90</v>
      </c>
      <c r="M27" s="117"/>
      <c r="N27" s="114" t="s">
        <v>94</v>
      </c>
      <c r="O27" s="114" t="str">
        <f>VLOOKUP($N27,'UMC Table 4-A'!$A$10:$E$139,2,FALSE)</f>
        <v>NEGATIVE</v>
      </c>
      <c r="P27" s="174" t="str">
        <f>VLOOKUP($N27,'UMC Table 4-A'!$A$10:$E$139,3,FALSE)</f>
        <v>NR</v>
      </c>
      <c r="Q27" s="152">
        <f t="shared" si="2"/>
        <v>0</v>
      </c>
      <c r="R27" s="112" t="str">
        <f>VLOOKUP($N27,'UMC Table 4-A'!$A$10:$E$139,5,FALSE)</f>
        <v>YES</v>
      </c>
      <c r="S27" s="113">
        <f t="shared" si="3"/>
        <v>0</v>
      </c>
      <c r="T27" s="137">
        <f t="shared" si="4"/>
        <v>0</v>
      </c>
      <c r="U27" s="137">
        <f t="shared" si="5"/>
        <v>0</v>
      </c>
      <c r="V27" s="137">
        <f t="shared" si="6"/>
        <v>90</v>
      </c>
      <c r="W27" s="89">
        <f t="shared" si="7"/>
        <v>-90</v>
      </c>
      <c r="X27" s="31" t="str">
        <f t="shared" si="8"/>
        <v>No</v>
      </c>
      <c r="Y27" s="32">
        <f t="shared" si="9"/>
        <v>0</v>
      </c>
      <c r="Z27" s="70" t="e">
        <f t="shared" si="10"/>
        <v>#DIV/0!</v>
      </c>
      <c r="AA27" s="32">
        <f t="shared" si="11"/>
        <v>0</v>
      </c>
      <c r="AD27" s="113" t="s">
        <v>355</v>
      </c>
      <c r="AE27" s="113" t="s">
        <v>203</v>
      </c>
      <c r="AF27" s="113" t="s">
        <v>209</v>
      </c>
      <c r="AG27" s="112">
        <f t="shared" si="23"/>
        <v>240</v>
      </c>
      <c r="AH27" s="112">
        <f t="shared" si="13"/>
        <v>6</v>
      </c>
      <c r="AI27" s="112">
        <f t="shared" si="17"/>
        <v>3</v>
      </c>
      <c r="AJ27" s="112">
        <f t="shared" si="24"/>
        <v>0.5</v>
      </c>
      <c r="AK27" s="112">
        <f t="shared" si="24"/>
        <v>140</v>
      </c>
      <c r="AL27" s="112">
        <f t="shared" si="24"/>
        <v>100</v>
      </c>
      <c r="AM27" s="112">
        <f t="shared" si="24"/>
        <v>55</v>
      </c>
      <c r="AN27" s="112">
        <f t="shared" si="24"/>
        <v>85</v>
      </c>
      <c r="AO27" s="112">
        <f t="shared" si="19"/>
        <v>7.8000000000000007</v>
      </c>
      <c r="AP27" s="115">
        <f t="shared" si="20"/>
        <v>0.39000000000000007</v>
      </c>
      <c r="AQ27" s="115">
        <f t="shared" si="16"/>
        <v>0.5</v>
      </c>
      <c r="AR27" s="115">
        <f t="shared" si="21"/>
        <v>5</v>
      </c>
      <c r="AS27" s="115">
        <f t="shared" si="14"/>
        <v>20</v>
      </c>
      <c r="AT27" s="115" t="str">
        <f t="shared" si="25"/>
        <v>F5/M-503</v>
      </c>
      <c r="AU27" s="112" t="str">
        <f t="shared" si="25"/>
        <v>1, 2</v>
      </c>
    </row>
    <row r="28" spans="2:52" ht="15" customHeight="1" x14ac:dyDescent="0.2">
      <c r="B28" s="160"/>
      <c r="C28" s="121" t="s">
        <v>346</v>
      </c>
      <c r="D28" s="121" t="s">
        <v>569</v>
      </c>
      <c r="E28" s="158" t="s">
        <v>634</v>
      </c>
      <c r="F28" s="158">
        <v>232</v>
      </c>
      <c r="G28" s="173">
        <v>9.5</v>
      </c>
      <c r="H28" s="114">
        <f>VLOOKUP($N28,'UMC Table 4-A'!$A$10:$E$139,4,FALSE)</f>
        <v>4</v>
      </c>
      <c r="I28" s="114" t="str">
        <f>VLOOKUP($N28,'UMC Table 4-A'!$A$10:$E$139,5,FALSE)</f>
        <v>NR</v>
      </c>
      <c r="J28" s="111" t="str">
        <f t="shared" si="0"/>
        <v>-</v>
      </c>
      <c r="K28" s="116">
        <v>0</v>
      </c>
      <c r="L28" s="114">
        <f t="shared" si="1"/>
        <v>150</v>
      </c>
      <c r="M28" s="117">
        <f>F28</f>
        <v>232</v>
      </c>
      <c r="N28" s="114" t="s">
        <v>123</v>
      </c>
      <c r="O28" s="114" t="str">
        <f>VLOOKUP($N28,'UMC Table 4-A'!$A$10:$E$139,2,FALSE)</f>
        <v>NO REQUIREMENT FOR CONTINUOUS DIRECTIONAL CONTROL</v>
      </c>
      <c r="P28" s="174">
        <f>VLOOKUP($N28,'UMC Table 4-A'!$A$10:$E$139,3,FALSE)</f>
        <v>2</v>
      </c>
      <c r="Q28" s="152">
        <f t="shared" si="2"/>
        <v>80</v>
      </c>
      <c r="R28" s="112" t="str">
        <f>VLOOKUP($N28,'UMC Table 4-A'!$A$10:$E$139,5,FALSE)</f>
        <v>NR</v>
      </c>
      <c r="S28" s="113">
        <f t="shared" si="3"/>
        <v>235</v>
      </c>
      <c r="T28" s="137">
        <f t="shared" si="4"/>
        <v>235</v>
      </c>
      <c r="U28" s="137">
        <f t="shared" si="5"/>
        <v>235</v>
      </c>
      <c r="V28" s="137">
        <f t="shared" si="6"/>
        <v>0</v>
      </c>
      <c r="W28" s="89">
        <f t="shared" si="7"/>
        <v>0</v>
      </c>
      <c r="X28" s="31" t="str">
        <f t="shared" si="8"/>
        <v>Yes</v>
      </c>
      <c r="Y28" s="32">
        <f t="shared" si="9"/>
        <v>1.0129310344827587</v>
      </c>
      <c r="Z28" s="70">
        <f t="shared" si="10"/>
        <v>34.042553191489361</v>
      </c>
      <c r="AA28" s="32">
        <f t="shared" si="11"/>
        <v>6.3974591651542649</v>
      </c>
      <c r="AD28" s="113" t="s">
        <v>356</v>
      </c>
      <c r="AE28" s="113" t="s">
        <v>203</v>
      </c>
      <c r="AF28" s="113" t="s">
        <v>209</v>
      </c>
      <c r="AG28" s="112">
        <f t="shared" si="23"/>
        <v>235</v>
      </c>
      <c r="AH28" s="112">
        <f t="shared" si="13"/>
        <v>6</v>
      </c>
      <c r="AI28" s="112">
        <f t="shared" si="17"/>
        <v>3</v>
      </c>
      <c r="AJ28" s="112">
        <f t="shared" si="24"/>
        <v>0.5</v>
      </c>
      <c r="AK28" s="112">
        <f t="shared" si="24"/>
        <v>140</v>
      </c>
      <c r="AL28" s="112">
        <f t="shared" si="24"/>
        <v>100</v>
      </c>
      <c r="AM28" s="112">
        <f t="shared" si="24"/>
        <v>55</v>
      </c>
      <c r="AN28" s="112">
        <f t="shared" si="24"/>
        <v>85</v>
      </c>
      <c r="AO28" s="112">
        <f t="shared" si="19"/>
        <v>7.6000000000000005</v>
      </c>
      <c r="AP28" s="115">
        <f t="shared" si="20"/>
        <v>0.38000000000000006</v>
      </c>
      <c r="AQ28" s="115">
        <f t="shared" si="16"/>
        <v>0.5</v>
      </c>
      <c r="AR28" s="115">
        <f t="shared" si="21"/>
        <v>5</v>
      </c>
      <c r="AS28" s="115">
        <f t="shared" si="14"/>
        <v>20</v>
      </c>
      <c r="AT28" s="115" t="str">
        <f t="shared" si="25"/>
        <v>F5/M-503</v>
      </c>
      <c r="AU28" s="112" t="str">
        <f t="shared" si="25"/>
        <v>1, 2</v>
      </c>
    </row>
    <row r="29" spans="2:52" ht="15" customHeight="1" x14ac:dyDescent="0.2">
      <c r="B29" s="160"/>
      <c r="C29" s="164" t="s">
        <v>346</v>
      </c>
      <c r="D29" s="121" t="s">
        <v>733</v>
      </c>
      <c r="E29" s="158" t="s">
        <v>785</v>
      </c>
      <c r="F29" s="158">
        <v>64</v>
      </c>
      <c r="G29" s="172">
        <v>8</v>
      </c>
      <c r="H29" s="114">
        <f>VLOOKUP($N29,'UMC Table 4-A'!$A$10:$E$139,4,FALSE)</f>
        <v>10</v>
      </c>
      <c r="I29" s="114" t="str">
        <f>VLOOKUP($N29,'UMC Table 4-A'!$A$10:$E$139,5,FALSE)</f>
        <v>YES</v>
      </c>
      <c r="J29" s="111">
        <f t="shared" si="0"/>
        <v>90</v>
      </c>
      <c r="K29" s="116">
        <v>0</v>
      </c>
      <c r="L29" s="114">
        <f t="shared" si="1"/>
        <v>90</v>
      </c>
      <c r="M29" s="117"/>
      <c r="N29" s="114" t="s">
        <v>94</v>
      </c>
      <c r="O29" s="114" t="str">
        <f>VLOOKUP($N29,'UMC Table 4-A'!$A$10:$E$139,2,FALSE)</f>
        <v>NEGATIVE</v>
      </c>
      <c r="P29" s="174" t="str">
        <f>VLOOKUP($N29,'UMC Table 4-A'!$A$10:$E$139,3,FALSE)</f>
        <v>NR</v>
      </c>
      <c r="Q29" s="152">
        <f t="shared" si="2"/>
        <v>0</v>
      </c>
      <c r="R29" s="112" t="str">
        <f>VLOOKUP($N29,'UMC Table 4-A'!$A$10:$E$139,5,FALSE)</f>
        <v>YES</v>
      </c>
      <c r="S29" s="113">
        <f t="shared" si="3"/>
        <v>0</v>
      </c>
      <c r="T29" s="137">
        <f t="shared" si="4"/>
        <v>0</v>
      </c>
      <c r="U29" s="137">
        <f t="shared" si="5"/>
        <v>0</v>
      </c>
      <c r="V29" s="137">
        <f t="shared" si="6"/>
        <v>90</v>
      </c>
      <c r="W29" s="89">
        <f t="shared" si="7"/>
        <v>-90</v>
      </c>
      <c r="X29" s="31" t="str">
        <f t="shared" si="8"/>
        <v>No</v>
      </c>
      <c r="Y29" s="32">
        <f t="shared" si="9"/>
        <v>0</v>
      </c>
      <c r="Z29" s="70" t="e">
        <f t="shared" si="10"/>
        <v>#DIV/0!</v>
      </c>
      <c r="AA29" s="32">
        <f t="shared" si="11"/>
        <v>0</v>
      </c>
      <c r="AD29" s="113" t="s">
        <v>357</v>
      </c>
      <c r="AE29" s="113" t="s">
        <v>203</v>
      </c>
      <c r="AF29" s="113" t="s">
        <v>209</v>
      </c>
      <c r="AG29" s="112">
        <f t="shared" si="23"/>
        <v>235</v>
      </c>
      <c r="AH29" s="112">
        <f t="shared" si="13"/>
        <v>6</v>
      </c>
      <c r="AI29" s="112">
        <f t="shared" si="17"/>
        <v>3</v>
      </c>
      <c r="AJ29" s="112">
        <f t="shared" si="24"/>
        <v>0.5</v>
      </c>
      <c r="AK29" s="112">
        <f t="shared" si="24"/>
        <v>140</v>
      </c>
      <c r="AL29" s="112">
        <f t="shared" si="24"/>
        <v>100</v>
      </c>
      <c r="AM29" s="112">
        <f t="shared" si="24"/>
        <v>55</v>
      </c>
      <c r="AN29" s="112">
        <f t="shared" si="24"/>
        <v>85</v>
      </c>
      <c r="AO29" s="112">
        <f t="shared" si="19"/>
        <v>7.6000000000000005</v>
      </c>
      <c r="AP29" s="115">
        <f t="shared" si="20"/>
        <v>0.38000000000000006</v>
      </c>
      <c r="AQ29" s="115">
        <f t="shared" si="16"/>
        <v>0.5</v>
      </c>
      <c r="AR29" s="115">
        <f t="shared" si="21"/>
        <v>5</v>
      </c>
      <c r="AS29" s="115">
        <f t="shared" si="14"/>
        <v>20</v>
      </c>
      <c r="AT29" s="115" t="str">
        <f t="shared" si="25"/>
        <v>F5/M-503</v>
      </c>
      <c r="AU29" s="112" t="str">
        <f t="shared" si="25"/>
        <v>1, 2</v>
      </c>
    </row>
    <row r="30" spans="2:52" ht="15" customHeight="1" x14ac:dyDescent="0.2">
      <c r="B30" s="160"/>
      <c r="C30" s="121" t="s">
        <v>347</v>
      </c>
      <c r="D30" s="121" t="s">
        <v>569</v>
      </c>
      <c r="E30" s="158" t="s">
        <v>635</v>
      </c>
      <c r="F30" s="158">
        <v>232</v>
      </c>
      <c r="G30" s="173">
        <v>9.5</v>
      </c>
      <c r="H30" s="114">
        <f>VLOOKUP($N30,'UMC Table 4-A'!$A$10:$E$139,4,FALSE)</f>
        <v>4</v>
      </c>
      <c r="I30" s="114" t="str">
        <f>VLOOKUP($N30,'UMC Table 4-A'!$A$10:$E$139,5,FALSE)</f>
        <v>NR</v>
      </c>
      <c r="J30" s="111" t="str">
        <f t="shared" si="0"/>
        <v>-</v>
      </c>
      <c r="K30" s="116">
        <v>0</v>
      </c>
      <c r="L30" s="114">
        <f t="shared" si="1"/>
        <v>150</v>
      </c>
      <c r="M30" s="117">
        <f>F30</f>
        <v>232</v>
      </c>
      <c r="N30" s="114" t="s">
        <v>123</v>
      </c>
      <c r="O30" s="114" t="str">
        <f>VLOOKUP($N30,'UMC Table 4-A'!$A$10:$E$139,2,FALSE)</f>
        <v>NO REQUIREMENT FOR CONTINUOUS DIRECTIONAL CONTROL</v>
      </c>
      <c r="P30" s="174">
        <f>VLOOKUP($N30,'UMC Table 4-A'!$A$10:$E$139,3,FALSE)</f>
        <v>2</v>
      </c>
      <c r="Q30" s="152">
        <f t="shared" si="2"/>
        <v>80</v>
      </c>
      <c r="R30" s="112" t="str">
        <f>VLOOKUP($N30,'UMC Table 4-A'!$A$10:$E$139,5,FALSE)</f>
        <v>NR</v>
      </c>
      <c r="S30" s="113">
        <f t="shared" si="3"/>
        <v>235</v>
      </c>
      <c r="T30" s="137">
        <f t="shared" si="4"/>
        <v>235</v>
      </c>
      <c r="U30" s="137">
        <f t="shared" si="5"/>
        <v>235</v>
      </c>
      <c r="V30" s="137">
        <f t="shared" si="6"/>
        <v>0</v>
      </c>
      <c r="W30" s="89">
        <f t="shared" si="7"/>
        <v>0</v>
      </c>
      <c r="X30" s="31" t="str">
        <f t="shared" si="8"/>
        <v>Yes</v>
      </c>
      <c r="Y30" s="32">
        <f t="shared" si="9"/>
        <v>1.0129310344827587</v>
      </c>
      <c r="Z30" s="70">
        <f t="shared" si="10"/>
        <v>34.042553191489361</v>
      </c>
      <c r="AA30" s="32">
        <f t="shared" si="11"/>
        <v>6.3974591651542649</v>
      </c>
      <c r="AD30" s="113" t="s">
        <v>358</v>
      </c>
      <c r="AE30" s="113" t="s">
        <v>203</v>
      </c>
      <c r="AF30" s="113" t="s">
        <v>209</v>
      </c>
      <c r="AG30" s="112">
        <f t="shared" si="23"/>
        <v>225</v>
      </c>
      <c r="AH30" s="112">
        <f t="shared" si="13"/>
        <v>6</v>
      </c>
      <c r="AI30" s="112">
        <f t="shared" si="17"/>
        <v>3</v>
      </c>
      <c r="AJ30" s="112">
        <f t="shared" si="24"/>
        <v>0.5</v>
      </c>
      <c r="AK30" s="112">
        <f t="shared" si="24"/>
        <v>140</v>
      </c>
      <c r="AL30" s="112">
        <f t="shared" si="24"/>
        <v>100</v>
      </c>
      <c r="AM30" s="112">
        <f t="shared" si="24"/>
        <v>55</v>
      </c>
      <c r="AN30" s="112">
        <f t="shared" si="24"/>
        <v>85</v>
      </c>
      <c r="AO30" s="112">
        <f t="shared" si="19"/>
        <v>7.3000000000000007</v>
      </c>
      <c r="AP30" s="115">
        <f t="shared" si="20"/>
        <v>0.36500000000000005</v>
      </c>
      <c r="AQ30" s="115">
        <f t="shared" si="16"/>
        <v>0.5</v>
      </c>
      <c r="AR30" s="115">
        <f t="shared" si="21"/>
        <v>5</v>
      </c>
      <c r="AS30" s="115">
        <f t="shared" si="14"/>
        <v>20</v>
      </c>
      <c r="AT30" s="115" t="str">
        <f t="shared" si="25"/>
        <v>F5/M-503</v>
      </c>
      <c r="AU30" s="112" t="str">
        <f t="shared" si="25"/>
        <v>1, 2</v>
      </c>
    </row>
    <row r="31" spans="2:52" ht="15" customHeight="1" x14ac:dyDescent="0.2">
      <c r="B31" s="160"/>
      <c r="C31" s="164" t="s">
        <v>347</v>
      </c>
      <c r="D31" s="121" t="s">
        <v>733</v>
      </c>
      <c r="E31" s="158" t="s">
        <v>784</v>
      </c>
      <c r="F31" s="158">
        <v>64</v>
      </c>
      <c r="G31" s="172">
        <v>8</v>
      </c>
      <c r="H31" s="114">
        <f>VLOOKUP($N31,'UMC Table 4-A'!$A$10:$E$139,4,FALSE)</f>
        <v>10</v>
      </c>
      <c r="I31" s="114" t="str">
        <f>VLOOKUP($N31,'UMC Table 4-A'!$A$10:$E$139,5,FALSE)</f>
        <v>YES</v>
      </c>
      <c r="J31" s="111">
        <f t="shared" si="0"/>
        <v>90</v>
      </c>
      <c r="K31" s="116">
        <v>0</v>
      </c>
      <c r="L31" s="114">
        <f t="shared" si="1"/>
        <v>90</v>
      </c>
      <c r="M31" s="117"/>
      <c r="N31" s="114" t="s">
        <v>94</v>
      </c>
      <c r="O31" s="114" t="str">
        <f>VLOOKUP($N31,'UMC Table 4-A'!$A$10:$E$139,2,FALSE)</f>
        <v>NEGATIVE</v>
      </c>
      <c r="P31" s="174" t="str">
        <f>VLOOKUP($N31,'UMC Table 4-A'!$A$10:$E$139,3,FALSE)</f>
        <v>NR</v>
      </c>
      <c r="Q31" s="152">
        <f t="shared" si="2"/>
        <v>0</v>
      </c>
      <c r="R31" s="112" t="str">
        <f>VLOOKUP($N31,'UMC Table 4-A'!$A$10:$E$139,5,FALSE)</f>
        <v>YES</v>
      </c>
      <c r="S31" s="113">
        <f t="shared" si="3"/>
        <v>0</v>
      </c>
      <c r="T31" s="137">
        <f t="shared" si="4"/>
        <v>0</v>
      </c>
      <c r="U31" s="137">
        <f t="shared" si="5"/>
        <v>0</v>
      </c>
      <c r="V31" s="137">
        <f t="shared" si="6"/>
        <v>90</v>
      </c>
      <c r="W31" s="89">
        <f t="shared" si="7"/>
        <v>-90</v>
      </c>
      <c r="X31" s="31" t="str">
        <f t="shared" si="8"/>
        <v>No</v>
      </c>
      <c r="Y31" s="32">
        <f t="shared" si="9"/>
        <v>0</v>
      </c>
      <c r="Z31" s="70" t="e">
        <f t="shared" si="10"/>
        <v>#DIV/0!</v>
      </c>
      <c r="AA31" s="32">
        <f t="shared" si="11"/>
        <v>0</v>
      </c>
      <c r="AD31" s="113" t="s">
        <v>359</v>
      </c>
      <c r="AE31" s="113" t="s">
        <v>203</v>
      </c>
      <c r="AF31" s="113" t="s">
        <v>209</v>
      </c>
      <c r="AG31" s="112">
        <f t="shared" si="23"/>
        <v>235</v>
      </c>
      <c r="AH31" s="112">
        <f t="shared" si="13"/>
        <v>6</v>
      </c>
      <c r="AI31" s="112">
        <f t="shared" si="17"/>
        <v>3</v>
      </c>
      <c r="AJ31" s="112">
        <f t="shared" si="24"/>
        <v>0.5</v>
      </c>
      <c r="AK31" s="112">
        <f t="shared" si="24"/>
        <v>140</v>
      </c>
      <c r="AL31" s="112">
        <f t="shared" si="24"/>
        <v>100</v>
      </c>
      <c r="AM31" s="112">
        <f t="shared" si="24"/>
        <v>55</v>
      </c>
      <c r="AN31" s="112">
        <f t="shared" si="24"/>
        <v>85</v>
      </c>
      <c r="AO31" s="112">
        <f t="shared" si="19"/>
        <v>7.6000000000000005</v>
      </c>
      <c r="AP31" s="115">
        <f t="shared" si="20"/>
        <v>0.38000000000000006</v>
      </c>
      <c r="AQ31" s="115">
        <f t="shared" si="16"/>
        <v>0.5</v>
      </c>
      <c r="AR31" s="115">
        <f t="shared" si="21"/>
        <v>5</v>
      </c>
      <c r="AS31" s="115">
        <f t="shared" si="14"/>
        <v>20</v>
      </c>
      <c r="AT31" s="115" t="str">
        <f t="shared" si="25"/>
        <v>F5/M-503</v>
      </c>
      <c r="AU31" s="112" t="str">
        <f t="shared" si="25"/>
        <v>1, 2</v>
      </c>
    </row>
    <row r="32" spans="2:52" ht="15" customHeight="1" x14ac:dyDescent="0.2">
      <c r="B32" s="160"/>
      <c r="C32" s="121" t="s">
        <v>348</v>
      </c>
      <c r="D32" s="121" t="s">
        <v>569</v>
      </c>
      <c r="E32" s="158" t="s">
        <v>636</v>
      </c>
      <c r="F32" s="158">
        <v>217</v>
      </c>
      <c r="G32" s="173">
        <v>9.5</v>
      </c>
      <c r="H32" s="114">
        <f>VLOOKUP($N32,'UMC Table 4-A'!$A$10:$E$139,4,FALSE)</f>
        <v>4</v>
      </c>
      <c r="I32" s="114" t="str">
        <f>VLOOKUP($N32,'UMC Table 4-A'!$A$10:$E$139,5,FALSE)</f>
        <v>NR</v>
      </c>
      <c r="J32" s="111" t="str">
        <f t="shared" si="0"/>
        <v>-</v>
      </c>
      <c r="K32" s="116">
        <v>0</v>
      </c>
      <c r="L32" s="114">
        <f t="shared" si="1"/>
        <v>140</v>
      </c>
      <c r="M32" s="117">
        <f>F32</f>
        <v>217</v>
      </c>
      <c r="N32" s="114" t="s">
        <v>123</v>
      </c>
      <c r="O32" s="114" t="str">
        <f>VLOOKUP($N32,'UMC Table 4-A'!$A$10:$E$139,2,FALSE)</f>
        <v>NO REQUIREMENT FOR CONTINUOUS DIRECTIONAL CONTROL</v>
      </c>
      <c r="P32" s="174">
        <f>VLOOKUP($N32,'UMC Table 4-A'!$A$10:$E$139,3,FALSE)</f>
        <v>2</v>
      </c>
      <c r="Q32" s="152">
        <f t="shared" si="2"/>
        <v>70</v>
      </c>
      <c r="R32" s="112" t="str">
        <f>VLOOKUP($N32,'UMC Table 4-A'!$A$10:$E$139,5,FALSE)</f>
        <v>NR</v>
      </c>
      <c r="S32" s="113">
        <f t="shared" si="3"/>
        <v>220</v>
      </c>
      <c r="T32" s="137">
        <f t="shared" si="4"/>
        <v>220</v>
      </c>
      <c r="U32" s="137">
        <f t="shared" si="5"/>
        <v>220</v>
      </c>
      <c r="V32" s="137">
        <f t="shared" si="6"/>
        <v>0</v>
      </c>
      <c r="W32" s="89">
        <f t="shared" si="7"/>
        <v>0</v>
      </c>
      <c r="X32" s="31" t="str">
        <f t="shared" si="8"/>
        <v>Yes</v>
      </c>
      <c r="Y32" s="32">
        <f t="shared" si="9"/>
        <v>1.0138248847926268</v>
      </c>
      <c r="Z32" s="70">
        <f t="shared" si="10"/>
        <v>31.818181818181817</v>
      </c>
      <c r="AA32" s="32">
        <f t="shared" si="11"/>
        <v>6.4031045355323792</v>
      </c>
      <c r="AD32" s="113" t="s">
        <v>360</v>
      </c>
      <c r="AE32" s="113" t="s">
        <v>203</v>
      </c>
      <c r="AF32" s="113" t="s">
        <v>209</v>
      </c>
      <c r="AG32" s="112">
        <f t="shared" si="23"/>
        <v>275</v>
      </c>
      <c r="AH32" s="112">
        <f t="shared" si="13"/>
        <v>6</v>
      </c>
      <c r="AI32" s="112">
        <f t="shared" si="17"/>
        <v>3</v>
      </c>
      <c r="AJ32" s="112">
        <f t="shared" si="24"/>
        <v>0.5</v>
      </c>
      <c r="AK32" s="112">
        <f t="shared" si="24"/>
        <v>140</v>
      </c>
      <c r="AL32" s="112">
        <f t="shared" si="24"/>
        <v>100</v>
      </c>
      <c r="AM32" s="112">
        <f t="shared" si="24"/>
        <v>55</v>
      </c>
      <c r="AN32" s="112">
        <f t="shared" si="24"/>
        <v>85</v>
      </c>
      <c r="AO32" s="112">
        <f t="shared" si="19"/>
        <v>8.9</v>
      </c>
      <c r="AP32" s="115">
        <f t="shared" si="20"/>
        <v>0.44500000000000001</v>
      </c>
      <c r="AQ32" s="115">
        <f t="shared" si="16"/>
        <v>0.5</v>
      </c>
      <c r="AR32" s="115">
        <f t="shared" si="21"/>
        <v>5</v>
      </c>
      <c r="AS32" s="115">
        <f t="shared" si="14"/>
        <v>20</v>
      </c>
      <c r="AT32" s="115" t="str">
        <f t="shared" si="25"/>
        <v>F5/M-503</v>
      </c>
      <c r="AU32" s="112" t="str">
        <f t="shared" si="25"/>
        <v>1, 2</v>
      </c>
    </row>
    <row r="33" spans="2:48" ht="15" customHeight="1" x14ac:dyDescent="0.2">
      <c r="B33" s="160"/>
      <c r="C33" s="164" t="s">
        <v>348</v>
      </c>
      <c r="D33" s="121" t="s">
        <v>733</v>
      </c>
      <c r="E33" s="158" t="s">
        <v>783</v>
      </c>
      <c r="F33" s="158">
        <v>64</v>
      </c>
      <c r="G33" s="172">
        <v>8</v>
      </c>
      <c r="H33" s="114">
        <f>VLOOKUP($N33,'UMC Table 4-A'!$A$10:$E$139,4,FALSE)</f>
        <v>10</v>
      </c>
      <c r="I33" s="114" t="str">
        <f>VLOOKUP($N33,'UMC Table 4-A'!$A$10:$E$139,5,FALSE)</f>
        <v>YES</v>
      </c>
      <c r="J33" s="111">
        <f t="shared" si="0"/>
        <v>90</v>
      </c>
      <c r="K33" s="116">
        <v>0</v>
      </c>
      <c r="L33" s="114">
        <f t="shared" si="1"/>
        <v>90</v>
      </c>
      <c r="M33" s="117"/>
      <c r="N33" s="114" t="s">
        <v>94</v>
      </c>
      <c r="O33" s="114" t="str">
        <f>VLOOKUP($N33,'UMC Table 4-A'!$A$10:$E$139,2,FALSE)</f>
        <v>NEGATIVE</v>
      </c>
      <c r="P33" s="174" t="str">
        <f>VLOOKUP($N33,'UMC Table 4-A'!$A$10:$E$139,3,FALSE)</f>
        <v>NR</v>
      </c>
      <c r="Q33" s="152">
        <f t="shared" si="2"/>
        <v>0</v>
      </c>
      <c r="R33" s="112" t="str">
        <f>VLOOKUP($N33,'UMC Table 4-A'!$A$10:$E$139,5,FALSE)</f>
        <v>YES</v>
      </c>
      <c r="S33" s="113">
        <f t="shared" si="3"/>
        <v>0</v>
      </c>
      <c r="T33" s="137">
        <f t="shared" si="4"/>
        <v>0</v>
      </c>
      <c r="U33" s="137">
        <f t="shared" si="5"/>
        <v>0</v>
      </c>
      <c r="V33" s="137">
        <f t="shared" si="6"/>
        <v>90</v>
      </c>
      <c r="W33" s="89">
        <f t="shared" si="7"/>
        <v>-90</v>
      </c>
      <c r="X33" s="31" t="str">
        <f t="shared" si="8"/>
        <v>No</v>
      </c>
      <c r="Y33" s="32">
        <f t="shared" si="9"/>
        <v>0</v>
      </c>
      <c r="Z33" s="70" t="e">
        <f t="shared" si="10"/>
        <v>#DIV/0!</v>
      </c>
      <c r="AA33" s="32">
        <f t="shared" si="11"/>
        <v>0</v>
      </c>
      <c r="AD33" s="113" t="s">
        <v>361</v>
      </c>
      <c r="AE33" s="113" t="s">
        <v>203</v>
      </c>
      <c r="AF33" s="113" t="s">
        <v>209</v>
      </c>
      <c r="AG33" s="112">
        <f t="shared" si="23"/>
        <v>275</v>
      </c>
      <c r="AH33" s="112">
        <f t="shared" si="13"/>
        <v>6</v>
      </c>
      <c r="AI33" s="112">
        <f t="shared" si="17"/>
        <v>3</v>
      </c>
      <c r="AJ33" s="112">
        <f t="shared" si="24"/>
        <v>0.5</v>
      </c>
      <c r="AK33" s="112">
        <f t="shared" si="24"/>
        <v>140</v>
      </c>
      <c r="AL33" s="112">
        <f t="shared" si="24"/>
        <v>100</v>
      </c>
      <c r="AM33" s="112">
        <f t="shared" si="24"/>
        <v>55</v>
      </c>
      <c r="AN33" s="112">
        <f t="shared" si="24"/>
        <v>85</v>
      </c>
      <c r="AO33" s="112">
        <f t="shared" si="19"/>
        <v>8.9</v>
      </c>
      <c r="AP33" s="115">
        <f t="shared" si="20"/>
        <v>0.44500000000000001</v>
      </c>
      <c r="AQ33" s="115">
        <f t="shared" si="16"/>
        <v>0.5</v>
      </c>
      <c r="AR33" s="115">
        <f t="shared" si="21"/>
        <v>5</v>
      </c>
      <c r="AS33" s="115">
        <f t="shared" si="14"/>
        <v>20</v>
      </c>
      <c r="AT33" s="115" t="str">
        <f t="shared" si="25"/>
        <v>F5/M-503</v>
      </c>
      <c r="AU33" s="112" t="str">
        <f t="shared" si="25"/>
        <v>1, 2</v>
      </c>
    </row>
    <row r="34" spans="2:48" ht="15" customHeight="1" x14ac:dyDescent="0.2">
      <c r="B34" s="160"/>
      <c r="C34" s="121" t="s">
        <v>349</v>
      </c>
      <c r="D34" s="121" t="s">
        <v>569</v>
      </c>
      <c r="E34" s="158" t="s">
        <v>637</v>
      </c>
      <c r="F34" s="158">
        <v>222</v>
      </c>
      <c r="G34" s="173">
        <v>9.5</v>
      </c>
      <c r="H34" s="114">
        <f>VLOOKUP($N34,'UMC Table 4-A'!$A$10:$E$139,4,FALSE)</f>
        <v>4</v>
      </c>
      <c r="I34" s="114" t="str">
        <f>VLOOKUP($N34,'UMC Table 4-A'!$A$10:$E$139,5,FALSE)</f>
        <v>NR</v>
      </c>
      <c r="J34" s="111" t="str">
        <f t="shared" si="0"/>
        <v>-</v>
      </c>
      <c r="K34" s="116">
        <v>0</v>
      </c>
      <c r="L34" s="114">
        <f t="shared" si="1"/>
        <v>150</v>
      </c>
      <c r="M34" s="117">
        <f>F34</f>
        <v>222</v>
      </c>
      <c r="N34" s="114" t="s">
        <v>123</v>
      </c>
      <c r="O34" s="114" t="str">
        <f>VLOOKUP($N34,'UMC Table 4-A'!$A$10:$E$139,2,FALSE)</f>
        <v>NO REQUIREMENT FOR CONTINUOUS DIRECTIONAL CONTROL</v>
      </c>
      <c r="P34" s="174">
        <f>VLOOKUP($N34,'UMC Table 4-A'!$A$10:$E$139,3,FALSE)</f>
        <v>2</v>
      </c>
      <c r="Q34" s="152">
        <f t="shared" si="2"/>
        <v>80</v>
      </c>
      <c r="R34" s="112" t="str">
        <f>VLOOKUP($N34,'UMC Table 4-A'!$A$10:$E$139,5,FALSE)</f>
        <v>NR</v>
      </c>
      <c r="S34" s="113">
        <f t="shared" si="3"/>
        <v>225</v>
      </c>
      <c r="T34" s="137">
        <f t="shared" si="4"/>
        <v>225</v>
      </c>
      <c r="U34" s="137">
        <f t="shared" si="5"/>
        <v>225</v>
      </c>
      <c r="V34" s="137">
        <f t="shared" si="6"/>
        <v>0</v>
      </c>
      <c r="W34" s="89">
        <f t="shared" si="7"/>
        <v>0</v>
      </c>
      <c r="X34" s="31" t="str">
        <f t="shared" si="8"/>
        <v>Yes</v>
      </c>
      <c r="Y34" s="32">
        <f t="shared" si="9"/>
        <v>1.0135135135135136</v>
      </c>
      <c r="Z34" s="70">
        <f t="shared" si="10"/>
        <v>35.555555555555557</v>
      </c>
      <c r="AA34" s="32">
        <f t="shared" si="11"/>
        <v>6.4011379800853492</v>
      </c>
      <c r="AD34" s="113" t="s">
        <v>362</v>
      </c>
      <c r="AE34" s="113" t="s">
        <v>203</v>
      </c>
      <c r="AF34" s="113" t="s">
        <v>209</v>
      </c>
      <c r="AG34" s="112">
        <f t="shared" si="23"/>
        <v>240</v>
      </c>
      <c r="AH34" s="112">
        <f t="shared" si="13"/>
        <v>6</v>
      </c>
      <c r="AI34" s="112">
        <f t="shared" si="17"/>
        <v>3</v>
      </c>
      <c r="AJ34" s="112">
        <f t="shared" si="24"/>
        <v>0.5</v>
      </c>
      <c r="AK34" s="112">
        <f t="shared" si="24"/>
        <v>140</v>
      </c>
      <c r="AL34" s="112">
        <f t="shared" si="24"/>
        <v>100</v>
      </c>
      <c r="AM34" s="112">
        <f t="shared" si="24"/>
        <v>55</v>
      </c>
      <c r="AN34" s="112">
        <f t="shared" si="24"/>
        <v>85</v>
      </c>
      <c r="AO34" s="112">
        <f t="shared" si="19"/>
        <v>7.8000000000000007</v>
      </c>
      <c r="AP34" s="115">
        <f t="shared" si="20"/>
        <v>0.39000000000000007</v>
      </c>
      <c r="AQ34" s="115">
        <f t="shared" si="16"/>
        <v>0.5</v>
      </c>
      <c r="AR34" s="115">
        <f t="shared" si="21"/>
        <v>5</v>
      </c>
      <c r="AS34" s="115">
        <f t="shared" si="14"/>
        <v>20</v>
      </c>
      <c r="AT34" s="115" t="str">
        <f>AT33</f>
        <v>F5/M-503</v>
      </c>
      <c r="AU34" s="112" t="str">
        <f t="shared" si="25"/>
        <v>1, 2</v>
      </c>
    </row>
    <row r="35" spans="2:48" ht="15" customHeight="1" x14ac:dyDescent="0.2">
      <c r="B35" s="160"/>
      <c r="C35" s="164" t="s">
        <v>349</v>
      </c>
      <c r="D35" s="121" t="s">
        <v>733</v>
      </c>
      <c r="E35" s="158" t="s">
        <v>782</v>
      </c>
      <c r="F35" s="158">
        <v>64</v>
      </c>
      <c r="G35" s="172">
        <v>8</v>
      </c>
      <c r="H35" s="114">
        <f>VLOOKUP($N35,'UMC Table 4-A'!$A$10:$E$139,4,FALSE)</f>
        <v>10</v>
      </c>
      <c r="I35" s="114" t="str">
        <f>VLOOKUP($N35,'UMC Table 4-A'!$A$10:$E$139,5,FALSE)</f>
        <v>YES</v>
      </c>
      <c r="J35" s="111">
        <f t="shared" si="0"/>
        <v>90</v>
      </c>
      <c r="K35" s="116">
        <v>0</v>
      </c>
      <c r="L35" s="114">
        <f t="shared" si="1"/>
        <v>90</v>
      </c>
      <c r="M35" s="117"/>
      <c r="N35" s="114" t="s">
        <v>94</v>
      </c>
      <c r="O35" s="114" t="str">
        <f>VLOOKUP($N35,'UMC Table 4-A'!$A$10:$E$139,2,FALSE)</f>
        <v>NEGATIVE</v>
      </c>
      <c r="P35" s="174" t="str">
        <f>VLOOKUP($N35,'UMC Table 4-A'!$A$10:$E$139,3,FALSE)</f>
        <v>NR</v>
      </c>
      <c r="Q35" s="152">
        <f t="shared" si="2"/>
        <v>0</v>
      </c>
      <c r="R35" s="112" t="str">
        <f>VLOOKUP($N35,'UMC Table 4-A'!$A$10:$E$139,5,FALSE)</f>
        <v>YES</v>
      </c>
      <c r="S35" s="113">
        <f t="shared" si="3"/>
        <v>0</v>
      </c>
      <c r="T35" s="137">
        <f t="shared" si="4"/>
        <v>0</v>
      </c>
      <c r="U35" s="137">
        <f t="shared" si="5"/>
        <v>0</v>
      </c>
      <c r="V35" s="137">
        <f t="shared" si="6"/>
        <v>90</v>
      </c>
      <c r="W35" s="89">
        <f t="shared" si="7"/>
        <v>-90</v>
      </c>
      <c r="X35" s="31" t="str">
        <f t="shared" si="8"/>
        <v>No</v>
      </c>
      <c r="Y35" s="32">
        <f t="shared" si="9"/>
        <v>0</v>
      </c>
      <c r="Z35" s="70" t="e">
        <f t="shared" si="10"/>
        <v>#DIV/0!</v>
      </c>
      <c r="AA35" s="32">
        <f t="shared" si="11"/>
        <v>0</v>
      </c>
      <c r="AD35" s="113" t="s">
        <v>363</v>
      </c>
      <c r="AE35" s="113" t="s">
        <v>203</v>
      </c>
      <c r="AF35" s="113" t="s">
        <v>209</v>
      </c>
      <c r="AG35" s="112">
        <f t="shared" si="23"/>
        <v>235</v>
      </c>
      <c r="AH35" s="112">
        <f t="shared" si="13"/>
        <v>6</v>
      </c>
      <c r="AI35" s="112">
        <f t="shared" si="17"/>
        <v>3</v>
      </c>
      <c r="AJ35" s="112">
        <f t="shared" si="24"/>
        <v>0.5</v>
      </c>
      <c r="AK35" s="112">
        <f t="shared" si="24"/>
        <v>140</v>
      </c>
      <c r="AL35" s="112">
        <f t="shared" si="24"/>
        <v>100</v>
      </c>
      <c r="AM35" s="112">
        <f t="shared" si="24"/>
        <v>55</v>
      </c>
      <c r="AN35" s="112">
        <f t="shared" si="24"/>
        <v>85</v>
      </c>
      <c r="AO35" s="112">
        <f t="shared" si="19"/>
        <v>7.6000000000000005</v>
      </c>
      <c r="AP35" s="115">
        <f t="shared" si="20"/>
        <v>0.38000000000000006</v>
      </c>
      <c r="AQ35" s="115">
        <f t="shared" si="16"/>
        <v>0.5</v>
      </c>
      <c r="AR35" s="115">
        <f t="shared" si="21"/>
        <v>5</v>
      </c>
      <c r="AS35" s="115">
        <f t="shared" si="14"/>
        <v>20</v>
      </c>
      <c r="AT35" s="115" t="str">
        <f t="shared" si="25"/>
        <v>F5/M-503</v>
      </c>
      <c r="AU35" s="112" t="str">
        <f t="shared" si="25"/>
        <v>1, 2</v>
      </c>
    </row>
    <row r="36" spans="2:48" ht="15" customHeight="1" x14ac:dyDescent="0.2">
      <c r="B36" s="160"/>
      <c r="C36" s="121" t="s">
        <v>350</v>
      </c>
      <c r="D36" s="121" t="s">
        <v>569</v>
      </c>
      <c r="E36" s="158" t="s">
        <v>638</v>
      </c>
      <c r="F36" s="158">
        <v>229</v>
      </c>
      <c r="G36" s="173">
        <v>9.5</v>
      </c>
      <c r="H36" s="114">
        <f>VLOOKUP($N36,'UMC Table 4-A'!$A$10:$E$139,4,FALSE)</f>
        <v>4</v>
      </c>
      <c r="I36" s="114" t="str">
        <f>VLOOKUP($N36,'UMC Table 4-A'!$A$10:$E$139,5,FALSE)</f>
        <v>NR</v>
      </c>
      <c r="J36" s="111" t="str">
        <f t="shared" si="0"/>
        <v>-</v>
      </c>
      <c r="K36" s="116">
        <v>0</v>
      </c>
      <c r="L36" s="114">
        <f t="shared" si="1"/>
        <v>150</v>
      </c>
      <c r="M36" s="117">
        <f>F36</f>
        <v>229</v>
      </c>
      <c r="N36" s="114" t="s">
        <v>123</v>
      </c>
      <c r="O36" s="114" t="str">
        <f>VLOOKUP($N36,'UMC Table 4-A'!$A$10:$E$139,2,FALSE)</f>
        <v>NO REQUIREMENT FOR CONTINUOUS DIRECTIONAL CONTROL</v>
      </c>
      <c r="P36" s="174">
        <f>VLOOKUP($N36,'UMC Table 4-A'!$A$10:$E$139,3,FALSE)</f>
        <v>2</v>
      </c>
      <c r="Q36" s="152">
        <f t="shared" si="2"/>
        <v>80</v>
      </c>
      <c r="R36" s="112" t="str">
        <f>VLOOKUP($N36,'UMC Table 4-A'!$A$10:$E$139,5,FALSE)</f>
        <v>NR</v>
      </c>
      <c r="S36" s="113">
        <f t="shared" si="3"/>
        <v>230</v>
      </c>
      <c r="T36" s="137">
        <f t="shared" si="4"/>
        <v>230</v>
      </c>
      <c r="U36" s="137">
        <f t="shared" si="5"/>
        <v>230</v>
      </c>
      <c r="V36" s="137">
        <f t="shared" si="6"/>
        <v>0</v>
      </c>
      <c r="W36" s="89">
        <f t="shared" si="7"/>
        <v>0</v>
      </c>
      <c r="X36" s="31" t="str">
        <f t="shared" si="8"/>
        <v>Yes</v>
      </c>
      <c r="Y36" s="32">
        <f t="shared" si="9"/>
        <v>1.0043668122270741</v>
      </c>
      <c r="Z36" s="70">
        <f t="shared" si="10"/>
        <v>34.782608695652172</v>
      </c>
      <c r="AA36" s="32">
        <f t="shared" si="11"/>
        <v>6.3433693403815212</v>
      </c>
      <c r="AD36" s="113" t="s">
        <v>364</v>
      </c>
      <c r="AE36" s="113" t="s">
        <v>203</v>
      </c>
      <c r="AF36" s="113" t="s">
        <v>209</v>
      </c>
      <c r="AG36" s="112">
        <f t="shared" si="23"/>
        <v>235</v>
      </c>
      <c r="AH36" s="112">
        <f t="shared" si="13"/>
        <v>6</v>
      </c>
      <c r="AI36" s="112">
        <f t="shared" si="17"/>
        <v>3</v>
      </c>
      <c r="AJ36" s="112">
        <f t="shared" si="24"/>
        <v>0.5</v>
      </c>
      <c r="AK36" s="112">
        <f t="shared" si="24"/>
        <v>140</v>
      </c>
      <c r="AL36" s="112">
        <f t="shared" si="24"/>
        <v>100</v>
      </c>
      <c r="AM36" s="112">
        <f t="shared" si="24"/>
        <v>55</v>
      </c>
      <c r="AN36" s="112">
        <f t="shared" si="24"/>
        <v>85</v>
      </c>
      <c r="AO36" s="112">
        <f t="shared" si="19"/>
        <v>7.6000000000000005</v>
      </c>
      <c r="AP36" s="115">
        <f t="shared" si="20"/>
        <v>0.38000000000000006</v>
      </c>
      <c r="AQ36" s="115">
        <f t="shared" si="16"/>
        <v>0.5</v>
      </c>
      <c r="AR36" s="115">
        <f t="shared" si="21"/>
        <v>5</v>
      </c>
      <c r="AS36" s="115">
        <f t="shared" si="14"/>
        <v>20</v>
      </c>
      <c r="AT36" s="115" t="str">
        <f t="shared" si="25"/>
        <v>F5/M-503</v>
      </c>
      <c r="AU36" s="112" t="str">
        <f t="shared" si="25"/>
        <v>1, 2</v>
      </c>
    </row>
    <row r="37" spans="2:48" ht="15" customHeight="1" x14ac:dyDescent="0.2">
      <c r="B37" s="160"/>
      <c r="C37" s="164" t="s">
        <v>350</v>
      </c>
      <c r="D37" s="121" t="s">
        <v>733</v>
      </c>
      <c r="E37" s="158" t="s">
        <v>781</v>
      </c>
      <c r="F37" s="158">
        <v>64</v>
      </c>
      <c r="G37" s="172">
        <v>8</v>
      </c>
      <c r="H37" s="114">
        <f>VLOOKUP($N37,'UMC Table 4-A'!$A$10:$E$139,4,FALSE)</f>
        <v>10</v>
      </c>
      <c r="I37" s="114" t="str">
        <f>VLOOKUP($N37,'UMC Table 4-A'!$A$10:$E$139,5,FALSE)</f>
        <v>YES</v>
      </c>
      <c r="J37" s="111">
        <f t="shared" si="0"/>
        <v>90</v>
      </c>
      <c r="K37" s="116">
        <v>0</v>
      </c>
      <c r="L37" s="114">
        <f t="shared" si="1"/>
        <v>90</v>
      </c>
      <c r="M37" s="117"/>
      <c r="N37" s="114" t="s">
        <v>94</v>
      </c>
      <c r="O37" s="114" t="str">
        <f>VLOOKUP($N37,'UMC Table 4-A'!$A$10:$E$139,2,FALSE)</f>
        <v>NEGATIVE</v>
      </c>
      <c r="P37" s="174" t="str">
        <f>VLOOKUP($N37,'UMC Table 4-A'!$A$10:$E$139,3,FALSE)</f>
        <v>NR</v>
      </c>
      <c r="Q37" s="152">
        <f t="shared" si="2"/>
        <v>0</v>
      </c>
      <c r="R37" s="112" t="str">
        <f>VLOOKUP($N37,'UMC Table 4-A'!$A$10:$E$139,5,FALSE)</f>
        <v>YES</v>
      </c>
      <c r="S37" s="113">
        <f t="shared" si="3"/>
        <v>0</v>
      </c>
      <c r="T37" s="137">
        <f t="shared" si="4"/>
        <v>0</v>
      </c>
      <c r="U37" s="137">
        <f t="shared" si="5"/>
        <v>0</v>
      </c>
      <c r="V37" s="137">
        <f t="shared" si="6"/>
        <v>90</v>
      </c>
      <c r="W37" s="89">
        <f t="shared" si="7"/>
        <v>-90</v>
      </c>
      <c r="X37" s="31" t="str">
        <f t="shared" si="8"/>
        <v>No</v>
      </c>
      <c r="Y37" s="32">
        <f t="shared" si="9"/>
        <v>0</v>
      </c>
      <c r="Z37" s="70" t="e">
        <f t="shared" si="10"/>
        <v>#DIV/0!</v>
      </c>
      <c r="AA37" s="32">
        <f t="shared" si="11"/>
        <v>0</v>
      </c>
      <c r="AD37" s="113" t="s">
        <v>365</v>
      </c>
      <c r="AE37" s="113" t="s">
        <v>203</v>
      </c>
      <c r="AF37" s="113" t="s">
        <v>209</v>
      </c>
      <c r="AG37" s="112">
        <f t="shared" si="23"/>
        <v>235</v>
      </c>
      <c r="AH37" s="112">
        <f t="shared" si="13"/>
        <v>6</v>
      </c>
      <c r="AI37" s="112">
        <f t="shared" si="17"/>
        <v>3</v>
      </c>
      <c r="AJ37" s="112">
        <f t="shared" si="24"/>
        <v>0.5</v>
      </c>
      <c r="AK37" s="112">
        <f t="shared" si="24"/>
        <v>140</v>
      </c>
      <c r="AL37" s="112">
        <f t="shared" si="24"/>
        <v>100</v>
      </c>
      <c r="AM37" s="112">
        <f t="shared" si="24"/>
        <v>55</v>
      </c>
      <c r="AN37" s="112">
        <f t="shared" si="24"/>
        <v>85</v>
      </c>
      <c r="AO37" s="112">
        <f t="shared" si="19"/>
        <v>7.6000000000000005</v>
      </c>
      <c r="AP37" s="115">
        <f t="shared" si="20"/>
        <v>0.38000000000000006</v>
      </c>
      <c r="AQ37" s="115">
        <f t="shared" si="16"/>
        <v>0.5</v>
      </c>
      <c r="AR37" s="115">
        <f t="shared" si="21"/>
        <v>5</v>
      </c>
      <c r="AS37" s="115">
        <f t="shared" si="14"/>
        <v>20</v>
      </c>
      <c r="AT37" s="115" t="str">
        <f t="shared" si="25"/>
        <v>F5/M-503</v>
      </c>
      <c r="AU37" s="112" t="str">
        <f t="shared" si="25"/>
        <v>1, 2</v>
      </c>
    </row>
    <row r="38" spans="2:48" ht="15" customHeight="1" x14ac:dyDescent="0.2">
      <c r="B38" s="160"/>
      <c r="C38" s="121" t="s">
        <v>351</v>
      </c>
      <c r="D38" s="121" t="s">
        <v>461</v>
      </c>
      <c r="E38" s="158" t="s">
        <v>639</v>
      </c>
      <c r="F38" s="158">
        <v>810</v>
      </c>
      <c r="G38" s="172">
        <v>9</v>
      </c>
      <c r="H38" s="114">
        <f>VLOOKUP($N38,'UMC Table 4-A'!$A$10:$E$139,4,FALSE)</f>
        <v>2</v>
      </c>
      <c r="I38" s="114" t="str">
        <f>VLOOKUP($N38,'UMC Table 4-A'!$A$10:$E$139,5,FALSE)</f>
        <v>NR</v>
      </c>
      <c r="J38" s="111" t="str">
        <f t="shared" si="0"/>
        <v>-</v>
      </c>
      <c r="K38" s="116">
        <v>0</v>
      </c>
      <c r="L38" s="152">
        <f t="shared" si="1"/>
        <v>250</v>
      </c>
      <c r="M38" s="117">
        <f>F38</f>
        <v>810</v>
      </c>
      <c r="N38" s="111" t="s">
        <v>115</v>
      </c>
      <c r="O38" s="114" t="str">
        <f>VLOOKUP($N38,'UMC Table 4-A'!$A$10:$E$139,2,FALSE)</f>
        <v>NO REQUIREMENT FOR CONTINUOUS DIRECTIONAL CONTROL</v>
      </c>
      <c r="P38" s="174" t="str">
        <f>VLOOKUP($N38,'UMC Table 4-A'!$A$10:$E$139,3,FALSE)</f>
        <v>NR</v>
      </c>
      <c r="Q38" s="152">
        <f t="shared" si="2"/>
        <v>0</v>
      </c>
      <c r="R38" s="112" t="str">
        <f>VLOOKUP($N38,'UMC Table 4-A'!$A$10:$E$139,5,FALSE)</f>
        <v>NR</v>
      </c>
      <c r="S38" s="113">
        <f t="shared" si="3"/>
        <v>810</v>
      </c>
      <c r="T38" s="137">
        <f t="shared" si="4"/>
        <v>810</v>
      </c>
      <c r="U38" s="137">
        <f t="shared" si="5"/>
        <v>810</v>
      </c>
      <c r="V38" s="137">
        <f t="shared" si="6"/>
        <v>0</v>
      </c>
      <c r="W38" s="89">
        <f t="shared" si="7"/>
        <v>0</v>
      </c>
      <c r="X38" s="31" t="str">
        <f t="shared" si="8"/>
        <v>Yes</v>
      </c>
      <c r="Y38" s="32">
        <f t="shared" si="9"/>
        <v>1</v>
      </c>
      <c r="Z38" s="70">
        <f t="shared" si="10"/>
        <v>0</v>
      </c>
      <c r="AA38" s="32">
        <f t="shared" si="11"/>
        <v>6.6666666666666661</v>
      </c>
      <c r="AD38" s="113" t="s">
        <v>366</v>
      </c>
      <c r="AE38" s="113" t="s">
        <v>203</v>
      </c>
      <c r="AF38" s="113" t="s">
        <v>209</v>
      </c>
      <c r="AG38" s="112">
        <f t="shared" si="23"/>
        <v>225</v>
      </c>
      <c r="AH38" s="112">
        <f t="shared" si="13"/>
        <v>6</v>
      </c>
      <c r="AI38" s="112">
        <f t="shared" si="17"/>
        <v>3</v>
      </c>
      <c r="AJ38" s="112">
        <f t="shared" si="24"/>
        <v>0.5</v>
      </c>
      <c r="AK38" s="112">
        <f t="shared" si="24"/>
        <v>140</v>
      </c>
      <c r="AL38" s="112">
        <f t="shared" si="24"/>
        <v>100</v>
      </c>
      <c r="AM38" s="112">
        <f t="shared" si="24"/>
        <v>55</v>
      </c>
      <c r="AN38" s="112">
        <f t="shared" si="24"/>
        <v>85</v>
      </c>
      <c r="AO38" s="112">
        <f t="shared" si="19"/>
        <v>7.3000000000000007</v>
      </c>
      <c r="AP38" s="115">
        <f t="shared" si="20"/>
        <v>0.36500000000000005</v>
      </c>
      <c r="AQ38" s="115">
        <f t="shared" si="16"/>
        <v>0.5</v>
      </c>
      <c r="AR38" s="115">
        <f t="shared" si="21"/>
        <v>5</v>
      </c>
      <c r="AS38" s="115">
        <f t="shared" si="14"/>
        <v>20</v>
      </c>
      <c r="AT38" s="115" t="str">
        <f t="shared" si="25"/>
        <v>F5/M-503</v>
      </c>
      <c r="AU38" s="112" t="str">
        <f t="shared" si="25"/>
        <v>1, 2</v>
      </c>
    </row>
    <row r="39" spans="2:48" ht="15" customHeight="1" x14ac:dyDescent="0.2">
      <c r="B39" s="160"/>
      <c r="C39" s="163" t="s">
        <v>351</v>
      </c>
      <c r="D39" s="121" t="s">
        <v>733</v>
      </c>
      <c r="E39" s="158" t="s">
        <v>779</v>
      </c>
      <c r="F39" s="158">
        <v>72</v>
      </c>
      <c r="G39" s="172">
        <v>9</v>
      </c>
      <c r="H39" s="114">
        <f>VLOOKUP($N39,'UMC Table 4-A'!$A$10:$E$139,4,FALSE)</f>
        <v>10</v>
      </c>
      <c r="I39" s="114" t="str">
        <f>VLOOKUP($N39,'UMC Table 4-A'!$A$10:$E$139,5,FALSE)</f>
        <v>YES</v>
      </c>
      <c r="J39" s="111">
        <f t="shared" si="0"/>
        <v>110</v>
      </c>
      <c r="K39" s="116">
        <v>0</v>
      </c>
      <c r="L39" s="114">
        <f t="shared" si="1"/>
        <v>110</v>
      </c>
      <c r="M39" s="117"/>
      <c r="N39" s="114" t="s">
        <v>94</v>
      </c>
      <c r="O39" s="114" t="str">
        <f>VLOOKUP($N39,'UMC Table 4-A'!$A$10:$E$139,2,FALSE)</f>
        <v>NEGATIVE</v>
      </c>
      <c r="P39" s="174" t="str">
        <f>VLOOKUP($N39,'UMC Table 4-A'!$A$10:$E$139,3,FALSE)</f>
        <v>NR</v>
      </c>
      <c r="Q39" s="152">
        <f t="shared" si="2"/>
        <v>0</v>
      </c>
      <c r="R39" s="112" t="str">
        <f>VLOOKUP($N39,'UMC Table 4-A'!$A$10:$E$139,5,FALSE)</f>
        <v>YES</v>
      </c>
      <c r="S39" s="113">
        <f t="shared" si="3"/>
        <v>0</v>
      </c>
      <c r="T39" s="137">
        <f t="shared" si="4"/>
        <v>0</v>
      </c>
      <c r="U39" s="137">
        <f t="shared" si="5"/>
        <v>0</v>
      </c>
      <c r="V39" s="137">
        <f t="shared" si="6"/>
        <v>110</v>
      </c>
      <c r="W39" s="89">
        <f t="shared" si="7"/>
        <v>-110</v>
      </c>
      <c r="X39" s="31" t="str">
        <f t="shared" si="8"/>
        <v>No</v>
      </c>
      <c r="Y39" s="32">
        <f t="shared" si="9"/>
        <v>0</v>
      </c>
      <c r="Z39" s="70" t="e">
        <f t="shared" si="10"/>
        <v>#DIV/0!</v>
      </c>
      <c r="AA39" s="32">
        <f t="shared" si="11"/>
        <v>0</v>
      </c>
      <c r="AD39" s="113" t="s">
        <v>367</v>
      </c>
      <c r="AE39" s="113" t="s">
        <v>203</v>
      </c>
      <c r="AF39" s="113" t="s">
        <v>209</v>
      </c>
      <c r="AG39" s="112">
        <f t="shared" si="23"/>
        <v>235</v>
      </c>
      <c r="AH39" s="112">
        <f t="shared" si="13"/>
        <v>6</v>
      </c>
      <c r="AI39" s="112">
        <f t="shared" si="17"/>
        <v>3</v>
      </c>
      <c r="AJ39" s="112">
        <f t="shared" si="24"/>
        <v>0.5</v>
      </c>
      <c r="AK39" s="112">
        <f t="shared" si="24"/>
        <v>140</v>
      </c>
      <c r="AL39" s="112">
        <f t="shared" si="24"/>
        <v>100</v>
      </c>
      <c r="AM39" s="112">
        <f t="shared" si="24"/>
        <v>55</v>
      </c>
      <c r="AN39" s="112">
        <f t="shared" si="24"/>
        <v>85</v>
      </c>
      <c r="AO39" s="112">
        <f t="shared" si="19"/>
        <v>7.6000000000000005</v>
      </c>
      <c r="AP39" s="115">
        <f t="shared" si="20"/>
        <v>0.38000000000000006</v>
      </c>
      <c r="AQ39" s="115">
        <f t="shared" si="16"/>
        <v>0.5</v>
      </c>
      <c r="AR39" s="115">
        <f t="shared" si="21"/>
        <v>5</v>
      </c>
      <c r="AS39" s="115">
        <f t="shared" si="14"/>
        <v>20</v>
      </c>
      <c r="AT39" s="115" t="str">
        <f t="shared" si="25"/>
        <v>F5/M-503</v>
      </c>
      <c r="AU39" s="112" t="str">
        <f t="shared" si="25"/>
        <v>1, 2</v>
      </c>
    </row>
    <row r="40" spans="2:48" ht="15" customHeight="1" x14ac:dyDescent="0.2">
      <c r="B40" s="160"/>
      <c r="C40" s="121" t="s">
        <v>352</v>
      </c>
      <c r="D40" s="121" t="s">
        <v>640</v>
      </c>
      <c r="E40" s="158" t="s">
        <v>641</v>
      </c>
      <c r="F40" s="158">
        <v>618</v>
      </c>
      <c r="G40" s="172">
        <v>9</v>
      </c>
      <c r="H40" s="114">
        <f>VLOOKUP($N40,'UMC Table 4-A'!$A$10:$E$139,4,FALSE)</f>
        <v>6</v>
      </c>
      <c r="I40" s="114" t="str">
        <f>VLOOKUP($N40,'UMC Table 4-A'!$A$10:$E$139,5,FALSE)</f>
        <v>NR</v>
      </c>
      <c r="J40" s="111" t="str">
        <f t="shared" ref="J40:J71" si="26">IF(I40="Yes",L40,"-")</f>
        <v>-</v>
      </c>
      <c r="K40" s="116">
        <v>0</v>
      </c>
      <c r="L40" s="152">
        <f t="shared" ref="L40:L71" si="27">IF(H40&lt;&gt;"NR",ROUNDUP((F40*G40*H40)/60,-1),0)</f>
        <v>560</v>
      </c>
      <c r="M40" s="117">
        <f>F40</f>
        <v>618</v>
      </c>
      <c r="N40" s="114" t="s">
        <v>91</v>
      </c>
      <c r="O40" s="114" t="str">
        <f>VLOOKUP($N40,'UMC Table 4-A'!$A$10:$E$139,2,FALSE)</f>
        <v>NO REQUIREMENT FOR CONTINUOUS DIRECTIONAL CONTROL</v>
      </c>
      <c r="P40" s="174">
        <f>VLOOKUP($N40,'UMC Table 4-A'!$A$10:$E$139,3,FALSE)</f>
        <v>2</v>
      </c>
      <c r="Q40" s="152">
        <f t="shared" ref="Q40:Q71" si="28">IF(P40&lt;&gt;"NR",ROUNDUP((F40*G40*P40)/60,-1),0)</f>
        <v>190</v>
      </c>
      <c r="R40" s="112" t="str">
        <f>VLOOKUP($N40,'UMC Table 4-A'!$A$10:$E$139,5,FALSE)</f>
        <v>NR</v>
      </c>
      <c r="S40" s="113">
        <f t="shared" ref="S40:S71" si="29">IF(O40="Negative",IF(OR(N40="Toilet room",N40="Janitor's closet, housekeeping"),0,IF(0.1*V40&gt;50,220-0.1*V40,V40-50)),IF(R40="Yes",0,CEILING(MAX(K40:M40),5)))</f>
        <v>620</v>
      </c>
      <c r="T40" s="137">
        <f t="shared" ref="T40:T71" si="30">S40</f>
        <v>620</v>
      </c>
      <c r="U40" s="137">
        <f t="shared" ref="U40:U71" si="31">IF(R40="Yes",0,IF(O40="Positive",IF(0.1*S40&gt;50,S40-0.1*S40,S40-50),IF(O40="Negative",IF(0.1*S40&gt;50,S40+0.1*S40,S40+50),S40)))</f>
        <v>620</v>
      </c>
      <c r="V40" s="137">
        <f t="shared" ref="V40:V71" si="32">IF(R40="Yes",J40,0)</f>
        <v>0</v>
      </c>
      <c r="W40" s="89">
        <f t="shared" ref="W40:W71" si="33">T40-U40-V40</f>
        <v>0</v>
      </c>
      <c r="X40" s="31" t="str">
        <f t="shared" ref="X40:X71" si="34">IF(S40-U40-V40+W40=0,"Yes","No")</f>
        <v>Yes</v>
      </c>
      <c r="Y40" s="32">
        <f t="shared" ref="Y40:Y71" si="35">S40/F40</f>
        <v>1.0032362459546926</v>
      </c>
      <c r="Z40" s="70">
        <f t="shared" ref="Z40:Z71" si="36">(Q40/T40)*100</f>
        <v>30.64516129032258</v>
      </c>
      <c r="AA40" s="32">
        <f t="shared" ref="AA40:AA71" si="37">S40/F40/G40*60</f>
        <v>6.6882416396979503</v>
      </c>
      <c r="AD40" s="113" t="s">
        <v>368</v>
      </c>
      <c r="AE40" s="113" t="s">
        <v>203</v>
      </c>
      <c r="AF40" s="113" t="s">
        <v>209</v>
      </c>
      <c r="AG40" s="31">
        <f>SUMIF($C$8:$C$117,AD40,$T$8:$T$117)</f>
        <v>300</v>
      </c>
      <c r="AH40" s="112">
        <f t="shared" si="13"/>
        <v>6</v>
      </c>
      <c r="AI40" s="112">
        <f t="shared" si="17"/>
        <v>3</v>
      </c>
      <c r="AJ40" s="112">
        <f t="shared" si="24"/>
        <v>0.5</v>
      </c>
      <c r="AK40" s="112">
        <f t="shared" si="24"/>
        <v>140</v>
      </c>
      <c r="AL40" s="112">
        <f t="shared" si="24"/>
        <v>100</v>
      </c>
      <c r="AM40" s="112">
        <f t="shared" si="24"/>
        <v>55</v>
      </c>
      <c r="AN40" s="112">
        <f t="shared" si="24"/>
        <v>85</v>
      </c>
      <c r="AO40" s="112">
        <f t="shared" si="19"/>
        <v>9.7000000000000011</v>
      </c>
      <c r="AP40" s="115">
        <f t="shared" si="20"/>
        <v>0.4850000000000001</v>
      </c>
      <c r="AQ40" s="115">
        <f t="shared" si="16"/>
        <v>0.5</v>
      </c>
      <c r="AR40" s="115">
        <f t="shared" si="21"/>
        <v>5</v>
      </c>
      <c r="AS40" s="115">
        <f t="shared" si="14"/>
        <v>20</v>
      </c>
      <c r="AT40" s="115" t="str">
        <f t="shared" si="25"/>
        <v>F5/M-503</v>
      </c>
      <c r="AU40" s="112" t="str">
        <f t="shared" si="25"/>
        <v>1, 2</v>
      </c>
    </row>
    <row r="41" spans="2:48" ht="15" customHeight="1" x14ac:dyDescent="0.2">
      <c r="B41" s="160"/>
      <c r="C41" s="121" t="s">
        <v>352</v>
      </c>
      <c r="D41" s="121" t="s">
        <v>640</v>
      </c>
      <c r="E41" s="158" t="s">
        <v>641</v>
      </c>
      <c r="F41" s="158">
        <v>618</v>
      </c>
      <c r="G41" s="172">
        <v>9</v>
      </c>
      <c r="H41" s="114">
        <f>VLOOKUP($N41,'UMC Table 4-A'!$A$10:$E$139,4,FALSE)</f>
        <v>6</v>
      </c>
      <c r="I41" s="114" t="str">
        <f>VLOOKUP($N41,'UMC Table 4-A'!$A$10:$E$139,5,FALSE)</f>
        <v>NR</v>
      </c>
      <c r="J41" s="111" t="str">
        <f t="shared" si="26"/>
        <v>-</v>
      </c>
      <c r="K41" s="116">
        <v>0</v>
      </c>
      <c r="L41" s="152">
        <f t="shared" si="27"/>
        <v>560</v>
      </c>
      <c r="M41" s="117">
        <f>F41</f>
        <v>618</v>
      </c>
      <c r="N41" s="114" t="s">
        <v>91</v>
      </c>
      <c r="O41" s="114" t="str">
        <f>VLOOKUP($N41,'UMC Table 4-A'!$A$10:$E$139,2,FALSE)</f>
        <v>NO REQUIREMENT FOR CONTINUOUS DIRECTIONAL CONTROL</v>
      </c>
      <c r="P41" s="174">
        <f>VLOOKUP($N41,'UMC Table 4-A'!$A$10:$E$139,3,FALSE)</f>
        <v>2</v>
      </c>
      <c r="Q41" s="152">
        <f t="shared" si="28"/>
        <v>190</v>
      </c>
      <c r="R41" s="112" t="str">
        <f>VLOOKUP($N41,'UMC Table 4-A'!$A$10:$E$139,5,FALSE)</f>
        <v>NR</v>
      </c>
      <c r="S41" s="113">
        <f t="shared" si="29"/>
        <v>620</v>
      </c>
      <c r="T41" s="137">
        <f t="shared" si="30"/>
        <v>620</v>
      </c>
      <c r="U41" s="137">
        <f t="shared" si="31"/>
        <v>620</v>
      </c>
      <c r="V41" s="137">
        <f t="shared" si="32"/>
        <v>0</v>
      </c>
      <c r="W41" s="89">
        <f t="shared" si="33"/>
        <v>0</v>
      </c>
      <c r="X41" s="31" t="str">
        <f t="shared" si="34"/>
        <v>Yes</v>
      </c>
      <c r="Y41" s="32">
        <f t="shared" si="35"/>
        <v>1.0032362459546926</v>
      </c>
      <c r="Z41" s="70">
        <f t="shared" si="36"/>
        <v>30.64516129032258</v>
      </c>
      <c r="AA41" s="32">
        <f t="shared" si="37"/>
        <v>6.6882416396979503</v>
      </c>
      <c r="AD41" s="113" t="s">
        <v>369</v>
      </c>
      <c r="AE41" s="113" t="s">
        <v>203</v>
      </c>
      <c r="AF41" s="113" t="s">
        <v>209</v>
      </c>
      <c r="AG41" s="112">
        <f>SUMIF($C$8:$C$87,AD41,$T$8:$T$87)</f>
        <v>1145</v>
      </c>
      <c r="AH41" s="112">
        <f t="shared" si="13"/>
        <v>12</v>
      </c>
      <c r="AI41" s="112">
        <f t="shared" si="17"/>
        <v>6</v>
      </c>
      <c r="AJ41" s="112">
        <f t="shared" si="24"/>
        <v>0.5</v>
      </c>
      <c r="AK41" s="112">
        <f t="shared" si="24"/>
        <v>140</v>
      </c>
      <c r="AL41" s="112">
        <f t="shared" si="24"/>
        <v>100</v>
      </c>
      <c r="AM41" s="112">
        <f t="shared" si="24"/>
        <v>55</v>
      </c>
      <c r="AN41" s="112">
        <f t="shared" si="24"/>
        <v>85</v>
      </c>
      <c r="AO41" s="112">
        <f t="shared" si="19"/>
        <v>37.1</v>
      </c>
      <c r="AP41" s="115">
        <f t="shared" si="20"/>
        <v>1.855</v>
      </c>
      <c r="AQ41" s="115">
        <f t="shared" si="16"/>
        <v>1.855</v>
      </c>
      <c r="AR41" s="115">
        <f t="shared" si="21"/>
        <v>5</v>
      </c>
      <c r="AS41" s="115">
        <f t="shared" si="14"/>
        <v>40</v>
      </c>
      <c r="AT41" s="115" t="str">
        <f t="shared" si="25"/>
        <v>F5/M-503</v>
      </c>
      <c r="AU41" s="112" t="str">
        <f t="shared" si="25"/>
        <v>1, 2</v>
      </c>
    </row>
    <row r="42" spans="2:48" ht="15" customHeight="1" x14ac:dyDescent="0.2">
      <c r="B42" s="160"/>
      <c r="C42" s="121" t="s">
        <v>353</v>
      </c>
      <c r="D42" s="121" t="s">
        <v>461</v>
      </c>
      <c r="E42" s="158" t="s">
        <v>643</v>
      </c>
      <c r="F42" s="158">
        <v>915</v>
      </c>
      <c r="G42" s="172">
        <v>9</v>
      </c>
      <c r="H42" s="114">
        <f>VLOOKUP($N42,'UMC Table 4-A'!$A$10:$E$139,4,FALSE)</f>
        <v>2</v>
      </c>
      <c r="I42" s="114" t="str">
        <f>VLOOKUP($N42,'UMC Table 4-A'!$A$10:$E$139,5,FALSE)</f>
        <v>NR</v>
      </c>
      <c r="J42" s="111" t="str">
        <f t="shared" si="26"/>
        <v>-</v>
      </c>
      <c r="K42" s="116">
        <v>0</v>
      </c>
      <c r="L42" s="152">
        <f t="shared" si="27"/>
        <v>280</v>
      </c>
      <c r="M42" s="117">
        <f>F42</f>
        <v>915</v>
      </c>
      <c r="N42" s="111" t="s">
        <v>115</v>
      </c>
      <c r="O42" s="114" t="str">
        <f>VLOOKUP($N42,'UMC Table 4-A'!$A$10:$E$139,2,FALSE)</f>
        <v>NO REQUIREMENT FOR CONTINUOUS DIRECTIONAL CONTROL</v>
      </c>
      <c r="P42" s="174" t="str">
        <f>VLOOKUP($N42,'UMC Table 4-A'!$A$10:$E$139,3,FALSE)</f>
        <v>NR</v>
      </c>
      <c r="Q42" s="152">
        <f t="shared" si="28"/>
        <v>0</v>
      </c>
      <c r="R42" s="112" t="str">
        <f>VLOOKUP($N42,'UMC Table 4-A'!$A$10:$E$139,5,FALSE)</f>
        <v>NR</v>
      </c>
      <c r="S42" s="113">
        <f t="shared" si="29"/>
        <v>915</v>
      </c>
      <c r="T42" s="137">
        <f t="shared" si="30"/>
        <v>915</v>
      </c>
      <c r="U42" s="137">
        <f t="shared" si="31"/>
        <v>915</v>
      </c>
      <c r="V42" s="137">
        <f t="shared" si="32"/>
        <v>0</v>
      </c>
      <c r="W42" s="89">
        <f t="shared" si="33"/>
        <v>0</v>
      </c>
      <c r="X42" s="31" t="str">
        <f t="shared" si="34"/>
        <v>Yes</v>
      </c>
      <c r="Y42" s="32">
        <f t="shared" si="35"/>
        <v>1</v>
      </c>
      <c r="Z42" s="70">
        <f t="shared" si="36"/>
        <v>0</v>
      </c>
      <c r="AA42" s="32">
        <f t="shared" si="37"/>
        <v>6.6666666666666661</v>
      </c>
      <c r="AD42" s="113" t="s">
        <v>370</v>
      </c>
      <c r="AE42" s="113" t="s">
        <v>203</v>
      </c>
      <c r="AF42" s="113" t="s">
        <v>209</v>
      </c>
      <c r="AG42" s="112">
        <f>SUMIF($C$8:$C$87,AD42,$T$8:$T$87)</f>
        <v>165</v>
      </c>
      <c r="AH42" s="112">
        <f t="shared" si="13"/>
        <v>6</v>
      </c>
      <c r="AI42" s="112">
        <f t="shared" si="17"/>
        <v>3</v>
      </c>
      <c r="AJ42" s="112">
        <f t="shared" ref="AJ42:AN44" si="38">AJ41</f>
        <v>0.5</v>
      </c>
      <c r="AK42" s="112">
        <f t="shared" si="38"/>
        <v>140</v>
      </c>
      <c r="AL42" s="112">
        <f t="shared" si="38"/>
        <v>100</v>
      </c>
      <c r="AM42" s="112">
        <f t="shared" si="38"/>
        <v>55</v>
      </c>
      <c r="AN42" s="112">
        <f t="shared" si="38"/>
        <v>85</v>
      </c>
      <c r="AO42" s="112">
        <f t="shared" si="19"/>
        <v>5.3000000000000007</v>
      </c>
      <c r="AP42" s="115">
        <f t="shared" si="20"/>
        <v>0.26500000000000007</v>
      </c>
      <c r="AQ42" s="115">
        <f t="shared" si="16"/>
        <v>0.5</v>
      </c>
      <c r="AR42" s="115">
        <f t="shared" si="21"/>
        <v>5</v>
      </c>
      <c r="AS42" s="115">
        <f t="shared" si="14"/>
        <v>20</v>
      </c>
      <c r="AT42" s="115" t="str">
        <f t="shared" ref="AT42:AU44" si="39">AT41</f>
        <v>F5/M-503</v>
      </c>
      <c r="AU42" s="112" t="str">
        <f t="shared" si="39"/>
        <v>1, 2</v>
      </c>
    </row>
    <row r="43" spans="2:48" ht="15" customHeight="1" x14ac:dyDescent="0.2">
      <c r="B43" s="160"/>
      <c r="C43" s="121" t="s">
        <v>353</v>
      </c>
      <c r="D43" s="121" t="s">
        <v>599</v>
      </c>
      <c r="E43" s="158" t="s">
        <v>642</v>
      </c>
      <c r="F43" s="158">
        <v>280</v>
      </c>
      <c r="G43" s="172">
        <v>9</v>
      </c>
      <c r="H43" s="114">
        <f>VLOOKUP($N43,'UMC Table 4-A'!$A$10:$E$139,4,FALSE)</f>
        <v>6</v>
      </c>
      <c r="I43" s="114" t="str">
        <f>VLOOKUP($N43,'UMC Table 4-A'!$A$10:$E$139,5,FALSE)</f>
        <v>NR</v>
      </c>
      <c r="J43" s="111" t="str">
        <f t="shared" si="26"/>
        <v>-</v>
      </c>
      <c r="K43" s="116">
        <v>0</v>
      </c>
      <c r="L43" s="152">
        <f t="shared" si="27"/>
        <v>260</v>
      </c>
      <c r="M43" s="117">
        <f>F43</f>
        <v>280</v>
      </c>
      <c r="N43" s="114" t="s">
        <v>91</v>
      </c>
      <c r="O43" s="114" t="str">
        <f>VLOOKUP($N43,'UMC Table 4-A'!$A$10:$E$139,2,FALSE)</f>
        <v>NO REQUIREMENT FOR CONTINUOUS DIRECTIONAL CONTROL</v>
      </c>
      <c r="P43" s="174">
        <f>VLOOKUP($N43,'UMC Table 4-A'!$A$10:$E$139,3,FALSE)</f>
        <v>2</v>
      </c>
      <c r="Q43" s="152">
        <f t="shared" si="28"/>
        <v>90</v>
      </c>
      <c r="R43" s="112" t="str">
        <f>VLOOKUP($N43,'UMC Table 4-A'!$A$10:$E$139,5,FALSE)</f>
        <v>NR</v>
      </c>
      <c r="S43" s="113">
        <f t="shared" si="29"/>
        <v>280</v>
      </c>
      <c r="T43" s="137">
        <f t="shared" si="30"/>
        <v>280</v>
      </c>
      <c r="U43" s="137">
        <f t="shared" si="31"/>
        <v>280</v>
      </c>
      <c r="V43" s="137">
        <f t="shared" si="32"/>
        <v>0</v>
      </c>
      <c r="W43" s="89">
        <f t="shared" si="33"/>
        <v>0</v>
      </c>
      <c r="X43" s="31" t="str">
        <f t="shared" si="34"/>
        <v>Yes</v>
      </c>
      <c r="Y43" s="32">
        <f t="shared" si="35"/>
        <v>1</v>
      </c>
      <c r="Z43" s="70">
        <f t="shared" si="36"/>
        <v>32.142857142857146</v>
      </c>
      <c r="AA43" s="32">
        <f t="shared" si="37"/>
        <v>6.6666666666666661</v>
      </c>
      <c r="AD43" s="113" t="s">
        <v>371</v>
      </c>
      <c r="AE43" s="113" t="s">
        <v>203</v>
      </c>
      <c r="AF43" s="113" t="s">
        <v>209</v>
      </c>
      <c r="AG43" s="112">
        <f>SUMIF($C$8:$C$87,AD43,$T$8:$T$87)</f>
        <v>155</v>
      </c>
      <c r="AH43" s="112">
        <f t="shared" si="13"/>
        <v>6</v>
      </c>
      <c r="AI43" s="112">
        <f t="shared" si="17"/>
        <v>3</v>
      </c>
      <c r="AJ43" s="112">
        <f t="shared" si="38"/>
        <v>0.5</v>
      </c>
      <c r="AK43" s="112">
        <f t="shared" si="38"/>
        <v>140</v>
      </c>
      <c r="AL43" s="112">
        <f t="shared" si="38"/>
        <v>100</v>
      </c>
      <c r="AM43" s="112">
        <f t="shared" si="38"/>
        <v>55</v>
      </c>
      <c r="AN43" s="112">
        <f t="shared" si="38"/>
        <v>85</v>
      </c>
      <c r="AO43" s="112">
        <f t="shared" si="19"/>
        <v>5</v>
      </c>
      <c r="AP43" s="115">
        <f t="shared" si="20"/>
        <v>0.25</v>
      </c>
      <c r="AQ43" s="115">
        <f t="shared" si="16"/>
        <v>0.5</v>
      </c>
      <c r="AR43" s="115">
        <f t="shared" si="21"/>
        <v>5</v>
      </c>
      <c r="AS43" s="115">
        <f t="shared" si="14"/>
        <v>20</v>
      </c>
      <c r="AT43" s="115" t="str">
        <f>AT42</f>
        <v>F5/M-503</v>
      </c>
      <c r="AU43" s="112" t="str">
        <f t="shared" si="39"/>
        <v>1, 2</v>
      </c>
    </row>
    <row r="44" spans="2:48" ht="15" customHeight="1" x14ac:dyDescent="0.2">
      <c r="B44" s="160"/>
      <c r="C44" s="121" t="s">
        <v>354</v>
      </c>
      <c r="D44" s="121" t="s">
        <v>569</v>
      </c>
      <c r="E44" s="158" t="s">
        <v>644</v>
      </c>
      <c r="F44" s="158">
        <v>247</v>
      </c>
      <c r="G44" s="173">
        <v>9.5</v>
      </c>
      <c r="H44" s="114">
        <f>VLOOKUP($N44,'UMC Table 4-A'!$A$10:$E$139,4,FALSE)</f>
        <v>4</v>
      </c>
      <c r="I44" s="114" t="str">
        <f>VLOOKUP($N44,'UMC Table 4-A'!$A$10:$E$139,5,FALSE)</f>
        <v>NR</v>
      </c>
      <c r="J44" s="111" t="str">
        <f t="shared" si="26"/>
        <v>-</v>
      </c>
      <c r="K44" s="116">
        <v>0</v>
      </c>
      <c r="L44" s="114">
        <f t="shared" si="27"/>
        <v>160</v>
      </c>
      <c r="M44" s="114">
        <f>F44</f>
        <v>247</v>
      </c>
      <c r="N44" s="114" t="s">
        <v>123</v>
      </c>
      <c r="O44" s="114" t="str">
        <f>VLOOKUP($N44,'UMC Table 4-A'!$A$10:$E$139,2,FALSE)</f>
        <v>NO REQUIREMENT FOR CONTINUOUS DIRECTIONAL CONTROL</v>
      </c>
      <c r="P44" s="174">
        <f>VLOOKUP($N44,'UMC Table 4-A'!$A$10:$E$139,3,FALSE)</f>
        <v>2</v>
      </c>
      <c r="Q44" s="152">
        <f t="shared" si="28"/>
        <v>80</v>
      </c>
      <c r="R44" s="112" t="str">
        <f>VLOOKUP($N44,'UMC Table 4-A'!$A$10:$E$139,5,FALSE)</f>
        <v>NR</v>
      </c>
      <c r="S44" s="113">
        <f t="shared" si="29"/>
        <v>250</v>
      </c>
      <c r="T44" s="137">
        <f t="shared" si="30"/>
        <v>250</v>
      </c>
      <c r="U44" s="137">
        <f t="shared" si="31"/>
        <v>250</v>
      </c>
      <c r="V44" s="137">
        <f t="shared" si="32"/>
        <v>0</v>
      </c>
      <c r="W44" s="89">
        <f t="shared" si="33"/>
        <v>0</v>
      </c>
      <c r="X44" s="31" t="str">
        <f t="shared" si="34"/>
        <v>Yes</v>
      </c>
      <c r="Y44" s="32">
        <f t="shared" si="35"/>
        <v>1.0121457489878543</v>
      </c>
      <c r="Z44" s="70">
        <f t="shared" si="36"/>
        <v>32</v>
      </c>
      <c r="AA44" s="32">
        <f t="shared" si="37"/>
        <v>6.392499467291711</v>
      </c>
      <c r="AD44" s="113" t="s">
        <v>372</v>
      </c>
      <c r="AE44" s="113" t="s">
        <v>203</v>
      </c>
      <c r="AF44" s="113" t="s">
        <v>209</v>
      </c>
      <c r="AG44" s="31">
        <f>SUMIF($C$8:$C$117,AD44,$T$8:$T$117)</f>
        <v>255</v>
      </c>
      <c r="AH44" s="112">
        <f t="shared" si="13"/>
        <v>6</v>
      </c>
      <c r="AI44" s="112">
        <f t="shared" si="17"/>
        <v>3</v>
      </c>
      <c r="AJ44" s="112">
        <f t="shared" si="38"/>
        <v>0.5</v>
      </c>
      <c r="AK44" s="112">
        <f t="shared" si="38"/>
        <v>140</v>
      </c>
      <c r="AL44" s="112">
        <f t="shared" si="38"/>
        <v>100</v>
      </c>
      <c r="AM44" s="112">
        <f t="shared" si="38"/>
        <v>55</v>
      </c>
      <c r="AN44" s="112">
        <f t="shared" si="38"/>
        <v>85</v>
      </c>
      <c r="AO44" s="112">
        <f t="shared" si="19"/>
        <v>8.3000000000000007</v>
      </c>
      <c r="AP44" s="115">
        <f t="shared" si="20"/>
        <v>0.41499999999999998</v>
      </c>
      <c r="AQ44" s="115">
        <f t="shared" si="16"/>
        <v>0.5</v>
      </c>
      <c r="AR44" s="115">
        <f t="shared" si="21"/>
        <v>5</v>
      </c>
      <c r="AS44" s="115">
        <f t="shared" si="14"/>
        <v>20</v>
      </c>
      <c r="AT44" s="115" t="str">
        <f t="shared" si="39"/>
        <v>F5/M-503</v>
      </c>
      <c r="AU44" s="112" t="str">
        <f t="shared" si="39"/>
        <v>1, 2</v>
      </c>
    </row>
    <row r="45" spans="2:48" ht="15" customHeight="1" x14ac:dyDescent="0.2">
      <c r="B45" s="160"/>
      <c r="C45" s="164" t="s">
        <v>354</v>
      </c>
      <c r="D45" s="121" t="s">
        <v>733</v>
      </c>
      <c r="E45" s="158" t="s">
        <v>778</v>
      </c>
      <c r="F45" s="158">
        <v>67</v>
      </c>
      <c r="G45" s="172">
        <v>8</v>
      </c>
      <c r="H45" s="114">
        <f>VLOOKUP($N45,'UMC Table 4-A'!$A$10:$E$139,4,FALSE)</f>
        <v>10</v>
      </c>
      <c r="I45" s="114" t="str">
        <f>VLOOKUP($N45,'UMC Table 4-A'!$A$10:$E$139,5,FALSE)</f>
        <v>YES</v>
      </c>
      <c r="J45" s="111">
        <f t="shared" si="26"/>
        <v>90</v>
      </c>
      <c r="K45" s="116">
        <v>0</v>
      </c>
      <c r="L45" s="114">
        <f t="shared" si="27"/>
        <v>90</v>
      </c>
      <c r="M45" s="117"/>
      <c r="N45" s="114" t="s">
        <v>94</v>
      </c>
      <c r="O45" s="114" t="str">
        <f>VLOOKUP($N45,'UMC Table 4-A'!$A$10:$E$139,2,FALSE)</f>
        <v>NEGATIVE</v>
      </c>
      <c r="P45" s="174" t="str">
        <f>VLOOKUP($N45,'UMC Table 4-A'!$A$10:$E$139,3,FALSE)</f>
        <v>NR</v>
      </c>
      <c r="Q45" s="152">
        <f t="shared" si="28"/>
        <v>0</v>
      </c>
      <c r="R45" s="112" t="str">
        <f>VLOOKUP($N45,'UMC Table 4-A'!$A$10:$E$139,5,FALSE)</f>
        <v>YES</v>
      </c>
      <c r="S45" s="113">
        <f t="shared" si="29"/>
        <v>0</v>
      </c>
      <c r="T45" s="137">
        <f t="shared" si="30"/>
        <v>0</v>
      </c>
      <c r="U45" s="137">
        <f t="shared" si="31"/>
        <v>0</v>
      </c>
      <c r="V45" s="137">
        <f t="shared" si="32"/>
        <v>90</v>
      </c>
      <c r="W45" s="89">
        <f t="shared" si="33"/>
        <v>-90</v>
      </c>
      <c r="X45" s="31" t="str">
        <f t="shared" si="34"/>
        <v>No</v>
      </c>
      <c r="Y45" s="32">
        <f t="shared" si="35"/>
        <v>0</v>
      </c>
      <c r="Z45" s="70" t="e">
        <f t="shared" si="36"/>
        <v>#DIV/0!</v>
      </c>
      <c r="AA45" s="32">
        <f t="shared" si="37"/>
        <v>0</v>
      </c>
      <c r="AD45" s="113" t="s">
        <v>373</v>
      </c>
      <c r="AE45" s="113" t="s">
        <v>203</v>
      </c>
      <c r="AF45" s="113" t="s">
        <v>209</v>
      </c>
      <c r="AG45" s="31">
        <f t="shared" ref="AG45:AG58" si="40">SUMIF($C$8:$C$117,AD45,$T$8:$T$117)</f>
        <v>295</v>
      </c>
      <c r="AH45" s="112">
        <f t="shared" ref="AH45:AH58" si="41">VLOOKUP(AG45,$AX$12:$AY$17,2,TRUE)</f>
        <v>6</v>
      </c>
      <c r="AI45" s="112">
        <f t="shared" ref="AI45:AI58" si="42">AH45/2</f>
        <v>3</v>
      </c>
      <c r="AJ45" s="112">
        <f t="shared" ref="AJ45:AN45" si="43">AJ44</f>
        <v>0.5</v>
      </c>
      <c r="AK45" s="112">
        <f t="shared" si="43"/>
        <v>140</v>
      </c>
      <c r="AL45" s="112">
        <f t="shared" si="43"/>
        <v>100</v>
      </c>
      <c r="AM45" s="112">
        <f t="shared" si="43"/>
        <v>55</v>
      </c>
      <c r="AN45" s="112">
        <f t="shared" si="43"/>
        <v>85</v>
      </c>
      <c r="AO45" s="112">
        <f t="shared" ref="AO45:AO58" si="44">MROUND((1.08*(AN45-AM45)*AG45)/1000,0.1)</f>
        <v>9.6000000000000014</v>
      </c>
      <c r="AP45" s="115">
        <f t="shared" ref="AP45:AP58" si="45">(AO45*1000)/(500*(AK45-AL45))</f>
        <v>0.48000000000000009</v>
      </c>
      <c r="AQ45" s="115">
        <f t="shared" ref="AQ45:AQ58" si="46">IF(AP45&lt;0.5,0.5,AP45)</f>
        <v>0.5</v>
      </c>
      <c r="AR45" s="115">
        <f t="shared" si="21"/>
        <v>5</v>
      </c>
      <c r="AS45" s="115">
        <f t="shared" ref="AS45:AS58" si="47">_xlfn.XLOOKUP(AH45,$AY$12:$AY$17,$AZ$12:$AZ$17,)</f>
        <v>20</v>
      </c>
      <c r="AT45" s="115" t="str">
        <f t="shared" ref="AT45:AU45" si="48">AT44</f>
        <v>F5/M-503</v>
      </c>
      <c r="AU45" s="112" t="str">
        <f t="shared" si="48"/>
        <v>1, 2</v>
      </c>
      <c r="AV45" s="17"/>
    </row>
    <row r="46" spans="2:48" ht="15" customHeight="1" x14ac:dyDescent="0.2">
      <c r="B46" s="160"/>
      <c r="C46" s="121" t="s">
        <v>355</v>
      </c>
      <c r="D46" s="121" t="s">
        <v>569</v>
      </c>
      <c r="E46" s="158" t="s">
        <v>645</v>
      </c>
      <c r="F46" s="158">
        <v>237</v>
      </c>
      <c r="G46" s="173">
        <v>9.5</v>
      </c>
      <c r="H46" s="114">
        <f>VLOOKUP($N46,'UMC Table 4-A'!$A$10:$E$139,4,FALSE)</f>
        <v>4</v>
      </c>
      <c r="I46" s="114" t="str">
        <f>VLOOKUP($N46,'UMC Table 4-A'!$A$10:$E$139,5,FALSE)</f>
        <v>NR</v>
      </c>
      <c r="J46" s="111" t="str">
        <f t="shared" si="26"/>
        <v>-</v>
      </c>
      <c r="K46" s="116">
        <v>0</v>
      </c>
      <c r="L46" s="114">
        <f t="shared" si="27"/>
        <v>160</v>
      </c>
      <c r="M46" s="117">
        <f>F46</f>
        <v>237</v>
      </c>
      <c r="N46" s="114" t="s">
        <v>123</v>
      </c>
      <c r="O46" s="114" t="str">
        <f>VLOOKUP($N46,'UMC Table 4-A'!$A$10:$E$139,2,FALSE)</f>
        <v>NO REQUIREMENT FOR CONTINUOUS DIRECTIONAL CONTROL</v>
      </c>
      <c r="P46" s="174">
        <f>VLOOKUP($N46,'UMC Table 4-A'!$A$10:$E$139,3,FALSE)</f>
        <v>2</v>
      </c>
      <c r="Q46" s="152">
        <f t="shared" si="28"/>
        <v>80</v>
      </c>
      <c r="R46" s="112" t="str">
        <f>VLOOKUP($N46,'UMC Table 4-A'!$A$10:$E$139,5,FALSE)</f>
        <v>NR</v>
      </c>
      <c r="S46" s="113">
        <f t="shared" si="29"/>
        <v>240</v>
      </c>
      <c r="T46" s="137">
        <f t="shared" si="30"/>
        <v>240</v>
      </c>
      <c r="U46" s="137">
        <f t="shared" si="31"/>
        <v>240</v>
      </c>
      <c r="V46" s="137">
        <f t="shared" si="32"/>
        <v>0</v>
      </c>
      <c r="W46" s="89">
        <f t="shared" si="33"/>
        <v>0</v>
      </c>
      <c r="X46" s="31" t="str">
        <f t="shared" si="34"/>
        <v>Yes</v>
      </c>
      <c r="Y46" s="32">
        <f t="shared" si="35"/>
        <v>1.0126582278481013</v>
      </c>
      <c r="Z46" s="70">
        <f t="shared" si="36"/>
        <v>33.333333333333329</v>
      </c>
      <c r="AA46" s="32">
        <f t="shared" si="37"/>
        <v>6.3957361758827451</v>
      </c>
      <c r="AD46" s="113" t="s">
        <v>374</v>
      </c>
      <c r="AE46" s="113" t="s">
        <v>203</v>
      </c>
      <c r="AF46" s="113" t="s">
        <v>209</v>
      </c>
      <c r="AG46" s="31">
        <f t="shared" si="40"/>
        <v>105</v>
      </c>
      <c r="AH46" s="112">
        <f t="shared" si="41"/>
        <v>6</v>
      </c>
      <c r="AI46" s="112">
        <f t="shared" si="42"/>
        <v>3</v>
      </c>
      <c r="AJ46" s="112">
        <f t="shared" ref="AJ46:AN46" si="49">AJ45</f>
        <v>0.5</v>
      </c>
      <c r="AK46" s="112">
        <f t="shared" si="49"/>
        <v>140</v>
      </c>
      <c r="AL46" s="112">
        <f t="shared" si="49"/>
        <v>100</v>
      </c>
      <c r="AM46" s="112">
        <f t="shared" si="49"/>
        <v>55</v>
      </c>
      <c r="AN46" s="112">
        <f t="shared" si="49"/>
        <v>85</v>
      </c>
      <c r="AO46" s="112">
        <f t="shared" si="44"/>
        <v>3.4000000000000004</v>
      </c>
      <c r="AP46" s="115">
        <f t="shared" si="45"/>
        <v>0.17</v>
      </c>
      <c r="AQ46" s="115">
        <f t="shared" si="46"/>
        <v>0.5</v>
      </c>
      <c r="AR46" s="115">
        <f t="shared" si="21"/>
        <v>5</v>
      </c>
      <c r="AS46" s="115">
        <f t="shared" si="47"/>
        <v>20</v>
      </c>
      <c r="AT46" s="115" t="str">
        <f t="shared" ref="AT46:AU46" si="50">AT45</f>
        <v>F5/M-503</v>
      </c>
      <c r="AU46" s="112" t="str">
        <f t="shared" si="50"/>
        <v>1, 2</v>
      </c>
      <c r="AV46" s="17"/>
    </row>
    <row r="47" spans="2:48" ht="15" customHeight="1" x14ac:dyDescent="0.2">
      <c r="B47" s="160"/>
      <c r="C47" s="164" t="s">
        <v>355</v>
      </c>
      <c r="D47" s="121" t="s">
        <v>733</v>
      </c>
      <c r="E47" s="158" t="s">
        <v>806</v>
      </c>
      <c r="F47" s="158">
        <v>64</v>
      </c>
      <c r="G47" s="172">
        <v>8</v>
      </c>
      <c r="H47" s="114">
        <f>VLOOKUP($N47,'UMC Table 4-A'!$A$10:$E$139,4,FALSE)</f>
        <v>10</v>
      </c>
      <c r="I47" s="114" t="str">
        <f>VLOOKUP($N47,'UMC Table 4-A'!$A$10:$E$139,5,FALSE)</f>
        <v>YES</v>
      </c>
      <c r="J47" s="111">
        <f t="shared" si="26"/>
        <v>90</v>
      </c>
      <c r="K47" s="116">
        <v>0</v>
      </c>
      <c r="L47" s="114">
        <f t="shared" si="27"/>
        <v>90</v>
      </c>
      <c r="M47" s="117"/>
      <c r="N47" s="114" t="s">
        <v>94</v>
      </c>
      <c r="O47" s="114" t="str">
        <f>VLOOKUP($N47,'UMC Table 4-A'!$A$10:$E$139,2,FALSE)</f>
        <v>NEGATIVE</v>
      </c>
      <c r="P47" s="174" t="str">
        <f>VLOOKUP($N47,'UMC Table 4-A'!$A$10:$E$139,3,FALSE)</f>
        <v>NR</v>
      </c>
      <c r="Q47" s="152">
        <f t="shared" si="28"/>
        <v>0</v>
      </c>
      <c r="R47" s="112" t="str">
        <f>VLOOKUP($N47,'UMC Table 4-A'!$A$10:$E$139,5,FALSE)</f>
        <v>YES</v>
      </c>
      <c r="S47" s="113">
        <f t="shared" si="29"/>
        <v>0</v>
      </c>
      <c r="T47" s="137">
        <f t="shared" si="30"/>
        <v>0</v>
      </c>
      <c r="U47" s="137">
        <f t="shared" si="31"/>
        <v>0</v>
      </c>
      <c r="V47" s="137">
        <f t="shared" si="32"/>
        <v>90</v>
      </c>
      <c r="W47" s="89">
        <f t="shared" si="33"/>
        <v>-90</v>
      </c>
      <c r="X47" s="31" t="str">
        <f t="shared" si="34"/>
        <v>No</v>
      </c>
      <c r="Y47" s="32">
        <f t="shared" si="35"/>
        <v>0</v>
      </c>
      <c r="Z47" s="70" t="e">
        <f t="shared" si="36"/>
        <v>#DIV/0!</v>
      </c>
      <c r="AA47" s="32">
        <f t="shared" si="37"/>
        <v>0</v>
      </c>
      <c r="AD47" s="113" t="s">
        <v>375</v>
      </c>
      <c r="AE47" s="113" t="s">
        <v>203</v>
      </c>
      <c r="AF47" s="113" t="s">
        <v>209</v>
      </c>
      <c r="AG47" s="31">
        <f t="shared" si="40"/>
        <v>500</v>
      </c>
      <c r="AH47" s="112">
        <f t="shared" si="41"/>
        <v>8</v>
      </c>
      <c r="AI47" s="112">
        <f t="shared" si="42"/>
        <v>4</v>
      </c>
      <c r="AJ47" s="112">
        <f t="shared" ref="AJ47:AN47" si="51">AJ46</f>
        <v>0.5</v>
      </c>
      <c r="AK47" s="112">
        <f t="shared" si="51"/>
        <v>140</v>
      </c>
      <c r="AL47" s="112">
        <f t="shared" si="51"/>
        <v>100</v>
      </c>
      <c r="AM47" s="112">
        <f t="shared" si="51"/>
        <v>55</v>
      </c>
      <c r="AN47" s="112">
        <f t="shared" si="51"/>
        <v>85</v>
      </c>
      <c r="AO47" s="112">
        <f t="shared" si="44"/>
        <v>16.2</v>
      </c>
      <c r="AP47" s="115">
        <f t="shared" si="45"/>
        <v>0.81</v>
      </c>
      <c r="AQ47" s="115">
        <f t="shared" si="46"/>
        <v>0.81</v>
      </c>
      <c r="AR47" s="115">
        <f t="shared" si="21"/>
        <v>5</v>
      </c>
      <c r="AS47" s="115">
        <f t="shared" si="47"/>
        <v>25</v>
      </c>
      <c r="AT47" s="115" t="str">
        <f t="shared" ref="AT47:AU47" si="52">AT46</f>
        <v>F5/M-503</v>
      </c>
      <c r="AU47" s="112" t="str">
        <f t="shared" si="52"/>
        <v>1, 2</v>
      </c>
      <c r="AV47" s="17"/>
    </row>
    <row r="48" spans="2:48" ht="15" customHeight="1" x14ac:dyDescent="0.2">
      <c r="B48" s="160"/>
      <c r="C48" s="121" t="s">
        <v>356</v>
      </c>
      <c r="D48" s="121" t="s">
        <v>569</v>
      </c>
      <c r="E48" s="158" t="s">
        <v>646</v>
      </c>
      <c r="F48" s="158">
        <v>232</v>
      </c>
      <c r="G48" s="173">
        <v>9.5</v>
      </c>
      <c r="H48" s="114">
        <f>VLOOKUP($N48,'UMC Table 4-A'!$A$10:$E$139,4,FALSE)</f>
        <v>4</v>
      </c>
      <c r="I48" s="114" t="str">
        <f>VLOOKUP($N48,'UMC Table 4-A'!$A$10:$E$139,5,FALSE)</f>
        <v>NR</v>
      </c>
      <c r="J48" s="111" t="str">
        <f t="shared" si="26"/>
        <v>-</v>
      </c>
      <c r="K48" s="116">
        <v>0</v>
      </c>
      <c r="L48" s="114">
        <f t="shared" si="27"/>
        <v>150</v>
      </c>
      <c r="M48" s="117">
        <f>F48</f>
        <v>232</v>
      </c>
      <c r="N48" s="114" t="s">
        <v>123</v>
      </c>
      <c r="O48" s="114" t="str">
        <f>VLOOKUP($N48,'UMC Table 4-A'!$A$10:$E$139,2,FALSE)</f>
        <v>NO REQUIREMENT FOR CONTINUOUS DIRECTIONAL CONTROL</v>
      </c>
      <c r="P48" s="174">
        <f>VLOOKUP($N48,'UMC Table 4-A'!$A$10:$E$139,3,FALSE)</f>
        <v>2</v>
      </c>
      <c r="Q48" s="152">
        <f t="shared" si="28"/>
        <v>80</v>
      </c>
      <c r="R48" s="112" t="str">
        <f>VLOOKUP($N48,'UMC Table 4-A'!$A$10:$E$139,5,FALSE)</f>
        <v>NR</v>
      </c>
      <c r="S48" s="113">
        <f t="shared" si="29"/>
        <v>235</v>
      </c>
      <c r="T48" s="137">
        <f t="shared" si="30"/>
        <v>235</v>
      </c>
      <c r="U48" s="137">
        <f t="shared" si="31"/>
        <v>235</v>
      </c>
      <c r="V48" s="137">
        <f t="shared" si="32"/>
        <v>0</v>
      </c>
      <c r="W48" s="89">
        <f t="shared" si="33"/>
        <v>0</v>
      </c>
      <c r="X48" s="31" t="str">
        <f t="shared" si="34"/>
        <v>Yes</v>
      </c>
      <c r="Y48" s="32">
        <f t="shared" si="35"/>
        <v>1.0129310344827587</v>
      </c>
      <c r="Z48" s="70">
        <f t="shared" si="36"/>
        <v>34.042553191489361</v>
      </c>
      <c r="AA48" s="32">
        <f t="shared" si="37"/>
        <v>6.3974591651542649</v>
      </c>
      <c r="AD48" s="113" t="s">
        <v>376</v>
      </c>
      <c r="AE48" s="113" t="s">
        <v>203</v>
      </c>
      <c r="AF48" s="113" t="s">
        <v>209</v>
      </c>
      <c r="AG48" s="31">
        <f t="shared" si="40"/>
        <v>0</v>
      </c>
      <c r="AH48" s="112" t="e">
        <f t="shared" si="41"/>
        <v>#N/A</v>
      </c>
      <c r="AI48" s="112" t="e">
        <f t="shared" si="42"/>
        <v>#N/A</v>
      </c>
      <c r="AJ48" s="112">
        <f t="shared" ref="AJ48:AN48" si="53">AJ47</f>
        <v>0.5</v>
      </c>
      <c r="AK48" s="112">
        <f t="shared" si="53"/>
        <v>140</v>
      </c>
      <c r="AL48" s="112">
        <f t="shared" si="53"/>
        <v>100</v>
      </c>
      <c r="AM48" s="112">
        <f t="shared" si="53"/>
        <v>55</v>
      </c>
      <c r="AN48" s="112">
        <f t="shared" si="53"/>
        <v>85</v>
      </c>
      <c r="AO48" s="112">
        <f t="shared" si="44"/>
        <v>0</v>
      </c>
      <c r="AP48" s="115">
        <f t="shared" si="45"/>
        <v>0</v>
      </c>
      <c r="AQ48" s="115">
        <f t="shared" si="46"/>
        <v>0.5</v>
      </c>
      <c r="AR48" s="115">
        <f t="shared" si="21"/>
        <v>5</v>
      </c>
      <c r="AS48" s="115" t="e">
        <f t="shared" si="47"/>
        <v>#N/A</v>
      </c>
      <c r="AT48" s="115" t="str">
        <f t="shared" ref="AT48:AU48" si="54">AT47</f>
        <v>F5/M-503</v>
      </c>
      <c r="AU48" s="112" t="str">
        <f t="shared" si="54"/>
        <v>1, 2</v>
      </c>
      <c r="AV48" s="17"/>
    </row>
    <row r="49" spans="2:48" ht="15" customHeight="1" x14ac:dyDescent="0.2">
      <c r="B49" s="160"/>
      <c r="C49" s="164" t="s">
        <v>356</v>
      </c>
      <c r="D49" s="121" t="s">
        <v>733</v>
      </c>
      <c r="E49" s="158" t="s">
        <v>805</v>
      </c>
      <c r="F49" s="158">
        <v>64</v>
      </c>
      <c r="G49" s="172">
        <v>8</v>
      </c>
      <c r="H49" s="114">
        <f>VLOOKUP($N49,'UMC Table 4-A'!$A$10:$E$139,4,FALSE)</f>
        <v>10</v>
      </c>
      <c r="I49" s="114" t="str">
        <f>VLOOKUP($N49,'UMC Table 4-A'!$A$10:$E$139,5,FALSE)</f>
        <v>YES</v>
      </c>
      <c r="J49" s="111">
        <f t="shared" si="26"/>
        <v>90</v>
      </c>
      <c r="K49" s="116">
        <v>0</v>
      </c>
      <c r="L49" s="114">
        <f t="shared" si="27"/>
        <v>90</v>
      </c>
      <c r="M49" s="117"/>
      <c r="N49" s="114" t="s">
        <v>94</v>
      </c>
      <c r="O49" s="114" t="str">
        <f>VLOOKUP($N49,'UMC Table 4-A'!$A$10:$E$139,2,FALSE)</f>
        <v>NEGATIVE</v>
      </c>
      <c r="P49" s="174" t="str">
        <f>VLOOKUP($N49,'UMC Table 4-A'!$A$10:$E$139,3,FALSE)</f>
        <v>NR</v>
      </c>
      <c r="Q49" s="152">
        <f t="shared" si="28"/>
        <v>0</v>
      </c>
      <c r="R49" s="112" t="str">
        <f>VLOOKUP($N49,'UMC Table 4-A'!$A$10:$E$139,5,FALSE)</f>
        <v>YES</v>
      </c>
      <c r="S49" s="113">
        <f t="shared" si="29"/>
        <v>0</v>
      </c>
      <c r="T49" s="137">
        <f t="shared" si="30"/>
        <v>0</v>
      </c>
      <c r="U49" s="137">
        <f t="shared" si="31"/>
        <v>0</v>
      </c>
      <c r="V49" s="137">
        <f t="shared" si="32"/>
        <v>90</v>
      </c>
      <c r="W49" s="89">
        <f t="shared" si="33"/>
        <v>-90</v>
      </c>
      <c r="X49" s="31" t="str">
        <f t="shared" si="34"/>
        <v>No</v>
      </c>
      <c r="Y49" s="32">
        <f t="shared" si="35"/>
        <v>0</v>
      </c>
      <c r="Z49" s="70" t="e">
        <f t="shared" si="36"/>
        <v>#DIV/0!</v>
      </c>
      <c r="AA49" s="32">
        <f t="shared" si="37"/>
        <v>0</v>
      </c>
      <c r="AD49" s="113" t="s">
        <v>377</v>
      </c>
      <c r="AE49" s="113" t="s">
        <v>203</v>
      </c>
      <c r="AF49" s="113" t="s">
        <v>209</v>
      </c>
      <c r="AG49" s="31">
        <f t="shared" si="40"/>
        <v>130</v>
      </c>
      <c r="AH49" s="112">
        <f t="shared" si="41"/>
        <v>6</v>
      </c>
      <c r="AI49" s="112">
        <f t="shared" si="42"/>
        <v>3</v>
      </c>
      <c r="AJ49" s="112">
        <f t="shared" ref="AJ49:AN49" si="55">AJ48</f>
        <v>0.5</v>
      </c>
      <c r="AK49" s="112">
        <f t="shared" si="55"/>
        <v>140</v>
      </c>
      <c r="AL49" s="112">
        <f t="shared" si="55"/>
        <v>100</v>
      </c>
      <c r="AM49" s="112">
        <f t="shared" si="55"/>
        <v>55</v>
      </c>
      <c r="AN49" s="112">
        <f t="shared" si="55"/>
        <v>85</v>
      </c>
      <c r="AO49" s="112">
        <f t="shared" si="44"/>
        <v>4.2</v>
      </c>
      <c r="AP49" s="115">
        <f t="shared" si="45"/>
        <v>0.21</v>
      </c>
      <c r="AQ49" s="115">
        <f t="shared" si="46"/>
        <v>0.5</v>
      </c>
      <c r="AR49" s="115">
        <f t="shared" si="21"/>
        <v>5</v>
      </c>
      <c r="AS49" s="115">
        <f t="shared" si="47"/>
        <v>20</v>
      </c>
      <c r="AT49" s="115" t="str">
        <f t="shared" ref="AT49:AU49" si="56">AT48</f>
        <v>F5/M-503</v>
      </c>
      <c r="AU49" s="112" t="str">
        <f t="shared" si="56"/>
        <v>1, 2</v>
      </c>
      <c r="AV49" s="17"/>
    </row>
    <row r="50" spans="2:48" ht="15" customHeight="1" x14ac:dyDescent="0.2">
      <c r="B50" s="160"/>
      <c r="C50" s="121" t="s">
        <v>357</v>
      </c>
      <c r="D50" s="121" t="s">
        <v>569</v>
      </c>
      <c r="E50" s="158" t="s">
        <v>647</v>
      </c>
      <c r="F50" s="158">
        <v>233</v>
      </c>
      <c r="G50" s="173">
        <v>9.5</v>
      </c>
      <c r="H50" s="114">
        <f>VLOOKUP($N50,'UMC Table 4-A'!$A$10:$E$139,4,FALSE)</f>
        <v>4</v>
      </c>
      <c r="I50" s="114" t="str">
        <f>VLOOKUP($N50,'UMC Table 4-A'!$A$10:$E$139,5,FALSE)</f>
        <v>NR</v>
      </c>
      <c r="J50" s="111" t="str">
        <f t="shared" si="26"/>
        <v>-</v>
      </c>
      <c r="K50" s="116">
        <v>0</v>
      </c>
      <c r="L50" s="114">
        <f t="shared" si="27"/>
        <v>150</v>
      </c>
      <c r="M50" s="117">
        <f>F50</f>
        <v>233</v>
      </c>
      <c r="N50" s="114" t="s">
        <v>123</v>
      </c>
      <c r="O50" s="114" t="str">
        <f>VLOOKUP($N50,'UMC Table 4-A'!$A$10:$E$139,2,FALSE)</f>
        <v>NO REQUIREMENT FOR CONTINUOUS DIRECTIONAL CONTROL</v>
      </c>
      <c r="P50" s="174">
        <f>VLOOKUP($N50,'UMC Table 4-A'!$A$10:$E$139,3,FALSE)</f>
        <v>2</v>
      </c>
      <c r="Q50" s="152">
        <f t="shared" si="28"/>
        <v>80</v>
      </c>
      <c r="R50" s="112" t="str">
        <f>VLOOKUP($N50,'UMC Table 4-A'!$A$10:$E$139,5,FALSE)</f>
        <v>NR</v>
      </c>
      <c r="S50" s="113">
        <f t="shared" si="29"/>
        <v>235</v>
      </c>
      <c r="T50" s="137">
        <f t="shared" si="30"/>
        <v>235</v>
      </c>
      <c r="U50" s="137">
        <f t="shared" si="31"/>
        <v>235</v>
      </c>
      <c r="V50" s="137">
        <f t="shared" si="32"/>
        <v>0</v>
      </c>
      <c r="W50" s="89">
        <f t="shared" si="33"/>
        <v>0</v>
      </c>
      <c r="X50" s="31" t="str">
        <f t="shared" si="34"/>
        <v>Yes</v>
      </c>
      <c r="Y50" s="32">
        <f t="shared" si="35"/>
        <v>1.0085836909871244</v>
      </c>
      <c r="Z50" s="70">
        <f t="shared" si="36"/>
        <v>34.042553191489361</v>
      </c>
      <c r="AA50" s="32">
        <f t="shared" si="37"/>
        <v>6.370002258866049</v>
      </c>
      <c r="AD50" s="113" t="s">
        <v>378</v>
      </c>
      <c r="AE50" s="113" t="s">
        <v>203</v>
      </c>
      <c r="AF50" s="113" t="s">
        <v>209</v>
      </c>
      <c r="AG50" s="31">
        <f t="shared" si="40"/>
        <v>435</v>
      </c>
      <c r="AH50" s="112">
        <f t="shared" si="41"/>
        <v>8</v>
      </c>
      <c r="AI50" s="112">
        <f t="shared" si="42"/>
        <v>4</v>
      </c>
      <c r="AJ50" s="112">
        <f t="shared" ref="AJ50:AN50" si="57">AJ49</f>
        <v>0.5</v>
      </c>
      <c r="AK50" s="112">
        <f t="shared" si="57"/>
        <v>140</v>
      </c>
      <c r="AL50" s="112">
        <f t="shared" si="57"/>
        <v>100</v>
      </c>
      <c r="AM50" s="112">
        <f t="shared" si="57"/>
        <v>55</v>
      </c>
      <c r="AN50" s="112">
        <f t="shared" si="57"/>
        <v>85</v>
      </c>
      <c r="AO50" s="112">
        <f t="shared" si="44"/>
        <v>14.100000000000001</v>
      </c>
      <c r="AP50" s="115">
        <f t="shared" si="45"/>
        <v>0.70500000000000007</v>
      </c>
      <c r="AQ50" s="115">
        <f t="shared" si="46"/>
        <v>0.70500000000000007</v>
      </c>
      <c r="AR50" s="115">
        <f t="shared" si="21"/>
        <v>5</v>
      </c>
      <c r="AS50" s="115">
        <f t="shared" si="47"/>
        <v>25</v>
      </c>
      <c r="AT50" s="115" t="str">
        <f t="shared" ref="AT50:AU50" si="58">AT49</f>
        <v>F5/M-503</v>
      </c>
      <c r="AU50" s="112" t="str">
        <f t="shared" si="58"/>
        <v>1, 2</v>
      </c>
      <c r="AV50" s="17"/>
    </row>
    <row r="51" spans="2:48" ht="15" customHeight="1" x14ac:dyDescent="0.2">
      <c r="B51" s="160"/>
      <c r="C51" s="164" t="s">
        <v>357</v>
      </c>
      <c r="D51" s="121" t="s">
        <v>733</v>
      </c>
      <c r="E51" s="158" t="s">
        <v>804</v>
      </c>
      <c r="F51" s="158">
        <v>64</v>
      </c>
      <c r="G51" s="172">
        <v>8</v>
      </c>
      <c r="H51" s="114">
        <f>VLOOKUP($N51,'UMC Table 4-A'!$A$10:$E$139,4,FALSE)</f>
        <v>10</v>
      </c>
      <c r="I51" s="114" t="str">
        <f>VLOOKUP($N51,'UMC Table 4-A'!$A$10:$E$139,5,FALSE)</f>
        <v>YES</v>
      </c>
      <c r="J51" s="111">
        <f t="shared" si="26"/>
        <v>90</v>
      </c>
      <c r="K51" s="116">
        <v>0</v>
      </c>
      <c r="L51" s="114">
        <f t="shared" si="27"/>
        <v>90</v>
      </c>
      <c r="M51" s="117"/>
      <c r="N51" s="114" t="s">
        <v>94</v>
      </c>
      <c r="O51" s="114" t="str">
        <f>VLOOKUP($N51,'UMC Table 4-A'!$A$10:$E$139,2,FALSE)</f>
        <v>NEGATIVE</v>
      </c>
      <c r="P51" s="174" t="str">
        <f>VLOOKUP($N51,'UMC Table 4-A'!$A$10:$E$139,3,FALSE)</f>
        <v>NR</v>
      </c>
      <c r="Q51" s="152">
        <f t="shared" si="28"/>
        <v>0</v>
      </c>
      <c r="R51" s="112" t="str">
        <f>VLOOKUP($N51,'UMC Table 4-A'!$A$10:$E$139,5,FALSE)</f>
        <v>YES</v>
      </c>
      <c r="S51" s="113">
        <f t="shared" si="29"/>
        <v>0</v>
      </c>
      <c r="T51" s="137">
        <f t="shared" si="30"/>
        <v>0</v>
      </c>
      <c r="U51" s="137">
        <f t="shared" si="31"/>
        <v>0</v>
      </c>
      <c r="V51" s="137">
        <f t="shared" si="32"/>
        <v>90</v>
      </c>
      <c r="W51" s="89">
        <f t="shared" si="33"/>
        <v>-90</v>
      </c>
      <c r="X51" s="31" t="str">
        <f t="shared" si="34"/>
        <v>No</v>
      </c>
      <c r="Y51" s="32">
        <f t="shared" si="35"/>
        <v>0</v>
      </c>
      <c r="Z51" s="70" t="e">
        <f t="shared" si="36"/>
        <v>#DIV/0!</v>
      </c>
      <c r="AA51" s="32">
        <f t="shared" si="37"/>
        <v>0</v>
      </c>
      <c r="AD51" s="113" t="s">
        <v>379</v>
      </c>
      <c r="AE51" s="113" t="s">
        <v>203</v>
      </c>
      <c r="AF51" s="113" t="s">
        <v>209</v>
      </c>
      <c r="AG51" s="31">
        <f t="shared" si="40"/>
        <v>185</v>
      </c>
      <c r="AH51" s="112">
        <f t="shared" si="41"/>
        <v>6</v>
      </c>
      <c r="AI51" s="112">
        <f t="shared" si="42"/>
        <v>3</v>
      </c>
      <c r="AJ51" s="112">
        <f t="shared" ref="AJ51:AN51" si="59">AJ50</f>
        <v>0.5</v>
      </c>
      <c r="AK51" s="112">
        <f t="shared" si="59"/>
        <v>140</v>
      </c>
      <c r="AL51" s="112">
        <f t="shared" si="59"/>
        <v>100</v>
      </c>
      <c r="AM51" s="112">
        <f t="shared" si="59"/>
        <v>55</v>
      </c>
      <c r="AN51" s="112">
        <f t="shared" si="59"/>
        <v>85</v>
      </c>
      <c r="AO51" s="112">
        <f t="shared" si="44"/>
        <v>6</v>
      </c>
      <c r="AP51" s="115">
        <f t="shared" si="45"/>
        <v>0.3</v>
      </c>
      <c r="AQ51" s="115">
        <f t="shared" si="46"/>
        <v>0.5</v>
      </c>
      <c r="AR51" s="115">
        <f t="shared" si="21"/>
        <v>5</v>
      </c>
      <c r="AS51" s="115">
        <f t="shared" si="47"/>
        <v>20</v>
      </c>
      <c r="AT51" s="115" t="str">
        <f t="shared" ref="AT51:AU51" si="60">AT50</f>
        <v>F5/M-503</v>
      </c>
      <c r="AU51" s="112" t="str">
        <f t="shared" si="60"/>
        <v>1, 2</v>
      </c>
      <c r="AV51" s="17"/>
    </row>
    <row r="52" spans="2:48" ht="15" customHeight="1" x14ac:dyDescent="0.2">
      <c r="B52" s="160"/>
      <c r="C52" s="121" t="s">
        <v>358</v>
      </c>
      <c r="D52" s="121" t="s">
        <v>569</v>
      </c>
      <c r="E52" s="158" t="s">
        <v>648</v>
      </c>
      <c r="F52" s="158">
        <v>224</v>
      </c>
      <c r="G52" s="173">
        <v>9.5</v>
      </c>
      <c r="H52" s="114">
        <f>VLOOKUP($N52,'UMC Table 4-A'!$A$10:$E$139,4,FALSE)</f>
        <v>4</v>
      </c>
      <c r="I52" s="114" t="str">
        <f>VLOOKUP($N52,'UMC Table 4-A'!$A$10:$E$139,5,FALSE)</f>
        <v>NR</v>
      </c>
      <c r="J52" s="111" t="str">
        <f t="shared" si="26"/>
        <v>-</v>
      </c>
      <c r="K52" s="116">
        <v>0</v>
      </c>
      <c r="L52" s="114">
        <f t="shared" si="27"/>
        <v>150</v>
      </c>
      <c r="M52" s="117">
        <f>F52</f>
        <v>224</v>
      </c>
      <c r="N52" s="114" t="s">
        <v>123</v>
      </c>
      <c r="O52" s="114" t="str">
        <f>VLOOKUP($N52,'UMC Table 4-A'!$A$10:$E$139,2,FALSE)</f>
        <v>NO REQUIREMENT FOR CONTINUOUS DIRECTIONAL CONTROL</v>
      </c>
      <c r="P52" s="174">
        <f>VLOOKUP($N52,'UMC Table 4-A'!$A$10:$E$139,3,FALSE)</f>
        <v>2</v>
      </c>
      <c r="Q52" s="152">
        <f t="shared" si="28"/>
        <v>80</v>
      </c>
      <c r="R52" s="112" t="str">
        <f>VLOOKUP($N52,'UMC Table 4-A'!$A$10:$E$139,5,FALSE)</f>
        <v>NR</v>
      </c>
      <c r="S52" s="113">
        <f t="shared" si="29"/>
        <v>225</v>
      </c>
      <c r="T52" s="137">
        <f t="shared" si="30"/>
        <v>225</v>
      </c>
      <c r="U52" s="137">
        <f t="shared" si="31"/>
        <v>225</v>
      </c>
      <c r="V52" s="137">
        <f t="shared" si="32"/>
        <v>0</v>
      </c>
      <c r="W52" s="89">
        <f t="shared" si="33"/>
        <v>0</v>
      </c>
      <c r="X52" s="31" t="str">
        <f t="shared" si="34"/>
        <v>Yes</v>
      </c>
      <c r="Y52" s="32">
        <f t="shared" si="35"/>
        <v>1.0044642857142858</v>
      </c>
      <c r="Z52" s="70">
        <f t="shared" si="36"/>
        <v>35.555555555555557</v>
      </c>
      <c r="AA52" s="32">
        <f t="shared" si="37"/>
        <v>6.3439849624060161</v>
      </c>
      <c r="AD52" s="113" t="s">
        <v>380</v>
      </c>
      <c r="AE52" s="113" t="s">
        <v>203</v>
      </c>
      <c r="AF52" s="113" t="s">
        <v>209</v>
      </c>
      <c r="AG52" s="31">
        <f t="shared" si="40"/>
        <v>90</v>
      </c>
      <c r="AH52" s="112">
        <f t="shared" si="41"/>
        <v>6</v>
      </c>
      <c r="AI52" s="112">
        <f t="shared" si="42"/>
        <v>3</v>
      </c>
      <c r="AJ52" s="112">
        <f t="shared" ref="AJ52:AN52" si="61">AJ51</f>
        <v>0.5</v>
      </c>
      <c r="AK52" s="112">
        <f t="shared" si="61"/>
        <v>140</v>
      </c>
      <c r="AL52" s="112">
        <f t="shared" si="61"/>
        <v>100</v>
      </c>
      <c r="AM52" s="112">
        <f t="shared" si="61"/>
        <v>55</v>
      </c>
      <c r="AN52" s="112">
        <f t="shared" si="61"/>
        <v>85</v>
      </c>
      <c r="AO52" s="112">
        <f t="shared" si="44"/>
        <v>2.9000000000000004</v>
      </c>
      <c r="AP52" s="115">
        <f t="shared" si="45"/>
        <v>0.14500000000000002</v>
      </c>
      <c r="AQ52" s="115">
        <f t="shared" si="46"/>
        <v>0.5</v>
      </c>
      <c r="AR52" s="115">
        <f t="shared" si="21"/>
        <v>5</v>
      </c>
      <c r="AS52" s="115">
        <f t="shared" si="47"/>
        <v>20</v>
      </c>
      <c r="AT52" s="115" t="str">
        <f t="shared" ref="AT52:AU52" si="62">AT51</f>
        <v>F5/M-503</v>
      </c>
      <c r="AU52" s="112" t="str">
        <f t="shared" si="62"/>
        <v>1, 2</v>
      </c>
      <c r="AV52" s="17"/>
    </row>
    <row r="53" spans="2:48" ht="15" customHeight="1" x14ac:dyDescent="0.2">
      <c r="B53" s="160"/>
      <c r="C53" s="164" t="s">
        <v>358</v>
      </c>
      <c r="D53" s="121" t="s">
        <v>733</v>
      </c>
      <c r="E53" s="158" t="s">
        <v>803</v>
      </c>
      <c r="F53" s="158">
        <v>64</v>
      </c>
      <c r="G53" s="172">
        <v>8</v>
      </c>
      <c r="H53" s="114">
        <f>VLOOKUP($N53,'UMC Table 4-A'!$A$10:$E$139,4,FALSE)</f>
        <v>10</v>
      </c>
      <c r="I53" s="114" t="str">
        <f>VLOOKUP($N53,'UMC Table 4-A'!$A$10:$E$139,5,FALSE)</f>
        <v>YES</v>
      </c>
      <c r="J53" s="111">
        <f t="shared" si="26"/>
        <v>90</v>
      </c>
      <c r="K53" s="116">
        <v>0</v>
      </c>
      <c r="L53" s="114">
        <f t="shared" si="27"/>
        <v>90</v>
      </c>
      <c r="M53" s="117"/>
      <c r="N53" s="114" t="s">
        <v>94</v>
      </c>
      <c r="O53" s="114" t="str">
        <f>VLOOKUP($N53,'UMC Table 4-A'!$A$10:$E$139,2,FALSE)</f>
        <v>NEGATIVE</v>
      </c>
      <c r="P53" s="174" t="str">
        <f>VLOOKUP($N53,'UMC Table 4-A'!$A$10:$E$139,3,FALSE)</f>
        <v>NR</v>
      </c>
      <c r="Q53" s="152">
        <f t="shared" si="28"/>
        <v>0</v>
      </c>
      <c r="R53" s="112" t="str">
        <f>VLOOKUP($N53,'UMC Table 4-A'!$A$10:$E$139,5,FALSE)</f>
        <v>YES</v>
      </c>
      <c r="S53" s="113">
        <f t="shared" si="29"/>
        <v>0</v>
      </c>
      <c r="T53" s="137">
        <f t="shared" si="30"/>
        <v>0</v>
      </c>
      <c r="U53" s="137">
        <f t="shared" si="31"/>
        <v>0</v>
      </c>
      <c r="V53" s="137">
        <f t="shared" si="32"/>
        <v>90</v>
      </c>
      <c r="W53" s="89">
        <f t="shared" si="33"/>
        <v>-90</v>
      </c>
      <c r="X53" s="31" t="str">
        <f t="shared" si="34"/>
        <v>No</v>
      </c>
      <c r="Y53" s="32">
        <f t="shared" si="35"/>
        <v>0</v>
      </c>
      <c r="Z53" s="70" t="e">
        <f t="shared" si="36"/>
        <v>#DIV/0!</v>
      </c>
      <c r="AA53" s="32">
        <f t="shared" si="37"/>
        <v>0</v>
      </c>
      <c r="AD53" s="113" t="s">
        <v>381</v>
      </c>
      <c r="AE53" s="113" t="s">
        <v>203</v>
      </c>
      <c r="AF53" s="113" t="s">
        <v>209</v>
      </c>
      <c r="AG53" s="31">
        <f t="shared" si="40"/>
        <v>935</v>
      </c>
      <c r="AH53" s="112">
        <f t="shared" si="41"/>
        <v>10</v>
      </c>
      <c r="AI53" s="112">
        <f t="shared" si="42"/>
        <v>5</v>
      </c>
      <c r="AJ53" s="112">
        <f t="shared" ref="AJ53:AN53" si="63">AJ52</f>
        <v>0.5</v>
      </c>
      <c r="AK53" s="112">
        <f t="shared" si="63"/>
        <v>140</v>
      </c>
      <c r="AL53" s="112">
        <f t="shared" si="63"/>
        <v>100</v>
      </c>
      <c r="AM53" s="112">
        <f t="shared" si="63"/>
        <v>55</v>
      </c>
      <c r="AN53" s="112">
        <f t="shared" si="63"/>
        <v>85</v>
      </c>
      <c r="AO53" s="112">
        <f t="shared" si="44"/>
        <v>30.3</v>
      </c>
      <c r="AP53" s="115">
        <f t="shared" si="45"/>
        <v>1.5149999999999999</v>
      </c>
      <c r="AQ53" s="115">
        <f t="shared" si="46"/>
        <v>1.5149999999999999</v>
      </c>
      <c r="AR53" s="115">
        <f t="shared" si="21"/>
        <v>5</v>
      </c>
      <c r="AS53" s="115">
        <f t="shared" si="47"/>
        <v>30</v>
      </c>
      <c r="AT53" s="115" t="str">
        <f t="shared" ref="AT53:AU53" si="64">AT52</f>
        <v>F5/M-503</v>
      </c>
      <c r="AU53" s="112" t="str">
        <f t="shared" si="64"/>
        <v>1, 2</v>
      </c>
      <c r="AV53" s="17"/>
    </row>
    <row r="54" spans="2:48" ht="15" customHeight="1" x14ac:dyDescent="0.2">
      <c r="B54" s="160"/>
      <c r="C54" s="121" t="s">
        <v>359</v>
      </c>
      <c r="D54" s="121" t="s">
        <v>569</v>
      </c>
      <c r="E54" s="158" t="s">
        <v>649</v>
      </c>
      <c r="F54" s="158">
        <v>232</v>
      </c>
      <c r="G54" s="173">
        <v>9.5</v>
      </c>
      <c r="H54" s="114">
        <f>VLOOKUP($N54,'UMC Table 4-A'!$A$10:$E$139,4,FALSE)</f>
        <v>4</v>
      </c>
      <c r="I54" s="114" t="str">
        <f>VLOOKUP($N54,'UMC Table 4-A'!$A$10:$E$139,5,FALSE)</f>
        <v>NR</v>
      </c>
      <c r="J54" s="111" t="str">
        <f t="shared" si="26"/>
        <v>-</v>
      </c>
      <c r="K54" s="116">
        <v>0</v>
      </c>
      <c r="L54" s="114">
        <f t="shared" si="27"/>
        <v>150</v>
      </c>
      <c r="M54" s="117">
        <f>F54</f>
        <v>232</v>
      </c>
      <c r="N54" s="114" t="s">
        <v>123</v>
      </c>
      <c r="O54" s="114" t="str">
        <f>VLOOKUP($N54,'UMC Table 4-A'!$A$10:$E$139,2,FALSE)</f>
        <v>NO REQUIREMENT FOR CONTINUOUS DIRECTIONAL CONTROL</v>
      </c>
      <c r="P54" s="174">
        <f>VLOOKUP($N54,'UMC Table 4-A'!$A$10:$E$139,3,FALSE)</f>
        <v>2</v>
      </c>
      <c r="Q54" s="152">
        <f t="shared" si="28"/>
        <v>80</v>
      </c>
      <c r="R54" s="112" t="str">
        <f>VLOOKUP($N54,'UMC Table 4-A'!$A$10:$E$139,5,FALSE)</f>
        <v>NR</v>
      </c>
      <c r="S54" s="113">
        <f t="shared" si="29"/>
        <v>235</v>
      </c>
      <c r="T54" s="137">
        <f t="shared" si="30"/>
        <v>235</v>
      </c>
      <c r="U54" s="137">
        <f t="shared" si="31"/>
        <v>235</v>
      </c>
      <c r="V54" s="137">
        <f t="shared" si="32"/>
        <v>0</v>
      </c>
      <c r="W54" s="89">
        <f t="shared" si="33"/>
        <v>0</v>
      </c>
      <c r="X54" s="31" t="str">
        <f t="shared" si="34"/>
        <v>Yes</v>
      </c>
      <c r="Y54" s="32">
        <f t="shared" si="35"/>
        <v>1.0129310344827587</v>
      </c>
      <c r="Z54" s="70">
        <f t="shared" si="36"/>
        <v>34.042553191489361</v>
      </c>
      <c r="AA54" s="32">
        <f t="shared" si="37"/>
        <v>6.3974591651542649</v>
      </c>
      <c r="AD54" s="113" t="s">
        <v>382</v>
      </c>
      <c r="AE54" s="113" t="s">
        <v>203</v>
      </c>
      <c r="AF54" s="113" t="s">
        <v>209</v>
      </c>
      <c r="AG54" s="31">
        <f t="shared" si="40"/>
        <v>180</v>
      </c>
      <c r="AH54" s="112">
        <f t="shared" si="41"/>
        <v>6</v>
      </c>
      <c r="AI54" s="112">
        <f t="shared" si="42"/>
        <v>3</v>
      </c>
      <c r="AJ54" s="112">
        <f t="shared" ref="AJ54:AN54" si="65">AJ53</f>
        <v>0.5</v>
      </c>
      <c r="AK54" s="112">
        <f t="shared" si="65"/>
        <v>140</v>
      </c>
      <c r="AL54" s="112">
        <f t="shared" si="65"/>
        <v>100</v>
      </c>
      <c r="AM54" s="112">
        <f t="shared" si="65"/>
        <v>55</v>
      </c>
      <c r="AN54" s="112">
        <f t="shared" si="65"/>
        <v>85</v>
      </c>
      <c r="AO54" s="112">
        <f t="shared" si="44"/>
        <v>5.8000000000000007</v>
      </c>
      <c r="AP54" s="115">
        <f t="shared" si="45"/>
        <v>0.29000000000000004</v>
      </c>
      <c r="AQ54" s="115">
        <f t="shared" si="46"/>
        <v>0.5</v>
      </c>
      <c r="AR54" s="115">
        <f t="shared" si="21"/>
        <v>5</v>
      </c>
      <c r="AS54" s="115">
        <f t="shared" si="47"/>
        <v>20</v>
      </c>
      <c r="AT54" s="115" t="str">
        <f t="shared" ref="AT54:AU54" si="66">AT53</f>
        <v>F5/M-503</v>
      </c>
      <c r="AU54" s="112" t="str">
        <f t="shared" si="66"/>
        <v>1, 2</v>
      </c>
      <c r="AV54" s="17"/>
    </row>
    <row r="55" spans="2:48" ht="15" customHeight="1" x14ac:dyDescent="0.2">
      <c r="B55" s="160"/>
      <c r="C55" s="164" t="s">
        <v>359</v>
      </c>
      <c r="D55" s="121" t="s">
        <v>733</v>
      </c>
      <c r="E55" s="158" t="s">
        <v>802</v>
      </c>
      <c r="F55" s="158">
        <v>64</v>
      </c>
      <c r="G55" s="172">
        <v>8</v>
      </c>
      <c r="H55" s="114">
        <f>VLOOKUP($N55,'UMC Table 4-A'!$A$10:$E$139,4,FALSE)</f>
        <v>10</v>
      </c>
      <c r="I55" s="114" t="str">
        <f>VLOOKUP($N55,'UMC Table 4-A'!$A$10:$E$139,5,FALSE)</f>
        <v>YES</v>
      </c>
      <c r="J55" s="111">
        <f t="shared" si="26"/>
        <v>90</v>
      </c>
      <c r="K55" s="116">
        <v>0</v>
      </c>
      <c r="L55" s="114">
        <f t="shared" si="27"/>
        <v>90</v>
      </c>
      <c r="M55" s="117"/>
      <c r="N55" s="114" t="s">
        <v>94</v>
      </c>
      <c r="O55" s="114" t="str">
        <f>VLOOKUP($N55,'UMC Table 4-A'!$A$10:$E$139,2,FALSE)</f>
        <v>NEGATIVE</v>
      </c>
      <c r="P55" s="174" t="str">
        <f>VLOOKUP($N55,'UMC Table 4-A'!$A$10:$E$139,3,FALSE)</f>
        <v>NR</v>
      </c>
      <c r="Q55" s="152">
        <f t="shared" si="28"/>
        <v>0</v>
      </c>
      <c r="R55" s="112" t="str">
        <f>VLOOKUP($N55,'UMC Table 4-A'!$A$10:$E$139,5,FALSE)</f>
        <v>YES</v>
      </c>
      <c r="S55" s="113">
        <f t="shared" si="29"/>
        <v>0</v>
      </c>
      <c r="T55" s="137">
        <f t="shared" si="30"/>
        <v>0</v>
      </c>
      <c r="U55" s="137">
        <f t="shared" si="31"/>
        <v>0</v>
      </c>
      <c r="V55" s="137">
        <f t="shared" si="32"/>
        <v>90</v>
      </c>
      <c r="W55" s="89">
        <f t="shared" si="33"/>
        <v>-90</v>
      </c>
      <c r="X55" s="31" t="str">
        <f t="shared" si="34"/>
        <v>No</v>
      </c>
      <c r="Y55" s="32">
        <f t="shared" si="35"/>
        <v>0</v>
      </c>
      <c r="Z55" s="70" t="e">
        <f t="shared" si="36"/>
        <v>#DIV/0!</v>
      </c>
      <c r="AA55" s="32">
        <f t="shared" si="37"/>
        <v>0</v>
      </c>
      <c r="AD55" s="113" t="s">
        <v>383</v>
      </c>
      <c r="AE55" s="113" t="s">
        <v>203</v>
      </c>
      <c r="AF55" s="113" t="s">
        <v>209</v>
      </c>
      <c r="AG55" s="31">
        <f t="shared" si="40"/>
        <v>220</v>
      </c>
      <c r="AH55" s="112">
        <f t="shared" si="41"/>
        <v>6</v>
      </c>
      <c r="AI55" s="112">
        <f t="shared" si="42"/>
        <v>3</v>
      </c>
      <c r="AJ55" s="112">
        <f t="shared" ref="AJ55:AN55" si="67">AJ54</f>
        <v>0.5</v>
      </c>
      <c r="AK55" s="112">
        <f t="shared" si="67"/>
        <v>140</v>
      </c>
      <c r="AL55" s="112">
        <f t="shared" si="67"/>
        <v>100</v>
      </c>
      <c r="AM55" s="112">
        <f t="shared" si="67"/>
        <v>55</v>
      </c>
      <c r="AN55" s="112">
        <f t="shared" si="67"/>
        <v>85</v>
      </c>
      <c r="AO55" s="112">
        <f t="shared" si="44"/>
        <v>7.1000000000000005</v>
      </c>
      <c r="AP55" s="115">
        <f t="shared" si="45"/>
        <v>0.35500000000000004</v>
      </c>
      <c r="AQ55" s="115">
        <f t="shared" si="46"/>
        <v>0.5</v>
      </c>
      <c r="AR55" s="115">
        <f t="shared" si="21"/>
        <v>5</v>
      </c>
      <c r="AS55" s="115">
        <f t="shared" si="47"/>
        <v>20</v>
      </c>
      <c r="AT55" s="115" t="str">
        <f t="shared" ref="AT55:AU55" si="68">AT54</f>
        <v>F5/M-503</v>
      </c>
      <c r="AU55" s="112" t="str">
        <f t="shared" si="68"/>
        <v>1, 2</v>
      </c>
      <c r="AV55" s="17"/>
    </row>
    <row r="56" spans="2:48" ht="15" customHeight="1" x14ac:dyDescent="0.2">
      <c r="B56" s="160"/>
      <c r="C56" s="121" t="s">
        <v>360</v>
      </c>
      <c r="D56" s="121" t="s">
        <v>569</v>
      </c>
      <c r="E56" s="158" t="s">
        <v>650</v>
      </c>
      <c r="F56" s="158">
        <v>274</v>
      </c>
      <c r="G56" s="173">
        <v>9.5</v>
      </c>
      <c r="H56" s="114">
        <f>VLOOKUP($N56,'UMC Table 4-A'!$A$10:$E$139,4,FALSE)</f>
        <v>4</v>
      </c>
      <c r="I56" s="114" t="str">
        <f>VLOOKUP($N56,'UMC Table 4-A'!$A$10:$E$139,5,FALSE)</f>
        <v>NR</v>
      </c>
      <c r="J56" s="111" t="str">
        <f t="shared" si="26"/>
        <v>-</v>
      </c>
      <c r="K56" s="116">
        <v>0</v>
      </c>
      <c r="L56" s="114">
        <f t="shared" si="27"/>
        <v>180</v>
      </c>
      <c r="M56" s="117">
        <f>F56</f>
        <v>274</v>
      </c>
      <c r="N56" s="114" t="s">
        <v>123</v>
      </c>
      <c r="O56" s="114" t="str">
        <f>VLOOKUP($N56,'UMC Table 4-A'!$A$10:$E$139,2,FALSE)</f>
        <v>NO REQUIREMENT FOR CONTINUOUS DIRECTIONAL CONTROL</v>
      </c>
      <c r="P56" s="174">
        <f>VLOOKUP($N56,'UMC Table 4-A'!$A$10:$E$139,3,FALSE)</f>
        <v>2</v>
      </c>
      <c r="Q56" s="152">
        <f t="shared" si="28"/>
        <v>90</v>
      </c>
      <c r="R56" s="112" t="str">
        <f>VLOOKUP($N56,'UMC Table 4-A'!$A$10:$E$139,5,FALSE)</f>
        <v>NR</v>
      </c>
      <c r="S56" s="113">
        <f t="shared" si="29"/>
        <v>275</v>
      </c>
      <c r="T56" s="137">
        <f t="shared" si="30"/>
        <v>275</v>
      </c>
      <c r="U56" s="137">
        <f t="shared" si="31"/>
        <v>275</v>
      </c>
      <c r="V56" s="137">
        <f t="shared" si="32"/>
        <v>0</v>
      </c>
      <c r="W56" s="89">
        <f t="shared" si="33"/>
        <v>0</v>
      </c>
      <c r="X56" s="31" t="str">
        <f t="shared" si="34"/>
        <v>Yes</v>
      </c>
      <c r="Y56" s="32">
        <f t="shared" si="35"/>
        <v>1.0036496350364963</v>
      </c>
      <c r="Z56" s="70">
        <f t="shared" si="36"/>
        <v>32.727272727272727</v>
      </c>
      <c r="AA56" s="32">
        <f t="shared" si="37"/>
        <v>6.3388398002305033</v>
      </c>
      <c r="AD56" s="113" t="s">
        <v>384</v>
      </c>
      <c r="AE56" s="113" t="s">
        <v>203</v>
      </c>
      <c r="AF56" s="113" t="s">
        <v>209</v>
      </c>
      <c r="AG56" s="31">
        <f t="shared" si="40"/>
        <v>210</v>
      </c>
      <c r="AH56" s="112">
        <f t="shared" si="41"/>
        <v>6</v>
      </c>
      <c r="AI56" s="112">
        <f t="shared" si="42"/>
        <v>3</v>
      </c>
      <c r="AJ56" s="112">
        <f t="shared" ref="AJ56:AN56" si="69">AJ55</f>
        <v>0.5</v>
      </c>
      <c r="AK56" s="112">
        <f t="shared" si="69"/>
        <v>140</v>
      </c>
      <c r="AL56" s="112">
        <f t="shared" si="69"/>
        <v>100</v>
      </c>
      <c r="AM56" s="112">
        <f t="shared" si="69"/>
        <v>55</v>
      </c>
      <c r="AN56" s="112">
        <f t="shared" si="69"/>
        <v>85</v>
      </c>
      <c r="AO56" s="112">
        <f t="shared" si="44"/>
        <v>6.8000000000000007</v>
      </c>
      <c r="AP56" s="115">
        <f t="shared" si="45"/>
        <v>0.34</v>
      </c>
      <c r="AQ56" s="115">
        <f t="shared" si="46"/>
        <v>0.5</v>
      </c>
      <c r="AR56" s="115">
        <f t="shared" si="21"/>
        <v>5</v>
      </c>
      <c r="AS56" s="115">
        <f t="shared" si="47"/>
        <v>20</v>
      </c>
      <c r="AT56" s="115" t="str">
        <f t="shared" ref="AT56:AU56" si="70">AT55</f>
        <v>F5/M-503</v>
      </c>
      <c r="AU56" s="112" t="str">
        <f t="shared" si="70"/>
        <v>1, 2</v>
      </c>
      <c r="AV56" s="17"/>
    </row>
    <row r="57" spans="2:48" ht="15" customHeight="1" x14ac:dyDescent="0.2">
      <c r="B57" s="160"/>
      <c r="C57" s="164" t="s">
        <v>360</v>
      </c>
      <c r="D57" s="121" t="s">
        <v>733</v>
      </c>
      <c r="E57" s="158" t="s">
        <v>801</v>
      </c>
      <c r="F57" s="158">
        <v>64</v>
      </c>
      <c r="G57" s="172">
        <v>8</v>
      </c>
      <c r="H57" s="114">
        <f>VLOOKUP($N57,'UMC Table 4-A'!$A$10:$E$139,4,FALSE)</f>
        <v>10</v>
      </c>
      <c r="I57" s="114" t="str">
        <f>VLOOKUP($N57,'UMC Table 4-A'!$A$10:$E$139,5,FALSE)</f>
        <v>YES</v>
      </c>
      <c r="J57" s="111">
        <f t="shared" si="26"/>
        <v>90</v>
      </c>
      <c r="K57" s="116">
        <v>0</v>
      </c>
      <c r="L57" s="114">
        <f t="shared" si="27"/>
        <v>90</v>
      </c>
      <c r="M57" s="117"/>
      <c r="N57" s="114" t="s">
        <v>94</v>
      </c>
      <c r="O57" s="114" t="str">
        <f>VLOOKUP($N57,'UMC Table 4-A'!$A$10:$E$139,2,FALSE)</f>
        <v>NEGATIVE</v>
      </c>
      <c r="P57" s="174" t="str">
        <f>VLOOKUP($N57,'UMC Table 4-A'!$A$10:$E$139,3,FALSE)</f>
        <v>NR</v>
      </c>
      <c r="Q57" s="152">
        <f t="shared" si="28"/>
        <v>0</v>
      </c>
      <c r="R57" s="112" t="str">
        <f>VLOOKUP($N57,'UMC Table 4-A'!$A$10:$E$139,5,FALSE)</f>
        <v>YES</v>
      </c>
      <c r="S57" s="113">
        <f t="shared" si="29"/>
        <v>0</v>
      </c>
      <c r="T57" s="137">
        <f t="shared" si="30"/>
        <v>0</v>
      </c>
      <c r="U57" s="137">
        <f t="shared" si="31"/>
        <v>0</v>
      </c>
      <c r="V57" s="137">
        <f t="shared" si="32"/>
        <v>90</v>
      </c>
      <c r="W57" s="89">
        <f t="shared" si="33"/>
        <v>-90</v>
      </c>
      <c r="X57" s="31" t="str">
        <f t="shared" si="34"/>
        <v>No</v>
      </c>
      <c r="Y57" s="32">
        <f t="shared" si="35"/>
        <v>0</v>
      </c>
      <c r="Z57" s="70" t="e">
        <f t="shared" si="36"/>
        <v>#DIV/0!</v>
      </c>
      <c r="AA57" s="32">
        <f t="shared" si="37"/>
        <v>0</v>
      </c>
      <c r="AD57" s="113" t="s">
        <v>385</v>
      </c>
      <c r="AE57" s="113" t="s">
        <v>203</v>
      </c>
      <c r="AF57" s="113" t="s">
        <v>209</v>
      </c>
      <c r="AG57" s="31">
        <f t="shared" si="40"/>
        <v>315</v>
      </c>
      <c r="AH57" s="112">
        <f t="shared" si="41"/>
        <v>6</v>
      </c>
      <c r="AI57" s="112">
        <f t="shared" si="42"/>
        <v>3</v>
      </c>
      <c r="AJ57" s="112">
        <f t="shared" ref="AJ57:AN57" si="71">AJ56</f>
        <v>0.5</v>
      </c>
      <c r="AK57" s="112">
        <f t="shared" si="71"/>
        <v>140</v>
      </c>
      <c r="AL57" s="112">
        <f t="shared" si="71"/>
        <v>100</v>
      </c>
      <c r="AM57" s="112">
        <f t="shared" si="71"/>
        <v>55</v>
      </c>
      <c r="AN57" s="112">
        <f t="shared" si="71"/>
        <v>85</v>
      </c>
      <c r="AO57" s="112">
        <f t="shared" si="44"/>
        <v>10.200000000000001</v>
      </c>
      <c r="AP57" s="115">
        <f t="shared" si="45"/>
        <v>0.51000000000000012</v>
      </c>
      <c r="AQ57" s="115">
        <f t="shared" si="46"/>
        <v>0.51000000000000012</v>
      </c>
      <c r="AR57" s="115">
        <f t="shared" si="21"/>
        <v>5</v>
      </c>
      <c r="AS57" s="115">
        <f t="shared" si="47"/>
        <v>20</v>
      </c>
      <c r="AT57" s="115" t="str">
        <f t="shared" ref="AT57:AU57" si="72">AT56</f>
        <v>F5/M-503</v>
      </c>
      <c r="AU57" s="112" t="str">
        <f t="shared" si="72"/>
        <v>1, 2</v>
      </c>
      <c r="AV57" s="17"/>
    </row>
    <row r="58" spans="2:48" ht="15" customHeight="1" x14ac:dyDescent="0.2">
      <c r="B58" s="160"/>
      <c r="C58" s="121" t="s">
        <v>361</v>
      </c>
      <c r="D58" s="121" t="s">
        <v>569</v>
      </c>
      <c r="E58" s="158" t="s">
        <v>651</v>
      </c>
      <c r="F58" s="158">
        <v>271</v>
      </c>
      <c r="G58" s="173">
        <v>9.5</v>
      </c>
      <c r="H58" s="114">
        <f>VLOOKUP($N58,'UMC Table 4-A'!$A$10:$E$139,4,FALSE)</f>
        <v>4</v>
      </c>
      <c r="I58" s="114" t="str">
        <f>VLOOKUP($N58,'UMC Table 4-A'!$A$10:$E$139,5,FALSE)</f>
        <v>NR</v>
      </c>
      <c r="J58" s="111" t="str">
        <f t="shared" si="26"/>
        <v>-</v>
      </c>
      <c r="K58" s="116">
        <v>0</v>
      </c>
      <c r="L58" s="114">
        <f t="shared" si="27"/>
        <v>180</v>
      </c>
      <c r="M58" s="117">
        <f>F58</f>
        <v>271</v>
      </c>
      <c r="N58" s="114" t="s">
        <v>123</v>
      </c>
      <c r="O58" s="114" t="str">
        <f>VLOOKUP($N58,'UMC Table 4-A'!$A$10:$E$139,2,FALSE)</f>
        <v>NO REQUIREMENT FOR CONTINUOUS DIRECTIONAL CONTROL</v>
      </c>
      <c r="P58" s="174">
        <f>VLOOKUP($N58,'UMC Table 4-A'!$A$10:$E$139,3,FALSE)</f>
        <v>2</v>
      </c>
      <c r="Q58" s="152">
        <f t="shared" si="28"/>
        <v>90</v>
      </c>
      <c r="R58" s="112" t="str">
        <f>VLOOKUP($N58,'UMC Table 4-A'!$A$10:$E$139,5,FALSE)</f>
        <v>NR</v>
      </c>
      <c r="S58" s="113">
        <f t="shared" si="29"/>
        <v>275</v>
      </c>
      <c r="T58" s="137">
        <f t="shared" si="30"/>
        <v>275</v>
      </c>
      <c r="U58" s="137">
        <f t="shared" si="31"/>
        <v>275</v>
      </c>
      <c r="V58" s="137">
        <f t="shared" si="32"/>
        <v>0</v>
      </c>
      <c r="W58" s="89">
        <f t="shared" si="33"/>
        <v>0</v>
      </c>
      <c r="X58" s="31" t="str">
        <f t="shared" si="34"/>
        <v>Yes</v>
      </c>
      <c r="Y58" s="32">
        <f t="shared" si="35"/>
        <v>1.014760147601476</v>
      </c>
      <c r="Z58" s="70">
        <f t="shared" si="36"/>
        <v>32.727272727272727</v>
      </c>
      <c r="AA58" s="32">
        <f t="shared" si="37"/>
        <v>6.4090114585356384</v>
      </c>
      <c r="AD58" s="113" t="s">
        <v>386</v>
      </c>
      <c r="AE58" s="113" t="s">
        <v>203</v>
      </c>
      <c r="AF58" s="113" t="s">
        <v>209</v>
      </c>
      <c r="AG58" s="31">
        <f t="shared" si="40"/>
        <v>305</v>
      </c>
      <c r="AH58" s="112">
        <f t="shared" si="41"/>
        <v>6</v>
      </c>
      <c r="AI58" s="112">
        <f t="shared" si="42"/>
        <v>3</v>
      </c>
      <c r="AJ58" s="112">
        <f t="shared" ref="AJ58:AN58" si="73">AJ57</f>
        <v>0.5</v>
      </c>
      <c r="AK58" s="112">
        <f t="shared" si="73"/>
        <v>140</v>
      </c>
      <c r="AL58" s="112">
        <f t="shared" si="73"/>
        <v>100</v>
      </c>
      <c r="AM58" s="112">
        <f t="shared" si="73"/>
        <v>55</v>
      </c>
      <c r="AN58" s="112">
        <f t="shared" si="73"/>
        <v>85</v>
      </c>
      <c r="AO58" s="112">
        <f t="shared" si="44"/>
        <v>9.9</v>
      </c>
      <c r="AP58" s="115">
        <f t="shared" si="45"/>
        <v>0.495</v>
      </c>
      <c r="AQ58" s="115">
        <f t="shared" si="46"/>
        <v>0.5</v>
      </c>
      <c r="AR58" s="115">
        <f t="shared" si="21"/>
        <v>5</v>
      </c>
      <c r="AS58" s="115">
        <f t="shared" si="47"/>
        <v>20</v>
      </c>
      <c r="AT58" s="115" t="str">
        <f t="shared" ref="AT58:AU58" si="74">AT57</f>
        <v>F5/M-503</v>
      </c>
      <c r="AU58" s="112" t="str">
        <f t="shared" si="74"/>
        <v>1, 2</v>
      </c>
      <c r="AV58" s="17"/>
    </row>
    <row r="59" spans="2:48" ht="15" customHeight="1" x14ac:dyDescent="0.2">
      <c r="B59" s="160"/>
      <c r="C59" s="164" t="s">
        <v>361</v>
      </c>
      <c r="D59" s="121" t="s">
        <v>733</v>
      </c>
      <c r="E59" s="158" t="s">
        <v>800</v>
      </c>
      <c r="F59" s="158">
        <v>68</v>
      </c>
      <c r="G59" s="172">
        <v>8</v>
      </c>
      <c r="H59" s="114">
        <f>VLOOKUP($N59,'UMC Table 4-A'!$A$10:$E$139,4,FALSE)</f>
        <v>10</v>
      </c>
      <c r="I59" s="114" t="str">
        <f>VLOOKUP($N59,'UMC Table 4-A'!$A$10:$E$139,5,FALSE)</f>
        <v>YES</v>
      </c>
      <c r="J59" s="111">
        <f t="shared" si="26"/>
        <v>100</v>
      </c>
      <c r="K59" s="116">
        <v>0</v>
      </c>
      <c r="L59" s="114">
        <f t="shared" si="27"/>
        <v>100</v>
      </c>
      <c r="M59" s="117"/>
      <c r="N59" s="114" t="s">
        <v>94</v>
      </c>
      <c r="O59" s="114" t="str">
        <f>VLOOKUP($N59,'UMC Table 4-A'!$A$10:$E$139,2,FALSE)</f>
        <v>NEGATIVE</v>
      </c>
      <c r="P59" s="174" t="str">
        <f>VLOOKUP($N59,'UMC Table 4-A'!$A$10:$E$139,3,FALSE)</f>
        <v>NR</v>
      </c>
      <c r="Q59" s="152">
        <f t="shared" si="28"/>
        <v>0</v>
      </c>
      <c r="R59" s="112" t="str">
        <f>VLOOKUP($N59,'UMC Table 4-A'!$A$10:$E$139,5,FALSE)</f>
        <v>YES</v>
      </c>
      <c r="S59" s="113">
        <f t="shared" si="29"/>
        <v>0</v>
      </c>
      <c r="T59" s="137">
        <f t="shared" si="30"/>
        <v>0</v>
      </c>
      <c r="U59" s="137">
        <f t="shared" si="31"/>
        <v>0</v>
      </c>
      <c r="V59" s="137">
        <f t="shared" si="32"/>
        <v>100</v>
      </c>
      <c r="W59" s="89">
        <f t="shared" si="33"/>
        <v>-100</v>
      </c>
      <c r="X59" s="31" t="str">
        <f t="shared" si="34"/>
        <v>No</v>
      </c>
      <c r="Y59" s="32">
        <f t="shared" si="35"/>
        <v>0</v>
      </c>
      <c r="Z59" s="70" t="e">
        <f t="shared" si="36"/>
        <v>#DIV/0!</v>
      </c>
      <c r="AA59" s="32">
        <f t="shared" si="37"/>
        <v>0</v>
      </c>
      <c r="AD59" s="113" t="s">
        <v>387</v>
      </c>
      <c r="AE59" s="113" t="s">
        <v>203</v>
      </c>
      <c r="AF59" s="113" t="s">
        <v>209</v>
      </c>
      <c r="AG59" s="31">
        <f t="shared" ref="AG59:AG66" si="75">SUMIF($C$8:$C$117,AD59,$T$8:$T$117)</f>
        <v>145</v>
      </c>
      <c r="AH59" s="112">
        <f t="shared" ref="AH59:AH66" si="76">VLOOKUP(AG59,$AX$12:$AY$17,2,TRUE)</f>
        <v>6</v>
      </c>
      <c r="AI59" s="112">
        <f t="shared" ref="AI59:AI66" si="77">AH59/2</f>
        <v>3</v>
      </c>
      <c r="AJ59" s="112">
        <f t="shared" ref="AJ59:AN59" si="78">AJ58</f>
        <v>0.5</v>
      </c>
      <c r="AK59" s="112">
        <f t="shared" si="78"/>
        <v>140</v>
      </c>
      <c r="AL59" s="112">
        <f t="shared" si="78"/>
        <v>100</v>
      </c>
      <c r="AM59" s="112">
        <f t="shared" si="78"/>
        <v>55</v>
      </c>
      <c r="AN59" s="112">
        <f t="shared" si="78"/>
        <v>85</v>
      </c>
      <c r="AO59" s="112">
        <f t="shared" ref="AO59:AO66" si="79">MROUND((1.08*(AN59-AM59)*AG59)/1000,0.1)</f>
        <v>4.7</v>
      </c>
      <c r="AP59" s="115">
        <f t="shared" ref="AP59:AP66" si="80">(AO59*1000)/(500*(AK59-AL59))</f>
        <v>0.23499999999999999</v>
      </c>
      <c r="AQ59" s="115">
        <f t="shared" ref="AQ59:AQ66" si="81">IF(AP59&lt;0.5,0.5,AP59)</f>
        <v>0.5</v>
      </c>
      <c r="AR59" s="115">
        <f t="shared" si="21"/>
        <v>5</v>
      </c>
      <c r="AS59" s="115">
        <f t="shared" ref="AS59:AS66" si="82">_xlfn.XLOOKUP(AH59,$AY$12:$AY$17,$AZ$12:$AZ$17,)</f>
        <v>20</v>
      </c>
      <c r="AT59" s="115" t="str">
        <f t="shared" ref="AT59:AU59" si="83">AT58</f>
        <v>F5/M-503</v>
      </c>
      <c r="AU59" s="112" t="str">
        <f t="shared" si="83"/>
        <v>1, 2</v>
      </c>
      <c r="AV59" s="17"/>
    </row>
    <row r="60" spans="2:48" ht="15" customHeight="1" x14ac:dyDescent="0.2">
      <c r="B60" s="160"/>
      <c r="C60" s="164" t="s">
        <v>362</v>
      </c>
      <c r="D60" s="121" t="s">
        <v>788</v>
      </c>
      <c r="E60" s="158" t="s">
        <v>799</v>
      </c>
      <c r="F60" s="158">
        <v>58</v>
      </c>
      <c r="G60" s="172">
        <v>8</v>
      </c>
      <c r="H60" s="114">
        <f>VLOOKUP($N60,'UMC Table 4-A'!$A$10:$E$139,4,FALSE)</f>
        <v>10</v>
      </c>
      <c r="I60" s="114" t="str">
        <f>VLOOKUP($N60,'UMC Table 4-A'!$A$10:$E$139,5,FALSE)</f>
        <v>YES</v>
      </c>
      <c r="J60" s="111">
        <f t="shared" si="26"/>
        <v>80</v>
      </c>
      <c r="K60" s="116">
        <v>0</v>
      </c>
      <c r="L60" s="114">
        <f t="shared" si="27"/>
        <v>80</v>
      </c>
      <c r="M60" s="117"/>
      <c r="N60" s="114" t="s">
        <v>94</v>
      </c>
      <c r="O60" s="114" t="str">
        <f>VLOOKUP($N60,'UMC Table 4-A'!$A$10:$E$139,2,FALSE)</f>
        <v>NEGATIVE</v>
      </c>
      <c r="P60" s="174" t="str">
        <f>VLOOKUP($N60,'UMC Table 4-A'!$A$10:$E$139,3,FALSE)</f>
        <v>NR</v>
      </c>
      <c r="Q60" s="152">
        <f t="shared" si="28"/>
        <v>0</v>
      </c>
      <c r="R60" s="112" t="str">
        <f>VLOOKUP($N60,'UMC Table 4-A'!$A$10:$E$139,5,FALSE)</f>
        <v>YES</v>
      </c>
      <c r="S60" s="113">
        <f t="shared" si="29"/>
        <v>0</v>
      </c>
      <c r="T60" s="137">
        <f t="shared" si="30"/>
        <v>0</v>
      </c>
      <c r="U60" s="137">
        <f t="shared" si="31"/>
        <v>0</v>
      </c>
      <c r="V60" s="137">
        <f t="shared" si="32"/>
        <v>80</v>
      </c>
      <c r="W60" s="89">
        <f t="shared" si="33"/>
        <v>-80</v>
      </c>
      <c r="X60" s="31" t="str">
        <f t="shared" si="34"/>
        <v>No</v>
      </c>
      <c r="Y60" s="32">
        <f t="shared" si="35"/>
        <v>0</v>
      </c>
      <c r="Z60" s="70" t="e">
        <f t="shared" si="36"/>
        <v>#DIV/0!</v>
      </c>
      <c r="AA60" s="32">
        <f t="shared" si="37"/>
        <v>0</v>
      </c>
      <c r="AD60" s="113" t="s">
        <v>388</v>
      </c>
      <c r="AE60" s="113" t="s">
        <v>203</v>
      </c>
      <c r="AF60" s="113" t="s">
        <v>209</v>
      </c>
      <c r="AG60" s="31">
        <f t="shared" si="75"/>
        <v>90</v>
      </c>
      <c r="AH60" s="112">
        <f t="shared" si="76"/>
        <v>6</v>
      </c>
      <c r="AI60" s="112">
        <f t="shared" si="77"/>
        <v>3</v>
      </c>
      <c r="AJ60" s="112">
        <f t="shared" ref="AJ60:AN60" si="84">AJ59</f>
        <v>0.5</v>
      </c>
      <c r="AK60" s="112">
        <f t="shared" si="84"/>
        <v>140</v>
      </c>
      <c r="AL60" s="112">
        <f t="shared" si="84"/>
        <v>100</v>
      </c>
      <c r="AM60" s="112">
        <f t="shared" si="84"/>
        <v>55</v>
      </c>
      <c r="AN60" s="112">
        <f t="shared" si="84"/>
        <v>85</v>
      </c>
      <c r="AO60" s="112">
        <f t="shared" si="79"/>
        <v>2.9000000000000004</v>
      </c>
      <c r="AP60" s="115">
        <f t="shared" si="80"/>
        <v>0.14500000000000002</v>
      </c>
      <c r="AQ60" s="115">
        <f t="shared" si="81"/>
        <v>0.5</v>
      </c>
      <c r="AR60" s="115">
        <f t="shared" si="21"/>
        <v>5</v>
      </c>
      <c r="AS60" s="115">
        <f t="shared" si="82"/>
        <v>20</v>
      </c>
      <c r="AT60" s="115" t="str">
        <f t="shared" ref="AT60:AU60" si="85">AT59</f>
        <v>F5/M-503</v>
      </c>
      <c r="AU60" s="112" t="str">
        <f t="shared" si="85"/>
        <v>1, 2</v>
      </c>
      <c r="AV60" s="17"/>
    </row>
    <row r="61" spans="2:48" ht="15" customHeight="1" x14ac:dyDescent="0.2">
      <c r="B61" s="160"/>
      <c r="C61" s="121" t="s">
        <v>362</v>
      </c>
      <c r="D61" s="121" t="s">
        <v>583</v>
      </c>
      <c r="E61" s="158" t="s">
        <v>652</v>
      </c>
      <c r="F61" s="158">
        <v>240</v>
      </c>
      <c r="G61" s="172">
        <v>9</v>
      </c>
      <c r="H61" s="114">
        <f>VLOOKUP($N61,'UMC Table 4-A'!$A$10:$E$139,4,FALSE)</f>
        <v>6</v>
      </c>
      <c r="I61" s="114" t="str">
        <f>VLOOKUP($N61,'UMC Table 4-A'!$A$10:$E$139,5,FALSE)</f>
        <v>NR</v>
      </c>
      <c r="J61" s="111" t="str">
        <f t="shared" si="26"/>
        <v>-</v>
      </c>
      <c r="K61" s="116">
        <v>0</v>
      </c>
      <c r="L61" s="114">
        <f t="shared" si="27"/>
        <v>220</v>
      </c>
      <c r="M61" s="117">
        <f>F61</f>
        <v>240</v>
      </c>
      <c r="N61" s="114" t="s">
        <v>91</v>
      </c>
      <c r="O61" s="114" t="str">
        <f>VLOOKUP($N61,'UMC Table 4-A'!$A$10:$E$139,2,FALSE)</f>
        <v>NO REQUIREMENT FOR CONTINUOUS DIRECTIONAL CONTROL</v>
      </c>
      <c r="P61" s="174">
        <f>VLOOKUP($N61,'UMC Table 4-A'!$A$10:$E$139,3,FALSE)</f>
        <v>2</v>
      </c>
      <c r="Q61" s="152">
        <f t="shared" si="28"/>
        <v>80</v>
      </c>
      <c r="R61" s="112" t="str">
        <f>VLOOKUP($N61,'UMC Table 4-A'!$A$10:$E$139,5,FALSE)</f>
        <v>NR</v>
      </c>
      <c r="S61" s="113">
        <f t="shared" si="29"/>
        <v>240</v>
      </c>
      <c r="T61" s="137">
        <f t="shared" si="30"/>
        <v>240</v>
      </c>
      <c r="U61" s="137">
        <f t="shared" si="31"/>
        <v>240</v>
      </c>
      <c r="V61" s="137">
        <f t="shared" si="32"/>
        <v>0</v>
      </c>
      <c r="W61" s="89">
        <f t="shared" si="33"/>
        <v>0</v>
      </c>
      <c r="X61" s="31" t="str">
        <f t="shared" si="34"/>
        <v>Yes</v>
      </c>
      <c r="Y61" s="32">
        <f t="shared" si="35"/>
        <v>1</v>
      </c>
      <c r="Z61" s="70">
        <f t="shared" si="36"/>
        <v>33.333333333333329</v>
      </c>
      <c r="AA61" s="32">
        <f t="shared" si="37"/>
        <v>6.6666666666666661</v>
      </c>
      <c r="AD61" s="113" t="s">
        <v>389</v>
      </c>
      <c r="AE61" s="113" t="s">
        <v>203</v>
      </c>
      <c r="AF61" s="113" t="s">
        <v>209</v>
      </c>
      <c r="AG61" s="31">
        <f t="shared" si="75"/>
        <v>50</v>
      </c>
      <c r="AH61" s="112">
        <f t="shared" si="76"/>
        <v>6</v>
      </c>
      <c r="AI61" s="112">
        <f t="shared" si="77"/>
        <v>3</v>
      </c>
      <c r="AJ61" s="112">
        <f t="shared" ref="AJ61:AN61" si="86">AJ60</f>
        <v>0.5</v>
      </c>
      <c r="AK61" s="112">
        <f t="shared" si="86"/>
        <v>140</v>
      </c>
      <c r="AL61" s="112">
        <f t="shared" si="86"/>
        <v>100</v>
      </c>
      <c r="AM61" s="112">
        <f t="shared" si="86"/>
        <v>55</v>
      </c>
      <c r="AN61" s="112">
        <f t="shared" si="86"/>
        <v>85</v>
      </c>
      <c r="AO61" s="112">
        <f t="shared" si="79"/>
        <v>1.6</v>
      </c>
      <c r="AP61" s="115">
        <f t="shared" si="80"/>
        <v>0.08</v>
      </c>
      <c r="AQ61" s="115">
        <f t="shared" si="81"/>
        <v>0.5</v>
      </c>
      <c r="AR61" s="115">
        <f t="shared" si="21"/>
        <v>5</v>
      </c>
      <c r="AS61" s="115">
        <f t="shared" si="82"/>
        <v>20</v>
      </c>
      <c r="AT61" s="115" t="str">
        <f t="shared" ref="AT61:AU61" si="87">AT60</f>
        <v>F5/M-503</v>
      </c>
      <c r="AU61" s="112" t="str">
        <f t="shared" si="87"/>
        <v>1, 2</v>
      </c>
      <c r="AV61" s="17"/>
    </row>
    <row r="62" spans="2:48" ht="15" customHeight="1" x14ac:dyDescent="0.2">
      <c r="B62" s="160"/>
      <c r="C62" s="121" t="s">
        <v>363</v>
      </c>
      <c r="D62" s="121" t="s">
        <v>569</v>
      </c>
      <c r="E62" s="158" t="s">
        <v>653</v>
      </c>
      <c r="F62" s="158">
        <v>232</v>
      </c>
      <c r="G62" s="173">
        <v>9.5</v>
      </c>
      <c r="H62" s="114">
        <f>VLOOKUP($N62,'UMC Table 4-A'!$A$10:$E$139,4,FALSE)</f>
        <v>4</v>
      </c>
      <c r="I62" s="114" t="str">
        <f>VLOOKUP($N62,'UMC Table 4-A'!$A$10:$E$139,5,FALSE)</f>
        <v>NR</v>
      </c>
      <c r="J62" s="111" t="str">
        <f t="shared" si="26"/>
        <v>-</v>
      </c>
      <c r="K62" s="116">
        <v>0</v>
      </c>
      <c r="L62" s="114">
        <f t="shared" si="27"/>
        <v>150</v>
      </c>
      <c r="M62" s="117">
        <f>F62</f>
        <v>232</v>
      </c>
      <c r="N62" s="114" t="s">
        <v>123</v>
      </c>
      <c r="O62" s="114" t="str">
        <f>VLOOKUP($N62,'UMC Table 4-A'!$A$10:$E$139,2,FALSE)</f>
        <v>NO REQUIREMENT FOR CONTINUOUS DIRECTIONAL CONTROL</v>
      </c>
      <c r="P62" s="174">
        <f>VLOOKUP($N62,'UMC Table 4-A'!$A$10:$E$139,3,FALSE)</f>
        <v>2</v>
      </c>
      <c r="Q62" s="152">
        <f t="shared" si="28"/>
        <v>80</v>
      </c>
      <c r="R62" s="112" t="str">
        <f>VLOOKUP($N62,'UMC Table 4-A'!$A$10:$E$139,5,FALSE)</f>
        <v>NR</v>
      </c>
      <c r="S62" s="113">
        <f t="shared" si="29"/>
        <v>235</v>
      </c>
      <c r="T62" s="137">
        <f t="shared" si="30"/>
        <v>235</v>
      </c>
      <c r="U62" s="137">
        <f t="shared" si="31"/>
        <v>235</v>
      </c>
      <c r="V62" s="137">
        <f t="shared" si="32"/>
        <v>0</v>
      </c>
      <c r="W62" s="89">
        <f t="shared" si="33"/>
        <v>0</v>
      </c>
      <c r="X62" s="31" t="str">
        <f t="shared" si="34"/>
        <v>Yes</v>
      </c>
      <c r="Y62" s="32">
        <f t="shared" si="35"/>
        <v>1.0129310344827587</v>
      </c>
      <c r="Z62" s="70">
        <f t="shared" si="36"/>
        <v>34.042553191489361</v>
      </c>
      <c r="AA62" s="32">
        <f t="shared" si="37"/>
        <v>6.3974591651542649</v>
      </c>
      <c r="AD62" s="113" t="s">
        <v>390</v>
      </c>
      <c r="AE62" s="113" t="s">
        <v>203</v>
      </c>
      <c r="AF62" s="113" t="s">
        <v>209</v>
      </c>
      <c r="AG62" s="31">
        <f t="shared" si="75"/>
        <v>90</v>
      </c>
      <c r="AH62" s="112">
        <f t="shared" si="76"/>
        <v>6</v>
      </c>
      <c r="AI62" s="112">
        <f t="shared" si="77"/>
        <v>3</v>
      </c>
      <c r="AJ62" s="112">
        <f t="shared" ref="AJ62:AN62" si="88">AJ61</f>
        <v>0.5</v>
      </c>
      <c r="AK62" s="112">
        <f t="shared" si="88"/>
        <v>140</v>
      </c>
      <c r="AL62" s="112">
        <f t="shared" si="88"/>
        <v>100</v>
      </c>
      <c r="AM62" s="112">
        <f t="shared" si="88"/>
        <v>55</v>
      </c>
      <c r="AN62" s="112">
        <f t="shared" si="88"/>
        <v>85</v>
      </c>
      <c r="AO62" s="112">
        <f t="shared" si="79"/>
        <v>2.9000000000000004</v>
      </c>
      <c r="AP62" s="115">
        <f t="shared" si="80"/>
        <v>0.14500000000000002</v>
      </c>
      <c r="AQ62" s="115">
        <f t="shared" si="81"/>
        <v>0.5</v>
      </c>
      <c r="AR62" s="115">
        <f t="shared" si="21"/>
        <v>5</v>
      </c>
      <c r="AS62" s="115">
        <f t="shared" si="82"/>
        <v>20</v>
      </c>
      <c r="AT62" s="115" t="str">
        <f t="shared" ref="AT62:AU62" si="89">AT61</f>
        <v>F5/M-503</v>
      </c>
      <c r="AU62" s="112" t="str">
        <f t="shared" si="89"/>
        <v>1, 2</v>
      </c>
      <c r="AV62" s="17"/>
    </row>
    <row r="63" spans="2:48" ht="15" customHeight="1" x14ac:dyDescent="0.2">
      <c r="B63" s="160"/>
      <c r="C63" s="164" t="s">
        <v>363</v>
      </c>
      <c r="D63" s="121" t="s">
        <v>733</v>
      </c>
      <c r="E63" s="158" t="s">
        <v>798</v>
      </c>
      <c r="F63" s="158">
        <v>64</v>
      </c>
      <c r="G63" s="172">
        <v>8</v>
      </c>
      <c r="H63" s="114">
        <f>VLOOKUP($N63,'UMC Table 4-A'!$A$10:$E$139,4,FALSE)</f>
        <v>10</v>
      </c>
      <c r="I63" s="114" t="str">
        <f>VLOOKUP($N63,'UMC Table 4-A'!$A$10:$E$139,5,FALSE)</f>
        <v>YES</v>
      </c>
      <c r="J63" s="111">
        <f t="shared" si="26"/>
        <v>90</v>
      </c>
      <c r="K63" s="116">
        <v>0</v>
      </c>
      <c r="L63" s="114">
        <f t="shared" si="27"/>
        <v>90</v>
      </c>
      <c r="M63" s="117"/>
      <c r="N63" s="114" t="s">
        <v>94</v>
      </c>
      <c r="O63" s="114" t="str">
        <f>VLOOKUP($N63,'UMC Table 4-A'!$A$10:$E$139,2,FALSE)</f>
        <v>NEGATIVE</v>
      </c>
      <c r="P63" s="174" t="str">
        <f>VLOOKUP($N63,'UMC Table 4-A'!$A$10:$E$139,3,FALSE)</f>
        <v>NR</v>
      </c>
      <c r="Q63" s="152">
        <f t="shared" si="28"/>
        <v>0</v>
      </c>
      <c r="R63" s="112" t="str">
        <f>VLOOKUP($N63,'UMC Table 4-A'!$A$10:$E$139,5,FALSE)</f>
        <v>YES</v>
      </c>
      <c r="S63" s="113">
        <f t="shared" si="29"/>
        <v>0</v>
      </c>
      <c r="T63" s="137">
        <f t="shared" si="30"/>
        <v>0</v>
      </c>
      <c r="U63" s="137">
        <f t="shared" si="31"/>
        <v>0</v>
      </c>
      <c r="V63" s="137">
        <f t="shared" si="32"/>
        <v>90</v>
      </c>
      <c r="W63" s="89">
        <f t="shared" si="33"/>
        <v>-90</v>
      </c>
      <c r="X63" s="31" t="str">
        <f t="shared" si="34"/>
        <v>No</v>
      </c>
      <c r="Y63" s="32">
        <f t="shared" si="35"/>
        <v>0</v>
      </c>
      <c r="Z63" s="70" t="e">
        <f t="shared" si="36"/>
        <v>#DIV/0!</v>
      </c>
      <c r="AA63" s="32">
        <f t="shared" si="37"/>
        <v>0</v>
      </c>
      <c r="AD63" s="113" t="s">
        <v>391</v>
      </c>
      <c r="AE63" s="113" t="s">
        <v>203</v>
      </c>
      <c r="AF63" s="113" t="s">
        <v>209</v>
      </c>
      <c r="AG63" s="31">
        <f t="shared" si="75"/>
        <v>115</v>
      </c>
      <c r="AH63" s="112">
        <f t="shared" si="76"/>
        <v>6</v>
      </c>
      <c r="AI63" s="112">
        <f t="shared" si="77"/>
        <v>3</v>
      </c>
      <c r="AJ63" s="112">
        <f t="shared" ref="AJ63:AN63" si="90">AJ62</f>
        <v>0.5</v>
      </c>
      <c r="AK63" s="112">
        <f t="shared" si="90"/>
        <v>140</v>
      </c>
      <c r="AL63" s="112">
        <f t="shared" si="90"/>
        <v>100</v>
      </c>
      <c r="AM63" s="112">
        <f t="shared" si="90"/>
        <v>55</v>
      </c>
      <c r="AN63" s="112">
        <f t="shared" si="90"/>
        <v>85</v>
      </c>
      <c r="AO63" s="112">
        <f t="shared" si="79"/>
        <v>3.7</v>
      </c>
      <c r="AP63" s="115">
        <f t="shared" si="80"/>
        <v>0.185</v>
      </c>
      <c r="AQ63" s="115">
        <f t="shared" si="81"/>
        <v>0.5</v>
      </c>
      <c r="AR63" s="115">
        <f t="shared" si="21"/>
        <v>5</v>
      </c>
      <c r="AS63" s="115">
        <f t="shared" si="82"/>
        <v>20</v>
      </c>
      <c r="AT63" s="115" t="str">
        <f t="shared" ref="AT63:AU63" si="91">AT62</f>
        <v>F5/M-503</v>
      </c>
      <c r="AU63" s="112" t="str">
        <f t="shared" si="91"/>
        <v>1, 2</v>
      </c>
      <c r="AV63" s="17"/>
    </row>
    <row r="64" spans="2:48" ht="15" customHeight="1" x14ac:dyDescent="0.2">
      <c r="B64" s="160"/>
      <c r="C64" s="121" t="s">
        <v>364</v>
      </c>
      <c r="D64" s="121" t="s">
        <v>569</v>
      </c>
      <c r="E64" s="158" t="s">
        <v>654</v>
      </c>
      <c r="F64" s="158">
        <v>232</v>
      </c>
      <c r="G64" s="173">
        <v>9.5</v>
      </c>
      <c r="H64" s="114">
        <f>VLOOKUP($N64,'UMC Table 4-A'!$A$10:$E$139,4,FALSE)</f>
        <v>4</v>
      </c>
      <c r="I64" s="114" t="str">
        <f>VLOOKUP($N64,'UMC Table 4-A'!$A$10:$E$139,5,FALSE)</f>
        <v>NR</v>
      </c>
      <c r="J64" s="111" t="str">
        <f t="shared" si="26"/>
        <v>-</v>
      </c>
      <c r="K64" s="116">
        <v>0</v>
      </c>
      <c r="L64" s="114">
        <f t="shared" si="27"/>
        <v>150</v>
      </c>
      <c r="M64" s="117">
        <f>F64</f>
        <v>232</v>
      </c>
      <c r="N64" s="114" t="s">
        <v>123</v>
      </c>
      <c r="O64" s="114" t="str">
        <f>VLOOKUP($N64,'UMC Table 4-A'!$A$10:$E$139,2,FALSE)</f>
        <v>NO REQUIREMENT FOR CONTINUOUS DIRECTIONAL CONTROL</v>
      </c>
      <c r="P64" s="174">
        <f>VLOOKUP($N64,'UMC Table 4-A'!$A$10:$E$139,3,FALSE)</f>
        <v>2</v>
      </c>
      <c r="Q64" s="152">
        <f t="shared" si="28"/>
        <v>80</v>
      </c>
      <c r="R64" s="112" t="str">
        <f>VLOOKUP($N64,'UMC Table 4-A'!$A$10:$E$139,5,FALSE)</f>
        <v>NR</v>
      </c>
      <c r="S64" s="113">
        <f t="shared" si="29"/>
        <v>235</v>
      </c>
      <c r="T64" s="137">
        <f t="shared" si="30"/>
        <v>235</v>
      </c>
      <c r="U64" s="137">
        <f t="shared" si="31"/>
        <v>235</v>
      </c>
      <c r="V64" s="137">
        <f t="shared" si="32"/>
        <v>0</v>
      </c>
      <c r="W64" s="89">
        <f t="shared" si="33"/>
        <v>0</v>
      </c>
      <c r="X64" s="31" t="str">
        <f t="shared" si="34"/>
        <v>Yes</v>
      </c>
      <c r="Y64" s="32">
        <f t="shared" si="35"/>
        <v>1.0129310344827587</v>
      </c>
      <c r="Z64" s="70">
        <f t="shared" si="36"/>
        <v>34.042553191489361</v>
      </c>
      <c r="AA64" s="32">
        <f t="shared" si="37"/>
        <v>6.3974591651542649</v>
      </c>
      <c r="AD64" s="113" t="s">
        <v>392</v>
      </c>
      <c r="AE64" s="113" t="s">
        <v>203</v>
      </c>
      <c r="AF64" s="113" t="s">
        <v>209</v>
      </c>
      <c r="AG64" s="31">
        <f t="shared" si="75"/>
        <v>720</v>
      </c>
      <c r="AH64" s="112">
        <f t="shared" si="76"/>
        <v>10</v>
      </c>
      <c r="AI64" s="112">
        <f t="shared" si="77"/>
        <v>5</v>
      </c>
      <c r="AJ64" s="112">
        <f t="shared" ref="AJ64:AN64" si="92">AJ63</f>
        <v>0.5</v>
      </c>
      <c r="AK64" s="112">
        <f t="shared" si="92"/>
        <v>140</v>
      </c>
      <c r="AL64" s="112">
        <f t="shared" si="92"/>
        <v>100</v>
      </c>
      <c r="AM64" s="112">
        <f t="shared" si="92"/>
        <v>55</v>
      </c>
      <c r="AN64" s="112">
        <f t="shared" si="92"/>
        <v>85</v>
      </c>
      <c r="AO64" s="112">
        <f t="shared" si="79"/>
        <v>23.3</v>
      </c>
      <c r="AP64" s="115">
        <f t="shared" si="80"/>
        <v>1.165</v>
      </c>
      <c r="AQ64" s="115">
        <f t="shared" si="81"/>
        <v>1.165</v>
      </c>
      <c r="AR64" s="115">
        <f t="shared" si="21"/>
        <v>5</v>
      </c>
      <c r="AS64" s="115">
        <f t="shared" si="82"/>
        <v>30</v>
      </c>
      <c r="AT64" s="115" t="str">
        <f t="shared" ref="AT64:AU64" si="93">AT63</f>
        <v>F5/M-503</v>
      </c>
      <c r="AU64" s="112" t="str">
        <f t="shared" si="93"/>
        <v>1, 2</v>
      </c>
      <c r="AV64" s="17"/>
    </row>
    <row r="65" spans="2:48" ht="15" customHeight="1" x14ac:dyDescent="0.2">
      <c r="B65" s="160"/>
      <c r="C65" s="164" t="s">
        <v>364</v>
      </c>
      <c r="D65" s="121" t="s">
        <v>733</v>
      </c>
      <c r="E65" s="158" t="s">
        <v>797</v>
      </c>
      <c r="F65" s="158">
        <v>64</v>
      </c>
      <c r="G65" s="172">
        <v>8</v>
      </c>
      <c r="H65" s="114">
        <f>VLOOKUP($N65,'UMC Table 4-A'!$A$10:$E$139,4,FALSE)</f>
        <v>10</v>
      </c>
      <c r="I65" s="114" t="str">
        <f>VLOOKUP($N65,'UMC Table 4-A'!$A$10:$E$139,5,FALSE)</f>
        <v>YES</v>
      </c>
      <c r="J65" s="111">
        <f t="shared" si="26"/>
        <v>90</v>
      </c>
      <c r="K65" s="116">
        <v>0</v>
      </c>
      <c r="L65" s="114">
        <f t="shared" si="27"/>
        <v>90</v>
      </c>
      <c r="M65" s="117"/>
      <c r="N65" s="114" t="s">
        <v>94</v>
      </c>
      <c r="O65" s="114" t="str">
        <f>VLOOKUP($N65,'UMC Table 4-A'!$A$10:$E$139,2,FALSE)</f>
        <v>NEGATIVE</v>
      </c>
      <c r="P65" s="174" t="str">
        <f>VLOOKUP($N65,'UMC Table 4-A'!$A$10:$E$139,3,FALSE)</f>
        <v>NR</v>
      </c>
      <c r="Q65" s="152">
        <f t="shared" si="28"/>
        <v>0</v>
      </c>
      <c r="R65" s="112" t="str">
        <f>VLOOKUP($N65,'UMC Table 4-A'!$A$10:$E$139,5,FALSE)</f>
        <v>YES</v>
      </c>
      <c r="S65" s="113">
        <f t="shared" si="29"/>
        <v>0</v>
      </c>
      <c r="T65" s="137">
        <f t="shared" si="30"/>
        <v>0</v>
      </c>
      <c r="U65" s="137">
        <f t="shared" si="31"/>
        <v>0</v>
      </c>
      <c r="V65" s="137">
        <f t="shared" si="32"/>
        <v>90</v>
      </c>
      <c r="W65" s="89">
        <f t="shared" si="33"/>
        <v>-90</v>
      </c>
      <c r="X65" s="31" t="str">
        <f t="shared" si="34"/>
        <v>No</v>
      </c>
      <c r="Y65" s="32">
        <f t="shared" si="35"/>
        <v>0</v>
      </c>
      <c r="Z65" s="70" t="e">
        <f t="shared" si="36"/>
        <v>#DIV/0!</v>
      </c>
      <c r="AA65" s="32">
        <f t="shared" si="37"/>
        <v>0</v>
      </c>
      <c r="AD65" s="113" t="s">
        <v>393</v>
      </c>
      <c r="AE65" s="113" t="s">
        <v>203</v>
      </c>
      <c r="AF65" s="113" t="s">
        <v>209</v>
      </c>
      <c r="AG65" s="31">
        <f t="shared" si="75"/>
        <v>105</v>
      </c>
      <c r="AH65" s="112">
        <f t="shared" si="76"/>
        <v>6</v>
      </c>
      <c r="AI65" s="112">
        <f t="shared" si="77"/>
        <v>3</v>
      </c>
      <c r="AJ65" s="112">
        <f t="shared" ref="AJ65:AN65" si="94">AJ64</f>
        <v>0.5</v>
      </c>
      <c r="AK65" s="112">
        <f t="shared" si="94"/>
        <v>140</v>
      </c>
      <c r="AL65" s="112">
        <f t="shared" si="94"/>
        <v>100</v>
      </c>
      <c r="AM65" s="112">
        <f t="shared" si="94"/>
        <v>55</v>
      </c>
      <c r="AN65" s="112">
        <f t="shared" si="94"/>
        <v>85</v>
      </c>
      <c r="AO65" s="112">
        <f t="shared" si="79"/>
        <v>3.4000000000000004</v>
      </c>
      <c r="AP65" s="115">
        <f t="shared" si="80"/>
        <v>0.17</v>
      </c>
      <c r="AQ65" s="115">
        <f t="shared" si="81"/>
        <v>0.5</v>
      </c>
      <c r="AR65" s="115">
        <f t="shared" si="21"/>
        <v>5</v>
      </c>
      <c r="AS65" s="115">
        <f t="shared" si="82"/>
        <v>20</v>
      </c>
      <c r="AT65" s="115" t="str">
        <f t="shared" ref="AT65:AU65" si="95">AT64</f>
        <v>F5/M-503</v>
      </c>
      <c r="AU65" s="112" t="str">
        <f t="shared" si="95"/>
        <v>1, 2</v>
      </c>
      <c r="AV65" s="17"/>
    </row>
    <row r="66" spans="2:48" ht="15" customHeight="1" x14ac:dyDescent="0.2">
      <c r="B66" s="160"/>
      <c r="C66" s="121" t="s">
        <v>365</v>
      </c>
      <c r="D66" s="121" t="s">
        <v>569</v>
      </c>
      <c r="E66" s="158" t="s">
        <v>655</v>
      </c>
      <c r="F66" s="158">
        <v>232</v>
      </c>
      <c r="G66" s="173">
        <v>9.5</v>
      </c>
      <c r="H66" s="114">
        <f>VLOOKUP($N66,'UMC Table 4-A'!$A$10:$E$139,4,FALSE)</f>
        <v>4</v>
      </c>
      <c r="I66" s="114" t="str">
        <f>VLOOKUP($N66,'UMC Table 4-A'!$A$10:$E$139,5,FALSE)</f>
        <v>NR</v>
      </c>
      <c r="J66" s="111" t="str">
        <f t="shared" si="26"/>
        <v>-</v>
      </c>
      <c r="K66" s="116">
        <v>0</v>
      </c>
      <c r="L66" s="114">
        <f t="shared" si="27"/>
        <v>150</v>
      </c>
      <c r="M66" s="117">
        <f>F66</f>
        <v>232</v>
      </c>
      <c r="N66" s="114" t="s">
        <v>123</v>
      </c>
      <c r="O66" s="114" t="str">
        <f>VLOOKUP($N66,'UMC Table 4-A'!$A$10:$E$139,2,FALSE)</f>
        <v>NO REQUIREMENT FOR CONTINUOUS DIRECTIONAL CONTROL</v>
      </c>
      <c r="P66" s="174">
        <f>VLOOKUP($N66,'UMC Table 4-A'!$A$10:$E$139,3,FALSE)</f>
        <v>2</v>
      </c>
      <c r="Q66" s="152">
        <f t="shared" si="28"/>
        <v>80</v>
      </c>
      <c r="R66" s="112" t="str">
        <f>VLOOKUP($N66,'UMC Table 4-A'!$A$10:$E$139,5,FALSE)</f>
        <v>NR</v>
      </c>
      <c r="S66" s="113">
        <f t="shared" si="29"/>
        <v>235</v>
      </c>
      <c r="T66" s="137">
        <f t="shared" si="30"/>
        <v>235</v>
      </c>
      <c r="U66" s="137">
        <f t="shared" si="31"/>
        <v>235</v>
      </c>
      <c r="V66" s="137">
        <f t="shared" si="32"/>
        <v>0</v>
      </c>
      <c r="W66" s="89">
        <f t="shared" si="33"/>
        <v>0</v>
      </c>
      <c r="X66" s="31" t="str">
        <f t="shared" si="34"/>
        <v>Yes</v>
      </c>
      <c r="Y66" s="32">
        <f t="shared" si="35"/>
        <v>1.0129310344827587</v>
      </c>
      <c r="Z66" s="70">
        <f t="shared" si="36"/>
        <v>34.042553191489361</v>
      </c>
      <c r="AA66" s="32">
        <f t="shared" si="37"/>
        <v>6.3974591651542649</v>
      </c>
      <c r="AD66" s="113" t="s">
        <v>394</v>
      </c>
      <c r="AE66" s="113" t="s">
        <v>203</v>
      </c>
      <c r="AF66" s="113" t="s">
        <v>209</v>
      </c>
      <c r="AG66" s="31">
        <f t="shared" si="75"/>
        <v>540</v>
      </c>
      <c r="AH66" s="112">
        <f t="shared" si="76"/>
        <v>8</v>
      </c>
      <c r="AI66" s="112">
        <f t="shared" si="77"/>
        <v>4</v>
      </c>
      <c r="AJ66" s="112">
        <f t="shared" ref="AJ66:AN66" si="96">AJ65</f>
        <v>0.5</v>
      </c>
      <c r="AK66" s="112">
        <f t="shared" si="96"/>
        <v>140</v>
      </c>
      <c r="AL66" s="112">
        <f t="shared" si="96"/>
        <v>100</v>
      </c>
      <c r="AM66" s="112">
        <f t="shared" si="96"/>
        <v>55</v>
      </c>
      <c r="AN66" s="112">
        <f t="shared" si="96"/>
        <v>85</v>
      </c>
      <c r="AO66" s="112">
        <f t="shared" si="79"/>
        <v>17.5</v>
      </c>
      <c r="AP66" s="115">
        <f t="shared" si="80"/>
        <v>0.875</v>
      </c>
      <c r="AQ66" s="115">
        <f t="shared" si="81"/>
        <v>0.875</v>
      </c>
      <c r="AR66" s="115">
        <f t="shared" si="21"/>
        <v>5</v>
      </c>
      <c r="AS66" s="115">
        <f t="shared" si="82"/>
        <v>25</v>
      </c>
      <c r="AT66" s="115" t="str">
        <f t="shared" ref="AT66:AU66" si="97">AT65</f>
        <v>F5/M-503</v>
      </c>
      <c r="AU66" s="112" t="str">
        <f t="shared" si="97"/>
        <v>1, 2</v>
      </c>
      <c r="AV66" s="17"/>
    </row>
    <row r="67" spans="2:48" ht="15" customHeight="1" x14ac:dyDescent="0.2">
      <c r="B67" s="160"/>
      <c r="C67" s="164" t="s">
        <v>365</v>
      </c>
      <c r="D67" s="121" t="s">
        <v>733</v>
      </c>
      <c r="E67" s="158" t="s">
        <v>796</v>
      </c>
      <c r="F67" s="158">
        <v>64</v>
      </c>
      <c r="G67" s="172">
        <v>8</v>
      </c>
      <c r="H67" s="114">
        <f>VLOOKUP($N67,'UMC Table 4-A'!$A$10:$E$139,4,FALSE)</f>
        <v>10</v>
      </c>
      <c r="I67" s="114" t="str">
        <f>VLOOKUP($N67,'UMC Table 4-A'!$A$10:$E$139,5,FALSE)</f>
        <v>YES</v>
      </c>
      <c r="J67" s="111">
        <f t="shared" si="26"/>
        <v>90</v>
      </c>
      <c r="K67" s="116">
        <v>0</v>
      </c>
      <c r="L67" s="114">
        <f t="shared" si="27"/>
        <v>90</v>
      </c>
      <c r="M67" s="117"/>
      <c r="N67" s="114" t="s">
        <v>94</v>
      </c>
      <c r="O67" s="114" t="str">
        <f>VLOOKUP($N67,'UMC Table 4-A'!$A$10:$E$139,2,FALSE)</f>
        <v>NEGATIVE</v>
      </c>
      <c r="P67" s="174" t="str">
        <f>VLOOKUP($N67,'UMC Table 4-A'!$A$10:$E$139,3,FALSE)</f>
        <v>NR</v>
      </c>
      <c r="Q67" s="152">
        <f t="shared" si="28"/>
        <v>0</v>
      </c>
      <c r="R67" s="112" t="str">
        <f>VLOOKUP($N67,'UMC Table 4-A'!$A$10:$E$139,5,FALSE)</f>
        <v>YES</v>
      </c>
      <c r="S67" s="113">
        <f t="shared" si="29"/>
        <v>0</v>
      </c>
      <c r="T67" s="137">
        <f t="shared" si="30"/>
        <v>0</v>
      </c>
      <c r="U67" s="137">
        <f t="shared" si="31"/>
        <v>0</v>
      </c>
      <c r="V67" s="137">
        <f t="shared" si="32"/>
        <v>90</v>
      </c>
      <c r="W67" s="89">
        <f t="shared" si="33"/>
        <v>-90</v>
      </c>
      <c r="X67" s="31" t="str">
        <f t="shared" si="34"/>
        <v>No</v>
      </c>
      <c r="Y67" s="32">
        <f t="shared" si="35"/>
        <v>0</v>
      </c>
      <c r="Z67" s="70" t="e">
        <f t="shared" si="36"/>
        <v>#DIV/0!</v>
      </c>
      <c r="AA67" s="32">
        <f t="shared" si="37"/>
        <v>0</v>
      </c>
      <c r="AD67" s="184" t="s">
        <v>207</v>
      </c>
      <c r="AE67" s="185"/>
      <c r="AF67" s="185"/>
      <c r="AG67" s="185"/>
      <c r="AH67" s="185"/>
      <c r="AI67" s="185"/>
      <c r="AJ67" s="185"/>
      <c r="AK67" s="185"/>
      <c r="AL67" s="185"/>
      <c r="AM67" s="185"/>
      <c r="AN67" s="185"/>
      <c r="AO67" s="185"/>
      <c r="AP67" s="185"/>
      <c r="AQ67" s="185"/>
      <c r="AR67" s="185"/>
      <c r="AS67" s="185"/>
      <c r="AT67" s="185"/>
      <c r="AU67" s="186"/>
      <c r="AV67" s="17"/>
    </row>
    <row r="68" spans="2:48" ht="15" customHeight="1" x14ac:dyDescent="0.2">
      <c r="B68" s="160"/>
      <c r="C68" s="121" t="s">
        <v>366</v>
      </c>
      <c r="D68" s="121" t="s">
        <v>569</v>
      </c>
      <c r="E68" s="158" t="s">
        <v>656</v>
      </c>
      <c r="F68" s="158">
        <v>223</v>
      </c>
      <c r="G68" s="173">
        <v>9.5</v>
      </c>
      <c r="H68" s="114">
        <f>VLOOKUP($N68,'UMC Table 4-A'!$A$10:$E$139,4,FALSE)</f>
        <v>4</v>
      </c>
      <c r="I68" s="114" t="str">
        <f>VLOOKUP($N68,'UMC Table 4-A'!$A$10:$E$139,5,FALSE)</f>
        <v>NR</v>
      </c>
      <c r="J68" s="111" t="str">
        <f t="shared" si="26"/>
        <v>-</v>
      </c>
      <c r="K68" s="116">
        <v>0</v>
      </c>
      <c r="L68" s="114">
        <f t="shared" si="27"/>
        <v>150</v>
      </c>
      <c r="M68" s="117">
        <f>F68</f>
        <v>223</v>
      </c>
      <c r="N68" s="114" t="s">
        <v>123</v>
      </c>
      <c r="O68" s="114" t="str">
        <f>VLOOKUP($N68,'UMC Table 4-A'!$A$10:$E$139,2,FALSE)</f>
        <v>NO REQUIREMENT FOR CONTINUOUS DIRECTIONAL CONTROL</v>
      </c>
      <c r="P68" s="174">
        <f>VLOOKUP($N68,'UMC Table 4-A'!$A$10:$E$139,3,FALSE)</f>
        <v>2</v>
      </c>
      <c r="Q68" s="152">
        <f t="shared" si="28"/>
        <v>80</v>
      </c>
      <c r="R68" s="112" t="str">
        <f>VLOOKUP($N68,'UMC Table 4-A'!$A$10:$E$139,5,FALSE)</f>
        <v>NR</v>
      </c>
      <c r="S68" s="113">
        <f t="shared" si="29"/>
        <v>225</v>
      </c>
      <c r="T68" s="137">
        <f t="shared" si="30"/>
        <v>225</v>
      </c>
      <c r="U68" s="137">
        <f t="shared" si="31"/>
        <v>225</v>
      </c>
      <c r="V68" s="137">
        <f t="shared" si="32"/>
        <v>0</v>
      </c>
      <c r="W68" s="89">
        <f t="shared" si="33"/>
        <v>0</v>
      </c>
      <c r="X68" s="31" t="str">
        <f t="shared" si="34"/>
        <v>Yes</v>
      </c>
      <c r="Y68" s="32">
        <f t="shared" si="35"/>
        <v>1.0089686098654709</v>
      </c>
      <c r="Z68" s="70">
        <f t="shared" si="36"/>
        <v>35.555555555555557</v>
      </c>
      <c r="AA68" s="32">
        <f t="shared" si="37"/>
        <v>6.3724333254661323</v>
      </c>
      <c r="AD68" s="187"/>
      <c r="AE68" s="188"/>
      <c r="AF68" s="188"/>
      <c r="AG68" s="188"/>
      <c r="AH68" s="188"/>
      <c r="AI68" s="188"/>
      <c r="AJ68" s="188"/>
      <c r="AK68" s="188"/>
      <c r="AL68" s="188"/>
      <c r="AM68" s="188"/>
      <c r="AN68" s="188"/>
      <c r="AO68" s="188"/>
      <c r="AP68" s="188"/>
      <c r="AQ68" s="188"/>
      <c r="AR68" s="188"/>
      <c r="AS68" s="188"/>
      <c r="AT68" s="188"/>
      <c r="AU68" s="189"/>
      <c r="AV68" s="17"/>
    </row>
    <row r="69" spans="2:48" ht="15" customHeight="1" x14ac:dyDescent="0.2">
      <c r="B69" s="160"/>
      <c r="C69" s="164" t="s">
        <v>366</v>
      </c>
      <c r="D69" s="121" t="s">
        <v>733</v>
      </c>
      <c r="E69" s="158" t="s">
        <v>795</v>
      </c>
      <c r="F69" s="158">
        <v>64</v>
      </c>
      <c r="G69" s="172">
        <v>8</v>
      </c>
      <c r="H69" s="114">
        <f>VLOOKUP($N69,'UMC Table 4-A'!$A$10:$E$139,4,FALSE)</f>
        <v>10</v>
      </c>
      <c r="I69" s="114" t="str">
        <f>VLOOKUP($N69,'UMC Table 4-A'!$A$10:$E$139,5,FALSE)</f>
        <v>YES</v>
      </c>
      <c r="J69" s="111">
        <f t="shared" si="26"/>
        <v>90</v>
      </c>
      <c r="K69" s="116">
        <v>0</v>
      </c>
      <c r="L69" s="114">
        <f t="shared" si="27"/>
        <v>90</v>
      </c>
      <c r="M69" s="117"/>
      <c r="N69" s="114" t="s">
        <v>94</v>
      </c>
      <c r="O69" s="114" t="str">
        <f>VLOOKUP($N69,'UMC Table 4-A'!$A$10:$E$139,2,FALSE)</f>
        <v>NEGATIVE</v>
      </c>
      <c r="P69" s="174" t="str">
        <f>VLOOKUP($N69,'UMC Table 4-A'!$A$10:$E$139,3,FALSE)</f>
        <v>NR</v>
      </c>
      <c r="Q69" s="152">
        <f t="shared" si="28"/>
        <v>0</v>
      </c>
      <c r="R69" s="112" t="str">
        <f>VLOOKUP($N69,'UMC Table 4-A'!$A$10:$E$139,5,FALSE)</f>
        <v>YES</v>
      </c>
      <c r="S69" s="113">
        <f t="shared" si="29"/>
        <v>0</v>
      </c>
      <c r="T69" s="137">
        <f t="shared" si="30"/>
        <v>0</v>
      </c>
      <c r="U69" s="137">
        <f t="shared" si="31"/>
        <v>0</v>
      </c>
      <c r="V69" s="137">
        <f t="shared" si="32"/>
        <v>90</v>
      </c>
      <c r="W69" s="89">
        <f t="shared" si="33"/>
        <v>-90</v>
      </c>
      <c r="X69" s="31" t="str">
        <f t="shared" si="34"/>
        <v>No</v>
      </c>
      <c r="Y69" s="32">
        <f t="shared" si="35"/>
        <v>0</v>
      </c>
      <c r="Z69" s="70" t="e">
        <f t="shared" si="36"/>
        <v>#DIV/0!</v>
      </c>
      <c r="AA69" s="32">
        <f t="shared" si="37"/>
        <v>0</v>
      </c>
      <c r="AD69" s="187"/>
      <c r="AE69" s="188"/>
      <c r="AF69" s="188"/>
      <c r="AG69" s="188"/>
      <c r="AH69" s="188"/>
      <c r="AI69" s="188"/>
      <c r="AJ69" s="188"/>
      <c r="AK69" s="188"/>
      <c r="AL69" s="188"/>
      <c r="AM69" s="188"/>
      <c r="AN69" s="188"/>
      <c r="AO69" s="188"/>
      <c r="AP69" s="188"/>
      <c r="AQ69" s="188"/>
      <c r="AR69" s="188"/>
      <c r="AS69" s="188"/>
      <c r="AT69" s="188"/>
      <c r="AU69" s="189"/>
      <c r="AV69" s="17"/>
    </row>
    <row r="70" spans="2:48" ht="15" customHeight="1" x14ac:dyDescent="0.2">
      <c r="B70" s="84"/>
      <c r="C70" s="121" t="s">
        <v>367</v>
      </c>
      <c r="D70" s="121" t="s">
        <v>569</v>
      </c>
      <c r="E70" s="158" t="s">
        <v>657</v>
      </c>
      <c r="F70" s="158">
        <v>235</v>
      </c>
      <c r="G70" s="173">
        <v>9.5</v>
      </c>
      <c r="H70" s="114">
        <f>VLOOKUP($N70,'UMC Table 4-A'!$A$10:$E$139,4,FALSE)</f>
        <v>4</v>
      </c>
      <c r="I70" s="114" t="str">
        <f>VLOOKUP($N70,'UMC Table 4-A'!$A$10:$E$139,5,FALSE)</f>
        <v>NR</v>
      </c>
      <c r="J70" s="111" t="str">
        <f t="shared" si="26"/>
        <v>-</v>
      </c>
      <c r="K70" s="116">
        <v>0</v>
      </c>
      <c r="L70" s="114">
        <f t="shared" si="27"/>
        <v>150</v>
      </c>
      <c r="M70" s="117">
        <f>F70</f>
        <v>235</v>
      </c>
      <c r="N70" s="114" t="s">
        <v>123</v>
      </c>
      <c r="O70" s="114" t="str">
        <f>VLOOKUP($N70,'UMC Table 4-A'!$A$10:$E$139,2,FALSE)</f>
        <v>NO REQUIREMENT FOR CONTINUOUS DIRECTIONAL CONTROL</v>
      </c>
      <c r="P70" s="174">
        <f>VLOOKUP($N70,'UMC Table 4-A'!$A$10:$E$139,3,FALSE)</f>
        <v>2</v>
      </c>
      <c r="Q70" s="152">
        <f t="shared" si="28"/>
        <v>80</v>
      </c>
      <c r="R70" s="112" t="str">
        <f>VLOOKUP($N70,'UMC Table 4-A'!$A$10:$E$139,5,FALSE)</f>
        <v>NR</v>
      </c>
      <c r="S70" s="113">
        <f t="shared" si="29"/>
        <v>235</v>
      </c>
      <c r="T70" s="137">
        <f t="shared" si="30"/>
        <v>235</v>
      </c>
      <c r="U70" s="137">
        <f t="shared" si="31"/>
        <v>235</v>
      </c>
      <c r="V70" s="137">
        <f t="shared" si="32"/>
        <v>0</v>
      </c>
      <c r="W70" s="89">
        <f t="shared" si="33"/>
        <v>0</v>
      </c>
      <c r="X70" s="31" t="str">
        <f t="shared" si="34"/>
        <v>Yes</v>
      </c>
      <c r="Y70" s="32">
        <f t="shared" si="35"/>
        <v>1</v>
      </c>
      <c r="Z70" s="70">
        <f t="shared" si="36"/>
        <v>34.042553191489361</v>
      </c>
      <c r="AA70" s="32">
        <f t="shared" si="37"/>
        <v>6.3157894736842106</v>
      </c>
      <c r="AD70" s="190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2"/>
      <c r="AV70" s="17"/>
    </row>
    <row r="71" spans="2:48" ht="15" customHeight="1" x14ac:dyDescent="0.2">
      <c r="B71" s="160"/>
      <c r="C71" s="164" t="s">
        <v>367</v>
      </c>
      <c r="D71" s="121" t="s">
        <v>733</v>
      </c>
      <c r="E71" s="158" t="s">
        <v>807</v>
      </c>
      <c r="F71" s="158">
        <v>66</v>
      </c>
      <c r="G71" s="172">
        <v>8</v>
      </c>
      <c r="H71" s="114">
        <f>VLOOKUP($N71,'UMC Table 4-A'!$A$10:$E$139,4,FALSE)</f>
        <v>10</v>
      </c>
      <c r="I71" s="114" t="str">
        <f>VLOOKUP($N71,'UMC Table 4-A'!$A$10:$E$139,5,FALSE)</f>
        <v>YES</v>
      </c>
      <c r="J71" s="111">
        <f t="shared" si="26"/>
        <v>90</v>
      </c>
      <c r="K71" s="116">
        <v>0</v>
      </c>
      <c r="L71" s="114">
        <f t="shared" si="27"/>
        <v>90</v>
      </c>
      <c r="M71" s="117"/>
      <c r="N71" s="114" t="s">
        <v>94</v>
      </c>
      <c r="O71" s="114" t="str">
        <f>VLOOKUP($N71,'UMC Table 4-A'!$A$10:$E$139,2,FALSE)</f>
        <v>NEGATIVE</v>
      </c>
      <c r="P71" s="174" t="str">
        <f>VLOOKUP($N71,'UMC Table 4-A'!$A$10:$E$139,3,FALSE)</f>
        <v>NR</v>
      </c>
      <c r="Q71" s="152">
        <f t="shared" si="28"/>
        <v>0</v>
      </c>
      <c r="R71" s="112" t="str">
        <f>VLOOKUP($N71,'UMC Table 4-A'!$A$10:$E$139,5,FALSE)</f>
        <v>YES</v>
      </c>
      <c r="S71" s="113">
        <f t="shared" si="29"/>
        <v>0</v>
      </c>
      <c r="T71" s="137">
        <f t="shared" si="30"/>
        <v>0</v>
      </c>
      <c r="U71" s="137">
        <f t="shared" si="31"/>
        <v>0</v>
      </c>
      <c r="V71" s="137">
        <f t="shared" si="32"/>
        <v>90</v>
      </c>
      <c r="W71" s="89">
        <f t="shared" si="33"/>
        <v>-90</v>
      </c>
      <c r="X71" s="31" t="str">
        <f t="shared" si="34"/>
        <v>No</v>
      </c>
      <c r="Y71" s="32">
        <f t="shared" si="35"/>
        <v>0</v>
      </c>
      <c r="Z71" s="70" t="e">
        <f t="shared" si="36"/>
        <v>#DIV/0!</v>
      </c>
      <c r="AA71" s="32">
        <f t="shared" si="37"/>
        <v>0</v>
      </c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V71" s="17"/>
    </row>
    <row r="72" spans="2:48" ht="15" customHeight="1" x14ac:dyDescent="0.2">
      <c r="B72" s="160"/>
      <c r="C72" s="121" t="s">
        <v>368</v>
      </c>
      <c r="D72" s="121" t="s">
        <v>461</v>
      </c>
      <c r="E72" s="169" t="s">
        <v>658</v>
      </c>
      <c r="F72" s="158">
        <v>973</v>
      </c>
      <c r="G72" s="172">
        <v>9</v>
      </c>
      <c r="H72" s="114">
        <f>VLOOKUP($N72,'UMC Table 4-A'!$A$10:$E$139,4,FALSE)</f>
        <v>2</v>
      </c>
      <c r="I72" s="114" t="str">
        <f>VLOOKUP($N72,'UMC Table 4-A'!$A$10:$E$139,5,FALSE)</f>
        <v>NR</v>
      </c>
      <c r="J72" s="111" t="str">
        <f t="shared" ref="J72:J103" si="98">IF(I72="Yes",L72,"-")</f>
        <v>-</v>
      </c>
      <c r="K72" s="116">
        <v>0</v>
      </c>
      <c r="L72" s="114">
        <f t="shared" ref="L72:L103" si="99">IF(H72&lt;&gt;"NR",ROUNDUP((F72*G72*H72)/60,-1),0)</f>
        <v>300</v>
      </c>
      <c r="M72" s="117"/>
      <c r="N72" s="111" t="s">
        <v>115</v>
      </c>
      <c r="O72" s="114" t="str">
        <f>VLOOKUP($N72,'UMC Table 4-A'!$A$10:$E$139,2,FALSE)</f>
        <v>NO REQUIREMENT FOR CONTINUOUS DIRECTIONAL CONTROL</v>
      </c>
      <c r="P72" s="174" t="str">
        <f>VLOOKUP($N72,'UMC Table 4-A'!$A$10:$E$139,3,FALSE)</f>
        <v>NR</v>
      </c>
      <c r="Q72" s="152">
        <f t="shared" ref="Q72:Q103" si="100">IF(P72&lt;&gt;"NR",ROUNDUP((F72*G72*P72)/60,-1),0)</f>
        <v>0</v>
      </c>
      <c r="R72" s="112" t="str">
        <f>VLOOKUP($N72,'UMC Table 4-A'!$A$10:$E$139,5,FALSE)</f>
        <v>NR</v>
      </c>
      <c r="S72" s="113">
        <f t="shared" ref="S72:S76" si="101">IF(O72="Negative",IF(OR(N72="Toilet room",N72="Janitor's closet, housekeeping"),0,IF(0.1*V72&gt;50,220-0.1*V72,V72-50)),IF(R72="Yes",0,CEILING(MAX(K72:M72),5)))</f>
        <v>300</v>
      </c>
      <c r="T72" s="137">
        <f t="shared" ref="T72:T103" si="102">S72</f>
        <v>300</v>
      </c>
      <c r="U72" s="137">
        <f t="shared" ref="U72:U103" si="103">IF(R72="Yes",0,IF(O72="Positive",IF(0.1*S72&gt;50,S72-0.1*S72,S72-50),IF(O72="Negative",IF(0.1*S72&gt;50,S72+0.1*S72,S72+50),S72)))</f>
        <v>300</v>
      </c>
      <c r="V72" s="137">
        <f t="shared" ref="V72:V103" si="104">IF(R72="Yes",J72,0)</f>
        <v>0</v>
      </c>
      <c r="W72" s="89">
        <f t="shared" ref="W72:W103" si="105">T72-U72-V72</f>
        <v>0</v>
      </c>
      <c r="X72" s="31" t="str">
        <f t="shared" ref="X72:X103" si="106">IF(S72-U72-V72+W72=0,"Yes","No")</f>
        <v>Yes</v>
      </c>
      <c r="Y72" s="32">
        <f t="shared" ref="Y72:Y103" si="107">S72/F72</f>
        <v>0.30832476875642345</v>
      </c>
      <c r="Z72" s="70">
        <f t="shared" ref="Z72:Z103" si="108">(Q72/T72)*100</f>
        <v>0</v>
      </c>
      <c r="AA72" s="32">
        <f t="shared" ref="AA72:AA103" si="109">S72/F72/G72*60</f>
        <v>2.0554984583761566</v>
      </c>
      <c r="AB72" s="62"/>
      <c r="AD72" s="98" t="s">
        <v>78</v>
      </c>
      <c r="AE72" s="98"/>
      <c r="AF72" s="98"/>
      <c r="AG72" s="98"/>
      <c r="AH72" s="98"/>
      <c r="AI72" s="98"/>
      <c r="AJ72" s="98"/>
      <c r="AK72" s="98"/>
      <c r="AL72" s="98"/>
      <c r="AM72" s="98"/>
      <c r="AN72" s="98"/>
      <c r="AO72" s="98">
        <f>SUM(AO8:AO66)</f>
        <v>610.60000000000014</v>
      </c>
      <c r="AP72" s="98"/>
      <c r="AQ72" s="99">
        <f>SUM(AQ8:AQ66)</f>
        <v>38.529999999999994</v>
      </c>
      <c r="AR72" s="99"/>
      <c r="AS72" s="99"/>
      <c r="AT72" s="99"/>
      <c r="AV72" s="17"/>
    </row>
    <row r="73" spans="2:48" ht="15" customHeight="1" x14ac:dyDescent="0.2">
      <c r="B73" s="84"/>
      <c r="C73" s="121" t="s">
        <v>369</v>
      </c>
      <c r="D73" s="167" t="s">
        <v>820</v>
      </c>
      <c r="E73" s="169">
        <v>3202</v>
      </c>
      <c r="F73" s="169">
        <v>190</v>
      </c>
      <c r="G73" s="172">
        <v>9</v>
      </c>
      <c r="H73" s="114">
        <f>VLOOKUP($N73,'UMC Table 4-A'!$A$10:$E$139,4,FALSE)</f>
        <v>6</v>
      </c>
      <c r="I73" s="114" t="str">
        <f>VLOOKUP($N73,'UMC Table 4-A'!$A$10:$E$139,5,FALSE)</f>
        <v>NR</v>
      </c>
      <c r="J73" s="111" t="str">
        <f t="shared" si="98"/>
        <v>-</v>
      </c>
      <c r="K73" s="116" t="s">
        <v>827</v>
      </c>
      <c r="L73" s="152">
        <f t="shared" si="99"/>
        <v>180</v>
      </c>
      <c r="M73" s="117">
        <f>F73</f>
        <v>190</v>
      </c>
      <c r="N73" s="114" t="s">
        <v>91</v>
      </c>
      <c r="O73" s="114" t="str">
        <f>VLOOKUP($N73,'UMC Table 4-A'!$A$10:$E$139,2,FALSE)</f>
        <v>NO REQUIREMENT FOR CONTINUOUS DIRECTIONAL CONTROL</v>
      </c>
      <c r="P73" s="174">
        <f>VLOOKUP($N73,'UMC Table 4-A'!$A$10:$E$139,3,FALSE)</f>
        <v>2</v>
      </c>
      <c r="Q73" s="152">
        <f t="shared" si="100"/>
        <v>60</v>
      </c>
      <c r="R73" s="112" t="str">
        <f>VLOOKUP($N73,'UMC Table 4-A'!$A$10:$E$139,5,FALSE)</f>
        <v>NR</v>
      </c>
      <c r="S73" s="113">
        <f t="shared" si="101"/>
        <v>190</v>
      </c>
      <c r="T73" s="137">
        <f t="shared" si="102"/>
        <v>190</v>
      </c>
      <c r="U73" s="137">
        <f t="shared" si="103"/>
        <v>190</v>
      </c>
      <c r="V73" s="137">
        <f t="shared" si="104"/>
        <v>0</v>
      </c>
      <c r="W73" s="89">
        <f t="shared" si="105"/>
        <v>0</v>
      </c>
      <c r="X73" s="31" t="str">
        <f t="shared" si="106"/>
        <v>Yes</v>
      </c>
      <c r="Y73" s="32">
        <f t="shared" si="107"/>
        <v>1</v>
      </c>
      <c r="Z73" s="70">
        <f t="shared" si="108"/>
        <v>31.578947368421051</v>
      </c>
      <c r="AA73" s="32">
        <f t="shared" si="109"/>
        <v>6.6666666666666661</v>
      </c>
      <c r="AV73" s="17"/>
    </row>
    <row r="74" spans="2:48" ht="15" customHeight="1" x14ac:dyDescent="0.2">
      <c r="B74" s="160"/>
      <c r="C74" s="121" t="s">
        <v>369</v>
      </c>
      <c r="D74" s="121" t="s">
        <v>659</v>
      </c>
      <c r="E74" s="158" t="s">
        <v>660</v>
      </c>
      <c r="F74" s="158">
        <v>19</v>
      </c>
      <c r="G74" s="172">
        <v>9</v>
      </c>
      <c r="H74" s="114">
        <f>VLOOKUP($N74,'UMC Table 4-A'!$A$10:$E$139,4,FALSE)</f>
        <v>10</v>
      </c>
      <c r="I74" s="114" t="str">
        <f>VLOOKUP($N74,'UMC Table 4-A'!$A$10:$E$139,5,FALSE)</f>
        <v>YES</v>
      </c>
      <c r="J74" s="111">
        <f t="shared" si="98"/>
        <v>30</v>
      </c>
      <c r="K74" s="116">
        <v>0</v>
      </c>
      <c r="L74" s="152">
        <f t="shared" si="99"/>
        <v>30</v>
      </c>
      <c r="M74" s="117">
        <f>F74</f>
        <v>19</v>
      </c>
      <c r="N74" s="114" t="s">
        <v>195</v>
      </c>
      <c r="O74" s="114" t="str">
        <f>VLOOKUP($N74,'UMC Table 4-A'!$A$10:$E$139,2,FALSE)</f>
        <v>NEGATIVE</v>
      </c>
      <c r="P74" s="174">
        <f>VLOOKUP($N74,'UMC Table 4-A'!$A$10:$E$139,3,FALSE)</f>
        <v>2</v>
      </c>
      <c r="Q74" s="152">
        <f t="shared" si="100"/>
        <v>10</v>
      </c>
      <c r="R74" s="112" t="str">
        <f>VLOOKUP($N74,'UMC Table 4-A'!$A$10:$E$139,5,FALSE)</f>
        <v>YES</v>
      </c>
      <c r="S74" s="113">
        <f t="shared" si="101"/>
        <v>-20</v>
      </c>
      <c r="T74" s="137">
        <f t="shared" si="102"/>
        <v>-20</v>
      </c>
      <c r="U74" s="137">
        <f t="shared" si="103"/>
        <v>0</v>
      </c>
      <c r="V74" s="137">
        <f t="shared" si="104"/>
        <v>30</v>
      </c>
      <c r="W74" s="89">
        <f t="shared" si="105"/>
        <v>-50</v>
      </c>
      <c r="X74" s="31" t="str">
        <f t="shared" si="106"/>
        <v>No</v>
      </c>
      <c r="Y74" s="32">
        <f t="shared" si="107"/>
        <v>-1.0526315789473684</v>
      </c>
      <c r="Z74" s="70">
        <f t="shared" si="108"/>
        <v>-50</v>
      </c>
      <c r="AA74" s="32">
        <f t="shared" si="109"/>
        <v>-7.0175438596491224</v>
      </c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V74" s="17"/>
    </row>
    <row r="75" spans="2:48" ht="15" customHeight="1" x14ac:dyDescent="0.2">
      <c r="B75" s="160"/>
      <c r="C75" s="121" t="s">
        <v>369</v>
      </c>
      <c r="D75" s="121" t="s">
        <v>461</v>
      </c>
      <c r="E75" s="158" t="s">
        <v>658</v>
      </c>
      <c r="F75" s="158">
        <v>973</v>
      </c>
      <c r="G75" s="172">
        <v>9</v>
      </c>
      <c r="H75" s="114">
        <f>VLOOKUP($N75,'UMC Table 4-A'!$A$10:$E$139,4,FALSE)</f>
        <v>2</v>
      </c>
      <c r="I75" s="114" t="str">
        <f>VLOOKUP($N75,'UMC Table 4-A'!$A$10:$E$139,5,FALSE)</f>
        <v>NR</v>
      </c>
      <c r="J75" s="111" t="str">
        <f t="shared" si="98"/>
        <v>-</v>
      </c>
      <c r="K75" s="116">
        <v>0</v>
      </c>
      <c r="L75" s="152">
        <f t="shared" si="99"/>
        <v>300</v>
      </c>
      <c r="M75" s="117">
        <f>F75</f>
        <v>973</v>
      </c>
      <c r="N75" s="111" t="s">
        <v>115</v>
      </c>
      <c r="O75" s="114" t="str">
        <f>VLOOKUP($N75,'UMC Table 4-A'!$A$10:$E$139,2,FALSE)</f>
        <v>NO REQUIREMENT FOR CONTINUOUS DIRECTIONAL CONTROL</v>
      </c>
      <c r="P75" s="174" t="str">
        <f>VLOOKUP($N75,'UMC Table 4-A'!$A$10:$E$139,3,FALSE)</f>
        <v>NR</v>
      </c>
      <c r="Q75" s="152">
        <f t="shared" si="100"/>
        <v>0</v>
      </c>
      <c r="R75" s="112" t="str">
        <f>VLOOKUP($N75,'UMC Table 4-A'!$A$10:$E$139,5,FALSE)</f>
        <v>NR</v>
      </c>
      <c r="S75" s="113">
        <f t="shared" si="101"/>
        <v>975</v>
      </c>
      <c r="T75" s="137">
        <f t="shared" si="102"/>
        <v>975</v>
      </c>
      <c r="U75" s="137">
        <f t="shared" si="103"/>
        <v>975</v>
      </c>
      <c r="V75" s="137">
        <f t="shared" si="104"/>
        <v>0</v>
      </c>
      <c r="W75" s="89">
        <f t="shared" si="105"/>
        <v>0</v>
      </c>
      <c r="X75" s="31" t="str">
        <f t="shared" si="106"/>
        <v>Yes</v>
      </c>
      <c r="Y75" s="32">
        <f t="shared" si="107"/>
        <v>1.002055498458376</v>
      </c>
      <c r="Z75" s="70">
        <f t="shared" si="108"/>
        <v>0</v>
      </c>
      <c r="AA75" s="32">
        <f t="shared" si="109"/>
        <v>6.6803699897225064</v>
      </c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V75" s="17"/>
    </row>
    <row r="76" spans="2:48" ht="15" customHeight="1" x14ac:dyDescent="0.2">
      <c r="B76" s="160"/>
      <c r="C76" s="121" t="s">
        <v>370</v>
      </c>
      <c r="D76" s="121" t="s">
        <v>661</v>
      </c>
      <c r="E76" s="158" t="s">
        <v>662</v>
      </c>
      <c r="F76" s="158">
        <v>165</v>
      </c>
      <c r="G76" s="172">
        <v>9</v>
      </c>
      <c r="H76" s="114">
        <f>VLOOKUP($N76,'UMC Table 4-A'!$A$10:$E$139,4,FALSE)</f>
        <v>6</v>
      </c>
      <c r="I76" s="114" t="str">
        <f>VLOOKUP($N76,'UMC Table 4-A'!$A$10:$E$139,5,FALSE)</f>
        <v>NR</v>
      </c>
      <c r="J76" s="111" t="str">
        <f t="shared" si="98"/>
        <v>-</v>
      </c>
      <c r="K76" s="116">
        <v>0</v>
      </c>
      <c r="L76" s="152">
        <f t="shared" si="99"/>
        <v>150</v>
      </c>
      <c r="M76" s="117">
        <f>F76</f>
        <v>165</v>
      </c>
      <c r="N76" s="114" t="s">
        <v>91</v>
      </c>
      <c r="O76" s="114" t="str">
        <f>VLOOKUP($N76,'UMC Table 4-A'!$A$10:$E$139,2,FALSE)</f>
        <v>NO REQUIREMENT FOR CONTINUOUS DIRECTIONAL CONTROL</v>
      </c>
      <c r="P76" s="174">
        <f>VLOOKUP($N76,'UMC Table 4-A'!$A$10:$E$139,3,FALSE)</f>
        <v>2</v>
      </c>
      <c r="Q76" s="152">
        <f t="shared" si="100"/>
        <v>50</v>
      </c>
      <c r="R76" s="112" t="str">
        <f>VLOOKUP($N76,'UMC Table 4-A'!$A$10:$E$139,5,FALSE)</f>
        <v>NR</v>
      </c>
      <c r="S76" s="113">
        <f t="shared" si="101"/>
        <v>165</v>
      </c>
      <c r="T76" s="137">
        <f t="shared" si="102"/>
        <v>165</v>
      </c>
      <c r="U76" s="137">
        <f t="shared" si="103"/>
        <v>165</v>
      </c>
      <c r="V76" s="137">
        <f t="shared" si="104"/>
        <v>0</v>
      </c>
      <c r="W76" s="89">
        <f t="shared" si="105"/>
        <v>0</v>
      </c>
      <c r="X76" s="31" t="str">
        <f t="shared" si="106"/>
        <v>Yes</v>
      </c>
      <c r="Y76" s="32">
        <f t="shared" si="107"/>
        <v>1</v>
      </c>
      <c r="Z76" s="70">
        <f t="shared" si="108"/>
        <v>30.303030303030305</v>
      </c>
      <c r="AA76" s="32">
        <f t="shared" si="109"/>
        <v>6.6666666666666661</v>
      </c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V76" s="17"/>
    </row>
    <row r="77" spans="2:48" ht="15" customHeight="1" x14ac:dyDescent="0.2">
      <c r="B77" s="160"/>
      <c r="C77" s="121" t="s">
        <v>371</v>
      </c>
      <c r="D77" s="121" t="s">
        <v>663</v>
      </c>
      <c r="E77" s="158" t="s">
        <v>664</v>
      </c>
      <c r="F77" s="158">
        <v>155</v>
      </c>
      <c r="G77" s="172">
        <v>9</v>
      </c>
      <c r="H77" s="114">
        <f>VLOOKUP($N76,'UMC Table 4-A'!$A$10:$E$139,4,FALSE)</f>
        <v>6</v>
      </c>
      <c r="I77" s="114" t="str">
        <f>VLOOKUP($N76,'UMC Table 4-A'!$A$10:$E$139,5,FALSE)</f>
        <v>NR</v>
      </c>
      <c r="J77" s="111" t="str">
        <f t="shared" si="98"/>
        <v>-</v>
      </c>
      <c r="K77" s="116">
        <v>0</v>
      </c>
      <c r="L77" s="152">
        <f t="shared" si="99"/>
        <v>140</v>
      </c>
      <c r="M77" s="117">
        <f>F77</f>
        <v>155</v>
      </c>
      <c r="N77" s="114" t="s">
        <v>91</v>
      </c>
      <c r="O77" s="114" t="str">
        <f>VLOOKUP($N76,'UMC Table 4-A'!$A$10:$E$139,2,FALSE)</f>
        <v>NO REQUIREMENT FOR CONTINUOUS DIRECTIONAL CONTROL</v>
      </c>
      <c r="P77" s="174">
        <f>VLOOKUP($N76,'UMC Table 4-A'!$A$10:$E$139,3,FALSE)</f>
        <v>2</v>
      </c>
      <c r="Q77" s="152">
        <f t="shared" si="100"/>
        <v>50</v>
      </c>
      <c r="R77" s="112" t="str">
        <f>VLOOKUP($N76,'UMC Table 4-A'!$A$10:$E$139,5,FALSE)</f>
        <v>NR</v>
      </c>
      <c r="S77" s="113">
        <f>IF(O77="Negative",IF(OR(N76="Toilet room",N76="Janitor's closet, housekeeping"),0,IF(0.1*V77&gt;50,220-0.1*V77,V77-50)),IF(R77="Yes",0,CEILING(MAX(K77:M77),5)))</f>
        <v>155</v>
      </c>
      <c r="T77" s="137">
        <f t="shared" si="102"/>
        <v>155</v>
      </c>
      <c r="U77" s="137">
        <f t="shared" si="103"/>
        <v>155</v>
      </c>
      <c r="V77" s="137">
        <f t="shared" si="104"/>
        <v>0</v>
      </c>
      <c r="W77" s="89">
        <f t="shared" si="105"/>
        <v>0</v>
      </c>
      <c r="X77" s="31" t="str">
        <f t="shared" si="106"/>
        <v>Yes</v>
      </c>
      <c r="Y77" s="32">
        <f t="shared" si="107"/>
        <v>1</v>
      </c>
      <c r="Z77" s="70">
        <f t="shared" si="108"/>
        <v>32.258064516129032</v>
      </c>
      <c r="AA77" s="32">
        <f t="shared" si="109"/>
        <v>6.6666666666666661</v>
      </c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V77" s="17"/>
    </row>
    <row r="78" spans="2:48" ht="15" customHeight="1" x14ac:dyDescent="0.2">
      <c r="B78" s="160"/>
      <c r="C78" s="164" t="s">
        <v>371</v>
      </c>
      <c r="D78" s="121" t="s">
        <v>809</v>
      </c>
      <c r="E78" s="158" t="s">
        <v>810</v>
      </c>
      <c r="F78" s="158">
        <v>55</v>
      </c>
      <c r="G78" s="172">
        <v>8</v>
      </c>
      <c r="H78" s="114">
        <f>VLOOKUP($N78,'UMC Table 4-A'!$A$10:$E$139,4,FALSE)</f>
        <v>10</v>
      </c>
      <c r="I78" s="114" t="str">
        <f>VLOOKUP($N78,'UMC Table 4-A'!$A$10:$E$139,5,FALSE)</f>
        <v>YES</v>
      </c>
      <c r="J78" s="111">
        <f t="shared" si="98"/>
        <v>80</v>
      </c>
      <c r="K78" s="116">
        <v>0</v>
      </c>
      <c r="L78" s="114">
        <f t="shared" si="99"/>
        <v>80</v>
      </c>
      <c r="M78" s="117"/>
      <c r="N78" s="114" t="s">
        <v>94</v>
      </c>
      <c r="O78" s="114" t="str">
        <f>VLOOKUP($N78,'UMC Table 4-A'!$A$10:$E$139,2,FALSE)</f>
        <v>NEGATIVE</v>
      </c>
      <c r="P78" s="174" t="str">
        <f>VLOOKUP($N78,'UMC Table 4-A'!$A$10:$E$139,3,FALSE)</f>
        <v>NR</v>
      </c>
      <c r="Q78" s="152">
        <f t="shared" si="100"/>
        <v>0</v>
      </c>
      <c r="R78" s="112" t="str">
        <f>VLOOKUP($N78,'UMC Table 4-A'!$A$10:$E$139,5,FALSE)</f>
        <v>YES</v>
      </c>
      <c r="S78" s="113">
        <f t="shared" ref="S78:S117" si="110">IF(O78="Negative",IF(OR(N78="Toilet room",N78="Janitor's closet, housekeeping"),0,IF(0.1*V78&gt;50,220-0.1*V78,V78-50)),IF(R78="Yes",0,CEILING(MAX(K78:M78),5)))</f>
        <v>0</v>
      </c>
      <c r="T78" s="137">
        <f t="shared" si="102"/>
        <v>0</v>
      </c>
      <c r="U78" s="137">
        <f t="shared" si="103"/>
        <v>0</v>
      </c>
      <c r="V78" s="137">
        <f t="shared" si="104"/>
        <v>80</v>
      </c>
      <c r="W78" s="89">
        <f t="shared" si="105"/>
        <v>-80</v>
      </c>
      <c r="X78" s="31" t="str">
        <f t="shared" si="106"/>
        <v>No</v>
      </c>
      <c r="Y78" s="32">
        <f t="shared" si="107"/>
        <v>0</v>
      </c>
      <c r="Z78" s="70" t="e">
        <f t="shared" si="108"/>
        <v>#DIV/0!</v>
      </c>
      <c r="AA78" s="32">
        <f t="shared" si="109"/>
        <v>0</v>
      </c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V78" s="17"/>
    </row>
    <row r="79" spans="2:48" ht="15" customHeight="1" x14ac:dyDescent="0.2">
      <c r="B79" s="160"/>
      <c r="C79" s="121" t="s">
        <v>372</v>
      </c>
      <c r="D79" s="121" t="s">
        <v>665</v>
      </c>
      <c r="E79" s="158" t="s">
        <v>666</v>
      </c>
      <c r="F79" s="158">
        <v>134</v>
      </c>
      <c r="G79" s="172">
        <v>8</v>
      </c>
      <c r="H79" s="114">
        <f>VLOOKUP($N79,'UMC Table 4-A'!$A$10:$E$139,4,FALSE)</f>
        <v>6</v>
      </c>
      <c r="I79" s="114" t="str">
        <f>VLOOKUP($N79,'UMC Table 4-A'!$A$10:$E$139,5,FALSE)</f>
        <v>NR</v>
      </c>
      <c r="J79" s="111" t="str">
        <f t="shared" si="98"/>
        <v>-</v>
      </c>
      <c r="K79" s="116">
        <v>0</v>
      </c>
      <c r="L79" s="152">
        <f t="shared" si="99"/>
        <v>110</v>
      </c>
      <c r="M79" s="117">
        <f t="shared" ref="M79:M102" si="111">F79</f>
        <v>134</v>
      </c>
      <c r="N79" s="114" t="s">
        <v>91</v>
      </c>
      <c r="O79" s="114" t="str">
        <f>VLOOKUP($N79,'UMC Table 4-A'!$A$10:$E$139,2,FALSE)</f>
        <v>NO REQUIREMENT FOR CONTINUOUS DIRECTIONAL CONTROL</v>
      </c>
      <c r="P79" s="174">
        <f>VLOOKUP($N79,'UMC Table 4-A'!$A$10:$E$139,3,FALSE)</f>
        <v>2</v>
      </c>
      <c r="Q79" s="152">
        <f t="shared" si="100"/>
        <v>40</v>
      </c>
      <c r="R79" s="112" t="str">
        <f>VLOOKUP($N79,'UMC Table 4-A'!$A$10:$E$139,5,FALSE)</f>
        <v>NR</v>
      </c>
      <c r="S79" s="113">
        <f t="shared" si="110"/>
        <v>135</v>
      </c>
      <c r="T79" s="137">
        <f t="shared" si="102"/>
        <v>135</v>
      </c>
      <c r="U79" s="137">
        <f t="shared" si="103"/>
        <v>135</v>
      </c>
      <c r="V79" s="137">
        <f t="shared" si="104"/>
        <v>0</v>
      </c>
      <c r="W79" s="89">
        <f t="shared" si="105"/>
        <v>0</v>
      </c>
      <c r="X79" s="31" t="str">
        <f t="shared" si="106"/>
        <v>Yes</v>
      </c>
      <c r="Y79" s="32">
        <f t="shared" si="107"/>
        <v>1.0074626865671641</v>
      </c>
      <c r="Z79" s="70">
        <f t="shared" si="108"/>
        <v>29.629629629629626</v>
      </c>
      <c r="AA79" s="32">
        <f t="shared" si="109"/>
        <v>7.5559701492537306</v>
      </c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V79" s="17"/>
    </row>
    <row r="80" spans="2:48" ht="15" customHeight="1" x14ac:dyDescent="0.2">
      <c r="B80" s="160"/>
      <c r="C80" s="121" t="s">
        <v>372</v>
      </c>
      <c r="D80" s="121" t="s">
        <v>471</v>
      </c>
      <c r="E80" s="158" t="s">
        <v>667</v>
      </c>
      <c r="F80" s="158">
        <v>119</v>
      </c>
      <c r="G80" s="172">
        <v>9</v>
      </c>
      <c r="H80" s="114">
        <f>VLOOKUP($N80,'UMC Table 4-A'!$A$10:$E$139,4,FALSE)</f>
        <v>6</v>
      </c>
      <c r="I80" s="114" t="str">
        <f>VLOOKUP($N80,'UMC Table 4-A'!$A$10:$E$139,5,FALSE)</f>
        <v>NR</v>
      </c>
      <c r="J80" s="111" t="str">
        <f t="shared" si="98"/>
        <v>-</v>
      </c>
      <c r="K80" s="116">
        <v>0</v>
      </c>
      <c r="L80" s="152">
        <f t="shared" si="99"/>
        <v>110</v>
      </c>
      <c r="M80" s="117">
        <f t="shared" si="111"/>
        <v>119</v>
      </c>
      <c r="N80" s="114" t="s">
        <v>91</v>
      </c>
      <c r="O80" s="114" t="str">
        <f>VLOOKUP($N80,'UMC Table 4-A'!$A$10:$E$139,2,FALSE)</f>
        <v>NO REQUIREMENT FOR CONTINUOUS DIRECTIONAL CONTROL</v>
      </c>
      <c r="P80" s="174">
        <f>VLOOKUP($N80,'UMC Table 4-A'!$A$10:$E$139,3,FALSE)</f>
        <v>2</v>
      </c>
      <c r="Q80" s="152">
        <f t="shared" si="100"/>
        <v>40</v>
      </c>
      <c r="R80" s="112" t="str">
        <f>VLOOKUP($N80,'UMC Table 4-A'!$A$10:$E$139,5,FALSE)</f>
        <v>NR</v>
      </c>
      <c r="S80" s="113">
        <f t="shared" si="110"/>
        <v>120</v>
      </c>
      <c r="T80" s="137">
        <f t="shared" si="102"/>
        <v>120</v>
      </c>
      <c r="U80" s="137">
        <f t="shared" si="103"/>
        <v>120</v>
      </c>
      <c r="V80" s="137">
        <f t="shared" si="104"/>
        <v>0</v>
      </c>
      <c r="W80" s="89">
        <f t="shared" si="105"/>
        <v>0</v>
      </c>
      <c r="X80" s="31" t="str">
        <f t="shared" si="106"/>
        <v>Yes</v>
      </c>
      <c r="Y80" s="32">
        <f t="shared" si="107"/>
        <v>1.0084033613445378</v>
      </c>
      <c r="Z80" s="70">
        <f t="shared" si="108"/>
        <v>33.333333333333329</v>
      </c>
      <c r="AA80" s="32">
        <f t="shared" si="109"/>
        <v>6.7226890756302513</v>
      </c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V80" s="17"/>
    </row>
    <row r="81" spans="2:48" ht="15" customHeight="1" x14ac:dyDescent="0.2">
      <c r="B81" s="160"/>
      <c r="C81" s="121" t="s">
        <v>373</v>
      </c>
      <c r="D81" s="121" t="s">
        <v>571</v>
      </c>
      <c r="E81" s="158" t="s">
        <v>669</v>
      </c>
      <c r="F81" s="158">
        <v>28</v>
      </c>
      <c r="G81" s="173">
        <v>9.5</v>
      </c>
      <c r="H81" s="114">
        <f>VLOOKUP($N81,'UMC Table 4-A'!$A$10:$E$139,4,FALSE)</f>
        <v>6</v>
      </c>
      <c r="I81" s="114" t="str">
        <f>VLOOKUP($N81,'UMC Table 4-A'!$A$10:$E$139,5,FALSE)</f>
        <v>NR</v>
      </c>
      <c r="J81" s="111" t="str">
        <f t="shared" si="98"/>
        <v>-</v>
      </c>
      <c r="K81" s="116">
        <v>0</v>
      </c>
      <c r="L81" s="152">
        <f t="shared" si="99"/>
        <v>30</v>
      </c>
      <c r="M81" s="117">
        <f t="shared" si="111"/>
        <v>28</v>
      </c>
      <c r="N81" s="114" t="s">
        <v>91</v>
      </c>
      <c r="O81" s="114" t="str">
        <f>VLOOKUP($N81,'UMC Table 4-A'!$A$10:$E$139,2,FALSE)</f>
        <v>NO REQUIREMENT FOR CONTINUOUS DIRECTIONAL CONTROL</v>
      </c>
      <c r="P81" s="174">
        <f>VLOOKUP($N81,'UMC Table 4-A'!$A$10:$E$139,3,FALSE)</f>
        <v>2</v>
      </c>
      <c r="Q81" s="152">
        <f t="shared" si="100"/>
        <v>10</v>
      </c>
      <c r="R81" s="112" t="str">
        <f>VLOOKUP($N81,'UMC Table 4-A'!$A$10:$E$139,5,FALSE)</f>
        <v>NR</v>
      </c>
      <c r="S81" s="113">
        <f t="shared" si="110"/>
        <v>30</v>
      </c>
      <c r="T81" s="137">
        <f t="shared" si="102"/>
        <v>30</v>
      </c>
      <c r="U81" s="137">
        <f t="shared" si="103"/>
        <v>30</v>
      </c>
      <c r="V81" s="137">
        <f t="shared" si="104"/>
        <v>0</v>
      </c>
      <c r="W81" s="89">
        <f t="shared" si="105"/>
        <v>0</v>
      </c>
      <c r="X81" s="31" t="str">
        <f t="shared" si="106"/>
        <v>Yes</v>
      </c>
      <c r="Y81" s="32">
        <f t="shared" si="107"/>
        <v>1.0714285714285714</v>
      </c>
      <c r="Z81" s="70">
        <f t="shared" si="108"/>
        <v>33.333333333333329</v>
      </c>
      <c r="AA81" s="32">
        <f t="shared" si="109"/>
        <v>6.7669172932330826</v>
      </c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V81" s="17"/>
    </row>
    <row r="82" spans="2:48" ht="15" customHeight="1" x14ac:dyDescent="0.2">
      <c r="B82" s="160"/>
      <c r="C82" s="121" t="s">
        <v>373</v>
      </c>
      <c r="D82" s="121" t="s">
        <v>461</v>
      </c>
      <c r="E82" s="158" t="s">
        <v>668</v>
      </c>
      <c r="F82" s="158">
        <v>262</v>
      </c>
      <c r="G82" s="172">
        <v>9</v>
      </c>
      <c r="H82" s="114">
        <f>VLOOKUP($N82,'UMC Table 4-A'!$A$10:$E$139,4,FALSE)</f>
        <v>2</v>
      </c>
      <c r="I82" s="114" t="str">
        <f>VLOOKUP($N82,'UMC Table 4-A'!$A$10:$E$139,5,FALSE)</f>
        <v>NR</v>
      </c>
      <c r="J82" s="111" t="str">
        <f t="shared" si="98"/>
        <v>-</v>
      </c>
      <c r="K82" s="116">
        <v>0</v>
      </c>
      <c r="L82" s="152">
        <f t="shared" si="99"/>
        <v>80</v>
      </c>
      <c r="M82" s="117">
        <f t="shared" si="111"/>
        <v>262</v>
      </c>
      <c r="N82" s="111" t="s">
        <v>115</v>
      </c>
      <c r="O82" s="114" t="str">
        <f>VLOOKUP($N82,'UMC Table 4-A'!$A$10:$E$139,2,FALSE)</f>
        <v>NO REQUIREMENT FOR CONTINUOUS DIRECTIONAL CONTROL</v>
      </c>
      <c r="P82" s="174" t="str">
        <f>VLOOKUP($N82,'UMC Table 4-A'!$A$10:$E$139,3,FALSE)</f>
        <v>NR</v>
      </c>
      <c r="Q82" s="152">
        <f t="shared" si="100"/>
        <v>0</v>
      </c>
      <c r="R82" s="112" t="str">
        <f>VLOOKUP($N82,'UMC Table 4-A'!$A$10:$E$139,5,FALSE)</f>
        <v>NR</v>
      </c>
      <c r="S82" s="113">
        <f t="shared" si="110"/>
        <v>265</v>
      </c>
      <c r="T82" s="137">
        <f t="shared" si="102"/>
        <v>265</v>
      </c>
      <c r="U82" s="137">
        <f t="shared" si="103"/>
        <v>265</v>
      </c>
      <c r="V82" s="137">
        <f t="shared" si="104"/>
        <v>0</v>
      </c>
      <c r="W82" s="89">
        <f t="shared" si="105"/>
        <v>0</v>
      </c>
      <c r="X82" s="31" t="str">
        <f t="shared" si="106"/>
        <v>Yes</v>
      </c>
      <c r="Y82" s="32">
        <f t="shared" si="107"/>
        <v>1.0114503816793894</v>
      </c>
      <c r="Z82" s="70">
        <f t="shared" si="108"/>
        <v>0</v>
      </c>
      <c r="AA82" s="32">
        <f t="shared" si="109"/>
        <v>6.7430025445292623</v>
      </c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V82" s="17"/>
    </row>
    <row r="83" spans="2:48" ht="15" customHeight="1" x14ac:dyDescent="0.2">
      <c r="B83" s="160"/>
      <c r="C83" s="121" t="s">
        <v>374</v>
      </c>
      <c r="D83" s="121" t="s">
        <v>596</v>
      </c>
      <c r="E83" s="158" t="s">
        <v>670</v>
      </c>
      <c r="F83" s="158">
        <v>103</v>
      </c>
      <c r="G83" s="172">
        <v>9</v>
      </c>
      <c r="H83" s="114">
        <f>VLOOKUP($N83,'UMC Table 4-A'!$A$10:$E$139,4,FALSE)</f>
        <v>4</v>
      </c>
      <c r="I83" s="114" t="str">
        <f>VLOOKUP($N83,'UMC Table 4-A'!$A$10:$E$139,5,FALSE)</f>
        <v>NR</v>
      </c>
      <c r="J83" s="111" t="str">
        <f t="shared" si="98"/>
        <v>-</v>
      </c>
      <c r="K83" s="116">
        <v>0</v>
      </c>
      <c r="L83" s="152">
        <f t="shared" si="99"/>
        <v>70</v>
      </c>
      <c r="M83" s="117">
        <f t="shared" si="111"/>
        <v>103</v>
      </c>
      <c r="N83" s="114" t="s">
        <v>116</v>
      </c>
      <c r="O83" s="114" t="str">
        <f>VLOOKUP($N83,'UMC Table 4-A'!$A$10:$E$139,2,FALSE)</f>
        <v>NO REQUIREMENT FOR CONTINUOUS DIRECTIONAL CONTROL</v>
      </c>
      <c r="P83" s="174">
        <f>VLOOKUP($N83,'UMC Table 4-A'!$A$10:$E$139,3,FALSE)</f>
        <v>2</v>
      </c>
      <c r="Q83" s="152">
        <f t="shared" si="100"/>
        <v>40</v>
      </c>
      <c r="R83" s="112" t="str">
        <f>VLOOKUP($N83,'UMC Table 4-A'!$A$10:$E$139,5,FALSE)</f>
        <v>NR</v>
      </c>
      <c r="S83" s="113">
        <f t="shared" si="110"/>
        <v>105</v>
      </c>
      <c r="T83" s="137">
        <f t="shared" si="102"/>
        <v>105</v>
      </c>
      <c r="U83" s="137">
        <f t="shared" si="103"/>
        <v>105</v>
      </c>
      <c r="V83" s="137">
        <f t="shared" si="104"/>
        <v>0</v>
      </c>
      <c r="W83" s="89">
        <f t="shared" si="105"/>
        <v>0</v>
      </c>
      <c r="X83" s="31" t="str">
        <f t="shared" si="106"/>
        <v>Yes</v>
      </c>
      <c r="Y83" s="32">
        <f t="shared" si="107"/>
        <v>1.0194174757281553</v>
      </c>
      <c r="Z83" s="70">
        <f t="shared" si="108"/>
        <v>38.095238095238095</v>
      </c>
      <c r="AA83" s="32">
        <f t="shared" si="109"/>
        <v>6.7961165048543686</v>
      </c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V83" s="17"/>
    </row>
    <row r="84" spans="2:48" ht="15" customHeight="1" x14ac:dyDescent="0.2">
      <c r="B84" s="160"/>
      <c r="C84" s="121" t="s">
        <v>375</v>
      </c>
      <c r="D84" s="121" t="s">
        <v>461</v>
      </c>
      <c r="E84" s="158" t="s">
        <v>671</v>
      </c>
      <c r="F84" s="158">
        <v>67</v>
      </c>
      <c r="G84" s="172">
        <v>9</v>
      </c>
      <c r="H84" s="114">
        <f>VLOOKUP($N84,'UMC Table 4-A'!$A$10:$E$139,4,FALSE)</f>
        <v>2</v>
      </c>
      <c r="I84" s="114" t="str">
        <f>VLOOKUP($N84,'UMC Table 4-A'!$A$10:$E$139,5,FALSE)</f>
        <v>NR</v>
      </c>
      <c r="J84" s="111" t="str">
        <f t="shared" si="98"/>
        <v>-</v>
      </c>
      <c r="K84" s="116">
        <v>0</v>
      </c>
      <c r="L84" s="152">
        <f t="shared" si="99"/>
        <v>30</v>
      </c>
      <c r="M84" s="117">
        <f t="shared" si="111"/>
        <v>67</v>
      </c>
      <c r="N84" s="111" t="s">
        <v>115</v>
      </c>
      <c r="O84" s="114" t="str">
        <f>VLOOKUP($N84,'UMC Table 4-A'!$A$10:$E$139,2,FALSE)</f>
        <v>NO REQUIREMENT FOR CONTINUOUS DIRECTIONAL CONTROL</v>
      </c>
      <c r="P84" s="174" t="str">
        <f>VLOOKUP($N84,'UMC Table 4-A'!$A$10:$E$139,3,FALSE)</f>
        <v>NR</v>
      </c>
      <c r="Q84" s="152">
        <f t="shared" si="100"/>
        <v>0</v>
      </c>
      <c r="R84" s="112" t="str">
        <f>VLOOKUP($N84,'UMC Table 4-A'!$A$10:$E$139,5,FALSE)</f>
        <v>NR</v>
      </c>
      <c r="S84" s="113">
        <f t="shared" si="110"/>
        <v>70</v>
      </c>
      <c r="T84" s="137">
        <f t="shared" si="102"/>
        <v>70</v>
      </c>
      <c r="U84" s="137">
        <f t="shared" si="103"/>
        <v>70</v>
      </c>
      <c r="V84" s="137">
        <f t="shared" si="104"/>
        <v>0</v>
      </c>
      <c r="W84" s="89">
        <f t="shared" si="105"/>
        <v>0</v>
      </c>
      <c r="X84" s="31" t="str">
        <f t="shared" si="106"/>
        <v>Yes</v>
      </c>
      <c r="Y84" s="32">
        <f t="shared" si="107"/>
        <v>1.044776119402985</v>
      </c>
      <c r="Z84" s="70">
        <f t="shared" si="108"/>
        <v>0</v>
      </c>
      <c r="AA84" s="32">
        <f t="shared" si="109"/>
        <v>6.9651741293532332</v>
      </c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V84" s="17"/>
    </row>
    <row r="85" spans="2:48" ht="15" customHeight="1" x14ac:dyDescent="0.2">
      <c r="B85" s="160"/>
      <c r="C85" s="121" t="s">
        <v>375</v>
      </c>
      <c r="D85" s="121" t="s">
        <v>590</v>
      </c>
      <c r="E85" s="158" t="s">
        <v>674</v>
      </c>
      <c r="F85" s="158">
        <v>68</v>
      </c>
      <c r="G85" s="172">
        <v>9</v>
      </c>
      <c r="H85" s="114">
        <f>VLOOKUP($N85,'UMC Table 4-A'!$A$10:$E$139,4,FALSE)</f>
        <v>2</v>
      </c>
      <c r="I85" s="114" t="str">
        <f>VLOOKUP($N85,'UMC Table 4-A'!$A$10:$E$139,5,FALSE)</f>
        <v>NR</v>
      </c>
      <c r="J85" s="111" t="str">
        <f t="shared" si="98"/>
        <v>-</v>
      </c>
      <c r="K85" s="116">
        <v>0</v>
      </c>
      <c r="L85" s="152">
        <f t="shared" si="99"/>
        <v>30</v>
      </c>
      <c r="M85" s="117">
        <f t="shared" si="111"/>
        <v>68</v>
      </c>
      <c r="N85" s="114" t="s">
        <v>92</v>
      </c>
      <c r="O85" s="114" t="str">
        <f>VLOOKUP($N85,'UMC Table 4-A'!$A$10:$E$139,2,FALSE)</f>
        <v>NO REQUIREMENT FOR CONTINUOUS DIRECTIONAL CONTROL</v>
      </c>
      <c r="P85" s="174" t="str">
        <f>VLOOKUP($N85,'UMC Table 4-A'!$A$10:$E$139,3,FALSE)</f>
        <v>NR</v>
      </c>
      <c r="Q85" s="152">
        <f t="shared" si="100"/>
        <v>0</v>
      </c>
      <c r="R85" s="112" t="str">
        <f>VLOOKUP($N85,'UMC Table 4-A'!$A$10:$E$139,5,FALSE)</f>
        <v>NR</v>
      </c>
      <c r="S85" s="113">
        <f t="shared" si="110"/>
        <v>70</v>
      </c>
      <c r="T85" s="137">
        <f t="shared" si="102"/>
        <v>70</v>
      </c>
      <c r="U85" s="137">
        <f t="shared" si="103"/>
        <v>70</v>
      </c>
      <c r="V85" s="137">
        <f t="shared" si="104"/>
        <v>0</v>
      </c>
      <c r="W85" s="89">
        <f t="shared" si="105"/>
        <v>0</v>
      </c>
      <c r="X85" s="31" t="str">
        <f t="shared" si="106"/>
        <v>Yes</v>
      </c>
      <c r="Y85" s="32">
        <f t="shared" si="107"/>
        <v>1.0294117647058822</v>
      </c>
      <c r="Z85" s="70">
        <f t="shared" si="108"/>
        <v>0</v>
      </c>
      <c r="AA85" s="32">
        <f t="shared" si="109"/>
        <v>6.8627450980392144</v>
      </c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V85" s="17"/>
    </row>
    <row r="86" spans="2:48" ht="15" customHeight="1" x14ac:dyDescent="0.2">
      <c r="B86" s="160"/>
      <c r="C86" s="121" t="s">
        <v>375</v>
      </c>
      <c r="D86" s="121" t="s">
        <v>613</v>
      </c>
      <c r="E86" s="158" t="s">
        <v>672</v>
      </c>
      <c r="F86" s="158">
        <v>180</v>
      </c>
      <c r="G86" s="172">
        <v>9</v>
      </c>
      <c r="H86" s="114">
        <f>VLOOKUP($N86,'UMC Table 4-A'!$A$10:$E$139,4,FALSE)</f>
        <v>2</v>
      </c>
      <c r="I86" s="114" t="str">
        <f>VLOOKUP($N86,'UMC Table 4-A'!$A$10:$E$139,5,FALSE)</f>
        <v>(AA)</v>
      </c>
      <c r="J86" s="111" t="str">
        <f t="shared" si="98"/>
        <v>-</v>
      </c>
      <c r="K86" s="116">
        <v>0</v>
      </c>
      <c r="L86" s="152">
        <f t="shared" si="99"/>
        <v>60</v>
      </c>
      <c r="M86" s="117">
        <f t="shared" si="111"/>
        <v>180</v>
      </c>
      <c r="N86" s="114" t="s">
        <v>190</v>
      </c>
      <c r="O86" s="114" t="str">
        <f>VLOOKUP($N86,'UMC Table 4-A'!$A$10:$E$139,2,FALSE)</f>
        <v>(AA)</v>
      </c>
      <c r="P86" s="174">
        <f>VLOOKUP($N86,'UMC Table 4-A'!$A$10:$E$139,3,FALSE)</f>
        <v>2</v>
      </c>
      <c r="Q86" s="152">
        <f t="shared" si="100"/>
        <v>60</v>
      </c>
      <c r="R86" s="112" t="str">
        <f>VLOOKUP($N86,'UMC Table 4-A'!$A$10:$E$139,5,FALSE)</f>
        <v>(AA)</v>
      </c>
      <c r="S86" s="113">
        <f t="shared" si="110"/>
        <v>180</v>
      </c>
      <c r="T86" s="137">
        <f t="shared" si="102"/>
        <v>180</v>
      </c>
      <c r="U86" s="137">
        <f t="shared" si="103"/>
        <v>180</v>
      </c>
      <c r="V86" s="137">
        <f t="shared" si="104"/>
        <v>0</v>
      </c>
      <c r="W86" s="89">
        <f t="shared" si="105"/>
        <v>0</v>
      </c>
      <c r="X86" s="31" t="str">
        <f t="shared" si="106"/>
        <v>Yes</v>
      </c>
      <c r="Y86" s="32">
        <f t="shared" si="107"/>
        <v>1</v>
      </c>
      <c r="Z86" s="70">
        <f t="shared" si="108"/>
        <v>33.333333333333329</v>
      </c>
      <c r="AA86" s="32">
        <f t="shared" si="109"/>
        <v>6.6666666666666661</v>
      </c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V86" s="17"/>
    </row>
    <row r="87" spans="2:48" ht="15" customHeight="1" thickBot="1" x14ac:dyDescent="0.25">
      <c r="B87" s="160"/>
      <c r="C87" s="121" t="s">
        <v>375</v>
      </c>
      <c r="D87" s="121" t="s">
        <v>615</v>
      </c>
      <c r="E87" s="158" t="s">
        <v>673</v>
      </c>
      <c r="F87" s="158">
        <v>180</v>
      </c>
      <c r="G87" s="172">
        <v>9</v>
      </c>
      <c r="H87" s="114">
        <f>VLOOKUP($N87,'UMC Table 4-A'!$A$10:$E$139,4,FALSE)</f>
        <v>2</v>
      </c>
      <c r="I87" s="114" t="str">
        <f>VLOOKUP($N87,'UMC Table 4-A'!$A$10:$E$139,5,FALSE)</f>
        <v>(AA)</v>
      </c>
      <c r="J87" s="111" t="str">
        <f t="shared" si="98"/>
        <v>-</v>
      </c>
      <c r="K87" s="116">
        <v>0</v>
      </c>
      <c r="L87" s="152">
        <f t="shared" si="99"/>
        <v>60</v>
      </c>
      <c r="M87" s="117">
        <f t="shared" si="111"/>
        <v>180</v>
      </c>
      <c r="N87" s="114" t="s">
        <v>190</v>
      </c>
      <c r="O87" s="114" t="str">
        <f>VLOOKUP($N87,'UMC Table 4-A'!$A$10:$E$139,2,FALSE)</f>
        <v>(AA)</v>
      </c>
      <c r="P87" s="176">
        <f>VLOOKUP($N87,'UMC Table 4-A'!$A$10:$E$139,3,FALSE)</f>
        <v>2</v>
      </c>
      <c r="Q87" s="165">
        <f t="shared" si="100"/>
        <v>60</v>
      </c>
      <c r="R87" s="150" t="str">
        <f>VLOOKUP($N87,'UMC Table 4-A'!$A$10:$E$139,5,FALSE)</f>
        <v>(AA)</v>
      </c>
      <c r="S87" s="147">
        <f t="shared" si="110"/>
        <v>180</v>
      </c>
      <c r="T87" s="137">
        <f t="shared" si="102"/>
        <v>180</v>
      </c>
      <c r="U87" s="137">
        <f t="shared" si="103"/>
        <v>180</v>
      </c>
      <c r="V87" s="137">
        <f t="shared" si="104"/>
        <v>0</v>
      </c>
      <c r="W87" s="166">
        <f t="shared" si="105"/>
        <v>0</v>
      </c>
      <c r="X87" s="35" t="str">
        <f t="shared" si="106"/>
        <v>Yes</v>
      </c>
      <c r="Y87" s="36">
        <f t="shared" si="107"/>
        <v>1</v>
      </c>
      <c r="Z87" s="70">
        <f t="shared" si="108"/>
        <v>33.333333333333329</v>
      </c>
      <c r="AA87" s="32">
        <f t="shared" si="109"/>
        <v>6.6666666666666661</v>
      </c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V87" s="17"/>
    </row>
    <row r="88" spans="2:48" ht="15" customHeight="1" x14ac:dyDescent="0.2">
      <c r="B88" s="160"/>
      <c r="C88" s="121" t="s">
        <v>376</v>
      </c>
      <c r="D88" s="121" t="s">
        <v>598</v>
      </c>
      <c r="E88" s="158" t="s">
        <v>675</v>
      </c>
      <c r="F88" s="158">
        <v>112</v>
      </c>
      <c r="G88" s="172">
        <v>9</v>
      </c>
      <c r="H88" s="114">
        <f>VLOOKUP($N88,'UMC Table 4-A'!$A$10:$E$139,4,FALSE)</f>
        <v>6</v>
      </c>
      <c r="I88" s="114" t="str">
        <f>VLOOKUP($N88,'UMC Table 4-A'!$A$10:$E$139,5,FALSE)</f>
        <v>YES</v>
      </c>
      <c r="J88" s="111">
        <f t="shared" si="98"/>
        <v>110</v>
      </c>
      <c r="K88" s="116">
        <v>0</v>
      </c>
      <c r="L88" s="152">
        <f t="shared" si="99"/>
        <v>110</v>
      </c>
      <c r="M88" s="117">
        <f t="shared" si="111"/>
        <v>112</v>
      </c>
      <c r="N88" s="114" t="s">
        <v>93</v>
      </c>
      <c r="O88" s="114" t="str">
        <f>VLOOKUP($N88,'UMC Table 4-A'!$A$10:$E$139,2,FALSE)</f>
        <v>NEGATIVE</v>
      </c>
      <c r="P88" s="174">
        <f>VLOOKUP($N88,'UMC Table 4-A'!$A$10:$E$139,3,FALSE)</f>
        <v>2</v>
      </c>
      <c r="Q88" s="152">
        <f t="shared" si="100"/>
        <v>40</v>
      </c>
      <c r="R88" s="112" t="str">
        <f>VLOOKUP($N88,'UMC Table 4-A'!$A$10:$E$139,5,FALSE)</f>
        <v>YES</v>
      </c>
      <c r="S88" s="113">
        <f t="shared" si="110"/>
        <v>60</v>
      </c>
      <c r="T88" s="137">
        <v>0</v>
      </c>
      <c r="U88" s="137">
        <f t="shared" si="103"/>
        <v>0</v>
      </c>
      <c r="V88" s="137">
        <f t="shared" si="104"/>
        <v>110</v>
      </c>
      <c r="W88" s="89">
        <f t="shared" si="105"/>
        <v>-110</v>
      </c>
      <c r="X88" s="31" t="str">
        <f t="shared" si="106"/>
        <v>No</v>
      </c>
      <c r="Y88" s="32">
        <f t="shared" si="107"/>
        <v>0.5357142857142857</v>
      </c>
      <c r="Z88" s="161" t="e">
        <f t="shared" si="108"/>
        <v>#DIV/0!</v>
      </c>
      <c r="AA88" s="32">
        <f t="shared" si="109"/>
        <v>3.5714285714285712</v>
      </c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V88" s="17"/>
    </row>
    <row r="89" spans="2:48" ht="15" customHeight="1" x14ac:dyDescent="0.2">
      <c r="B89" s="160"/>
      <c r="C89" s="121" t="s">
        <v>377</v>
      </c>
      <c r="D89" s="121" t="s">
        <v>600</v>
      </c>
      <c r="E89" s="158" t="s">
        <v>676</v>
      </c>
      <c r="F89" s="158">
        <v>129</v>
      </c>
      <c r="G89" s="172">
        <v>9</v>
      </c>
      <c r="H89" s="114">
        <f>VLOOKUP($N89,'UMC Table 4-A'!$A$10:$E$139,4,FALSE)</f>
        <v>4</v>
      </c>
      <c r="I89" s="114" t="str">
        <f>VLOOKUP($N89,'UMC Table 4-A'!$A$10:$E$139,5,FALSE)</f>
        <v>NR</v>
      </c>
      <c r="J89" s="111" t="str">
        <f t="shared" si="98"/>
        <v>-</v>
      </c>
      <c r="K89" s="116">
        <v>0</v>
      </c>
      <c r="L89" s="152">
        <f t="shared" si="99"/>
        <v>80</v>
      </c>
      <c r="M89" s="117">
        <f t="shared" si="111"/>
        <v>129</v>
      </c>
      <c r="N89" s="114" t="s">
        <v>189</v>
      </c>
      <c r="O89" s="114" t="str">
        <f>VLOOKUP($N89,'UMC Table 4-A'!$A$10:$E$139,2,FALSE)</f>
        <v>POSITIVE</v>
      </c>
      <c r="P89" s="174">
        <f>VLOOKUP($N89,'UMC Table 4-A'!$A$10:$E$139,3,FALSE)</f>
        <v>2</v>
      </c>
      <c r="Q89" s="152">
        <f t="shared" si="100"/>
        <v>40</v>
      </c>
      <c r="R89" s="112" t="str">
        <f>VLOOKUP($N89,'UMC Table 4-A'!$A$10:$E$139,5,FALSE)</f>
        <v>NR</v>
      </c>
      <c r="S89" s="113">
        <f t="shared" si="110"/>
        <v>130</v>
      </c>
      <c r="T89" s="137">
        <f t="shared" si="102"/>
        <v>130</v>
      </c>
      <c r="U89" s="137">
        <v>30</v>
      </c>
      <c r="V89" s="137">
        <f t="shared" si="104"/>
        <v>0</v>
      </c>
      <c r="W89" s="89">
        <f t="shared" si="105"/>
        <v>100</v>
      </c>
      <c r="X89" s="31" t="str">
        <f t="shared" si="106"/>
        <v>No</v>
      </c>
      <c r="Y89" s="32">
        <f t="shared" si="107"/>
        <v>1.0077519379844961</v>
      </c>
      <c r="Z89" s="161">
        <f t="shared" si="108"/>
        <v>30.76923076923077</v>
      </c>
      <c r="AA89" s="32">
        <f t="shared" si="109"/>
        <v>6.7183462532299743</v>
      </c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V89" s="17"/>
    </row>
    <row r="90" spans="2:48" ht="15" customHeight="1" x14ac:dyDescent="0.2">
      <c r="B90" s="160"/>
      <c r="C90" s="121" t="s">
        <v>378</v>
      </c>
      <c r="D90" s="121" t="s">
        <v>677</v>
      </c>
      <c r="E90" s="158" t="s">
        <v>678</v>
      </c>
      <c r="F90" s="158">
        <v>434</v>
      </c>
      <c r="G90" s="172">
        <v>9</v>
      </c>
      <c r="H90" s="114">
        <f>VLOOKUP($N90,'UMC Table 4-A'!$A$10:$E$139,4,FALSE)</f>
        <v>6</v>
      </c>
      <c r="I90" s="114" t="str">
        <f>VLOOKUP($N90,'UMC Table 4-A'!$A$10:$E$139,5,FALSE)</f>
        <v>NR</v>
      </c>
      <c r="J90" s="111" t="str">
        <f t="shared" si="98"/>
        <v>-</v>
      </c>
      <c r="K90" s="116">
        <v>0</v>
      </c>
      <c r="L90" s="152">
        <f t="shared" si="99"/>
        <v>400</v>
      </c>
      <c r="M90" s="117">
        <f t="shared" si="111"/>
        <v>434</v>
      </c>
      <c r="N90" s="114" t="s">
        <v>91</v>
      </c>
      <c r="O90" s="114" t="str">
        <f>VLOOKUP($N90,'UMC Table 4-A'!$A$10:$E$139,2,FALSE)</f>
        <v>NO REQUIREMENT FOR CONTINUOUS DIRECTIONAL CONTROL</v>
      </c>
      <c r="P90" s="174">
        <f>VLOOKUP($N90,'UMC Table 4-A'!$A$10:$E$139,3,FALSE)</f>
        <v>2</v>
      </c>
      <c r="Q90" s="152">
        <f t="shared" si="100"/>
        <v>140</v>
      </c>
      <c r="R90" s="112" t="str">
        <f>VLOOKUP($N90,'UMC Table 4-A'!$A$10:$E$139,5,FALSE)</f>
        <v>NR</v>
      </c>
      <c r="S90" s="113">
        <f t="shared" si="110"/>
        <v>435</v>
      </c>
      <c r="T90" s="137">
        <f t="shared" si="102"/>
        <v>435</v>
      </c>
      <c r="U90" s="137">
        <f t="shared" si="103"/>
        <v>435</v>
      </c>
      <c r="V90" s="137">
        <f t="shared" si="104"/>
        <v>0</v>
      </c>
      <c r="W90" s="89">
        <f t="shared" si="105"/>
        <v>0</v>
      </c>
      <c r="X90" s="31" t="str">
        <f t="shared" si="106"/>
        <v>Yes</v>
      </c>
      <c r="Y90" s="32">
        <f t="shared" si="107"/>
        <v>1.0023041474654377</v>
      </c>
      <c r="Z90" s="161">
        <f t="shared" si="108"/>
        <v>32.183908045977013</v>
      </c>
      <c r="AA90" s="32">
        <f t="shared" si="109"/>
        <v>6.6820276497695845</v>
      </c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V90" s="17"/>
    </row>
    <row r="91" spans="2:48" ht="15" customHeight="1" x14ac:dyDescent="0.2">
      <c r="B91" s="160"/>
      <c r="C91" s="121" t="s">
        <v>379</v>
      </c>
      <c r="D91" s="121" t="s">
        <v>603</v>
      </c>
      <c r="E91" s="158" t="s">
        <v>679</v>
      </c>
      <c r="F91" s="158">
        <v>87</v>
      </c>
      <c r="G91" s="172">
        <v>9</v>
      </c>
      <c r="H91" s="114">
        <f>VLOOKUP($N91,'UMC Table 4-A'!$A$10:$E$139,4,FALSE)</f>
        <v>6</v>
      </c>
      <c r="I91" s="114" t="str">
        <f>VLOOKUP($N91,'UMC Table 4-A'!$A$10:$E$139,5,FALSE)</f>
        <v>NR</v>
      </c>
      <c r="J91" s="111" t="str">
        <f t="shared" si="98"/>
        <v>-</v>
      </c>
      <c r="K91" s="116">
        <v>0</v>
      </c>
      <c r="L91" s="152">
        <f t="shared" si="99"/>
        <v>80</v>
      </c>
      <c r="M91" s="117">
        <f t="shared" si="111"/>
        <v>87</v>
      </c>
      <c r="N91" s="114" t="s">
        <v>91</v>
      </c>
      <c r="O91" s="114" t="str">
        <f>VLOOKUP($N91,'UMC Table 4-A'!$A$10:$E$139,2,FALSE)</f>
        <v>NO REQUIREMENT FOR CONTINUOUS DIRECTIONAL CONTROL</v>
      </c>
      <c r="P91" s="174">
        <f>VLOOKUP($N91,'UMC Table 4-A'!$A$10:$E$139,3,FALSE)</f>
        <v>2</v>
      </c>
      <c r="Q91" s="152">
        <f t="shared" si="100"/>
        <v>30</v>
      </c>
      <c r="R91" s="112" t="str">
        <f>VLOOKUP($N91,'UMC Table 4-A'!$A$10:$E$139,5,FALSE)</f>
        <v>NR</v>
      </c>
      <c r="S91" s="113">
        <f t="shared" si="110"/>
        <v>90</v>
      </c>
      <c r="T91" s="137">
        <f t="shared" si="102"/>
        <v>90</v>
      </c>
      <c r="U91" s="137">
        <f t="shared" si="103"/>
        <v>90</v>
      </c>
      <c r="V91" s="137">
        <f t="shared" si="104"/>
        <v>0</v>
      </c>
      <c r="W91" s="89">
        <f t="shared" si="105"/>
        <v>0</v>
      </c>
      <c r="X91" s="31" t="str">
        <f t="shared" si="106"/>
        <v>Yes</v>
      </c>
      <c r="Y91" s="32">
        <f t="shared" si="107"/>
        <v>1.0344827586206897</v>
      </c>
      <c r="Z91" s="161">
        <f t="shared" si="108"/>
        <v>33.333333333333329</v>
      </c>
      <c r="AA91" s="32">
        <f t="shared" si="109"/>
        <v>6.8965517241379315</v>
      </c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V91" s="17"/>
    </row>
    <row r="92" spans="2:48" ht="15" customHeight="1" x14ac:dyDescent="0.2">
      <c r="B92" s="160"/>
      <c r="C92" s="121" t="s">
        <v>379</v>
      </c>
      <c r="D92" s="121" t="s">
        <v>604</v>
      </c>
      <c r="E92" s="158" t="s">
        <v>680</v>
      </c>
      <c r="F92" s="158">
        <v>91</v>
      </c>
      <c r="G92" s="172">
        <v>9</v>
      </c>
      <c r="H92" s="114">
        <f>VLOOKUP($N92,'UMC Table 4-A'!$A$10:$E$139,4,FALSE)</f>
        <v>6</v>
      </c>
      <c r="I92" s="114" t="str">
        <f>VLOOKUP($N92,'UMC Table 4-A'!$A$10:$E$139,5,FALSE)</f>
        <v>NR</v>
      </c>
      <c r="J92" s="111" t="str">
        <f t="shared" si="98"/>
        <v>-</v>
      </c>
      <c r="K92" s="116">
        <v>0</v>
      </c>
      <c r="L92" s="152">
        <f t="shared" si="99"/>
        <v>90</v>
      </c>
      <c r="M92" s="117">
        <f t="shared" si="111"/>
        <v>91</v>
      </c>
      <c r="N92" s="114" t="s">
        <v>91</v>
      </c>
      <c r="O92" s="114" t="str">
        <f>VLOOKUP($N92,'UMC Table 4-A'!$A$10:$E$139,2,FALSE)</f>
        <v>NO REQUIREMENT FOR CONTINUOUS DIRECTIONAL CONTROL</v>
      </c>
      <c r="P92" s="174">
        <f>VLOOKUP($N92,'UMC Table 4-A'!$A$10:$E$139,3,FALSE)</f>
        <v>2</v>
      </c>
      <c r="Q92" s="152">
        <f t="shared" si="100"/>
        <v>30</v>
      </c>
      <c r="R92" s="112" t="str">
        <f>VLOOKUP($N92,'UMC Table 4-A'!$A$10:$E$139,5,FALSE)</f>
        <v>NR</v>
      </c>
      <c r="S92" s="113">
        <f t="shared" si="110"/>
        <v>95</v>
      </c>
      <c r="T92" s="137">
        <f t="shared" si="102"/>
        <v>95</v>
      </c>
      <c r="U92" s="137">
        <f t="shared" si="103"/>
        <v>95</v>
      </c>
      <c r="V92" s="137">
        <f t="shared" si="104"/>
        <v>0</v>
      </c>
      <c r="W92" s="89">
        <f t="shared" si="105"/>
        <v>0</v>
      </c>
      <c r="X92" s="31" t="str">
        <f t="shared" si="106"/>
        <v>Yes</v>
      </c>
      <c r="Y92" s="32">
        <f t="shared" si="107"/>
        <v>1.043956043956044</v>
      </c>
      <c r="Z92" s="161">
        <f t="shared" si="108"/>
        <v>31.578947368421051</v>
      </c>
      <c r="AA92" s="32">
        <f t="shared" si="109"/>
        <v>6.9597069597069599</v>
      </c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V92" s="17"/>
    </row>
    <row r="93" spans="2:48" ht="15" customHeight="1" x14ac:dyDescent="0.2">
      <c r="B93" s="175"/>
      <c r="C93" s="121" t="s">
        <v>380</v>
      </c>
      <c r="D93" s="121" t="s">
        <v>602</v>
      </c>
      <c r="E93" s="158" t="s">
        <v>681</v>
      </c>
      <c r="F93" s="158">
        <v>89</v>
      </c>
      <c r="G93" s="172">
        <v>9</v>
      </c>
      <c r="H93" s="114">
        <f>VLOOKUP($N93,'UMC Table 4-A'!$A$10:$E$139,4,FALSE)</f>
        <v>6</v>
      </c>
      <c r="I93" s="114" t="str">
        <f>VLOOKUP($N93,'UMC Table 4-A'!$A$10:$E$139,5,FALSE)</f>
        <v>NR</v>
      </c>
      <c r="J93" s="111" t="str">
        <f t="shared" si="98"/>
        <v>-</v>
      </c>
      <c r="K93" s="116">
        <v>0</v>
      </c>
      <c r="L93" s="152">
        <f t="shared" si="99"/>
        <v>90</v>
      </c>
      <c r="M93" s="117">
        <f t="shared" si="111"/>
        <v>89</v>
      </c>
      <c r="N93" s="114" t="s">
        <v>91</v>
      </c>
      <c r="O93" s="114" t="str">
        <f>VLOOKUP($N93,'UMC Table 4-A'!$A$10:$E$139,2,FALSE)</f>
        <v>NO REQUIREMENT FOR CONTINUOUS DIRECTIONAL CONTROL</v>
      </c>
      <c r="P93" s="174">
        <f>VLOOKUP($N93,'UMC Table 4-A'!$A$10:$E$139,3,FALSE)</f>
        <v>2</v>
      </c>
      <c r="Q93" s="152">
        <f t="shared" si="100"/>
        <v>30</v>
      </c>
      <c r="R93" s="112" t="str">
        <f>VLOOKUP($N93,'UMC Table 4-A'!$A$10:$E$139,5,FALSE)</f>
        <v>NR</v>
      </c>
      <c r="S93" s="113">
        <f t="shared" si="110"/>
        <v>90</v>
      </c>
      <c r="T93" s="137">
        <f t="shared" si="102"/>
        <v>90</v>
      </c>
      <c r="U93" s="137">
        <f t="shared" si="103"/>
        <v>90</v>
      </c>
      <c r="V93" s="137">
        <f t="shared" si="104"/>
        <v>0</v>
      </c>
      <c r="W93" s="89">
        <f t="shared" si="105"/>
        <v>0</v>
      </c>
      <c r="X93" s="31" t="str">
        <f t="shared" si="106"/>
        <v>Yes</v>
      </c>
      <c r="Y93" s="32">
        <f t="shared" si="107"/>
        <v>1.0112359550561798</v>
      </c>
      <c r="Z93" s="161">
        <f t="shared" si="108"/>
        <v>33.333333333333329</v>
      </c>
      <c r="AA93" s="32">
        <f t="shared" si="109"/>
        <v>6.7415730337078648</v>
      </c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V93" s="17"/>
    </row>
    <row r="94" spans="2:48" ht="15" customHeight="1" x14ac:dyDescent="0.2">
      <c r="B94" s="175"/>
      <c r="C94" s="121" t="s">
        <v>381</v>
      </c>
      <c r="D94" s="121" t="s">
        <v>571</v>
      </c>
      <c r="E94" s="158" t="s">
        <v>684</v>
      </c>
      <c r="F94" s="158">
        <v>13</v>
      </c>
      <c r="G94" s="172">
        <v>9</v>
      </c>
      <c r="H94" s="114">
        <f>VLOOKUP($N94,'UMC Table 4-A'!$A$10:$E$139,4,FALSE)</f>
        <v>6</v>
      </c>
      <c r="I94" s="114" t="str">
        <f>VLOOKUP($N94,'UMC Table 4-A'!$A$10:$E$139,5,FALSE)</f>
        <v>NR</v>
      </c>
      <c r="J94" s="111" t="str">
        <f t="shared" si="98"/>
        <v>-</v>
      </c>
      <c r="K94" s="116">
        <v>0</v>
      </c>
      <c r="L94" s="152">
        <f t="shared" si="99"/>
        <v>20</v>
      </c>
      <c r="M94" s="117">
        <f t="shared" si="111"/>
        <v>13</v>
      </c>
      <c r="N94" s="114" t="s">
        <v>91</v>
      </c>
      <c r="O94" s="114" t="str">
        <f>VLOOKUP($N94,'UMC Table 4-A'!$A$10:$E$139,2,FALSE)</f>
        <v>NO REQUIREMENT FOR CONTINUOUS DIRECTIONAL CONTROL</v>
      </c>
      <c r="P94" s="174">
        <f>VLOOKUP($N94,'UMC Table 4-A'!$A$10:$E$139,3,FALSE)</f>
        <v>2</v>
      </c>
      <c r="Q94" s="152">
        <f t="shared" si="100"/>
        <v>10</v>
      </c>
      <c r="R94" s="112" t="str">
        <f>VLOOKUP($N94,'UMC Table 4-A'!$A$10:$E$139,5,FALSE)</f>
        <v>NR</v>
      </c>
      <c r="S94" s="113">
        <f t="shared" si="110"/>
        <v>20</v>
      </c>
      <c r="T94" s="137">
        <f t="shared" si="102"/>
        <v>20</v>
      </c>
      <c r="U94" s="137">
        <f t="shared" si="103"/>
        <v>20</v>
      </c>
      <c r="V94" s="137">
        <f t="shared" si="104"/>
        <v>0</v>
      </c>
      <c r="W94" s="89">
        <f t="shared" si="105"/>
        <v>0</v>
      </c>
      <c r="X94" s="31" t="str">
        <f t="shared" si="106"/>
        <v>Yes</v>
      </c>
      <c r="Y94" s="32">
        <f t="shared" si="107"/>
        <v>1.5384615384615385</v>
      </c>
      <c r="Z94" s="161">
        <f t="shared" si="108"/>
        <v>50</v>
      </c>
      <c r="AA94" s="32">
        <f t="shared" si="109"/>
        <v>10.256410256410257</v>
      </c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V94" s="17"/>
    </row>
    <row r="95" spans="2:48" ht="15" customHeight="1" x14ac:dyDescent="0.2">
      <c r="B95" s="175"/>
      <c r="C95" s="121" t="s">
        <v>381</v>
      </c>
      <c r="D95" s="121" t="s">
        <v>461</v>
      </c>
      <c r="E95" s="158" t="s">
        <v>643</v>
      </c>
      <c r="F95" s="158">
        <v>915</v>
      </c>
      <c r="G95" s="172">
        <v>9</v>
      </c>
      <c r="H95" s="114">
        <f>VLOOKUP($N95,'UMC Table 4-A'!$A$10:$E$139,4,FALSE)</f>
        <v>2</v>
      </c>
      <c r="I95" s="114" t="str">
        <f>VLOOKUP($N95,'UMC Table 4-A'!$A$10:$E$139,5,FALSE)</f>
        <v>NR</v>
      </c>
      <c r="J95" s="111" t="str">
        <f t="shared" si="98"/>
        <v>-</v>
      </c>
      <c r="K95" s="116">
        <v>0</v>
      </c>
      <c r="L95" s="152">
        <f t="shared" si="99"/>
        <v>280</v>
      </c>
      <c r="M95" s="117">
        <f t="shared" si="111"/>
        <v>915</v>
      </c>
      <c r="N95" s="111" t="s">
        <v>115</v>
      </c>
      <c r="O95" s="114" t="str">
        <f>VLOOKUP($N95,'UMC Table 4-A'!$A$10:$E$139,2,FALSE)</f>
        <v>NO REQUIREMENT FOR CONTINUOUS DIRECTIONAL CONTROL</v>
      </c>
      <c r="P95" s="174" t="str">
        <f>VLOOKUP($N95,'UMC Table 4-A'!$A$10:$E$139,3,FALSE)</f>
        <v>NR</v>
      </c>
      <c r="Q95" s="152">
        <f t="shared" si="100"/>
        <v>0</v>
      </c>
      <c r="R95" s="112" t="str">
        <f>VLOOKUP($N95,'UMC Table 4-A'!$A$10:$E$139,5,FALSE)</f>
        <v>NR</v>
      </c>
      <c r="S95" s="113">
        <f t="shared" si="110"/>
        <v>915</v>
      </c>
      <c r="T95" s="137">
        <f t="shared" si="102"/>
        <v>915</v>
      </c>
      <c r="U95" s="137">
        <f t="shared" si="103"/>
        <v>915</v>
      </c>
      <c r="V95" s="137">
        <f t="shared" si="104"/>
        <v>0</v>
      </c>
      <c r="W95" s="89">
        <f t="shared" si="105"/>
        <v>0</v>
      </c>
      <c r="X95" s="31" t="str">
        <f t="shared" si="106"/>
        <v>Yes</v>
      </c>
      <c r="Y95" s="32">
        <f t="shared" si="107"/>
        <v>1</v>
      </c>
      <c r="Z95" s="161">
        <f t="shared" si="108"/>
        <v>0</v>
      </c>
      <c r="AA95" s="32">
        <f t="shared" si="109"/>
        <v>6.6666666666666661</v>
      </c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V95" s="17"/>
    </row>
    <row r="96" spans="2:48" ht="15" customHeight="1" x14ac:dyDescent="0.2">
      <c r="B96" s="175"/>
      <c r="C96" s="121" t="s">
        <v>381</v>
      </c>
      <c r="D96" s="121" t="s">
        <v>682</v>
      </c>
      <c r="E96" s="158" t="s">
        <v>683</v>
      </c>
      <c r="F96" s="158">
        <v>77</v>
      </c>
      <c r="G96" s="172">
        <v>9</v>
      </c>
      <c r="H96" s="114">
        <f>VLOOKUP($N96,'UMC Table 4-A'!$A$10:$E$139,4,FALSE)</f>
        <v>10</v>
      </c>
      <c r="I96" s="114" t="str">
        <f>VLOOKUP($N96,'UMC Table 4-A'!$A$10:$E$139,5,FALSE)</f>
        <v>YES</v>
      </c>
      <c r="J96" s="111">
        <f t="shared" si="98"/>
        <v>120</v>
      </c>
      <c r="K96" s="116">
        <v>0</v>
      </c>
      <c r="L96" s="152">
        <f t="shared" si="99"/>
        <v>120</v>
      </c>
      <c r="M96" s="117">
        <f t="shared" si="111"/>
        <v>77</v>
      </c>
      <c r="N96" s="114" t="s">
        <v>94</v>
      </c>
      <c r="O96" s="114" t="str">
        <f>VLOOKUP($N96,'UMC Table 4-A'!$A$10:$E$139,2,FALSE)</f>
        <v>NEGATIVE</v>
      </c>
      <c r="P96" s="174" t="str">
        <f>VLOOKUP($N96,'UMC Table 4-A'!$A$10:$E$139,3,FALSE)</f>
        <v>NR</v>
      </c>
      <c r="Q96" s="152">
        <f t="shared" si="100"/>
        <v>0</v>
      </c>
      <c r="R96" s="112" t="str">
        <f>VLOOKUP($N96,'UMC Table 4-A'!$A$10:$E$139,5,FALSE)</f>
        <v>YES</v>
      </c>
      <c r="S96" s="113">
        <f t="shared" si="110"/>
        <v>0</v>
      </c>
      <c r="T96" s="137">
        <f t="shared" si="102"/>
        <v>0</v>
      </c>
      <c r="U96" s="137">
        <f t="shared" si="103"/>
        <v>0</v>
      </c>
      <c r="V96" s="137">
        <f t="shared" si="104"/>
        <v>120</v>
      </c>
      <c r="W96" s="89">
        <f t="shared" si="105"/>
        <v>-120</v>
      </c>
      <c r="X96" s="31" t="str">
        <f t="shared" si="106"/>
        <v>No</v>
      </c>
      <c r="Y96" s="32">
        <f t="shared" si="107"/>
        <v>0</v>
      </c>
      <c r="Z96" s="161" t="e">
        <f t="shared" si="108"/>
        <v>#DIV/0!</v>
      </c>
      <c r="AA96" s="32">
        <f t="shared" si="109"/>
        <v>0</v>
      </c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V96" s="17"/>
    </row>
    <row r="97" spans="2:48" ht="15" customHeight="1" x14ac:dyDescent="0.2">
      <c r="B97" s="175"/>
      <c r="C97" s="121" t="s">
        <v>382</v>
      </c>
      <c r="D97" s="121" t="s">
        <v>534</v>
      </c>
      <c r="E97" s="158" t="s">
        <v>685</v>
      </c>
      <c r="F97" s="158">
        <v>121</v>
      </c>
      <c r="G97" s="173">
        <v>14.5</v>
      </c>
      <c r="H97" s="114">
        <f>VLOOKUP($N97,'UMC Table 4-A'!$A$10:$E$139,4,FALSE)</f>
        <v>6</v>
      </c>
      <c r="I97" s="114" t="str">
        <f>VLOOKUP($N97,'UMC Table 4-A'!$A$10:$E$139,5,FALSE)</f>
        <v>NR</v>
      </c>
      <c r="J97" s="111" t="str">
        <f t="shared" si="98"/>
        <v>-</v>
      </c>
      <c r="K97" s="116">
        <v>0</v>
      </c>
      <c r="L97" s="152">
        <f t="shared" si="99"/>
        <v>180</v>
      </c>
      <c r="M97" s="117">
        <f t="shared" si="111"/>
        <v>121</v>
      </c>
      <c r="N97" s="114" t="s">
        <v>91</v>
      </c>
      <c r="O97" s="114" t="str">
        <f>VLOOKUP($N97,'UMC Table 4-A'!$A$10:$E$139,2,FALSE)</f>
        <v>NO REQUIREMENT FOR CONTINUOUS DIRECTIONAL CONTROL</v>
      </c>
      <c r="P97" s="174">
        <f>VLOOKUP($N97,'UMC Table 4-A'!$A$10:$E$139,3,FALSE)</f>
        <v>2</v>
      </c>
      <c r="Q97" s="152">
        <f t="shared" si="100"/>
        <v>60</v>
      </c>
      <c r="R97" s="112" t="str">
        <f>VLOOKUP($N97,'UMC Table 4-A'!$A$10:$E$139,5,FALSE)</f>
        <v>NR</v>
      </c>
      <c r="S97" s="113">
        <f t="shared" si="110"/>
        <v>180</v>
      </c>
      <c r="T97" s="137">
        <f t="shared" si="102"/>
        <v>180</v>
      </c>
      <c r="U97" s="137">
        <f t="shared" si="103"/>
        <v>180</v>
      </c>
      <c r="V97" s="137">
        <f t="shared" si="104"/>
        <v>0</v>
      </c>
      <c r="W97" s="89">
        <f t="shared" si="105"/>
        <v>0</v>
      </c>
      <c r="X97" s="31" t="str">
        <f t="shared" si="106"/>
        <v>Yes</v>
      </c>
      <c r="Y97" s="32">
        <f t="shared" si="107"/>
        <v>1.4876033057851239</v>
      </c>
      <c r="Z97" s="161">
        <f t="shared" si="108"/>
        <v>33.333333333333329</v>
      </c>
      <c r="AA97" s="32">
        <f t="shared" si="109"/>
        <v>6.1555998860074093</v>
      </c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V97" s="17"/>
    </row>
    <row r="98" spans="2:48" ht="15" customHeight="1" x14ac:dyDescent="0.2">
      <c r="B98" s="175"/>
      <c r="C98" s="121" t="s">
        <v>383</v>
      </c>
      <c r="D98" s="121" t="s">
        <v>532</v>
      </c>
      <c r="E98" s="158" t="s">
        <v>686</v>
      </c>
      <c r="F98" s="158">
        <v>145</v>
      </c>
      <c r="G98" s="173">
        <v>14.5</v>
      </c>
      <c r="H98" s="114">
        <f>VLOOKUP($N98,'UMC Table 4-A'!$A$10:$E$139,4,FALSE)</f>
        <v>6</v>
      </c>
      <c r="I98" s="114" t="str">
        <f>VLOOKUP($N98,'UMC Table 4-A'!$A$10:$E$139,5,FALSE)</f>
        <v>NR</v>
      </c>
      <c r="J98" s="111" t="str">
        <f t="shared" si="98"/>
        <v>-</v>
      </c>
      <c r="K98" s="116">
        <v>0</v>
      </c>
      <c r="L98" s="152">
        <f t="shared" si="99"/>
        <v>220</v>
      </c>
      <c r="M98" s="117">
        <f t="shared" si="111"/>
        <v>145</v>
      </c>
      <c r="N98" s="114" t="s">
        <v>91</v>
      </c>
      <c r="O98" s="114" t="str">
        <f>VLOOKUP($N98,'UMC Table 4-A'!$A$10:$E$139,2,FALSE)</f>
        <v>NO REQUIREMENT FOR CONTINUOUS DIRECTIONAL CONTROL</v>
      </c>
      <c r="P98" s="174">
        <f>VLOOKUP($N98,'UMC Table 4-A'!$A$10:$E$139,3,FALSE)</f>
        <v>2</v>
      </c>
      <c r="Q98" s="152">
        <f t="shared" si="100"/>
        <v>80</v>
      </c>
      <c r="R98" s="112" t="str">
        <f>VLOOKUP($N98,'UMC Table 4-A'!$A$10:$E$139,5,FALSE)</f>
        <v>NR</v>
      </c>
      <c r="S98" s="113">
        <f t="shared" si="110"/>
        <v>220</v>
      </c>
      <c r="T98" s="137">
        <f t="shared" si="102"/>
        <v>220</v>
      </c>
      <c r="U98" s="137">
        <f t="shared" si="103"/>
        <v>220</v>
      </c>
      <c r="V98" s="137">
        <f t="shared" si="104"/>
        <v>0</v>
      </c>
      <c r="W98" s="89">
        <f t="shared" si="105"/>
        <v>0</v>
      </c>
      <c r="X98" s="31" t="str">
        <f t="shared" si="106"/>
        <v>Yes</v>
      </c>
      <c r="Y98" s="32">
        <f t="shared" si="107"/>
        <v>1.5172413793103448</v>
      </c>
      <c r="Z98" s="161">
        <f t="shared" si="108"/>
        <v>36.363636363636367</v>
      </c>
      <c r="AA98" s="32">
        <f t="shared" si="109"/>
        <v>6.2782401902497025</v>
      </c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V98" s="17"/>
    </row>
    <row r="99" spans="2:48" ht="15" customHeight="1" x14ac:dyDescent="0.2">
      <c r="B99" s="175"/>
      <c r="C99" s="121" t="s">
        <v>384</v>
      </c>
      <c r="D99" s="121" t="s">
        <v>571</v>
      </c>
      <c r="E99" s="158" t="s">
        <v>687</v>
      </c>
      <c r="F99" s="158">
        <v>20</v>
      </c>
      <c r="G99" s="172">
        <v>9</v>
      </c>
      <c r="H99" s="114">
        <f>VLOOKUP($N99,'UMC Table 4-A'!$A$10:$E$139,4,FALSE)</f>
        <v>6</v>
      </c>
      <c r="I99" s="114" t="str">
        <f>VLOOKUP($N99,'UMC Table 4-A'!$A$10:$E$139,5,FALSE)</f>
        <v>NR</v>
      </c>
      <c r="J99" s="111" t="str">
        <f t="shared" si="98"/>
        <v>-</v>
      </c>
      <c r="K99" s="116">
        <v>0</v>
      </c>
      <c r="L99" s="152">
        <f t="shared" si="99"/>
        <v>20</v>
      </c>
      <c r="M99" s="117">
        <f t="shared" si="111"/>
        <v>20</v>
      </c>
      <c r="N99" s="114" t="s">
        <v>91</v>
      </c>
      <c r="O99" s="114" t="str">
        <f>VLOOKUP($N99,'UMC Table 4-A'!$A$10:$E$139,2,FALSE)</f>
        <v>NO REQUIREMENT FOR CONTINUOUS DIRECTIONAL CONTROL</v>
      </c>
      <c r="P99" s="174">
        <f>VLOOKUP($N99,'UMC Table 4-A'!$A$10:$E$139,3,FALSE)</f>
        <v>2</v>
      </c>
      <c r="Q99" s="152">
        <f t="shared" si="100"/>
        <v>10</v>
      </c>
      <c r="R99" s="112" t="str">
        <f>VLOOKUP($N99,'UMC Table 4-A'!$A$10:$E$139,5,FALSE)</f>
        <v>NR</v>
      </c>
      <c r="S99" s="113">
        <f t="shared" si="110"/>
        <v>20</v>
      </c>
      <c r="T99" s="137">
        <f t="shared" si="102"/>
        <v>20</v>
      </c>
      <c r="U99" s="137">
        <f t="shared" si="103"/>
        <v>20</v>
      </c>
      <c r="V99" s="137">
        <f t="shared" si="104"/>
        <v>0</v>
      </c>
      <c r="W99" s="89">
        <f t="shared" si="105"/>
        <v>0</v>
      </c>
      <c r="X99" s="31" t="str">
        <f t="shared" si="106"/>
        <v>Yes</v>
      </c>
      <c r="Y99" s="32">
        <f t="shared" si="107"/>
        <v>1</v>
      </c>
      <c r="Z99" s="161">
        <f t="shared" si="108"/>
        <v>50</v>
      </c>
      <c r="AA99" s="32">
        <f t="shared" si="109"/>
        <v>6.6666666666666661</v>
      </c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V99" s="17"/>
    </row>
    <row r="100" spans="2:48" ht="15.75" customHeight="1" x14ac:dyDescent="0.2">
      <c r="B100" s="175"/>
      <c r="C100" s="121" t="s">
        <v>384</v>
      </c>
      <c r="D100" s="121" t="s">
        <v>606</v>
      </c>
      <c r="E100" s="158" t="s">
        <v>688</v>
      </c>
      <c r="F100" s="158">
        <v>188</v>
      </c>
      <c r="G100" s="172">
        <v>9</v>
      </c>
      <c r="H100" s="114">
        <f>VLOOKUP($N100,'UMC Table 4-A'!$A$10:$E$139,4,FALSE)</f>
        <v>2</v>
      </c>
      <c r="I100" s="114" t="str">
        <f>VLOOKUP($N100,'UMC Table 4-A'!$A$10:$E$139,5,FALSE)</f>
        <v>(AA)</v>
      </c>
      <c r="J100" s="111" t="str">
        <f t="shared" si="98"/>
        <v>-</v>
      </c>
      <c r="K100" s="116">
        <v>0</v>
      </c>
      <c r="L100" s="152">
        <f t="shared" si="99"/>
        <v>60</v>
      </c>
      <c r="M100" s="117">
        <f t="shared" si="111"/>
        <v>188</v>
      </c>
      <c r="N100" s="114" t="s">
        <v>190</v>
      </c>
      <c r="O100" s="114" t="str">
        <f>VLOOKUP($N100,'UMC Table 4-A'!$A$10:$E$139,2,FALSE)</f>
        <v>(AA)</v>
      </c>
      <c r="P100" s="174">
        <f>VLOOKUP($N100,'UMC Table 4-A'!$A$10:$E$139,3,FALSE)</f>
        <v>2</v>
      </c>
      <c r="Q100" s="152">
        <f t="shared" si="100"/>
        <v>60</v>
      </c>
      <c r="R100" s="112" t="str">
        <f>VLOOKUP($N100,'UMC Table 4-A'!$A$10:$E$139,5,FALSE)</f>
        <v>(AA)</v>
      </c>
      <c r="S100" s="113">
        <f t="shared" si="110"/>
        <v>190</v>
      </c>
      <c r="T100" s="137">
        <f t="shared" si="102"/>
        <v>190</v>
      </c>
      <c r="U100" s="137">
        <f t="shared" si="103"/>
        <v>190</v>
      </c>
      <c r="V100" s="137">
        <f t="shared" si="104"/>
        <v>0</v>
      </c>
      <c r="W100" s="89">
        <f t="shared" si="105"/>
        <v>0</v>
      </c>
      <c r="X100" s="31" t="str">
        <f t="shared" si="106"/>
        <v>Yes</v>
      </c>
      <c r="Y100" s="32">
        <f t="shared" si="107"/>
        <v>1.0106382978723405</v>
      </c>
      <c r="Z100" s="161">
        <f t="shared" si="108"/>
        <v>31.578947368421051</v>
      </c>
      <c r="AA100" s="32">
        <f t="shared" si="109"/>
        <v>6.7375886524822697</v>
      </c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V100" s="17"/>
    </row>
    <row r="101" spans="2:48" ht="15" x14ac:dyDescent="0.2">
      <c r="B101" s="175"/>
      <c r="C101" s="121" t="s">
        <v>385</v>
      </c>
      <c r="D101" s="121" t="s">
        <v>461</v>
      </c>
      <c r="E101" s="158" t="s">
        <v>689</v>
      </c>
      <c r="F101" s="158">
        <v>312</v>
      </c>
      <c r="G101" s="172">
        <v>9</v>
      </c>
      <c r="H101" s="114">
        <f>VLOOKUP($N101,'UMC Table 4-A'!$A$10:$E$139,4,FALSE)</f>
        <v>2</v>
      </c>
      <c r="I101" s="114" t="str">
        <f>VLOOKUP($N101,'UMC Table 4-A'!$A$10:$E$139,5,FALSE)</f>
        <v>NR</v>
      </c>
      <c r="J101" s="111" t="str">
        <f t="shared" si="98"/>
        <v>-</v>
      </c>
      <c r="K101" s="116">
        <v>0</v>
      </c>
      <c r="L101" s="152">
        <f t="shared" si="99"/>
        <v>100</v>
      </c>
      <c r="M101" s="117">
        <f t="shared" si="111"/>
        <v>312</v>
      </c>
      <c r="N101" s="111" t="s">
        <v>115</v>
      </c>
      <c r="O101" s="114" t="str">
        <f>VLOOKUP($N101,'UMC Table 4-A'!$A$10:$E$139,2,FALSE)</f>
        <v>NO REQUIREMENT FOR CONTINUOUS DIRECTIONAL CONTROL</v>
      </c>
      <c r="P101" s="174" t="str">
        <f>VLOOKUP($N101,'UMC Table 4-A'!$A$10:$E$139,3,FALSE)</f>
        <v>NR</v>
      </c>
      <c r="Q101" s="152">
        <f t="shared" si="100"/>
        <v>0</v>
      </c>
      <c r="R101" s="112" t="str">
        <f>VLOOKUP($N101,'UMC Table 4-A'!$A$10:$E$139,5,FALSE)</f>
        <v>NR</v>
      </c>
      <c r="S101" s="113">
        <f t="shared" si="110"/>
        <v>315</v>
      </c>
      <c r="T101" s="137">
        <f t="shared" si="102"/>
        <v>315</v>
      </c>
      <c r="U101" s="137">
        <f t="shared" si="103"/>
        <v>315</v>
      </c>
      <c r="V101" s="137">
        <f t="shared" si="104"/>
        <v>0</v>
      </c>
      <c r="W101" s="89">
        <f t="shared" si="105"/>
        <v>0</v>
      </c>
      <c r="X101" s="31" t="str">
        <f t="shared" si="106"/>
        <v>Yes</v>
      </c>
      <c r="Y101" s="32">
        <f t="shared" si="107"/>
        <v>1.0096153846153846</v>
      </c>
      <c r="Z101" s="161">
        <f t="shared" si="108"/>
        <v>0</v>
      </c>
      <c r="AA101" s="32">
        <f t="shared" si="109"/>
        <v>6.7307692307692299</v>
      </c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V101" s="17"/>
    </row>
    <row r="102" spans="2:48" ht="15" x14ac:dyDescent="0.2">
      <c r="B102" s="175"/>
      <c r="C102" s="121" t="s">
        <v>386</v>
      </c>
      <c r="D102" s="121" t="s">
        <v>461</v>
      </c>
      <c r="E102" s="158" t="s">
        <v>690</v>
      </c>
      <c r="F102" s="158">
        <v>301</v>
      </c>
      <c r="G102" s="173">
        <v>8.5</v>
      </c>
      <c r="H102" s="114">
        <f>VLOOKUP($N102,'UMC Table 4-A'!$A$10:$E$139,4,FALSE)</f>
        <v>2</v>
      </c>
      <c r="I102" s="114" t="str">
        <f>VLOOKUP($N102,'UMC Table 4-A'!$A$10:$E$139,5,FALSE)</f>
        <v>NR</v>
      </c>
      <c r="J102" s="111" t="str">
        <f t="shared" si="98"/>
        <v>-</v>
      </c>
      <c r="K102" s="116">
        <v>0</v>
      </c>
      <c r="L102" s="152">
        <f t="shared" si="99"/>
        <v>90</v>
      </c>
      <c r="M102" s="117">
        <f t="shared" si="111"/>
        <v>301</v>
      </c>
      <c r="N102" s="111" t="s">
        <v>115</v>
      </c>
      <c r="O102" s="114" t="str">
        <f>VLOOKUP($N102,'UMC Table 4-A'!$A$10:$E$139,2,FALSE)</f>
        <v>NO REQUIREMENT FOR CONTINUOUS DIRECTIONAL CONTROL</v>
      </c>
      <c r="P102" s="174" t="str">
        <f>VLOOKUP($N102,'UMC Table 4-A'!$A$10:$E$139,3,FALSE)</f>
        <v>NR</v>
      </c>
      <c r="Q102" s="152">
        <f t="shared" si="100"/>
        <v>0</v>
      </c>
      <c r="R102" s="112" t="str">
        <f>VLOOKUP($N102,'UMC Table 4-A'!$A$10:$E$139,5,FALSE)</f>
        <v>NR</v>
      </c>
      <c r="S102" s="113">
        <f t="shared" si="110"/>
        <v>305</v>
      </c>
      <c r="T102" s="137">
        <f t="shared" si="102"/>
        <v>305</v>
      </c>
      <c r="U102" s="137">
        <f t="shared" si="103"/>
        <v>305</v>
      </c>
      <c r="V102" s="137">
        <f t="shared" si="104"/>
        <v>0</v>
      </c>
      <c r="W102" s="89">
        <f t="shared" si="105"/>
        <v>0</v>
      </c>
      <c r="X102" s="31" t="str">
        <f t="shared" si="106"/>
        <v>Yes</v>
      </c>
      <c r="Y102" s="32">
        <f t="shared" si="107"/>
        <v>1.0132890365448506</v>
      </c>
      <c r="Z102" s="161">
        <f t="shared" si="108"/>
        <v>0</v>
      </c>
      <c r="AA102" s="32">
        <f t="shared" si="109"/>
        <v>7.1526284932577688</v>
      </c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V102" s="17"/>
    </row>
    <row r="103" spans="2:48" ht="15" x14ac:dyDescent="0.2">
      <c r="B103" s="175"/>
      <c r="C103" s="163" t="s">
        <v>386</v>
      </c>
      <c r="D103" s="121" t="s">
        <v>739</v>
      </c>
      <c r="E103" s="158" t="s">
        <v>780</v>
      </c>
      <c r="F103" s="158">
        <v>35</v>
      </c>
      <c r="G103" s="172">
        <v>9</v>
      </c>
      <c r="H103" s="114">
        <f>VLOOKUP($N103,'UMC Table 4-A'!$A$10:$E$139,4,FALSE)</f>
        <v>10</v>
      </c>
      <c r="I103" s="114" t="str">
        <f>VLOOKUP($N103,'UMC Table 4-A'!$A$10:$E$139,5,FALSE)</f>
        <v>YES</v>
      </c>
      <c r="J103" s="111">
        <f t="shared" si="98"/>
        <v>60</v>
      </c>
      <c r="K103" s="116">
        <v>0</v>
      </c>
      <c r="L103" s="114">
        <f t="shared" si="99"/>
        <v>60</v>
      </c>
      <c r="M103" s="117"/>
      <c r="N103" s="114" t="s">
        <v>246</v>
      </c>
      <c r="O103" s="114" t="str">
        <f>VLOOKUP($N103,'UMC Table 4-A'!$A$10:$E$139,2,FALSE)</f>
        <v>NEGATIVE</v>
      </c>
      <c r="P103" s="174" t="str">
        <f>VLOOKUP($N103,'UMC Table 4-A'!$A$10:$E$139,3,FALSE)</f>
        <v>NR</v>
      </c>
      <c r="Q103" s="152">
        <f t="shared" si="100"/>
        <v>0</v>
      </c>
      <c r="R103" s="112" t="str">
        <f>VLOOKUP($N103,'UMC Table 4-A'!$A$10:$E$139,5,FALSE)</f>
        <v>YES</v>
      </c>
      <c r="S103" s="113">
        <f t="shared" si="110"/>
        <v>0</v>
      </c>
      <c r="T103" s="137">
        <f t="shared" si="102"/>
        <v>0</v>
      </c>
      <c r="U103" s="137">
        <f t="shared" si="103"/>
        <v>0</v>
      </c>
      <c r="V103" s="137">
        <f t="shared" si="104"/>
        <v>60</v>
      </c>
      <c r="W103" s="89">
        <f t="shared" si="105"/>
        <v>-60</v>
      </c>
      <c r="X103" s="31" t="str">
        <f t="shared" si="106"/>
        <v>No</v>
      </c>
      <c r="Y103" s="32">
        <f t="shared" si="107"/>
        <v>0</v>
      </c>
      <c r="Z103" s="161" t="e">
        <f t="shared" si="108"/>
        <v>#DIV/0!</v>
      </c>
      <c r="AA103" s="32">
        <f t="shared" si="109"/>
        <v>0</v>
      </c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V103" s="17"/>
    </row>
    <row r="104" spans="2:48" ht="15" customHeight="1" x14ac:dyDescent="0.2">
      <c r="B104" s="175"/>
      <c r="C104" s="121" t="s">
        <v>387</v>
      </c>
      <c r="D104" s="121" t="s">
        <v>691</v>
      </c>
      <c r="E104" s="158" t="s">
        <v>692</v>
      </c>
      <c r="F104" s="158">
        <v>141</v>
      </c>
      <c r="G104" s="172">
        <v>9</v>
      </c>
      <c r="H104" s="114">
        <f>VLOOKUP($N104,'UMC Table 4-A'!$A$10:$E$139,4,FALSE)</f>
        <v>6</v>
      </c>
      <c r="I104" s="114" t="str">
        <f>VLOOKUP($N104,'UMC Table 4-A'!$A$10:$E$139,5,FALSE)</f>
        <v>NR</v>
      </c>
      <c r="J104" s="111" t="str">
        <f t="shared" ref="J104:J117" si="112">IF(I104="Yes",L104,"-")</f>
        <v>-</v>
      </c>
      <c r="K104" s="116">
        <v>0</v>
      </c>
      <c r="L104" s="152">
        <f t="shared" ref="L104:L117" si="113">IF(H104&lt;&gt;"NR",ROUNDUP((F104*G104*H104)/60,-1),0)</f>
        <v>130</v>
      </c>
      <c r="M104" s="117">
        <f t="shared" ref="M104:M117" si="114">F104</f>
        <v>141</v>
      </c>
      <c r="N104" s="114" t="s">
        <v>91</v>
      </c>
      <c r="O104" s="114" t="str">
        <f>VLOOKUP($N104,'UMC Table 4-A'!$A$10:$E$139,2,FALSE)</f>
        <v>NO REQUIREMENT FOR CONTINUOUS DIRECTIONAL CONTROL</v>
      </c>
      <c r="P104" s="174">
        <f>VLOOKUP($N104,'UMC Table 4-A'!$A$10:$E$139,3,FALSE)</f>
        <v>2</v>
      </c>
      <c r="Q104" s="152">
        <f t="shared" ref="Q104:Q117" si="115">IF(P104&lt;&gt;"NR",ROUNDUP((F104*G104*P104)/60,-1),0)</f>
        <v>50</v>
      </c>
      <c r="R104" s="112" t="str">
        <f>VLOOKUP($N104,'UMC Table 4-A'!$A$10:$E$139,5,FALSE)</f>
        <v>NR</v>
      </c>
      <c r="S104" s="113">
        <f t="shared" si="110"/>
        <v>145</v>
      </c>
      <c r="T104" s="137">
        <f t="shared" ref="T104:T117" si="116">S104</f>
        <v>145</v>
      </c>
      <c r="U104" s="137">
        <f t="shared" ref="U104:U117" si="117">IF(R104="Yes",0,IF(O104="Positive",IF(0.1*S104&gt;50,S104-0.1*S104,S104-50),IF(O104="Negative",IF(0.1*S104&gt;50,S104+0.1*S104,S104+50),S104)))</f>
        <v>145</v>
      </c>
      <c r="V104" s="137">
        <f t="shared" ref="V104:V117" si="118">IF(R104="Yes",J104,0)</f>
        <v>0</v>
      </c>
      <c r="W104" s="89">
        <f t="shared" ref="W104:W117" si="119">T104-U104-V104</f>
        <v>0</v>
      </c>
      <c r="X104" s="31" t="str">
        <f t="shared" ref="X104:X117" si="120">IF(S104-U104-V104+W104=0,"Yes","No")</f>
        <v>Yes</v>
      </c>
      <c r="Y104" s="32">
        <f t="shared" ref="Y104:Y117" si="121">S104/F104</f>
        <v>1.0283687943262412</v>
      </c>
      <c r="Z104" s="161">
        <f t="shared" ref="Z104:Z117" si="122">(Q104/T104)*100</f>
        <v>34.482758620689658</v>
      </c>
      <c r="AA104" s="32">
        <f t="shared" ref="AA104:AA117" si="123">S104/F104/G104*60</f>
        <v>6.8557919621749406</v>
      </c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V104" s="17"/>
    </row>
    <row r="105" spans="2:48" ht="15" x14ac:dyDescent="0.2">
      <c r="B105" s="175"/>
      <c r="C105" s="121" t="s">
        <v>388</v>
      </c>
      <c r="D105" s="121" t="s">
        <v>693</v>
      </c>
      <c r="E105" s="158" t="s">
        <v>694</v>
      </c>
      <c r="F105" s="158">
        <v>88</v>
      </c>
      <c r="G105" s="172">
        <v>9</v>
      </c>
      <c r="H105" s="114">
        <f>VLOOKUP($N105,'UMC Table 4-A'!$A$10:$E$139,4,FALSE)</f>
        <v>6</v>
      </c>
      <c r="I105" s="114" t="str">
        <f>VLOOKUP($N105,'UMC Table 4-A'!$A$10:$E$139,5,FALSE)</f>
        <v>NR</v>
      </c>
      <c r="J105" s="111" t="str">
        <f t="shared" si="112"/>
        <v>-</v>
      </c>
      <c r="K105" s="116">
        <v>0</v>
      </c>
      <c r="L105" s="152">
        <f t="shared" si="113"/>
        <v>80</v>
      </c>
      <c r="M105" s="117">
        <f t="shared" si="114"/>
        <v>88</v>
      </c>
      <c r="N105" s="114" t="s">
        <v>91</v>
      </c>
      <c r="O105" s="114" t="str">
        <f>VLOOKUP($N105,'UMC Table 4-A'!$A$10:$E$139,2,FALSE)</f>
        <v>NO REQUIREMENT FOR CONTINUOUS DIRECTIONAL CONTROL</v>
      </c>
      <c r="P105" s="174">
        <f>VLOOKUP($N105,'UMC Table 4-A'!$A$10:$E$139,3,FALSE)</f>
        <v>2</v>
      </c>
      <c r="Q105" s="152">
        <f t="shared" si="115"/>
        <v>30</v>
      </c>
      <c r="R105" s="112" t="str">
        <f>VLOOKUP($N105,'UMC Table 4-A'!$A$10:$E$139,5,FALSE)</f>
        <v>NR</v>
      </c>
      <c r="S105" s="113">
        <f t="shared" si="110"/>
        <v>90</v>
      </c>
      <c r="T105" s="137">
        <f t="shared" si="116"/>
        <v>90</v>
      </c>
      <c r="U105" s="137">
        <f t="shared" si="117"/>
        <v>90</v>
      </c>
      <c r="V105" s="137">
        <f t="shared" si="118"/>
        <v>0</v>
      </c>
      <c r="W105" s="89">
        <f t="shared" si="119"/>
        <v>0</v>
      </c>
      <c r="X105" s="31" t="str">
        <f t="shared" si="120"/>
        <v>Yes</v>
      </c>
      <c r="Y105" s="32">
        <f t="shared" si="121"/>
        <v>1.0227272727272727</v>
      </c>
      <c r="Z105" s="161">
        <f t="shared" si="122"/>
        <v>33.333333333333329</v>
      </c>
      <c r="AA105" s="32">
        <f t="shared" si="123"/>
        <v>6.8181818181818183</v>
      </c>
      <c r="AQ105" s="54"/>
      <c r="AR105" s="54"/>
      <c r="AS105" s="54"/>
      <c r="AT105" s="54"/>
    </row>
    <row r="106" spans="2:48" ht="15" x14ac:dyDescent="0.2">
      <c r="B106" s="175"/>
      <c r="C106" s="121" t="s">
        <v>389</v>
      </c>
      <c r="D106" s="121" t="s">
        <v>598</v>
      </c>
      <c r="E106" s="158" t="s">
        <v>695</v>
      </c>
      <c r="F106" s="158">
        <v>101</v>
      </c>
      <c r="G106" s="172">
        <v>9</v>
      </c>
      <c r="H106" s="114">
        <f>VLOOKUP($N106,'UMC Table 4-A'!$A$10:$E$139,4,FALSE)</f>
        <v>6</v>
      </c>
      <c r="I106" s="114" t="str">
        <f>VLOOKUP($N106,'UMC Table 4-A'!$A$10:$E$139,5,FALSE)</f>
        <v>YES</v>
      </c>
      <c r="J106" s="111">
        <f t="shared" si="112"/>
        <v>100</v>
      </c>
      <c r="K106" s="116">
        <v>0</v>
      </c>
      <c r="L106" s="152">
        <f t="shared" si="113"/>
        <v>100</v>
      </c>
      <c r="M106" s="117">
        <f t="shared" si="114"/>
        <v>101</v>
      </c>
      <c r="N106" s="114" t="s">
        <v>93</v>
      </c>
      <c r="O106" s="114" t="str">
        <f>VLOOKUP($N106,'UMC Table 4-A'!$A$10:$E$139,2,FALSE)</f>
        <v>NEGATIVE</v>
      </c>
      <c r="P106" s="174">
        <f>VLOOKUP($N106,'UMC Table 4-A'!$A$10:$E$139,3,FALSE)</f>
        <v>2</v>
      </c>
      <c r="Q106" s="152">
        <f t="shared" si="115"/>
        <v>40</v>
      </c>
      <c r="R106" s="112" t="str">
        <f>VLOOKUP($N106,'UMC Table 4-A'!$A$10:$E$139,5,FALSE)</f>
        <v>YES</v>
      </c>
      <c r="S106" s="113">
        <f t="shared" si="110"/>
        <v>50</v>
      </c>
      <c r="T106" s="137">
        <f t="shared" si="116"/>
        <v>50</v>
      </c>
      <c r="U106" s="137">
        <f t="shared" si="117"/>
        <v>0</v>
      </c>
      <c r="V106" s="137">
        <f t="shared" si="118"/>
        <v>100</v>
      </c>
      <c r="W106" s="89">
        <f t="shared" si="119"/>
        <v>-50</v>
      </c>
      <c r="X106" s="31" t="str">
        <f t="shared" si="120"/>
        <v>No</v>
      </c>
      <c r="Y106" s="32">
        <f t="shared" si="121"/>
        <v>0.49504950495049505</v>
      </c>
      <c r="Z106" s="161">
        <f t="shared" si="122"/>
        <v>80</v>
      </c>
      <c r="AA106" s="32">
        <f t="shared" si="123"/>
        <v>3.3003300330033003</v>
      </c>
    </row>
    <row r="107" spans="2:48" ht="15" x14ac:dyDescent="0.2">
      <c r="B107" s="175"/>
      <c r="C107" s="121" t="s">
        <v>390</v>
      </c>
      <c r="D107" s="121" t="s">
        <v>501</v>
      </c>
      <c r="E107" s="158" t="s">
        <v>696</v>
      </c>
      <c r="F107" s="158">
        <v>87</v>
      </c>
      <c r="G107" s="172">
        <v>9</v>
      </c>
      <c r="H107" s="114">
        <f>VLOOKUP($N107,'UMC Table 4-A'!$A$10:$E$139,4,FALSE)</f>
        <v>6</v>
      </c>
      <c r="I107" s="114" t="str">
        <f>VLOOKUP($N107,'UMC Table 4-A'!$A$10:$E$139,5,FALSE)</f>
        <v>NR</v>
      </c>
      <c r="J107" s="111" t="str">
        <f t="shared" si="112"/>
        <v>-</v>
      </c>
      <c r="K107" s="116">
        <v>0</v>
      </c>
      <c r="L107" s="152">
        <f t="shared" si="113"/>
        <v>80</v>
      </c>
      <c r="M107" s="117">
        <f t="shared" si="114"/>
        <v>87</v>
      </c>
      <c r="N107" s="114" t="s">
        <v>91</v>
      </c>
      <c r="O107" s="114" t="str">
        <f>VLOOKUP($N107,'UMC Table 4-A'!$A$10:$E$139,2,FALSE)</f>
        <v>NO REQUIREMENT FOR CONTINUOUS DIRECTIONAL CONTROL</v>
      </c>
      <c r="P107" s="174">
        <f>VLOOKUP($N107,'UMC Table 4-A'!$A$10:$E$139,3,FALSE)</f>
        <v>2</v>
      </c>
      <c r="Q107" s="152">
        <f t="shared" si="115"/>
        <v>30</v>
      </c>
      <c r="R107" s="112" t="str">
        <f>VLOOKUP($N107,'UMC Table 4-A'!$A$10:$E$139,5,FALSE)</f>
        <v>NR</v>
      </c>
      <c r="S107" s="113">
        <f t="shared" si="110"/>
        <v>90</v>
      </c>
      <c r="T107" s="137">
        <f t="shared" si="116"/>
        <v>90</v>
      </c>
      <c r="U107" s="137">
        <f t="shared" si="117"/>
        <v>90</v>
      </c>
      <c r="V107" s="137">
        <f t="shared" si="118"/>
        <v>0</v>
      </c>
      <c r="W107" s="89">
        <f t="shared" si="119"/>
        <v>0</v>
      </c>
      <c r="X107" s="31" t="str">
        <f t="shared" si="120"/>
        <v>Yes</v>
      </c>
      <c r="Y107" s="32">
        <f t="shared" si="121"/>
        <v>1.0344827586206897</v>
      </c>
      <c r="Z107" s="161">
        <f t="shared" si="122"/>
        <v>33.333333333333329</v>
      </c>
      <c r="AA107" s="32">
        <f t="shared" si="123"/>
        <v>6.8965517241379315</v>
      </c>
    </row>
    <row r="108" spans="2:48" ht="15" x14ac:dyDescent="0.2">
      <c r="B108" s="175"/>
      <c r="C108" s="121" t="s">
        <v>391</v>
      </c>
      <c r="D108" s="121" t="s">
        <v>600</v>
      </c>
      <c r="E108" s="158" t="s">
        <v>697</v>
      </c>
      <c r="F108" s="158">
        <v>112</v>
      </c>
      <c r="G108" s="172">
        <v>9</v>
      </c>
      <c r="H108" s="114">
        <f>VLOOKUP($N108,'UMC Table 4-A'!$A$10:$E$139,4,FALSE)</f>
        <v>4</v>
      </c>
      <c r="I108" s="114" t="str">
        <f>VLOOKUP($N108,'UMC Table 4-A'!$A$10:$E$139,5,FALSE)</f>
        <v>NR</v>
      </c>
      <c r="J108" s="111" t="str">
        <f t="shared" si="112"/>
        <v>-</v>
      </c>
      <c r="K108" s="116">
        <v>0</v>
      </c>
      <c r="L108" s="152">
        <f t="shared" si="113"/>
        <v>70</v>
      </c>
      <c r="M108" s="117">
        <f t="shared" si="114"/>
        <v>112</v>
      </c>
      <c r="N108" s="114" t="s">
        <v>189</v>
      </c>
      <c r="O108" s="114" t="str">
        <f>VLOOKUP($N108,'UMC Table 4-A'!$A$10:$E$139,2,FALSE)</f>
        <v>POSITIVE</v>
      </c>
      <c r="P108" s="174">
        <f>VLOOKUP($N108,'UMC Table 4-A'!$A$10:$E$139,3,FALSE)</f>
        <v>2</v>
      </c>
      <c r="Q108" s="152">
        <f t="shared" si="115"/>
        <v>40</v>
      </c>
      <c r="R108" s="112" t="str">
        <f>VLOOKUP($N108,'UMC Table 4-A'!$A$10:$E$139,5,FALSE)</f>
        <v>NR</v>
      </c>
      <c r="S108" s="113">
        <f t="shared" si="110"/>
        <v>115</v>
      </c>
      <c r="T108" s="137">
        <f t="shared" si="116"/>
        <v>115</v>
      </c>
      <c r="U108" s="137">
        <f t="shared" si="117"/>
        <v>65</v>
      </c>
      <c r="V108" s="137">
        <f t="shared" si="118"/>
        <v>0</v>
      </c>
      <c r="W108" s="89">
        <f t="shared" si="119"/>
        <v>50</v>
      </c>
      <c r="X108" s="31" t="str">
        <f t="shared" si="120"/>
        <v>No</v>
      </c>
      <c r="Y108" s="32">
        <f t="shared" si="121"/>
        <v>1.0267857142857142</v>
      </c>
      <c r="Z108" s="161">
        <f t="shared" si="122"/>
        <v>34.782608695652172</v>
      </c>
      <c r="AA108" s="32">
        <f t="shared" si="123"/>
        <v>6.845238095238094</v>
      </c>
    </row>
    <row r="109" spans="2:48" ht="15" x14ac:dyDescent="0.2">
      <c r="B109" s="175"/>
      <c r="C109" s="121" t="s">
        <v>392</v>
      </c>
      <c r="D109" s="121" t="s">
        <v>461</v>
      </c>
      <c r="E109" s="158" t="s">
        <v>698</v>
      </c>
      <c r="F109" s="158">
        <v>65</v>
      </c>
      <c r="G109" s="172">
        <v>9</v>
      </c>
      <c r="H109" s="114">
        <f>VLOOKUP($N109,'UMC Table 4-A'!$A$10:$E$139,4,FALSE)</f>
        <v>2</v>
      </c>
      <c r="I109" s="114" t="str">
        <f>VLOOKUP($N109,'UMC Table 4-A'!$A$10:$E$139,5,FALSE)</f>
        <v>NR</v>
      </c>
      <c r="J109" s="111" t="str">
        <f t="shared" si="112"/>
        <v>-</v>
      </c>
      <c r="K109" s="116">
        <v>0</v>
      </c>
      <c r="L109" s="152">
        <f t="shared" si="113"/>
        <v>20</v>
      </c>
      <c r="M109" s="117">
        <f t="shared" si="114"/>
        <v>65</v>
      </c>
      <c r="N109" s="111" t="s">
        <v>115</v>
      </c>
      <c r="O109" s="114" t="str">
        <f>VLOOKUP($N109,'UMC Table 4-A'!$A$10:$E$139,2,FALSE)</f>
        <v>NO REQUIREMENT FOR CONTINUOUS DIRECTIONAL CONTROL</v>
      </c>
      <c r="P109" s="174" t="str">
        <f>VLOOKUP($N109,'UMC Table 4-A'!$A$10:$E$139,3,FALSE)</f>
        <v>NR</v>
      </c>
      <c r="Q109" s="152">
        <f t="shared" si="115"/>
        <v>0</v>
      </c>
      <c r="R109" s="112" t="str">
        <f>VLOOKUP($N109,'UMC Table 4-A'!$A$10:$E$139,5,FALSE)</f>
        <v>NR</v>
      </c>
      <c r="S109" s="113">
        <f t="shared" si="110"/>
        <v>65</v>
      </c>
      <c r="T109" s="137">
        <f t="shared" si="116"/>
        <v>65</v>
      </c>
      <c r="U109" s="137">
        <f t="shared" si="117"/>
        <v>65</v>
      </c>
      <c r="V109" s="137">
        <f t="shared" si="118"/>
        <v>0</v>
      </c>
      <c r="W109" s="89">
        <f t="shared" si="119"/>
        <v>0</v>
      </c>
      <c r="X109" s="31" t="str">
        <f t="shared" si="120"/>
        <v>Yes</v>
      </c>
      <c r="Y109" s="32">
        <f t="shared" si="121"/>
        <v>1</v>
      </c>
      <c r="Z109" s="161">
        <f t="shared" si="122"/>
        <v>0</v>
      </c>
      <c r="AA109" s="32">
        <f t="shared" si="123"/>
        <v>6.6666666666666661</v>
      </c>
    </row>
    <row r="110" spans="2:48" ht="15" x14ac:dyDescent="0.2">
      <c r="B110" s="175"/>
      <c r="C110" s="121" t="s">
        <v>392</v>
      </c>
      <c r="D110" s="121" t="s">
        <v>590</v>
      </c>
      <c r="E110" s="158" t="s">
        <v>701</v>
      </c>
      <c r="F110" s="158">
        <v>70</v>
      </c>
      <c r="G110" s="172">
        <v>9</v>
      </c>
      <c r="H110" s="114">
        <f>VLOOKUP($N110,'UMC Table 4-A'!$A$10:$E$139,4,FALSE)</f>
        <v>2</v>
      </c>
      <c r="I110" s="114" t="str">
        <f>VLOOKUP($N110,'UMC Table 4-A'!$A$10:$E$139,5,FALSE)</f>
        <v>NR</v>
      </c>
      <c r="J110" s="111" t="str">
        <f t="shared" si="112"/>
        <v>-</v>
      </c>
      <c r="K110" s="116">
        <v>0</v>
      </c>
      <c r="L110" s="152">
        <f t="shared" si="113"/>
        <v>30</v>
      </c>
      <c r="M110" s="117">
        <f t="shared" si="114"/>
        <v>70</v>
      </c>
      <c r="N110" s="114" t="s">
        <v>92</v>
      </c>
      <c r="O110" s="114" t="str">
        <f>VLOOKUP($N110,'UMC Table 4-A'!$A$10:$E$139,2,FALSE)</f>
        <v>NO REQUIREMENT FOR CONTINUOUS DIRECTIONAL CONTROL</v>
      </c>
      <c r="P110" s="174" t="str">
        <f>VLOOKUP($N110,'UMC Table 4-A'!$A$10:$E$139,3,FALSE)</f>
        <v>NR</v>
      </c>
      <c r="Q110" s="152">
        <f t="shared" si="115"/>
        <v>0</v>
      </c>
      <c r="R110" s="112" t="str">
        <f>VLOOKUP($N110,'UMC Table 4-A'!$A$10:$E$139,5,FALSE)</f>
        <v>NR</v>
      </c>
      <c r="S110" s="113">
        <f t="shared" si="110"/>
        <v>70</v>
      </c>
      <c r="T110" s="137">
        <f t="shared" si="116"/>
        <v>70</v>
      </c>
      <c r="U110" s="137">
        <f t="shared" si="117"/>
        <v>70</v>
      </c>
      <c r="V110" s="137">
        <f t="shared" si="118"/>
        <v>0</v>
      </c>
      <c r="W110" s="89">
        <f t="shared" si="119"/>
        <v>0</v>
      </c>
      <c r="X110" s="31" t="str">
        <f t="shared" si="120"/>
        <v>Yes</v>
      </c>
      <c r="Y110" s="32">
        <f t="shared" si="121"/>
        <v>1</v>
      </c>
      <c r="Z110" s="161">
        <f t="shared" si="122"/>
        <v>0</v>
      </c>
      <c r="AA110" s="32">
        <f t="shared" si="123"/>
        <v>6.6666666666666661</v>
      </c>
    </row>
    <row r="111" spans="2:48" ht="15" x14ac:dyDescent="0.2">
      <c r="B111" s="175"/>
      <c r="C111" s="121" t="s">
        <v>392</v>
      </c>
      <c r="D111" s="121" t="s">
        <v>615</v>
      </c>
      <c r="E111" s="158" t="s">
        <v>699</v>
      </c>
      <c r="F111" s="158">
        <v>200</v>
      </c>
      <c r="G111" s="172">
        <v>9</v>
      </c>
      <c r="H111" s="114">
        <f>VLOOKUP($N111,'UMC Table 4-A'!$A$10:$E$139,4,FALSE)</f>
        <v>2</v>
      </c>
      <c r="I111" s="114" t="str">
        <f>VLOOKUP($N111,'UMC Table 4-A'!$A$10:$E$139,5,FALSE)</f>
        <v>(AA)</v>
      </c>
      <c r="J111" s="111" t="str">
        <f t="shared" si="112"/>
        <v>-</v>
      </c>
      <c r="K111" s="116">
        <v>0</v>
      </c>
      <c r="L111" s="152">
        <f t="shared" si="113"/>
        <v>60</v>
      </c>
      <c r="M111" s="117">
        <f t="shared" si="114"/>
        <v>200</v>
      </c>
      <c r="N111" s="114" t="s">
        <v>190</v>
      </c>
      <c r="O111" s="114" t="str">
        <f>VLOOKUP($N111,'UMC Table 4-A'!$A$10:$E$139,2,FALSE)</f>
        <v>(AA)</v>
      </c>
      <c r="P111" s="174">
        <f>VLOOKUP($N111,'UMC Table 4-A'!$A$10:$E$139,3,FALSE)</f>
        <v>2</v>
      </c>
      <c r="Q111" s="152">
        <f t="shared" si="115"/>
        <v>60</v>
      </c>
      <c r="R111" s="112" t="str">
        <f>VLOOKUP($N111,'UMC Table 4-A'!$A$10:$E$139,5,FALSE)</f>
        <v>(AA)</v>
      </c>
      <c r="S111" s="113">
        <f t="shared" si="110"/>
        <v>200</v>
      </c>
      <c r="T111" s="137">
        <f t="shared" si="116"/>
        <v>200</v>
      </c>
      <c r="U111" s="137">
        <f t="shared" si="117"/>
        <v>200</v>
      </c>
      <c r="V111" s="137">
        <f t="shared" si="118"/>
        <v>0</v>
      </c>
      <c r="W111" s="89">
        <f t="shared" si="119"/>
        <v>0</v>
      </c>
      <c r="X111" s="31" t="str">
        <f t="shared" si="120"/>
        <v>Yes</v>
      </c>
      <c r="Y111" s="32">
        <f t="shared" si="121"/>
        <v>1</v>
      </c>
      <c r="Z111" s="161">
        <f t="shared" si="122"/>
        <v>30</v>
      </c>
      <c r="AA111" s="32">
        <f t="shared" si="123"/>
        <v>6.6666666666666661</v>
      </c>
    </row>
    <row r="112" spans="2:48" ht="15" x14ac:dyDescent="0.2">
      <c r="B112" s="175"/>
      <c r="C112" s="121" t="s">
        <v>392</v>
      </c>
      <c r="D112" s="121" t="s">
        <v>615</v>
      </c>
      <c r="E112" s="158" t="s">
        <v>700</v>
      </c>
      <c r="F112" s="158">
        <v>181</v>
      </c>
      <c r="G112" s="172">
        <v>9</v>
      </c>
      <c r="H112" s="114">
        <f>VLOOKUP($N112,'UMC Table 4-A'!$A$10:$E$139,4,FALSE)</f>
        <v>2</v>
      </c>
      <c r="I112" s="114" t="str">
        <f>VLOOKUP($N112,'UMC Table 4-A'!$A$10:$E$139,5,FALSE)</f>
        <v>(AA)</v>
      </c>
      <c r="J112" s="111" t="str">
        <f t="shared" si="112"/>
        <v>-</v>
      </c>
      <c r="K112" s="116">
        <v>0</v>
      </c>
      <c r="L112" s="152">
        <f t="shared" si="113"/>
        <v>60</v>
      </c>
      <c r="M112" s="117">
        <f t="shared" si="114"/>
        <v>181</v>
      </c>
      <c r="N112" s="114" t="s">
        <v>190</v>
      </c>
      <c r="O112" s="114" t="str">
        <f>VLOOKUP($N112,'UMC Table 4-A'!$A$10:$E$139,2,FALSE)</f>
        <v>(AA)</v>
      </c>
      <c r="P112" s="174">
        <f>VLOOKUP($N112,'UMC Table 4-A'!$A$10:$E$139,3,FALSE)</f>
        <v>2</v>
      </c>
      <c r="Q112" s="152">
        <f t="shared" si="115"/>
        <v>60</v>
      </c>
      <c r="R112" s="112" t="str">
        <f>VLOOKUP($N112,'UMC Table 4-A'!$A$10:$E$139,5,FALSE)</f>
        <v>(AA)</v>
      </c>
      <c r="S112" s="113">
        <f t="shared" si="110"/>
        <v>185</v>
      </c>
      <c r="T112" s="137">
        <f t="shared" si="116"/>
        <v>185</v>
      </c>
      <c r="U112" s="137">
        <f t="shared" si="117"/>
        <v>185</v>
      </c>
      <c r="V112" s="137">
        <f t="shared" si="118"/>
        <v>0</v>
      </c>
      <c r="W112" s="89">
        <f t="shared" si="119"/>
        <v>0</v>
      </c>
      <c r="X112" s="31" t="str">
        <f t="shared" si="120"/>
        <v>Yes</v>
      </c>
      <c r="Y112" s="32">
        <f t="shared" si="121"/>
        <v>1.0220994475138121</v>
      </c>
      <c r="Z112" s="161">
        <f t="shared" si="122"/>
        <v>32.432432432432435</v>
      </c>
      <c r="AA112" s="32">
        <f t="shared" si="123"/>
        <v>6.8139963167587467</v>
      </c>
    </row>
    <row r="113" spans="2:27" ht="15" x14ac:dyDescent="0.2">
      <c r="B113" s="175"/>
      <c r="C113" s="121" t="s">
        <v>392</v>
      </c>
      <c r="D113" s="121" t="s">
        <v>615</v>
      </c>
      <c r="E113" s="158" t="s">
        <v>699</v>
      </c>
      <c r="F113" s="158">
        <v>200</v>
      </c>
      <c r="G113" s="172">
        <v>9</v>
      </c>
      <c r="H113" s="114">
        <f>VLOOKUP($N113,'UMC Table 4-A'!$A$10:$E$139,4,FALSE)</f>
        <v>2</v>
      </c>
      <c r="I113" s="114" t="str">
        <f>VLOOKUP($N113,'UMC Table 4-A'!$A$10:$E$139,5,FALSE)</f>
        <v>(AA)</v>
      </c>
      <c r="J113" s="111" t="str">
        <f t="shared" si="112"/>
        <v>-</v>
      </c>
      <c r="K113" s="116">
        <v>0</v>
      </c>
      <c r="L113" s="152">
        <f t="shared" si="113"/>
        <v>60</v>
      </c>
      <c r="M113" s="117">
        <f t="shared" si="114"/>
        <v>200</v>
      </c>
      <c r="N113" s="114" t="s">
        <v>190</v>
      </c>
      <c r="O113" s="114" t="str">
        <f>VLOOKUP($N113,'UMC Table 4-A'!$A$10:$E$139,2,FALSE)</f>
        <v>(AA)</v>
      </c>
      <c r="P113" s="174">
        <f>VLOOKUP($N113,'UMC Table 4-A'!$A$10:$E$139,3,FALSE)</f>
        <v>2</v>
      </c>
      <c r="Q113" s="152">
        <f t="shared" si="115"/>
        <v>60</v>
      </c>
      <c r="R113" s="112" t="str">
        <f>VLOOKUP($N113,'UMC Table 4-A'!$A$10:$E$139,5,FALSE)</f>
        <v>(AA)</v>
      </c>
      <c r="S113" s="113">
        <f t="shared" si="110"/>
        <v>200</v>
      </c>
      <c r="T113" s="137">
        <f t="shared" si="116"/>
        <v>200</v>
      </c>
      <c r="U113" s="137">
        <f t="shared" si="117"/>
        <v>200</v>
      </c>
      <c r="V113" s="137">
        <f t="shared" si="118"/>
        <v>0</v>
      </c>
      <c r="W113" s="89">
        <f t="shared" si="119"/>
        <v>0</v>
      </c>
      <c r="X113" s="31" t="str">
        <f t="shared" si="120"/>
        <v>Yes</v>
      </c>
      <c r="Y113" s="32">
        <f t="shared" si="121"/>
        <v>1</v>
      </c>
      <c r="Z113" s="161">
        <f t="shared" si="122"/>
        <v>30</v>
      </c>
      <c r="AA113" s="32">
        <f t="shared" si="123"/>
        <v>6.6666666666666661</v>
      </c>
    </row>
    <row r="114" spans="2:27" ht="15" x14ac:dyDescent="0.2">
      <c r="B114" s="175"/>
      <c r="C114" s="121" t="s">
        <v>393</v>
      </c>
      <c r="D114" s="121" t="s">
        <v>596</v>
      </c>
      <c r="E114" s="158" t="s">
        <v>702</v>
      </c>
      <c r="F114" s="158">
        <v>103</v>
      </c>
      <c r="G114" s="172">
        <v>9</v>
      </c>
      <c r="H114" s="114">
        <f>VLOOKUP($N114,'UMC Table 4-A'!$A$10:$E$139,4,FALSE)</f>
        <v>4</v>
      </c>
      <c r="I114" s="114" t="str">
        <f>VLOOKUP($N114,'UMC Table 4-A'!$A$10:$E$139,5,FALSE)</f>
        <v>NR</v>
      </c>
      <c r="J114" s="111" t="str">
        <f t="shared" si="112"/>
        <v>-</v>
      </c>
      <c r="K114" s="116">
        <v>0</v>
      </c>
      <c r="L114" s="152">
        <f t="shared" si="113"/>
        <v>70</v>
      </c>
      <c r="M114" s="117">
        <f t="shared" si="114"/>
        <v>103</v>
      </c>
      <c r="N114" s="114" t="s">
        <v>116</v>
      </c>
      <c r="O114" s="114" t="str">
        <f>VLOOKUP($N114,'UMC Table 4-A'!$A$10:$E$139,2,FALSE)</f>
        <v>NO REQUIREMENT FOR CONTINUOUS DIRECTIONAL CONTROL</v>
      </c>
      <c r="P114" s="174">
        <f>VLOOKUP($N114,'UMC Table 4-A'!$A$10:$E$139,3,FALSE)</f>
        <v>2</v>
      </c>
      <c r="Q114" s="152">
        <f t="shared" si="115"/>
        <v>40</v>
      </c>
      <c r="R114" s="112" t="str">
        <f>VLOOKUP($N114,'UMC Table 4-A'!$A$10:$E$139,5,FALSE)</f>
        <v>NR</v>
      </c>
      <c r="S114" s="113">
        <f t="shared" si="110"/>
        <v>105</v>
      </c>
      <c r="T114" s="137">
        <f t="shared" si="116"/>
        <v>105</v>
      </c>
      <c r="U114" s="137">
        <f t="shared" si="117"/>
        <v>105</v>
      </c>
      <c r="V114" s="137">
        <f t="shared" si="118"/>
        <v>0</v>
      </c>
      <c r="W114" s="89">
        <f t="shared" si="119"/>
        <v>0</v>
      </c>
      <c r="X114" s="31" t="str">
        <f t="shared" si="120"/>
        <v>Yes</v>
      </c>
      <c r="Y114" s="32">
        <f t="shared" si="121"/>
        <v>1.0194174757281553</v>
      </c>
      <c r="Z114" s="161">
        <f t="shared" si="122"/>
        <v>38.095238095238095</v>
      </c>
      <c r="AA114" s="32">
        <f t="shared" si="123"/>
        <v>6.7961165048543686</v>
      </c>
    </row>
    <row r="115" spans="2:27" ht="15" x14ac:dyDescent="0.2">
      <c r="B115" s="175"/>
      <c r="C115" s="121" t="s">
        <v>394</v>
      </c>
      <c r="D115" s="121" t="s">
        <v>571</v>
      </c>
      <c r="E115" s="158" t="s">
        <v>704</v>
      </c>
      <c r="F115" s="158">
        <v>17</v>
      </c>
      <c r="G115" s="172">
        <v>9</v>
      </c>
      <c r="H115" s="114">
        <f>VLOOKUP($N115,'UMC Table 4-A'!$A$10:$E$139,4,FALSE)</f>
        <v>6</v>
      </c>
      <c r="I115" s="114" t="str">
        <f>VLOOKUP($N115,'UMC Table 4-A'!$A$10:$E$139,5,FALSE)</f>
        <v>NR</v>
      </c>
      <c r="J115" s="111" t="str">
        <f t="shared" si="112"/>
        <v>-</v>
      </c>
      <c r="K115" s="116">
        <v>0</v>
      </c>
      <c r="L115" s="114">
        <f t="shared" si="113"/>
        <v>20</v>
      </c>
      <c r="M115" s="114">
        <f t="shared" si="114"/>
        <v>17</v>
      </c>
      <c r="N115" s="114" t="s">
        <v>91</v>
      </c>
      <c r="O115" s="114" t="str">
        <f>VLOOKUP($N115,'UMC Table 4-A'!$A$10:$E$139,2,FALSE)</f>
        <v>NO REQUIREMENT FOR CONTINUOUS DIRECTIONAL CONTROL</v>
      </c>
      <c r="P115" s="174">
        <f>VLOOKUP($N115,'UMC Table 4-A'!$A$10:$E$139,3,FALSE)</f>
        <v>2</v>
      </c>
      <c r="Q115" s="152">
        <f t="shared" si="115"/>
        <v>10</v>
      </c>
      <c r="R115" s="112" t="str">
        <f>VLOOKUP($N115,'UMC Table 4-A'!$A$10:$E$139,5,FALSE)</f>
        <v>NR</v>
      </c>
      <c r="S115" s="113">
        <f t="shared" si="110"/>
        <v>20</v>
      </c>
      <c r="T115" s="137">
        <f t="shared" si="116"/>
        <v>20</v>
      </c>
      <c r="U115" s="137">
        <f t="shared" si="117"/>
        <v>20</v>
      </c>
      <c r="V115" s="137">
        <f t="shared" si="118"/>
        <v>0</v>
      </c>
      <c r="W115" s="89">
        <f t="shared" si="119"/>
        <v>0</v>
      </c>
      <c r="X115" s="31" t="str">
        <f t="shared" si="120"/>
        <v>Yes</v>
      </c>
      <c r="Y115" s="32">
        <f t="shared" si="121"/>
        <v>1.1764705882352942</v>
      </c>
      <c r="Z115" s="161">
        <f t="shared" si="122"/>
        <v>50</v>
      </c>
      <c r="AA115" s="32">
        <f t="shared" si="123"/>
        <v>7.8431372549019613</v>
      </c>
    </row>
    <row r="116" spans="2:27" ht="15" x14ac:dyDescent="0.2">
      <c r="B116" s="175"/>
      <c r="C116" s="121" t="s">
        <v>394</v>
      </c>
      <c r="D116" s="121" t="s">
        <v>461</v>
      </c>
      <c r="E116" s="158" t="s">
        <v>703</v>
      </c>
      <c r="F116" s="158">
        <v>260</v>
      </c>
      <c r="G116" s="172">
        <v>9</v>
      </c>
      <c r="H116" s="114">
        <f>VLOOKUP($N116,'UMC Table 4-A'!$A$10:$E$139,4,FALSE)</f>
        <v>2</v>
      </c>
      <c r="I116" s="114" t="str">
        <f>VLOOKUP($N116,'UMC Table 4-A'!$A$10:$E$139,5,FALSE)</f>
        <v>NR</v>
      </c>
      <c r="J116" s="111" t="str">
        <f t="shared" si="112"/>
        <v>-</v>
      </c>
      <c r="K116" s="116">
        <v>0</v>
      </c>
      <c r="L116" s="152">
        <f t="shared" si="113"/>
        <v>80</v>
      </c>
      <c r="M116" s="117">
        <f t="shared" si="114"/>
        <v>260</v>
      </c>
      <c r="N116" s="111" t="s">
        <v>115</v>
      </c>
      <c r="O116" s="114" t="str">
        <f>VLOOKUP($N116,'UMC Table 4-A'!$A$10:$E$139,2,FALSE)</f>
        <v>NO REQUIREMENT FOR CONTINUOUS DIRECTIONAL CONTROL</v>
      </c>
      <c r="P116" s="174" t="str">
        <f>VLOOKUP($N116,'UMC Table 4-A'!$A$10:$E$139,3,FALSE)</f>
        <v>NR</v>
      </c>
      <c r="Q116" s="152">
        <f t="shared" si="115"/>
        <v>0</v>
      </c>
      <c r="R116" s="112" t="str">
        <f>VLOOKUP($N116,'UMC Table 4-A'!$A$10:$E$139,5,FALSE)</f>
        <v>NR</v>
      </c>
      <c r="S116" s="113">
        <f t="shared" si="110"/>
        <v>260</v>
      </c>
      <c r="T116" s="137">
        <f t="shared" si="116"/>
        <v>260</v>
      </c>
      <c r="U116" s="137">
        <f t="shared" si="117"/>
        <v>260</v>
      </c>
      <c r="V116" s="137">
        <f t="shared" si="118"/>
        <v>0</v>
      </c>
      <c r="W116" s="89">
        <f t="shared" si="119"/>
        <v>0</v>
      </c>
      <c r="X116" s="31" t="str">
        <f t="shared" si="120"/>
        <v>Yes</v>
      </c>
      <c r="Y116" s="32">
        <f t="shared" si="121"/>
        <v>1</v>
      </c>
      <c r="Z116" s="161">
        <f t="shared" si="122"/>
        <v>0</v>
      </c>
      <c r="AA116" s="32">
        <f t="shared" si="123"/>
        <v>6.6666666666666661</v>
      </c>
    </row>
    <row r="117" spans="2:27" ht="15" x14ac:dyDescent="0.2">
      <c r="B117" s="175"/>
      <c r="C117" s="121" t="s">
        <v>394</v>
      </c>
      <c r="D117" s="121" t="s">
        <v>461</v>
      </c>
      <c r="E117" s="158" t="s">
        <v>703</v>
      </c>
      <c r="F117" s="158">
        <v>260</v>
      </c>
      <c r="G117" s="172">
        <v>9</v>
      </c>
      <c r="H117" s="114">
        <f>VLOOKUP($N117,'UMC Table 4-A'!$A$10:$E$139,4,FALSE)</f>
        <v>2</v>
      </c>
      <c r="I117" s="114" t="str">
        <f>VLOOKUP($N117,'UMC Table 4-A'!$A$10:$E$139,5,FALSE)</f>
        <v>NR</v>
      </c>
      <c r="J117" s="111" t="str">
        <f t="shared" si="112"/>
        <v>-</v>
      </c>
      <c r="K117" s="116">
        <v>0</v>
      </c>
      <c r="L117" s="152">
        <f t="shared" si="113"/>
        <v>80</v>
      </c>
      <c r="M117" s="117">
        <f t="shared" si="114"/>
        <v>260</v>
      </c>
      <c r="N117" s="111" t="s">
        <v>115</v>
      </c>
      <c r="O117" s="114" t="str">
        <f>VLOOKUP($N117,'UMC Table 4-A'!$A$10:$E$139,2,FALSE)</f>
        <v>NO REQUIREMENT FOR CONTINUOUS DIRECTIONAL CONTROL</v>
      </c>
      <c r="P117" s="174" t="str">
        <f>VLOOKUP($N117,'UMC Table 4-A'!$A$10:$E$139,3,FALSE)</f>
        <v>NR</v>
      </c>
      <c r="Q117" s="152">
        <f t="shared" si="115"/>
        <v>0</v>
      </c>
      <c r="R117" s="112" t="str">
        <f>VLOOKUP($N117,'UMC Table 4-A'!$A$10:$E$139,5,FALSE)</f>
        <v>NR</v>
      </c>
      <c r="S117" s="113">
        <f t="shared" si="110"/>
        <v>260</v>
      </c>
      <c r="T117" s="137">
        <f t="shared" si="116"/>
        <v>260</v>
      </c>
      <c r="U117" s="137">
        <f t="shared" si="117"/>
        <v>260</v>
      </c>
      <c r="V117" s="137">
        <f t="shared" si="118"/>
        <v>0</v>
      </c>
      <c r="W117" s="89">
        <f t="shared" si="119"/>
        <v>0</v>
      </c>
      <c r="X117" s="31" t="str">
        <f t="shared" si="120"/>
        <v>Yes</v>
      </c>
      <c r="Y117" s="32">
        <f t="shared" si="121"/>
        <v>1</v>
      </c>
      <c r="Z117" s="161">
        <f t="shared" si="122"/>
        <v>0</v>
      </c>
      <c r="AA117" s="32">
        <f t="shared" si="123"/>
        <v>6.6666666666666661</v>
      </c>
    </row>
    <row r="118" spans="2:27" ht="13.5" thickBot="1" x14ac:dyDescent="0.25">
      <c r="B118" s="56"/>
      <c r="C118" s="57"/>
      <c r="E118" s="95" t="s">
        <v>98</v>
      </c>
      <c r="F118" s="96">
        <f>SUM(F8:F117)</f>
        <v>21489</v>
      </c>
      <c r="G118" s="1"/>
      <c r="H118" s="22"/>
      <c r="K118" s="19"/>
      <c r="L118" s="10"/>
      <c r="M118" s="10"/>
      <c r="N118" s="11"/>
      <c r="O118" s="11"/>
      <c r="P118" s="51" t="s">
        <v>17</v>
      </c>
      <c r="Q118" s="52">
        <f>SUM(Q8:Q86)</f>
        <v>3100</v>
      </c>
      <c r="R118" s="53"/>
      <c r="S118" s="53">
        <f>SUM(S8:S87)</f>
        <v>13995</v>
      </c>
      <c r="T118" s="53">
        <f>SUM(T8:T117)</f>
        <v>18855</v>
      </c>
      <c r="U118" s="53">
        <f>SUM(U8:U117)</f>
        <v>18675</v>
      </c>
      <c r="V118" s="53">
        <f>SUM(V8:V117)</f>
        <v>3130</v>
      </c>
      <c r="W118" s="90">
        <f t="shared" ref="W118" si="124">T118-U118-V118</f>
        <v>-2950</v>
      </c>
      <c r="X118" s="53" t="str">
        <f>IF(T118-U118-V118-W118=0,"Yes","No")</f>
        <v>Yes</v>
      </c>
      <c r="Y118" s="12"/>
      <c r="AA118" s="13"/>
    </row>
    <row r="119" spans="2:27" ht="13.5" thickBot="1" x14ac:dyDescent="0.25">
      <c r="B119" s="56"/>
      <c r="C119" s="57"/>
      <c r="E119" s="93"/>
      <c r="G119" s="1"/>
      <c r="H119" s="22"/>
      <c r="K119" s="19"/>
      <c r="L119" s="10"/>
      <c r="M119" s="10"/>
      <c r="N119" s="11"/>
      <c r="O119" s="11"/>
      <c r="P119" s="80" t="s">
        <v>101</v>
      </c>
      <c r="Q119" s="80">
        <v>3200</v>
      </c>
      <c r="R119" s="13"/>
      <c r="S119" s="13"/>
      <c r="T119" s="13"/>
      <c r="U119" s="13"/>
      <c r="V119" s="13"/>
      <c r="W119" s="91"/>
      <c r="X119" s="13"/>
      <c r="Y119" s="12"/>
      <c r="AA119" s="13"/>
    </row>
    <row r="120" spans="2:27" ht="16.5" thickBot="1" x14ac:dyDescent="0.25">
      <c r="B120" s="58"/>
      <c r="C120" s="57"/>
      <c r="G120" s="1"/>
      <c r="H120" s="22"/>
      <c r="K120" s="19"/>
      <c r="L120" s="10"/>
      <c r="M120" s="10"/>
      <c r="N120" s="11"/>
      <c r="O120" s="77" t="s">
        <v>100</v>
      </c>
      <c r="P120" s="50">
        <v>1.2</v>
      </c>
      <c r="Q120" s="82">
        <f>ROUNDUP((Q118*P120)+Q119,-2)</f>
        <v>7000</v>
      </c>
      <c r="R120" s="83"/>
      <c r="S120" s="83"/>
      <c r="T120" s="83">
        <f>ROUNDUP(T118*P120,-2)</f>
        <v>22700</v>
      </c>
      <c r="U120" s="83">
        <f>ROUNDUP(U118*P120,-2)</f>
        <v>22500</v>
      </c>
      <c r="V120" s="83">
        <f>ROUNDUP(V118*P120,-2)</f>
        <v>3800</v>
      </c>
      <c r="W120" s="92"/>
      <c r="X120" s="83"/>
      <c r="Y120" s="12"/>
      <c r="AA120" s="12"/>
    </row>
    <row r="121" spans="2:27" x14ac:dyDescent="0.2">
      <c r="B121" s="56"/>
      <c r="C121" s="57"/>
      <c r="O121" s="1" t="s">
        <v>48</v>
      </c>
      <c r="P121" s="78" t="s">
        <v>87</v>
      </c>
      <c r="Q121" s="79">
        <f>(Q120/T120)*100</f>
        <v>30.837004405286343</v>
      </c>
    </row>
    <row r="122" spans="2:27" x14ac:dyDescent="0.2">
      <c r="K122"/>
      <c r="N122"/>
    </row>
  </sheetData>
  <dataConsolidate topLabels="1">
    <dataRefs count="1">
      <dataRef ref="C8:D86" sheet="AHU-1"/>
    </dataRefs>
  </dataConsolidate>
  <mergeCells count="8">
    <mergeCell ref="AD67:AU70"/>
    <mergeCell ref="AX10:AZ10"/>
    <mergeCell ref="D5:V5"/>
    <mergeCell ref="D6:G6"/>
    <mergeCell ref="H6:R6"/>
    <mergeCell ref="S6:V6"/>
    <mergeCell ref="Y6:AA6"/>
    <mergeCell ref="AD6:AU6"/>
  </mergeCells>
  <phoneticPr fontId="28" type="noConversion"/>
  <conditionalFormatting sqref="S8:W117">
    <cfRule type="cellIs" dxfId="3" priority="1" operator="equal">
      <formula>0</formula>
    </cfRule>
  </conditionalFormatting>
  <conditionalFormatting sqref="T8:T117">
    <cfRule type="cellIs" dxfId="2" priority="2" operator="notEqual">
      <formula>$S$8</formula>
    </cfRule>
  </conditionalFormatting>
  <conditionalFormatting sqref="Z8:Z117">
    <cfRule type="cellIs" dxfId="1" priority="299" operator="greaterThan">
      <formula>$Q$121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429AF6F1-EB80-4EEC-B384-606F2DDA3BED}">
          <x14:formula1>
            <xm:f>'UMC Table 4-A'!$A$10:$A$139</xm:f>
          </x14:formula1>
          <xm:sqref>N8:N117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91FFC-7C19-4786-9656-F34B9CF67A72}">
  <sheetPr codeName="Sheet8">
    <tabColor indexed="43"/>
    <pageSetUpPr fitToPage="1"/>
  </sheetPr>
  <dimension ref="A1:AZ106"/>
  <sheetViews>
    <sheetView showGridLines="0" zoomScale="80" zoomScaleNormal="80" zoomScaleSheetLayoutView="50" zoomScalePageLayoutView="85" workbookViewId="0">
      <pane xSplit="4" ySplit="7" topLeftCell="O8" activePane="bottomRight" state="frozen"/>
      <selection pane="topRight" activeCell="E1" sqref="E1"/>
      <selection pane="bottomLeft" activeCell="A8" sqref="A8"/>
      <selection pane="bottomRight" activeCell="T36" sqref="T36"/>
    </sheetView>
  </sheetViews>
  <sheetFormatPr defaultRowHeight="12.75" x14ac:dyDescent="0.2"/>
  <cols>
    <col min="1" max="1" width="2.85546875" customWidth="1"/>
    <col min="2" max="2" width="12.7109375" customWidth="1"/>
    <col min="3" max="3" width="23.28515625" style="17" customWidth="1"/>
    <col min="4" max="4" width="20.85546875" style="94" customWidth="1"/>
    <col min="5" max="5" width="16" style="17" bestFit="1" customWidth="1"/>
    <col min="6" max="6" width="13.28515625" style="17" customWidth="1"/>
    <col min="7" max="7" width="6.7109375" customWidth="1"/>
    <col min="8" max="8" width="13" style="21" customWidth="1"/>
    <col min="9" max="10" width="7.7109375" customWidth="1"/>
    <col min="11" max="11" width="11.85546875" style="1" customWidth="1"/>
    <col min="12" max="12" width="12.7109375" customWidth="1"/>
    <col min="13" max="13" width="11.42578125" hidden="1" customWidth="1"/>
    <col min="14" max="14" width="64.28515625" style="1" bestFit="1" customWidth="1"/>
    <col min="15" max="15" width="73.140625" style="1" bestFit="1" customWidth="1"/>
    <col min="16" max="16" width="31.28515625" customWidth="1"/>
    <col min="17" max="17" width="13" bestFit="1" customWidth="1"/>
    <col min="18" max="18" width="18" customWidth="1"/>
    <col min="19" max="19" width="22.85546875" style="1" customWidth="1"/>
    <col min="20" max="20" width="16.5703125" style="1" customWidth="1"/>
    <col min="21" max="21" width="10.140625" style="17" customWidth="1"/>
    <col min="22" max="22" width="10" style="1" customWidth="1"/>
    <col min="23" max="23" width="18" style="85" customWidth="1"/>
    <col min="24" max="24" width="11.28515625" customWidth="1"/>
    <col min="25" max="25" width="9.85546875" style="17" customWidth="1"/>
    <col min="26" max="26" width="15.85546875" style="17" customWidth="1"/>
    <col min="27" max="27" width="9.42578125" style="17" customWidth="1"/>
    <col min="28" max="28" width="22.5703125" style="17" bestFit="1" customWidth="1"/>
    <col min="29" max="29" width="9.28515625" style="17" customWidth="1"/>
    <col min="30" max="30" width="11.42578125" style="86" bestFit="1" customWidth="1"/>
    <col min="31" max="31" width="22" style="86" bestFit="1" customWidth="1"/>
    <col min="32" max="32" width="34.140625" style="86" customWidth="1"/>
    <col min="33" max="33" width="6.42578125" style="55" bestFit="1" customWidth="1"/>
    <col min="34" max="34" width="13" style="55" bestFit="1" customWidth="1"/>
    <col min="35" max="35" width="9.28515625" style="55" hidden="1" customWidth="1"/>
    <col min="36" max="36" width="14.140625" style="55" bestFit="1" customWidth="1"/>
    <col min="37" max="37" width="6.42578125" bestFit="1" customWidth="1"/>
    <col min="38" max="38" width="8" hidden="1" customWidth="1"/>
    <col min="39" max="39" width="5.7109375" bestFit="1" customWidth="1"/>
    <col min="40" max="40" width="9.42578125" hidden="1" customWidth="1"/>
    <col min="41" max="41" width="8" customWidth="1"/>
    <col min="42" max="42" width="0.42578125" hidden="1" customWidth="1"/>
    <col min="43" max="43" width="8.140625" customWidth="1"/>
    <col min="44" max="44" width="9.5703125" customWidth="1"/>
    <col min="45" max="45" width="10.28515625" bestFit="1" customWidth="1"/>
    <col min="46" max="46" width="11" bestFit="1" customWidth="1"/>
    <col min="47" max="47" width="12.85546875" bestFit="1" customWidth="1"/>
  </cols>
  <sheetData>
    <row r="1" spans="1:52" ht="30" x14ac:dyDescent="0.4">
      <c r="B1" s="59" t="s">
        <v>54</v>
      </c>
    </row>
    <row r="3" spans="1:52" x14ac:dyDescent="0.2">
      <c r="C3"/>
      <c r="H3"/>
      <c r="K3"/>
      <c r="N3" t="s">
        <v>55</v>
      </c>
      <c r="O3"/>
      <c r="S3"/>
      <c r="T3"/>
      <c r="U3"/>
      <c r="V3"/>
      <c r="W3" s="87"/>
      <c r="Y3"/>
      <c r="Z3"/>
      <c r="AA3"/>
    </row>
    <row r="4" spans="1:52" ht="15.75" customHeight="1" x14ac:dyDescent="0.2">
      <c r="C4"/>
      <c r="H4"/>
      <c r="K4"/>
      <c r="N4"/>
      <c r="O4"/>
      <c r="S4"/>
      <c r="T4"/>
      <c r="U4"/>
      <c r="V4"/>
      <c r="W4" s="87"/>
      <c r="Y4"/>
      <c r="Z4"/>
      <c r="AA4"/>
    </row>
    <row r="5" spans="1:52" ht="30" x14ac:dyDescent="0.2">
      <c r="C5"/>
      <c r="D5" s="193" t="s">
        <v>458</v>
      </c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5"/>
      <c r="W5" s="87"/>
      <c r="Y5"/>
      <c r="Z5"/>
      <c r="AA5"/>
    </row>
    <row r="6" spans="1:52" ht="30" x14ac:dyDescent="0.2">
      <c r="B6" s="121"/>
      <c r="C6" s="121"/>
      <c r="D6" s="204" t="s">
        <v>106</v>
      </c>
      <c r="E6" s="205"/>
      <c r="F6" s="205"/>
      <c r="G6" s="206"/>
      <c r="H6" s="203" t="s">
        <v>107</v>
      </c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4" t="s">
        <v>105</v>
      </c>
      <c r="T6" s="205"/>
      <c r="U6" s="205"/>
      <c r="V6" s="206"/>
      <c r="W6" s="121"/>
      <c r="X6" s="121"/>
      <c r="Y6" s="202" t="s">
        <v>104</v>
      </c>
      <c r="Z6" s="202"/>
      <c r="AA6" s="202"/>
      <c r="AD6" s="199" t="s">
        <v>205</v>
      </c>
      <c r="AE6" s="200"/>
      <c r="AF6" s="200"/>
      <c r="AG6" s="200"/>
      <c r="AH6" s="200"/>
      <c r="AI6" s="200"/>
      <c r="AJ6" s="200"/>
      <c r="AK6" s="200"/>
      <c r="AL6" s="200"/>
      <c r="AM6" s="200"/>
      <c r="AN6" s="200"/>
      <c r="AO6" s="200"/>
      <c r="AP6" s="200"/>
      <c r="AQ6" s="200"/>
      <c r="AR6" s="200"/>
      <c r="AS6" s="200"/>
      <c r="AT6" s="200"/>
      <c r="AU6" s="201"/>
    </row>
    <row r="7" spans="1:52" s="107" customFormat="1" ht="53.1" customHeight="1" thickBot="1" x14ac:dyDescent="0.25">
      <c r="A7" s="102"/>
      <c r="B7" s="100" t="s">
        <v>11</v>
      </c>
      <c r="C7" s="101" t="s">
        <v>19</v>
      </c>
      <c r="D7" s="122" t="s">
        <v>10</v>
      </c>
      <c r="E7" s="123" t="s">
        <v>43</v>
      </c>
      <c r="F7" s="124" t="s">
        <v>206</v>
      </c>
      <c r="G7" s="125" t="s">
        <v>0</v>
      </c>
      <c r="H7" s="126" t="s">
        <v>327</v>
      </c>
      <c r="I7" s="127" t="s">
        <v>44</v>
      </c>
      <c r="J7" s="128" t="s">
        <v>328</v>
      </c>
      <c r="K7" s="126" t="s">
        <v>329</v>
      </c>
      <c r="L7" s="126" t="s">
        <v>330</v>
      </c>
      <c r="M7" s="126" t="s">
        <v>13</v>
      </c>
      <c r="N7" s="129" t="s">
        <v>331</v>
      </c>
      <c r="O7" s="124" t="s">
        <v>332</v>
      </c>
      <c r="P7" s="124" t="s">
        <v>333</v>
      </c>
      <c r="Q7" s="124" t="s">
        <v>20</v>
      </c>
      <c r="R7" s="125" t="s">
        <v>334</v>
      </c>
      <c r="S7" s="129" t="s">
        <v>99</v>
      </c>
      <c r="T7" s="129" t="s">
        <v>335</v>
      </c>
      <c r="U7" s="124" t="s">
        <v>14</v>
      </c>
      <c r="V7" s="125" t="s">
        <v>15</v>
      </c>
      <c r="W7" s="104" t="s">
        <v>16</v>
      </c>
      <c r="X7" s="104" t="s">
        <v>18</v>
      </c>
      <c r="Y7" s="105" t="s">
        <v>37</v>
      </c>
      <c r="Z7" s="105" t="s">
        <v>86</v>
      </c>
      <c r="AA7" s="103" t="s">
        <v>38</v>
      </c>
      <c r="AB7" s="106"/>
      <c r="AC7" s="106"/>
      <c r="AD7" s="154" t="s">
        <v>326</v>
      </c>
      <c r="AE7" s="113" t="s">
        <v>200</v>
      </c>
      <c r="AF7" s="108" t="s">
        <v>201</v>
      </c>
      <c r="AG7" s="109" t="s">
        <v>52</v>
      </c>
      <c r="AH7" s="110" t="s">
        <v>208</v>
      </c>
      <c r="AI7" s="110" t="s">
        <v>102</v>
      </c>
      <c r="AJ7" s="110" t="s">
        <v>199</v>
      </c>
      <c r="AK7" s="109" t="s">
        <v>50</v>
      </c>
      <c r="AL7" s="111" t="s">
        <v>122</v>
      </c>
      <c r="AM7" s="112" t="s">
        <v>51</v>
      </c>
      <c r="AN7" s="111" t="s">
        <v>121</v>
      </c>
      <c r="AO7" s="111" t="s">
        <v>120</v>
      </c>
      <c r="AP7" s="112" t="s">
        <v>49</v>
      </c>
      <c r="AQ7" s="111" t="s">
        <v>49</v>
      </c>
      <c r="AR7" s="111" t="s">
        <v>196</v>
      </c>
      <c r="AS7" s="111" t="s">
        <v>197</v>
      </c>
      <c r="AT7" s="111" t="s">
        <v>198</v>
      </c>
      <c r="AU7" s="111" t="s">
        <v>108</v>
      </c>
    </row>
    <row r="8" spans="1:52" ht="15" customHeight="1" x14ac:dyDescent="0.2">
      <c r="B8" s="159"/>
      <c r="C8" s="148" t="s">
        <v>438</v>
      </c>
      <c r="D8" s="121" t="s">
        <v>461</v>
      </c>
      <c r="E8" s="158" t="s">
        <v>705</v>
      </c>
      <c r="F8" s="158">
        <v>1108</v>
      </c>
      <c r="G8" s="158">
        <v>9</v>
      </c>
      <c r="H8" s="131">
        <f>VLOOKUP($N8,'UMC Table 4-A'!$A$10:$E$139,4,FALSE)</f>
        <v>2</v>
      </c>
      <c r="I8" s="131" t="str">
        <f>VLOOKUP($N8,'UMC Table 4-A'!$A$10:$E$139,5,FALSE)</f>
        <v>NR</v>
      </c>
      <c r="J8" s="132" t="str">
        <f t="shared" ref="J8:J35" si="0">IF(I8="Yes",L8,"-")</f>
        <v>-</v>
      </c>
      <c r="K8" s="130">
        <v>0</v>
      </c>
      <c r="L8" s="151">
        <f t="shared" ref="L8:L35" si="1">IF(H8&lt;&gt;"NR",ROUNDUP((F8*G8*H8)/60,-1),0)</f>
        <v>340</v>
      </c>
      <c r="M8" s="133">
        <f t="shared" ref="M8:M35" si="2">F8</f>
        <v>1108</v>
      </c>
      <c r="N8" s="114" t="s">
        <v>115</v>
      </c>
      <c r="O8" s="131" t="str">
        <f>VLOOKUP($N8,'UMC Table 4-A'!$A$10:$E$139,2,FALSE)</f>
        <v>NO REQUIREMENT FOR CONTINUOUS DIRECTIONAL CONTROL</v>
      </c>
      <c r="P8" s="149" t="str">
        <f>VLOOKUP($N8,'UMC Table 4-A'!$A$10:$E$139,3,FALSE)</f>
        <v>NR</v>
      </c>
      <c r="Q8" s="151">
        <f t="shared" ref="Q8:Q35" si="3">IF(P8&lt;&gt;"NR",ROUNDUP((F8*G8*P8)/60,-1),0)</f>
        <v>0</v>
      </c>
      <c r="R8" s="149" t="str">
        <f>VLOOKUP($N8,'UMC Table 4-A'!$A$10:$E$139,5,FALSE)</f>
        <v>NR</v>
      </c>
      <c r="S8" s="134">
        <f t="shared" ref="S8:S35" si="4">IF(O8="Negative",IF(OR(N8="Toilet room",N8="Janitor's closet, housekeeping"),0,IF(0.1*V8&gt;50,220-0.1*V8,V8-50)),IF(R8="Yes",0,CEILING(MAX(K8:M8),5)))</f>
        <v>1110</v>
      </c>
      <c r="T8" s="113">
        <v>500</v>
      </c>
      <c r="U8" s="113">
        <v>400</v>
      </c>
      <c r="V8" s="113">
        <f t="shared" ref="V8:V35" si="5">IF(R8="Yes",J8,0)</f>
        <v>0</v>
      </c>
      <c r="W8" s="88">
        <f t="shared" ref="W8:W35" si="6">T8-U8-V8</f>
        <v>100</v>
      </c>
      <c r="X8" s="33" t="str">
        <f t="shared" ref="X8:X35" si="7">IF(S8-U8-V8+W8=0,"Yes","No")</f>
        <v>No</v>
      </c>
      <c r="Y8" s="34">
        <f t="shared" ref="Y8:Y35" si="8">S8/F8</f>
        <v>1.0018050541516246</v>
      </c>
      <c r="Z8" s="70">
        <f t="shared" ref="Z8:Z35" si="9">(Q8/T8)*100</f>
        <v>0</v>
      </c>
      <c r="AA8" s="32">
        <f t="shared" ref="AA8:AA35" si="10">S8/F8/G8*60</f>
        <v>6.6787003610108302</v>
      </c>
      <c r="AD8" s="113" t="s">
        <v>438</v>
      </c>
      <c r="AE8" s="113" t="s">
        <v>203</v>
      </c>
      <c r="AF8" s="113" t="s">
        <v>209</v>
      </c>
      <c r="AG8" s="112">
        <f t="shared" ref="AG8:AG20" si="11">SUMIF($C$8:$C$35,AD8,$T$8:$T$35)</f>
        <v>500</v>
      </c>
      <c r="AH8" s="112">
        <f t="shared" ref="AH8:AH24" si="12">VLOOKUP(AG8,$AX$12:$AY$17,2,TRUE)</f>
        <v>8</v>
      </c>
      <c r="AI8" s="112">
        <f>AH8/2</f>
        <v>4</v>
      </c>
      <c r="AJ8" s="112">
        <v>0.5</v>
      </c>
      <c r="AK8" s="112">
        <v>140</v>
      </c>
      <c r="AL8" s="112">
        <v>100</v>
      </c>
      <c r="AM8" s="112">
        <v>55</v>
      </c>
      <c r="AN8" s="112">
        <v>85</v>
      </c>
      <c r="AO8" s="112">
        <f>MROUND((1.08*(AN8-AM8)*AG8)/1000,0.1)</f>
        <v>16.2</v>
      </c>
      <c r="AP8" s="115">
        <f>(AO8*1000)/(500*(AK8-AL8))</f>
        <v>0.81</v>
      </c>
      <c r="AQ8" s="115">
        <f>IF(AP8&lt;0.5,0.5,AP8)</f>
        <v>0.81</v>
      </c>
      <c r="AR8" s="115">
        <v>5</v>
      </c>
      <c r="AS8" s="115">
        <f t="shared" ref="AS8:AS24" si="13">_xlfn.XLOOKUP(AH8,$AY$12:$AY$17,$AZ$12:$AZ$17,)</f>
        <v>25</v>
      </c>
      <c r="AT8" s="115" t="s">
        <v>823</v>
      </c>
      <c r="AU8" s="112" t="s">
        <v>204</v>
      </c>
    </row>
    <row r="9" spans="1:52" ht="15" customHeight="1" x14ac:dyDescent="0.2">
      <c r="B9" s="160"/>
      <c r="C9" s="148" t="s">
        <v>439</v>
      </c>
      <c r="D9" s="121" t="s">
        <v>461</v>
      </c>
      <c r="E9" s="158" t="s">
        <v>705</v>
      </c>
      <c r="F9" s="158">
        <v>1108</v>
      </c>
      <c r="G9" s="158">
        <v>9</v>
      </c>
      <c r="H9" s="114">
        <f>VLOOKUP($N9,'UMC Table 4-A'!$A$10:$E$139,4,FALSE)</f>
        <v>2</v>
      </c>
      <c r="I9" s="114" t="str">
        <f>VLOOKUP($N9,'UMC Table 4-A'!$A$10:$E$139,5,FALSE)</f>
        <v>NR</v>
      </c>
      <c r="J9" s="111" t="str">
        <f t="shared" si="0"/>
        <v>-</v>
      </c>
      <c r="K9" s="116">
        <v>0</v>
      </c>
      <c r="L9" s="152">
        <f t="shared" si="1"/>
        <v>340</v>
      </c>
      <c r="M9" s="117">
        <f t="shared" si="2"/>
        <v>1108</v>
      </c>
      <c r="N9" s="114" t="s">
        <v>115</v>
      </c>
      <c r="O9" s="114" t="str">
        <f>VLOOKUP($N9,'UMC Table 4-A'!$A$10:$E$139,2,FALSE)</f>
        <v>NO REQUIREMENT FOR CONTINUOUS DIRECTIONAL CONTROL</v>
      </c>
      <c r="P9" s="112" t="str">
        <f>VLOOKUP($N9,'UMC Table 4-A'!$A$10:$E$139,3,FALSE)</f>
        <v>NR</v>
      </c>
      <c r="Q9" s="152">
        <f t="shared" si="3"/>
        <v>0</v>
      </c>
      <c r="R9" s="112" t="str">
        <f>VLOOKUP($N9,'UMC Table 4-A'!$A$10:$E$139,5,FALSE)</f>
        <v>NR</v>
      </c>
      <c r="S9" s="113">
        <f t="shared" si="4"/>
        <v>1110</v>
      </c>
      <c r="T9" s="113">
        <v>500</v>
      </c>
      <c r="U9" s="113">
        <v>210</v>
      </c>
      <c r="V9" s="113">
        <f t="shared" si="5"/>
        <v>0</v>
      </c>
      <c r="W9" s="89">
        <f t="shared" si="6"/>
        <v>290</v>
      </c>
      <c r="X9" s="31" t="str">
        <f t="shared" si="7"/>
        <v>No</v>
      </c>
      <c r="Y9" s="32">
        <f t="shared" si="8"/>
        <v>1.0018050541516246</v>
      </c>
      <c r="Z9" s="70">
        <f t="shared" si="9"/>
        <v>0</v>
      </c>
      <c r="AA9" s="32">
        <f t="shared" si="10"/>
        <v>6.6787003610108302</v>
      </c>
      <c r="AD9" s="113" t="s">
        <v>439</v>
      </c>
      <c r="AE9" s="113" t="s">
        <v>203</v>
      </c>
      <c r="AF9" s="113" t="s">
        <v>209</v>
      </c>
      <c r="AG9" s="112">
        <f t="shared" si="11"/>
        <v>500</v>
      </c>
      <c r="AH9" s="112">
        <f t="shared" si="12"/>
        <v>8</v>
      </c>
      <c r="AI9" s="112">
        <f>AH9/2</f>
        <v>4</v>
      </c>
      <c r="AJ9" s="112">
        <f>AJ8</f>
        <v>0.5</v>
      </c>
      <c r="AK9" s="112">
        <f t="shared" ref="AK9:AN24" si="14">AK8</f>
        <v>140</v>
      </c>
      <c r="AL9" s="112">
        <f t="shared" si="14"/>
        <v>100</v>
      </c>
      <c r="AM9" s="112">
        <f t="shared" si="14"/>
        <v>55</v>
      </c>
      <c r="AN9" s="112">
        <f t="shared" si="14"/>
        <v>85</v>
      </c>
      <c r="AO9" s="112">
        <f>MROUND((1.08*(AN9-AM9)*AG9)/1000,0.1)</f>
        <v>16.2</v>
      </c>
      <c r="AP9" s="115">
        <f>(AO9*1000)/(500*(AK9-AL9))</f>
        <v>0.81</v>
      </c>
      <c r="AQ9" s="115">
        <f t="shared" ref="AQ9:AQ24" si="15">IF(AP9&lt;0.5,0.5,AP9)</f>
        <v>0.81</v>
      </c>
      <c r="AR9" s="115">
        <f>AR8</f>
        <v>5</v>
      </c>
      <c r="AS9" s="115">
        <f t="shared" si="13"/>
        <v>25</v>
      </c>
      <c r="AT9" s="115" t="str">
        <f>AT8</f>
        <v>F5/M-503</v>
      </c>
      <c r="AU9" s="112" t="str">
        <f>AU8</f>
        <v>1, 2</v>
      </c>
    </row>
    <row r="10" spans="1:52" ht="15" customHeight="1" x14ac:dyDescent="0.25">
      <c r="B10" s="160"/>
      <c r="C10" s="163" t="s">
        <v>439</v>
      </c>
      <c r="D10" s="121" t="s">
        <v>816</v>
      </c>
      <c r="E10" s="158" t="s">
        <v>817</v>
      </c>
      <c r="F10" s="158">
        <v>61</v>
      </c>
      <c r="G10" s="158">
        <v>8</v>
      </c>
      <c r="H10" s="114">
        <f>VLOOKUP($N10,'UMC Table 4-A'!$A$10:$E$139,4,FALSE)</f>
        <v>10</v>
      </c>
      <c r="I10" s="114" t="str">
        <f>VLOOKUP($N10,'UMC Table 4-A'!$A$10:$E$139,5,FALSE)</f>
        <v>YES</v>
      </c>
      <c r="J10" s="111">
        <f t="shared" si="0"/>
        <v>90</v>
      </c>
      <c r="K10" s="116">
        <v>0</v>
      </c>
      <c r="L10" s="152">
        <f t="shared" si="1"/>
        <v>90</v>
      </c>
      <c r="M10" s="117">
        <f t="shared" si="2"/>
        <v>61</v>
      </c>
      <c r="N10" s="114" t="s">
        <v>94</v>
      </c>
      <c r="O10" s="114" t="str">
        <f>VLOOKUP($N10,'UMC Table 4-A'!$A$10:$E$139,2,FALSE)</f>
        <v>NEGATIVE</v>
      </c>
      <c r="P10" s="112" t="str">
        <f>VLOOKUP($N10,'UMC Table 4-A'!$A$10:$E$139,3,FALSE)</f>
        <v>NR</v>
      </c>
      <c r="Q10" s="152">
        <f t="shared" si="3"/>
        <v>0</v>
      </c>
      <c r="R10" s="112" t="str">
        <f>VLOOKUP($N10,'UMC Table 4-A'!$A$10:$E$139,5,FALSE)</f>
        <v>YES</v>
      </c>
      <c r="S10" s="113">
        <f t="shared" si="4"/>
        <v>0</v>
      </c>
      <c r="T10" s="113">
        <v>0</v>
      </c>
      <c r="U10" s="113">
        <f t="shared" ref="U10:U35" si="16">IF(R10="Yes",0,IF(O10="Positive",IF(0.1*S10&gt;50,S10-0.1*S10,S10-50),IF(O10="Negative",IF(0.1*S10&gt;50,S10+0.1*S10,S10+50),S10)))</f>
        <v>0</v>
      </c>
      <c r="V10" s="113">
        <f t="shared" si="5"/>
        <v>90</v>
      </c>
      <c r="W10" s="89">
        <f t="shared" si="6"/>
        <v>-90</v>
      </c>
      <c r="X10" s="31" t="str">
        <f t="shared" si="7"/>
        <v>No</v>
      </c>
      <c r="Y10" s="32">
        <f t="shared" si="8"/>
        <v>0</v>
      </c>
      <c r="Z10" s="70" t="e">
        <f t="shared" si="9"/>
        <v>#DIV/0!</v>
      </c>
      <c r="AA10" s="32">
        <f t="shared" si="10"/>
        <v>0</v>
      </c>
      <c r="AD10" s="113" t="s">
        <v>440</v>
      </c>
      <c r="AE10" s="113" t="s">
        <v>203</v>
      </c>
      <c r="AF10" s="113" t="s">
        <v>209</v>
      </c>
      <c r="AG10" s="112">
        <f t="shared" si="11"/>
        <v>125</v>
      </c>
      <c r="AH10" s="112">
        <f t="shared" si="12"/>
        <v>6</v>
      </c>
      <c r="AI10" s="112">
        <f t="shared" ref="AI10:AI24" si="17">AH10/2</f>
        <v>3</v>
      </c>
      <c r="AJ10" s="112">
        <f t="shared" ref="AJ10:AJ24" si="18">AJ9</f>
        <v>0.5</v>
      </c>
      <c r="AK10" s="112">
        <f t="shared" si="14"/>
        <v>140</v>
      </c>
      <c r="AL10" s="112">
        <f t="shared" si="14"/>
        <v>100</v>
      </c>
      <c r="AM10" s="112">
        <f t="shared" si="14"/>
        <v>55</v>
      </c>
      <c r="AN10" s="112">
        <f t="shared" si="14"/>
        <v>85</v>
      </c>
      <c r="AO10" s="112">
        <f t="shared" ref="AO10:AO24" si="19">MROUND((1.08*(AN10-AM10)*AG10)/1000,0.1)</f>
        <v>4.1000000000000005</v>
      </c>
      <c r="AP10" s="115">
        <f t="shared" ref="AP10:AP24" si="20">(AO10*1000)/(500*(AK10-AL10))</f>
        <v>0.20500000000000004</v>
      </c>
      <c r="AQ10" s="115">
        <f t="shared" si="15"/>
        <v>0.5</v>
      </c>
      <c r="AR10" s="115">
        <f t="shared" ref="AR10:AR24" si="21">AR9</f>
        <v>5</v>
      </c>
      <c r="AS10" s="115">
        <f t="shared" si="13"/>
        <v>20</v>
      </c>
      <c r="AT10" s="115" t="str">
        <f t="shared" ref="AT10:AU24" si="22">AT9</f>
        <v>F5/M-503</v>
      </c>
      <c r="AU10" s="112" t="str">
        <f t="shared" si="22"/>
        <v>1, 2</v>
      </c>
      <c r="AX10" s="196" t="s">
        <v>88</v>
      </c>
      <c r="AY10" s="197"/>
      <c r="AZ10" s="198"/>
    </row>
    <row r="11" spans="1:52" ht="15" customHeight="1" x14ac:dyDescent="0.2">
      <c r="B11" s="160"/>
      <c r="C11" s="148" t="s">
        <v>440</v>
      </c>
      <c r="D11" s="121" t="s">
        <v>706</v>
      </c>
      <c r="E11" s="158" t="s">
        <v>707</v>
      </c>
      <c r="F11" s="158">
        <v>122</v>
      </c>
      <c r="G11" s="158">
        <v>9</v>
      </c>
      <c r="H11" s="114">
        <f>VLOOKUP($N11,'UMC Table 4-A'!$A$10:$E$139,4,FALSE)</f>
        <v>6</v>
      </c>
      <c r="I11" s="114" t="str">
        <f>VLOOKUP($N11,'UMC Table 4-A'!$A$10:$E$139,5,FALSE)</f>
        <v>NR</v>
      </c>
      <c r="J11" s="111" t="str">
        <f t="shared" si="0"/>
        <v>-</v>
      </c>
      <c r="K11" s="116">
        <v>0</v>
      </c>
      <c r="L11" s="152">
        <f t="shared" si="1"/>
        <v>110</v>
      </c>
      <c r="M11" s="117">
        <f t="shared" si="2"/>
        <v>122</v>
      </c>
      <c r="N11" s="114" t="s">
        <v>91</v>
      </c>
      <c r="O11" s="114" t="str">
        <f>VLOOKUP($N11,'UMC Table 4-A'!$A$10:$E$139,2,FALSE)</f>
        <v>NO REQUIREMENT FOR CONTINUOUS DIRECTIONAL CONTROL</v>
      </c>
      <c r="P11" s="112">
        <f>VLOOKUP($N11,'UMC Table 4-A'!$A$10:$E$139,3,FALSE)</f>
        <v>2</v>
      </c>
      <c r="Q11" s="152">
        <f t="shared" si="3"/>
        <v>40</v>
      </c>
      <c r="R11" s="112" t="str">
        <f>VLOOKUP($N11,'UMC Table 4-A'!$A$10:$E$139,5,FALSE)</f>
        <v>NR</v>
      </c>
      <c r="S11" s="113">
        <f t="shared" si="4"/>
        <v>125</v>
      </c>
      <c r="T11" s="113">
        <f t="shared" ref="T11:T35" si="23">S11</f>
        <v>125</v>
      </c>
      <c r="U11" s="113">
        <f t="shared" si="16"/>
        <v>125</v>
      </c>
      <c r="V11" s="113">
        <f t="shared" si="5"/>
        <v>0</v>
      </c>
      <c r="W11" s="89">
        <f t="shared" si="6"/>
        <v>0</v>
      </c>
      <c r="X11" s="31" t="str">
        <f t="shared" si="7"/>
        <v>Yes</v>
      </c>
      <c r="Y11" s="32">
        <f t="shared" si="8"/>
        <v>1.0245901639344261</v>
      </c>
      <c r="Z11" s="70">
        <f t="shared" si="9"/>
        <v>32</v>
      </c>
      <c r="AA11" s="32">
        <f t="shared" si="10"/>
        <v>6.8306010928961749</v>
      </c>
      <c r="AD11" s="113" t="s">
        <v>441</v>
      </c>
      <c r="AE11" s="113" t="s">
        <v>203</v>
      </c>
      <c r="AF11" s="113" t="s">
        <v>209</v>
      </c>
      <c r="AG11" s="112">
        <f t="shared" si="11"/>
        <v>115</v>
      </c>
      <c r="AH11" s="112">
        <f t="shared" si="12"/>
        <v>6</v>
      </c>
      <c r="AI11" s="112">
        <f t="shared" si="17"/>
        <v>3</v>
      </c>
      <c r="AJ11" s="112">
        <f t="shared" si="18"/>
        <v>0.5</v>
      </c>
      <c r="AK11" s="112">
        <f t="shared" si="14"/>
        <v>140</v>
      </c>
      <c r="AL11" s="112">
        <f t="shared" si="14"/>
        <v>100</v>
      </c>
      <c r="AM11" s="112">
        <f t="shared" si="14"/>
        <v>55</v>
      </c>
      <c r="AN11" s="112">
        <f t="shared" si="14"/>
        <v>85</v>
      </c>
      <c r="AO11" s="112">
        <f t="shared" si="19"/>
        <v>3.7</v>
      </c>
      <c r="AP11" s="115">
        <f t="shared" si="20"/>
        <v>0.185</v>
      </c>
      <c r="AQ11" s="115">
        <f t="shared" si="15"/>
        <v>0.5</v>
      </c>
      <c r="AR11" s="115">
        <f t="shared" si="21"/>
        <v>5</v>
      </c>
      <c r="AS11" s="115">
        <f t="shared" si="13"/>
        <v>20</v>
      </c>
      <c r="AT11" s="115" t="str">
        <f t="shared" si="22"/>
        <v>F5/M-503</v>
      </c>
      <c r="AU11" s="112" t="str">
        <f t="shared" si="22"/>
        <v>1, 2</v>
      </c>
      <c r="AX11" s="71" t="s">
        <v>52</v>
      </c>
      <c r="AY11" s="72" t="s">
        <v>89</v>
      </c>
      <c r="AZ11" s="72" t="s">
        <v>202</v>
      </c>
    </row>
    <row r="12" spans="1:52" ht="15" customHeight="1" x14ac:dyDescent="0.2">
      <c r="B12" s="160"/>
      <c r="C12" s="148" t="s">
        <v>441</v>
      </c>
      <c r="D12" s="121" t="s">
        <v>706</v>
      </c>
      <c r="E12" s="158" t="s">
        <v>708</v>
      </c>
      <c r="F12" s="158">
        <v>115</v>
      </c>
      <c r="G12" s="158">
        <v>9</v>
      </c>
      <c r="H12" s="114">
        <f>VLOOKUP($N12,'UMC Table 4-A'!$A$10:$E$139,4,FALSE)</f>
        <v>6</v>
      </c>
      <c r="I12" s="114" t="str">
        <f>VLOOKUP($N12,'UMC Table 4-A'!$A$10:$E$139,5,FALSE)</f>
        <v>NR</v>
      </c>
      <c r="J12" s="111" t="str">
        <f t="shared" si="0"/>
        <v>-</v>
      </c>
      <c r="K12" s="116">
        <v>0</v>
      </c>
      <c r="L12" s="152">
        <f t="shared" si="1"/>
        <v>110</v>
      </c>
      <c r="M12" s="117">
        <f t="shared" si="2"/>
        <v>115</v>
      </c>
      <c r="N12" s="114" t="s">
        <v>91</v>
      </c>
      <c r="O12" s="114" t="str">
        <f>VLOOKUP($N12,'UMC Table 4-A'!$A$10:$E$139,2,FALSE)</f>
        <v>NO REQUIREMENT FOR CONTINUOUS DIRECTIONAL CONTROL</v>
      </c>
      <c r="P12" s="112">
        <f>VLOOKUP($N12,'UMC Table 4-A'!$A$10:$E$139,3,FALSE)</f>
        <v>2</v>
      </c>
      <c r="Q12" s="152">
        <f t="shared" si="3"/>
        <v>40</v>
      </c>
      <c r="R12" s="112" t="str">
        <f>VLOOKUP($N12,'UMC Table 4-A'!$A$10:$E$139,5,FALSE)</f>
        <v>NR</v>
      </c>
      <c r="S12" s="113">
        <f t="shared" si="4"/>
        <v>115</v>
      </c>
      <c r="T12" s="113">
        <f t="shared" si="23"/>
        <v>115</v>
      </c>
      <c r="U12" s="113">
        <f t="shared" si="16"/>
        <v>115</v>
      </c>
      <c r="V12" s="113">
        <f t="shared" si="5"/>
        <v>0</v>
      </c>
      <c r="W12" s="89">
        <f t="shared" si="6"/>
        <v>0</v>
      </c>
      <c r="X12" s="31" t="str">
        <f t="shared" si="7"/>
        <v>Yes</v>
      </c>
      <c r="Y12" s="32">
        <f t="shared" si="8"/>
        <v>1</v>
      </c>
      <c r="Z12" s="70">
        <f t="shared" si="9"/>
        <v>34.782608695652172</v>
      </c>
      <c r="AA12" s="32">
        <f t="shared" si="10"/>
        <v>6.6666666666666661</v>
      </c>
      <c r="AD12" s="113" t="s">
        <v>442</v>
      </c>
      <c r="AE12" s="113" t="s">
        <v>203</v>
      </c>
      <c r="AF12" s="113" t="s">
        <v>209</v>
      </c>
      <c r="AG12" s="112">
        <f t="shared" si="11"/>
        <v>495</v>
      </c>
      <c r="AH12" s="112">
        <f t="shared" si="12"/>
        <v>8</v>
      </c>
      <c r="AI12" s="112">
        <f t="shared" si="17"/>
        <v>4</v>
      </c>
      <c r="AJ12" s="112">
        <f t="shared" si="18"/>
        <v>0.5</v>
      </c>
      <c r="AK12" s="112">
        <f t="shared" si="14"/>
        <v>140</v>
      </c>
      <c r="AL12" s="112">
        <f t="shared" si="14"/>
        <v>100</v>
      </c>
      <c r="AM12" s="112">
        <f t="shared" si="14"/>
        <v>55</v>
      </c>
      <c r="AN12" s="112">
        <f t="shared" si="14"/>
        <v>85</v>
      </c>
      <c r="AO12" s="112">
        <f t="shared" si="19"/>
        <v>16</v>
      </c>
      <c r="AP12" s="115">
        <f t="shared" si="20"/>
        <v>0.8</v>
      </c>
      <c r="AQ12" s="115">
        <f t="shared" si="15"/>
        <v>0.8</v>
      </c>
      <c r="AR12" s="115">
        <f t="shared" si="21"/>
        <v>5</v>
      </c>
      <c r="AS12" s="115">
        <f t="shared" si="13"/>
        <v>25</v>
      </c>
      <c r="AT12" s="115" t="str">
        <f t="shared" si="22"/>
        <v>F5/M-503</v>
      </c>
      <c r="AU12" s="112" t="str">
        <f t="shared" si="22"/>
        <v>1, 2</v>
      </c>
      <c r="AX12" s="60">
        <v>1</v>
      </c>
      <c r="AY12" s="73">
        <v>6</v>
      </c>
      <c r="AZ12" s="73">
        <v>20</v>
      </c>
    </row>
    <row r="13" spans="1:52" ht="15" customHeight="1" x14ac:dyDescent="0.2">
      <c r="B13" s="160"/>
      <c r="C13" s="148" t="s">
        <v>442</v>
      </c>
      <c r="D13" s="121" t="s">
        <v>461</v>
      </c>
      <c r="E13" s="158" t="s">
        <v>709</v>
      </c>
      <c r="F13" s="158">
        <v>191</v>
      </c>
      <c r="G13" s="158">
        <v>9</v>
      </c>
      <c r="H13" s="114">
        <f>VLOOKUP($N13,'UMC Table 4-A'!$A$10:$E$139,4,FALSE)</f>
        <v>2</v>
      </c>
      <c r="I13" s="114" t="str">
        <f>VLOOKUP($N13,'UMC Table 4-A'!$A$10:$E$139,5,FALSE)</f>
        <v>NR</v>
      </c>
      <c r="J13" s="111" t="str">
        <f t="shared" si="0"/>
        <v>-</v>
      </c>
      <c r="K13" s="116">
        <v>0</v>
      </c>
      <c r="L13" s="152">
        <f t="shared" si="1"/>
        <v>60</v>
      </c>
      <c r="M13" s="117">
        <f t="shared" si="2"/>
        <v>191</v>
      </c>
      <c r="N13" s="114" t="s">
        <v>115</v>
      </c>
      <c r="O13" s="114" t="str">
        <f>VLOOKUP($N13,'UMC Table 4-A'!$A$10:$E$139,2,FALSE)</f>
        <v>NO REQUIREMENT FOR CONTINUOUS DIRECTIONAL CONTROL</v>
      </c>
      <c r="P13" s="112" t="str">
        <f>VLOOKUP($N13,'UMC Table 4-A'!$A$10:$E$139,3,FALSE)</f>
        <v>NR</v>
      </c>
      <c r="Q13" s="152">
        <f t="shared" si="3"/>
        <v>0</v>
      </c>
      <c r="R13" s="112" t="str">
        <f>VLOOKUP($N13,'UMC Table 4-A'!$A$10:$E$139,5,FALSE)</f>
        <v>NR</v>
      </c>
      <c r="S13" s="113">
        <f t="shared" si="4"/>
        <v>195</v>
      </c>
      <c r="T13" s="113">
        <f t="shared" si="23"/>
        <v>195</v>
      </c>
      <c r="U13" s="113">
        <v>185</v>
      </c>
      <c r="V13" s="113">
        <f t="shared" si="5"/>
        <v>0</v>
      </c>
      <c r="W13" s="89">
        <f t="shared" si="6"/>
        <v>10</v>
      </c>
      <c r="X13" s="31" t="str">
        <f t="shared" si="7"/>
        <v>No</v>
      </c>
      <c r="Y13" s="32">
        <f t="shared" si="8"/>
        <v>1.0209424083769634</v>
      </c>
      <c r="Z13" s="70">
        <f t="shared" si="9"/>
        <v>0</v>
      </c>
      <c r="AA13" s="32">
        <f t="shared" si="10"/>
        <v>6.8062827225130889</v>
      </c>
      <c r="AD13" s="113" t="s">
        <v>443</v>
      </c>
      <c r="AE13" s="113" t="s">
        <v>203</v>
      </c>
      <c r="AF13" s="113" t="s">
        <v>209</v>
      </c>
      <c r="AG13" s="112">
        <f t="shared" si="11"/>
        <v>220</v>
      </c>
      <c r="AH13" s="112">
        <f t="shared" si="12"/>
        <v>6</v>
      </c>
      <c r="AI13" s="112">
        <f t="shared" si="17"/>
        <v>3</v>
      </c>
      <c r="AJ13" s="112">
        <f t="shared" si="18"/>
        <v>0.5</v>
      </c>
      <c r="AK13" s="112">
        <f t="shared" si="14"/>
        <v>140</v>
      </c>
      <c r="AL13" s="112">
        <f t="shared" si="14"/>
        <v>100</v>
      </c>
      <c r="AM13" s="112">
        <f t="shared" si="14"/>
        <v>55</v>
      </c>
      <c r="AN13" s="112">
        <f t="shared" si="14"/>
        <v>85</v>
      </c>
      <c r="AO13" s="112">
        <f t="shared" si="19"/>
        <v>7.1000000000000005</v>
      </c>
      <c r="AP13" s="115">
        <f t="shared" si="20"/>
        <v>0.35500000000000004</v>
      </c>
      <c r="AQ13" s="115">
        <f t="shared" si="15"/>
        <v>0.5</v>
      </c>
      <c r="AR13" s="115">
        <f t="shared" si="21"/>
        <v>5</v>
      </c>
      <c r="AS13" s="115">
        <f t="shared" si="13"/>
        <v>20</v>
      </c>
      <c r="AT13" s="115" t="str">
        <f t="shared" si="22"/>
        <v>F5/M-503</v>
      </c>
      <c r="AU13" s="112" t="str">
        <f t="shared" si="22"/>
        <v>1, 2</v>
      </c>
      <c r="AX13" s="60">
        <v>400</v>
      </c>
      <c r="AY13" s="73">
        <v>8</v>
      </c>
      <c r="AZ13" s="73">
        <v>25</v>
      </c>
    </row>
    <row r="14" spans="1:52" ht="15" customHeight="1" x14ac:dyDescent="0.2">
      <c r="B14" s="160"/>
      <c r="C14" s="148" t="s">
        <v>442</v>
      </c>
      <c r="D14" s="121" t="s">
        <v>490</v>
      </c>
      <c r="E14" s="158" t="s">
        <v>710</v>
      </c>
      <c r="F14" s="158">
        <v>151</v>
      </c>
      <c r="G14" s="158">
        <v>9</v>
      </c>
      <c r="H14" s="114">
        <f>VLOOKUP($N14,'UMC Table 4-A'!$A$10:$E$139,4,FALSE)</f>
        <v>6</v>
      </c>
      <c r="I14" s="114" t="str">
        <f>VLOOKUP($N14,'UMC Table 4-A'!$A$10:$E$139,5,FALSE)</f>
        <v>NR</v>
      </c>
      <c r="J14" s="111" t="str">
        <f t="shared" si="0"/>
        <v>-</v>
      </c>
      <c r="K14" s="116">
        <v>0</v>
      </c>
      <c r="L14" s="152">
        <f t="shared" si="1"/>
        <v>140</v>
      </c>
      <c r="M14" s="117">
        <f t="shared" si="2"/>
        <v>151</v>
      </c>
      <c r="N14" s="114" t="s">
        <v>91</v>
      </c>
      <c r="O14" s="114" t="str">
        <f>VLOOKUP($N14,'UMC Table 4-A'!$A$10:$E$139,2,FALSE)</f>
        <v>NO REQUIREMENT FOR CONTINUOUS DIRECTIONAL CONTROL</v>
      </c>
      <c r="P14" s="112">
        <f>VLOOKUP($N14,'UMC Table 4-A'!$A$10:$E$139,3,FALSE)</f>
        <v>2</v>
      </c>
      <c r="Q14" s="152">
        <f t="shared" si="3"/>
        <v>50</v>
      </c>
      <c r="R14" s="112" t="str">
        <f>VLOOKUP($N14,'UMC Table 4-A'!$A$10:$E$139,5,FALSE)</f>
        <v>NR</v>
      </c>
      <c r="S14" s="113">
        <f t="shared" si="4"/>
        <v>155</v>
      </c>
      <c r="T14" s="113">
        <f t="shared" si="23"/>
        <v>155</v>
      </c>
      <c r="U14" s="113">
        <v>0</v>
      </c>
      <c r="V14" s="113">
        <f t="shared" si="5"/>
        <v>0</v>
      </c>
      <c r="W14" s="89">
        <f t="shared" si="6"/>
        <v>155</v>
      </c>
      <c r="X14" s="31" t="str">
        <f t="shared" si="7"/>
        <v>No</v>
      </c>
      <c r="Y14" s="32">
        <f t="shared" si="8"/>
        <v>1.0264900662251655</v>
      </c>
      <c r="Z14" s="70">
        <f t="shared" si="9"/>
        <v>32.258064516129032</v>
      </c>
      <c r="AA14" s="32">
        <f t="shared" si="10"/>
        <v>6.8432671081677698</v>
      </c>
      <c r="AD14" s="113" t="s">
        <v>444</v>
      </c>
      <c r="AE14" s="113" t="s">
        <v>203</v>
      </c>
      <c r="AF14" s="113" t="s">
        <v>209</v>
      </c>
      <c r="AG14" s="112">
        <f t="shared" si="11"/>
        <v>115</v>
      </c>
      <c r="AH14" s="112">
        <f t="shared" si="12"/>
        <v>6</v>
      </c>
      <c r="AI14" s="112">
        <f t="shared" si="17"/>
        <v>3</v>
      </c>
      <c r="AJ14" s="112">
        <f t="shared" si="18"/>
        <v>0.5</v>
      </c>
      <c r="AK14" s="112">
        <f t="shared" si="14"/>
        <v>140</v>
      </c>
      <c r="AL14" s="112">
        <f t="shared" si="14"/>
        <v>100</v>
      </c>
      <c r="AM14" s="112">
        <f t="shared" si="14"/>
        <v>55</v>
      </c>
      <c r="AN14" s="112">
        <f t="shared" si="14"/>
        <v>85</v>
      </c>
      <c r="AO14" s="112">
        <f t="shared" si="19"/>
        <v>3.7</v>
      </c>
      <c r="AP14" s="115">
        <f t="shared" si="20"/>
        <v>0.185</v>
      </c>
      <c r="AQ14" s="115">
        <f t="shared" si="15"/>
        <v>0.5</v>
      </c>
      <c r="AR14" s="115">
        <f t="shared" si="21"/>
        <v>5</v>
      </c>
      <c r="AS14" s="115">
        <f t="shared" si="13"/>
        <v>20</v>
      </c>
      <c r="AT14" s="115" t="str">
        <f t="shared" si="22"/>
        <v>F5/M-503</v>
      </c>
      <c r="AU14" s="112" t="str">
        <f t="shared" si="22"/>
        <v>1, 2</v>
      </c>
      <c r="AX14" s="60">
        <v>700</v>
      </c>
      <c r="AY14" s="73">
        <v>10</v>
      </c>
      <c r="AZ14" s="73">
        <v>30</v>
      </c>
    </row>
    <row r="15" spans="1:52" ht="15" customHeight="1" x14ac:dyDescent="0.2">
      <c r="B15" s="160"/>
      <c r="C15" s="148" t="s">
        <v>442</v>
      </c>
      <c r="D15" s="121" t="s">
        <v>461</v>
      </c>
      <c r="E15" s="158" t="s">
        <v>711</v>
      </c>
      <c r="F15" s="158">
        <v>145</v>
      </c>
      <c r="G15" s="158">
        <v>9</v>
      </c>
      <c r="H15" s="114">
        <f>VLOOKUP($N15,'UMC Table 4-A'!$A$10:$E$139,4,FALSE)</f>
        <v>2</v>
      </c>
      <c r="I15" s="114" t="str">
        <f>VLOOKUP($N15,'UMC Table 4-A'!$A$10:$E$139,5,FALSE)</f>
        <v>NR</v>
      </c>
      <c r="J15" s="111" t="str">
        <f t="shared" si="0"/>
        <v>-</v>
      </c>
      <c r="K15" s="116">
        <v>0</v>
      </c>
      <c r="L15" s="152">
        <f t="shared" si="1"/>
        <v>50</v>
      </c>
      <c r="M15" s="117">
        <f t="shared" si="2"/>
        <v>145</v>
      </c>
      <c r="N15" s="114" t="s">
        <v>115</v>
      </c>
      <c r="O15" s="114" t="str">
        <f>VLOOKUP($N15,'UMC Table 4-A'!$A$10:$E$139,2,FALSE)</f>
        <v>NO REQUIREMENT FOR CONTINUOUS DIRECTIONAL CONTROL</v>
      </c>
      <c r="P15" s="112" t="str">
        <f>VLOOKUP($N15,'UMC Table 4-A'!$A$10:$E$139,3,FALSE)</f>
        <v>NR</v>
      </c>
      <c r="Q15" s="152">
        <f t="shared" si="3"/>
        <v>0</v>
      </c>
      <c r="R15" s="112" t="str">
        <f>VLOOKUP($N15,'UMC Table 4-A'!$A$10:$E$139,5,FALSE)</f>
        <v>NR</v>
      </c>
      <c r="S15" s="113">
        <f t="shared" si="4"/>
        <v>145</v>
      </c>
      <c r="T15" s="113">
        <f t="shared" si="23"/>
        <v>145</v>
      </c>
      <c r="U15" s="113">
        <v>130</v>
      </c>
      <c r="V15" s="113">
        <f t="shared" si="5"/>
        <v>0</v>
      </c>
      <c r="W15" s="89">
        <f t="shared" si="6"/>
        <v>15</v>
      </c>
      <c r="X15" s="31" t="str">
        <f t="shared" si="7"/>
        <v>No</v>
      </c>
      <c r="Y15" s="32">
        <f t="shared" si="8"/>
        <v>1</v>
      </c>
      <c r="Z15" s="70">
        <f t="shared" si="9"/>
        <v>0</v>
      </c>
      <c r="AA15" s="32">
        <f t="shared" si="10"/>
        <v>6.6666666666666661</v>
      </c>
      <c r="AD15" s="113" t="s">
        <v>445</v>
      </c>
      <c r="AE15" s="113" t="s">
        <v>203</v>
      </c>
      <c r="AF15" s="113" t="s">
        <v>209</v>
      </c>
      <c r="AG15" s="112">
        <f t="shared" si="11"/>
        <v>120</v>
      </c>
      <c r="AH15" s="112">
        <f t="shared" si="12"/>
        <v>6</v>
      </c>
      <c r="AI15" s="112">
        <f t="shared" si="17"/>
        <v>3</v>
      </c>
      <c r="AJ15" s="112">
        <f t="shared" si="18"/>
        <v>0.5</v>
      </c>
      <c r="AK15" s="112">
        <f t="shared" si="14"/>
        <v>140</v>
      </c>
      <c r="AL15" s="112">
        <f t="shared" si="14"/>
        <v>100</v>
      </c>
      <c r="AM15" s="112">
        <f t="shared" si="14"/>
        <v>55</v>
      </c>
      <c r="AN15" s="112">
        <f t="shared" si="14"/>
        <v>85</v>
      </c>
      <c r="AO15" s="112">
        <f>MROUND((1.08*(AN15-AM15)*AG15)/1000,0.1)</f>
        <v>3.9000000000000004</v>
      </c>
      <c r="AP15" s="115">
        <f t="shared" si="20"/>
        <v>0.19500000000000003</v>
      </c>
      <c r="AQ15" s="115">
        <f t="shared" si="15"/>
        <v>0.5</v>
      </c>
      <c r="AR15" s="115">
        <f t="shared" si="21"/>
        <v>5</v>
      </c>
      <c r="AS15" s="115">
        <f t="shared" si="13"/>
        <v>20</v>
      </c>
      <c r="AT15" s="115" t="str">
        <f t="shared" si="22"/>
        <v>F5/M-503</v>
      </c>
      <c r="AU15" s="112" t="str">
        <f t="shared" si="22"/>
        <v>1, 2</v>
      </c>
      <c r="AX15" s="60">
        <v>1000</v>
      </c>
      <c r="AY15" s="73">
        <v>12</v>
      </c>
      <c r="AZ15" s="73">
        <v>40</v>
      </c>
    </row>
    <row r="16" spans="1:52" ht="15" customHeight="1" x14ac:dyDescent="0.2">
      <c r="B16" s="160"/>
      <c r="C16" s="163" t="s">
        <v>442</v>
      </c>
      <c r="D16" s="121" t="s">
        <v>735</v>
      </c>
      <c r="E16" s="158" t="s">
        <v>811</v>
      </c>
      <c r="F16" s="158">
        <v>69</v>
      </c>
      <c r="G16" s="158">
        <v>8</v>
      </c>
      <c r="H16" s="114">
        <f>VLOOKUP($N16,'UMC Table 4-A'!$A$10:$E$139,4,FALSE)</f>
        <v>10</v>
      </c>
      <c r="I16" s="114" t="str">
        <f>VLOOKUP($N16,'UMC Table 4-A'!$A$10:$E$139,5,FALSE)</f>
        <v>YES</v>
      </c>
      <c r="J16" s="111">
        <f t="shared" si="0"/>
        <v>100</v>
      </c>
      <c r="K16" s="116">
        <v>0</v>
      </c>
      <c r="L16" s="152">
        <f t="shared" si="1"/>
        <v>100</v>
      </c>
      <c r="M16" s="117">
        <f t="shared" si="2"/>
        <v>69</v>
      </c>
      <c r="N16" s="114" t="s">
        <v>94</v>
      </c>
      <c r="O16" s="114" t="str">
        <f>VLOOKUP($N16,'UMC Table 4-A'!$A$10:$E$139,2,FALSE)</f>
        <v>NEGATIVE</v>
      </c>
      <c r="P16" s="112" t="str">
        <f>VLOOKUP($N16,'UMC Table 4-A'!$A$10:$E$139,3,FALSE)</f>
        <v>NR</v>
      </c>
      <c r="Q16" s="152">
        <f t="shared" si="3"/>
        <v>0</v>
      </c>
      <c r="R16" s="112" t="str">
        <f>VLOOKUP($N16,'UMC Table 4-A'!$A$10:$E$139,5,FALSE)</f>
        <v>YES</v>
      </c>
      <c r="S16" s="113">
        <f t="shared" si="4"/>
        <v>0</v>
      </c>
      <c r="T16" s="113">
        <f t="shared" si="23"/>
        <v>0</v>
      </c>
      <c r="U16" s="113">
        <f t="shared" si="16"/>
        <v>0</v>
      </c>
      <c r="V16" s="113">
        <f t="shared" si="5"/>
        <v>100</v>
      </c>
      <c r="W16" s="89">
        <f t="shared" si="6"/>
        <v>-100</v>
      </c>
      <c r="X16" s="31" t="str">
        <f t="shared" si="7"/>
        <v>No</v>
      </c>
      <c r="Y16" s="32">
        <f t="shared" si="8"/>
        <v>0</v>
      </c>
      <c r="Z16" s="70" t="e">
        <f t="shared" si="9"/>
        <v>#DIV/0!</v>
      </c>
      <c r="AA16" s="32">
        <f t="shared" si="10"/>
        <v>0</v>
      </c>
      <c r="AD16" s="113" t="s">
        <v>446</v>
      </c>
      <c r="AE16" s="113" t="s">
        <v>203</v>
      </c>
      <c r="AF16" s="113" t="s">
        <v>209</v>
      </c>
      <c r="AG16" s="112">
        <f t="shared" si="11"/>
        <v>245</v>
      </c>
      <c r="AH16" s="112">
        <f t="shared" si="12"/>
        <v>6</v>
      </c>
      <c r="AI16" s="112">
        <f t="shared" si="17"/>
        <v>3</v>
      </c>
      <c r="AJ16" s="112">
        <f t="shared" si="18"/>
        <v>0.5</v>
      </c>
      <c r="AK16" s="112">
        <f t="shared" si="14"/>
        <v>140</v>
      </c>
      <c r="AL16" s="112">
        <f t="shared" si="14"/>
        <v>100</v>
      </c>
      <c r="AM16" s="112">
        <f t="shared" si="14"/>
        <v>55</v>
      </c>
      <c r="AN16" s="112">
        <f t="shared" si="14"/>
        <v>85</v>
      </c>
      <c r="AO16" s="112">
        <f t="shared" si="19"/>
        <v>7.9</v>
      </c>
      <c r="AP16" s="115">
        <f t="shared" si="20"/>
        <v>0.39500000000000002</v>
      </c>
      <c r="AQ16" s="115">
        <f t="shared" si="15"/>
        <v>0.5</v>
      </c>
      <c r="AR16" s="115">
        <f t="shared" si="21"/>
        <v>5</v>
      </c>
      <c r="AS16" s="115">
        <f t="shared" si="13"/>
        <v>20</v>
      </c>
      <c r="AT16" s="115" t="str">
        <f t="shared" si="22"/>
        <v>F5/M-503</v>
      </c>
      <c r="AU16" s="112" t="str">
        <f t="shared" si="22"/>
        <v>1, 2</v>
      </c>
      <c r="AX16" s="60">
        <v>1500</v>
      </c>
      <c r="AY16" s="73">
        <v>14</v>
      </c>
      <c r="AZ16" s="73">
        <v>50</v>
      </c>
    </row>
    <row r="17" spans="2:52" ht="15" customHeight="1" thickBot="1" x14ac:dyDescent="0.25">
      <c r="B17" s="160"/>
      <c r="C17" s="163" t="s">
        <v>442</v>
      </c>
      <c r="D17" s="121" t="s">
        <v>739</v>
      </c>
      <c r="E17" s="158" t="s">
        <v>812</v>
      </c>
      <c r="F17" s="158">
        <v>56</v>
      </c>
      <c r="G17" s="158">
        <v>8</v>
      </c>
      <c r="H17" s="114">
        <f>VLOOKUP($N17,'UMC Table 4-A'!$A$10:$E$139,4,FALSE)</f>
        <v>10</v>
      </c>
      <c r="I17" s="114" t="str">
        <f>VLOOKUP($N17,'UMC Table 4-A'!$A$10:$E$139,5,FALSE)</f>
        <v>YES</v>
      </c>
      <c r="J17" s="111">
        <f t="shared" si="0"/>
        <v>80</v>
      </c>
      <c r="K17" s="116">
        <v>0</v>
      </c>
      <c r="L17" s="152">
        <f t="shared" si="1"/>
        <v>80</v>
      </c>
      <c r="M17" s="117">
        <f t="shared" si="2"/>
        <v>56</v>
      </c>
      <c r="N17" s="114" t="s">
        <v>246</v>
      </c>
      <c r="O17" s="114" t="str">
        <f>VLOOKUP($N17,'UMC Table 4-A'!$A$10:$E$139,2,FALSE)</f>
        <v>NEGATIVE</v>
      </c>
      <c r="P17" s="112" t="str">
        <f>VLOOKUP($N17,'UMC Table 4-A'!$A$10:$E$139,3,FALSE)</f>
        <v>NR</v>
      </c>
      <c r="Q17" s="152">
        <f t="shared" si="3"/>
        <v>0</v>
      </c>
      <c r="R17" s="112" t="str">
        <f>VLOOKUP($N17,'UMC Table 4-A'!$A$10:$E$139,5,FALSE)</f>
        <v>YES</v>
      </c>
      <c r="S17" s="113">
        <f t="shared" si="4"/>
        <v>0</v>
      </c>
      <c r="T17" s="113">
        <f t="shared" si="23"/>
        <v>0</v>
      </c>
      <c r="U17" s="113">
        <f t="shared" si="16"/>
        <v>0</v>
      </c>
      <c r="V17" s="113">
        <f t="shared" si="5"/>
        <v>80</v>
      </c>
      <c r="W17" s="89">
        <f t="shared" si="6"/>
        <v>-80</v>
      </c>
      <c r="X17" s="31" t="str">
        <f t="shared" si="7"/>
        <v>No</v>
      </c>
      <c r="Y17" s="32">
        <f t="shared" si="8"/>
        <v>0</v>
      </c>
      <c r="Z17" s="70" t="e">
        <f t="shared" si="9"/>
        <v>#DIV/0!</v>
      </c>
      <c r="AA17" s="32">
        <f t="shared" si="10"/>
        <v>0</v>
      </c>
      <c r="AD17" s="113" t="s">
        <v>447</v>
      </c>
      <c r="AE17" s="113" t="s">
        <v>203</v>
      </c>
      <c r="AF17" s="113" t="s">
        <v>209</v>
      </c>
      <c r="AG17" s="112">
        <f t="shared" si="11"/>
        <v>1750</v>
      </c>
      <c r="AH17" s="112">
        <f t="shared" si="12"/>
        <v>14</v>
      </c>
      <c r="AI17" s="112">
        <f t="shared" si="17"/>
        <v>7</v>
      </c>
      <c r="AJ17" s="112">
        <f t="shared" si="18"/>
        <v>0.5</v>
      </c>
      <c r="AK17" s="112">
        <f t="shared" si="14"/>
        <v>140</v>
      </c>
      <c r="AL17" s="112">
        <f t="shared" si="14"/>
        <v>100</v>
      </c>
      <c r="AM17" s="112">
        <f t="shared" si="14"/>
        <v>55</v>
      </c>
      <c r="AN17" s="112">
        <f t="shared" si="14"/>
        <v>85</v>
      </c>
      <c r="AO17" s="112">
        <f t="shared" si="19"/>
        <v>56.7</v>
      </c>
      <c r="AP17" s="115">
        <f t="shared" si="20"/>
        <v>2.835</v>
      </c>
      <c r="AQ17" s="115">
        <f t="shared" si="15"/>
        <v>2.835</v>
      </c>
      <c r="AR17" s="115">
        <f t="shared" si="21"/>
        <v>5</v>
      </c>
      <c r="AS17" s="115">
        <f t="shared" si="13"/>
        <v>50</v>
      </c>
      <c r="AT17" s="115" t="str">
        <f t="shared" si="22"/>
        <v>F5/M-503</v>
      </c>
      <c r="AU17" s="112" t="str">
        <f t="shared" si="22"/>
        <v>1, 2</v>
      </c>
      <c r="AX17" s="74">
        <v>2100</v>
      </c>
      <c r="AY17" s="75">
        <v>16</v>
      </c>
      <c r="AZ17" s="75">
        <v>50</v>
      </c>
    </row>
    <row r="18" spans="2:52" ht="15" customHeight="1" x14ac:dyDescent="0.2">
      <c r="B18" s="160"/>
      <c r="C18" s="148" t="s">
        <v>443</v>
      </c>
      <c r="D18" s="121" t="s">
        <v>712</v>
      </c>
      <c r="E18" s="158" t="s">
        <v>713</v>
      </c>
      <c r="F18" s="158">
        <v>103</v>
      </c>
      <c r="G18" s="158">
        <v>9</v>
      </c>
      <c r="H18" s="114">
        <f>VLOOKUP($N18,'UMC Table 4-A'!$A$10:$E$139,4,FALSE)</f>
        <v>6</v>
      </c>
      <c r="I18" s="114" t="str">
        <f>VLOOKUP($N18,'UMC Table 4-A'!$A$10:$E$139,5,FALSE)</f>
        <v>NR</v>
      </c>
      <c r="J18" s="111" t="str">
        <f t="shared" si="0"/>
        <v>-</v>
      </c>
      <c r="K18" s="116">
        <v>0</v>
      </c>
      <c r="L18" s="152">
        <f t="shared" si="1"/>
        <v>100</v>
      </c>
      <c r="M18" s="117">
        <f t="shared" si="2"/>
        <v>103</v>
      </c>
      <c r="N18" s="114" t="s">
        <v>91</v>
      </c>
      <c r="O18" s="114" t="str">
        <f>VLOOKUP($N18,'UMC Table 4-A'!$A$10:$E$139,2,FALSE)</f>
        <v>NO REQUIREMENT FOR CONTINUOUS DIRECTIONAL CONTROL</v>
      </c>
      <c r="P18" s="112">
        <f>VLOOKUP($N18,'UMC Table 4-A'!$A$10:$E$139,3,FALSE)</f>
        <v>2</v>
      </c>
      <c r="Q18" s="152">
        <f t="shared" si="3"/>
        <v>40</v>
      </c>
      <c r="R18" s="112" t="str">
        <f>VLOOKUP($N18,'UMC Table 4-A'!$A$10:$E$139,5,FALSE)</f>
        <v>NR</v>
      </c>
      <c r="S18" s="113">
        <f t="shared" si="4"/>
        <v>105</v>
      </c>
      <c r="T18" s="113">
        <v>120</v>
      </c>
      <c r="U18" s="113">
        <v>120</v>
      </c>
      <c r="V18" s="113">
        <f t="shared" si="5"/>
        <v>0</v>
      </c>
      <c r="W18" s="89">
        <f t="shared" si="6"/>
        <v>0</v>
      </c>
      <c r="X18" s="31" t="str">
        <f t="shared" si="7"/>
        <v>No</v>
      </c>
      <c r="Y18" s="32">
        <f t="shared" si="8"/>
        <v>1.0194174757281553</v>
      </c>
      <c r="Z18" s="70">
        <f t="shared" si="9"/>
        <v>33.333333333333329</v>
      </c>
      <c r="AA18" s="32">
        <f t="shared" si="10"/>
        <v>6.7961165048543686</v>
      </c>
      <c r="AD18" s="113" t="s">
        <v>448</v>
      </c>
      <c r="AE18" s="113" t="s">
        <v>203</v>
      </c>
      <c r="AF18" s="113" t="s">
        <v>209</v>
      </c>
      <c r="AG18" s="112">
        <f t="shared" si="11"/>
        <v>1285</v>
      </c>
      <c r="AH18" s="112">
        <f t="shared" si="12"/>
        <v>12</v>
      </c>
      <c r="AI18" s="112">
        <f t="shared" si="17"/>
        <v>6</v>
      </c>
      <c r="AJ18" s="112">
        <f t="shared" si="18"/>
        <v>0.5</v>
      </c>
      <c r="AK18" s="112">
        <f t="shared" si="14"/>
        <v>140</v>
      </c>
      <c r="AL18" s="112">
        <f t="shared" si="14"/>
        <v>100</v>
      </c>
      <c r="AM18" s="112">
        <f t="shared" si="14"/>
        <v>55</v>
      </c>
      <c r="AN18" s="112">
        <f t="shared" si="14"/>
        <v>85</v>
      </c>
      <c r="AO18" s="112">
        <f t="shared" si="19"/>
        <v>41.6</v>
      </c>
      <c r="AP18" s="115">
        <f t="shared" si="20"/>
        <v>2.08</v>
      </c>
      <c r="AQ18" s="115">
        <f t="shared" si="15"/>
        <v>2.08</v>
      </c>
      <c r="AR18" s="115">
        <f t="shared" si="21"/>
        <v>5</v>
      </c>
      <c r="AS18" s="115">
        <f t="shared" si="13"/>
        <v>40</v>
      </c>
      <c r="AT18" s="115" t="str">
        <f t="shared" si="22"/>
        <v>F5/M-503</v>
      </c>
      <c r="AU18" s="112" t="str">
        <f t="shared" si="22"/>
        <v>1, 2</v>
      </c>
    </row>
    <row r="19" spans="2:52" ht="15" customHeight="1" x14ac:dyDescent="0.2">
      <c r="B19" s="160"/>
      <c r="C19" s="148" t="s">
        <v>443</v>
      </c>
      <c r="D19" s="121" t="s">
        <v>501</v>
      </c>
      <c r="E19" s="158" t="s">
        <v>714</v>
      </c>
      <c r="F19" s="158">
        <v>96</v>
      </c>
      <c r="G19" s="158">
        <v>9</v>
      </c>
      <c r="H19" s="114">
        <f>VLOOKUP($N19,'UMC Table 4-A'!$A$10:$E$139,4,FALSE)</f>
        <v>6</v>
      </c>
      <c r="I19" s="114" t="str">
        <f>VLOOKUP($N19,'UMC Table 4-A'!$A$10:$E$139,5,FALSE)</f>
        <v>NR</v>
      </c>
      <c r="J19" s="111" t="str">
        <f t="shared" si="0"/>
        <v>-</v>
      </c>
      <c r="K19" s="116">
        <v>0</v>
      </c>
      <c r="L19" s="152">
        <f t="shared" si="1"/>
        <v>90</v>
      </c>
      <c r="M19" s="117">
        <f t="shared" si="2"/>
        <v>96</v>
      </c>
      <c r="N19" s="114" t="s">
        <v>91</v>
      </c>
      <c r="O19" s="114" t="str">
        <f>VLOOKUP($N19,'UMC Table 4-A'!$A$10:$E$139,2,FALSE)</f>
        <v>NO REQUIREMENT FOR CONTINUOUS DIRECTIONAL CONTROL</v>
      </c>
      <c r="P19" s="112">
        <f>VLOOKUP($N19,'UMC Table 4-A'!$A$10:$E$139,3,FALSE)</f>
        <v>2</v>
      </c>
      <c r="Q19" s="152">
        <f t="shared" si="3"/>
        <v>30</v>
      </c>
      <c r="R19" s="112" t="str">
        <f>VLOOKUP($N19,'UMC Table 4-A'!$A$10:$E$139,5,FALSE)</f>
        <v>NR</v>
      </c>
      <c r="S19" s="113">
        <f t="shared" si="4"/>
        <v>100</v>
      </c>
      <c r="T19" s="113">
        <f t="shared" si="23"/>
        <v>100</v>
      </c>
      <c r="U19" s="113">
        <f t="shared" si="16"/>
        <v>100</v>
      </c>
      <c r="V19" s="113">
        <f t="shared" si="5"/>
        <v>0</v>
      </c>
      <c r="W19" s="89">
        <f t="shared" si="6"/>
        <v>0</v>
      </c>
      <c r="X19" s="31" t="str">
        <f t="shared" si="7"/>
        <v>Yes</v>
      </c>
      <c r="Y19" s="32">
        <f t="shared" si="8"/>
        <v>1.0416666666666667</v>
      </c>
      <c r="Z19" s="70">
        <f t="shared" si="9"/>
        <v>30</v>
      </c>
      <c r="AA19" s="32">
        <f t="shared" si="10"/>
        <v>6.9444444444444455</v>
      </c>
      <c r="AD19" s="113" t="s">
        <v>449</v>
      </c>
      <c r="AE19" s="113" t="s">
        <v>203</v>
      </c>
      <c r="AF19" s="113" t="s">
        <v>209</v>
      </c>
      <c r="AG19" s="112">
        <f t="shared" si="11"/>
        <v>145</v>
      </c>
      <c r="AH19" s="112">
        <f t="shared" si="12"/>
        <v>6</v>
      </c>
      <c r="AI19" s="112">
        <f t="shared" si="17"/>
        <v>3</v>
      </c>
      <c r="AJ19" s="112">
        <f t="shared" si="18"/>
        <v>0.5</v>
      </c>
      <c r="AK19" s="112">
        <f t="shared" si="14"/>
        <v>140</v>
      </c>
      <c r="AL19" s="112">
        <f t="shared" si="14"/>
        <v>100</v>
      </c>
      <c r="AM19" s="112">
        <f t="shared" si="14"/>
        <v>55</v>
      </c>
      <c r="AN19" s="112">
        <f t="shared" si="14"/>
        <v>85</v>
      </c>
      <c r="AO19" s="112">
        <f t="shared" si="19"/>
        <v>4.7</v>
      </c>
      <c r="AP19" s="115">
        <f t="shared" si="20"/>
        <v>0.23499999999999999</v>
      </c>
      <c r="AQ19" s="115">
        <f t="shared" si="15"/>
        <v>0.5</v>
      </c>
      <c r="AR19" s="115">
        <f t="shared" si="21"/>
        <v>5</v>
      </c>
      <c r="AS19" s="115">
        <f t="shared" si="13"/>
        <v>20</v>
      </c>
      <c r="AT19" s="115" t="str">
        <f t="shared" si="22"/>
        <v>F5/M-503</v>
      </c>
      <c r="AU19" s="112" t="str">
        <f t="shared" si="22"/>
        <v>1, 2</v>
      </c>
    </row>
    <row r="20" spans="2:52" ht="15" customHeight="1" x14ac:dyDescent="0.2">
      <c r="B20" s="160"/>
      <c r="C20" s="148" t="s">
        <v>444</v>
      </c>
      <c r="D20" s="121" t="s">
        <v>715</v>
      </c>
      <c r="E20" s="158" t="s">
        <v>716</v>
      </c>
      <c r="F20" s="158">
        <v>113</v>
      </c>
      <c r="G20" s="158">
        <v>8</v>
      </c>
      <c r="H20" s="114">
        <f>VLOOKUP($N20,'UMC Table 4-A'!$A$10:$E$139,4,FALSE)</f>
        <v>6</v>
      </c>
      <c r="I20" s="114" t="str">
        <f>VLOOKUP($N20,'UMC Table 4-A'!$A$10:$E$139,5,FALSE)</f>
        <v>NR</v>
      </c>
      <c r="J20" s="111" t="str">
        <f t="shared" si="0"/>
        <v>-</v>
      </c>
      <c r="K20" s="116">
        <v>0</v>
      </c>
      <c r="L20" s="152">
        <f t="shared" si="1"/>
        <v>100</v>
      </c>
      <c r="M20" s="117">
        <f t="shared" si="2"/>
        <v>113</v>
      </c>
      <c r="N20" s="114" t="s">
        <v>91</v>
      </c>
      <c r="O20" s="114" t="str">
        <f>VLOOKUP($N20,'UMC Table 4-A'!$A$10:$E$139,2,FALSE)</f>
        <v>NO REQUIREMENT FOR CONTINUOUS DIRECTIONAL CONTROL</v>
      </c>
      <c r="P20" s="112">
        <f>VLOOKUP($N20,'UMC Table 4-A'!$A$10:$E$139,3,FALSE)</f>
        <v>2</v>
      </c>
      <c r="Q20" s="152">
        <f t="shared" si="3"/>
        <v>40</v>
      </c>
      <c r="R20" s="112" t="str">
        <f>VLOOKUP($N20,'UMC Table 4-A'!$A$10:$E$139,5,FALSE)</f>
        <v>NR</v>
      </c>
      <c r="S20" s="113">
        <f t="shared" si="4"/>
        <v>115</v>
      </c>
      <c r="T20" s="113">
        <f t="shared" si="23"/>
        <v>115</v>
      </c>
      <c r="U20" s="113">
        <f t="shared" si="16"/>
        <v>115</v>
      </c>
      <c r="V20" s="113">
        <f t="shared" si="5"/>
        <v>0</v>
      </c>
      <c r="W20" s="89">
        <f t="shared" si="6"/>
        <v>0</v>
      </c>
      <c r="X20" s="31" t="str">
        <f t="shared" si="7"/>
        <v>Yes</v>
      </c>
      <c r="Y20" s="32">
        <f t="shared" si="8"/>
        <v>1.0176991150442478</v>
      </c>
      <c r="Z20" s="70">
        <f t="shared" si="9"/>
        <v>34.782608695652172</v>
      </c>
      <c r="AA20" s="32">
        <f t="shared" si="10"/>
        <v>7.6327433628318584</v>
      </c>
      <c r="AD20" s="113" t="s">
        <v>450</v>
      </c>
      <c r="AE20" s="113" t="s">
        <v>203</v>
      </c>
      <c r="AF20" s="113" t="s">
        <v>209</v>
      </c>
      <c r="AG20" s="112">
        <f t="shared" si="11"/>
        <v>720</v>
      </c>
      <c r="AH20" s="112">
        <f t="shared" si="12"/>
        <v>10</v>
      </c>
      <c r="AI20" s="112">
        <f t="shared" si="17"/>
        <v>5</v>
      </c>
      <c r="AJ20" s="112">
        <f t="shared" si="18"/>
        <v>0.5</v>
      </c>
      <c r="AK20" s="112">
        <f t="shared" si="14"/>
        <v>140</v>
      </c>
      <c r="AL20" s="112">
        <f t="shared" si="14"/>
        <v>100</v>
      </c>
      <c r="AM20" s="112">
        <f t="shared" si="14"/>
        <v>55</v>
      </c>
      <c r="AN20" s="112">
        <f t="shared" si="14"/>
        <v>85</v>
      </c>
      <c r="AO20" s="112">
        <f t="shared" si="19"/>
        <v>23.3</v>
      </c>
      <c r="AP20" s="115">
        <f t="shared" si="20"/>
        <v>1.165</v>
      </c>
      <c r="AQ20" s="115">
        <f t="shared" si="15"/>
        <v>1.165</v>
      </c>
      <c r="AR20" s="115">
        <f t="shared" si="21"/>
        <v>5</v>
      </c>
      <c r="AS20" s="115">
        <f t="shared" si="13"/>
        <v>30</v>
      </c>
      <c r="AT20" s="115" t="str">
        <f t="shared" si="22"/>
        <v>F5/M-503</v>
      </c>
      <c r="AU20" s="112" t="str">
        <f t="shared" si="22"/>
        <v>1, 2</v>
      </c>
    </row>
    <row r="21" spans="2:52" ht="15" customHeight="1" x14ac:dyDescent="0.2">
      <c r="B21" s="160"/>
      <c r="C21" s="148" t="s">
        <v>445</v>
      </c>
      <c r="D21" s="121" t="s">
        <v>717</v>
      </c>
      <c r="E21" s="158" t="s">
        <v>718</v>
      </c>
      <c r="F21" s="158">
        <v>117</v>
      </c>
      <c r="G21" s="158">
        <v>9</v>
      </c>
      <c r="H21" s="114">
        <f>VLOOKUP($N21,'UMC Table 4-A'!$A$10:$E$139,4,FALSE)</f>
        <v>6</v>
      </c>
      <c r="I21" s="114" t="str">
        <f>VLOOKUP($N21,'UMC Table 4-A'!$A$10:$E$139,5,FALSE)</f>
        <v>NR</v>
      </c>
      <c r="J21" s="111" t="str">
        <f t="shared" si="0"/>
        <v>-</v>
      </c>
      <c r="K21" s="116">
        <v>0</v>
      </c>
      <c r="L21" s="152">
        <f t="shared" si="1"/>
        <v>110</v>
      </c>
      <c r="M21" s="117">
        <f t="shared" si="2"/>
        <v>117</v>
      </c>
      <c r="N21" s="114" t="s">
        <v>91</v>
      </c>
      <c r="O21" s="114" t="str">
        <f>VLOOKUP($N21,'UMC Table 4-A'!$A$10:$E$139,2,FALSE)</f>
        <v>NO REQUIREMENT FOR CONTINUOUS DIRECTIONAL CONTROL</v>
      </c>
      <c r="P21" s="112">
        <f>VLOOKUP($N21,'UMC Table 4-A'!$A$10:$E$139,3,FALSE)</f>
        <v>2</v>
      </c>
      <c r="Q21" s="152">
        <f t="shared" si="3"/>
        <v>40</v>
      </c>
      <c r="R21" s="112" t="str">
        <f>VLOOKUP($N21,'UMC Table 4-A'!$A$10:$E$139,5,FALSE)</f>
        <v>NR</v>
      </c>
      <c r="S21" s="113">
        <f t="shared" si="4"/>
        <v>120</v>
      </c>
      <c r="T21" s="113">
        <f t="shared" si="23"/>
        <v>120</v>
      </c>
      <c r="U21" s="113">
        <f t="shared" si="16"/>
        <v>120</v>
      </c>
      <c r="V21" s="113">
        <f t="shared" si="5"/>
        <v>0</v>
      </c>
      <c r="W21" s="89">
        <f t="shared" si="6"/>
        <v>0</v>
      </c>
      <c r="X21" s="31" t="str">
        <f t="shared" si="7"/>
        <v>Yes</v>
      </c>
      <c r="Y21" s="32">
        <f t="shared" si="8"/>
        <v>1.0256410256410255</v>
      </c>
      <c r="Z21" s="70">
        <f t="shared" si="9"/>
        <v>33.333333333333329</v>
      </c>
      <c r="AA21" s="32">
        <f t="shared" si="10"/>
        <v>6.8376068376068373</v>
      </c>
      <c r="AD21" s="113" t="s">
        <v>451</v>
      </c>
      <c r="AE21" s="113" t="s">
        <v>203</v>
      </c>
      <c r="AF21" s="113" t="s">
        <v>209</v>
      </c>
      <c r="AG21" s="112">
        <f>SUMIF($C$8:$C$35,AD21,$T$8:$T$35)</f>
        <v>95</v>
      </c>
      <c r="AH21" s="112">
        <f t="shared" si="12"/>
        <v>6</v>
      </c>
      <c r="AI21" s="112">
        <f t="shared" si="17"/>
        <v>3</v>
      </c>
      <c r="AJ21" s="112">
        <f t="shared" si="18"/>
        <v>0.5</v>
      </c>
      <c r="AK21" s="112">
        <f t="shared" si="14"/>
        <v>140</v>
      </c>
      <c r="AL21" s="112">
        <f t="shared" si="14"/>
        <v>100</v>
      </c>
      <c r="AM21" s="112">
        <f t="shared" si="14"/>
        <v>55</v>
      </c>
      <c r="AN21" s="112">
        <f t="shared" si="14"/>
        <v>85</v>
      </c>
      <c r="AO21" s="112">
        <f t="shared" si="19"/>
        <v>3.1</v>
      </c>
      <c r="AP21" s="115">
        <f t="shared" si="20"/>
        <v>0.155</v>
      </c>
      <c r="AQ21" s="115">
        <f t="shared" si="15"/>
        <v>0.5</v>
      </c>
      <c r="AR21" s="115">
        <f t="shared" si="21"/>
        <v>5</v>
      </c>
      <c r="AS21" s="115">
        <f t="shared" si="13"/>
        <v>20</v>
      </c>
      <c r="AT21" s="115" t="str">
        <f t="shared" si="22"/>
        <v>F5/M-503</v>
      </c>
      <c r="AU21" s="112" t="str">
        <f t="shared" si="22"/>
        <v>1, 2</v>
      </c>
    </row>
    <row r="22" spans="2:52" ht="15" customHeight="1" x14ac:dyDescent="0.2">
      <c r="B22" s="160"/>
      <c r="C22" s="148" t="s">
        <v>446</v>
      </c>
      <c r="D22" s="121" t="s">
        <v>719</v>
      </c>
      <c r="E22" s="158" t="s">
        <v>720</v>
      </c>
      <c r="F22" s="158">
        <v>243</v>
      </c>
      <c r="G22" s="158">
        <v>9</v>
      </c>
      <c r="H22" s="114">
        <f>VLOOKUP($N22,'UMC Table 4-A'!$A$10:$E$139,4,FALSE)</f>
        <v>6</v>
      </c>
      <c r="I22" s="114" t="str">
        <f>VLOOKUP($N22,'UMC Table 4-A'!$A$10:$E$139,5,FALSE)</f>
        <v>NR</v>
      </c>
      <c r="J22" s="111" t="str">
        <f t="shared" si="0"/>
        <v>-</v>
      </c>
      <c r="K22" s="116">
        <v>0</v>
      </c>
      <c r="L22" s="152">
        <f t="shared" si="1"/>
        <v>220</v>
      </c>
      <c r="M22" s="117">
        <f t="shared" si="2"/>
        <v>243</v>
      </c>
      <c r="N22" s="114" t="s">
        <v>91</v>
      </c>
      <c r="O22" s="114" t="str">
        <f>VLOOKUP($N22,'UMC Table 4-A'!$A$10:$E$139,2,FALSE)</f>
        <v>NO REQUIREMENT FOR CONTINUOUS DIRECTIONAL CONTROL</v>
      </c>
      <c r="P22" s="112">
        <f>VLOOKUP($N22,'UMC Table 4-A'!$A$10:$E$139,3,FALSE)</f>
        <v>2</v>
      </c>
      <c r="Q22" s="152">
        <f t="shared" si="3"/>
        <v>80</v>
      </c>
      <c r="R22" s="112" t="str">
        <f>VLOOKUP($N22,'UMC Table 4-A'!$A$10:$E$139,5,FALSE)</f>
        <v>NR</v>
      </c>
      <c r="S22" s="113">
        <f t="shared" si="4"/>
        <v>245</v>
      </c>
      <c r="T22" s="113">
        <f t="shared" si="23"/>
        <v>245</v>
      </c>
      <c r="U22" s="113">
        <f t="shared" si="16"/>
        <v>245</v>
      </c>
      <c r="V22" s="113">
        <f t="shared" si="5"/>
        <v>0</v>
      </c>
      <c r="W22" s="89">
        <f t="shared" si="6"/>
        <v>0</v>
      </c>
      <c r="X22" s="31" t="str">
        <f t="shared" si="7"/>
        <v>Yes</v>
      </c>
      <c r="Y22" s="32">
        <f t="shared" si="8"/>
        <v>1.0082304526748971</v>
      </c>
      <c r="Z22" s="70">
        <f t="shared" si="9"/>
        <v>32.653061224489797</v>
      </c>
      <c r="AA22" s="32">
        <f t="shared" si="10"/>
        <v>6.7215363511659802</v>
      </c>
      <c r="AD22" s="113" t="s">
        <v>452</v>
      </c>
      <c r="AE22" s="113" t="s">
        <v>203</v>
      </c>
      <c r="AF22" s="113" t="s">
        <v>209</v>
      </c>
      <c r="AG22" s="112">
        <f t="shared" ref="AG22:AG24" si="24">SUMIF($C$8:$C$35,AD22,$T$8:$T$35)</f>
        <v>310</v>
      </c>
      <c r="AH22" s="112">
        <f t="shared" si="12"/>
        <v>6</v>
      </c>
      <c r="AI22" s="112">
        <f t="shared" si="17"/>
        <v>3</v>
      </c>
      <c r="AJ22" s="112">
        <f t="shared" si="18"/>
        <v>0.5</v>
      </c>
      <c r="AK22" s="112">
        <f t="shared" si="14"/>
        <v>140</v>
      </c>
      <c r="AL22" s="112">
        <f t="shared" si="14"/>
        <v>100</v>
      </c>
      <c r="AM22" s="112">
        <f t="shared" si="14"/>
        <v>55</v>
      </c>
      <c r="AN22" s="112">
        <f t="shared" si="14"/>
        <v>85</v>
      </c>
      <c r="AO22" s="112">
        <f t="shared" si="19"/>
        <v>10</v>
      </c>
      <c r="AP22" s="115">
        <f t="shared" si="20"/>
        <v>0.5</v>
      </c>
      <c r="AQ22" s="115">
        <f t="shared" si="15"/>
        <v>0.5</v>
      </c>
      <c r="AR22" s="115">
        <f t="shared" si="21"/>
        <v>5</v>
      </c>
      <c r="AS22" s="115">
        <f t="shared" si="13"/>
        <v>20</v>
      </c>
      <c r="AT22" s="115" t="str">
        <f t="shared" si="22"/>
        <v>F5/M-503</v>
      </c>
      <c r="AU22" s="112" t="str">
        <f t="shared" si="22"/>
        <v>1, 2</v>
      </c>
    </row>
    <row r="23" spans="2:52" ht="15" customHeight="1" x14ac:dyDescent="0.2">
      <c r="B23" s="160"/>
      <c r="C23" s="121" t="s">
        <v>447</v>
      </c>
      <c r="D23" s="121" t="s">
        <v>721</v>
      </c>
      <c r="E23" s="158" t="s">
        <v>722</v>
      </c>
      <c r="F23" s="158">
        <v>1377</v>
      </c>
      <c r="G23" s="158">
        <v>9.3000000000000007</v>
      </c>
      <c r="H23" s="114">
        <f>VLOOKUP($N23,'UMC Table 4-A'!$A$10:$E$139,4,FALSE)</f>
        <v>6</v>
      </c>
      <c r="I23" s="114" t="str">
        <f>VLOOKUP($N23,'UMC Table 4-A'!$A$10:$E$139,5,FALSE)</f>
        <v>NR</v>
      </c>
      <c r="J23" s="111" t="str">
        <f t="shared" si="0"/>
        <v>-</v>
      </c>
      <c r="K23" s="116">
        <v>0</v>
      </c>
      <c r="L23" s="152">
        <f t="shared" si="1"/>
        <v>1290</v>
      </c>
      <c r="M23" s="117">
        <f t="shared" si="2"/>
        <v>1377</v>
      </c>
      <c r="N23" s="114" t="s">
        <v>290</v>
      </c>
      <c r="O23" s="114" t="str">
        <f>VLOOKUP($N23,'UMC Table 4-A'!$A$10:$E$139,2,FALSE)</f>
        <v>NEGATIVE</v>
      </c>
      <c r="P23" s="112">
        <f>VLOOKUP($N23,'UMC Table 4-A'!$A$10:$E$139,3,FALSE)</f>
        <v>2</v>
      </c>
      <c r="Q23" s="152">
        <f t="shared" si="3"/>
        <v>430</v>
      </c>
      <c r="R23" s="112" t="str">
        <f>VLOOKUP($N23,'UMC Table 4-A'!$A$10:$E$139,5,FALSE)</f>
        <v>NR</v>
      </c>
      <c r="S23" s="113">
        <f t="shared" si="4"/>
        <v>-50</v>
      </c>
      <c r="T23" s="113">
        <v>1380</v>
      </c>
      <c r="U23" s="113">
        <v>1680</v>
      </c>
      <c r="V23" s="113">
        <f t="shared" si="5"/>
        <v>0</v>
      </c>
      <c r="W23" s="89">
        <f t="shared" si="6"/>
        <v>-300</v>
      </c>
      <c r="X23" s="31" t="str">
        <f t="shared" si="7"/>
        <v>No</v>
      </c>
      <c r="Y23" s="32">
        <f t="shared" si="8"/>
        <v>-3.6310820624546117E-2</v>
      </c>
      <c r="Z23" s="70">
        <f t="shared" si="9"/>
        <v>31.159420289855071</v>
      </c>
      <c r="AA23" s="32">
        <f t="shared" si="10"/>
        <v>-0.23426335886803945</v>
      </c>
      <c r="AD23" s="113" t="s">
        <v>453</v>
      </c>
      <c r="AE23" s="113" t="s">
        <v>203</v>
      </c>
      <c r="AF23" s="113" t="s">
        <v>209</v>
      </c>
      <c r="AG23" s="112">
        <f t="shared" si="24"/>
        <v>220</v>
      </c>
      <c r="AH23" s="112">
        <f t="shared" si="12"/>
        <v>6</v>
      </c>
      <c r="AI23" s="112">
        <f t="shared" si="17"/>
        <v>3</v>
      </c>
      <c r="AJ23" s="112">
        <f t="shared" si="18"/>
        <v>0.5</v>
      </c>
      <c r="AK23" s="112">
        <f t="shared" si="14"/>
        <v>140</v>
      </c>
      <c r="AL23" s="112">
        <f t="shared" si="14"/>
        <v>100</v>
      </c>
      <c r="AM23" s="112">
        <f t="shared" si="14"/>
        <v>55</v>
      </c>
      <c r="AN23" s="112">
        <f t="shared" si="14"/>
        <v>85</v>
      </c>
      <c r="AO23" s="112">
        <f t="shared" si="19"/>
        <v>7.1000000000000005</v>
      </c>
      <c r="AP23" s="115">
        <f t="shared" si="20"/>
        <v>0.35500000000000004</v>
      </c>
      <c r="AQ23" s="115">
        <f t="shared" si="15"/>
        <v>0.5</v>
      </c>
      <c r="AR23" s="115">
        <f t="shared" si="21"/>
        <v>5</v>
      </c>
      <c r="AS23" s="115">
        <f t="shared" si="13"/>
        <v>20</v>
      </c>
      <c r="AT23" s="115" t="str">
        <f t="shared" si="22"/>
        <v>F5/M-503</v>
      </c>
      <c r="AU23" s="112" t="str">
        <f t="shared" si="22"/>
        <v>1, 2</v>
      </c>
    </row>
    <row r="24" spans="2:52" ht="15" customHeight="1" x14ac:dyDescent="0.2">
      <c r="B24" s="84"/>
      <c r="C24" s="121" t="s">
        <v>447</v>
      </c>
      <c r="D24" s="121" t="s">
        <v>822</v>
      </c>
      <c r="E24" s="158">
        <v>4305</v>
      </c>
      <c r="F24" s="158">
        <v>160</v>
      </c>
      <c r="G24" s="158">
        <v>9.5</v>
      </c>
      <c r="H24" s="114">
        <f>VLOOKUP($N24,'UMC Table 4-A'!$A$10:$E$139,4,FALSE)</f>
        <v>6</v>
      </c>
      <c r="I24" s="114" t="str">
        <f>VLOOKUP($N24,'UMC Table 4-A'!$A$10:$E$139,5,FALSE)</f>
        <v>NR</v>
      </c>
      <c r="J24" s="111" t="str">
        <f t="shared" ref="J24" si="25">IF(I24="Yes",L24,"-")</f>
        <v>-</v>
      </c>
      <c r="K24" s="116">
        <v>0</v>
      </c>
      <c r="L24" s="152">
        <f t="shared" ref="L24" si="26">IF(H24&lt;&gt;"NR",ROUNDUP((F24*G24*H24)/60,-1),0)</f>
        <v>160</v>
      </c>
      <c r="M24" s="117">
        <f t="shared" ref="M24" si="27">F24</f>
        <v>160</v>
      </c>
      <c r="N24" s="114" t="s">
        <v>290</v>
      </c>
      <c r="O24" s="114" t="str">
        <f>VLOOKUP($N24,'UMC Table 4-A'!$A$10:$E$139,2,FALSE)</f>
        <v>NEGATIVE</v>
      </c>
      <c r="P24" s="112">
        <f>VLOOKUP($N24,'UMC Table 4-A'!$A$10:$E$139,3,FALSE)</f>
        <v>2</v>
      </c>
      <c r="Q24" s="152">
        <f t="shared" ref="Q24" si="28">IF(P24&lt;&gt;"NR",ROUNDUP((F24*G24*P24)/60,-1),0)</f>
        <v>60</v>
      </c>
      <c r="R24" s="112" t="str">
        <f>VLOOKUP($N24,'UMC Table 4-A'!$A$10:$E$139,5,FALSE)</f>
        <v>NR</v>
      </c>
      <c r="S24" s="113">
        <f t="shared" ref="S24" si="29">IF(O24="Negative",IF(OR(N24="Toilet room",N24="Janitor's closet, housekeeping"),0,IF(0.1*V24&gt;50,220-0.1*V24,V24-50)),IF(R24="Yes",0,CEILING(MAX(K24:M24),5)))</f>
        <v>-50</v>
      </c>
      <c r="T24" s="113">
        <v>180</v>
      </c>
      <c r="U24" s="113">
        <v>180</v>
      </c>
      <c r="V24" s="113">
        <f t="shared" ref="V24" si="30">IF(R24="Yes",J24,0)</f>
        <v>0</v>
      </c>
      <c r="W24" s="89">
        <f t="shared" ref="W24" si="31">T24-U24-V24</f>
        <v>0</v>
      </c>
      <c r="X24" s="31" t="str">
        <f t="shared" ref="X24" si="32">IF(S24-U24-V24+W24=0,"Yes","No")</f>
        <v>No</v>
      </c>
      <c r="Y24" s="32">
        <f t="shared" ref="Y24" si="33">S24/F24</f>
        <v>-0.3125</v>
      </c>
      <c r="Z24" s="70">
        <f t="shared" ref="Z24" si="34">(Q24/T24)*100</f>
        <v>33.333333333333329</v>
      </c>
      <c r="AA24" s="32">
        <f t="shared" ref="AA24" si="35">S24/F24/G24*60</f>
        <v>-1.9736842105263157</v>
      </c>
      <c r="AD24" s="113" t="s">
        <v>454</v>
      </c>
      <c r="AE24" s="113" t="s">
        <v>203</v>
      </c>
      <c r="AF24" s="113" t="s">
        <v>209</v>
      </c>
      <c r="AG24" s="112">
        <f t="shared" si="24"/>
        <v>190</v>
      </c>
      <c r="AH24" s="112">
        <f t="shared" si="12"/>
        <v>6</v>
      </c>
      <c r="AI24" s="112">
        <f t="shared" si="17"/>
        <v>3</v>
      </c>
      <c r="AJ24" s="112">
        <f t="shared" si="18"/>
        <v>0.5</v>
      </c>
      <c r="AK24" s="112">
        <f t="shared" si="14"/>
        <v>140</v>
      </c>
      <c r="AL24" s="112">
        <f t="shared" si="14"/>
        <v>100</v>
      </c>
      <c r="AM24" s="112">
        <f t="shared" si="14"/>
        <v>55</v>
      </c>
      <c r="AN24" s="112">
        <f t="shared" si="14"/>
        <v>85</v>
      </c>
      <c r="AO24" s="112">
        <f t="shared" si="19"/>
        <v>6.2</v>
      </c>
      <c r="AP24" s="115">
        <f t="shared" si="20"/>
        <v>0.31</v>
      </c>
      <c r="AQ24" s="115">
        <f t="shared" si="15"/>
        <v>0.5</v>
      </c>
      <c r="AR24" s="115">
        <f t="shared" si="21"/>
        <v>5</v>
      </c>
      <c r="AS24" s="115">
        <f t="shared" si="13"/>
        <v>20</v>
      </c>
      <c r="AT24" s="115" t="str">
        <f>AT23</f>
        <v>F5/M-503</v>
      </c>
      <c r="AU24" s="112" t="str">
        <f t="shared" si="22"/>
        <v>1, 2</v>
      </c>
    </row>
    <row r="25" spans="2:52" ht="15" customHeight="1" x14ac:dyDescent="0.2">
      <c r="B25" s="160"/>
      <c r="C25" s="121" t="s">
        <v>447</v>
      </c>
      <c r="D25" s="121" t="s">
        <v>723</v>
      </c>
      <c r="E25" s="158" t="s">
        <v>724</v>
      </c>
      <c r="F25" s="158">
        <v>189</v>
      </c>
      <c r="G25" s="158">
        <v>9.5</v>
      </c>
      <c r="H25" s="114">
        <f>VLOOKUP($N25,'UMC Table 4-A'!$A$10:$E$139,4,FALSE)</f>
        <v>6</v>
      </c>
      <c r="I25" s="114" t="str">
        <f>VLOOKUP($N25,'UMC Table 4-A'!$A$10:$E$139,5,FALSE)</f>
        <v>NR</v>
      </c>
      <c r="J25" s="111" t="str">
        <f>IF(I25="Yes",L25,"-")</f>
        <v>-</v>
      </c>
      <c r="K25" s="116">
        <v>0</v>
      </c>
      <c r="L25" s="152">
        <f>IF(H25&lt;&gt;"NR",ROUNDUP((F25*G25*H25)/60,-1),0)</f>
        <v>180</v>
      </c>
      <c r="M25" s="117">
        <f>F25</f>
        <v>189</v>
      </c>
      <c r="N25" s="114" t="s">
        <v>290</v>
      </c>
      <c r="O25" s="114" t="str">
        <f>VLOOKUP($N25,'UMC Table 4-A'!$A$10:$E$139,2,FALSE)</f>
        <v>NEGATIVE</v>
      </c>
      <c r="P25" s="112">
        <f>VLOOKUP($N25,'UMC Table 4-A'!$A$10:$E$139,3,FALSE)</f>
        <v>2</v>
      </c>
      <c r="Q25" s="152">
        <f>IF(P25&lt;&gt;"NR",ROUNDUP((F25*G25*P25)/60,-1),0)</f>
        <v>60</v>
      </c>
      <c r="R25" s="112" t="str">
        <f>VLOOKUP($N25,'UMC Table 4-A'!$A$10:$E$139,5,FALSE)</f>
        <v>NR</v>
      </c>
      <c r="S25" s="113">
        <f>IF(O25="Negative",IF(OR(N25="Toilet room",N25="Janitor's closet, housekeeping"),0,IF(0.1*V25&gt;50,220-0.1*V25,V25-50)),IF(R25="Yes",0,CEILING(MAX(K25:M25),5)))</f>
        <v>-50</v>
      </c>
      <c r="T25" s="113">
        <v>190</v>
      </c>
      <c r="U25" s="113">
        <v>190</v>
      </c>
      <c r="V25" s="113">
        <f>IF(R25="Yes",J25,0)</f>
        <v>0</v>
      </c>
      <c r="W25" s="89">
        <f>T25-U25-V25</f>
        <v>0</v>
      </c>
      <c r="X25" s="31" t="str">
        <f>IF(S25-U25-V25+W25=0,"Yes","No")</f>
        <v>No</v>
      </c>
      <c r="Y25" s="32">
        <f>S25/F25</f>
        <v>-0.26455026455026454</v>
      </c>
      <c r="Z25" s="70">
        <f>(Q25/T25)*100</f>
        <v>31.578947368421051</v>
      </c>
      <c r="AA25" s="32">
        <f>S25/F25/G25*60</f>
        <v>-1.6708437761069339</v>
      </c>
      <c r="AD25" s="184" t="s">
        <v>207</v>
      </c>
      <c r="AE25" s="207"/>
      <c r="AF25" s="207"/>
      <c r="AG25" s="207"/>
      <c r="AH25" s="207"/>
      <c r="AI25" s="207"/>
      <c r="AJ25" s="207"/>
      <c r="AK25" s="207"/>
      <c r="AL25" s="207"/>
      <c r="AM25" s="207"/>
      <c r="AN25" s="207"/>
      <c r="AO25" s="207"/>
      <c r="AP25" s="207"/>
      <c r="AQ25" s="207"/>
      <c r="AR25" s="207"/>
      <c r="AS25" s="207"/>
      <c r="AT25" s="207"/>
      <c r="AU25" s="208"/>
    </row>
    <row r="26" spans="2:52" ht="15" customHeight="1" x14ac:dyDescent="0.2">
      <c r="B26" s="160"/>
      <c r="C26" s="121" t="s">
        <v>448</v>
      </c>
      <c r="D26" s="121" t="s">
        <v>721</v>
      </c>
      <c r="E26" s="158" t="s">
        <v>722</v>
      </c>
      <c r="F26" s="158">
        <v>1275</v>
      </c>
      <c r="G26" s="158">
        <v>9.3000000000000007</v>
      </c>
      <c r="H26" s="114">
        <f>VLOOKUP($N26,'UMC Table 4-A'!$A$10:$E$139,4,FALSE)</f>
        <v>6</v>
      </c>
      <c r="I26" s="114" t="str">
        <f>VLOOKUP($N26,'UMC Table 4-A'!$A$10:$E$139,5,FALSE)</f>
        <v>NR</v>
      </c>
      <c r="J26" s="111" t="str">
        <f t="shared" si="0"/>
        <v>-</v>
      </c>
      <c r="K26" s="116">
        <v>0</v>
      </c>
      <c r="L26" s="152">
        <f t="shared" si="1"/>
        <v>1190</v>
      </c>
      <c r="M26" s="117">
        <f t="shared" si="2"/>
        <v>1275</v>
      </c>
      <c r="N26" s="114" t="s">
        <v>290</v>
      </c>
      <c r="O26" s="114" t="str">
        <f>VLOOKUP($N26,'UMC Table 4-A'!$A$10:$E$139,2,FALSE)</f>
        <v>NEGATIVE</v>
      </c>
      <c r="P26" s="112">
        <f>VLOOKUP($N26,'UMC Table 4-A'!$A$10:$E$139,3,FALSE)</f>
        <v>2</v>
      </c>
      <c r="Q26" s="152">
        <f t="shared" si="3"/>
        <v>400</v>
      </c>
      <c r="R26" s="112" t="str">
        <f>VLOOKUP($N26,'UMC Table 4-A'!$A$10:$E$139,5,FALSE)</f>
        <v>NR</v>
      </c>
      <c r="S26" s="113">
        <f t="shared" si="4"/>
        <v>-50</v>
      </c>
      <c r="T26" s="113">
        <v>1200</v>
      </c>
      <c r="U26" s="113">
        <v>1240</v>
      </c>
      <c r="V26" s="113">
        <f t="shared" si="5"/>
        <v>0</v>
      </c>
      <c r="W26" s="89">
        <f t="shared" si="6"/>
        <v>-40</v>
      </c>
      <c r="X26" s="31" t="str">
        <f t="shared" si="7"/>
        <v>No</v>
      </c>
      <c r="Y26" s="32">
        <f t="shared" si="8"/>
        <v>-3.9215686274509803E-2</v>
      </c>
      <c r="Z26" s="70">
        <f t="shared" si="9"/>
        <v>33.333333333333329</v>
      </c>
      <c r="AA26" s="32">
        <f t="shared" si="10"/>
        <v>-0.25300442757748259</v>
      </c>
      <c r="AD26" s="187"/>
      <c r="AE26" s="188"/>
      <c r="AF26" s="188"/>
      <c r="AG26" s="188"/>
      <c r="AH26" s="188"/>
      <c r="AI26" s="188"/>
      <c r="AJ26" s="188"/>
      <c r="AK26" s="188"/>
      <c r="AL26" s="188"/>
      <c r="AM26" s="188"/>
      <c r="AN26" s="188"/>
      <c r="AO26" s="188"/>
      <c r="AP26" s="188"/>
      <c r="AQ26" s="188"/>
      <c r="AR26" s="188"/>
      <c r="AS26" s="188"/>
      <c r="AT26" s="188"/>
      <c r="AU26" s="189"/>
    </row>
    <row r="27" spans="2:52" ht="15" customHeight="1" x14ac:dyDescent="0.2">
      <c r="B27" s="30"/>
      <c r="C27" s="121" t="s">
        <v>448</v>
      </c>
      <c r="D27" s="121" t="s">
        <v>733</v>
      </c>
      <c r="E27" s="158" t="s">
        <v>813</v>
      </c>
      <c r="F27" s="158">
        <v>59</v>
      </c>
      <c r="G27" s="158">
        <v>8</v>
      </c>
      <c r="H27" s="114">
        <f>VLOOKUP($N27,'UMC Table 4-A'!$A$10:$E$139,4,FALSE)</f>
        <v>10</v>
      </c>
      <c r="I27" s="114" t="str">
        <f>VLOOKUP($N27,'UMC Table 4-A'!$A$10:$E$139,5,FALSE)</f>
        <v>YES</v>
      </c>
      <c r="J27" s="111">
        <f t="shared" si="0"/>
        <v>80</v>
      </c>
      <c r="K27" s="116">
        <v>0</v>
      </c>
      <c r="L27" s="152">
        <f t="shared" si="1"/>
        <v>80</v>
      </c>
      <c r="M27" s="117">
        <f t="shared" si="2"/>
        <v>59</v>
      </c>
      <c r="N27" s="114" t="s">
        <v>94</v>
      </c>
      <c r="O27" s="114" t="str">
        <f>VLOOKUP($N27,'UMC Table 4-A'!$A$10:$E$139,2,FALSE)</f>
        <v>NEGATIVE</v>
      </c>
      <c r="P27" s="112" t="str">
        <f>VLOOKUP($N27,'UMC Table 4-A'!$A$10:$E$139,3,FALSE)</f>
        <v>NR</v>
      </c>
      <c r="Q27" s="152">
        <f t="shared" si="3"/>
        <v>0</v>
      </c>
      <c r="R27" s="112" t="str">
        <f>VLOOKUP($N27,'UMC Table 4-A'!$A$10:$E$139,5,FALSE)</f>
        <v>YES</v>
      </c>
      <c r="S27" s="113">
        <f t="shared" si="4"/>
        <v>0</v>
      </c>
      <c r="T27" s="113">
        <f t="shared" si="23"/>
        <v>0</v>
      </c>
      <c r="U27" s="113">
        <f t="shared" si="16"/>
        <v>0</v>
      </c>
      <c r="V27" s="113">
        <f t="shared" si="5"/>
        <v>80</v>
      </c>
      <c r="W27" s="89">
        <f t="shared" si="6"/>
        <v>-80</v>
      </c>
      <c r="X27" s="31" t="str">
        <f t="shared" si="7"/>
        <v>No</v>
      </c>
      <c r="Y27" s="32">
        <f t="shared" si="8"/>
        <v>0</v>
      </c>
      <c r="Z27" s="70" t="e">
        <f t="shared" si="9"/>
        <v>#DIV/0!</v>
      </c>
      <c r="AA27" s="32">
        <f t="shared" si="10"/>
        <v>0</v>
      </c>
      <c r="AD27" s="187"/>
      <c r="AE27" s="188"/>
      <c r="AF27" s="188"/>
      <c r="AG27" s="188"/>
      <c r="AH27" s="188"/>
      <c r="AI27" s="188"/>
      <c r="AJ27" s="188"/>
      <c r="AK27" s="188"/>
      <c r="AL27" s="188"/>
      <c r="AM27" s="188"/>
      <c r="AN27" s="188"/>
      <c r="AO27" s="188"/>
      <c r="AP27" s="188"/>
      <c r="AQ27" s="188"/>
      <c r="AR27" s="188"/>
      <c r="AS27" s="188"/>
      <c r="AT27" s="188"/>
      <c r="AU27" s="189"/>
    </row>
    <row r="28" spans="2:52" ht="15" customHeight="1" x14ac:dyDescent="0.2">
      <c r="B28" s="160"/>
      <c r="C28" s="121" t="s">
        <v>448</v>
      </c>
      <c r="D28" s="121" t="s">
        <v>814</v>
      </c>
      <c r="E28" s="158" t="s">
        <v>815</v>
      </c>
      <c r="F28" s="158">
        <v>162</v>
      </c>
      <c r="G28" s="158">
        <v>9</v>
      </c>
      <c r="H28" s="114">
        <f>VLOOKUP($N28,'UMC Table 4-A'!$A$10:$E$139,4,FALSE)</f>
        <v>10</v>
      </c>
      <c r="I28" s="114" t="str">
        <f>VLOOKUP($N28,'UMC Table 4-A'!$A$10:$E$139,5,FALSE)</f>
        <v>YES</v>
      </c>
      <c r="J28" s="111">
        <f t="shared" si="0"/>
        <v>250</v>
      </c>
      <c r="K28" s="116">
        <v>0</v>
      </c>
      <c r="L28" s="152">
        <f t="shared" si="1"/>
        <v>250</v>
      </c>
      <c r="M28" s="117">
        <f t="shared" si="2"/>
        <v>162</v>
      </c>
      <c r="N28" s="114" t="s">
        <v>94</v>
      </c>
      <c r="O28" s="114" t="str">
        <f>VLOOKUP($N28,'UMC Table 4-A'!$A$10:$E$139,2,FALSE)</f>
        <v>NEGATIVE</v>
      </c>
      <c r="P28" s="112" t="str">
        <f>VLOOKUP($N28,'UMC Table 4-A'!$A$10:$E$139,3,FALSE)</f>
        <v>NR</v>
      </c>
      <c r="Q28" s="152">
        <f t="shared" si="3"/>
        <v>0</v>
      </c>
      <c r="R28" s="112" t="str">
        <f>VLOOKUP($N28,'UMC Table 4-A'!$A$10:$E$139,5,FALSE)</f>
        <v>YES</v>
      </c>
      <c r="S28" s="113">
        <f t="shared" si="4"/>
        <v>0</v>
      </c>
      <c r="T28" s="113">
        <v>85</v>
      </c>
      <c r="U28" s="113">
        <v>0</v>
      </c>
      <c r="V28" s="113">
        <v>165</v>
      </c>
      <c r="W28" s="89">
        <f t="shared" si="6"/>
        <v>-80</v>
      </c>
      <c r="X28" s="31" t="str">
        <f t="shared" si="7"/>
        <v>No</v>
      </c>
      <c r="Y28" s="32">
        <f t="shared" si="8"/>
        <v>0</v>
      </c>
      <c r="Z28" s="70">
        <f t="shared" si="9"/>
        <v>0</v>
      </c>
      <c r="AA28" s="32">
        <f t="shared" si="10"/>
        <v>0</v>
      </c>
      <c r="AD28" s="190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2"/>
    </row>
    <row r="29" spans="2:52" ht="15" customHeight="1" x14ac:dyDescent="0.2">
      <c r="B29" s="160"/>
      <c r="C29" s="121" t="s">
        <v>449</v>
      </c>
      <c r="D29" s="121" t="s">
        <v>725</v>
      </c>
      <c r="E29" s="158" t="s">
        <v>726</v>
      </c>
      <c r="F29" s="158">
        <v>141</v>
      </c>
      <c r="G29" s="158">
        <v>9</v>
      </c>
      <c r="H29" s="114">
        <f>VLOOKUP($N29,'UMC Table 4-A'!$A$10:$E$139,4,FALSE)</f>
        <v>6</v>
      </c>
      <c r="I29" s="114" t="str">
        <f>VLOOKUP($N29,'UMC Table 4-A'!$A$10:$E$139,5,FALSE)</f>
        <v>NR</v>
      </c>
      <c r="J29" s="111" t="str">
        <f t="shared" si="0"/>
        <v>-</v>
      </c>
      <c r="K29" s="116">
        <v>0</v>
      </c>
      <c r="L29" s="152">
        <f t="shared" si="1"/>
        <v>130</v>
      </c>
      <c r="M29" s="117">
        <f t="shared" si="2"/>
        <v>141</v>
      </c>
      <c r="N29" s="114" t="s">
        <v>91</v>
      </c>
      <c r="O29" s="114" t="str">
        <f>VLOOKUP($N29,'UMC Table 4-A'!$A$10:$E$139,2,FALSE)</f>
        <v>NO REQUIREMENT FOR CONTINUOUS DIRECTIONAL CONTROL</v>
      </c>
      <c r="P29" s="112">
        <f>VLOOKUP($N29,'UMC Table 4-A'!$A$10:$E$139,3,FALSE)</f>
        <v>2</v>
      </c>
      <c r="Q29" s="152">
        <f t="shared" si="3"/>
        <v>50</v>
      </c>
      <c r="R29" s="112" t="str">
        <f>VLOOKUP($N29,'UMC Table 4-A'!$A$10:$E$139,5,FALSE)</f>
        <v>NR</v>
      </c>
      <c r="S29" s="113">
        <f t="shared" si="4"/>
        <v>145</v>
      </c>
      <c r="T29" s="113">
        <f t="shared" si="23"/>
        <v>145</v>
      </c>
      <c r="U29" s="113">
        <v>0</v>
      </c>
      <c r="V29" s="113">
        <v>145</v>
      </c>
      <c r="W29" s="89">
        <f t="shared" si="6"/>
        <v>0</v>
      </c>
      <c r="X29" s="31" t="str">
        <f t="shared" si="7"/>
        <v>Yes</v>
      </c>
      <c r="Y29" s="32">
        <f t="shared" si="8"/>
        <v>1.0283687943262412</v>
      </c>
      <c r="Z29" s="70">
        <f t="shared" si="9"/>
        <v>34.482758620689658</v>
      </c>
      <c r="AA29" s="32">
        <f t="shared" si="10"/>
        <v>6.8557919621749406</v>
      </c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</row>
    <row r="30" spans="2:52" ht="15" customHeight="1" x14ac:dyDescent="0.2">
      <c r="B30" s="160"/>
      <c r="C30" s="121" t="s">
        <v>450</v>
      </c>
      <c r="D30" s="121" t="s">
        <v>825</v>
      </c>
      <c r="E30" s="158" t="s">
        <v>826</v>
      </c>
      <c r="F30" s="158">
        <v>143</v>
      </c>
      <c r="G30" s="158">
        <v>14.5</v>
      </c>
      <c r="H30" s="114">
        <f>VLOOKUP($N30,'UMC Table 4-A'!$A$10:$E$139,4,FALSE)</f>
        <v>6</v>
      </c>
      <c r="I30" s="114" t="str">
        <f>VLOOKUP($N30,'UMC Table 4-A'!$A$10:$E$139,5,FALSE)</f>
        <v>NR</v>
      </c>
      <c r="J30" s="111" t="str">
        <f t="shared" ref="J30" si="36">IF(I30="Yes",L30,"-")</f>
        <v>-</v>
      </c>
      <c r="K30" s="116">
        <v>0</v>
      </c>
      <c r="L30" s="152">
        <f t="shared" ref="L30" si="37">IF(H30&lt;&gt;"NR",ROUNDUP((F30*G30*H30)/60,-1),0)</f>
        <v>210</v>
      </c>
      <c r="M30" s="117">
        <f t="shared" ref="M30" si="38">F30</f>
        <v>143</v>
      </c>
      <c r="N30" s="114" t="s">
        <v>91</v>
      </c>
      <c r="O30" s="114" t="str">
        <f>VLOOKUP($N30,'UMC Table 4-A'!$A$10:$E$139,2,FALSE)</f>
        <v>NO REQUIREMENT FOR CONTINUOUS DIRECTIONAL CONTROL</v>
      </c>
      <c r="P30" s="112">
        <f>VLOOKUP($N30,'UMC Table 4-A'!$A$10:$E$139,3,FALSE)</f>
        <v>2</v>
      </c>
      <c r="Q30" s="152">
        <f t="shared" ref="Q30" si="39">IF(P30&lt;&gt;"NR",ROUNDUP((F30*G30*P30)/60,-1),0)</f>
        <v>70</v>
      </c>
      <c r="R30" s="112" t="str">
        <f>VLOOKUP($N30,'UMC Table 4-A'!$A$10:$E$139,5,FALSE)</f>
        <v>NR</v>
      </c>
      <c r="S30" s="113">
        <f t="shared" ref="S30" si="40">IF(O30="Negative",IF(OR(N30="Toilet room",N30="Janitor's closet, housekeeping"),0,IF(0.1*V30&gt;50,220-0.1*V30,V30-50)),IF(R30="Yes",0,CEILING(MAX(K30:M30),5)))</f>
        <v>210</v>
      </c>
      <c r="T30" s="113">
        <f t="shared" ref="T30" si="41">S30</f>
        <v>210</v>
      </c>
      <c r="U30" s="113">
        <f t="shared" ref="U30" si="42">IF(R30="Yes",0,IF(O30="Positive",IF(0.1*S30&gt;50,S30-0.1*S30,S30-50),IF(O30="Negative",IF(0.1*S30&gt;50,S30+0.1*S30,S30+50),S30)))</f>
        <v>210</v>
      </c>
      <c r="V30" s="113">
        <f t="shared" ref="V30" si="43">IF(R30="Yes",J30,0)</f>
        <v>0</v>
      </c>
      <c r="W30" s="89">
        <f t="shared" ref="W30" si="44">T30-U30-V30</f>
        <v>0</v>
      </c>
      <c r="X30" s="31" t="str">
        <f t="shared" ref="X30" si="45">IF(S30-U30-V30+W30=0,"Yes","No")</f>
        <v>Yes</v>
      </c>
      <c r="Y30" s="32">
        <f t="shared" ref="Y30" si="46">S30/F30</f>
        <v>1.4685314685314685</v>
      </c>
      <c r="Z30" s="70">
        <f t="shared" ref="Z30" si="47">(Q30/T30)*100</f>
        <v>33.333333333333329</v>
      </c>
      <c r="AA30" s="32">
        <f t="shared" ref="AA30" si="48">S30/F30/G30*60</f>
        <v>6.0766819387509043</v>
      </c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</row>
    <row r="31" spans="2:52" ht="15" customHeight="1" x14ac:dyDescent="0.2">
      <c r="B31" s="160"/>
      <c r="C31" s="121" t="s">
        <v>450</v>
      </c>
      <c r="D31" s="121" t="s">
        <v>824</v>
      </c>
      <c r="E31" s="158" t="s">
        <v>727</v>
      </c>
      <c r="F31" s="158">
        <v>510</v>
      </c>
      <c r="G31" s="158">
        <v>9</v>
      </c>
      <c r="H31" s="114">
        <f>VLOOKUP($N31,'UMC Table 4-A'!$A$10:$E$139,4,FALSE)</f>
        <v>6</v>
      </c>
      <c r="I31" s="114" t="str">
        <f>VLOOKUP($N31,'UMC Table 4-A'!$A$10:$E$139,5,FALSE)</f>
        <v>NR</v>
      </c>
      <c r="J31" s="111" t="str">
        <f t="shared" si="0"/>
        <v>-</v>
      </c>
      <c r="K31" s="116">
        <v>0</v>
      </c>
      <c r="L31" s="152">
        <f t="shared" si="1"/>
        <v>460</v>
      </c>
      <c r="M31" s="117">
        <f t="shared" si="2"/>
        <v>510</v>
      </c>
      <c r="N31" s="114" t="s">
        <v>227</v>
      </c>
      <c r="O31" s="114" t="str">
        <f>VLOOKUP($N31,'UMC Table 4-A'!$A$10:$E$139,2,FALSE)</f>
        <v>NO REQUIREMENT FOR CONTINUOUS DIRECTIONAL CONTROL</v>
      </c>
      <c r="P31" s="112">
        <f>VLOOKUP($N31,'UMC Table 4-A'!$A$10:$E$139,3,FALSE)</f>
        <v>2</v>
      </c>
      <c r="Q31" s="152">
        <f t="shared" si="3"/>
        <v>160</v>
      </c>
      <c r="R31" s="112" t="str">
        <f>VLOOKUP($N31,'UMC Table 4-A'!$A$10:$E$139,5,FALSE)</f>
        <v>NR</v>
      </c>
      <c r="S31" s="113">
        <f t="shared" si="4"/>
        <v>510</v>
      </c>
      <c r="T31" s="113">
        <f t="shared" si="23"/>
        <v>510</v>
      </c>
      <c r="U31" s="113">
        <f t="shared" si="16"/>
        <v>510</v>
      </c>
      <c r="V31" s="113">
        <f t="shared" si="5"/>
        <v>0</v>
      </c>
      <c r="W31" s="89">
        <f t="shared" si="6"/>
        <v>0</v>
      </c>
      <c r="X31" s="31" t="str">
        <f t="shared" si="7"/>
        <v>Yes</v>
      </c>
      <c r="Y31" s="32">
        <f t="shared" si="8"/>
        <v>1</v>
      </c>
      <c r="Z31" s="70">
        <f t="shared" si="9"/>
        <v>31.372549019607842</v>
      </c>
      <c r="AA31" s="32">
        <f t="shared" si="10"/>
        <v>6.6666666666666661</v>
      </c>
      <c r="AD31" s="98" t="s">
        <v>78</v>
      </c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>
        <f>SUM(AO8:AO24)</f>
        <v>231.49999999999997</v>
      </c>
      <c r="AP31" s="98"/>
      <c r="AQ31" s="99">
        <f>SUM(AQ8:AQ24)</f>
        <v>14</v>
      </c>
      <c r="AR31" s="99"/>
      <c r="AS31" s="99"/>
      <c r="AT31" s="99"/>
    </row>
    <row r="32" spans="2:52" ht="15" customHeight="1" x14ac:dyDescent="0.2">
      <c r="B32" s="160"/>
      <c r="C32" s="121" t="s">
        <v>451</v>
      </c>
      <c r="D32" s="121" t="s">
        <v>728</v>
      </c>
      <c r="E32" s="158" t="s">
        <v>729</v>
      </c>
      <c r="F32" s="158">
        <v>92</v>
      </c>
      <c r="G32" s="158">
        <v>8</v>
      </c>
      <c r="H32" s="114">
        <f>VLOOKUP($N32,'UMC Table 4-A'!$A$10:$E$139,4,FALSE)</f>
        <v>4</v>
      </c>
      <c r="I32" s="114" t="str">
        <f>VLOOKUP($N32,'UMC Table 4-A'!$A$10:$E$139,5,FALSE)</f>
        <v>NR</v>
      </c>
      <c r="J32" s="111" t="str">
        <f t="shared" si="0"/>
        <v>-</v>
      </c>
      <c r="K32" s="116">
        <v>0</v>
      </c>
      <c r="L32" s="152">
        <f t="shared" si="1"/>
        <v>50</v>
      </c>
      <c r="M32" s="117">
        <f t="shared" si="2"/>
        <v>92</v>
      </c>
      <c r="N32" s="114" t="s">
        <v>123</v>
      </c>
      <c r="O32" s="114" t="str">
        <f>VLOOKUP($N32,'UMC Table 4-A'!$A$10:$E$139,2,FALSE)</f>
        <v>NO REQUIREMENT FOR CONTINUOUS DIRECTIONAL CONTROL</v>
      </c>
      <c r="P32" s="112">
        <f>VLOOKUP($N32,'UMC Table 4-A'!$A$10:$E$139,3,FALSE)</f>
        <v>2</v>
      </c>
      <c r="Q32" s="152">
        <f t="shared" si="3"/>
        <v>30</v>
      </c>
      <c r="R32" s="112" t="str">
        <f>VLOOKUP($N32,'UMC Table 4-A'!$A$10:$E$139,5,FALSE)</f>
        <v>NR</v>
      </c>
      <c r="S32" s="113">
        <f t="shared" si="4"/>
        <v>95</v>
      </c>
      <c r="T32" s="113">
        <f t="shared" si="23"/>
        <v>95</v>
      </c>
      <c r="U32" s="113">
        <f t="shared" si="16"/>
        <v>95</v>
      </c>
      <c r="V32" s="113">
        <f t="shared" si="5"/>
        <v>0</v>
      </c>
      <c r="W32" s="89">
        <f t="shared" si="6"/>
        <v>0</v>
      </c>
      <c r="X32" s="31" t="str">
        <f t="shared" si="7"/>
        <v>Yes</v>
      </c>
      <c r="Y32" s="32">
        <f t="shared" si="8"/>
        <v>1.0326086956521738</v>
      </c>
      <c r="Z32" s="70">
        <f t="shared" si="9"/>
        <v>31.578947368421051</v>
      </c>
      <c r="AA32" s="32">
        <f t="shared" si="10"/>
        <v>7.7445652173913038</v>
      </c>
      <c r="AD32" s="180"/>
      <c r="AE32" s="180"/>
      <c r="AF32" s="180"/>
      <c r="AG32" s="181"/>
      <c r="AH32" s="181"/>
      <c r="AI32" s="181"/>
      <c r="AJ32" s="181"/>
      <c r="AK32" s="181"/>
      <c r="AL32" s="181"/>
      <c r="AM32" s="181"/>
      <c r="AN32" s="181"/>
      <c r="AO32" s="181"/>
      <c r="AP32" s="182"/>
      <c r="AQ32" s="182"/>
      <c r="AR32" s="182"/>
      <c r="AS32" s="182"/>
      <c r="AT32" s="182"/>
      <c r="AU32" s="181"/>
    </row>
    <row r="33" spans="2:48" ht="15" customHeight="1" x14ac:dyDescent="0.2">
      <c r="B33" s="160"/>
      <c r="C33" s="121" t="s">
        <v>452</v>
      </c>
      <c r="D33" s="121" t="s">
        <v>461</v>
      </c>
      <c r="E33" s="158" t="s">
        <v>730</v>
      </c>
      <c r="F33" s="158">
        <v>309</v>
      </c>
      <c r="G33" s="158">
        <v>9</v>
      </c>
      <c r="H33" s="114">
        <f>VLOOKUP($N33,'UMC Table 4-A'!$A$10:$E$139,4,FALSE)</f>
        <v>2</v>
      </c>
      <c r="I33" s="114" t="str">
        <f>VLOOKUP($N33,'UMC Table 4-A'!$A$10:$E$139,5,FALSE)</f>
        <v>NR</v>
      </c>
      <c r="J33" s="111" t="str">
        <f t="shared" si="0"/>
        <v>-</v>
      </c>
      <c r="K33" s="116">
        <v>0</v>
      </c>
      <c r="L33" s="152">
        <f t="shared" si="1"/>
        <v>100</v>
      </c>
      <c r="M33" s="117">
        <f t="shared" si="2"/>
        <v>309</v>
      </c>
      <c r="N33" s="114" t="s">
        <v>115</v>
      </c>
      <c r="O33" s="114" t="str">
        <f>VLOOKUP($N33,'UMC Table 4-A'!$A$10:$E$139,2,FALSE)</f>
        <v>NO REQUIREMENT FOR CONTINUOUS DIRECTIONAL CONTROL</v>
      </c>
      <c r="P33" s="112" t="str">
        <f>VLOOKUP($N33,'UMC Table 4-A'!$A$10:$E$139,3,FALSE)</f>
        <v>NR</v>
      </c>
      <c r="Q33" s="152">
        <f t="shared" si="3"/>
        <v>0</v>
      </c>
      <c r="R33" s="112" t="str">
        <f>VLOOKUP($N33,'UMC Table 4-A'!$A$10:$E$139,5,FALSE)</f>
        <v>NR</v>
      </c>
      <c r="S33" s="113">
        <f t="shared" si="4"/>
        <v>310</v>
      </c>
      <c r="T33" s="113">
        <f t="shared" si="23"/>
        <v>310</v>
      </c>
      <c r="U33" s="113">
        <v>210</v>
      </c>
      <c r="V33" s="113">
        <f t="shared" si="5"/>
        <v>0</v>
      </c>
      <c r="W33" s="89">
        <f t="shared" si="6"/>
        <v>100</v>
      </c>
      <c r="X33" s="31" t="str">
        <f t="shared" si="7"/>
        <v>No</v>
      </c>
      <c r="Y33" s="32">
        <f t="shared" si="8"/>
        <v>1.0032362459546926</v>
      </c>
      <c r="Z33" s="70">
        <f t="shared" si="9"/>
        <v>0</v>
      </c>
      <c r="AA33" s="32">
        <f t="shared" si="10"/>
        <v>6.6882416396979503</v>
      </c>
      <c r="AD33" s="180"/>
      <c r="AE33" s="180"/>
      <c r="AF33" s="180"/>
      <c r="AG33" s="181"/>
      <c r="AH33" s="181"/>
      <c r="AI33" s="181"/>
      <c r="AJ33" s="181"/>
      <c r="AK33" s="181"/>
      <c r="AL33" s="181"/>
      <c r="AM33" s="181"/>
      <c r="AN33" s="181"/>
      <c r="AO33" s="181"/>
      <c r="AP33" s="182"/>
      <c r="AQ33" s="182"/>
      <c r="AR33" s="182"/>
      <c r="AS33" s="182"/>
      <c r="AT33" s="182"/>
      <c r="AU33" s="181"/>
    </row>
    <row r="34" spans="2:48" ht="15" customHeight="1" x14ac:dyDescent="0.2">
      <c r="B34" s="160"/>
      <c r="C34" s="121" t="s">
        <v>453</v>
      </c>
      <c r="D34" s="121" t="s">
        <v>532</v>
      </c>
      <c r="E34" s="158" t="s">
        <v>731</v>
      </c>
      <c r="F34" s="158">
        <v>145</v>
      </c>
      <c r="G34" s="158">
        <v>14.5</v>
      </c>
      <c r="H34" s="114">
        <f>VLOOKUP($N34,'UMC Table 4-A'!$A$10:$E$139,4,FALSE)</f>
        <v>6</v>
      </c>
      <c r="I34" s="114" t="str">
        <f>VLOOKUP($N34,'UMC Table 4-A'!$A$10:$E$139,5,FALSE)</f>
        <v>NR</v>
      </c>
      <c r="J34" s="111" t="str">
        <f t="shared" si="0"/>
        <v>-</v>
      </c>
      <c r="K34" s="116">
        <v>0</v>
      </c>
      <c r="L34" s="152">
        <f t="shared" si="1"/>
        <v>220</v>
      </c>
      <c r="M34" s="117">
        <f t="shared" si="2"/>
        <v>145</v>
      </c>
      <c r="N34" s="114" t="s">
        <v>91</v>
      </c>
      <c r="O34" s="114" t="str">
        <f>VLOOKUP($N34,'UMC Table 4-A'!$A$10:$E$139,2,FALSE)</f>
        <v>NO REQUIREMENT FOR CONTINUOUS DIRECTIONAL CONTROL</v>
      </c>
      <c r="P34" s="112">
        <f>VLOOKUP($N34,'UMC Table 4-A'!$A$10:$E$139,3,FALSE)</f>
        <v>2</v>
      </c>
      <c r="Q34" s="152">
        <f t="shared" si="3"/>
        <v>80</v>
      </c>
      <c r="R34" s="112" t="str">
        <f>VLOOKUP($N34,'UMC Table 4-A'!$A$10:$E$139,5,FALSE)</f>
        <v>NR</v>
      </c>
      <c r="S34" s="113">
        <f t="shared" si="4"/>
        <v>220</v>
      </c>
      <c r="T34" s="113">
        <f t="shared" si="23"/>
        <v>220</v>
      </c>
      <c r="U34" s="113">
        <f t="shared" si="16"/>
        <v>220</v>
      </c>
      <c r="V34" s="113">
        <f t="shared" si="5"/>
        <v>0</v>
      </c>
      <c r="W34" s="89">
        <f t="shared" si="6"/>
        <v>0</v>
      </c>
      <c r="X34" s="31" t="str">
        <f t="shared" si="7"/>
        <v>Yes</v>
      </c>
      <c r="Y34" s="32">
        <f t="shared" si="8"/>
        <v>1.5172413793103448</v>
      </c>
      <c r="Z34" s="70">
        <f t="shared" si="9"/>
        <v>36.363636363636367</v>
      </c>
      <c r="AA34" s="32">
        <f t="shared" si="10"/>
        <v>6.2782401902497025</v>
      </c>
      <c r="AD34" s="180"/>
      <c r="AE34" s="180"/>
      <c r="AF34" s="180"/>
      <c r="AG34" s="181"/>
      <c r="AH34" s="181"/>
      <c r="AI34" s="181"/>
      <c r="AJ34" s="181"/>
      <c r="AK34" s="181"/>
      <c r="AL34" s="181"/>
      <c r="AM34" s="181"/>
      <c r="AN34" s="181"/>
      <c r="AO34" s="181"/>
      <c r="AP34" s="182"/>
      <c r="AQ34" s="182"/>
      <c r="AR34" s="182"/>
      <c r="AS34" s="182"/>
      <c r="AT34" s="182"/>
      <c r="AU34" s="181"/>
    </row>
    <row r="35" spans="2:48" ht="15" customHeight="1" x14ac:dyDescent="0.2">
      <c r="B35" s="160"/>
      <c r="C35" s="121" t="s">
        <v>454</v>
      </c>
      <c r="D35" s="121" t="s">
        <v>534</v>
      </c>
      <c r="E35" s="158" t="s">
        <v>732</v>
      </c>
      <c r="F35" s="158">
        <v>131</v>
      </c>
      <c r="G35" s="158">
        <v>14.5</v>
      </c>
      <c r="H35" s="114">
        <f>VLOOKUP($N35,'UMC Table 4-A'!$A$10:$E$139,4,FALSE)</f>
        <v>6</v>
      </c>
      <c r="I35" s="114" t="str">
        <f>VLOOKUP($N35,'UMC Table 4-A'!$A$10:$E$139,5,FALSE)</f>
        <v>NR</v>
      </c>
      <c r="J35" s="111" t="str">
        <f t="shared" si="0"/>
        <v>-</v>
      </c>
      <c r="K35" s="116">
        <v>0</v>
      </c>
      <c r="L35" s="152">
        <f t="shared" si="1"/>
        <v>190</v>
      </c>
      <c r="M35" s="117">
        <f t="shared" si="2"/>
        <v>131</v>
      </c>
      <c r="N35" s="114" t="s">
        <v>91</v>
      </c>
      <c r="O35" s="114" t="str">
        <f>VLOOKUP($N35,'UMC Table 4-A'!$A$10:$E$139,2,FALSE)</f>
        <v>NO REQUIREMENT FOR CONTINUOUS DIRECTIONAL CONTROL</v>
      </c>
      <c r="P35" s="112">
        <f>VLOOKUP($N35,'UMC Table 4-A'!$A$10:$E$139,3,FALSE)</f>
        <v>2</v>
      </c>
      <c r="Q35" s="152">
        <f t="shared" si="3"/>
        <v>70</v>
      </c>
      <c r="R35" s="112" t="str">
        <f>VLOOKUP($N35,'UMC Table 4-A'!$A$10:$E$139,5,FALSE)</f>
        <v>NR</v>
      </c>
      <c r="S35" s="113">
        <f t="shared" si="4"/>
        <v>190</v>
      </c>
      <c r="T35" s="113">
        <f t="shared" si="23"/>
        <v>190</v>
      </c>
      <c r="U35" s="113">
        <f t="shared" si="16"/>
        <v>190</v>
      </c>
      <c r="V35" s="113">
        <f t="shared" si="5"/>
        <v>0</v>
      </c>
      <c r="W35" s="89">
        <f t="shared" si="6"/>
        <v>0</v>
      </c>
      <c r="X35" s="31" t="str">
        <f t="shared" si="7"/>
        <v>Yes</v>
      </c>
      <c r="Y35" s="32">
        <f t="shared" si="8"/>
        <v>1.4503816793893129</v>
      </c>
      <c r="Z35" s="70">
        <f t="shared" si="9"/>
        <v>36.84210526315789</v>
      </c>
      <c r="AA35" s="32">
        <f t="shared" si="10"/>
        <v>6.0015793629902605</v>
      </c>
      <c r="AD35" s="180"/>
      <c r="AE35" s="180"/>
      <c r="AF35" s="180"/>
      <c r="AG35" s="181"/>
      <c r="AH35" s="181"/>
      <c r="AI35" s="181"/>
      <c r="AJ35" s="181"/>
      <c r="AK35" s="181"/>
      <c r="AL35" s="181"/>
      <c r="AM35" s="181"/>
      <c r="AN35" s="181"/>
      <c r="AO35" s="181"/>
      <c r="AP35" s="182"/>
      <c r="AQ35" s="182"/>
      <c r="AR35" s="182"/>
      <c r="AS35" s="182"/>
      <c r="AT35" s="182"/>
      <c r="AU35" s="181"/>
    </row>
    <row r="36" spans="2:48" ht="15" customHeight="1" thickBot="1" x14ac:dyDescent="0.25">
      <c r="B36" s="56"/>
      <c r="C36" s="57"/>
      <c r="E36" s="95" t="s">
        <v>98</v>
      </c>
      <c r="F36" s="96">
        <f>SUM(F8:F35)</f>
        <v>8491</v>
      </c>
      <c r="G36" s="1"/>
      <c r="H36" s="22"/>
      <c r="K36" s="19"/>
      <c r="L36" s="10"/>
      <c r="M36" s="10"/>
      <c r="N36" s="11"/>
      <c r="O36" s="11"/>
      <c r="P36" s="51" t="s">
        <v>17</v>
      </c>
      <c r="Q36" s="52">
        <f>SUM(Q8:Q29)</f>
        <v>1360</v>
      </c>
      <c r="R36" s="53"/>
      <c r="S36" s="53">
        <f>SUM(S8:S31)</f>
        <v>4305</v>
      </c>
      <c r="T36" s="53">
        <f>SUM(T8:T35)</f>
        <v>7150</v>
      </c>
      <c r="U36" s="53">
        <f>SUM(U8:U35)</f>
        <v>6590</v>
      </c>
      <c r="V36" s="53">
        <f>SUM(V8:V35)</f>
        <v>660</v>
      </c>
      <c r="W36" s="90">
        <f t="shared" ref="W36" si="49">T36-U36-V36</f>
        <v>-100</v>
      </c>
      <c r="X36" s="53" t="str">
        <f>IF(T36-U36-V36-W36=0,"Yes","No")</f>
        <v>Yes</v>
      </c>
      <c r="Y36" s="12"/>
      <c r="AA36" s="13"/>
      <c r="AD36" s="180"/>
      <c r="AE36" s="180"/>
      <c r="AF36" s="180"/>
      <c r="AG36" s="181"/>
      <c r="AH36" s="181"/>
      <c r="AI36" s="181"/>
      <c r="AJ36" s="112"/>
      <c r="AK36" s="181"/>
      <c r="AL36" s="181"/>
      <c r="AM36" s="181"/>
      <c r="AN36" s="181"/>
      <c r="AO36" s="181"/>
      <c r="AP36" s="182"/>
      <c r="AQ36" s="182"/>
      <c r="AR36" s="182"/>
      <c r="AS36" s="182"/>
      <c r="AT36" s="182"/>
      <c r="AU36" s="181"/>
    </row>
    <row r="37" spans="2:48" ht="15" customHeight="1" thickBot="1" x14ac:dyDescent="0.25">
      <c r="B37" s="56"/>
      <c r="C37" s="57"/>
      <c r="E37" s="93"/>
      <c r="G37" s="1"/>
      <c r="H37" s="22"/>
      <c r="K37" s="19"/>
      <c r="L37" s="10"/>
      <c r="M37" s="10"/>
      <c r="N37" s="11"/>
      <c r="O37" s="11"/>
      <c r="P37" s="80" t="s">
        <v>101</v>
      </c>
      <c r="Q37" s="80">
        <v>1270</v>
      </c>
      <c r="R37" s="13"/>
      <c r="S37" s="13"/>
      <c r="T37" s="13"/>
      <c r="U37" s="13"/>
      <c r="V37" s="13"/>
      <c r="W37" s="91"/>
      <c r="X37" s="13"/>
      <c r="Y37" s="12"/>
      <c r="AA37" s="13"/>
      <c r="AD37" s="180"/>
      <c r="AE37" s="180"/>
      <c r="AF37" s="180"/>
      <c r="AG37" s="181"/>
      <c r="AH37" s="181"/>
      <c r="AI37" s="181"/>
      <c r="AJ37" s="181"/>
      <c r="AK37" s="181"/>
      <c r="AL37" s="181"/>
      <c r="AM37" s="181"/>
      <c r="AN37" s="181"/>
      <c r="AO37" s="181"/>
      <c r="AP37" s="182"/>
      <c r="AQ37" s="182"/>
      <c r="AR37" s="182"/>
      <c r="AS37" s="182"/>
      <c r="AT37" s="182"/>
      <c r="AU37" s="181"/>
    </row>
    <row r="38" spans="2:48" ht="15" customHeight="1" thickBot="1" x14ac:dyDescent="0.25">
      <c r="B38" s="58"/>
      <c r="C38" s="57"/>
      <c r="G38" s="1"/>
      <c r="H38" s="22"/>
      <c r="K38" s="19"/>
      <c r="L38" s="10"/>
      <c r="M38" s="10"/>
      <c r="N38" s="11"/>
      <c r="O38" s="77" t="s">
        <v>100</v>
      </c>
      <c r="P38" s="50">
        <v>1.2</v>
      </c>
      <c r="Q38" s="82">
        <f>ROUNDUP((Q36*P38)+Q37,-2)</f>
        <v>3000</v>
      </c>
      <c r="R38" s="83"/>
      <c r="S38" s="83"/>
      <c r="T38" s="83">
        <f>ROUNDUP(T36*P38,-2)</f>
        <v>8600</v>
      </c>
      <c r="U38" s="83">
        <f>ROUNDUP(U36*P38,-2)</f>
        <v>8000</v>
      </c>
      <c r="V38" s="83">
        <f>ROUNDUP(V36*P38,-2)</f>
        <v>800</v>
      </c>
      <c r="W38" s="92"/>
      <c r="X38" s="83"/>
      <c r="Y38" s="12"/>
      <c r="AA38" s="12"/>
      <c r="AD38" s="180"/>
      <c r="AE38" s="180"/>
      <c r="AF38" s="180"/>
      <c r="AG38" s="181"/>
      <c r="AH38" s="181"/>
      <c r="AI38" s="181"/>
      <c r="AJ38" s="181"/>
      <c r="AK38" s="181"/>
      <c r="AL38" s="181"/>
      <c r="AM38" s="181"/>
      <c r="AN38" s="181"/>
      <c r="AO38" s="181"/>
      <c r="AP38" s="182"/>
      <c r="AQ38" s="182"/>
      <c r="AR38" s="182"/>
      <c r="AS38" s="182"/>
      <c r="AT38" s="182"/>
      <c r="AU38" s="181"/>
    </row>
    <row r="39" spans="2:48" ht="15" customHeight="1" x14ac:dyDescent="0.2">
      <c r="B39" s="56"/>
      <c r="C39" s="57"/>
      <c r="O39" s="1" t="s">
        <v>48</v>
      </c>
      <c r="P39" s="78" t="s">
        <v>87</v>
      </c>
      <c r="Q39" s="79">
        <f>(Q38/T38)*100</f>
        <v>34.883720930232556</v>
      </c>
      <c r="AD39" s="180"/>
      <c r="AE39" s="180"/>
      <c r="AF39" s="180"/>
      <c r="AG39" s="181"/>
      <c r="AH39" s="181"/>
      <c r="AI39" s="181"/>
      <c r="AJ39" s="181"/>
      <c r="AK39" s="181"/>
      <c r="AL39" s="181"/>
      <c r="AM39" s="181"/>
      <c r="AN39" s="181"/>
      <c r="AO39" s="181"/>
      <c r="AP39" s="182"/>
      <c r="AQ39" s="182"/>
      <c r="AR39" s="182"/>
      <c r="AS39" s="182"/>
      <c r="AT39" s="182"/>
      <c r="AU39" s="181"/>
    </row>
    <row r="40" spans="2:48" ht="15" customHeight="1" x14ac:dyDescent="0.2">
      <c r="K40"/>
      <c r="N40"/>
      <c r="AD40" s="180"/>
      <c r="AE40" s="180"/>
      <c r="AF40" s="180"/>
      <c r="AG40" s="181"/>
      <c r="AH40" s="181"/>
      <c r="AI40" s="181"/>
      <c r="AJ40" s="181"/>
      <c r="AK40" s="181"/>
      <c r="AL40" s="181"/>
      <c r="AM40" s="181"/>
      <c r="AN40" s="181"/>
      <c r="AO40" s="181"/>
      <c r="AP40" s="182"/>
      <c r="AQ40" s="182"/>
      <c r="AR40" s="182"/>
      <c r="AS40" s="182"/>
      <c r="AT40" s="182"/>
      <c r="AU40" s="181"/>
    </row>
    <row r="41" spans="2:48" ht="15" customHeight="1" x14ac:dyDescent="0.2">
      <c r="AD41" s="180"/>
      <c r="AE41" s="180"/>
      <c r="AF41" s="180"/>
      <c r="AG41" s="181"/>
      <c r="AH41" s="181"/>
      <c r="AI41" s="181"/>
      <c r="AJ41" s="181"/>
      <c r="AK41" s="181"/>
      <c r="AL41" s="181"/>
      <c r="AM41" s="181"/>
      <c r="AN41" s="181"/>
      <c r="AO41" s="181"/>
      <c r="AP41" s="182"/>
      <c r="AQ41" s="182"/>
      <c r="AR41" s="182"/>
      <c r="AS41" s="182"/>
      <c r="AT41" s="182"/>
      <c r="AU41" s="181"/>
    </row>
    <row r="42" spans="2:48" ht="15" customHeight="1" x14ac:dyDescent="0.2">
      <c r="AD42" s="180"/>
      <c r="AE42" s="180"/>
      <c r="AF42" s="180"/>
      <c r="AG42" s="181"/>
      <c r="AH42" s="181"/>
      <c r="AI42" s="181"/>
      <c r="AJ42" s="181"/>
      <c r="AK42" s="181"/>
      <c r="AL42" s="181"/>
      <c r="AM42" s="181"/>
      <c r="AN42" s="181"/>
      <c r="AO42" s="181"/>
      <c r="AP42" s="182"/>
      <c r="AQ42" s="182"/>
      <c r="AR42" s="182"/>
      <c r="AS42" s="182"/>
      <c r="AT42" s="182"/>
      <c r="AU42" s="181"/>
    </row>
    <row r="43" spans="2:48" ht="15" customHeight="1" x14ac:dyDescent="0.2">
      <c r="AD43" s="180"/>
      <c r="AE43" s="180"/>
      <c r="AF43" s="180"/>
      <c r="AG43" s="181"/>
      <c r="AH43" s="181"/>
      <c r="AI43" s="181"/>
      <c r="AJ43" s="181"/>
      <c r="AK43" s="181"/>
      <c r="AL43" s="181"/>
      <c r="AM43" s="181"/>
      <c r="AN43" s="181"/>
      <c r="AO43" s="181"/>
      <c r="AP43" s="182"/>
      <c r="AQ43" s="182"/>
      <c r="AR43" s="182"/>
      <c r="AS43" s="182"/>
      <c r="AT43" s="182"/>
      <c r="AU43" s="181"/>
    </row>
    <row r="44" spans="2:48" ht="15" customHeight="1" x14ac:dyDescent="0.2">
      <c r="AD44" s="180"/>
      <c r="AE44" s="180"/>
      <c r="AF44" s="180"/>
      <c r="AG44" s="181"/>
      <c r="AH44" s="181"/>
      <c r="AI44" s="181"/>
      <c r="AJ44" s="181"/>
      <c r="AK44" s="181"/>
      <c r="AL44" s="181"/>
      <c r="AM44" s="181"/>
      <c r="AN44" s="181"/>
      <c r="AO44" s="181"/>
      <c r="AP44" s="182"/>
      <c r="AQ44" s="182"/>
      <c r="AR44" s="182"/>
      <c r="AS44" s="182"/>
      <c r="AT44" s="182"/>
      <c r="AU44" s="181"/>
    </row>
    <row r="45" spans="2:48" ht="15" customHeight="1" x14ac:dyDescent="0.2">
      <c r="AD45" s="180"/>
      <c r="AE45" s="180"/>
      <c r="AF45" s="180"/>
      <c r="AG45" s="17"/>
      <c r="AH45" s="181"/>
      <c r="AI45" s="181"/>
      <c r="AJ45" s="181"/>
      <c r="AK45" s="181"/>
      <c r="AL45" s="181"/>
      <c r="AM45" s="181"/>
      <c r="AN45" s="181"/>
      <c r="AO45" s="181"/>
      <c r="AP45" s="182"/>
      <c r="AQ45" s="182"/>
      <c r="AR45" s="182"/>
      <c r="AS45" s="182"/>
      <c r="AT45" s="182"/>
      <c r="AU45" s="181"/>
    </row>
    <row r="46" spans="2:48" ht="15" customHeight="1" x14ac:dyDescent="0.2">
      <c r="AV46" s="17"/>
    </row>
    <row r="47" spans="2:48" ht="15" customHeight="1" x14ac:dyDescent="0.2">
      <c r="AV47" s="17"/>
    </row>
    <row r="48" spans="2:48" ht="15" customHeight="1" x14ac:dyDescent="0.2">
      <c r="AV48" s="17"/>
    </row>
    <row r="49" spans="33:48" ht="15" customHeight="1" x14ac:dyDescent="0.2">
      <c r="AV49" s="17"/>
    </row>
    <row r="50" spans="33:48" ht="15" customHeight="1" x14ac:dyDescent="0.2">
      <c r="AV50" s="17"/>
    </row>
    <row r="51" spans="33:48" ht="15" customHeight="1" x14ac:dyDescent="0.2">
      <c r="AV51" s="17"/>
    </row>
    <row r="52" spans="33:48" ht="15" customHeight="1" x14ac:dyDescent="0.2"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V52" s="17"/>
    </row>
    <row r="53" spans="33:48" ht="15" customHeight="1" x14ac:dyDescent="0.2"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V53" s="17"/>
    </row>
    <row r="54" spans="33:48" ht="15" customHeight="1" x14ac:dyDescent="0.2"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V54" s="17"/>
    </row>
    <row r="55" spans="33:48" ht="15" customHeight="1" x14ac:dyDescent="0.2"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V55" s="17"/>
    </row>
    <row r="56" spans="33:48" ht="15" customHeight="1" x14ac:dyDescent="0.2"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V56" s="17"/>
    </row>
    <row r="57" spans="33:48" ht="15" customHeight="1" x14ac:dyDescent="0.2"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V57" s="17"/>
    </row>
    <row r="58" spans="33:48" ht="15" customHeight="1" x14ac:dyDescent="0.2"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V58" s="17"/>
    </row>
    <row r="59" spans="33:48" ht="15" customHeight="1" x14ac:dyDescent="0.2"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V59" s="17"/>
    </row>
    <row r="60" spans="33:48" ht="15" customHeight="1" x14ac:dyDescent="0.2"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V60" s="17"/>
    </row>
    <row r="61" spans="33:48" ht="15" customHeight="1" x14ac:dyDescent="0.2"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V61" s="17"/>
    </row>
    <row r="62" spans="33:48" ht="15" customHeight="1" x14ac:dyDescent="0.2"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V62" s="17"/>
    </row>
    <row r="63" spans="33:48" ht="15" customHeight="1" x14ac:dyDescent="0.2"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V63" s="17"/>
    </row>
    <row r="64" spans="33:48" ht="15" customHeight="1" x14ac:dyDescent="0.2"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V64" s="17"/>
    </row>
    <row r="65" spans="28:48" ht="15" customHeight="1" x14ac:dyDescent="0.2"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V65" s="17"/>
    </row>
    <row r="66" spans="28:48" ht="15" customHeight="1" x14ac:dyDescent="0.2"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V66" s="17"/>
    </row>
    <row r="67" spans="28:48" ht="15" customHeight="1" x14ac:dyDescent="0.2"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V67" s="17"/>
    </row>
    <row r="68" spans="28:48" ht="15" customHeight="1" x14ac:dyDescent="0.2"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V68" s="17"/>
    </row>
    <row r="69" spans="28:48" ht="15" customHeight="1" x14ac:dyDescent="0.2"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V69" s="17"/>
    </row>
    <row r="70" spans="28:48" ht="15" customHeight="1" x14ac:dyDescent="0.2"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V70" s="17"/>
    </row>
    <row r="71" spans="28:48" ht="15" customHeight="1" x14ac:dyDescent="0.2"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V71" s="17"/>
    </row>
    <row r="72" spans="28:48" ht="15" customHeight="1" x14ac:dyDescent="0.2"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V72" s="17"/>
    </row>
    <row r="73" spans="28:48" ht="15" customHeight="1" x14ac:dyDescent="0.2">
      <c r="AB73" s="62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V73" s="17"/>
    </row>
    <row r="74" spans="28:48" ht="15" customHeight="1" x14ac:dyDescent="0.2"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V74" s="17"/>
    </row>
    <row r="75" spans="28:48" ht="15" customHeight="1" x14ac:dyDescent="0.2"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V75" s="17"/>
    </row>
    <row r="76" spans="28:48" ht="15" customHeight="1" x14ac:dyDescent="0.2"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V76" s="17"/>
    </row>
    <row r="77" spans="28:48" ht="15" customHeight="1" x14ac:dyDescent="0.2"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V77" s="17"/>
    </row>
    <row r="78" spans="28:48" ht="15" customHeight="1" x14ac:dyDescent="0.2"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V78" s="17"/>
    </row>
    <row r="79" spans="28:48" ht="15" customHeight="1" x14ac:dyDescent="0.2"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V79" s="17"/>
    </row>
    <row r="80" spans="28:48" ht="15" customHeight="1" x14ac:dyDescent="0.2"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V80" s="17"/>
    </row>
    <row r="81" spans="33:48" ht="15" customHeight="1" x14ac:dyDescent="0.2"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V81" s="17"/>
    </row>
    <row r="82" spans="33:48" ht="15" customHeight="1" x14ac:dyDescent="0.2"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V82" s="17"/>
    </row>
    <row r="83" spans="33:48" ht="15" customHeight="1" x14ac:dyDescent="0.2"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V83" s="17"/>
    </row>
    <row r="84" spans="33:48" ht="15" customHeight="1" x14ac:dyDescent="0.2"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V84" s="17"/>
    </row>
    <row r="85" spans="33:48" ht="15" customHeight="1" x14ac:dyDescent="0.2"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V85" s="17"/>
    </row>
    <row r="86" spans="33:48" ht="15" customHeight="1" x14ac:dyDescent="0.2"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V86" s="17"/>
    </row>
    <row r="87" spans="33:48" ht="15" customHeight="1" x14ac:dyDescent="0.2"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V87" s="17"/>
    </row>
    <row r="88" spans="33:48" ht="15" customHeight="1" x14ac:dyDescent="0.2"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V88" s="17"/>
    </row>
    <row r="89" spans="33:48" ht="15" customHeight="1" x14ac:dyDescent="0.2"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V89" s="17"/>
    </row>
    <row r="90" spans="33:48" ht="15" customHeight="1" x14ac:dyDescent="0.2"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V90" s="17"/>
    </row>
    <row r="91" spans="33:48" ht="15" customHeight="1" x14ac:dyDescent="0.2"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V91" s="17"/>
    </row>
    <row r="92" spans="33:48" ht="15" customHeight="1" x14ac:dyDescent="0.2"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V92" s="17"/>
    </row>
    <row r="93" spans="33:48" ht="15" customHeight="1" x14ac:dyDescent="0.2"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V93" s="17"/>
    </row>
    <row r="94" spans="33:48" ht="15" customHeight="1" x14ac:dyDescent="0.2"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V94" s="17"/>
    </row>
    <row r="95" spans="33:48" ht="15" customHeight="1" x14ac:dyDescent="0.2"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V95" s="17"/>
    </row>
    <row r="96" spans="33:48" ht="15" customHeight="1" x14ac:dyDescent="0.2"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V96" s="17"/>
    </row>
    <row r="97" spans="33:48" ht="15" customHeight="1" x14ac:dyDescent="0.2"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V97" s="17"/>
    </row>
    <row r="98" spans="33:48" ht="15" customHeight="1" x14ac:dyDescent="0.2"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V98" s="17"/>
    </row>
    <row r="99" spans="33:48" ht="15" customHeight="1" x14ac:dyDescent="0.2"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V99" s="17"/>
    </row>
    <row r="100" spans="33:48" ht="15" customHeight="1" x14ac:dyDescent="0.2"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V100" s="17"/>
    </row>
    <row r="101" spans="33:48" ht="15.75" customHeight="1" x14ac:dyDescent="0.2"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V101" s="17"/>
    </row>
    <row r="102" spans="33:48" x14ac:dyDescent="0.2"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V102" s="17"/>
    </row>
    <row r="103" spans="33:48" x14ac:dyDescent="0.2"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V103" s="17"/>
    </row>
    <row r="104" spans="33:48" x14ac:dyDescent="0.2"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V104" s="17"/>
    </row>
    <row r="105" spans="33:48" ht="15" customHeight="1" x14ac:dyDescent="0.2"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V105" s="17"/>
    </row>
    <row r="106" spans="33:48" x14ac:dyDescent="0.2">
      <c r="AQ106" s="54"/>
      <c r="AR106" s="54"/>
      <c r="AS106" s="54"/>
      <c r="AT106" s="54"/>
    </row>
  </sheetData>
  <dataConsolidate topLabels="1">
    <dataRefs count="1">
      <dataRef ref="C8:D86" sheet="AHU-1"/>
    </dataRefs>
  </dataConsolidate>
  <mergeCells count="8">
    <mergeCell ref="AD25:AU28"/>
    <mergeCell ref="AX10:AZ10"/>
    <mergeCell ref="D5:V5"/>
    <mergeCell ref="D6:G6"/>
    <mergeCell ref="H6:R6"/>
    <mergeCell ref="S6:V6"/>
    <mergeCell ref="Y6:AA6"/>
    <mergeCell ref="AD6:AU6"/>
  </mergeCells>
  <phoneticPr fontId="28" type="noConversion"/>
  <conditionalFormatting sqref="Z8:Z35">
    <cfRule type="cellIs" dxfId="0" priority="1" operator="greaterThan">
      <formula>$Q$39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488F03E6-E20A-4C73-BB1B-17253218EBD9}">
          <x14:formula1>
            <xm:f>'UMC Table 4-A'!$A$10:$A$139</xm:f>
          </x14:formula1>
          <xm:sqref>N8:N35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pageSetUpPr fitToPage="1"/>
  </sheetPr>
  <dimension ref="B1:BF31"/>
  <sheetViews>
    <sheetView zoomScaleNormal="100" workbookViewId="0">
      <pane xSplit="2" ySplit="5" topLeftCell="C6" activePane="bottomRight" state="frozen"/>
      <selection activeCell="N143" sqref="N143"/>
      <selection pane="topRight" activeCell="N143" sqref="N143"/>
      <selection pane="bottomLeft" activeCell="N143" sqref="N143"/>
      <selection pane="bottomRight" activeCell="M15" sqref="M15:P15"/>
    </sheetView>
  </sheetViews>
  <sheetFormatPr defaultRowHeight="12.75" x14ac:dyDescent="0.2"/>
  <cols>
    <col min="1" max="1" width="14.140625" bestFit="1" customWidth="1"/>
    <col min="2" max="2" width="14.85546875" bestFit="1" customWidth="1"/>
    <col min="3" max="3" width="13.140625" bestFit="1" customWidth="1"/>
    <col min="4" max="4" width="11.42578125" hidden="1" customWidth="1"/>
    <col min="5" max="5" width="11.85546875" bestFit="1" customWidth="1"/>
    <col min="6" max="6" width="15.7109375" hidden="1" customWidth="1"/>
    <col min="7" max="7" width="15.7109375" bestFit="1" customWidth="1"/>
    <col min="8" max="8" width="9.28515625" customWidth="1"/>
    <col min="9" max="10" width="9.140625" customWidth="1"/>
    <col min="11" max="11" width="10" customWidth="1"/>
    <col min="12" max="15" width="9.140625" customWidth="1"/>
    <col min="16" max="16" width="9.7109375" customWidth="1"/>
    <col min="17" max="22" width="9.140625" customWidth="1"/>
    <col min="23" max="23" width="10" customWidth="1"/>
    <col min="24" max="25" width="9.5703125" customWidth="1"/>
    <col min="26" max="27" width="9.5703125" hidden="1" customWidth="1"/>
    <col min="28" max="28" width="8.28515625" customWidth="1"/>
    <col min="29" max="34" width="9.140625" customWidth="1"/>
    <col min="35" max="37" width="9.140625" hidden="1" customWidth="1"/>
    <col min="38" max="38" width="10" customWidth="1"/>
    <col min="39" max="39" width="14.7109375" customWidth="1"/>
    <col min="40" max="40" width="8.28515625" customWidth="1"/>
    <col min="41" max="42" width="9.5703125" hidden="1" customWidth="1"/>
    <col min="43" max="43" width="8.28515625" customWidth="1"/>
    <col min="44" max="44" width="14.85546875" bestFit="1" customWidth="1"/>
    <col min="45" max="47" width="9.140625" customWidth="1"/>
    <col min="48" max="48" width="26" customWidth="1"/>
    <col min="49" max="49" width="17" customWidth="1"/>
    <col min="50" max="51" width="9.5703125" hidden="1" customWidth="1"/>
    <col min="52" max="52" width="8.28515625" customWidth="1"/>
    <col min="53" max="53" width="9.7109375" customWidth="1"/>
    <col min="54" max="54" width="9.28515625" bestFit="1" customWidth="1"/>
    <col min="57" max="57" width="22.5703125" customWidth="1"/>
    <col min="58" max="58" width="9.85546875" bestFit="1" customWidth="1"/>
  </cols>
  <sheetData>
    <row r="1" spans="2:58" ht="13.5" thickBot="1" x14ac:dyDescent="0.25"/>
    <row r="2" spans="2:58" x14ac:dyDescent="0.2">
      <c r="B2" s="270" t="s">
        <v>56</v>
      </c>
      <c r="C2" s="271" t="s">
        <v>57</v>
      </c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 t="s">
        <v>58</v>
      </c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 t="s">
        <v>59</v>
      </c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 t="s">
        <v>60</v>
      </c>
      <c r="AS2" s="271"/>
      <c r="AT2" s="271" t="s">
        <v>130</v>
      </c>
      <c r="AU2" s="271"/>
      <c r="AV2" s="271"/>
      <c r="AW2" s="271"/>
      <c r="AX2" s="271"/>
      <c r="AY2" s="271"/>
      <c r="AZ2" s="271"/>
      <c r="BA2" s="271" t="s">
        <v>111</v>
      </c>
      <c r="BB2" s="271"/>
      <c r="BC2" s="271" t="s">
        <v>62</v>
      </c>
      <c r="BD2" s="271"/>
      <c r="BE2" s="271"/>
      <c r="BF2" s="272"/>
    </row>
    <row r="3" spans="2:58" ht="32.25" customHeight="1" x14ac:dyDescent="0.2">
      <c r="B3" s="210"/>
      <c r="C3" s="211" t="s">
        <v>21</v>
      </c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58" t="s">
        <v>63</v>
      </c>
      <c r="Q3" s="260" t="s">
        <v>64</v>
      </c>
      <c r="R3" s="211"/>
      <c r="S3" s="211"/>
      <c r="T3" s="211"/>
      <c r="U3" s="211"/>
      <c r="V3" s="211"/>
      <c r="W3" s="212" t="s">
        <v>66</v>
      </c>
      <c r="X3" s="212"/>
      <c r="Y3" s="294" t="s">
        <v>842</v>
      </c>
      <c r="Z3" s="293" t="s">
        <v>843</v>
      </c>
      <c r="AA3" s="295"/>
      <c r="AB3" s="296"/>
      <c r="AC3" s="260" t="s">
        <v>64</v>
      </c>
      <c r="AD3" s="211"/>
      <c r="AE3" s="211"/>
      <c r="AF3" s="211"/>
      <c r="AG3" s="211"/>
      <c r="AH3" s="211"/>
      <c r="AI3" s="211" t="s">
        <v>65</v>
      </c>
      <c r="AJ3" s="211"/>
      <c r="AK3" s="211"/>
      <c r="AL3" s="212" t="s">
        <v>67</v>
      </c>
      <c r="AM3" s="212"/>
      <c r="AN3" s="209" t="s">
        <v>28</v>
      </c>
      <c r="AO3" s="209" t="s">
        <v>395</v>
      </c>
      <c r="AP3" s="209"/>
      <c r="AQ3" s="209"/>
      <c r="AR3" s="300" t="s">
        <v>68</v>
      </c>
      <c r="AS3" s="301" t="s">
        <v>36</v>
      </c>
      <c r="AT3" s="168"/>
      <c r="AU3" s="260" t="s">
        <v>39</v>
      </c>
      <c r="AV3" s="211"/>
      <c r="AW3" s="310" t="s">
        <v>22</v>
      </c>
      <c r="AX3" s="209" t="s">
        <v>398</v>
      </c>
      <c r="AY3" s="209"/>
      <c r="AZ3" s="209"/>
      <c r="BA3" s="261" t="s">
        <v>114</v>
      </c>
      <c r="BB3" s="260" t="s">
        <v>113</v>
      </c>
      <c r="BC3" s="168"/>
      <c r="BD3" s="168"/>
      <c r="BE3" s="168"/>
      <c r="BF3" s="273"/>
    </row>
    <row r="4" spans="2:58" ht="25.5" x14ac:dyDescent="0.2">
      <c r="B4" s="210"/>
      <c r="C4" s="61" t="s">
        <v>23</v>
      </c>
      <c r="D4" s="61"/>
      <c r="E4" s="209" t="s">
        <v>69</v>
      </c>
      <c r="F4" s="209"/>
      <c r="G4" s="209"/>
      <c r="H4" s="209"/>
      <c r="I4" s="209" t="s">
        <v>70</v>
      </c>
      <c r="J4" s="209"/>
      <c r="K4" s="209"/>
      <c r="L4" s="209" t="s">
        <v>71</v>
      </c>
      <c r="M4" s="209"/>
      <c r="N4" s="209"/>
      <c r="O4" s="61" t="s">
        <v>72</v>
      </c>
      <c r="P4" s="209"/>
      <c r="Q4" s="209" t="s">
        <v>24</v>
      </c>
      <c r="R4" s="209"/>
      <c r="S4" s="209"/>
      <c r="T4" s="209" t="s">
        <v>25</v>
      </c>
      <c r="U4" s="209"/>
      <c r="V4" s="209"/>
      <c r="W4" s="61" t="s">
        <v>26</v>
      </c>
      <c r="X4" s="61" t="s">
        <v>27</v>
      </c>
      <c r="Y4" s="294"/>
      <c r="Z4" s="297"/>
      <c r="AA4" s="298"/>
      <c r="AB4" s="299"/>
      <c r="AC4" s="209" t="s">
        <v>24</v>
      </c>
      <c r="AD4" s="209"/>
      <c r="AE4" s="209"/>
      <c r="AF4" s="209" t="s">
        <v>25</v>
      </c>
      <c r="AG4" s="209"/>
      <c r="AH4" s="209"/>
      <c r="AI4" s="61" t="s">
        <v>26</v>
      </c>
      <c r="AJ4" s="61" t="s">
        <v>73</v>
      </c>
      <c r="AK4" s="61" t="s">
        <v>27</v>
      </c>
      <c r="AL4" s="61" t="s">
        <v>26</v>
      </c>
      <c r="AM4" s="61" t="s">
        <v>27</v>
      </c>
      <c r="AN4" s="209"/>
      <c r="AO4" s="66" t="s">
        <v>50</v>
      </c>
      <c r="AP4" s="66" t="s">
        <v>396</v>
      </c>
      <c r="AQ4" s="61" t="s">
        <v>397</v>
      </c>
      <c r="AR4" s="300"/>
      <c r="AS4" s="301"/>
      <c r="AT4" s="61" t="s">
        <v>23</v>
      </c>
      <c r="AU4" s="61" t="s">
        <v>24</v>
      </c>
      <c r="AV4" s="61" t="s">
        <v>25</v>
      </c>
      <c r="AW4" s="311" t="s">
        <v>26</v>
      </c>
      <c r="AX4" s="66" t="s">
        <v>50</v>
      </c>
      <c r="AY4" s="66" t="s">
        <v>396</v>
      </c>
      <c r="AZ4" s="61" t="s">
        <v>397</v>
      </c>
      <c r="BA4" s="261"/>
      <c r="BB4" s="260"/>
      <c r="BC4" s="61" t="s">
        <v>24</v>
      </c>
      <c r="BD4" s="262" t="s">
        <v>25</v>
      </c>
      <c r="BE4" s="61" t="s">
        <v>25</v>
      </c>
      <c r="BF4" s="308" t="s">
        <v>26</v>
      </c>
    </row>
    <row r="5" spans="2:58" ht="15.75" thickBot="1" x14ac:dyDescent="0.25">
      <c r="B5" s="274"/>
      <c r="C5" s="35" t="s">
        <v>29</v>
      </c>
      <c r="D5" s="35" t="s">
        <v>125</v>
      </c>
      <c r="E5" s="35" t="s">
        <v>29</v>
      </c>
      <c r="F5" s="35" t="s">
        <v>126</v>
      </c>
      <c r="G5" s="275" t="s">
        <v>30</v>
      </c>
      <c r="H5" s="275" t="s">
        <v>31</v>
      </c>
      <c r="I5" s="35" t="s">
        <v>29</v>
      </c>
      <c r="J5" s="275" t="s">
        <v>30</v>
      </c>
      <c r="K5" s="275" t="s">
        <v>31</v>
      </c>
      <c r="L5" s="35" t="s">
        <v>29</v>
      </c>
      <c r="M5" s="275" t="s">
        <v>30</v>
      </c>
      <c r="N5" s="275" t="s">
        <v>31</v>
      </c>
      <c r="O5" s="275" t="s">
        <v>30</v>
      </c>
      <c r="P5" s="35" t="s">
        <v>29</v>
      </c>
      <c r="Q5" s="275" t="s">
        <v>30</v>
      </c>
      <c r="R5" s="275" t="s">
        <v>31</v>
      </c>
      <c r="S5" s="275" t="s">
        <v>32</v>
      </c>
      <c r="T5" s="275" t="s">
        <v>30</v>
      </c>
      <c r="U5" s="275" t="s">
        <v>31</v>
      </c>
      <c r="V5" s="275" t="s">
        <v>32</v>
      </c>
      <c r="W5" s="35" t="s">
        <v>33</v>
      </c>
      <c r="X5" s="35" t="s">
        <v>33</v>
      </c>
      <c r="Y5" s="276" t="s">
        <v>34</v>
      </c>
      <c r="Z5" s="276" t="s">
        <v>30</v>
      </c>
      <c r="AA5" s="276" t="s">
        <v>30</v>
      </c>
      <c r="AB5" s="276" t="s">
        <v>49</v>
      </c>
      <c r="AC5" s="275" t="s">
        <v>30</v>
      </c>
      <c r="AD5" s="275" t="s">
        <v>31</v>
      </c>
      <c r="AE5" s="275" t="s">
        <v>32</v>
      </c>
      <c r="AF5" s="275" t="s">
        <v>30</v>
      </c>
      <c r="AG5" s="275" t="s">
        <v>31</v>
      </c>
      <c r="AH5" s="275" t="s">
        <v>32</v>
      </c>
      <c r="AI5" s="35" t="s">
        <v>33</v>
      </c>
      <c r="AJ5" s="35" t="s">
        <v>33</v>
      </c>
      <c r="AK5" s="35" t="s">
        <v>33</v>
      </c>
      <c r="AL5" s="35" t="s">
        <v>33</v>
      </c>
      <c r="AM5" s="35" t="s">
        <v>33</v>
      </c>
      <c r="AN5" s="35" t="s">
        <v>34</v>
      </c>
      <c r="AO5" s="276" t="s">
        <v>30</v>
      </c>
      <c r="AP5" s="276" t="s">
        <v>30</v>
      </c>
      <c r="AQ5" s="276" t="s">
        <v>49</v>
      </c>
      <c r="AR5" s="302" t="s">
        <v>34</v>
      </c>
      <c r="AS5" s="303"/>
      <c r="AT5" s="35" t="s">
        <v>29</v>
      </c>
      <c r="AU5" s="275" t="s">
        <v>30</v>
      </c>
      <c r="AV5" s="275" t="s">
        <v>30</v>
      </c>
      <c r="AW5" s="302" t="s">
        <v>74</v>
      </c>
      <c r="AX5" s="276" t="s">
        <v>30</v>
      </c>
      <c r="AY5" s="276" t="s">
        <v>30</v>
      </c>
      <c r="AZ5" s="276" t="s">
        <v>49</v>
      </c>
      <c r="BA5" s="35" t="s">
        <v>112</v>
      </c>
      <c r="BB5" s="277" t="s">
        <v>112</v>
      </c>
      <c r="BC5" s="275" t="s">
        <v>30</v>
      </c>
      <c r="BD5" s="275" t="s">
        <v>30</v>
      </c>
      <c r="BE5" s="275" t="s">
        <v>30</v>
      </c>
      <c r="BF5" s="309" t="s">
        <v>75</v>
      </c>
    </row>
    <row r="6" spans="2:58" ht="15" x14ac:dyDescent="0.2">
      <c r="B6" s="265" t="s">
        <v>399</v>
      </c>
      <c r="C6" s="266">
        <f>'AHU-1'!T83</f>
        <v>23900</v>
      </c>
      <c r="D6" s="267"/>
      <c r="E6" s="266">
        <f>'AHU-1'!U83</f>
        <v>21800</v>
      </c>
      <c r="F6" s="18"/>
      <c r="G6" s="284">
        <v>72</v>
      </c>
      <c r="H6" s="284">
        <v>60</v>
      </c>
      <c r="I6" s="266">
        <f>'AHU-1'!Q83</f>
        <v>9400</v>
      </c>
      <c r="J6" s="18">
        <f>INPUTS!C5</f>
        <v>93.1</v>
      </c>
      <c r="K6" s="18">
        <f>INPUTS!C6</f>
        <v>71</v>
      </c>
      <c r="L6" s="266">
        <f>I6</f>
        <v>9400</v>
      </c>
      <c r="M6" s="18">
        <f>INPUTS!C8</f>
        <v>80.400000000000006</v>
      </c>
      <c r="N6" s="18">
        <v>68.599999999999994</v>
      </c>
      <c r="O6" s="18">
        <f>INPUTS!$F5</f>
        <v>38.9</v>
      </c>
      <c r="P6" s="266">
        <f>E6+I6-C6</f>
        <v>7300</v>
      </c>
      <c r="Q6" s="18">
        <f>G6*((E6-P6)/C6) + J6*(I6/C6)</f>
        <v>80.298744769874475</v>
      </c>
      <c r="R6" s="18">
        <f>TRUNC(H6*((E6-P6)/C6) + K6*(I6/C6),1)</f>
        <v>64.3</v>
      </c>
      <c r="S6" s="243">
        <f>VLOOKUP(FLOOR(R6,1),'DO NOT TOUCH'!$A$7:$K$57,MATCH(ROUND((R6-FLOOR(R6,1)),1),'DO NOT TOUCH'!$A$6:$K$6,0),FALSE)</f>
        <v>29.54</v>
      </c>
      <c r="T6" s="18">
        <v>53</v>
      </c>
      <c r="U6" s="18">
        <v>50.5</v>
      </c>
      <c r="V6" s="18">
        <f>VLOOKUP(FLOOR(U6,1),'DO NOT TOUCH'!$A$7:$K$57,MATCH(ROUND((U6-FLOOR(U6,1)),1),'DO NOT TOUCH'!$A$6:$K$6,0),FALSE)</f>
        <v>20.58</v>
      </c>
      <c r="W6" s="265">
        <f>C6*1.085*(Q6-T6)</f>
        <v>707897.39999999991</v>
      </c>
      <c r="X6" s="183">
        <f>4.5*C6*(S6-V6)</f>
        <v>963648.00000000012</v>
      </c>
      <c r="Y6" s="183">
        <f>X6/12000</f>
        <v>80.304000000000016</v>
      </c>
      <c r="Z6" s="183">
        <f>INPUTS!$C$12</f>
        <v>42</v>
      </c>
      <c r="AA6" s="66">
        <f>INPUTS!$C$13</f>
        <v>56</v>
      </c>
      <c r="AB6" s="155">
        <f t="shared" ref="AB6:AB9" si="0">X6/(500*(AA6-Z6))</f>
        <v>137.66400000000002</v>
      </c>
      <c r="AC6" s="18">
        <f>G6*((E6-P6)/C6) + M6*(I6/C6)</f>
        <v>75.303765690376565</v>
      </c>
      <c r="AD6" s="18">
        <f>H6*((E6-P6)/C6) + N6*(I6/C6)</f>
        <v>63.382426778242674</v>
      </c>
      <c r="AE6" s="18">
        <f>VLOOKUP(FLOOR(AD6,1),'DO NOT TOUCH'!$A$7:$K$57,MATCH(ROUND((AD6-FLOOR(AD6,1)),1),'DO NOT TOUCH'!$A$6:$K$6,0),FALSE)</f>
        <v>28.87</v>
      </c>
      <c r="AF6" s="282">
        <v>52</v>
      </c>
      <c r="AG6" s="282">
        <v>52</v>
      </c>
      <c r="AH6" s="18">
        <f>VLOOKUP(FLOOR(AG6,1),'DO NOT TOUCH'!$A$7:$K$57,MATCH(ROUND((AG6-FLOOR(AG6,1)),1),'DO NOT TOUCH'!$A$6:$K$6,0),FALSE)</f>
        <v>21.44</v>
      </c>
      <c r="AI6" s="269">
        <v>0</v>
      </c>
      <c r="AJ6" s="269">
        <v>0</v>
      </c>
      <c r="AK6" s="265">
        <f>AJ6+AI6</f>
        <v>0</v>
      </c>
      <c r="AL6" s="183">
        <f>C6*1.085*(AC6-AF6)</f>
        <v>604301.59999999986</v>
      </c>
      <c r="AM6" s="183">
        <f>4.5*C6*(AE6-AH6)</f>
        <v>799096.5</v>
      </c>
      <c r="AN6" s="18">
        <f>AM6/12000</f>
        <v>66.591374999999999</v>
      </c>
      <c r="AO6" s="183">
        <f>INPUTS!$C$12</f>
        <v>42</v>
      </c>
      <c r="AP6" s="66">
        <f>INPUTS!$C$13</f>
        <v>56</v>
      </c>
      <c r="AQ6" s="268">
        <f>AM6/(500*(AP6-AO6))</f>
        <v>114.15664285714286</v>
      </c>
      <c r="AR6" s="304">
        <f>MAX(AN6,Y6)</f>
        <v>80.304000000000016</v>
      </c>
      <c r="AS6" s="305">
        <f>C6/AN6</f>
        <v>358.90533871691343</v>
      </c>
      <c r="AT6" s="266">
        <f>C6</f>
        <v>23900</v>
      </c>
      <c r="AU6" s="18">
        <f>G6*((E6-P6)/C6) + O6*(I6/C6)</f>
        <v>58.981589958158992</v>
      </c>
      <c r="AV6" s="18">
        <v>65</v>
      </c>
      <c r="AW6" s="312">
        <f>AT6*1.085*(AV6-AU6)/1000</f>
        <v>156.0664000000001</v>
      </c>
      <c r="AX6" s="183">
        <f>INPUTS!$C$14</f>
        <v>140</v>
      </c>
      <c r="AY6" s="183">
        <f>INPUTS!$C$15</f>
        <v>100</v>
      </c>
      <c r="AZ6" s="268">
        <f>(AW6*1000)/(500*(AX6-AY6))</f>
        <v>7.8033200000000056</v>
      </c>
      <c r="BA6" s="286"/>
      <c r="BB6" s="183">
        <f>BA6*(L6/1000)</f>
        <v>0</v>
      </c>
      <c r="BC6" s="18">
        <v>55</v>
      </c>
      <c r="BD6" s="18">
        <v>85</v>
      </c>
      <c r="BE6" s="18" t="s">
        <v>455</v>
      </c>
      <c r="BF6" s="304">
        <f>(AT6*1.08*(BD6-BC6))/1000</f>
        <v>774.36</v>
      </c>
    </row>
    <row r="7" spans="2:58" ht="15" x14ac:dyDescent="0.2">
      <c r="B7" s="65" t="s">
        <v>76</v>
      </c>
      <c r="C7" s="263">
        <f>'AHU-2'!T118</f>
        <v>23200</v>
      </c>
      <c r="D7" s="264"/>
      <c r="E7" s="263">
        <f>'AHU-2'!U118</f>
        <v>22600</v>
      </c>
      <c r="F7" s="63"/>
      <c r="G7" s="285">
        <v>72</v>
      </c>
      <c r="H7" s="285">
        <v>60</v>
      </c>
      <c r="I7" s="263">
        <f>'AHU-2'!Q118</f>
        <v>8200</v>
      </c>
      <c r="J7" s="63">
        <f>INPUTS!C5</f>
        <v>93.1</v>
      </c>
      <c r="K7" s="63">
        <f>INPUTS!C6</f>
        <v>71</v>
      </c>
      <c r="L7" s="263">
        <f t="shared" ref="L7:L9" si="1">I7</f>
        <v>8200</v>
      </c>
      <c r="M7" s="63">
        <f>INPUTS!C8</f>
        <v>80.400000000000006</v>
      </c>
      <c r="N7" s="63">
        <v>68.599999999999994</v>
      </c>
      <c r="O7" s="63">
        <f>INPUTS!$F5</f>
        <v>38.9</v>
      </c>
      <c r="P7" s="263">
        <f>E7+I7-C7</f>
        <v>7600</v>
      </c>
      <c r="Q7" s="63">
        <f>G7*((E7-P7)/C7) + J7*(I7/C7)</f>
        <v>79.457758620689646</v>
      </c>
      <c r="R7" s="63">
        <f t="shared" ref="R7:R9" si="2">TRUNC(H7*((E7-P7)/C7) + K7*(I7/C7),1)</f>
        <v>63.8</v>
      </c>
      <c r="S7" s="242">
        <f>VLOOKUP(FLOOR(R7,1),'DO NOT TOUCH'!$A$7:$K$57,MATCH(ROUND((R7-FLOOR(R7,1)),1),'DO NOT TOUCH'!$A$6:$K$6,0),FALSE)</f>
        <v>29.16</v>
      </c>
      <c r="T7" s="63">
        <v>53</v>
      </c>
      <c r="U7" s="63">
        <v>49.2</v>
      </c>
      <c r="V7" s="63">
        <f>VLOOKUP(FLOOR(U7,1),'DO NOT TOUCH'!$A$7:$K$57,MATCH(ROUND((U7-FLOOR(U7,1)),1),'DO NOT TOUCH'!$A$6:$K$6,0),FALSE)</f>
        <v>19.86</v>
      </c>
      <c r="W7" s="65">
        <f>C7*1.085*(Q7-T7)</f>
        <v>665994.69999999972</v>
      </c>
      <c r="X7" s="66">
        <f>4.5*C7*(S7-V7)</f>
        <v>970920.00000000012</v>
      </c>
      <c r="Y7" s="66">
        <f>X7/12000</f>
        <v>80.910000000000011</v>
      </c>
      <c r="Z7" s="183">
        <f>INPUTS!$C$12</f>
        <v>42</v>
      </c>
      <c r="AA7" s="66">
        <f>INPUTS!$C$13</f>
        <v>56</v>
      </c>
      <c r="AB7" s="155">
        <f t="shared" si="0"/>
        <v>138.70285714285717</v>
      </c>
      <c r="AC7" s="63">
        <f>G7*((E7-P7)/C7) + M7*(I7/C7)</f>
        <v>74.968965517241372</v>
      </c>
      <c r="AD7" s="63">
        <f>H7*((E7-P7)/C7) + N7*(I7/C7)</f>
        <v>63.039655172413788</v>
      </c>
      <c r="AE7" s="63">
        <f>VLOOKUP(FLOOR(AD7,1),'DO NOT TOUCH'!$A$7:$K$57,MATCH(ROUND((AD7-FLOOR(AD7,1)),1),'DO NOT TOUCH'!$A$6:$K$6,0),FALSE)</f>
        <v>28.57</v>
      </c>
      <c r="AF7" s="283">
        <v>52</v>
      </c>
      <c r="AG7" s="283">
        <v>52</v>
      </c>
      <c r="AH7" s="63">
        <f>VLOOKUP(FLOOR(AG7,1),'DO NOT TOUCH'!$A$7:$K$57,MATCH(ROUND((AG7-FLOOR(AG7,1)),1),'DO NOT TOUCH'!$A$6:$K$6,0),FALSE)</f>
        <v>21.44</v>
      </c>
      <c r="AI7" s="64">
        <v>0</v>
      </c>
      <c r="AJ7" s="64">
        <v>0</v>
      </c>
      <c r="AK7" s="65">
        <f>AJ7+AI7</f>
        <v>0</v>
      </c>
      <c r="AL7" s="66">
        <f>C7*1.085*(AC7-AF7)</f>
        <v>578174.79999999981</v>
      </c>
      <c r="AM7" s="66">
        <f>4.5*C7*(AE7-AH7)</f>
        <v>744371.99999999988</v>
      </c>
      <c r="AN7" s="63">
        <f t="shared" ref="AN7:AN9" si="3">AM7/12000</f>
        <v>62.030999999999992</v>
      </c>
      <c r="AO7" s="183">
        <f>INPUTS!$C$12</f>
        <v>42</v>
      </c>
      <c r="AP7" s="66">
        <f>INPUTS!$C$13</f>
        <v>56</v>
      </c>
      <c r="AQ7" s="155">
        <f t="shared" ref="AQ7:AQ9" si="4">AM7/(500*(AP7-AO7))</f>
        <v>106.33885714285712</v>
      </c>
      <c r="AR7" s="306">
        <f>MAX(AN7,Y7)</f>
        <v>80.910000000000011</v>
      </c>
      <c r="AS7" s="307">
        <f>C7/AN7</f>
        <v>374.00654511453956</v>
      </c>
      <c r="AT7" s="263">
        <f>C7</f>
        <v>23200</v>
      </c>
      <c r="AU7" s="63">
        <f>G7*((E7-P7)/C7) + O7*(I7/C7)</f>
        <v>60.300862068965515</v>
      </c>
      <c r="AV7" s="63">
        <v>65</v>
      </c>
      <c r="AW7" s="313">
        <f t="shared" ref="AW7:AW9" si="5">AT7*1.085*(AV7-AU7)/1000</f>
        <v>118.28670000000007</v>
      </c>
      <c r="AX7" s="183">
        <f>INPUTS!$C$14</f>
        <v>140</v>
      </c>
      <c r="AY7" s="183">
        <f>INPUTS!$C$15</f>
        <v>100</v>
      </c>
      <c r="AZ7" s="155">
        <f t="shared" ref="AZ7:AZ9" si="6">(AW7*1000)/(500*(AX7-AY7))</f>
        <v>5.9143350000000039</v>
      </c>
      <c r="BA7" s="287"/>
      <c r="BB7" s="66">
        <f>BA7*(L7/1000)</f>
        <v>0</v>
      </c>
      <c r="BC7" s="63">
        <v>55</v>
      </c>
      <c r="BD7" s="63">
        <v>85</v>
      </c>
      <c r="BE7" s="63" t="s">
        <v>109</v>
      </c>
      <c r="BF7" s="306">
        <f t="shared" ref="BF7:BF9" si="7">(AT7*1.08*(BD7-BC7))/1000</f>
        <v>751.68</v>
      </c>
    </row>
    <row r="8" spans="2:58" ht="15" x14ac:dyDescent="0.2">
      <c r="B8" s="65" t="s">
        <v>77</v>
      </c>
      <c r="C8" s="263">
        <f>'AHU-3'!T120</f>
        <v>22700</v>
      </c>
      <c r="D8" s="264"/>
      <c r="E8" s="263">
        <f>'AHU-3'!U120</f>
        <v>22500</v>
      </c>
      <c r="F8" s="63"/>
      <c r="G8" s="285">
        <v>72</v>
      </c>
      <c r="H8" s="285">
        <v>60</v>
      </c>
      <c r="I8" s="263">
        <f>'AHU-3'!Q120</f>
        <v>7000</v>
      </c>
      <c r="J8" s="63">
        <f>INPUTS!C5</f>
        <v>93.1</v>
      </c>
      <c r="K8" s="63">
        <f>INPUTS!C6</f>
        <v>71</v>
      </c>
      <c r="L8" s="263">
        <f t="shared" si="1"/>
        <v>7000</v>
      </c>
      <c r="M8" s="63">
        <f>INPUTS!C8</f>
        <v>80.400000000000006</v>
      </c>
      <c r="N8" s="63">
        <v>68.599999999999994</v>
      </c>
      <c r="O8" s="63">
        <f>INPUTS!$F5</f>
        <v>38.9</v>
      </c>
      <c r="P8" s="263">
        <f>E8+I8-C8</f>
        <v>6800</v>
      </c>
      <c r="Q8" s="63">
        <f>G8*((E8-P8)/C8) + J8*(I8/C8)</f>
        <v>78.506607929515411</v>
      </c>
      <c r="R8" s="63">
        <f t="shared" si="2"/>
        <v>63.3</v>
      </c>
      <c r="S8" s="242">
        <f>VLOOKUP(FLOOR(R8,1),'DO NOT TOUCH'!$A$7:$K$57,MATCH(ROUND((R8-FLOOR(R8,1)),1),'DO NOT TOUCH'!$A$6:$K$6,0),FALSE)</f>
        <v>28.79</v>
      </c>
      <c r="T8" s="63">
        <v>53</v>
      </c>
      <c r="U8" s="63">
        <v>50.1</v>
      </c>
      <c r="V8" s="63">
        <f>VLOOKUP(FLOOR(U8,1),'DO NOT TOUCH'!$A$7:$K$57,MATCH(ROUND((U8-FLOOR(U8,1)),1),'DO NOT TOUCH'!$A$6:$K$6,0),FALSE)</f>
        <v>20.36</v>
      </c>
      <c r="W8" s="65">
        <f>C8*1.085*(Q8-T8)</f>
        <v>628214.99999999977</v>
      </c>
      <c r="X8" s="66">
        <f>4.5*C8*(S8-V8)</f>
        <v>861124.5</v>
      </c>
      <c r="Y8" s="66">
        <f>X8/12000</f>
        <v>71.760374999999996</v>
      </c>
      <c r="Z8" s="183">
        <f>INPUTS!$C$12</f>
        <v>42</v>
      </c>
      <c r="AA8" s="66">
        <f>INPUTS!$C$13</f>
        <v>56</v>
      </c>
      <c r="AB8" s="155">
        <f t="shared" si="0"/>
        <v>123.01778571428571</v>
      </c>
      <c r="AC8" s="63">
        <f>G8*((E8-P8)/C8) + M8*(I8/C8)</f>
        <v>74.590308370044056</v>
      </c>
      <c r="AD8" s="63">
        <f>H8*((E8-P8)/C8) + N8*(I8/C8)</f>
        <v>62.651982378854626</v>
      </c>
      <c r="AE8" s="63">
        <f>VLOOKUP(FLOOR(AD8,1),'DO NOT TOUCH'!$A$7:$K$57,MATCH(ROUND((AD8-FLOOR(AD8,1)),1),'DO NOT TOUCH'!$A$6:$K$6,0),FALSE)</f>
        <v>28.35</v>
      </c>
      <c r="AF8" s="283">
        <v>52</v>
      </c>
      <c r="AG8" s="283">
        <v>52</v>
      </c>
      <c r="AH8" s="63">
        <f>VLOOKUP(FLOOR(AG8,1),'DO NOT TOUCH'!$A$7:$K$57,MATCH(ROUND((AG8-FLOOR(AG8,1)),1),'DO NOT TOUCH'!$A$6:$K$6,0),FALSE)</f>
        <v>21.44</v>
      </c>
      <c r="AI8" s="64">
        <v>0</v>
      </c>
      <c r="AJ8" s="64">
        <v>0</v>
      </c>
      <c r="AK8" s="65">
        <f t="shared" ref="AK8:AK9" si="8">AJ8+AI8</f>
        <v>0</v>
      </c>
      <c r="AL8" s="66">
        <f>C8*1.085*(AC8-AF8)</f>
        <v>556388.00000000012</v>
      </c>
      <c r="AM8" s="66">
        <f>4.5*C8*(AE8-AH8)</f>
        <v>705856.5</v>
      </c>
      <c r="AN8" s="63">
        <f t="shared" si="3"/>
        <v>58.821375000000003</v>
      </c>
      <c r="AO8" s="183">
        <f>INPUTS!$C$12</f>
        <v>42</v>
      </c>
      <c r="AP8" s="66">
        <f>INPUTS!$C$13</f>
        <v>56</v>
      </c>
      <c r="AQ8" s="155">
        <f t="shared" si="4"/>
        <v>100.83664285714286</v>
      </c>
      <c r="AR8" s="306">
        <f>MAX(AN8,Y8)</f>
        <v>71.760374999999996</v>
      </c>
      <c r="AS8" s="307">
        <f>C8/AN8</f>
        <v>385.91413410516157</v>
      </c>
      <c r="AT8" s="263">
        <f>C8</f>
        <v>22700</v>
      </c>
      <c r="AU8" s="63">
        <f>G8*((E8-P8)/C8) + O8*(I8/C8)</f>
        <v>61.792951541850222</v>
      </c>
      <c r="AV8" s="63">
        <v>65</v>
      </c>
      <c r="AW8" s="313">
        <f t="shared" si="5"/>
        <v>78.987999999999957</v>
      </c>
      <c r="AX8" s="183">
        <f>INPUTS!$C$14</f>
        <v>140</v>
      </c>
      <c r="AY8" s="183">
        <f>INPUTS!$C$15</f>
        <v>100</v>
      </c>
      <c r="AZ8" s="155">
        <f t="shared" si="6"/>
        <v>3.949399999999998</v>
      </c>
      <c r="BA8" s="287"/>
      <c r="BB8" s="66">
        <f>BA8*(L8/1000)</f>
        <v>0</v>
      </c>
      <c r="BC8" s="63">
        <v>55</v>
      </c>
      <c r="BD8" s="63">
        <v>85</v>
      </c>
      <c r="BE8" s="63" t="s">
        <v>110</v>
      </c>
      <c r="BF8" s="306">
        <f t="shared" si="7"/>
        <v>735.48</v>
      </c>
    </row>
    <row r="9" spans="2:58" ht="15" x14ac:dyDescent="0.2">
      <c r="B9" s="65" t="s">
        <v>400</v>
      </c>
      <c r="C9" s="263">
        <f>'AHU-4'!T38</f>
        <v>8600</v>
      </c>
      <c r="D9" s="264"/>
      <c r="E9" s="263">
        <f>'AHU-4'!U38</f>
        <v>8000</v>
      </c>
      <c r="F9" s="63"/>
      <c r="G9" s="285">
        <v>72</v>
      </c>
      <c r="H9" s="285">
        <v>60</v>
      </c>
      <c r="I9" s="263">
        <f>'AHU-4'!Q38</f>
        <v>3000</v>
      </c>
      <c r="J9" s="63">
        <f>INPUTS!C5</f>
        <v>93.1</v>
      </c>
      <c r="K9" s="63">
        <f>INPUTS!C6</f>
        <v>71</v>
      </c>
      <c r="L9" s="263">
        <f t="shared" si="1"/>
        <v>3000</v>
      </c>
      <c r="M9" s="63">
        <f>INPUTS!C8</f>
        <v>80.400000000000006</v>
      </c>
      <c r="N9" s="63">
        <v>68.599999999999994</v>
      </c>
      <c r="O9" s="63">
        <f>INPUTS!$F5</f>
        <v>38.9</v>
      </c>
      <c r="P9" s="263">
        <f>E9+I9-C9</f>
        <v>2400</v>
      </c>
      <c r="Q9" s="63">
        <f>G9*((E9-P9)/C9) + J9*(I9/C9)</f>
        <v>79.360465116279073</v>
      </c>
      <c r="R9" s="63">
        <f t="shared" si="2"/>
        <v>63.8</v>
      </c>
      <c r="S9" s="242">
        <f>VLOOKUP(FLOOR(R9,1),'DO NOT TOUCH'!$A$7:$K$57,MATCH(ROUND((R9-FLOOR(R9,1)),1),'DO NOT TOUCH'!$A$6:$K$6,0),FALSE)</f>
        <v>29.16</v>
      </c>
      <c r="T9" s="63">
        <v>53</v>
      </c>
      <c r="U9" s="63">
        <v>50.4</v>
      </c>
      <c r="V9" s="63">
        <f>VLOOKUP(FLOOR(U9,1),'DO NOT TOUCH'!$A$7:$K$57,MATCH(ROUND((U9-FLOOR(U9,1)),1),'DO NOT TOUCH'!$A$6:$K$6,0),FALSE)</f>
        <v>20.52</v>
      </c>
      <c r="W9" s="65">
        <f>C9*1.085*(Q9-T9)</f>
        <v>245969.50000000003</v>
      </c>
      <c r="X9" s="66">
        <f>4.5*C9*(S9-V9)</f>
        <v>334368</v>
      </c>
      <c r="Y9" s="66">
        <f>X9/12000</f>
        <v>27.864000000000001</v>
      </c>
      <c r="Z9" s="183">
        <f>INPUTS!$C$12</f>
        <v>42</v>
      </c>
      <c r="AA9" s="66">
        <f>INPUTS!$C$13</f>
        <v>56</v>
      </c>
      <c r="AB9" s="155">
        <f t="shared" si="0"/>
        <v>47.766857142857141</v>
      </c>
      <c r="AC9" s="63">
        <f>G9*((E9-P9)/C9) + M9*(I9/C9)</f>
        <v>74.930232558139551</v>
      </c>
      <c r="AD9" s="63">
        <f>H9*((E9-P9)/C9) + N9*(I9/C9)</f>
        <v>63</v>
      </c>
      <c r="AE9" s="63">
        <f>VLOOKUP(FLOOR(AD9,1),'DO NOT TOUCH'!$A$7:$K$57,MATCH(ROUND((AD9-FLOOR(AD9,1)),1),'DO NOT TOUCH'!$A$6:$K$6,0),FALSE)</f>
        <v>28.57</v>
      </c>
      <c r="AF9" s="283">
        <v>52</v>
      </c>
      <c r="AG9" s="283">
        <v>52</v>
      </c>
      <c r="AH9" s="63">
        <f>VLOOKUP(FLOOR(AG9,1),'DO NOT TOUCH'!$A$7:$K$57,MATCH(ROUND((AG9-FLOOR(AG9,1)),1),'DO NOT TOUCH'!$A$6:$K$6,0),FALSE)</f>
        <v>21.44</v>
      </c>
      <c r="AI9" s="64">
        <v>0</v>
      </c>
      <c r="AJ9" s="64">
        <v>0</v>
      </c>
      <c r="AK9" s="65">
        <f t="shared" si="8"/>
        <v>0</v>
      </c>
      <c r="AL9" s="66">
        <f>C9*1.085*(AC9-AF9)</f>
        <v>213962.00000000015</v>
      </c>
      <c r="AM9" s="66">
        <f>4.5*C9*(AE9-AH9)</f>
        <v>275930.99999999994</v>
      </c>
      <c r="AN9" s="63">
        <f t="shared" si="3"/>
        <v>22.994249999999994</v>
      </c>
      <c r="AO9" s="183">
        <f>INPUTS!$C$12</f>
        <v>42</v>
      </c>
      <c r="AP9" s="66">
        <f>INPUTS!$C$13</f>
        <v>56</v>
      </c>
      <c r="AQ9" s="155">
        <f t="shared" si="4"/>
        <v>39.41871428571428</v>
      </c>
      <c r="AR9" s="306">
        <f>MAX(AN9,Y9)</f>
        <v>27.864000000000001</v>
      </c>
      <c r="AS9" s="307">
        <f>C9/AN9</f>
        <v>374.00654511453962</v>
      </c>
      <c r="AT9" s="263">
        <f>C9</f>
        <v>8600</v>
      </c>
      <c r="AU9" s="63">
        <f>G9*((E9-P9)/C9) + O9*(I9/C9)</f>
        <v>60.453488372093027</v>
      </c>
      <c r="AV9" s="63">
        <v>65</v>
      </c>
      <c r="AW9" s="313">
        <f t="shared" si="5"/>
        <v>42.423499999999969</v>
      </c>
      <c r="AX9" s="183">
        <f>INPUTS!$C$14</f>
        <v>140</v>
      </c>
      <c r="AY9" s="183">
        <f>INPUTS!$C$15</f>
        <v>100</v>
      </c>
      <c r="AZ9" s="155">
        <f t="shared" si="6"/>
        <v>2.1211749999999987</v>
      </c>
      <c r="BA9" s="287"/>
      <c r="BB9" s="66">
        <f>BA9*(L9/1000)</f>
        <v>0</v>
      </c>
      <c r="BC9" s="63">
        <v>55</v>
      </c>
      <c r="BD9" s="63">
        <v>85</v>
      </c>
      <c r="BE9" s="63" t="s">
        <v>456</v>
      </c>
      <c r="BF9" s="306">
        <f t="shared" si="7"/>
        <v>278.64</v>
      </c>
    </row>
    <row r="10" spans="2:58" s="67" customFormat="1" ht="16.5" thickBot="1" x14ac:dyDescent="0.3">
      <c r="B10" s="244" t="s">
        <v>78</v>
      </c>
      <c r="C10" s="245">
        <f>SUM(C6:C9)</f>
        <v>78400</v>
      </c>
      <c r="D10" s="246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  <c r="U10" s="247"/>
      <c r="V10" s="247"/>
      <c r="W10" s="153"/>
      <c r="X10" s="153"/>
      <c r="Y10" s="153"/>
      <c r="Z10" s="153"/>
      <c r="AA10" s="153"/>
      <c r="AB10" s="153"/>
      <c r="AC10" s="153"/>
      <c r="AD10" s="247"/>
      <c r="AE10" s="247"/>
      <c r="AF10" s="247"/>
      <c r="AG10" s="247"/>
      <c r="AH10" s="247"/>
      <c r="AI10" s="247"/>
      <c r="AJ10" s="247"/>
      <c r="AK10" s="247"/>
      <c r="AL10" s="248" t="s">
        <v>128</v>
      </c>
      <c r="AM10" s="248"/>
      <c r="AN10" s="248"/>
      <c r="AO10" s="248"/>
      <c r="AP10" s="248"/>
      <c r="AQ10" s="249"/>
      <c r="AR10" s="245">
        <f>SUM(AR6:AR9)</f>
        <v>260.83837499999998</v>
      </c>
      <c r="AS10" s="250"/>
      <c r="AT10" s="251" t="s">
        <v>124</v>
      </c>
      <c r="AU10" s="251"/>
      <c r="AV10" s="252"/>
      <c r="AW10" s="253">
        <f>SUM(AW6:AW9)</f>
        <v>395.76460000000009</v>
      </c>
      <c r="AX10" s="153"/>
      <c r="AY10" s="153"/>
      <c r="AZ10" s="153"/>
      <c r="BA10" s="254"/>
      <c r="BB10" s="255"/>
      <c r="BC10" s="256" t="s">
        <v>129</v>
      </c>
      <c r="BD10" s="248"/>
      <c r="BE10" s="249"/>
      <c r="BF10" s="257">
        <f>SUM(BF6:BF9)</f>
        <v>2540.16</v>
      </c>
    </row>
    <row r="11" spans="2:58" ht="15" x14ac:dyDescent="0.2">
      <c r="AM11" s="68"/>
    </row>
    <row r="12" spans="2:58" ht="15" x14ac:dyDescent="0.2">
      <c r="U12" s="15"/>
      <c r="V12" s="15"/>
      <c r="AB12" s="16"/>
      <c r="AG12" s="15"/>
      <c r="AH12" s="15"/>
      <c r="AI12" s="69"/>
      <c r="AN12" s="16"/>
      <c r="AQ12" s="16"/>
      <c r="AR12" s="16"/>
      <c r="AZ12" s="16"/>
    </row>
    <row r="13" spans="2:58" ht="15" x14ac:dyDescent="0.2">
      <c r="U13" s="15"/>
      <c r="V13" s="15"/>
      <c r="AB13" s="16"/>
      <c r="AG13" s="15"/>
      <c r="AH13" s="15"/>
      <c r="AI13" s="69"/>
      <c r="AN13" s="16"/>
      <c r="AQ13" s="16"/>
      <c r="AR13" s="16"/>
      <c r="AZ13" s="16"/>
    </row>
    <row r="17" spans="2:16" x14ac:dyDescent="0.2">
      <c r="P17" s="16"/>
    </row>
    <row r="27" spans="2:16" s="14" customFormat="1" x14ac:dyDescent="0.2"/>
    <row r="28" spans="2:16" x14ac:dyDescent="0.2">
      <c r="B28" s="156"/>
      <c r="C28" s="156"/>
      <c r="F28" s="157"/>
    </row>
    <row r="29" spans="2:16" x14ac:dyDescent="0.2">
      <c r="B29" s="156"/>
      <c r="C29" s="16"/>
      <c r="F29" s="157"/>
    </row>
    <row r="30" spans="2:16" x14ac:dyDescent="0.2">
      <c r="B30" s="156"/>
      <c r="F30" s="157"/>
    </row>
    <row r="31" spans="2:16" x14ac:dyDescent="0.2">
      <c r="F31" s="157"/>
    </row>
  </sheetData>
  <sheetProtection sheet="1" objects="1" scenarios="1"/>
  <mergeCells count="35">
    <mergeCell ref="AC4:AE4"/>
    <mergeCell ref="AR2:AS2"/>
    <mergeCell ref="AL10:AQ10"/>
    <mergeCell ref="Z3:AB4"/>
    <mergeCell ref="BC2:BF2"/>
    <mergeCell ref="C3:O3"/>
    <mergeCell ref="P3:P4"/>
    <mergeCell ref="Q3:V3"/>
    <mergeCell ref="W3:X3"/>
    <mergeCell ref="AC3:AH3"/>
    <mergeCell ref="AI3:AK3"/>
    <mergeCell ref="AL3:AM3"/>
    <mergeCell ref="C2:P2"/>
    <mergeCell ref="Q2:AB2"/>
    <mergeCell ref="BA2:BB2"/>
    <mergeCell ref="BA3:BA4"/>
    <mergeCell ref="AT2:AZ2"/>
    <mergeCell ref="AO3:AQ3"/>
    <mergeCell ref="AN3:AN4"/>
    <mergeCell ref="AF4:AH4"/>
    <mergeCell ref="E4:H4"/>
    <mergeCell ref="I4:K4"/>
    <mergeCell ref="L4:N4"/>
    <mergeCell ref="Q4:S4"/>
    <mergeCell ref="T4:V4"/>
    <mergeCell ref="B2:B5"/>
    <mergeCell ref="Y3:Y4"/>
    <mergeCell ref="AC2:AQ2"/>
    <mergeCell ref="BC10:BE10"/>
    <mergeCell ref="AR3:AR4"/>
    <mergeCell ref="AS3:AS4"/>
    <mergeCell ref="AU3:AV3"/>
    <mergeCell ref="BB3:BB4"/>
    <mergeCell ref="AT10:AV10"/>
    <mergeCell ref="AX3:AZ3"/>
  </mergeCells>
  <phoneticPr fontId="28" type="noConversion"/>
  <pageMargins left="0.25" right="0.25" top="0.75" bottom="0.75" header="0.3" footer="0.3"/>
  <pageSetup paperSize="119" scale="54" fitToHeight="0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77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defaultRowHeight="12.75" x14ac:dyDescent="0.25"/>
  <cols>
    <col min="1" max="1" width="43.28515625" style="2" customWidth="1"/>
    <col min="2" max="2" width="47.140625" style="2" customWidth="1"/>
    <col min="3" max="5" width="9.85546875" style="2" customWidth="1"/>
    <col min="6" max="6" width="3" style="2" customWidth="1"/>
    <col min="7" max="12" width="9.140625" style="2"/>
    <col min="13" max="13" width="34" style="2" bestFit="1" customWidth="1"/>
    <col min="14" max="16384" width="9.140625" style="2"/>
  </cols>
  <sheetData>
    <row r="1" spans="1:13" ht="15.75" x14ac:dyDescent="0.25">
      <c r="A1" s="219" t="s">
        <v>1</v>
      </c>
      <c r="B1" s="219"/>
      <c r="C1" s="25"/>
      <c r="D1" s="25"/>
      <c r="F1" s="26" t="s">
        <v>2</v>
      </c>
    </row>
    <row r="2" spans="1:13" ht="15.75" x14ac:dyDescent="0.25">
      <c r="A2" s="219"/>
      <c r="B2" s="219"/>
      <c r="C2" s="25"/>
      <c r="D2" s="25"/>
      <c r="F2" s="27" t="s">
        <v>53</v>
      </c>
    </row>
    <row r="3" spans="1:13" x14ac:dyDescent="0.25">
      <c r="A3" s="220" t="s">
        <v>12</v>
      </c>
      <c r="B3" s="220"/>
      <c r="C3" s="220"/>
      <c r="D3" s="220"/>
      <c r="E3" s="220"/>
      <c r="F3" s="221"/>
    </row>
    <row r="4" spans="1:13" x14ac:dyDescent="0.25">
      <c r="B4" s="2" t="s">
        <v>40</v>
      </c>
      <c r="F4" s="28"/>
    </row>
    <row r="5" spans="1:13" x14ac:dyDescent="0.25">
      <c r="A5" s="40">
        <v>1</v>
      </c>
      <c r="B5" s="3">
        <v>2</v>
      </c>
      <c r="C5" s="3">
        <v>3</v>
      </c>
      <c r="D5" s="3">
        <v>4</v>
      </c>
      <c r="E5" s="41">
        <v>5</v>
      </c>
    </row>
    <row r="6" spans="1:13" x14ac:dyDescent="0.25">
      <c r="A6" s="215" t="s">
        <v>3</v>
      </c>
      <c r="B6" s="213" t="s">
        <v>4</v>
      </c>
      <c r="C6" s="222" t="s">
        <v>5</v>
      </c>
      <c r="D6" s="222"/>
      <c r="E6" s="223" t="s">
        <v>6</v>
      </c>
    </row>
    <row r="7" spans="1:13" x14ac:dyDescent="0.25">
      <c r="A7" s="216"/>
      <c r="B7" s="213"/>
      <c r="C7" s="213" t="s">
        <v>7</v>
      </c>
      <c r="D7" s="213" t="s">
        <v>8</v>
      </c>
      <c r="E7" s="223"/>
    </row>
    <row r="8" spans="1:13" x14ac:dyDescent="0.25">
      <c r="A8" s="217"/>
      <c r="B8" s="213"/>
      <c r="C8" s="213"/>
      <c r="D8" s="213"/>
      <c r="E8" s="223"/>
    </row>
    <row r="9" spans="1:13" x14ac:dyDescent="0.25">
      <c r="A9" s="218"/>
      <c r="B9" s="214"/>
      <c r="C9" s="214"/>
      <c r="D9" s="214"/>
      <c r="E9" s="224"/>
    </row>
    <row r="10" spans="1:13" x14ac:dyDescent="0.25">
      <c r="A10" s="42" t="s">
        <v>194</v>
      </c>
      <c r="B10" s="4" t="s">
        <v>210</v>
      </c>
      <c r="C10" s="4" t="s">
        <v>41</v>
      </c>
      <c r="D10" s="4">
        <v>10</v>
      </c>
      <c r="E10" s="23" t="s">
        <v>323</v>
      </c>
      <c r="M10" s="120" t="str">
        <f>UPPER(B10)</f>
        <v>(E)</v>
      </c>
    </row>
    <row r="11" spans="1:13" x14ac:dyDescent="0.25">
      <c r="A11" s="42" t="s">
        <v>193</v>
      </c>
      <c r="B11" s="4" t="s">
        <v>211</v>
      </c>
      <c r="C11" s="4">
        <v>2</v>
      </c>
      <c r="D11" s="4">
        <v>12</v>
      </c>
      <c r="E11" s="23" t="s">
        <v>323</v>
      </c>
      <c r="M11" s="120"/>
    </row>
    <row r="12" spans="1:13" x14ac:dyDescent="0.25">
      <c r="A12" s="43" t="s">
        <v>213</v>
      </c>
      <c r="B12" s="4" t="s">
        <v>97</v>
      </c>
      <c r="C12" s="5">
        <v>2</v>
      </c>
      <c r="D12" s="5">
        <v>12</v>
      </c>
      <c r="E12" s="23" t="s">
        <v>323</v>
      </c>
      <c r="M12" s="120"/>
    </row>
    <row r="13" spans="1:13" x14ac:dyDescent="0.25">
      <c r="A13" s="43" t="s">
        <v>214</v>
      </c>
      <c r="B13" s="4" t="s">
        <v>103</v>
      </c>
      <c r="C13" s="5">
        <v>3</v>
      </c>
      <c r="D13" s="5">
        <v>15</v>
      </c>
      <c r="E13" s="23" t="s">
        <v>41</v>
      </c>
      <c r="M13" s="120"/>
    </row>
    <row r="14" spans="1:13" x14ac:dyDescent="0.25">
      <c r="A14" s="43" t="s">
        <v>215</v>
      </c>
      <c r="B14" s="4" t="s">
        <v>97</v>
      </c>
      <c r="C14" s="5" t="s">
        <v>41</v>
      </c>
      <c r="D14" s="5">
        <v>10</v>
      </c>
      <c r="E14" s="23" t="s">
        <v>323</v>
      </c>
      <c r="M14" s="120"/>
    </row>
    <row r="15" spans="1:13" x14ac:dyDescent="0.25">
      <c r="A15" s="43" t="s">
        <v>216</v>
      </c>
      <c r="B15" s="4" t="s">
        <v>97</v>
      </c>
      <c r="C15" s="8" t="s">
        <v>41</v>
      </c>
      <c r="D15" s="6">
        <v>12</v>
      </c>
      <c r="E15" s="7" t="s">
        <v>323</v>
      </c>
      <c r="G15" s="2" t="s">
        <v>42</v>
      </c>
      <c r="M15" s="120"/>
    </row>
    <row r="16" spans="1:13" x14ac:dyDescent="0.25">
      <c r="A16" s="43" t="s">
        <v>217</v>
      </c>
      <c r="B16" s="4" t="s">
        <v>97</v>
      </c>
      <c r="C16" s="8" t="s">
        <v>41</v>
      </c>
      <c r="D16" s="6">
        <v>12</v>
      </c>
      <c r="E16" s="23" t="s">
        <v>323</v>
      </c>
      <c r="G16" s="2" t="s">
        <v>42</v>
      </c>
      <c r="M16" s="120"/>
    </row>
    <row r="17" spans="1:13" x14ac:dyDescent="0.25">
      <c r="A17" s="43" t="s">
        <v>218</v>
      </c>
      <c r="B17" s="4" t="s">
        <v>96</v>
      </c>
      <c r="C17" s="5">
        <v>2</v>
      </c>
      <c r="D17" s="5">
        <v>6</v>
      </c>
      <c r="E17" s="23" t="s">
        <v>41</v>
      </c>
      <c r="M17" s="120"/>
    </row>
    <row r="18" spans="1:13" x14ac:dyDescent="0.25">
      <c r="A18" s="43" t="s">
        <v>219</v>
      </c>
      <c r="B18" s="5" t="s">
        <v>96</v>
      </c>
      <c r="C18" s="5">
        <v>2</v>
      </c>
      <c r="D18" s="5">
        <v>6</v>
      </c>
      <c r="E18" s="23" t="s">
        <v>41</v>
      </c>
      <c r="M18" s="120"/>
    </row>
    <row r="19" spans="1:13" x14ac:dyDescent="0.25">
      <c r="A19" s="43" t="s">
        <v>220</v>
      </c>
      <c r="B19" s="4" t="s">
        <v>97</v>
      </c>
      <c r="C19" s="5">
        <v>2</v>
      </c>
      <c r="D19" s="5">
        <v>12</v>
      </c>
      <c r="E19" s="23" t="s">
        <v>323</v>
      </c>
      <c r="M19" s="120"/>
    </row>
    <row r="20" spans="1:13" x14ac:dyDescent="0.25">
      <c r="A20" s="43" t="s">
        <v>221</v>
      </c>
      <c r="B20" s="4" t="s">
        <v>103</v>
      </c>
      <c r="C20" s="5">
        <v>3</v>
      </c>
      <c r="D20" s="5">
        <v>15</v>
      </c>
      <c r="E20" s="23" t="s">
        <v>41</v>
      </c>
      <c r="G20" s="2" t="s">
        <v>46</v>
      </c>
      <c r="M20" s="120"/>
    </row>
    <row r="21" spans="1:13" x14ac:dyDescent="0.25">
      <c r="A21" s="43" t="s">
        <v>127</v>
      </c>
      <c r="B21" s="4" t="s">
        <v>103</v>
      </c>
      <c r="C21" s="5" t="s">
        <v>41</v>
      </c>
      <c r="D21" s="5">
        <v>2</v>
      </c>
      <c r="E21" s="23" t="s">
        <v>41</v>
      </c>
      <c r="M21" s="120"/>
    </row>
    <row r="22" spans="1:13" x14ac:dyDescent="0.25">
      <c r="A22" s="43" t="s">
        <v>222</v>
      </c>
      <c r="B22" s="4" t="s">
        <v>103</v>
      </c>
      <c r="C22" s="5">
        <v>2</v>
      </c>
      <c r="D22" s="5">
        <v>4</v>
      </c>
      <c r="E22" s="23" t="s">
        <v>41</v>
      </c>
      <c r="M22" s="120"/>
    </row>
    <row r="23" spans="1:13" x14ac:dyDescent="0.25">
      <c r="A23" s="43" t="s">
        <v>189</v>
      </c>
      <c r="B23" s="4" t="s">
        <v>103</v>
      </c>
      <c r="C23" s="5">
        <v>2</v>
      </c>
      <c r="D23" s="5">
        <v>4</v>
      </c>
      <c r="E23" s="23" t="s">
        <v>41</v>
      </c>
      <c r="M23" s="120"/>
    </row>
    <row r="24" spans="1:13" x14ac:dyDescent="0.25">
      <c r="A24" s="43" t="s">
        <v>223</v>
      </c>
      <c r="B24" s="4" t="s">
        <v>96</v>
      </c>
      <c r="C24" s="5">
        <v>2</v>
      </c>
      <c r="D24" s="5">
        <v>6</v>
      </c>
      <c r="E24" s="23" t="s">
        <v>41</v>
      </c>
      <c r="M24" s="120"/>
    </row>
    <row r="25" spans="1:13" x14ac:dyDescent="0.25">
      <c r="A25" s="43" t="s">
        <v>224</v>
      </c>
      <c r="B25" s="4" t="s">
        <v>96</v>
      </c>
      <c r="C25" s="5">
        <v>2</v>
      </c>
      <c r="D25" s="5">
        <v>6</v>
      </c>
      <c r="E25" s="23" t="s">
        <v>41</v>
      </c>
      <c r="M25" s="120"/>
    </row>
    <row r="26" spans="1:13" x14ac:dyDescent="0.25">
      <c r="A26" s="43" t="s">
        <v>225</v>
      </c>
      <c r="B26" s="4" t="s">
        <v>97</v>
      </c>
      <c r="C26" s="5">
        <v>2</v>
      </c>
      <c r="D26" s="5">
        <v>10</v>
      </c>
      <c r="E26" s="23" t="s">
        <v>323</v>
      </c>
      <c r="M26" s="120"/>
    </row>
    <row r="27" spans="1:13" x14ac:dyDescent="0.25">
      <c r="A27" s="43" t="s">
        <v>226</v>
      </c>
      <c r="B27" s="5" t="s">
        <v>103</v>
      </c>
      <c r="C27" s="5">
        <v>4</v>
      </c>
      <c r="D27" s="5">
        <v>20</v>
      </c>
      <c r="E27" s="23" t="s">
        <v>41</v>
      </c>
      <c r="M27" s="120"/>
    </row>
    <row r="28" spans="1:13" x14ac:dyDescent="0.25">
      <c r="A28" s="43" t="s">
        <v>227</v>
      </c>
      <c r="B28" s="5" t="s">
        <v>96</v>
      </c>
      <c r="C28" s="5">
        <v>2</v>
      </c>
      <c r="D28" s="5">
        <v>6</v>
      </c>
      <c r="E28" s="23" t="s">
        <v>41</v>
      </c>
      <c r="M28" s="120"/>
    </row>
    <row r="29" spans="1:13" x14ac:dyDescent="0.25">
      <c r="A29" s="43" t="s">
        <v>228</v>
      </c>
      <c r="B29" s="4" t="s">
        <v>97</v>
      </c>
      <c r="C29" s="5" t="s">
        <v>41</v>
      </c>
      <c r="D29" s="5">
        <v>10</v>
      </c>
      <c r="E29" s="24" t="s">
        <v>323</v>
      </c>
      <c r="M29" s="120"/>
    </row>
    <row r="30" spans="1:13" x14ac:dyDescent="0.25">
      <c r="A30" s="43" t="s">
        <v>229</v>
      </c>
      <c r="B30" s="4" t="s">
        <v>96</v>
      </c>
      <c r="C30" s="8" t="s">
        <v>41</v>
      </c>
      <c r="D30" s="5">
        <v>2</v>
      </c>
      <c r="E30" s="23" t="s">
        <v>41</v>
      </c>
      <c r="M30" s="120"/>
    </row>
    <row r="31" spans="1:13" x14ac:dyDescent="0.25">
      <c r="A31" s="43" t="s">
        <v>230</v>
      </c>
      <c r="B31" s="4" t="s">
        <v>45</v>
      </c>
      <c r="C31" s="5">
        <v>3</v>
      </c>
      <c r="D31" s="5">
        <v>15</v>
      </c>
      <c r="E31" s="23" t="s">
        <v>41</v>
      </c>
      <c r="M31" s="120"/>
    </row>
    <row r="32" spans="1:13" x14ac:dyDescent="0.25">
      <c r="A32" s="43" t="s">
        <v>231</v>
      </c>
      <c r="B32" s="5" t="s">
        <v>96</v>
      </c>
      <c r="C32" s="5">
        <v>2</v>
      </c>
      <c r="D32" s="5">
        <v>6</v>
      </c>
      <c r="E32" s="23" t="s">
        <v>41</v>
      </c>
      <c r="M32" s="120"/>
    </row>
    <row r="33" spans="1:13" x14ac:dyDescent="0.25">
      <c r="A33" s="43" t="s">
        <v>232</v>
      </c>
      <c r="B33" s="5" t="s">
        <v>97</v>
      </c>
      <c r="C33" s="5">
        <v>2</v>
      </c>
      <c r="D33" s="5">
        <v>10</v>
      </c>
      <c r="E33" s="7" t="s">
        <v>323</v>
      </c>
      <c r="M33" s="120"/>
    </row>
    <row r="34" spans="1:13" x14ac:dyDescent="0.25">
      <c r="A34" s="43" t="s">
        <v>233</v>
      </c>
      <c r="B34" s="5" t="s">
        <v>97</v>
      </c>
      <c r="C34" s="5">
        <v>2</v>
      </c>
      <c r="D34" s="5">
        <v>12</v>
      </c>
      <c r="E34" s="7" t="s">
        <v>323</v>
      </c>
      <c r="M34" s="120"/>
    </row>
    <row r="35" spans="1:13" x14ac:dyDescent="0.25">
      <c r="A35" s="43" t="s">
        <v>234</v>
      </c>
      <c r="B35" s="5" t="s">
        <v>97</v>
      </c>
      <c r="C35" s="5">
        <v>2</v>
      </c>
      <c r="D35" s="5">
        <v>12</v>
      </c>
      <c r="E35" s="7" t="s">
        <v>324</v>
      </c>
      <c r="M35" s="120"/>
    </row>
    <row r="36" spans="1:13" x14ac:dyDescent="0.25">
      <c r="A36" s="43" t="s">
        <v>192</v>
      </c>
      <c r="B36" s="5" t="s">
        <v>96</v>
      </c>
      <c r="C36" s="5">
        <v>2</v>
      </c>
      <c r="D36" s="5">
        <v>6</v>
      </c>
      <c r="E36" s="23" t="s">
        <v>41</v>
      </c>
      <c r="M36" s="120"/>
    </row>
    <row r="37" spans="1:13" x14ac:dyDescent="0.25">
      <c r="A37" s="43" t="s">
        <v>235</v>
      </c>
      <c r="B37" s="5" t="s">
        <v>96</v>
      </c>
      <c r="C37" s="5">
        <v>2</v>
      </c>
      <c r="D37" s="5">
        <v>6</v>
      </c>
      <c r="E37" s="23" t="s">
        <v>41</v>
      </c>
      <c r="M37" s="120"/>
    </row>
    <row r="38" spans="1:13" x14ac:dyDescent="0.25">
      <c r="A38" s="43" t="s">
        <v>236</v>
      </c>
      <c r="B38" s="5" t="s">
        <v>97</v>
      </c>
      <c r="C38" s="5">
        <v>2</v>
      </c>
      <c r="D38" s="5">
        <v>6</v>
      </c>
      <c r="E38" s="7" t="s">
        <v>323</v>
      </c>
      <c r="M38" s="120"/>
    </row>
    <row r="39" spans="1:13" x14ac:dyDescent="0.25">
      <c r="A39" s="43" t="s">
        <v>237</v>
      </c>
      <c r="B39" s="5" t="s">
        <v>96</v>
      </c>
      <c r="C39" s="5">
        <v>2</v>
      </c>
      <c r="D39" s="5">
        <v>10</v>
      </c>
      <c r="E39" s="23" t="s">
        <v>41</v>
      </c>
      <c r="M39" s="120"/>
    </row>
    <row r="40" spans="1:13" x14ac:dyDescent="0.25">
      <c r="A40" s="43" t="s">
        <v>238</v>
      </c>
      <c r="B40" s="5" t="s">
        <v>96</v>
      </c>
      <c r="C40" s="5">
        <v>2</v>
      </c>
      <c r="D40" s="5">
        <v>6</v>
      </c>
      <c r="E40" s="23" t="s">
        <v>41</v>
      </c>
      <c r="M40" s="120"/>
    </row>
    <row r="41" spans="1:13" x14ac:dyDescent="0.25">
      <c r="A41" s="43" t="s">
        <v>239</v>
      </c>
      <c r="B41" s="5" t="s">
        <v>96</v>
      </c>
      <c r="C41" s="5">
        <v>2</v>
      </c>
      <c r="D41" s="5">
        <v>6</v>
      </c>
      <c r="E41" s="23" t="s">
        <v>41</v>
      </c>
      <c r="M41" s="120"/>
    </row>
    <row r="42" spans="1:13" x14ac:dyDescent="0.25">
      <c r="A42" s="43" t="s">
        <v>240</v>
      </c>
      <c r="B42" s="5" t="s">
        <v>97</v>
      </c>
      <c r="C42" s="5">
        <v>2</v>
      </c>
      <c r="D42" s="5">
        <v>10</v>
      </c>
      <c r="E42" s="7" t="s">
        <v>323</v>
      </c>
      <c r="M42" s="120"/>
    </row>
    <row r="43" spans="1:13" x14ac:dyDescent="0.25">
      <c r="A43" s="43" t="s">
        <v>241</v>
      </c>
      <c r="B43" s="5" t="s">
        <v>97</v>
      </c>
      <c r="C43" s="5">
        <v>2</v>
      </c>
      <c r="D43" s="5">
        <v>6</v>
      </c>
      <c r="E43" s="23" t="s">
        <v>41</v>
      </c>
      <c r="M43" s="120"/>
    </row>
    <row r="44" spans="1:13" x14ac:dyDescent="0.25">
      <c r="A44" s="43" t="s">
        <v>242</v>
      </c>
      <c r="B44" s="5" t="s">
        <v>103</v>
      </c>
      <c r="C44" s="5">
        <v>2</v>
      </c>
      <c r="D44" s="5">
        <v>6</v>
      </c>
      <c r="E44" s="23" t="s">
        <v>41</v>
      </c>
      <c r="M44" s="120"/>
    </row>
    <row r="45" spans="1:13" x14ac:dyDescent="0.25">
      <c r="A45" s="43" t="s">
        <v>243</v>
      </c>
      <c r="B45" s="5" t="s">
        <v>96</v>
      </c>
      <c r="C45" s="29">
        <v>2</v>
      </c>
      <c r="D45" s="5">
        <v>6</v>
      </c>
      <c r="E45" s="23" t="s">
        <v>41</v>
      </c>
      <c r="M45" s="120"/>
    </row>
    <row r="46" spans="1:13" x14ac:dyDescent="0.25">
      <c r="A46" s="43" t="s">
        <v>244</v>
      </c>
      <c r="B46" s="5" t="s">
        <v>103</v>
      </c>
      <c r="C46" s="29">
        <v>5</v>
      </c>
      <c r="D46" s="5">
        <v>15</v>
      </c>
      <c r="E46" s="23" t="s">
        <v>41</v>
      </c>
      <c r="M46" s="120"/>
    </row>
    <row r="47" spans="1:13" x14ac:dyDescent="0.25">
      <c r="A47" s="43" t="s">
        <v>245</v>
      </c>
      <c r="B47" s="5" t="s">
        <v>103</v>
      </c>
      <c r="C47" s="5">
        <v>2</v>
      </c>
      <c r="D47" s="5">
        <v>6</v>
      </c>
      <c r="E47" s="23" t="s">
        <v>41</v>
      </c>
      <c r="M47" s="120"/>
    </row>
    <row r="48" spans="1:13" x14ac:dyDescent="0.25">
      <c r="A48" s="43" t="s">
        <v>246</v>
      </c>
      <c r="B48" s="5" t="s">
        <v>97</v>
      </c>
      <c r="C48" s="8" t="s">
        <v>41</v>
      </c>
      <c r="D48" s="5">
        <v>10</v>
      </c>
      <c r="E48" s="23" t="s">
        <v>323</v>
      </c>
      <c r="M48" s="120"/>
    </row>
    <row r="49" spans="1:13" x14ac:dyDescent="0.25">
      <c r="A49" s="43" t="s">
        <v>247</v>
      </c>
      <c r="B49" s="5" t="s">
        <v>96</v>
      </c>
      <c r="C49" s="5">
        <v>2</v>
      </c>
      <c r="D49" s="5">
        <v>6</v>
      </c>
      <c r="E49" s="23" t="s">
        <v>41</v>
      </c>
      <c r="M49" s="120"/>
    </row>
    <row r="50" spans="1:13" x14ac:dyDescent="0.25">
      <c r="A50" s="43" t="s">
        <v>248</v>
      </c>
      <c r="B50" s="5" t="s">
        <v>96</v>
      </c>
      <c r="C50" s="5">
        <v>2</v>
      </c>
      <c r="D50" s="5">
        <v>6</v>
      </c>
      <c r="E50" s="23" t="s">
        <v>41</v>
      </c>
      <c r="M50" s="120"/>
    </row>
    <row r="51" spans="1:13" x14ac:dyDescent="0.25">
      <c r="A51" s="43" t="s">
        <v>249</v>
      </c>
      <c r="B51" s="5" t="s">
        <v>97</v>
      </c>
      <c r="C51" s="5">
        <v>2</v>
      </c>
      <c r="D51" s="5">
        <v>6</v>
      </c>
      <c r="E51" s="23" t="s">
        <v>323</v>
      </c>
      <c r="M51" s="120"/>
    </row>
    <row r="52" spans="1:13" x14ac:dyDescent="0.25">
      <c r="A52" s="43" t="s">
        <v>250</v>
      </c>
      <c r="B52" s="5" t="s">
        <v>97</v>
      </c>
      <c r="C52" s="5">
        <v>2</v>
      </c>
      <c r="D52" s="5">
        <v>6</v>
      </c>
      <c r="E52" s="23" t="s">
        <v>323</v>
      </c>
      <c r="M52" s="120"/>
    </row>
    <row r="53" spans="1:13" x14ac:dyDescent="0.25">
      <c r="A53" s="43" t="s">
        <v>251</v>
      </c>
      <c r="B53" s="5" t="s">
        <v>97</v>
      </c>
      <c r="C53" s="5">
        <v>2</v>
      </c>
      <c r="D53" s="5">
        <v>6</v>
      </c>
      <c r="E53" s="7" t="s">
        <v>323</v>
      </c>
      <c r="M53" s="120"/>
    </row>
    <row r="54" spans="1:13" x14ac:dyDescent="0.25">
      <c r="A54" s="43" t="s">
        <v>252</v>
      </c>
      <c r="B54" s="5" t="s">
        <v>97</v>
      </c>
      <c r="C54" s="5">
        <v>2</v>
      </c>
      <c r="D54" s="5">
        <v>6</v>
      </c>
      <c r="E54" s="23" t="s">
        <v>41</v>
      </c>
      <c r="M54" s="120"/>
    </row>
    <row r="55" spans="1:13" x14ac:dyDescent="0.25">
      <c r="A55" s="43" t="s">
        <v>253</v>
      </c>
      <c r="B55" s="5" t="s">
        <v>97</v>
      </c>
      <c r="C55" s="5">
        <v>2</v>
      </c>
      <c r="D55" s="5">
        <v>10</v>
      </c>
      <c r="E55" s="23" t="s">
        <v>323</v>
      </c>
      <c r="M55" s="120"/>
    </row>
    <row r="56" spans="1:13" x14ac:dyDescent="0.25">
      <c r="A56" s="43" t="s">
        <v>254</v>
      </c>
      <c r="B56" s="5" t="s">
        <v>97</v>
      </c>
      <c r="C56" s="5">
        <v>2</v>
      </c>
      <c r="D56" s="5">
        <v>6</v>
      </c>
      <c r="E56" s="7" t="s">
        <v>323</v>
      </c>
      <c r="M56" s="120"/>
    </row>
    <row r="57" spans="1:13" x14ac:dyDescent="0.25">
      <c r="A57" s="43" t="s">
        <v>255</v>
      </c>
      <c r="B57" s="5" t="s">
        <v>97</v>
      </c>
      <c r="C57" s="5">
        <v>2</v>
      </c>
      <c r="D57" s="5">
        <v>6</v>
      </c>
      <c r="E57" s="7" t="s">
        <v>323</v>
      </c>
      <c r="M57" s="120"/>
    </row>
    <row r="58" spans="1:13" x14ac:dyDescent="0.25">
      <c r="A58" s="43" t="s">
        <v>256</v>
      </c>
      <c r="B58" s="5" t="s">
        <v>103</v>
      </c>
      <c r="C58" s="5">
        <v>2</v>
      </c>
      <c r="D58" s="5">
        <v>4</v>
      </c>
      <c r="E58" s="23" t="s">
        <v>41</v>
      </c>
      <c r="M58" s="120"/>
    </row>
    <row r="59" spans="1:13" x14ac:dyDescent="0.25">
      <c r="A59" s="43" t="s">
        <v>257</v>
      </c>
      <c r="B59" s="5" t="s">
        <v>97</v>
      </c>
      <c r="C59" s="5">
        <v>2</v>
      </c>
      <c r="D59" s="5">
        <v>6</v>
      </c>
      <c r="E59" s="7" t="s">
        <v>323</v>
      </c>
      <c r="M59" s="120"/>
    </row>
    <row r="60" spans="1:13" x14ac:dyDescent="0.25">
      <c r="A60" s="43" t="s">
        <v>258</v>
      </c>
      <c r="B60" s="5" t="s">
        <v>97</v>
      </c>
      <c r="C60" s="5">
        <v>2</v>
      </c>
      <c r="D60" s="5">
        <v>6</v>
      </c>
      <c r="E60" s="7" t="s">
        <v>323</v>
      </c>
      <c r="M60" s="120"/>
    </row>
    <row r="61" spans="1:13" x14ac:dyDescent="0.25">
      <c r="A61" s="43" t="s">
        <v>259</v>
      </c>
      <c r="B61" s="5" t="s">
        <v>97</v>
      </c>
      <c r="C61" s="5">
        <v>2</v>
      </c>
      <c r="D61" s="5">
        <v>6</v>
      </c>
      <c r="E61" s="7" t="s">
        <v>323</v>
      </c>
      <c r="M61" s="120"/>
    </row>
    <row r="62" spans="1:13" x14ac:dyDescent="0.25">
      <c r="A62" s="43" t="s">
        <v>260</v>
      </c>
      <c r="B62" s="5" t="s">
        <v>97</v>
      </c>
      <c r="C62" s="5">
        <v>2</v>
      </c>
      <c r="D62" s="5">
        <v>6</v>
      </c>
      <c r="E62" s="7" t="s">
        <v>323</v>
      </c>
      <c r="M62" s="120"/>
    </row>
    <row r="63" spans="1:13" x14ac:dyDescent="0.25">
      <c r="A63" s="43" t="s">
        <v>261</v>
      </c>
      <c r="B63" s="5" t="s">
        <v>97</v>
      </c>
      <c r="C63" s="5">
        <v>2</v>
      </c>
      <c r="D63" s="5">
        <v>10</v>
      </c>
      <c r="E63" s="7" t="s">
        <v>323</v>
      </c>
      <c r="M63" s="120"/>
    </row>
    <row r="64" spans="1:13" x14ac:dyDescent="0.25">
      <c r="A64" s="43" t="s">
        <v>90</v>
      </c>
      <c r="B64" s="5" t="s">
        <v>96</v>
      </c>
      <c r="C64" s="5">
        <v>2</v>
      </c>
      <c r="D64" s="5">
        <v>6</v>
      </c>
      <c r="E64" s="23" t="s">
        <v>41</v>
      </c>
      <c r="M64" s="120"/>
    </row>
    <row r="65" spans="1:13" x14ac:dyDescent="0.25">
      <c r="A65" s="43" t="s">
        <v>262</v>
      </c>
      <c r="B65" s="5" t="s">
        <v>103</v>
      </c>
      <c r="C65" s="5">
        <v>3</v>
      </c>
      <c r="D65" s="5">
        <v>15</v>
      </c>
      <c r="E65" s="23" t="s">
        <v>41</v>
      </c>
      <c r="M65" s="120"/>
    </row>
    <row r="66" spans="1:13" x14ac:dyDescent="0.25">
      <c r="A66" s="43" t="s">
        <v>195</v>
      </c>
      <c r="B66" s="5" t="s">
        <v>97</v>
      </c>
      <c r="C66" s="5">
        <v>2</v>
      </c>
      <c r="D66" s="5">
        <v>10</v>
      </c>
      <c r="E66" s="7" t="s">
        <v>323</v>
      </c>
      <c r="M66" s="120"/>
    </row>
    <row r="67" spans="1:13" x14ac:dyDescent="0.25">
      <c r="A67" s="43" t="s">
        <v>263</v>
      </c>
      <c r="B67" s="5" t="s">
        <v>97</v>
      </c>
      <c r="C67" s="8" t="s">
        <v>41</v>
      </c>
      <c r="D67" s="5">
        <v>10</v>
      </c>
      <c r="E67" s="23" t="s">
        <v>323</v>
      </c>
      <c r="M67" s="120"/>
    </row>
    <row r="68" spans="1:13" x14ac:dyDescent="0.25">
      <c r="A68" s="43" t="s">
        <v>264</v>
      </c>
      <c r="B68" s="5" t="s">
        <v>97</v>
      </c>
      <c r="C68" s="8" t="s">
        <v>41</v>
      </c>
      <c r="D68" s="5">
        <v>8</v>
      </c>
      <c r="E68" s="23" t="s">
        <v>323</v>
      </c>
      <c r="M68" s="120"/>
    </row>
    <row r="69" spans="1:13" x14ac:dyDescent="0.25">
      <c r="A69" s="43" t="s">
        <v>116</v>
      </c>
      <c r="B69" s="5" t="s">
        <v>96</v>
      </c>
      <c r="C69" s="8">
        <v>2</v>
      </c>
      <c r="D69" s="5">
        <v>4</v>
      </c>
      <c r="E69" s="23" t="s">
        <v>41</v>
      </c>
      <c r="M69" s="120"/>
    </row>
    <row r="70" spans="1:13" x14ac:dyDescent="0.25">
      <c r="A70" s="43" t="s">
        <v>265</v>
      </c>
      <c r="B70" s="5" t="s">
        <v>97</v>
      </c>
      <c r="C70" s="5">
        <v>2</v>
      </c>
      <c r="D70" s="5">
        <v>12</v>
      </c>
      <c r="E70" s="7" t="s">
        <v>323</v>
      </c>
      <c r="M70" s="120"/>
    </row>
    <row r="71" spans="1:13" x14ac:dyDescent="0.25">
      <c r="A71" s="43" t="s">
        <v>266</v>
      </c>
      <c r="B71" s="5" t="s">
        <v>96</v>
      </c>
      <c r="C71" s="5">
        <v>2</v>
      </c>
      <c r="D71" s="5">
        <v>6</v>
      </c>
      <c r="E71" s="23" t="s">
        <v>41</v>
      </c>
      <c r="M71" s="120"/>
    </row>
    <row r="72" spans="1:13" x14ac:dyDescent="0.25">
      <c r="A72" s="43" t="s">
        <v>267</v>
      </c>
      <c r="B72" s="5" t="s">
        <v>97</v>
      </c>
      <c r="C72" s="5">
        <v>2</v>
      </c>
      <c r="D72" s="5">
        <v>12</v>
      </c>
      <c r="E72" s="7" t="s">
        <v>323</v>
      </c>
      <c r="M72" s="120"/>
    </row>
    <row r="73" spans="1:13" x14ac:dyDescent="0.25">
      <c r="A73" s="43" t="s">
        <v>268</v>
      </c>
      <c r="B73" s="5" t="s">
        <v>103</v>
      </c>
      <c r="C73" s="5">
        <v>2</v>
      </c>
      <c r="D73" s="5">
        <v>6</v>
      </c>
      <c r="E73" s="23" t="s">
        <v>41</v>
      </c>
      <c r="M73" s="120"/>
    </row>
    <row r="74" spans="1:13" x14ac:dyDescent="0.25">
      <c r="A74" s="43" t="s">
        <v>269</v>
      </c>
      <c r="B74" s="5" t="s">
        <v>45</v>
      </c>
      <c r="C74" s="5">
        <v>2</v>
      </c>
      <c r="D74" s="5">
        <v>10</v>
      </c>
      <c r="E74" s="23" t="s">
        <v>41</v>
      </c>
      <c r="M74" s="120"/>
    </row>
    <row r="75" spans="1:13" x14ac:dyDescent="0.25">
      <c r="A75" s="43" t="s">
        <v>270</v>
      </c>
      <c r="B75" s="5" t="s">
        <v>96</v>
      </c>
      <c r="C75" s="5">
        <v>2</v>
      </c>
      <c r="D75" s="5">
        <v>6</v>
      </c>
      <c r="E75" s="23" t="s">
        <v>41</v>
      </c>
      <c r="M75" s="120"/>
    </row>
    <row r="76" spans="1:13" x14ac:dyDescent="0.25">
      <c r="A76" s="43" t="s">
        <v>271</v>
      </c>
      <c r="B76" s="5" t="s">
        <v>97</v>
      </c>
      <c r="C76" s="5" t="s">
        <v>41</v>
      </c>
      <c r="D76" s="5">
        <v>10</v>
      </c>
      <c r="E76" s="7" t="s">
        <v>323</v>
      </c>
      <c r="M76" s="120"/>
    </row>
    <row r="77" spans="1:13" x14ac:dyDescent="0.25">
      <c r="A77" s="43" t="s">
        <v>92</v>
      </c>
      <c r="B77" s="5" t="s">
        <v>96</v>
      </c>
      <c r="C77" s="5" t="s">
        <v>41</v>
      </c>
      <c r="D77" s="5">
        <v>2</v>
      </c>
      <c r="E77" s="23" t="s">
        <v>41</v>
      </c>
      <c r="M77" s="120"/>
    </row>
    <row r="78" spans="1:13" x14ac:dyDescent="0.25">
      <c r="A78" s="43" t="s">
        <v>272</v>
      </c>
      <c r="B78" s="5" t="s">
        <v>97</v>
      </c>
      <c r="C78" s="5">
        <v>2</v>
      </c>
      <c r="D78" s="5">
        <v>6</v>
      </c>
      <c r="E78" s="7" t="s">
        <v>323</v>
      </c>
      <c r="M78" s="120"/>
    </row>
    <row r="79" spans="1:13" x14ac:dyDescent="0.25">
      <c r="A79" s="43" t="s">
        <v>273</v>
      </c>
      <c r="B79" s="5" t="s">
        <v>97</v>
      </c>
      <c r="C79" s="5" t="s">
        <v>41</v>
      </c>
      <c r="D79" s="5">
        <v>6</v>
      </c>
      <c r="E79" s="7" t="s">
        <v>323</v>
      </c>
      <c r="M79" s="120"/>
    </row>
    <row r="80" spans="1:13" x14ac:dyDescent="0.25">
      <c r="A80" s="43" t="s">
        <v>274</v>
      </c>
      <c r="B80" s="5" t="s">
        <v>97</v>
      </c>
      <c r="C80" s="5">
        <v>2</v>
      </c>
      <c r="D80" s="5">
        <v>6</v>
      </c>
      <c r="E80" s="7" t="s">
        <v>323</v>
      </c>
      <c r="M80" s="120"/>
    </row>
    <row r="81" spans="1:13" x14ac:dyDescent="0.25">
      <c r="A81" s="43" t="s">
        <v>190</v>
      </c>
      <c r="B81" s="5" t="s">
        <v>212</v>
      </c>
      <c r="C81" s="5">
        <v>2</v>
      </c>
      <c r="D81" s="5">
        <v>2</v>
      </c>
      <c r="E81" s="7" t="s">
        <v>212</v>
      </c>
      <c r="G81" s="2" t="s">
        <v>47</v>
      </c>
      <c r="M81" s="120"/>
    </row>
    <row r="82" spans="1:13" x14ac:dyDescent="0.25">
      <c r="A82" s="43" t="s">
        <v>275</v>
      </c>
      <c r="B82" s="5" t="s">
        <v>96</v>
      </c>
      <c r="C82" s="5">
        <v>2</v>
      </c>
      <c r="D82" s="5">
        <v>6</v>
      </c>
      <c r="E82" s="23" t="s">
        <v>41</v>
      </c>
      <c r="M82" s="120"/>
    </row>
    <row r="83" spans="1:13" x14ac:dyDescent="0.25">
      <c r="A83" s="43" t="s">
        <v>276</v>
      </c>
      <c r="B83" s="5" t="s">
        <v>96</v>
      </c>
      <c r="C83" s="5">
        <v>2</v>
      </c>
      <c r="D83" s="5">
        <v>6</v>
      </c>
      <c r="E83" s="23" t="s">
        <v>41</v>
      </c>
      <c r="M83" s="120"/>
    </row>
    <row r="84" spans="1:13" x14ac:dyDescent="0.25">
      <c r="A84" s="43" t="s">
        <v>277</v>
      </c>
      <c r="B84" s="5" t="s">
        <v>103</v>
      </c>
      <c r="C84" s="5">
        <v>4</v>
      </c>
      <c r="D84" s="5">
        <v>20</v>
      </c>
      <c r="E84" s="23" t="s">
        <v>41</v>
      </c>
      <c r="M84" s="120"/>
    </row>
    <row r="85" spans="1:13" x14ac:dyDescent="0.25">
      <c r="A85" s="43" t="s">
        <v>278</v>
      </c>
      <c r="B85" s="5" t="s">
        <v>103</v>
      </c>
      <c r="C85" s="5">
        <v>4</v>
      </c>
      <c r="D85" s="5">
        <v>20</v>
      </c>
      <c r="E85" s="23" t="s">
        <v>41</v>
      </c>
      <c r="M85" s="120"/>
    </row>
    <row r="86" spans="1:13" x14ac:dyDescent="0.25">
      <c r="A86" s="43" t="s">
        <v>115</v>
      </c>
      <c r="B86" s="5" t="s">
        <v>96</v>
      </c>
      <c r="C86" s="5" t="s">
        <v>41</v>
      </c>
      <c r="D86" s="5">
        <v>2</v>
      </c>
      <c r="E86" s="23" t="s">
        <v>41</v>
      </c>
      <c r="M86" s="120"/>
    </row>
    <row r="87" spans="1:13" x14ac:dyDescent="0.25">
      <c r="A87" s="43" t="s">
        <v>279</v>
      </c>
      <c r="B87" s="5" t="s">
        <v>96</v>
      </c>
      <c r="C87" s="5">
        <v>2</v>
      </c>
      <c r="D87" s="5">
        <v>6</v>
      </c>
      <c r="E87" s="23" t="s">
        <v>41</v>
      </c>
      <c r="M87" s="120"/>
    </row>
    <row r="88" spans="1:13" x14ac:dyDescent="0.25">
      <c r="A88" s="43" t="s">
        <v>123</v>
      </c>
      <c r="B88" s="5" t="s">
        <v>96</v>
      </c>
      <c r="C88" s="5">
        <v>2</v>
      </c>
      <c r="D88" s="5">
        <v>4</v>
      </c>
      <c r="E88" s="23" t="s">
        <v>41</v>
      </c>
      <c r="M88" s="120"/>
    </row>
    <row r="89" spans="1:13" x14ac:dyDescent="0.25">
      <c r="A89" s="43" t="s">
        <v>280</v>
      </c>
      <c r="B89" s="5" t="s">
        <v>96</v>
      </c>
      <c r="C89" s="5">
        <v>2</v>
      </c>
      <c r="D89" s="5">
        <v>6</v>
      </c>
      <c r="E89" s="23" t="s">
        <v>41</v>
      </c>
      <c r="M89" s="120"/>
    </row>
    <row r="90" spans="1:13" x14ac:dyDescent="0.25">
      <c r="A90" s="43" t="s">
        <v>117</v>
      </c>
      <c r="B90" s="5" t="s">
        <v>103</v>
      </c>
      <c r="C90" s="5">
        <v>2</v>
      </c>
      <c r="D90" s="5">
        <v>4</v>
      </c>
      <c r="E90" s="23" t="s">
        <v>41</v>
      </c>
      <c r="M90" s="120"/>
    </row>
    <row r="91" spans="1:13" x14ac:dyDescent="0.25">
      <c r="A91" s="43" t="s">
        <v>281</v>
      </c>
      <c r="B91" s="5" t="s">
        <v>96</v>
      </c>
      <c r="C91" s="5">
        <v>2</v>
      </c>
      <c r="D91" s="5">
        <v>4</v>
      </c>
      <c r="E91" s="24" t="s">
        <v>41</v>
      </c>
      <c r="M91" s="120"/>
    </row>
    <row r="92" spans="1:13" x14ac:dyDescent="0.25">
      <c r="A92" s="43" t="s">
        <v>282</v>
      </c>
      <c r="B92" s="5" t="s">
        <v>103</v>
      </c>
      <c r="C92" s="5" t="s">
        <v>41</v>
      </c>
      <c r="D92" s="5" t="s">
        <v>41</v>
      </c>
      <c r="E92" s="24" t="s">
        <v>41</v>
      </c>
      <c r="M92" s="120"/>
    </row>
    <row r="93" spans="1:13" x14ac:dyDescent="0.25">
      <c r="A93" s="43" t="s">
        <v>283</v>
      </c>
      <c r="B93" s="5" t="s">
        <v>97</v>
      </c>
      <c r="C93" s="5" t="s">
        <v>41</v>
      </c>
      <c r="D93" s="5">
        <v>30</v>
      </c>
      <c r="E93" s="24" t="s">
        <v>323</v>
      </c>
      <c r="M93" s="120"/>
    </row>
    <row r="94" spans="1:13" x14ac:dyDescent="0.25">
      <c r="A94" s="43" t="s">
        <v>284</v>
      </c>
      <c r="B94" s="5" t="s">
        <v>97</v>
      </c>
      <c r="C94" s="5" t="s">
        <v>41</v>
      </c>
      <c r="D94" s="5">
        <v>12</v>
      </c>
      <c r="E94" s="24" t="s">
        <v>323</v>
      </c>
      <c r="M94" s="120"/>
    </row>
    <row r="95" spans="1:13" x14ac:dyDescent="0.25">
      <c r="A95" s="43" t="s">
        <v>285</v>
      </c>
      <c r="B95" s="5" t="s">
        <v>97</v>
      </c>
      <c r="C95" s="5" t="s">
        <v>41</v>
      </c>
      <c r="D95" s="5">
        <v>12</v>
      </c>
      <c r="E95" s="24" t="s">
        <v>323</v>
      </c>
      <c r="M95" s="120"/>
    </row>
    <row r="96" spans="1:13" x14ac:dyDescent="0.25">
      <c r="A96" s="43" t="s">
        <v>119</v>
      </c>
      <c r="B96" s="5" t="s">
        <v>103</v>
      </c>
      <c r="C96" s="5" t="s">
        <v>41</v>
      </c>
      <c r="D96" s="5">
        <v>20</v>
      </c>
      <c r="E96" s="24" t="s">
        <v>41</v>
      </c>
      <c r="M96" s="120"/>
    </row>
    <row r="97" spans="1:13" x14ac:dyDescent="0.25">
      <c r="A97" s="43" t="s">
        <v>286</v>
      </c>
      <c r="B97" s="5" t="s">
        <v>103</v>
      </c>
      <c r="C97" s="5" t="s">
        <v>41</v>
      </c>
      <c r="D97" s="5">
        <v>30</v>
      </c>
      <c r="E97" s="24" t="s">
        <v>41</v>
      </c>
      <c r="M97" s="120"/>
    </row>
    <row r="98" spans="1:13" x14ac:dyDescent="0.25">
      <c r="A98" s="43" t="s">
        <v>287</v>
      </c>
      <c r="B98" s="5" t="s">
        <v>103</v>
      </c>
      <c r="C98" s="5" t="s">
        <v>41</v>
      </c>
      <c r="D98" s="5">
        <v>30</v>
      </c>
      <c r="E98" s="24" t="s">
        <v>41</v>
      </c>
      <c r="M98" s="120"/>
    </row>
    <row r="99" spans="1:13" x14ac:dyDescent="0.25">
      <c r="A99" s="43" t="s">
        <v>288</v>
      </c>
      <c r="B99" s="5" t="s">
        <v>96</v>
      </c>
      <c r="C99" s="5" t="s">
        <v>41</v>
      </c>
      <c r="D99" s="5" t="s">
        <v>41</v>
      </c>
      <c r="E99" s="24" t="s">
        <v>41</v>
      </c>
      <c r="M99" s="120"/>
    </row>
    <row r="100" spans="1:13" x14ac:dyDescent="0.25">
      <c r="A100" s="43" t="s">
        <v>289</v>
      </c>
      <c r="B100" s="5" t="s">
        <v>97</v>
      </c>
      <c r="C100" s="5">
        <v>2</v>
      </c>
      <c r="D100" s="5">
        <v>6</v>
      </c>
      <c r="E100" s="23" t="s">
        <v>41</v>
      </c>
      <c r="M100" s="120"/>
    </row>
    <row r="101" spans="1:13" x14ac:dyDescent="0.25">
      <c r="A101" s="43" t="s">
        <v>290</v>
      </c>
      <c r="B101" s="5" t="s">
        <v>97</v>
      </c>
      <c r="C101" s="5">
        <v>2</v>
      </c>
      <c r="D101" s="5">
        <v>6</v>
      </c>
      <c r="E101" s="23" t="s">
        <v>41</v>
      </c>
      <c r="M101" s="120"/>
    </row>
    <row r="102" spans="1:13" x14ac:dyDescent="0.25">
      <c r="A102" s="43" t="s">
        <v>291</v>
      </c>
      <c r="B102" s="5" t="s">
        <v>96</v>
      </c>
      <c r="C102" s="5">
        <v>2</v>
      </c>
      <c r="D102" s="5">
        <v>6</v>
      </c>
      <c r="E102" s="24" t="s">
        <v>323</v>
      </c>
      <c r="M102" s="120"/>
    </row>
    <row r="103" spans="1:13" x14ac:dyDescent="0.25">
      <c r="A103" s="43" t="s">
        <v>292</v>
      </c>
      <c r="B103" s="5" t="s">
        <v>97</v>
      </c>
      <c r="C103" s="5">
        <v>2</v>
      </c>
      <c r="D103" s="5">
        <v>12</v>
      </c>
      <c r="E103" s="24" t="s">
        <v>324</v>
      </c>
      <c r="M103" s="120"/>
    </row>
    <row r="104" spans="1:13" x14ac:dyDescent="0.25">
      <c r="A104" s="43" t="s">
        <v>293</v>
      </c>
      <c r="B104" s="5" t="s">
        <v>103</v>
      </c>
      <c r="C104" s="5">
        <v>3</v>
      </c>
      <c r="D104" s="5">
        <v>15</v>
      </c>
      <c r="E104" s="23" t="s">
        <v>41</v>
      </c>
      <c r="M104" s="120"/>
    </row>
    <row r="105" spans="1:13" x14ac:dyDescent="0.25">
      <c r="A105" s="43" t="s">
        <v>294</v>
      </c>
      <c r="B105" s="5" t="s">
        <v>210</v>
      </c>
      <c r="C105" s="5" t="s">
        <v>41</v>
      </c>
      <c r="D105" s="5">
        <v>10</v>
      </c>
      <c r="E105" s="24" t="s">
        <v>41</v>
      </c>
      <c r="M105" s="120"/>
    </row>
    <row r="106" spans="1:13" x14ac:dyDescent="0.25">
      <c r="A106" s="43" t="s">
        <v>295</v>
      </c>
      <c r="B106" s="5" t="s">
        <v>103</v>
      </c>
      <c r="C106" s="5">
        <v>2</v>
      </c>
      <c r="D106" s="5">
        <v>12</v>
      </c>
      <c r="E106" s="23" t="s">
        <v>41</v>
      </c>
      <c r="M106" s="120"/>
    </row>
    <row r="107" spans="1:13" x14ac:dyDescent="0.25">
      <c r="A107" s="43" t="s">
        <v>296</v>
      </c>
      <c r="B107" s="5" t="s">
        <v>97</v>
      </c>
      <c r="C107" s="5">
        <v>2</v>
      </c>
      <c r="D107" s="5">
        <v>12</v>
      </c>
      <c r="E107" s="23" t="s">
        <v>325</v>
      </c>
      <c r="M107" s="120"/>
    </row>
    <row r="108" spans="1:13" x14ac:dyDescent="0.25">
      <c r="A108" s="43" t="s">
        <v>297</v>
      </c>
      <c r="B108" s="5" t="s">
        <v>96</v>
      </c>
      <c r="C108" s="5">
        <v>2</v>
      </c>
      <c r="D108" s="5">
        <v>6</v>
      </c>
      <c r="E108" s="23" t="s">
        <v>41</v>
      </c>
      <c r="M108" s="120"/>
    </row>
    <row r="109" spans="1:13" x14ac:dyDescent="0.25">
      <c r="A109" s="43" t="s">
        <v>298</v>
      </c>
      <c r="B109" s="5" t="s">
        <v>96</v>
      </c>
      <c r="C109" s="5">
        <v>2</v>
      </c>
      <c r="D109" s="5">
        <v>6</v>
      </c>
      <c r="E109" s="23" t="s">
        <v>41</v>
      </c>
      <c r="M109" s="120"/>
    </row>
    <row r="110" spans="1:13" x14ac:dyDescent="0.25">
      <c r="A110" s="43" t="s">
        <v>299</v>
      </c>
      <c r="B110" s="5" t="s">
        <v>96</v>
      </c>
      <c r="C110" s="5">
        <v>4</v>
      </c>
      <c r="D110" s="5">
        <v>4</v>
      </c>
      <c r="E110" s="23" t="s">
        <v>41</v>
      </c>
      <c r="M110" s="120"/>
    </row>
    <row r="111" spans="1:13" x14ac:dyDescent="0.25">
      <c r="A111" s="43" t="s">
        <v>300</v>
      </c>
      <c r="B111" s="5" t="s">
        <v>96</v>
      </c>
      <c r="C111" s="5">
        <v>2</v>
      </c>
      <c r="D111" s="5">
        <v>2</v>
      </c>
      <c r="E111" s="23" t="s">
        <v>41</v>
      </c>
      <c r="M111" s="120"/>
    </row>
    <row r="112" spans="1:13" x14ac:dyDescent="0.25">
      <c r="A112" s="43" t="s">
        <v>301</v>
      </c>
      <c r="B112" s="5" t="s">
        <v>96</v>
      </c>
      <c r="C112" s="44" t="s">
        <v>41</v>
      </c>
      <c r="D112" s="5">
        <v>4</v>
      </c>
      <c r="E112" s="23" t="s">
        <v>41</v>
      </c>
      <c r="M112" s="120"/>
    </row>
    <row r="113" spans="1:13" x14ac:dyDescent="0.25">
      <c r="A113" s="43" t="s">
        <v>191</v>
      </c>
      <c r="B113" s="5" t="s">
        <v>96</v>
      </c>
      <c r="C113" s="44">
        <v>2</v>
      </c>
      <c r="D113" s="5">
        <v>6</v>
      </c>
      <c r="E113" s="23" t="s">
        <v>41</v>
      </c>
      <c r="M113" s="120"/>
    </row>
    <row r="114" spans="1:13" x14ac:dyDescent="0.25">
      <c r="A114" s="43" t="s">
        <v>302</v>
      </c>
      <c r="B114" s="5" t="s">
        <v>96</v>
      </c>
      <c r="C114" s="5">
        <v>2</v>
      </c>
      <c r="D114" s="5">
        <v>4</v>
      </c>
      <c r="E114" s="23" t="s">
        <v>41</v>
      </c>
      <c r="M114" s="120"/>
    </row>
    <row r="115" spans="1:13" x14ac:dyDescent="0.25">
      <c r="A115" s="45" t="s">
        <v>303</v>
      </c>
      <c r="B115" s="37" t="s">
        <v>97</v>
      </c>
      <c r="C115" s="44" t="s">
        <v>41</v>
      </c>
      <c r="D115" s="37">
        <v>10</v>
      </c>
      <c r="E115" s="23" t="s">
        <v>323</v>
      </c>
      <c r="M115" s="120"/>
    </row>
    <row r="116" spans="1:13" x14ac:dyDescent="0.25">
      <c r="A116" s="45" t="s">
        <v>95</v>
      </c>
      <c r="B116" s="5" t="s">
        <v>97</v>
      </c>
      <c r="C116" s="44" t="s">
        <v>41</v>
      </c>
      <c r="D116" s="37">
        <v>10</v>
      </c>
      <c r="E116" s="7" t="s">
        <v>323</v>
      </c>
      <c r="M116" s="120"/>
    </row>
    <row r="117" spans="1:13" x14ac:dyDescent="0.25">
      <c r="A117" s="45" t="s">
        <v>93</v>
      </c>
      <c r="B117" s="5" t="s">
        <v>97</v>
      </c>
      <c r="C117" s="44">
        <v>2</v>
      </c>
      <c r="D117" s="37">
        <v>6</v>
      </c>
      <c r="E117" s="7" t="s">
        <v>323</v>
      </c>
      <c r="M117" s="120"/>
    </row>
    <row r="118" spans="1:13" x14ac:dyDescent="0.25">
      <c r="A118" s="45" t="s">
        <v>304</v>
      </c>
      <c r="B118" s="37" t="s">
        <v>97</v>
      </c>
      <c r="C118" s="37">
        <v>2</v>
      </c>
      <c r="D118" s="37">
        <v>10</v>
      </c>
      <c r="E118" s="23" t="s">
        <v>323</v>
      </c>
      <c r="M118" s="120"/>
    </row>
    <row r="119" spans="1:13" x14ac:dyDescent="0.25">
      <c r="A119" s="45" t="s">
        <v>305</v>
      </c>
      <c r="B119" s="37" t="s">
        <v>96</v>
      </c>
      <c r="C119" s="37">
        <v>2</v>
      </c>
      <c r="D119" s="37">
        <v>6</v>
      </c>
      <c r="E119" s="23" t="s">
        <v>323</v>
      </c>
      <c r="M119" s="120"/>
    </row>
    <row r="120" spans="1:13" x14ac:dyDescent="0.25">
      <c r="A120" s="45" t="s">
        <v>306</v>
      </c>
      <c r="B120" s="37" t="s">
        <v>96</v>
      </c>
      <c r="C120" s="37">
        <v>2</v>
      </c>
      <c r="D120" s="37">
        <v>6</v>
      </c>
      <c r="E120" s="23" t="s">
        <v>41</v>
      </c>
      <c r="M120" s="120"/>
    </row>
    <row r="121" spans="1:13" x14ac:dyDescent="0.25">
      <c r="A121" s="45" t="s">
        <v>307</v>
      </c>
      <c r="B121" s="37" t="s">
        <v>103</v>
      </c>
      <c r="C121" s="37">
        <v>2</v>
      </c>
      <c r="D121" s="37">
        <v>4</v>
      </c>
      <c r="E121" s="23" t="s">
        <v>41</v>
      </c>
      <c r="M121" s="120"/>
    </row>
    <row r="122" spans="1:13" x14ac:dyDescent="0.25">
      <c r="A122" s="45" t="s">
        <v>308</v>
      </c>
      <c r="B122" s="37" t="s">
        <v>97</v>
      </c>
      <c r="C122" s="44" t="s">
        <v>41</v>
      </c>
      <c r="D122" s="37">
        <v>10</v>
      </c>
      <c r="E122" s="23" t="s">
        <v>323</v>
      </c>
      <c r="M122" s="120"/>
    </row>
    <row r="123" spans="1:13" x14ac:dyDescent="0.25">
      <c r="A123" s="45" t="s">
        <v>309</v>
      </c>
      <c r="B123" s="37" t="s">
        <v>96</v>
      </c>
      <c r="C123" s="37">
        <v>2</v>
      </c>
      <c r="D123" s="37">
        <v>6</v>
      </c>
      <c r="E123" s="23" t="s">
        <v>41</v>
      </c>
      <c r="M123" s="120"/>
    </row>
    <row r="124" spans="1:13" x14ac:dyDescent="0.25">
      <c r="A124" s="45" t="s">
        <v>118</v>
      </c>
      <c r="B124" s="37" t="s">
        <v>103</v>
      </c>
      <c r="C124" s="44">
        <v>2</v>
      </c>
      <c r="D124" s="37">
        <v>30</v>
      </c>
      <c r="E124" s="7" t="s">
        <v>41</v>
      </c>
      <c r="M124" s="120"/>
    </row>
    <row r="125" spans="1:13" x14ac:dyDescent="0.25">
      <c r="A125" s="45" t="s">
        <v>94</v>
      </c>
      <c r="B125" s="37" t="s">
        <v>97</v>
      </c>
      <c r="C125" s="44" t="s">
        <v>41</v>
      </c>
      <c r="D125" s="37">
        <v>10</v>
      </c>
      <c r="E125" s="23" t="s">
        <v>323</v>
      </c>
      <c r="M125" s="120"/>
    </row>
    <row r="126" spans="1:13" x14ac:dyDescent="0.25">
      <c r="A126" s="45" t="s">
        <v>310</v>
      </c>
      <c r="B126" s="37" t="s">
        <v>103</v>
      </c>
      <c r="C126" s="44">
        <v>3</v>
      </c>
      <c r="D126" s="37">
        <v>15</v>
      </c>
      <c r="E126" s="23" t="s">
        <v>41</v>
      </c>
      <c r="M126" s="120"/>
    </row>
    <row r="127" spans="1:13" x14ac:dyDescent="0.25">
      <c r="A127" s="45" t="s">
        <v>311</v>
      </c>
      <c r="B127" s="37" t="s">
        <v>96</v>
      </c>
      <c r="C127" s="44">
        <v>2</v>
      </c>
      <c r="D127" s="37">
        <v>6</v>
      </c>
      <c r="E127" s="23" t="s">
        <v>41</v>
      </c>
      <c r="M127" s="120"/>
    </row>
    <row r="128" spans="1:13" x14ac:dyDescent="0.25">
      <c r="A128" s="45" t="s">
        <v>312</v>
      </c>
      <c r="B128" s="5" t="s">
        <v>96</v>
      </c>
      <c r="C128" s="37">
        <v>2</v>
      </c>
      <c r="D128" s="37">
        <v>6</v>
      </c>
      <c r="E128" s="23" t="s">
        <v>41</v>
      </c>
      <c r="M128" s="120"/>
    </row>
    <row r="129" spans="1:13" x14ac:dyDescent="0.25">
      <c r="A129" s="45" t="s">
        <v>313</v>
      </c>
      <c r="B129" s="37" t="s">
        <v>97</v>
      </c>
      <c r="C129" s="37">
        <v>2</v>
      </c>
      <c r="D129" s="37">
        <v>12</v>
      </c>
      <c r="E129" s="24" t="s">
        <v>324</v>
      </c>
      <c r="M129" s="120"/>
    </row>
    <row r="130" spans="1:13" x14ac:dyDescent="0.25">
      <c r="A130" s="45" t="s">
        <v>314</v>
      </c>
      <c r="B130" s="37" t="s">
        <v>96</v>
      </c>
      <c r="C130" s="37">
        <v>2</v>
      </c>
      <c r="D130" s="37">
        <v>6</v>
      </c>
      <c r="E130" s="23" t="s">
        <v>41</v>
      </c>
      <c r="M130" s="120"/>
    </row>
    <row r="131" spans="1:13" x14ac:dyDescent="0.25">
      <c r="A131" s="45" t="s">
        <v>315</v>
      </c>
      <c r="B131" s="37" t="s">
        <v>96</v>
      </c>
      <c r="C131" s="37">
        <v>2</v>
      </c>
      <c r="D131" s="37">
        <v>2</v>
      </c>
      <c r="E131" s="23" t="s">
        <v>41</v>
      </c>
      <c r="M131" s="120"/>
    </row>
    <row r="132" spans="1:13" x14ac:dyDescent="0.25">
      <c r="A132" s="46" t="s">
        <v>316</v>
      </c>
      <c r="B132" s="37" t="s">
        <v>97</v>
      </c>
      <c r="C132" s="37">
        <v>2</v>
      </c>
      <c r="D132" s="37">
        <v>12</v>
      </c>
      <c r="E132" s="23" t="s">
        <v>323</v>
      </c>
      <c r="M132" s="120"/>
    </row>
    <row r="133" spans="1:13" x14ac:dyDescent="0.25">
      <c r="A133" s="45" t="s">
        <v>317</v>
      </c>
      <c r="B133" s="37" t="s">
        <v>97</v>
      </c>
      <c r="C133" s="37">
        <v>2</v>
      </c>
      <c r="D133" s="37">
        <v>10</v>
      </c>
      <c r="E133" s="24" t="s">
        <v>324</v>
      </c>
      <c r="M133" s="120"/>
    </row>
    <row r="134" spans="1:13" x14ac:dyDescent="0.25">
      <c r="A134" s="45" t="s">
        <v>318</v>
      </c>
      <c r="B134" s="37" t="s">
        <v>97</v>
      </c>
      <c r="C134" s="44" t="s">
        <v>41</v>
      </c>
      <c r="D134" s="37">
        <v>10</v>
      </c>
      <c r="E134" s="23" t="s">
        <v>323</v>
      </c>
      <c r="M134" s="120"/>
    </row>
    <row r="135" spans="1:13" x14ac:dyDescent="0.25">
      <c r="A135" s="45" t="s">
        <v>319</v>
      </c>
      <c r="B135" s="37" t="s">
        <v>96</v>
      </c>
      <c r="C135" s="37">
        <v>2</v>
      </c>
      <c r="D135" s="37">
        <v>6</v>
      </c>
      <c r="E135" s="23" t="s">
        <v>41</v>
      </c>
      <c r="M135" s="120"/>
    </row>
    <row r="136" spans="1:13" x14ac:dyDescent="0.25">
      <c r="A136" s="45" t="s">
        <v>320</v>
      </c>
      <c r="B136" s="37" t="s">
        <v>96</v>
      </c>
      <c r="C136" s="37">
        <v>2</v>
      </c>
      <c r="D136" s="38">
        <v>6</v>
      </c>
      <c r="E136" s="23" t="s">
        <v>41</v>
      </c>
      <c r="M136" s="120"/>
    </row>
    <row r="137" spans="1:13" x14ac:dyDescent="0.25">
      <c r="A137" s="45" t="s">
        <v>321</v>
      </c>
      <c r="B137" s="37" t="s">
        <v>103</v>
      </c>
      <c r="C137" s="37">
        <v>3</v>
      </c>
      <c r="D137" s="38">
        <v>15</v>
      </c>
      <c r="E137" s="23" t="s">
        <v>41</v>
      </c>
      <c r="M137" s="120"/>
    </row>
    <row r="138" spans="1:13" x14ac:dyDescent="0.25">
      <c r="A138" s="47" t="s">
        <v>91</v>
      </c>
      <c r="B138" s="9" t="s">
        <v>96</v>
      </c>
      <c r="C138" s="37">
        <v>2</v>
      </c>
      <c r="D138" s="38">
        <v>6</v>
      </c>
      <c r="E138" s="23" t="s">
        <v>41</v>
      </c>
      <c r="M138" s="120"/>
    </row>
    <row r="139" spans="1:13" x14ac:dyDescent="0.25">
      <c r="A139" s="47" t="s">
        <v>322</v>
      </c>
      <c r="B139" s="9" t="s">
        <v>96</v>
      </c>
      <c r="C139" s="48" t="s">
        <v>41</v>
      </c>
      <c r="D139" s="48">
        <v>6</v>
      </c>
      <c r="E139" s="49" t="s">
        <v>41</v>
      </c>
      <c r="M139" s="120"/>
    </row>
    <row r="140" spans="1:13" x14ac:dyDescent="0.25">
      <c r="A140" s="39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N58"/>
  <sheetViews>
    <sheetView tabSelected="1" workbookViewId="0">
      <selection activeCell="M26" sqref="M26"/>
    </sheetView>
  </sheetViews>
  <sheetFormatPr defaultRowHeight="12.75" x14ac:dyDescent="0.2"/>
  <cols>
    <col min="13" max="13" width="14.7109375" bestFit="1" customWidth="1"/>
    <col min="14" max="14" width="12" bestFit="1" customWidth="1"/>
  </cols>
  <sheetData>
    <row r="4" spans="1:14" x14ac:dyDescent="0.2">
      <c r="A4" s="225" t="s">
        <v>828</v>
      </c>
      <c r="B4" s="226"/>
      <c r="C4" s="226"/>
      <c r="D4" s="226"/>
      <c r="E4" s="226"/>
      <c r="F4" s="226"/>
      <c r="G4" s="226"/>
      <c r="H4" s="226"/>
      <c r="I4" s="226"/>
      <c r="J4" s="226"/>
      <c r="K4" s="226"/>
    </row>
    <row r="5" spans="1:14" x14ac:dyDescent="0.2">
      <c r="A5" s="227" t="s">
        <v>829</v>
      </c>
      <c r="B5" s="228" t="s">
        <v>830</v>
      </c>
      <c r="C5" s="229"/>
      <c r="D5" s="229"/>
      <c r="E5" s="229"/>
      <c r="F5" s="229"/>
      <c r="G5" s="229"/>
      <c r="H5" s="229"/>
      <c r="I5" s="229"/>
      <c r="J5" s="229"/>
      <c r="K5" s="230"/>
    </row>
    <row r="6" spans="1:14" x14ac:dyDescent="0.2">
      <c r="A6" s="231"/>
      <c r="B6" s="241">
        <v>0</v>
      </c>
      <c r="C6" s="232">
        <v>0.1</v>
      </c>
      <c r="D6" s="232">
        <v>0.2</v>
      </c>
      <c r="E6" s="232">
        <v>0.3</v>
      </c>
      <c r="F6" s="232">
        <v>0.4</v>
      </c>
      <c r="G6" s="232">
        <v>0.5</v>
      </c>
      <c r="H6" s="232">
        <v>0.6</v>
      </c>
      <c r="I6" s="232">
        <v>0.7</v>
      </c>
      <c r="J6" s="232">
        <v>0.8</v>
      </c>
      <c r="K6" s="232">
        <v>0.9</v>
      </c>
      <c r="M6" t="s">
        <v>834</v>
      </c>
    </row>
    <row r="7" spans="1:14" x14ac:dyDescent="0.2">
      <c r="A7" s="233">
        <v>35</v>
      </c>
      <c r="B7" s="234">
        <v>13.01</v>
      </c>
      <c r="C7" s="234">
        <v>13.05</v>
      </c>
      <c r="D7" s="234">
        <v>13.1</v>
      </c>
      <c r="E7" s="234">
        <v>13.14</v>
      </c>
      <c r="F7" s="234">
        <v>13.18</v>
      </c>
      <c r="G7" s="234">
        <v>13.23</v>
      </c>
      <c r="H7" s="234">
        <v>13.27</v>
      </c>
      <c r="I7" s="234">
        <v>13.31</v>
      </c>
      <c r="J7" s="234">
        <v>13.35</v>
      </c>
      <c r="K7" s="234">
        <v>13.4</v>
      </c>
      <c r="M7" t="s">
        <v>832</v>
      </c>
      <c r="N7">
        <f>FLOOR(Psych!R6,1)</f>
        <v>64</v>
      </c>
    </row>
    <row r="8" spans="1:14" x14ac:dyDescent="0.2">
      <c r="A8" s="235">
        <v>36</v>
      </c>
      <c r="B8" s="236">
        <v>13.44</v>
      </c>
      <c r="C8" s="236">
        <v>13.48</v>
      </c>
      <c r="D8" s="236">
        <v>13.53</v>
      </c>
      <c r="E8" s="236">
        <v>13.57</v>
      </c>
      <c r="F8" s="236">
        <v>13.61</v>
      </c>
      <c r="G8" s="236">
        <v>13.66</v>
      </c>
      <c r="H8" s="236">
        <v>13.7</v>
      </c>
      <c r="I8" s="236">
        <v>13.75</v>
      </c>
      <c r="J8" s="236">
        <v>13.79</v>
      </c>
      <c r="K8" s="236">
        <v>13.83</v>
      </c>
      <c r="M8" t="s">
        <v>833</v>
      </c>
      <c r="N8" s="240">
        <f>ROUND(Psych!R6 - N7,1)</f>
        <v>0.3</v>
      </c>
    </row>
    <row r="9" spans="1:14" x14ac:dyDescent="0.2">
      <c r="A9" s="235">
        <v>37</v>
      </c>
      <c r="B9" s="236">
        <v>13.87</v>
      </c>
      <c r="C9" s="236">
        <v>13.91</v>
      </c>
      <c r="D9" s="236">
        <v>13.96</v>
      </c>
      <c r="E9" s="236">
        <v>14</v>
      </c>
      <c r="F9" s="236">
        <v>14.05</v>
      </c>
      <c r="G9" s="236">
        <v>14.09</v>
      </c>
      <c r="H9" s="236">
        <v>14.14</v>
      </c>
      <c r="I9" s="236">
        <v>14.18</v>
      </c>
      <c r="J9" s="236">
        <v>14.23</v>
      </c>
      <c r="K9" s="236">
        <v>14.27</v>
      </c>
    </row>
    <row r="10" spans="1:14" x14ac:dyDescent="0.2">
      <c r="A10" s="235">
        <v>38</v>
      </c>
      <c r="B10" s="236">
        <v>14.32</v>
      </c>
      <c r="C10" s="236">
        <v>14.37</v>
      </c>
      <c r="D10" s="236">
        <v>14.41</v>
      </c>
      <c r="E10" s="236">
        <v>14.46</v>
      </c>
      <c r="F10" s="236">
        <v>14.5</v>
      </c>
      <c r="G10" s="236">
        <v>14.55</v>
      </c>
      <c r="H10" s="236">
        <v>14.59</v>
      </c>
      <c r="I10" s="236">
        <v>14.64</v>
      </c>
      <c r="J10" s="236">
        <v>14.68</v>
      </c>
      <c r="K10" s="236">
        <v>14.73</v>
      </c>
    </row>
    <row r="11" spans="1:14" x14ac:dyDescent="0.2">
      <c r="A11" s="237">
        <v>39</v>
      </c>
      <c r="B11" s="238">
        <v>14.77</v>
      </c>
      <c r="C11" s="238">
        <v>14.82</v>
      </c>
      <c r="D11" s="238">
        <v>14.86</v>
      </c>
      <c r="E11" s="238">
        <v>14.91</v>
      </c>
      <c r="F11" s="238">
        <v>14.95</v>
      </c>
      <c r="G11" s="238">
        <v>15</v>
      </c>
      <c r="H11" s="238">
        <v>15.05</v>
      </c>
      <c r="I11" s="238">
        <v>15.09</v>
      </c>
      <c r="J11" s="238">
        <v>15.14</v>
      </c>
      <c r="K11" s="238">
        <v>15.18</v>
      </c>
    </row>
    <row r="12" spans="1:14" x14ac:dyDescent="0.2">
      <c r="A12" s="233">
        <v>40</v>
      </c>
      <c r="B12" s="234">
        <v>15.23</v>
      </c>
      <c r="C12" s="234">
        <v>15.28</v>
      </c>
      <c r="D12" s="234">
        <v>15.32</v>
      </c>
      <c r="E12" s="234">
        <v>15.37</v>
      </c>
      <c r="F12" s="234">
        <v>15.42</v>
      </c>
      <c r="G12" s="234">
        <v>15.46</v>
      </c>
      <c r="H12" s="234">
        <v>15.51</v>
      </c>
      <c r="I12" s="234">
        <v>15.56</v>
      </c>
      <c r="J12" s="234">
        <v>15.6</v>
      </c>
      <c r="K12" s="234">
        <v>15.65</v>
      </c>
    </row>
    <row r="13" spans="1:14" x14ac:dyDescent="0.2">
      <c r="A13" s="235">
        <v>41</v>
      </c>
      <c r="B13" s="236">
        <v>15.7</v>
      </c>
      <c r="C13" s="236">
        <v>15.75</v>
      </c>
      <c r="D13" s="236">
        <v>15.8</v>
      </c>
      <c r="E13" s="236">
        <v>15.84</v>
      </c>
      <c r="F13" s="236">
        <v>15.89</v>
      </c>
      <c r="G13" s="236">
        <v>15.94</v>
      </c>
      <c r="H13" s="236">
        <v>15.99</v>
      </c>
      <c r="I13" s="236">
        <v>16.03</v>
      </c>
      <c r="J13" s="236">
        <v>16.079999999999998</v>
      </c>
      <c r="K13" s="236">
        <v>16.13</v>
      </c>
    </row>
    <row r="14" spans="1:14" x14ac:dyDescent="0.2">
      <c r="A14" s="235">
        <v>42</v>
      </c>
      <c r="B14" s="236">
        <v>16.170000000000002</v>
      </c>
      <c r="C14" s="236">
        <v>16.22</v>
      </c>
      <c r="D14" s="236">
        <v>16.27</v>
      </c>
      <c r="E14" s="236">
        <v>16.32</v>
      </c>
      <c r="F14" s="236">
        <v>16.36</v>
      </c>
      <c r="G14" s="236">
        <v>16.41</v>
      </c>
      <c r="H14" s="236">
        <v>16.46</v>
      </c>
      <c r="I14" s="236">
        <v>16.510000000000002</v>
      </c>
      <c r="J14" s="236">
        <v>16.559999999999999</v>
      </c>
      <c r="K14" s="236">
        <v>16.61</v>
      </c>
    </row>
    <row r="15" spans="1:14" x14ac:dyDescent="0.2">
      <c r="A15" s="235">
        <v>43</v>
      </c>
      <c r="B15" s="236">
        <v>16.66</v>
      </c>
      <c r="C15" s="236">
        <v>16.71</v>
      </c>
      <c r="D15" s="236">
        <v>16.760000000000002</v>
      </c>
      <c r="E15" s="236">
        <v>16.809999999999999</v>
      </c>
      <c r="F15" s="236">
        <v>16.86</v>
      </c>
      <c r="G15" s="236">
        <v>16.91</v>
      </c>
      <c r="H15" s="236">
        <v>16.96</v>
      </c>
      <c r="I15" s="236">
        <v>17</v>
      </c>
      <c r="J15" s="236">
        <v>17.05</v>
      </c>
      <c r="K15" s="236">
        <v>17.100000000000001</v>
      </c>
    </row>
    <row r="16" spans="1:14" x14ac:dyDescent="0.2">
      <c r="A16" s="237">
        <v>44</v>
      </c>
      <c r="B16" s="238">
        <v>17.149999999999999</v>
      </c>
      <c r="C16" s="238">
        <v>17.2</v>
      </c>
      <c r="D16" s="238">
        <v>17.25</v>
      </c>
      <c r="E16" s="238">
        <v>17.3</v>
      </c>
      <c r="F16" s="238">
        <v>17.350000000000001</v>
      </c>
      <c r="G16" s="238">
        <v>17.399999999999999</v>
      </c>
      <c r="H16" s="238">
        <v>17.45</v>
      </c>
      <c r="I16" s="238">
        <v>17.5</v>
      </c>
      <c r="J16" s="238">
        <v>17.55</v>
      </c>
      <c r="K16" s="238">
        <v>17.600000000000001</v>
      </c>
    </row>
    <row r="17" spans="1:11" x14ac:dyDescent="0.2">
      <c r="A17" s="233">
        <v>45</v>
      </c>
      <c r="B17" s="234">
        <v>17.649999999999999</v>
      </c>
      <c r="C17" s="234">
        <v>17.7</v>
      </c>
      <c r="D17" s="234">
        <v>17.75</v>
      </c>
      <c r="E17" s="234">
        <v>17.8</v>
      </c>
      <c r="F17" s="234">
        <v>17.850000000000001</v>
      </c>
      <c r="G17" s="234">
        <v>17.91</v>
      </c>
      <c r="H17" s="234">
        <v>17.96</v>
      </c>
      <c r="I17" s="234">
        <v>18.010000000000002</v>
      </c>
      <c r="J17" s="234">
        <v>18.059999999999999</v>
      </c>
      <c r="K17" s="234">
        <v>18.11</v>
      </c>
    </row>
    <row r="18" spans="1:11" x14ac:dyDescent="0.2">
      <c r="A18" s="235">
        <v>46</v>
      </c>
      <c r="B18" s="236">
        <v>18.16</v>
      </c>
      <c r="C18" s="236">
        <v>18.21</v>
      </c>
      <c r="D18" s="236">
        <v>18.260000000000002</v>
      </c>
      <c r="E18" s="236">
        <v>18.32</v>
      </c>
      <c r="F18" s="236">
        <v>18.37</v>
      </c>
      <c r="G18" s="236">
        <v>18.420000000000002</v>
      </c>
      <c r="H18" s="236">
        <v>18.47</v>
      </c>
      <c r="I18" s="236">
        <v>18.52</v>
      </c>
      <c r="J18" s="236">
        <v>18.579999999999998</v>
      </c>
      <c r="K18" s="236">
        <v>18.63</v>
      </c>
    </row>
    <row r="19" spans="1:11" x14ac:dyDescent="0.2">
      <c r="A19" s="235">
        <v>47</v>
      </c>
      <c r="B19" s="236">
        <v>18.68</v>
      </c>
      <c r="C19" s="236">
        <v>18.73</v>
      </c>
      <c r="D19" s="236">
        <v>18.79</v>
      </c>
      <c r="E19" s="236">
        <v>18.84</v>
      </c>
      <c r="F19" s="236">
        <v>18.89</v>
      </c>
      <c r="G19" s="236">
        <v>18.95</v>
      </c>
      <c r="H19" s="236">
        <v>19</v>
      </c>
      <c r="I19" s="236">
        <v>19.05</v>
      </c>
      <c r="J19" s="236">
        <v>19.100000000000001</v>
      </c>
      <c r="K19" s="236">
        <v>19.16</v>
      </c>
    </row>
    <row r="20" spans="1:11" x14ac:dyDescent="0.2">
      <c r="A20" s="235">
        <v>48</v>
      </c>
      <c r="B20" s="236">
        <v>19.21</v>
      </c>
      <c r="C20" s="236">
        <v>19.260000000000002</v>
      </c>
      <c r="D20" s="236">
        <v>19.32</v>
      </c>
      <c r="E20" s="236">
        <v>19.37</v>
      </c>
      <c r="F20" s="236">
        <v>19.43</v>
      </c>
      <c r="G20" s="236">
        <v>19.48</v>
      </c>
      <c r="H20" s="236">
        <v>19.53</v>
      </c>
      <c r="I20" s="236">
        <v>16.59</v>
      </c>
      <c r="J20" s="236">
        <v>19.64</v>
      </c>
      <c r="K20" s="236">
        <v>19.7</v>
      </c>
    </row>
    <row r="21" spans="1:11" x14ac:dyDescent="0.2">
      <c r="A21" s="237">
        <v>49</v>
      </c>
      <c r="B21" s="238">
        <v>19.75</v>
      </c>
      <c r="C21" s="238">
        <v>19.809999999999999</v>
      </c>
      <c r="D21" s="238">
        <v>19.86</v>
      </c>
      <c r="E21" s="238">
        <v>19.920000000000002</v>
      </c>
      <c r="F21" s="238">
        <v>19.97</v>
      </c>
      <c r="G21" s="238">
        <v>20.03</v>
      </c>
      <c r="H21" s="238">
        <v>20.079999999999998</v>
      </c>
      <c r="I21" s="238">
        <v>20.14</v>
      </c>
      <c r="J21" s="238">
        <v>20.190000000000001</v>
      </c>
      <c r="K21" s="238">
        <v>20.25</v>
      </c>
    </row>
    <row r="22" spans="1:11" x14ac:dyDescent="0.2">
      <c r="A22" s="233">
        <v>50</v>
      </c>
      <c r="B22" s="234">
        <v>20.3</v>
      </c>
      <c r="C22" s="234">
        <v>20.36</v>
      </c>
      <c r="D22" s="234">
        <v>20.41</v>
      </c>
      <c r="E22" s="234">
        <v>20.47</v>
      </c>
      <c r="F22" s="234">
        <v>20.52</v>
      </c>
      <c r="G22" s="234">
        <v>20.58</v>
      </c>
      <c r="H22" s="234">
        <v>20.64</v>
      </c>
      <c r="I22" s="234">
        <v>20.69</v>
      </c>
      <c r="J22" s="234">
        <v>20.75</v>
      </c>
      <c r="K22" s="234">
        <v>20.8</v>
      </c>
    </row>
    <row r="23" spans="1:11" x14ac:dyDescent="0.2">
      <c r="A23" s="235">
        <v>51</v>
      </c>
      <c r="B23" s="236">
        <v>20.86</v>
      </c>
      <c r="C23" s="236">
        <v>20.92</v>
      </c>
      <c r="D23" s="236">
        <v>20.97</v>
      </c>
      <c r="E23" s="236">
        <v>21.03</v>
      </c>
      <c r="F23" s="236">
        <v>21.09</v>
      </c>
      <c r="G23" s="236">
        <v>21.15</v>
      </c>
      <c r="H23" s="236">
        <v>21.2</v>
      </c>
      <c r="I23" s="236">
        <v>21.26</v>
      </c>
      <c r="J23" s="236">
        <v>21.32</v>
      </c>
      <c r="K23" s="236">
        <v>21.38</v>
      </c>
    </row>
    <row r="24" spans="1:11" x14ac:dyDescent="0.2">
      <c r="A24" s="235">
        <v>52</v>
      </c>
      <c r="B24" s="236">
        <v>21.44</v>
      </c>
      <c r="C24" s="236">
        <v>21.5</v>
      </c>
      <c r="D24" s="236">
        <v>21.56</v>
      </c>
      <c r="E24" s="236">
        <v>21.62</v>
      </c>
      <c r="F24" s="236">
        <v>21.67</v>
      </c>
      <c r="G24" s="236">
        <v>21.73</v>
      </c>
      <c r="H24" s="236">
        <v>21.79</v>
      </c>
      <c r="I24" s="236">
        <v>21.85</v>
      </c>
      <c r="J24" s="236">
        <v>21.91</v>
      </c>
      <c r="K24" s="236">
        <v>21.97</v>
      </c>
    </row>
    <row r="25" spans="1:11" x14ac:dyDescent="0.2">
      <c r="A25" s="235">
        <v>53</v>
      </c>
      <c r="B25" s="236">
        <v>22.02</v>
      </c>
      <c r="C25" s="236">
        <v>22.08</v>
      </c>
      <c r="D25" s="236">
        <v>22.14</v>
      </c>
      <c r="E25" s="236">
        <v>22.2</v>
      </c>
      <c r="F25" s="236">
        <v>22.26</v>
      </c>
      <c r="G25" s="236">
        <v>22.32</v>
      </c>
      <c r="H25" s="236">
        <v>22.38</v>
      </c>
      <c r="I25" s="236">
        <v>22.44</v>
      </c>
      <c r="J25" s="236">
        <v>22.5</v>
      </c>
      <c r="K25" s="236">
        <v>22.56</v>
      </c>
    </row>
    <row r="26" spans="1:11" x14ac:dyDescent="0.2">
      <c r="A26" s="237">
        <v>54</v>
      </c>
      <c r="B26" s="238">
        <v>22.62</v>
      </c>
      <c r="C26" s="238">
        <v>22.68</v>
      </c>
      <c r="D26" s="238">
        <v>22.74</v>
      </c>
      <c r="E26" s="238">
        <v>22.8</v>
      </c>
      <c r="F26" s="238">
        <v>22.86</v>
      </c>
      <c r="G26" s="238">
        <v>22.92</v>
      </c>
      <c r="H26" s="238">
        <v>22.98</v>
      </c>
      <c r="I26" s="238">
        <v>23.04</v>
      </c>
      <c r="J26" s="238">
        <v>23.1</v>
      </c>
      <c r="K26" s="238">
        <v>23.16</v>
      </c>
    </row>
    <row r="27" spans="1:11" x14ac:dyDescent="0.2">
      <c r="A27" s="233">
        <v>55</v>
      </c>
      <c r="B27" s="234">
        <v>23.22</v>
      </c>
      <c r="C27" s="234">
        <v>23.28</v>
      </c>
      <c r="D27" s="234">
        <v>23.34</v>
      </c>
      <c r="E27" s="234">
        <v>23.41</v>
      </c>
      <c r="F27" s="234">
        <v>23.47</v>
      </c>
      <c r="G27" s="234">
        <v>23.53</v>
      </c>
      <c r="H27" s="234">
        <v>23.59</v>
      </c>
      <c r="I27" s="234">
        <v>23.65</v>
      </c>
      <c r="J27" s="234">
        <v>23.72</v>
      </c>
      <c r="K27" s="234">
        <v>23.78</v>
      </c>
    </row>
    <row r="28" spans="1:11" x14ac:dyDescent="0.2">
      <c r="A28" s="235">
        <v>56</v>
      </c>
      <c r="B28" s="236">
        <v>23.84</v>
      </c>
      <c r="C28" s="236">
        <v>23.9</v>
      </c>
      <c r="D28" s="236">
        <v>23.97</v>
      </c>
      <c r="E28" s="236">
        <v>24.03</v>
      </c>
      <c r="F28" s="236">
        <v>24.1</v>
      </c>
      <c r="G28" s="236">
        <v>24.16</v>
      </c>
      <c r="H28" s="236">
        <v>24.22</v>
      </c>
      <c r="I28" s="236">
        <v>24.29</v>
      </c>
      <c r="J28" s="236">
        <v>24.35</v>
      </c>
      <c r="K28" s="236">
        <v>24.42</v>
      </c>
    </row>
    <row r="29" spans="1:11" x14ac:dyDescent="0.2">
      <c r="A29" s="235">
        <v>57</v>
      </c>
      <c r="B29" s="236">
        <v>24.48</v>
      </c>
      <c r="C29" s="236">
        <v>24.54</v>
      </c>
      <c r="D29" s="236">
        <v>24.61</v>
      </c>
      <c r="E29" s="236">
        <v>24.67</v>
      </c>
      <c r="F29" s="236">
        <v>24.74</v>
      </c>
      <c r="G29" s="236">
        <v>24.8</v>
      </c>
      <c r="H29" s="236">
        <v>24.86</v>
      </c>
      <c r="I29" s="236">
        <v>24.93</v>
      </c>
      <c r="J29" s="236">
        <v>24.99</v>
      </c>
      <c r="K29" s="236">
        <v>25.06</v>
      </c>
    </row>
    <row r="30" spans="1:11" x14ac:dyDescent="0.2">
      <c r="A30" s="235">
        <v>58</v>
      </c>
      <c r="B30" s="236">
        <v>25.12</v>
      </c>
      <c r="C30" s="236">
        <v>25.19</v>
      </c>
      <c r="D30" s="236">
        <v>25.25</v>
      </c>
      <c r="E30" s="236">
        <v>25.32</v>
      </c>
      <c r="F30" s="236">
        <v>25.38</v>
      </c>
      <c r="G30" s="236">
        <v>25.45</v>
      </c>
      <c r="H30" s="236">
        <v>25.52</v>
      </c>
      <c r="I30" s="236">
        <v>25.58</v>
      </c>
      <c r="J30" s="236">
        <v>25.65</v>
      </c>
      <c r="K30" s="236">
        <v>25.71</v>
      </c>
    </row>
    <row r="31" spans="1:11" x14ac:dyDescent="0.2">
      <c r="A31" s="237">
        <v>59</v>
      </c>
      <c r="B31" s="238">
        <v>25.78</v>
      </c>
      <c r="C31" s="238">
        <v>25.85</v>
      </c>
      <c r="D31" s="238">
        <v>25.92</v>
      </c>
      <c r="E31" s="238">
        <v>25.98</v>
      </c>
      <c r="F31" s="238">
        <v>26.05</v>
      </c>
      <c r="G31" s="238">
        <v>26.12</v>
      </c>
      <c r="H31" s="238">
        <v>26.19</v>
      </c>
      <c r="I31" s="238">
        <v>26.26</v>
      </c>
      <c r="J31" s="238">
        <v>26.32</v>
      </c>
      <c r="K31" s="238">
        <v>26.39</v>
      </c>
    </row>
    <row r="32" spans="1:11" x14ac:dyDescent="0.2">
      <c r="A32" s="233">
        <v>60</v>
      </c>
      <c r="B32" s="234">
        <v>26.46</v>
      </c>
      <c r="C32" s="234">
        <v>26.53</v>
      </c>
      <c r="D32" s="234">
        <v>26.6</v>
      </c>
      <c r="E32" s="234">
        <v>26.67</v>
      </c>
      <c r="F32" s="234">
        <v>26.74</v>
      </c>
      <c r="G32" s="234">
        <v>26.81</v>
      </c>
      <c r="H32" s="234">
        <v>26.87</v>
      </c>
      <c r="I32" s="234">
        <v>26.94</v>
      </c>
      <c r="J32" s="234">
        <v>27.01</v>
      </c>
      <c r="K32" s="234">
        <v>27.08</v>
      </c>
    </row>
    <row r="33" spans="1:11" x14ac:dyDescent="0.2">
      <c r="A33" s="235">
        <v>61</v>
      </c>
      <c r="B33" s="236">
        <v>27.15</v>
      </c>
      <c r="C33" s="236">
        <v>27.22</v>
      </c>
      <c r="D33" s="236">
        <v>27.29</v>
      </c>
      <c r="E33" s="236">
        <v>27.36</v>
      </c>
      <c r="F33" s="236">
        <v>27.43</v>
      </c>
      <c r="G33" s="236">
        <v>27.5</v>
      </c>
      <c r="H33" s="236">
        <v>27.57</v>
      </c>
      <c r="I33" s="236">
        <v>27.64</v>
      </c>
      <c r="J33" s="236">
        <v>27.71</v>
      </c>
      <c r="K33" s="236">
        <v>27.78</v>
      </c>
    </row>
    <row r="34" spans="1:11" x14ac:dyDescent="0.2">
      <c r="A34" s="235">
        <v>62</v>
      </c>
      <c r="B34" s="236">
        <v>27.85</v>
      </c>
      <c r="C34" s="236">
        <v>27.92</v>
      </c>
      <c r="D34" s="236">
        <v>27.99</v>
      </c>
      <c r="E34" s="236">
        <v>28.07</v>
      </c>
      <c r="F34" s="236">
        <v>28.14</v>
      </c>
      <c r="G34" s="236">
        <v>28.21</v>
      </c>
      <c r="H34" s="236">
        <v>28.28</v>
      </c>
      <c r="I34" s="236">
        <v>28.35</v>
      </c>
      <c r="J34" s="236">
        <v>28.43</v>
      </c>
      <c r="K34" s="236">
        <v>28.5</v>
      </c>
    </row>
    <row r="35" spans="1:11" x14ac:dyDescent="0.2">
      <c r="A35" s="235">
        <v>63</v>
      </c>
      <c r="B35" s="236">
        <v>28.57</v>
      </c>
      <c r="C35" s="236">
        <v>28.64</v>
      </c>
      <c r="D35" s="236">
        <v>28.72</v>
      </c>
      <c r="E35" s="236">
        <v>28.79</v>
      </c>
      <c r="F35" s="236">
        <v>28.87</v>
      </c>
      <c r="G35" s="236">
        <v>28.94</v>
      </c>
      <c r="H35" s="236">
        <v>29.01</v>
      </c>
      <c r="I35" s="236">
        <v>29.09</v>
      </c>
      <c r="J35" s="236">
        <v>29.16</v>
      </c>
      <c r="K35" s="236">
        <v>29.24</v>
      </c>
    </row>
    <row r="36" spans="1:11" x14ac:dyDescent="0.2">
      <c r="A36" s="237">
        <v>64</v>
      </c>
      <c r="B36" s="238">
        <v>29.31</v>
      </c>
      <c r="C36" s="238">
        <v>29.39</v>
      </c>
      <c r="D36" s="238">
        <v>29.46</v>
      </c>
      <c r="E36" s="238">
        <v>29.54</v>
      </c>
      <c r="F36" s="238">
        <v>29.61</v>
      </c>
      <c r="G36" s="238">
        <v>29.69</v>
      </c>
      <c r="H36" s="238">
        <v>29.76</v>
      </c>
      <c r="I36" s="238">
        <v>29.84</v>
      </c>
      <c r="J36" s="238">
        <v>29.91</v>
      </c>
      <c r="K36" s="238">
        <v>29.99</v>
      </c>
    </row>
    <row r="37" spans="1:11" x14ac:dyDescent="0.2">
      <c r="A37" s="233">
        <v>65</v>
      </c>
      <c r="B37" s="234">
        <v>30.06</v>
      </c>
      <c r="C37" s="234">
        <v>30.14</v>
      </c>
      <c r="D37" s="234">
        <v>30.21</v>
      </c>
      <c r="E37" s="234">
        <v>30.29</v>
      </c>
      <c r="F37" s="234">
        <v>30.37</v>
      </c>
      <c r="G37" s="234">
        <v>30.45</v>
      </c>
      <c r="H37" s="234">
        <v>30.52</v>
      </c>
      <c r="I37" s="234">
        <v>30.6</v>
      </c>
      <c r="J37" s="234">
        <v>30.68</v>
      </c>
      <c r="K37" s="234">
        <v>30.75</v>
      </c>
    </row>
    <row r="38" spans="1:11" x14ac:dyDescent="0.2">
      <c r="A38" s="235">
        <v>66</v>
      </c>
      <c r="B38" s="236">
        <v>30.83</v>
      </c>
      <c r="C38" s="236">
        <v>30.91</v>
      </c>
      <c r="D38" s="236">
        <v>30.99</v>
      </c>
      <c r="E38" s="236">
        <v>31.07</v>
      </c>
      <c r="F38" s="236">
        <v>31.15</v>
      </c>
      <c r="G38" s="236">
        <v>31.23</v>
      </c>
      <c r="H38" s="236">
        <v>31.3</v>
      </c>
      <c r="I38" s="236">
        <v>31.38</v>
      </c>
      <c r="J38" s="236">
        <v>31.46</v>
      </c>
      <c r="K38" s="236">
        <v>31.54</v>
      </c>
    </row>
    <row r="39" spans="1:11" x14ac:dyDescent="0.2">
      <c r="A39" s="235">
        <v>67</v>
      </c>
      <c r="B39" s="236">
        <v>31.62</v>
      </c>
      <c r="C39" s="236">
        <v>31.7</v>
      </c>
      <c r="D39" s="236">
        <v>31.78</v>
      </c>
      <c r="E39" s="236">
        <v>31.86</v>
      </c>
      <c r="F39" s="236">
        <v>31.94</v>
      </c>
      <c r="G39" s="236">
        <v>32.020000000000003</v>
      </c>
      <c r="H39" s="236">
        <v>32.1</v>
      </c>
      <c r="I39" s="236">
        <v>32.18</v>
      </c>
      <c r="J39" s="236">
        <v>32.26</v>
      </c>
      <c r="K39" s="236">
        <v>32.340000000000003</v>
      </c>
    </row>
    <row r="40" spans="1:11" x14ac:dyDescent="0.2">
      <c r="A40" s="235">
        <v>68</v>
      </c>
      <c r="B40" s="236">
        <v>32.42</v>
      </c>
      <c r="C40" s="236">
        <v>32.5</v>
      </c>
      <c r="D40" s="236">
        <v>32.590000000000003</v>
      </c>
      <c r="E40" s="236">
        <v>32.67</v>
      </c>
      <c r="F40" s="236">
        <v>32.75</v>
      </c>
      <c r="G40" s="236">
        <v>32.840000000000003</v>
      </c>
      <c r="H40" s="236">
        <v>32.92</v>
      </c>
      <c r="I40" s="236">
        <v>33</v>
      </c>
      <c r="J40" s="236">
        <v>33.08</v>
      </c>
      <c r="K40" s="236">
        <v>33.17</v>
      </c>
    </row>
    <row r="41" spans="1:11" x14ac:dyDescent="0.2">
      <c r="A41" s="237">
        <v>69</v>
      </c>
      <c r="B41" s="238">
        <v>33.25</v>
      </c>
      <c r="C41" s="238">
        <v>33.33</v>
      </c>
      <c r="D41" s="238">
        <v>33.42</v>
      </c>
      <c r="E41" s="238">
        <v>33.5</v>
      </c>
      <c r="F41" s="238">
        <v>33.590000000000003</v>
      </c>
      <c r="G41" s="238">
        <v>33.67</v>
      </c>
      <c r="H41" s="238">
        <v>33.75</v>
      </c>
      <c r="I41" s="238">
        <v>33.840000000000003</v>
      </c>
      <c r="J41" s="238">
        <v>33.92</v>
      </c>
      <c r="K41" s="238">
        <v>34.01</v>
      </c>
    </row>
    <row r="42" spans="1:11" x14ac:dyDescent="0.2">
      <c r="A42" s="233">
        <v>70</v>
      </c>
      <c r="B42" s="234">
        <v>34.090000000000003</v>
      </c>
      <c r="C42" s="234">
        <v>34.18</v>
      </c>
      <c r="D42" s="234">
        <v>34.26</v>
      </c>
      <c r="E42" s="234">
        <v>34.35</v>
      </c>
      <c r="F42" s="234">
        <v>34.43</v>
      </c>
      <c r="G42" s="234">
        <v>34.520000000000003</v>
      </c>
      <c r="H42" s="234">
        <v>34.61</v>
      </c>
      <c r="I42" s="234">
        <v>34.69</v>
      </c>
      <c r="J42" s="234">
        <v>34.78</v>
      </c>
      <c r="K42" s="234">
        <v>34.86</v>
      </c>
    </row>
    <row r="43" spans="1:11" x14ac:dyDescent="0.2">
      <c r="A43" s="235">
        <v>71</v>
      </c>
      <c r="B43" s="236">
        <v>34.950000000000003</v>
      </c>
      <c r="C43" s="236">
        <v>35.04</v>
      </c>
      <c r="D43" s="236">
        <v>35.130000000000003</v>
      </c>
      <c r="E43" s="236">
        <v>35.21</v>
      </c>
      <c r="F43" s="236">
        <v>35.299999999999997</v>
      </c>
      <c r="G43" s="236">
        <v>35.39</v>
      </c>
      <c r="H43" s="236">
        <v>35.479999999999997</v>
      </c>
      <c r="I43" s="236">
        <v>35.57</v>
      </c>
      <c r="J43" s="236">
        <v>35.65</v>
      </c>
      <c r="K43" s="236">
        <v>35.74</v>
      </c>
    </row>
    <row r="44" spans="1:11" x14ac:dyDescent="0.2">
      <c r="A44" s="235">
        <v>72</v>
      </c>
      <c r="B44" s="236">
        <v>35.83</v>
      </c>
      <c r="C44" s="236">
        <v>35.92</v>
      </c>
      <c r="D44" s="236">
        <v>36.01</v>
      </c>
      <c r="E44" s="236">
        <v>36.1</v>
      </c>
      <c r="F44" s="236">
        <v>36.19</v>
      </c>
      <c r="G44" s="236">
        <v>36.29</v>
      </c>
      <c r="H44" s="236">
        <v>36.380000000000003</v>
      </c>
      <c r="I44" s="236">
        <v>36.47</v>
      </c>
      <c r="J44" s="236">
        <v>36.56</v>
      </c>
      <c r="K44" s="236">
        <v>36.65</v>
      </c>
    </row>
    <row r="45" spans="1:11" x14ac:dyDescent="0.2">
      <c r="A45" s="235">
        <v>73</v>
      </c>
      <c r="B45" s="236">
        <v>36.74</v>
      </c>
      <c r="C45" s="236">
        <v>36.83</v>
      </c>
      <c r="D45" s="236">
        <v>36.92</v>
      </c>
      <c r="E45" s="236">
        <v>37.020000000000003</v>
      </c>
      <c r="F45" s="236">
        <v>37.11</v>
      </c>
      <c r="G45" s="236">
        <v>37.200000000000003</v>
      </c>
      <c r="H45" s="236">
        <v>37.29</v>
      </c>
      <c r="I45" s="236">
        <v>37.380000000000003</v>
      </c>
      <c r="J45" s="236">
        <v>37.479999999999997</v>
      </c>
      <c r="K45" s="236">
        <v>37.57</v>
      </c>
    </row>
    <row r="46" spans="1:11" x14ac:dyDescent="0.2">
      <c r="A46" s="237">
        <v>74</v>
      </c>
      <c r="B46" s="238">
        <v>37.659999999999997</v>
      </c>
      <c r="C46" s="238">
        <v>37.76</v>
      </c>
      <c r="D46" s="238">
        <v>37.85</v>
      </c>
      <c r="E46" s="238">
        <v>37.950000000000003</v>
      </c>
      <c r="F46" s="238">
        <v>38.04</v>
      </c>
      <c r="G46" s="238">
        <v>38.14</v>
      </c>
      <c r="H46" s="238">
        <v>38.229999999999997</v>
      </c>
      <c r="I46" s="238">
        <v>38.33</v>
      </c>
      <c r="J46" s="238">
        <v>38.42</v>
      </c>
      <c r="K46" s="238">
        <v>38.520000000000003</v>
      </c>
    </row>
    <row r="47" spans="1:11" x14ac:dyDescent="0.2">
      <c r="A47" s="233">
        <v>75</v>
      </c>
      <c r="B47" s="234">
        <v>38.61</v>
      </c>
      <c r="C47" s="234">
        <v>38.71</v>
      </c>
      <c r="D47" s="234">
        <v>38.799999999999997</v>
      </c>
      <c r="E47" s="234">
        <v>38.9</v>
      </c>
      <c r="F47" s="234">
        <v>38.99</v>
      </c>
      <c r="G47" s="234">
        <v>39.090000000000003</v>
      </c>
      <c r="H47" s="234">
        <v>39.19</v>
      </c>
      <c r="I47" s="234">
        <v>39.28</v>
      </c>
      <c r="J47" s="234">
        <v>39.380000000000003</v>
      </c>
      <c r="K47" s="234">
        <v>39.47</v>
      </c>
    </row>
    <row r="48" spans="1:11" x14ac:dyDescent="0.2">
      <c r="A48" s="235">
        <v>76</v>
      </c>
      <c r="B48" s="236">
        <v>39.57</v>
      </c>
      <c r="C48" s="236">
        <v>39.67</v>
      </c>
      <c r="D48" s="236">
        <v>39.770000000000003</v>
      </c>
      <c r="E48" s="236">
        <v>39.869999999999997</v>
      </c>
      <c r="F48" s="236">
        <v>39.97</v>
      </c>
      <c r="G48" s="236">
        <v>40.07</v>
      </c>
      <c r="H48" s="236">
        <v>40.17</v>
      </c>
      <c r="I48" s="236">
        <v>40.270000000000003</v>
      </c>
      <c r="J48" s="236">
        <v>40.369999999999997</v>
      </c>
      <c r="K48" s="236">
        <v>40.47</v>
      </c>
    </row>
    <row r="49" spans="1:11" x14ac:dyDescent="0.2">
      <c r="A49" s="235">
        <v>77</v>
      </c>
      <c r="B49" s="236">
        <v>40.57</v>
      </c>
      <c r="C49" s="236">
        <v>40.67</v>
      </c>
      <c r="D49" s="236">
        <v>40.770000000000003</v>
      </c>
      <c r="E49" s="236">
        <v>40.869999999999997</v>
      </c>
      <c r="F49" s="236">
        <v>40.97</v>
      </c>
      <c r="G49" s="236">
        <v>41.08</v>
      </c>
      <c r="H49" s="236">
        <v>41.18</v>
      </c>
      <c r="I49" s="236">
        <v>41.28</v>
      </c>
      <c r="J49" s="236">
        <v>41.38</v>
      </c>
      <c r="K49" s="236">
        <v>41.48</v>
      </c>
    </row>
    <row r="50" spans="1:11" x14ac:dyDescent="0.2">
      <c r="A50" s="235">
        <v>78</v>
      </c>
      <c r="B50" s="236">
        <v>41.58</v>
      </c>
      <c r="C50" s="236">
        <v>41.68</v>
      </c>
      <c r="D50" s="236">
        <v>41.79</v>
      </c>
      <c r="E50" s="236">
        <v>41.89</v>
      </c>
      <c r="F50" s="236">
        <v>42</v>
      </c>
      <c r="G50" s="236">
        <v>42.1</v>
      </c>
      <c r="H50" s="236">
        <v>42.2</v>
      </c>
      <c r="I50" s="236">
        <v>42.31</v>
      </c>
      <c r="J50" s="236">
        <v>42.41</v>
      </c>
      <c r="K50" s="236">
        <v>42.52</v>
      </c>
    </row>
    <row r="51" spans="1:11" x14ac:dyDescent="0.2">
      <c r="A51" s="237">
        <v>79</v>
      </c>
      <c r="B51" s="238">
        <v>42.62</v>
      </c>
      <c r="C51" s="238">
        <v>42.73</v>
      </c>
      <c r="D51" s="238">
        <v>42.83</v>
      </c>
      <c r="E51" s="238">
        <v>42.94</v>
      </c>
      <c r="F51" s="238">
        <v>43.05</v>
      </c>
      <c r="G51" s="238">
        <v>43.16</v>
      </c>
      <c r="H51" s="238">
        <v>43.26</v>
      </c>
      <c r="I51" s="238">
        <v>43.37</v>
      </c>
      <c r="J51" s="238">
        <v>43.48</v>
      </c>
      <c r="K51" s="238">
        <v>43.58</v>
      </c>
    </row>
    <row r="52" spans="1:11" x14ac:dyDescent="0.2">
      <c r="A52" s="233">
        <v>80</v>
      </c>
      <c r="B52" s="234">
        <v>43.69</v>
      </c>
      <c r="C52" s="234">
        <v>43.8</v>
      </c>
      <c r="D52" s="234">
        <v>43.91</v>
      </c>
      <c r="E52" s="234">
        <v>44.02</v>
      </c>
      <c r="F52" s="234">
        <v>44.13</v>
      </c>
      <c r="G52" s="234">
        <v>44.24</v>
      </c>
      <c r="H52" s="234">
        <v>44.34</v>
      </c>
      <c r="I52" s="234">
        <v>44.45</v>
      </c>
      <c r="J52" s="234">
        <v>44.56</v>
      </c>
      <c r="K52" s="234">
        <v>44.67</v>
      </c>
    </row>
    <row r="53" spans="1:11" x14ac:dyDescent="0.2">
      <c r="A53" s="235">
        <v>81</v>
      </c>
      <c r="B53" s="236">
        <v>44.78</v>
      </c>
      <c r="C53" s="236">
        <v>44.89</v>
      </c>
      <c r="D53" s="236">
        <v>45</v>
      </c>
      <c r="E53" s="236">
        <v>45.12</v>
      </c>
      <c r="F53" s="236">
        <v>45.23</v>
      </c>
      <c r="G53" s="236">
        <v>45.34</v>
      </c>
      <c r="H53" s="236">
        <v>45.45</v>
      </c>
      <c r="I53" s="236">
        <v>45.56</v>
      </c>
      <c r="J53" s="236">
        <v>45.68</v>
      </c>
      <c r="K53" s="236">
        <v>45.79</v>
      </c>
    </row>
    <row r="54" spans="1:11" x14ac:dyDescent="0.2">
      <c r="A54" s="235">
        <v>82</v>
      </c>
      <c r="B54" s="236">
        <v>45.9</v>
      </c>
      <c r="C54" s="236">
        <v>46.01</v>
      </c>
      <c r="D54" s="236">
        <v>46.13</v>
      </c>
      <c r="E54" s="236">
        <v>46.24</v>
      </c>
      <c r="F54" s="236">
        <v>46.36</v>
      </c>
      <c r="G54" s="236">
        <v>46.47</v>
      </c>
      <c r="H54" s="236">
        <v>46.58</v>
      </c>
      <c r="I54" s="236">
        <v>46.7</v>
      </c>
      <c r="J54" s="236">
        <v>46.81</v>
      </c>
      <c r="K54" s="236">
        <v>46.93</v>
      </c>
    </row>
    <row r="55" spans="1:11" x14ac:dyDescent="0.2">
      <c r="A55" s="235">
        <v>83</v>
      </c>
      <c r="B55" s="236">
        <v>47.04</v>
      </c>
      <c r="C55" s="236">
        <v>47.16</v>
      </c>
      <c r="D55" s="236">
        <v>47.28</v>
      </c>
      <c r="E55" s="236">
        <v>47.39</v>
      </c>
      <c r="F55" s="236">
        <v>47.51</v>
      </c>
      <c r="G55" s="236">
        <v>47.63</v>
      </c>
      <c r="H55" s="236">
        <v>47.75</v>
      </c>
      <c r="I55" s="236">
        <v>47.87</v>
      </c>
      <c r="J55" s="236">
        <v>47.98</v>
      </c>
      <c r="K55" s="236">
        <v>48.1</v>
      </c>
    </row>
    <row r="56" spans="1:11" x14ac:dyDescent="0.2">
      <c r="A56" s="235">
        <v>84</v>
      </c>
      <c r="B56" s="236">
        <v>48.22</v>
      </c>
      <c r="C56" s="236">
        <v>48.34</v>
      </c>
      <c r="D56" s="236">
        <v>48.46</v>
      </c>
      <c r="E56" s="236">
        <v>48.58</v>
      </c>
      <c r="F56" s="236">
        <v>48.7</v>
      </c>
      <c r="G56" s="236">
        <v>48.83</v>
      </c>
      <c r="H56" s="236">
        <v>48.95</v>
      </c>
      <c r="I56" s="236">
        <v>49.07</v>
      </c>
      <c r="J56" s="236">
        <v>49.19</v>
      </c>
      <c r="K56" s="236">
        <v>49.31</v>
      </c>
    </row>
    <row r="57" spans="1:11" x14ac:dyDescent="0.2">
      <c r="A57" s="237">
        <v>85</v>
      </c>
      <c r="B57" s="238">
        <v>49.43</v>
      </c>
      <c r="C57" s="238">
        <v>49.55</v>
      </c>
      <c r="D57" s="238">
        <v>49.68</v>
      </c>
      <c r="E57" s="238">
        <v>49.8</v>
      </c>
      <c r="F57" s="238">
        <v>49.92</v>
      </c>
      <c r="G57" s="238">
        <v>50.05</v>
      </c>
      <c r="H57" s="238">
        <v>50.17</v>
      </c>
      <c r="I57" s="238">
        <v>50.29</v>
      </c>
      <c r="J57" s="238">
        <v>50.41</v>
      </c>
      <c r="K57" s="238">
        <v>50.54</v>
      </c>
    </row>
    <row r="58" spans="1:11" x14ac:dyDescent="0.2">
      <c r="A58" s="239" t="s">
        <v>831</v>
      </c>
      <c r="B58" s="226"/>
      <c r="C58" s="226"/>
      <c r="D58" s="226"/>
      <c r="E58" s="226"/>
      <c r="F58" s="226"/>
      <c r="G58" s="226"/>
      <c r="H58" s="226"/>
      <c r="I58" s="226"/>
      <c r="J58" s="226"/>
      <c r="K58" s="226"/>
    </row>
  </sheetData>
  <mergeCells count="2">
    <mergeCell ref="A5:A6"/>
    <mergeCell ref="B5:K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INPUTS</vt:lpstr>
      <vt:lpstr>AHU-1</vt:lpstr>
      <vt:lpstr>AHU-2</vt:lpstr>
      <vt:lpstr>AHU-3</vt:lpstr>
      <vt:lpstr>AHU-4</vt:lpstr>
      <vt:lpstr>Psych</vt:lpstr>
      <vt:lpstr>UMC Table 4-A</vt:lpstr>
      <vt:lpstr>DO NOT TOUCH</vt:lpstr>
      <vt:lpstr>_CAV1</vt:lpstr>
      <vt:lpstr>_CAV1.</vt:lpstr>
      <vt:lpstr>_CAV2</vt:lpstr>
      <vt:lpstr>_CAV3</vt:lpstr>
      <vt:lpstr>_CAV4</vt:lpstr>
      <vt:lpstr>'AHU-2'!AHU_1AC_AV</vt:lpstr>
      <vt:lpstr>'AHU-3'!AHU_1AC_AV</vt:lpstr>
      <vt:lpstr>'AHU-4'!AHU_1AC_AV</vt:lpstr>
      <vt:lpstr>AHU_1AC_AV</vt:lpstr>
      <vt:lpstr>'AHU-2'!CAV_1A_SCHEDULE</vt:lpstr>
      <vt:lpstr>'AHU-3'!CAV_1A_SCHEDULE</vt:lpstr>
      <vt:lpstr>'AHU-4'!CAV_1A_SCHEDULE</vt:lpstr>
      <vt:lpstr>CAV_1A_SCHEDULE</vt:lpstr>
      <vt:lpstr>'AHU-1'!Print_Area</vt:lpstr>
      <vt:lpstr>'AHU-2'!Print_Area</vt:lpstr>
      <vt:lpstr>'AHU-3'!Print_Area</vt:lpstr>
      <vt:lpstr>'AHU-4'!Print_Area</vt:lpstr>
      <vt:lpstr>Psych!Print_Area</vt:lpstr>
      <vt:lpstr>'UMC Table 4-A'!Print_Area</vt:lpstr>
      <vt:lpstr>'AHU-1'!Print_Titles</vt:lpstr>
      <vt:lpstr>'AHU-2'!Print_Titles</vt:lpstr>
      <vt:lpstr>'AHU-3'!Print_Titles</vt:lpstr>
      <vt:lpstr>'AHU-4'!Print_Titles</vt:lpstr>
      <vt:lpstr>'UMC Table 4-A'!Print_Titles</vt:lpstr>
      <vt:lpstr>table_4_a</vt:lpstr>
    </vt:vector>
  </TitlesOfParts>
  <Company>GEM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Pajouhesh</dc:creator>
  <cp:lastModifiedBy>Rushikesh Patil</cp:lastModifiedBy>
  <cp:lastPrinted>2023-01-20T00:27:22Z</cp:lastPrinted>
  <dcterms:created xsi:type="dcterms:W3CDTF">2001-05-17T15:02:58Z</dcterms:created>
  <dcterms:modified xsi:type="dcterms:W3CDTF">2023-01-20T00:29:55Z</dcterms:modified>
</cp:coreProperties>
</file>