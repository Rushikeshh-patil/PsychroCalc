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Misc/PsychroCalc/"/>
    </mc:Choice>
  </mc:AlternateContent>
  <xr:revisionPtr revIDLastSave="389" documentId="13_ncr:1_{A16A6295-E876-4470-BC39-22FDB07C6A6B}" xr6:coauthVersionLast="47" xr6:coauthVersionMax="47" xr10:uidLastSave="{67AB54A0-78AB-4862-B86B-B1A76A8C116A}"/>
  <bookViews>
    <workbookView xWindow="-120" yWindow="-120" windowWidth="29040" windowHeight="15840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10" r:id="rId4"/>
    <sheet name="AHU 3" sheetId="114" r:id="rId5"/>
    <sheet name="Psych" sheetId="4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3">'AHU 2'!$AD$5:$AT$48</definedName>
    <definedName name="_CAV1." localSheetId="4">'AHU 3'!$AD$5:$AT$48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4">'AHU 3'!$AC$7:$AO$43</definedName>
    <definedName name="AHU_1AC_AV" localSheetId="2">Generic!$AC$7:$AO$43</definedName>
    <definedName name="AHU_1AC_AV">'AHU 1'!$AC$7:$AO$43</definedName>
    <definedName name="AHUs" localSheetId="3">Table7[TAG]</definedName>
    <definedName name="AHUs" localSheetId="4">Table7[TAG]</definedName>
    <definedName name="AHUs" localSheetId="5">Table7[TAG]</definedName>
    <definedName name="AHUs">Table7[TAG]</definedName>
    <definedName name="CAV_1A_SCHEDULE" localSheetId="3">'AHU 2'!$AD$5:$AT$48</definedName>
    <definedName name="CAV_1A_SCHEDULE" localSheetId="4">'AHU 3'!$AD$5:$AT$48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3">'AHU 2'!$D$4:$V$78</definedName>
    <definedName name="_xlnm.Print_Area" localSheetId="4">'AHU 3'!$D$4:$V$78</definedName>
    <definedName name="_xlnm.Print_Area" localSheetId="2">Generic!$D$4:$V$78</definedName>
    <definedName name="_xlnm.Print_Area" localSheetId="5">Psych!$A$8:$BF$15</definedName>
    <definedName name="_xlnm.Print_Area" localSheetId="6">'UMC Table 4-A'!$A$5:$E$139</definedName>
    <definedName name="_xlnm.Print_Titles" localSheetId="1">'AHU 1'!$3:$6</definedName>
    <definedName name="_xlnm.Print_Titles" localSheetId="3">'AHU 2'!$3:$6</definedName>
    <definedName name="_xlnm.Print_Titles" localSheetId="4">'AHU 3'!$3:$6</definedName>
    <definedName name="_xlnm.Print_Titles" localSheetId="2">Generic!$3:$6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F14" i="45" l="1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E79" i="114"/>
  <c r="Q78" i="114"/>
  <c r="U78" i="114" s="1"/>
  <c r="O78" i="114"/>
  <c r="P78" i="114" s="1"/>
  <c r="N78" i="114"/>
  <c r="L78" i="114"/>
  <c r="H78" i="114"/>
  <c r="I78" i="114" s="1"/>
  <c r="G78" i="114"/>
  <c r="K78" i="114" s="1"/>
  <c r="U77" i="114"/>
  <c r="Q77" i="114"/>
  <c r="O77" i="114"/>
  <c r="P77" i="114" s="1"/>
  <c r="N77" i="114"/>
  <c r="R77" i="114" s="1"/>
  <c r="S77" i="114" s="1"/>
  <c r="L77" i="114"/>
  <c r="I77" i="114"/>
  <c r="H77" i="114"/>
  <c r="G77" i="114"/>
  <c r="K77" i="114" s="1"/>
  <c r="Q76" i="114"/>
  <c r="P76" i="114"/>
  <c r="O76" i="114"/>
  <c r="N76" i="114"/>
  <c r="L76" i="114"/>
  <c r="H76" i="114"/>
  <c r="I76" i="114" s="1"/>
  <c r="G76" i="114"/>
  <c r="K76" i="114" s="1"/>
  <c r="U75" i="114"/>
  <c r="Q75" i="114"/>
  <c r="O75" i="114"/>
  <c r="P75" i="114" s="1"/>
  <c r="N75" i="114"/>
  <c r="R75" i="114" s="1"/>
  <c r="L75" i="114"/>
  <c r="H75" i="114"/>
  <c r="I75" i="114" s="1"/>
  <c r="G75" i="114"/>
  <c r="K75" i="114" s="1"/>
  <c r="Q74" i="114"/>
  <c r="O74" i="114"/>
  <c r="P74" i="114" s="1"/>
  <c r="N74" i="114"/>
  <c r="R74" i="114" s="1"/>
  <c r="L74" i="114"/>
  <c r="H74" i="114"/>
  <c r="I74" i="114" s="1"/>
  <c r="G74" i="114"/>
  <c r="K74" i="114" s="1"/>
  <c r="U73" i="114"/>
  <c r="Q73" i="114"/>
  <c r="O73" i="114"/>
  <c r="P73" i="114" s="1"/>
  <c r="N73" i="114"/>
  <c r="L73" i="114"/>
  <c r="H73" i="114"/>
  <c r="I73" i="114" s="1"/>
  <c r="G73" i="114"/>
  <c r="K73" i="114" s="1"/>
  <c r="U72" i="114"/>
  <c r="Q72" i="114"/>
  <c r="P72" i="114"/>
  <c r="O72" i="114"/>
  <c r="N72" i="114"/>
  <c r="L72" i="114"/>
  <c r="H72" i="114"/>
  <c r="I72" i="114" s="1"/>
  <c r="G72" i="114"/>
  <c r="K72" i="114" s="1"/>
  <c r="U71" i="114"/>
  <c r="Q71" i="114"/>
  <c r="O71" i="114"/>
  <c r="P71" i="114" s="1"/>
  <c r="N71" i="114"/>
  <c r="R71" i="114" s="1"/>
  <c r="X71" i="114" s="1"/>
  <c r="L71" i="114"/>
  <c r="I71" i="114"/>
  <c r="H71" i="114"/>
  <c r="G71" i="114"/>
  <c r="K71" i="114" s="1"/>
  <c r="Q70" i="114"/>
  <c r="U70" i="114" s="1"/>
  <c r="P70" i="114"/>
  <c r="O70" i="114"/>
  <c r="N70" i="114"/>
  <c r="R70" i="114" s="1"/>
  <c r="L70" i="114"/>
  <c r="H70" i="114"/>
  <c r="I70" i="114" s="1"/>
  <c r="G70" i="114"/>
  <c r="K70" i="114" s="1"/>
  <c r="Q69" i="114"/>
  <c r="U69" i="114" s="1"/>
  <c r="P69" i="114"/>
  <c r="O69" i="114"/>
  <c r="N69" i="114"/>
  <c r="L69" i="114"/>
  <c r="H69" i="114"/>
  <c r="I69" i="114" s="1"/>
  <c r="G69" i="114"/>
  <c r="K69" i="114" s="1"/>
  <c r="U68" i="114"/>
  <c r="T68" i="114"/>
  <c r="Q68" i="114"/>
  <c r="P68" i="114"/>
  <c r="O68" i="114"/>
  <c r="N68" i="114"/>
  <c r="R68" i="114" s="1"/>
  <c r="Z68" i="114" s="1"/>
  <c r="L68" i="114"/>
  <c r="H68" i="114"/>
  <c r="I68" i="114" s="1"/>
  <c r="G68" i="114"/>
  <c r="K68" i="114" s="1"/>
  <c r="U67" i="114"/>
  <c r="Q67" i="114"/>
  <c r="O67" i="114"/>
  <c r="P67" i="114" s="1"/>
  <c r="N67" i="114"/>
  <c r="L67" i="114"/>
  <c r="H67" i="114"/>
  <c r="I67" i="114" s="1"/>
  <c r="G67" i="114"/>
  <c r="K67" i="114" s="1"/>
  <c r="Q66" i="114"/>
  <c r="O66" i="114"/>
  <c r="P66" i="114" s="1"/>
  <c r="N66" i="114"/>
  <c r="L66" i="114"/>
  <c r="I66" i="114"/>
  <c r="H66" i="114"/>
  <c r="G66" i="114"/>
  <c r="K66" i="114" s="1"/>
  <c r="U65" i="114"/>
  <c r="Q65" i="114"/>
  <c r="O65" i="114"/>
  <c r="P65" i="114" s="1"/>
  <c r="N65" i="114"/>
  <c r="R65" i="114" s="1"/>
  <c r="X65" i="114" s="1"/>
  <c r="L65" i="114"/>
  <c r="I65" i="114"/>
  <c r="H65" i="114"/>
  <c r="G65" i="114"/>
  <c r="K65" i="114" s="1"/>
  <c r="Q64" i="114"/>
  <c r="U64" i="114" s="1"/>
  <c r="P64" i="114"/>
  <c r="O64" i="114"/>
  <c r="N64" i="114"/>
  <c r="R64" i="114" s="1"/>
  <c r="L64" i="114"/>
  <c r="H64" i="114"/>
  <c r="I64" i="114" s="1"/>
  <c r="G64" i="114"/>
  <c r="K64" i="114" s="1"/>
  <c r="Q63" i="114"/>
  <c r="U63" i="114" s="1"/>
  <c r="P63" i="114"/>
  <c r="O63" i="114"/>
  <c r="N63" i="114"/>
  <c r="L63" i="114"/>
  <c r="H63" i="114"/>
  <c r="I63" i="114" s="1"/>
  <c r="G63" i="114"/>
  <c r="K63" i="114" s="1"/>
  <c r="U62" i="114"/>
  <c r="Q62" i="114"/>
  <c r="P62" i="114"/>
  <c r="O62" i="114"/>
  <c r="N62" i="114"/>
  <c r="L62" i="114"/>
  <c r="H62" i="114"/>
  <c r="I62" i="114" s="1"/>
  <c r="G62" i="114"/>
  <c r="K62" i="114" s="1"/>
  <c r="U61" i="114"/>
  <c r="Q61" i="114"/>
  <c r="O61" i="114"/>
  <c r="P61" i="114" s="1"/>
  <c r="N61" i="114"/>
  <c r="L61" i="114"/>
  <c r="H61" i="114"/>
  <c r="I61" i="114" s="1"/>
  <c r="G61" i="114"/>
  <c r="K61" i="114" s="1"/>
  <c r="Q60" i="114"/>
  <c r="O60" i="114"/>
  <c r="P60" i="114" s="1"/>
  <c r="N60" i="114"/>
  <c r="L60" i="114"/>
  <c r="I60" i="114"/>
  <c r="H60" i="114"/>
  <c r="G60" i="114"/>
  <c r="K60" i="114" s="1"/>
  <c r="U59" i="114"/>
  <c r="Q59" i="114"/>
  <c r="O59" i="114"/>
  <c r="P59" i="114" s="1"/>
  <c r="N59" i="114"/>
  <c r="R59" i="114" s="1"/>
  <c r="X59" i="114" s="1"/>
  <c r="L59" i="114"/>
  <c r="I59" i="114"/>
  <c r="H59" i="114"/>
  <c r="G59" i="114"/>
  <c r="K59" i="114" s="1"/>
  <c r="Q58" i="114"/>
  <c r="U58" i="114" s="1"/>
  <c r="P58" i="114"/>
  <c r="O58" i="114"/>
  <c r="N58" i="114"/>
  <c r="R58" i="114" s="1"/>
  <c r="L58" i="114"/>
  <c r="H58" i="114"/>
  <c r="I58" i="114" s="1"/>
  <c r="G58" i="114"/>
  <c r="K58" i="114" s="1"/>
  <c r="Q57" i="114"/>
  <c r="U57" i="114" s="1"/>
  <c r="P57" i="114"/>
  <c r="O57" i="114"/>
  <c r="N57" i="114"/>
  <c r="L57" i="114"/>
  <c r="H57" i="114"/>
  <c r="I57" i="114" s="1"/>
  <c r="G57" i="114"/>
  <c r="K57" i="114" s="1"/>
  <c r="U56" i="114"/>
  <c r="Q56" i="114"/>
  <c r="P56" i="114"/>
  <c r="O56" i="114"/>
  <c r="N56" i="114"/>
  <c r="L56" i="114"/>
  <c r="H56" i="114"/>
  <c r="I56" i="114" s="1"/>
  <c r="G56" i="114"/>
  <c r="K56" i="114" s="1"/>
  <c r="U55" i="114"/>
  <c r="Q55" i="114"/>
  <c r="O55" i="114"/>
  <c r="P55" i="114" s="1"/>
  <c r="N55" i="114"/>
  <c r="L55" i="114"/>
  <c r="H55" i="114"/>
  <c r="I55" i="114" s="1"/>
  <c r="G55" i="114"/>
  <c r="K55" i="114" s="1"/>
  <c r="Q54" i="114"/>
  <c r="O54" i="114"/>
  <c r="P54" i="114" s="1"/>
  <c r="N54" i="114"/>
  <c r="L54" i="114"/>
  <c r="I54" i="114"/>
  <c r="H54" i="114"/>
  <c r="G54" i="114"/>
  <c r="K54" i="114" s="1"/>
  <c r="U53" i="114"/>
  <c r="Q53" i="114"/>
  <c r="O53" i="114"/>
  <c r="P53" i="114" s="1"/>
  <c r="N53" i="114"/>
  <c r="R53" i="114" s="1"/>
  <c r="X53" i="114" s="1"/>
  <c r="L53" i="114"/>
  <c r="I53" i="114"/>
  <c r="H53" i="114"/>
  <c r="G53" i="114"/>
  <c r="K53" i="114" s="1"/>
  <c r="Q52" i="114"/>
  <c r="U52" i="114" s="1"/>
  <c r="O52" i="114"/>
  <c r="P52" i="114" s="1"/>
  <c r="N52" i="114"/>
  <c r="R52" i="114" s="1"/>
  <c r="L52" i="114"/>
  <c r="H52" i="114"/>
  <c r="I52" i="114" s="1"/>
  <c r="G52" i="114"/>
  <c r="K52" i="114" s="1"/>
  <c r="U51" i="114"/>
  <c r="Q51" i="114"/>
  <c r="P51" i="114"/>
  <c r="O51" i="114"/>
  <c r="N51" i="114"/>
  <c r="L51" i="114"/>
  <c r="I51" i="114"/>
  <c r="H51" i="114"/>
  <c r="G51" i="114"/>
  <c r="K51" i="114" s="1"/>
  <c r="Q50" i="114"/>
  <c r="R50" i="114" s="1"/>
  <c r="O50" i="114"/>
  <c r="P50" i="114" s="1"/>
  <c r="N50" i="114"/>
  <c r="L50" i="114"/>
  <c r="I50" i="114"/>
  <c r="H50" i="114"/>
  <c r="G50" i="114"/>
  <c r="K50" i="114" s="1"/>
  <c r="U49" i="114"/>
  <c r="Q49" i="114"/>
  <c r="O49" i="114"/>
  <c r="P49" i="114" s="1"/>
  <c r="N49" i="114"/>
  <c r="L49" i="114"/>
  <c r="H49" i="114"/>
  <c r="I49" i="114" s="1"/>
  <c r="G49" i="114"/>
  <c r="K49" i="114" s="1"/>
  <c r="Q48" i="114"/>
  <c r="P48" i="114"/>
  <c r="O48" i="114"/>
  <c r="N48" i="114"/>
  <c r="L48" i="114"/>
  <c r="I48" i="114"/>
  <c r="H48" i="114"/>
  <c r="G48" i="114"/>
  <c r="K48" i="114" s="1"/>
  <c r="U47" i="114"/>
  <c r="Q47" i="114"/>
  <c r="O47" i="114"/>
  <c r="P47" i="114" s="1"/>
  <c r="N47" i="114"/>
  <c r="L47" i="114"/>
  <c r="H47" i="114"/>
  <c r="I47" i="114" s="1"/>
  <c r="G47" i="114"/>
  <c r="K47" i="114" s="1"/>
  <c r="U46" i="114"/>
  <c r="Q46" i="114"/>
  <c r="O46" i="114"/>
  <c r="P46" i="114" s="1"/>
  <c r="N46" i="114"/>
  <c r="L46" i="114"/>
  <c r="I46" i="114"/>
  <c r="H46" i="114"/>
  <c r="G46" i="114"/>
  <c r="K46" i="114" s="1"/>
  <c r="Q45" i="114"/>
  <c r="P45" i="114"/>
  <c r="O45" i="114"/>
  <c r="N45" i="114"/>
  <c r="L45" i="114"/>
  <c r="K45" i="114"/>
  <c r="H45" i="114"/>
  <c r="I45" i="114" s="1"/>
  <c r="G45" i="114"/>
  <c r="AR44" i="114"/>
  <c r="AQ44" i="114"/>
  <c r="AJ44" i="114"/>
  <c r="AI44" i="114"/>
  <c r="AF44" i="114"/>
  <c r="AG44" i="114" s="1"/>
  <c r="Q44" i="114"/>
  <c r="O44" i="114"/>
  <c r="P44" i="114" s="1"/>
  <c r="N44" i="114"/>
  <c r="L44" i="114"/>
  <c r="I44" i="114"/>
  <c r="H44" i="114"/>
  <c r="G44" i="114"/>
  <c r="K44" i="114" s="1"/>
  <c r="AR43" i="114"/>
  <c r="AJ43" i="114"/>
  <c r="AI43" i="114"/>
  <c r="AG43" i="114"/>
  <c r="AQ43" i="114" s="1"/>
  <c r="AF43" i="114"/>
  <c r="Q43" i="114"/>
  <c r="P43" i="114"/>
  <c r="O43" i="114"/>
  <c r="N43" i="114"/>
  <c r="L43" i="114"/>
  <c r="H43" i="114"/>
  <c r="I43" i="114" s="1"/>
  <c r="G43" i="114"/>
  <c r="K43" i="114" s="1"/>
  <c r="AR42" i="114"/>
  <c r="AJ42" i="114"/>
  <c r="AI42" i="114"/>
  <c r="AG42" i="114"/>
  <c r="AQ42" i="114" s="1"/>
  <c r="AF42" i="114"/>
  <c r="U42" i="114"/>
  <c r="Q42" i="114"/>
  <c r="O42" i="114"/>
  <c r="P42" i="114" s="1"/>
  <c r="N42" i="114"/>
  <c r="L42" i="114"/>
  <c r="H42" i="114"/>
  <c r="I42" i="114" s="1"/>
  <c r="G42" i="114"/>
  <c r="K42" i="114" s="1"/>
  <c r="AR41" i="114"/>
  <c r="AJ41" i="114"/>
  <c r="AI41" i="114"/>
  <c r="AF41" i="114"/>
  <c r="AG41" i="114" s="1"/>
  <c r="AQ41" i="114" s="1"/>
  <c r="U41" i="114"/>
  <c r="Q41" i="114"/>
  <c r="O41" i="114"/>
  <c r="P41" i="114" s="1"/>
  <c r="N41" i="114"/>
  <c r="L41" i="114"/>
  <c r="H41" i="114"/>
  <c r="I41" i="114" s="1"/>
  <c r="G41" i="114"/>
  <c r="K41" i="114" s="1"/>
  <c r="AR40" i="114"/>
  <c r="AJ40" i="114"/>
  <c r="AI40" i="114"/>
  <c r="AF40" i="114"/>
  <c r="AG40" i="114" s="1"/>
  <c r="AQ40" i="114" s="1"/>
  <c r="U40" i="114"/>
  <c r="S40" i="114"/>
  <c r="Q40" i="114"/>
  <c r="O40" i="114"/>
  <c r="P40" i="114" s="1"/>
  <c r="N40" i="114"/>
  <c r="R40" i="114" s="1"/>
  <c r="L40" i="114"/>
  <c r="I40" i="114"/>
  <c r="H40" i="114"/>
  <c r="G40" i="114"/>
  <c r="K40" i="114" s="1"/>
  <c r="AR39" i="114"/>
  <c r="AQ39" i="114"/>
  <c r="AJ39" i="114"/>
  <c r="AI39" i="114"/>
  <c r="AF39" i="114"/>
  <c r="AG39" i="114" s="1"/>
  <c r="U39" i="114"/>
  <c r="Q39" i="114"/>
  <c r="O39" i="114"/>
  <c r="P39" i="114" s="1"/>
  <c r="N39" i="114"/>
  <c r="L39" i="114"/>
  <c r="K39" i="114"/>
  <c r="I39" i="114"/>
  <c r="H39" i="114"/>
  <c r="G39" i="114"/>
  <c r="AR38" i="114"/>
  <c r="AQ38" i="114"/>
  <c r="AJ38" i="114"/>
  <c r="AI38" i="114"/>
  <c r="AF38" i="114"/>
  <c r="AG38" i="114" s="1"/>
  <c r="Q38" i="114"/>
  <c r="U38" i="114" s="1"/>
  <c r="O38" i="114"/>
  <c r="P38" i="114" s="1"/>
  <c r="N38" i="114"/>
  <c r="L38" i="114"/>
  <c r="K38" i="114"/>
  <c r="R38" i="114" s="1"/>
  <c r="H38" i="114"/>
  <c r="I38" i="114" s="1"/>
  <c r="G38" i="114"/>
  <c r="AR37" i="114"/>
  <c r="AQ37" i="114"/>
  <c r="AJ37" i="114"/>
  <c r="AI37" i="114"/>
  <c r="AF37" i="114"/>
  <c r="AG37" i="114" s="1"/>
  <c r="U37" i="114"/>
  <c r="Q37" i="114"/>
  <c r="P37" i="114"/>
  <c r="O37" i="114"/>
  <c r="N37" i="114"/>
  <c r="L37" i="114"/>
  <c r="R37" i="114" s="1"/>
  <c r="H37" i="114"/>
  <c r="I37" i="114" s="1"/>
  <c r="G37" i="114"/>
  <c r="K37" i="114" s="1"/>
  <c r="AR36" i="114"/>
  <c r="AQ36" i="114"/>
  <c r="AJ36" i="114"/>
  <c r="AI36" i="114"/>
  <c r="AG36" i="114"/>
  <c r="AF36" i="114"/>
  <c r="Q36" i="114"/>
  <c r="R36" i="114" s="1"/>
  <c r="P36" i="114"/>
  <c r="O36" i="114"/>
  <c r="N36" i="114"/>
  <c r="L36" i="114"/>
  <c r="K36" i="114"/>
  <c r="I36" i="114"/>
  <c r="H36" i="114"/>
  <c r="G36" i="114"/>
  <c r="AR35" i="114"/>
  <c r="AJ35" i="114"/>
  <c r="AI35" i="114"/>
  <c r="AF35" i="114"/>
  <c r="AG35" i="114" s="1"/>
  <c r="AQ35" i="114" s="1"/>
  <c r="Q35" i="114"/>
  <c r="O35" i="114"/>
  <c r="P35" i="114" s="1"/>
  <c r="N35" i="114"/>
  <c r="L35" i="114"/>
  <c r="I35" i="114"/>
  <c r="H35" i="114"/>
  <c r="G35" i="114"/>
  <c r="K35" i="114" s="1"/>
  <c r="AR34" i="114"/>
  <c r="AJ34" i="114"/>
  <c r="AI34" i="114"/>
  <c r="AG34" i="114"/>
  <c r="AQ34" i="114" s="1"/>
  <c r="AF34" i="114"/>
  <c r="Q34" i="114"/>
  <c r="P34" i="114"/>
  <c r="O34" i="114"/>
  <c r="N34" i="114"/>
  <c r="L34" i="114"/>
  <c r="H34" i="114"/>
  <c r="I34" i="114" s="1"/>
  <c r="G34" i="114"/>
  <c r="K34" i="114" s="1"/>
  <c r="AR33" i="114"/>
  <c r="AJ33" i="114"/>
  <c r="AI33" i="114"/>
  <c r="AG33" i="114"/>
  <c r="AQ33" i="114" s="1"/>
  <c r="AF33" i="114"/>
  <c r="U33" i="114"/>
  <c r="Q33" i="114"/>
  <c r="P33" i="114"/>
  <c r="O33" i="114"/>
  <c r="N33" i="114"/>
  <c r="L33" i="114"/>
  <c r="H33" i="114"/>
  <c r="I33" i="114" s="1"/>
  <c r="G33" i="114"/>
  <c r="K33" i="114" s="1"/>
  <c r="AR32" i="114"/>
  <c r="AJ32" i="114"/>
  <c r="AI32" i="114"/>
  <c r="AG32" i="114"/>
  <c r="AQ32" i="114" s="1"/>
  <c r="AF32" i="114"/>
  <c r="Q32" i="114"/>
  <c r="P32" i="114"/>
  <c r="O32" i="114"/>
  <c r="N32" i="114"/>
  <c r="L32" i="114"/>
  <c r="K32" i="114"/>
  <c r="H32" i="114"/>
  <c r="I32" i="114" s="1"/>
  <c r="G32" i="114"/>
  <c r="AR31" i="114"/>
  <c r="AJ31" i="114"/>
  <c r="AI31" i="114"/>
  <c r="AG31" i="114"/>
  <c r="AQ31" i="114" s="1"/>
  <c r="AF31" i="114"/>
  <c r="U31" i="114"/>
  <c r="Q31" i="114"/>
  <c r="P31" i="114"/>
  <c r="O31" i="114"/>
  <c r="N31" i="114"/>
  <c r="L31" i="114"/>
  <c r="K31" i="114"/>
  <c r="R31" i="114" s="1"/>
  <c r="I31" i="114"/>
  <c r="H31" i="114"/>
  <c r="G31" i="114"/>
  <c r="AR30" i="114"/>
  <c r="AQ30" i="114"/>
  <c r="AJ30" i="114"/>
  <c r="AI30" i="114"/>
  <c r="AF30" i="114"/>
  <c r="AG30" i="114" s="1"/>
  <c r="U30" i="114"/>
  <c r="Q30" i="114"/>
  <c r="O30" i="114"/>
  <c r="P30" i="114" s="1"/>
  <c r="N30" i="114"/>
  <c r="L30" i="114"/>
  <c r="H30" i="114"/>
  <c r="I30" i="114" s="1"/>
  <c r="G30" i="114"/>
  <c r="K30" i="114" s="1"/>
  <c r="AR29" i="114"/>
  <c r="AJ29" i="114"/>
  <c r="AI29" i="114"/>
  <c r="AG29" i="114"/>
  <c r="AQ29" i="114" s="1"/>
  <c r="AF29" i="114"/>
  <c r="Q29" i="114"/>
  <c r="U29" i="114" s="1"/>
  <c r="O29" i="114"/>
  <c r="P29" i="114" s="1"/>
  <c r="N29" i="114"/>
  <c r="L29" i="114"/>
  <c r="K29" i="114"/>
  <c r="H29" i="114"/>
  <c r="I29" i="114" s="1"/>
  <c r="G29" i="114"/>
  <c r="AR28" i="114"/>
  <c r="AJ28" i="114"/>
  <c r="AI28" i="114"/>
  <c r="AG28" i="114"/>
  <c r="AQ28" i="114" s="1"/>
  <c r="AF28" i="114"/>
  <c r="U28" i="114"/>
  <c r="Q28" i="114"/>
  <c r="P28" i="114"/>
  <c r="O28" i="114"/>
  <c r="N28" i="114"/>
  <c r="L28" i="114"/>
  <c r="R28" i="114" s="1"/>
  <c r="K28" i="114"/>
  <c r="I28" i="114"/>
  <c r="H28" i="114"/>
  <c r="G28" i="114"/>
  <c r="AR27" i="114"/>
  <c r="AQ27" i="114"/>
  <c r="AJ27" i="114"/>
  <c r="AI27" i="114"/>
  <c r="AF27" i="114"/>
  <c r="AG27" i="114" s="1"/>
  <c r="U27" i="114"/>
  <c r="Q27" i="114"/>
  <c r="O27" i="114"/>
  <c r="P27" i="114" s="1"/>
  <c r="N27" i="114"/>
  <c r="L27" i="114"/>
  <c r="H27" i="114"/>
  <c r="I27" i="114" s="1"/>
  <c r="G27" i="114"/>
  <c r="K27" i="114" s="1"/>
  <c r="AR26" i="114"/>
  <c r="AJ26" i="114"/>
  <c r="AI26" i="114"/>
  <c r="AF26" i="114"/>
  <c r="AG26" i="114" s="1"/>
  <c r="AQ26" i="114" s="1"/>
  <c r="Q26" i="114"/>
  <c r="U26" i="114" s="1"/>
  <c r="P26" i="114"/>
  <c r="O26" i="114"/>
  <c r="N26" i="114"/>
  <c r="R26" i="114" s="1"/>
  <c r="L26" i="114"/>
  <c r="K26" i="114"/>
  <c r="I26" i="114"/>
  <c r="H26" i="114"/>
  <c r="G26" i="114"/>
  <c r="AR25" i="114"/>
  <c r="AJ25" i="114"/>
  <c r="AI25" i="114"/>
  <c r="AG25" i="114"/>
  <c r="AQ25" i="114" s="1"/>
  <c r="AF25" i="114"/>
  <c r="U25" i="114"/>
  <c r="Q25" i="114"/>
  <c r="P25" i="114"/>
  <c r="O25" i="114"/>
  <c r="N25" i="114"/>
  <c r="L25" i="114"/>
  <c r="K25" i="114"/>
  <c r="R25" i="114" s="1"/>
  <c r="I25" i="114"/>
  <c r="H25" i="114"/>
  <c r="G25" i="114"/>
  <c r="AR24" i="114"/>
  <c r="AJ24" i="114"/>
  <c r="AI24" i="114"/>
  <c r="AF24" i="114"/>
  <c r="AG24" i="114" s="1"/>
  <c r="AQ24" i="114" s="1"/>
  <c r="U24" i="114"/>
  <c r="Q24" i="114"/>
  <c r="O24" i="114"/>
  <c r="P24" i="114" s="1"/>
  <c r="N24" i="114"/>
  <c r="T24" i="114" s="1"/>
  <c r="L24" i="114"/>
  <c r="K24" i="114"/>
  <c r="R24" i="114" s="1"/>
  <c r="H24" i="114"/>
  <c r="I24" i="114" s="1"/>
  <c r="G24" i="114"/>
  <c r="AR23" i="114"/>
  <c r="AJ23" i="114"/>
  <c r="AI23" i="114"/>
  <c r="AG23" i="114"/>
  <c r="AQ23" i="114" s="1"/>
  <c r="AF23" i="114"/>
  <c r="Q23" i="114"/>
  <c r="U23" i="114" s="1"/>
  <c r="O23" i="114"/>
  <c r="P23" i="114" s="1"/>
  <c r="N23" i="114"/>
  <c r="L23" i="114"/>
  <c r="K23" i="114"/>
  <c r="I23" i="114"/>
  <c r="H23" i="114"/>
  <c r="G23" i="114"/>
  <c r="AR22" i="114"/>
  <c r="AJ22" i="114"/>
  <c r="AI22" i="114"/>
  <c r="AG22" i="114"/>
  <c r="AQ22" i="114" s="1"/>
  <c r="AF22" i="114"/>
  <c r="U22" i="114"/>
  <c r="Q22" i="114"/>
  <c r="P22" i="114"/>
  <c r="O22" i="114"/>
  <c r="N22" i="114"/>
  <c r="L22" i="114"/>
  <c r="I22" i="114"/>
  <c r="H22" i="114"/>
  <c r="G22" i="114"/>
  <c r="K22" i="114" s="1"/>
  <c r="R22" i="114" s="1"/>
  <c r="AR21" i="114"/>
  <c r="AQ21" i="114"/>
  <c r="AJ21" i="114"/>
  <c r="AI21" i="114"/>
  <c r="AF21" i="114"/>
  <c r="AG21" i="114" s="1"/>
  <c r="U21" i="114"/>
  <c r="Q21" i="114"/>
  <c r="O21" i="114"/>
  <c r="P21" i="114" s="1"/>
  <c r="N21" i="114"/>
  <c r="L21" i="114"/>
  <c r="H21" i="114"/>
  <c r="I21" i="114" s="1"/>
  <c r="G21" i="114"/>
  <c r="K21" i="114" s="1"/>
  <c r="AR20" i="114"/>
  <c r="AJ20" i="114"/>
  <c r="AI20" i="114"/>
  <c r="AF20" i="114"/>
  <c r="AG20" i="114" s="1"/>
  <c r="AQ20" i="114" s="1"/>
  <c r="Q20" i="114"/>
  <c r="U20" i="114" s="1"/>
  <c r="P20" i="114"/>
  <c r="O20" i="114"/>
  <c r="N20" i="114"/>
  <c r="R20" i="114" s="1"/>
  <c r="Z20" i="114" s="1"/>
  <c r="L20" i="114"/>
  <c r="H20" i="114"/>
  <c r="I20" i="114" s="1"/>
  <c r="G20" i="114"/>
  <c r="K20" i="114" s="1"/>
  <c r="AR19" i="114"/>
  <c r="AJ19" i="114"/>
  <c r="AI19" i="114"/>
  <c r="AG19" i="114"/>
  <c r="AQ19" i="114" s="1"/>
  <c r="AF19" i="114"/>
  <c r="U19" i="114"/>
  <c r="Q19" i="114"/>
  <c r="P19" i="114"/>
  <c r="O19" i="114"/>
  <c r="N19" i="114"/>
  <c r="L19" i="114"/>
  <c r="I19" i="114"/>
  <c r="H19" i="114"/>
  <c r="G19" i="114"/>
  <c r="K19" i="114" s="1"/>
  <c r="R19" i="114" s="1"/>
  <c r="AR18" i="114"/>
  <c r="AJ18" i="114"/>
  <c r="AI18" i="114"/>
  <c r="AF18" i="114"/>
  <c r="AG18" i="114" s="1"/>
  <c r="AQ18" i="114" s="1"/>
  <c r="U18" i="114"/>
  <c r="Q18" i="114"/>
  <c r="O18" i="114"/>
  <c r="P18" i="114" s="1"/>
  <c r="N18" i="114"/>
  <c r="R18" i="114" s="1"/>
  <c r="L18" i="114"/>
  <c r="K18" i="114"/>
  <c r="H18" i="114"/>
  <c r="I18" i="114" s="1"/>
  <c r="G18" i="114"/>
  <c r="AR17" i="114"/>
  <c r="AJ17" i="114"/>
  <c r="AI17" i="114"/>
  <c r="AF17" i="114"/>
  <c r="AG17" i="114" s="1"/>
  <c r="AQ17" i="114" s="1"/>
  <c r="Q17" i="114"/>
  <c r="U17" i="114" s="1"/>
  <c r="O17" i="114"/>
  <c r="P17" i="114" s="1"/>
  <c r="N17" i="114"/>
  <c r="L17" i="114"/>
  <c r="R17" i="114" s="1"/>
  <c r="I17" i="114"/>
  <c r="H17" i="114"/>
  <c r="G17" i="114"/>
  <c r="K17" i="114" s="1"/>
  <c r="AR16" i="114"/>
  <c r="AJ16" i="114"/>
  <c r="AI16" i="114"/>
  <c r="AG16" i="114"/>
  <c r="AQ16" i="114" s="1"/>
  <c r="AF16" i="114"/>
  <c r="Q16" i="114"/>
  <c r="U16" i="114" s="1"/>
  <c r="P16" i="114"/>
  <c r="O16" i="114"/>
  <c r="N16" i="114"/>
  <c r="L16" i="114"/>
  <c r="H16" i="114"/>
  <c r="I16" i="114" s="1"/>
  <c r="G16" i="114"/>
  <c r="K16" i="114" s="1"/>
  <c r="R16" i="114" s="1"/>
  <c r="AR15" i="114"/>
  <c r="AJ15" i="114"/>
  <c r="AI15" i="114"/>
  <c r="AF15" i="114"/>
  <c r="AG15" i="114" s="1"/>
  <c r="AQ15" i="114" s="1"/>
  <c r="U15" i="114"/>
  <c r="Q15" i="114"/>
  <c r="O15" i="114"/>
  <c r="P15" i="114" s="1"/>
  <c r="N15" i="114"/>
  <c r="L15" i="114"/>
  <c r="H15" i="114"/>
  <c r="I15" i="114" s="1"/>
  <c r="G15" i="114"/>
  <c r="K15" i="114" s="1"/>
  <c r="AR14" i="114"/>
  <c r="AJ14" i="114"/>
  <c r="AI14" i="114"/>
  <c r="AG14" i="114"/>
  <c r="AQ14" i="114" s="1"/>
  <c r="AF14" i="114"/>
  <c r="U14" i="114"/>
  <c r="Q14" i="114"/>
  <c r="P14" i="114"/>
  <c r="O14" i="114"/>
  <c r="N14" i="114"/>
  <c r="L14" i="114"/>
  <c r="I14" i="114"/>
  <c r="H14" i="114"/>
  <c r="G14" i="114"/>
  <c r="K14" i="114" s="1"/>
  <c r="AR13" i="114"/>
  <c r="AJ13" i="114"/>
  <c r="AI13" i="114"/>
  <c r="AG13" i="114"/>
  <c r="AQ13" i="114" s="1"/>
  <c r="AF13" i="114"/>
  <c r="Q13" i="114"/>
  <c r="U13" i="114" s="1"/>
  <c r="P13" i="114"/>
  <c r="O13" i="114"/>
  <c r="N13" i="114"/>
  <c r="R13" i="114" s="1"/>
  <c r="L13" i="114"/>
  <c r="K13" i="114"/>
  <c r="I13" i="114"/>
  <c r="H13" i="114"/>
  <c r="G13" i="114"/>
  <c r="AR12" i="114"/>
  <c r="AJ12" i="114"/>
  <c r="AI12" i="114"/>
  <c r="AF12" i="114"/>
  <c r="AG12" i="114" s="1"/>
  <c r="AQ12" i="114" s="1"/>
  <c r="R12" i="114"/>
  <c r="S12" i="114" s="1"/>
  <c r="Q12" i="114"/>
  <c r="U12" i="114" s="1"/>
  <c r="O12" i="114"/>
  <c r="P12" i="114" s="1"/>
  <c r="Y12" i="114" s="1"/>
  <c r="N12" i="114"/>
  <c r="L12" i="114"/>
  <c r="K12" i="114"/>
  <c r="H12" i="114"/>
  <c r="I12" i="114" s="1"/>
  <c r="G12" i="114"/>
  <c r="AR11" i="114"/>
  <c r="AJ11" i="114"/>
  <c r="AI11" i="114"/>
  <c r="AF11" i="114"/>
  <c r="AG11" i="114" s="1"/>
  <c r="AQ11" i="114" s="1"/>
  <c r="U11" i="114"/>
  <c r="Q11" i="114"/>
  <c r="O11" i="114"/>
  <c r="P11" i="114" s="1"/>
  <c r="N11" i="114"/>
  <c r="L11" i="114"/>
  <c r="I11" i="114"/>
  <c r="H11" i="114"/>
  <c r="G11" i="114"/>
  <c r="K11" i="114" s="1"/>
  <c r="AR10" i="114"/>
  <c r="AJ10" i="114"/>
  <c r="AI10" i="114"/>
  <c r="AG10" i="114"/>
  <c r="AQ10" i="114" s="1"/>
  <c r="AF10" i="114"/>
  <c r="Q10" i="114"/>
  <c r="U10" i="114" s="1"/>
  <c r="P10" i="114"/>
  <c r="O10" i="114"/>
  <c r="N10" i="114"/>
  <c r="R10" i="114" s="1"/>
  <c r="L10" i="114"/>
  <c r="K10" i="114"/>
  <c r="H10" i="114"/>
  <c r="I10" i="114" s="1"/>
  <c r="G10" i="114"/>
  <c r="AR9" i="114"/>
  <c r="AP9" i="114"/>
  <c r="AP10" i="114" s="1"/>
  <c r="AP11" i="114" s="1"/>
  <c r="AP12" i="114" s="1"/>
  <c r="AP13" i="114" s="1"/>
  <c r="AP14" i="114" s="1"/>
  <c r="AP15" i="114" s="1"/>
  <c r="AP16" i="114" s="1"/>
  <c r="AP17" i="114" s="1"/>
  <c r="AP18" i="114" s="1"/>
  <c r="AP19" i="114" s="1"/>
  <c r="AP20" i="114" s="1"/>
  <c r="AP21" i="114" s="1"/>
  <c r="AP22" i="114" s="1"/>
  <c r="AP23" i="114" s="1"/>
  <c r="AP24" i="114" s="1"/>
  <c r="AP25" i="114" s="1"/>
  <c r="AP26" i="114" s="1"/>
  <c r="AP27" i="114" s="1"/>
  <c r="AP28" i="114" s="1"/>
  <c r="AP29" i="114" s="1"/>
  <c r="AP30" i="114" s="1"/>
  <c r="AP31" i="114" s="1"/>
  <c r="AP32" i="114" s="1"/>
  <c r="AP33" i="114" s="1"/>
  <c r="AP34" i="114" s="1"/>
  <c r="AP35" i="114" s="1"/>
  <c r="AP36" i="114" s="1"/>
  <c r="AP37" i="114" s="1"/>
  <c r="AP38" i="114" s="1"/>
  <c r="AP39" i="114" s="1"/>
  <c r="AP40" i="114" s="1"/>
  <c r="AP41" i="114" s="1"/>
  <c r="AP42" i="114" s="1"/>
  <c r="AP43" i="114" s="1"/>
  <c r="AP44" i="114" s="1"/>
  <c r="AK9" i="114"/>
  <c r="AK10" i="114" s="1"/>
  <c r="AK11" i="114" s="1"/>
  <c r="AK12" i="114" s="1"/>
  <c r="AK13" i="114" s="1"/>
  <c r="AK14" i="114" s="1"/>
  <c r="AK15" i="114" s="1"/>
  <c r="AK16" i="114" s="1"/>
  <c r="AK17" i="114" s="1"/>
  <c r="AK18" i="114" s="1"/>
  <c r="AK19" i="114" s="1"/>
  <c r="AK20" i="114" s="1"/>
  <c r="AK21" i="114" s="1"/>
  <c r="AK22" i="114" s="1"/>
  <c r="AK23" i="114" s="1"/>
  <c r="AK24" i="114" s="1"/>
  <c r="AK25" i="114" s="1"/>
  <c r="AK26" i="114" s="1"/>
  <c r="AK27" i="114" s="1"/>
  <c r="AK28" i="114" s="1"/>
  <c r="AK29" i="114" s="1"/>
  <c r="AK30" i="114" s="1"/>
  <c r="AK31" i="114" s="1"/>
  <c r="AK32" i="114" s="1"/>
  <c r="AK33" i="114" s="1"/>
  <c r="AK34" i="114" s="1"/>
  <c r="AK35" i="114" s="1"/>
  <c r="AK36" i="114" s="1"/>
  <c r="AK37" i="114" s="1"/>
  <c r="AK38" i="114" s="1"/>
  <c r="AK39" i="114" s="1"/>
  <c r="AK40" i="114" s="1"/>
  <c r="AK41" i="114" s="1"/>
  <c r="AK42" i="114" s="1"/>
  <c r="AK43" i="114" s="1"/>
  <c r="AK44" i="114" s="1"/>
  <c r="AJ9" i="114"/>
  <c r="AI9" i="114"/>
  <c r="AF9" i="114"/>
  <c r="AG9" i="114" s="1"/>
  <c r="AQ9" i="114" s="1"/>
  <c r="R9" i="114"/>
  <c r="Z9" i="114" s="1"/>
  <c r="Q9" i="114"/>
  <c r="U9" i="114" s="1"/>
  <c r="O9" i="114"/>
  <c r="P9" i="114" s="1"/>
  <c r="N9" i="114"/>
  <c r="L9" i="114"/>
  <c r="K9" i="114"/>
  <c r="H9" i="114"/>
  <c r="I9" i="114" s="1"/>
  <c r="G9" i="114"/>
  <c r="AS8" i="114"/>
  <c r="AS9" i="114" s="1"/>
  <c r="AS10" i="114" s="1"/>
  <c r="AS11" i="114" s="1"/>
  <c r="AS12" i="114" s="1"/>
  <c r="AS13" i="114" s="1"/>
  <c r="AS14" i="114" s="1"/>
  <c r="AS15" i="114" s="1"/>
  <c r="AS16" i="114" s="1"/>
  <c r="AS17" i="114" s="1"/>
  <c r="AS18" i="114" s="1"/>
  <c r="AS19" i="114" s="1"/>
  <c r="AS20" i="114" s="1"/>
  <c r="AS21" i="114" s="1"/>
  <c r="AS22" i="114" s="1"/>
  <c r="AS23" i="114" s="1"/>
  <c r="AS24" i="114" s="1"/>
  <c r="AS25" i="114" s="1"/>
  <c r="AS26" i="114" s="1"/>
  <c r="AS27" i="114" s="1"/>
  <c r="AS28" i="114" s="1"/>
  <c r="AS29" i="114" s="1"/>
  <c r="AS30" i="114" s="1"/>
  <c r="AS31" i="114" s="1"/>
  <c r="AS32" i="114" s="1"/>
  <c r="AS33" i="114" s="1"/>
  <c r="AS34" i="114" s="1"/>
  <c r="AS35" i="114" s="1"/>
  <c r="AS36" i="114" s="1"/>
  <c r="AS37" i="114" s="1"/>
  <c r="AS38" i="114" s="1"/>
  <c r="AS39" i="114" s="1"/>
  <c r="AS40" i="114" s="1"/>
  <c r="AS41" i="114" s="1"/>
  <c r="AS42" i="114" s="1"/>
  <c r="AS43" i="114" s="1"/>
  <c r="AS44" i="114" s="1"/>
  <c r="AR8" i="114"/>
  <c r="AP8" i="114"/>
  <c r="AL8" i="114"/>
  <c r="AM8" i="114" s="1"/>
  <c r="AN8" i="114" s="1"/>
  <c r="AO8" i="114" s="1"/>
  <c r="AK8" i="114"/>
  <c r="AJ8" i="114"/>
  <c r="AI8" i="114"/>
  <c r="AH8" i="114"/>
  <c r="AH9" i="114" s="1"/>
  <c r="AH10" i="114" s="1"/>
  <c r="AH11" i="114" s="1"/>
  <c r="AH12" i="114" s="1"/>
  <c r="AH13" i="114" s="1"/>
  <c r="AH14" i="114" s="1"/>
  <c r="AH15" i="114" s="1"/>
  <c r="AH16" i="114" s="1"/>
  <c r="AH17" i="114" s="1"/>
  <c r="AH18" i="114" s="1"/>
  <c r="AH19" i="114" s="1"/>
  <c r="AH20" i="114" s="1"/>
  <c r="AH21" i="114" s="1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AH35" i="114" s="1"/>
  <c r="AH36" i="114" s="1"/>
  <c r="AH37" i="114" s="1"/>
  <c r="AH38" i="114" s="1"/>
  <c r="AH39" i="114" s="1"/>
  <c r="AH40" i="114" s="1"/>
  <c r="AH41" i="114" s="1"/>
  <c r="AH42" i="114" s="1"/>
  <c r="AH43" i="114" s="1"/>
  <c r="AH44" i="114" s="1"/>
  <c r="AF8" i="114"/>
  <c r="AG8" i="114" s="1"/>
  <c r="AQ8" i="114" s="1"/>
  <c r="U8" i="114"/>
  <c r="Q8" i="114"/>
  <c r="O8" i="114"/>
  <c r="P8" i="114" s="1"/>
  <c r="N8" i="114"/>
  <c r="L8" i="114"/>
  <c r="I8" i="114"/>
  <c r="H8" i="114"/>
  <c r="G8" i="114"/>
  <c r="K8" i="114" s="1"/>
  <c r="AR7" i="114"/>
  <c r="AQ7" i="114"/>
  <c r="AM7" i="114"/>
  <c r="AJ7" i="114"/>
  <c r="AI7" i="114"/>
  <c r="AG7" i="114"/>
  <c r="AF7" i="114"/>
  <c r="Q7" i="114"/>
  <c r="R7" i="114" s="1"/>
  <c r="P7" i="114"/>
  <c r="O7" i="114"/>
  <c r="N7" i="114"/>
  <c r="L7" i="114"/>
  <c r="K7" i="114"/>
  <c r="I7" i="114"/>
  <c r="H7" i="114"/>
  <c r="G7" i="114"/>
  <c r="BF13" i="45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10"/>
  <c r="Q78" i="110"/>
  <c r="U78" i="110" s="1"/>
  <c r="O78" i="110"/>
  <c r="P78" i="110" s="1"/>
  <c r="N78" i="110"/>
  <c r="R78" i="110" s="1"/>
  <c r="L78" i="110"/>
  <c r="H78" i="110"/>
  <c r="I78" i="110" s="1"/>
  <c r="G78" i="110"/>
  <c r="K78" i="110" s="1"/>
  <c r="Q77" i="110"/>
  <c r="U77" i="110" s="1"/>
  <c r="P77" i="110"/>
  <c r="O77" i="110"/>
  <c r="N77" i="110"/>
  <c r="L77" i="110"/>
  <c r="I77" i="110"/>
  <c r="H77" i="110"/>
  <c r="G77" i="110"/>
  <c r="K77" i="110" s="1"/>
  <c r="Q76" i="110"/>
  <c r="U76" i="110" s="1"/>
  <c r="P76" i="110"/>
  <c r="O76" i="110"/>
  <c r="N76" i="110"/>
  <c r="R76" i="110" s="1"/>
  <c r="Z76" i="110" s="1"/>
  <c r="L76" i="110"/>
  <c r="H76" i="110"/>
  <c r="I76" i="110" s="1"/>
  <c r="G76" i="110"/>
  <c r="K76" i="110" s="1"/>
  <c r="Q75" i="110"/>
  <c r="U75" i="110" s="1"/>
  <c r="P75" i="110"/>
  <c r="O75" i="110"/>
  <c r="N75" i="110"/>
  <c r="L75" i="110"/>
  <c r="H75" i="110"/>
  <c r="I75" i="110" s="1"/>
  <c r="G75" i="110"/>
  <c r="K75" i="110" s="1"/>
  <c r="U74" i="110"/>
  <c r="Q74" i="110"/>
  <c r="O74" i="110"/>
  <c r="P74" i="110" s="1"/>
  <c r="N74" i="110"/>
  <c r="L74" i="110"/>
  <c r="H74" i="110"/>
  <c r="I74" i="110" s="1"/>
  <c r="G74" i="110"/>
  <c r="K74" i="110" s="1"/>
  <c r="Q73" i="110"/>
  <c r="U73" i="110" s="1"/>
  <c r="P73" i="110"/>
  <c r="O73" i="110"/>
  <c r="N73" i="110"/>
  <c r="L73" i="110"/>
  <c r="H73" i="110"/>
  <c r="I73" i="110" s="1"/>
  <c r="G73" i="110"/>
  <c r="K73" i="110" s="1"/>
  <c r="U72" i="110"/>
  <c r="Q72" i="110"/>
  <c r="O72" i="110"/>
  <c r="P72" i="110" s="1"/>
  <c r="N72" i="110"/>
  <c r="L72" i="110"/>
  <c r="H72" i="110"/>
  <c r="I72" i="110" s="1"/>
  <c r="G72" i="110"/>
  <c r="K72" i="110" s="1"/>
  <c r="Q71" i="110"/>
  <c r="O71" i="110"/>
  <c r="P71" i="110" s="1"/>
  <c r="N71" i="110"/>
  <c r="L71" i="110"/>
  <c r="I71" i="110"/>
  <c r="H71" i="110"/>
  <c r="G71" i="110"/>
  <c r="K71" i="110" s="1"/>
  <c r="U70" i="110"/>
  <c r="Q70" i="110"/>
  <c r="T70" i="110" s="1"/>
  <c r="O70" i="110"/>
  <c r="P70" i="110" s="1"/>
  <c r="N70" i="110"/>
  <c r="R70" i="110" s="1"/>
  <c r="Z70" i="110" s="1"/>
  <c r="L70" i="110"/>
  <c r="H70" i="110"/>
  <c r="I70" i="110" s="1"/>
  <c r="G70" i="110"/>
  <c r="K70" i="110" s="1"/>
  <c r="Q69" i="110"/>
  <c r="P69" i="110"/>
  <c r="O69" i="110"/>
  <c r="N69" i="110"/>
  <c r="L69" i="110"/>
  <c r="I69" i="110"/>
  <c r="H69" i="110"/>
  <c r="G69" i="110"/>
  <c r="K69" i="110" s="1"/>
  <c r="Z68" i="110"/>
  <c r="U68" i="110"/>
  <c r="T68" i="110"/>
  <c r="Q68" i="110"/>
  <c r="O68" i="110"/>
  <c r="P68" i="110" s="1"/>
  <c r="N68" i="110"/>
  <c r="R68" i="110" s="1"/>
  <c r="L68" i="110"/>
  <c r="H68" i="110"/>
  <c r="I68" i="110" s="1"/>
  <c r="G68" i="110"/>
  <c r="K68" i="110" s="1"/>
  <c r="U67" i="110"/>
  <c r="Q67" i="110"/>
  <c r="P67" i="110"/>
  <c r="O67" i="110"/>
  <c r="N67" i="110"/>
  <c r="L67" i="110"/>
  <c r="H67" i="110"/>
  <c r="I67" i="110" s="1"/>
  <c r="G67" i="110"/>
  <c r="K67" i="110" s="1"/>
  <c r="U66" i="110"/>
  <c r="Q66" i="110"/>
  <c r="O66" i="110"/>
  <c r="P66" i="110" s="1"/>
  <c r="N66" i="110"/>
  <c r="L66" i="110"/>
  <c r="H66" i="110"/>
  <c r="I66" i="110" s="1"/>
  <c r="G66" i="110"/>
  <c r="K66" i="110" s="1"/>
  <c r="Q65" i="110"/>
  <c r="O65" i="110"/>
  <c r="P65" i="110" s="1"/>
  <c r="N65" i="110"/>
  <c r="L65" i="110"/>
  <c r="I65" i="110"/>
  <c r="H65" i="110"/>
  <c r="G65" i="110"/>
  <c r="K65" i="110" s="1"/>
  <c r="U64" i="110"/>
  <c r="Q64" i="110"/>
  <c r="O64" i="110"/>
  <c r="P64" i="110" s="1"/>
  <c r="N64" i="110"/>
  <c r="R64" i="110" s="1"/>
  <c r="L64" i="110"/>
  <c r="H64" i="110"/>
  <c r="I64" i="110" s="1"/>
  <c r="G64" i="110"/>
  <c r="K64" i="110" s="1"/>
  <c r="Q63" i="110"/>
  <c r="P63" i="110"/>
  <c r="O63" i="110"/>
  <c r="N63" i="110"/>
  <c r="L63" i="110"/>
  <c r="I63" i="110"/>
  <c r="H63" i="110"/>
  <c r="G63" i="110"/>
  <c r="K63" i="110" s="1"/>
  <c r="Z62" i="110"/>
  <c r="U62" i="110"/>
  <c r="T62" i="110"/>
  <c r="Q62" i="110"/>
  <c r="O62" i="110"/>
  <c r="P62" i="110" s="1"/>
  <c r="N62" i="110"/>
  <c r="R62" i="110" s="1"/>
  <c r="L62" i="110"/>
  <c r="H62" i="110"/>
  <c r="I62" i="110" s="1"/>
  <c r="G62" i="110"/>
  <c r="K62" i="110" s="1"/>
  <c r="U61" i="110"/>
  <c r="Q61" i="110"/>
  <c r="P61" i="110"/>
  <c r="O61" i="110"/>
  <c r="N61" i="110"/>
  <c r="L61" i="110"/>
  <c r="H61" i="110"/>
  <c r="I61" i="110" s="1"/>
  <c r="G61" i="110"/>
  <c r="K61" i="110" s="1"/>
  <c r="U60" i="110"/>
  <c r="Q60" i="110"/>
  <c r="O60" i="110"/>
  <c r="P60" i="110" s="1"/>
  <c r="N60" i="110"/>
  <c r="L60" i="110"/>
  <c r="H60" i="110"/>
  <c r="I60" i="110" s="1"/>
  <c r="G60" i="110"/>
  <c r="K60" i="110" s="1"/>
  <c r="Q59" i="110"/>
  <c r="O59" i="110"/>
  <c r="P59" i="110" s="1"/>
  <c r="N59" i="110"/>
  <c r="L59" i="110"/>
  <c r="I59" i="110"/>
  <c r="H59" i="110"/>
  <c r="G59" i="110"/>
  <c r="K59" i="110" s="1"/>
  <c r="U58" i="110"/>
  <c r="Q58" i="110"/>
  <c r="T58" i="110" s="1"/>
  <c r="O58" i="110"/>
  <c r="P58" i="110" s="1"/>
  <c r="N58" i="110"/>
  <c r="R58" i="110" s="1"/>
  <c r="L58" i="110"/>
  <c r="H58" i="110"/>
  <c r="I58" i="110" s="1"/>
  <c r="G58" i="110"/>
  <c r="K58" i="110" s="1"/>
  <c r="Q57" i="110"/>
  <c r="U57" i="110" s="1"/>
  <c r="P57" i="110"/>
  <c r="O57" i="110"/>
  <c r="N57" i="110"/>
  <c r="L57" i="110"/>
  <c r="I57" i="110"/>
  <c r="H57" i="110"/>
  <c r="G57" i="110"/>
  <c r="K57" i="110" s="1"/>
  <c r="Z56" i="110"/>
  <c r="U56" i="110"/>
  <c r="T56" i="110"/>
  <c r="Q56" i="110"/>
  <c r="O56" i="110"/>
  <c r="P56" i="110" s="1"/>
  <c r="N56" i="110"/>
  <c r="R56" i="110" s="1"/>
  <c r="L56" i="110"/>
  <c r="H56" i="110"/>
  <c r="I56" i="110" s="1"/>
  <c r="G56" i="110"/>
  <c r="K56" i="110" s="1"/>
  <c r="U55" i="110"/>
  <c r="Q55" i="110"/>
  <c r="P55" i="110"/>
  <c r="O55" i="110"/>
  <c r="N55" i="110"/>
  <c r="L55" i="110"/>
  <c r="H55" i="110"/>
  <c r="I55" i="110" s="1"/>
  <c r="G55" i="110"/>
  <c r="K55" i="110" s="1"/>
  <c r="U54" i="110"/>
  <c r="Q54" i="110"/>
  <c r="O54" i="110"/>
  <c r="P54" i="110" s="1"/>
  <c r="N54" i="110"/>
  <c r="L54" i="110"/>
  <c r="H54" i="110"/>
  <c r="I54" i="110" s="1"/>
  <c r="G54" i="110"/>
  <c r="K54" i="110" s="1"/>
  <c r="Q53" i="110"/>
  <c r="O53" i="110"/>
  <c r="P53" i="110" s="1"/>
  <c r="N53" i="110"/>
  <c r="L53" i="110"/>
  <c r="I53" i="110"/>
  <c r="H53" i="110"/>
  <c r="G53" i="110"/>
  <c r="K53" i="110" s="1"/>
  <c r="U52" i="110"/>
  <c r="Q52" i="110"/>
  <c r="O52" i="110"/>
  <c r="P52" i="110" s="1"/>
  <c r="N52" i="110"/>
  <c r="R52" i="110" s="1"/>
  <c r="L52" i="110"/>
  <c r="H52" i="110"/>
  <c r="I52" i="110" s="1"/>
  <c r="G52" i="110"/>
  <c r="K52" i="110" s="1"/>
  <c r="Q51" i="110"/>
  <c r="U51" i="110" s="1"/>
  <c r="P51" i="110"/>
  <c r="O51" i="110"/>
  <c r="N51" i="110"/>
  <c r="L51" i="110"/>
  <c r="I51" i="110"/>
  <c r="H51" i="110"/>
  <c r="G51" i="110"/>
  <c r="K51" i="110" s="1"/>
  <c r="Z50" i="110"/>
  <c r="U50" i="110"/>
  <c r="T50" i="110"/>
  <c r="Q50" i="110"/>
  <c r="O50" i="110"/>
  <c r="P50" i="110" s="1"/>
  <c r="N50" i="110"/>
  <c r="R50" i="110" s="1"/>
  <c r="L50" i="110"/>
  <c r="H50" i="110"/>
  <c r="I50" i="110" s="1"/>
  <c r="G50" i="110"/>
  <c r="K50" i="110" s="1"/>
  <c r="Q49" i="110"/>
  <c r="P49" i="110"/>
  <c r="O49" i="110"/>
  <c r="N49" i="110"/>
  <c r="L49" i="110"/>
  <c r="H49" i="110"/>
  <c r="I49" i="110" s="1"/>
  <c r="G49" i="110"/>
  <c r="K49" i="110" s="1"/>
  <c r="U48" i="110"/>
  <c r="Q48" i="110"/>
  <c r="O48" i="110"/>
  <c r="P48" i="110" s="1"/>
  <c r="N48" i="110"/>
  <c r="L48" i="110"/>
  <c r="H48" i="110"/>
  <c r="I48" i="110" s="1"/>
  <c r="G48" i="110"/>
  <c r="K48" i="110" s="1"/>
  <c r="Q47" i="110"/>
  <c r="O47" i="110"/>
  <c r="P47" i="110" s="1"/>
  <c r="N47" i="110"/>
  <c r="L47" i="110"/>
  <c r="I47" i="110"/>
  <c r="H47" i="110"/>
  <c r="G47" i="110"/>
  <c r="K47" i="110" s="1"/>
  <c r="Q46" i="110"/>
  <c r="O46" i="110"/>
  <c r="P46" i="110" s="1"/>
  <c r="N46" i="110"/>
  <c r="R46" i="110" s="1"/>
  <c r="L46" i="110"/>
  <c r="H46" i="110"/>
  <c r="I46" i="110" s="1"/>
  <c r="G46" i="110"/>
  <c r="K46" i="110" s="1"/>
  <c r="U45" i="110"/>
  <c r="S45" i="110"/>
  <c r="Q45" i="110"/>
  <c r="P45" i="110"/>
  <c r="Y45" i="110" s="1"/>
  <c r="O45" i="110"/>
  <c r="N45" i="110"/>
  <c r="L45" i="110"/>
  <c r="K45" i="110"/>
  <c r="R45" i="110" s="1"/>
  <c r="H45" i="110"/>
  <c r="I45" i="110" s="1"/>
  <c r="G45" i="110"/>
  <c r="AR44" i="110"/>
  <c r="AQ44" i="110"/>
  <c r="AJ44" i="110"/>
  <c r="AI44" i="110"/>
  <c r="AF44" i="110"/>
  <c r="AG44" i="110" s="1"/>
  <c r="U44" i="110"/>
  <c r="Q44" i="110"/>
  <c r="O44" i="110"/>
  <c r="P44" i="110" s="1"/>
  <c r="N44" i="110"/>
  <c r="L44" i="110"/>
  <c r="K44" i="110"/>
  <c r="R44" i="110" s="1"/>
  <c r="I44" i="110"/>
  <c r="H44" i="110"/>
  <c r="G44" i="110"/>
  <c r="AR43" i="110"/>
  <c r="AJ43" i="110"/>
  <c r="AI43" i="110"/>
  <c r="AG43" i="110"/>
  <c r="AQ43" i="110" s="1"/>
  <c r="AF43" i="110"/>
  <c r="U43" i="110"/>
  <c r="R43" i="110"/>
  <c r="Q43" i="110"/>
  <c r="O43" i="110"/>
  <c r="P43" i="110" s="1"/>
  <c r="N43" i="110"/>
  <c r="T43" i="110" s="1"/>
  <c r="L43" i="110"/>
  <c r="H43" i="110"/>
  <c r="I43" i="110" s="1"/>
  <c r="G43" i="110"/>
  <c r="K43" i="110" s="1"/>
  <c r="AR42" i="110"/>
  <c r="AQ42" i="110"/>
  <c r="AJ42" i="110"/>
  <c r="AI42" i="110"/>
  <c r="AF42" i="110"/>
  <c r="AG42" i="110" s="1"/>
  <c r="X42" i="110"/>
  <c r="U42" i="110"/>
  <c r="Q42" i="110"/>
  <c r="P42" i="110"/>
  <c r="O42" i="110"/>
  <c r="N42" i="110"/>
  <c r="R42" i="110" s="1"/>
  <c r="L42" i="110"/>
  <c r="K42" i="110"/>
  <c r="I42" i="110"/>
  <c r="H42" i="110"/>
  <c r="G42" i="110"/>
  <c r="AR41" i="110"/>
  <c r="AQ41" i="110"/>
  <c r="AJ41" i="110"/>
  <c r="AI41" i="110"/>
  <c r="AF41" i="110"/>
  <c r="AG41" i="110" s="1"/>
  <c r="Q41" i="110"/>
  <c r="U41" i="110" s="1"/>
  <c r="O41" i="110"/>
  <c r="P41" i="110" s="1"/>
  <c r="N41" i="110"/>
  <c r="L41" i="110"/>
  <c r="I41" i="110"/>
  <c r="H41" i="110"/>
  <c r="G41" i="110"/>
  <c r="K41" i="110" s="1"/>
  <c r="AR40" i="110"/>
  <c r="AJ40" i="110"/>
  <c r="AI40" i="110"/>
  <c r="AG40" i="110"/>
  <c r="AQ40" i="110" s="1"/>
  <c r="AF40" i="110"/>
  <c r="U40" i="110"/>
  <c r="Q40" i="110"/>
  <c r="O40" i="110"/>
  <c r="P40" i="110" s="1"/>
  <c r="N40" i="110"/>
  <c r="L40" i="110"/>
  <c r="H40" i="110"/>
  <c r="I40" i="110" s="1"/>
  <c r="G40" i="110"/>
  <c r="K40" i="110" s="1"/>
  <c r="R40" i="110" s="1"/>
  <c r="AR39" i="110"/>
  <c r="AQ39" i="110"/>
  <c r="AJ39" i="110"/>
  <c r="AI39" i="110"/>
  <c r="AG39" i="110"/>
  <c r="AF39" i="110"/>
  <c r="U39" i="110"/>
  <c r="Q39" i="110"/>
  <c r="O39" i="110"/>
  <c r="P39" i="110" s="1"/>
  <c r="N39" i="110"/>
  <c r="L39" i="110"/>
  <c r="K39" i="110"/>
  <c r="R39" i="110" s="1"/>
  <c r="I39" i="110"/>
  <c r="H39" i="110"/>
  <c r="G39" i="110"/>
  <c r="AR38" i="110"/>
  <c r="AJ38" i="110"/>
  <c r="AI38" i="110"/>
  <c r="AF38" i="110"/>
  <c r="AG38" i="110" s="1"/>
  <c r="AQ38" i="110" s="1"/>
  <c r="U38" i="110"/>
  <c r="Q38" i="110"/>
  <c r="O38" i="110"/>
  <c r="P38" i="110" s="1"/>
  <c r="N38" i="110"/>
  <c r="L38" i="110"/>
  <c r="I38" i="110"/>
  <c r="H38" i="110"/>
  <c r="G38" i="110"/>
  <c r="K38" i="110" s="1"/>
  <c r="AR37" i="110"/>
  <c r="AJ37" i="110"/>
  <c r="AI37" i="110"/>
  <c r="AF37" i="110"/>
  <c r="AG37" i="110" s="1"/>
  <c r="AQ37" i="110" s="1"/>
  <c r="Q37" i="110"/>
  <c r="O37" i="110"/>
  <c r="P37" i="110" s="1"/>
  <c r="N37" i="110"/>
  <c r="L37" i="110"/>
  <c r="H37" i="110"/>
  <c r="I37" i="110" s="1"/>
  <c r="G37" i="110"/>
  <c r="K37" i="110" s="1"/>
  <c r="AR36" i="110"/>
  <c r="AJ36" i="110"/>
  <c r="AI36" i="110"/>
  <c r="AG36" i="110"/>
  <c r="AQ36" i="110" s="1"/>
  <c r="AF36" i="110"/>
  <c r="U36" i="110"/>
  <c r="Q36" i="110"/>
  <c r="O36" i="110"/>
  <c r="P36" i="110" s="1"/>
  <c r="N36" i="110"/>
  <c r="L36" i="110"/>
  <c r="K36" i="110"/>
  <c r="R36" i="110" s="1"/>
  <c r="H36" i="110"/>
  <c r="I36" i="110" s="1"/>
  <c r="G36" i="110"/>
  <c r="AR35" i="110"/>
  <c r="AQ35" i="110"/>
  <c r="AJ35" i="110"/>
  <c r="AI35" i="110"/>
  <c r="AF35" i="110"/>
  <c r="AG35" i="110" s="1"/>
  <c r="U35" i="110"/>
  <c r="Q35" i="110"/>
  <c r="O35" i="110"/>
  <c r="P35" i="110" s="1"/>
  <c r="N35" i="110"/>
  <c r="L35" i="110"/>
  <c r="I35" i="110"/>
  <c r="H35" i="110"/>
  <c r="G35" i="110"/>
  <c r="K35" i="110" s="1"/>
  <c r="R35" i="110" s="1"/>
  <c r="AR34" i="110"/>
  <c r="AJ34" i="110"/>
  <c r="AI34" i="110"/>
  <c r="AF34" i="110"/>
  <c r="AG34" i="110" s="1"/>
  <c r="AQ34" i="110" s="1"/>
  <c r="U34" i="110"/>
  <c r="S34" i="110"/>
  <c r="R34" i="110"/>
  <c r="Q34" i="110"/>
  <c r="O34" i="110"/>
  <c r="P34" i="110" s="1"/>
  <c r="Y34" i="110" s="1"/>
  <c r="N34" i="110"/>
  <c r="L34" i="110"/>
  <c r="H34" i="110"/>
  <c r="I34" i="110" s="1"/>
  <c r="G34" i="110"/>
  <c r="K34" i="110" s="1"/>
  <c r="AR33" i="110"/>
  <c r="AQ33" i="110"/>
  <c r="AJ33" i="110"/>
  <c r="AI33" i="110"/>
  <c r="AF33" i="110"/>
  <c r="AG33" i="110" s="1"/>
  <c r="U33" i="110"/>
  <c r="Q33" i="110"/>
  <c r="P33" i="110"/>
  <c r="O33" i="110"/>
  <c r="N33" i="110"/>
  <c r="L33" i="110"/>
  <c r="K33" i="110"/>
  <c r="I33" i="110"/>
  <c r="H33" i="110"/>
  <c r="G33" i="110"/>
  <c r="AR32" i="110"/>
  <c r="AQ32" i="110"/>
  <c r="AJ32" i="110"/>
  <c r="AI32" i="110"/>
  <c r="AF32" i="110"/>
  <c r="AG32" i="110" s="1"/>
  <c r="R32" i="110"/>
  <c r="X32" i="110" s="1"/>
  <c r="Q32" i="110"/>
  <c r="U32" i="110" s="1"/>
  <c r="O32" i="110"/>
  <c r="P32" i="110" s="1"/>
  <c r="N32" i="110"/>
  <c r="T32" i="110" s="1"/>
  <c r="L32" i="110"/>
  <c r="I32" i="110"/>
  <c r="H32" i="110"/>
  <c r="G32" i="110"/>
  <c r="K32" i="110" s="1"/>
  <c r="AR31" i="110"/>
  <c r="AJ31" i="110"/>
  <c r="AI31" i="110"/>
  <c r="AG31" i="110"/>
  <c r="AQ31" i="110" s="1"/>
  <c r="AF31" i="110"/>
  <c r="Q31" i="110"/>
  <c r="O31" i="110"/>
  <c r="P31" i="110" s="1"/>
  <c r="N31" i="110"/>
  <c r="L31" i="110"/>
  <c r="I31" i="110"/>
  <c r="H31" i="110"/>
  <c r="G31" i="110"/>
  <c r="K31" i="110" s="1"/>
  <c r="AR30" i="110"/>
  <c r="AJ30" i="110"/>
  <c r="AI30" i="110"/>
  <c r="AF30" i="110"/>
  <c r="AG30" i="110" s="1"/>
  <c r="AQ30" i="110" s="1"/>
  <c r="U30" i="110"/>
  <c r="Q30" i="110"/>
  <c r="O30" i="110"/>
  <c r="P30" i="110" s="1"/>
  <c r="N30" i="110"/>
  <c r="L30" i="110"/>
  <c r="I30" i="110"/>
  <c r="H30" i="110"/>
  <c r="G30" i="110"/>
  <c r="K30" i="110" s="1"/>
  <c r="R30" i="110" s="1"/>
  <c r="AR29" i="110"/>
  <c r="AJ29" i="110"/>
  <c r="AI29" i="110"/>
  <c r="AF29" i="110"/>
  <c r="AG29" i="110" s="1"/>
  <c r="AQ29" i="110" s="1"/>
  <c r="Q29" i="110"/>
  <c r="U29" i="110" s="1"/>
  <c r="O29" i="110"/>
  <c r="P29" i="110" s="1"/>
  <c r="N29" i="110"/>
  <c r="R29" i="110" s="1"/>
  <c r="L29" i="110"/>
  <c r="I29" i="110"/>
  <c r="H29" i="110"/>
  <c r="G29" i="110"/>
  <c r="K29" i="110" s="1"/>
  <c r="AR28" i="110"/>
  <c r="AJ28" i="110"/>
  <c r="AI28" i="110"/>
  <c r="AG28" i="110"/>
  <c r="AQ28" i="110" s="1"/>
  <c r="AF28" i="110"/>
  <c r="Q28" i="110"/>
  <c r="U28" i="110" s="1"/>
  <c r="O28" i="110"/>
  <c r="P28" i="110" s="1"/>
  <c r="N28" i="110"/>
  <c r="R28" i="110" s="1"/>
  <c r="L28" i="110"/>
  <c r="H28" i="110"/>
  <c r="I28" i="110" s="1"/>
  <c r="G28" i="110"/>
  <c r="K28" i="110" s="1"/>
  <c r="AR27" i="110"/>
  <c r="AJ27" i="110"/>
  <c r="AI27" i="110"/>
  <c r="AF27" i="110"/>
  <c r="AG27" i="110" s="1"/>
  <c r="AQ27" i="110" s="1"/>
  <c r="U27" i="110"/>
  <c r="Q27" i="110"/>
  <c r="O27" i="110"/>
  <c r="P27" i="110" s="1"/>
  <c r="N27" i="110"/>
  <c r="L27" i="110"/>
  <c r="H27" i="110"/>
  <c r="I27" i="110" s="1"/>
  <c r="G27" i="110"/>
  <c r="K27" i="110" s="1"/>
  <c r="AR26" i="110"/>
  <c r="AQ26" i="110"/>
  <c r="AJ26" i="110"/>
  <c r="AI26" i="110"/>
  <c r="AF26" i="110"/>
  <c r="AG26" i="110" s="1"/>
  <c r="Q26" i="110"/>
  <c r="U26" i="110" s="1"/>
  <c r="O26" i="110"/>
  <c r="P26" i="110" s="1"/>
  <c r="N26" i="110"/>
  <c r="L26" i="110"/>
  <c r="I26" i="110"/>
  <c r="H26" i="110"/>
  <c r="G26" i="110"/>
  <c r="K26" i="110" s="1"/>
  <c r="AR25" i="110"/>
  <c r="AJ25" i="110"/>
  <c r="AI25" i="110"/>
  <c r="AF25" i="110"/>
  <c r="AG25" i="110" s="1"/>
  <c r="AQ25" i="110" s="1"/>
  <c r="U25" i="110"/>
  <c r="Q25" i="110"/>
  <c r="P25" i="110"/>
  <c r="O25" i="110"/>
  <c r="N25" i="110"/>
  <c r="L25" i="110"/>
  <c r="I25" i="110"/>
  <c r="H25" i="110"/>
  <c r="G25" i="110"/>
  <c r="K25" i="110" s="1"/>
  <c r="AR24" i="110"/>
  <c r="AJ24" i="110"/>
  <c r="AI24" i="110"/>
  <c r="AF24" i="110"/>
  <c r="AG24" i="110" s="1"/>
  <c r="AQ24" i="110" s="1"/>
  <c r="Q24" i="110"/>
  <c r="U24" i="110" s="1"/>
  <c r="O24" i="110"/>
  <c r="P24" i="110" s="1"/>
  <c r="N24" i="110"/>
  <c r="R24" i="110" s="1"/>
  <c r="L24" i="110"/>
  <c r="H24" i="110"/>
  <c r="I24" i="110" s="1"/>
  <c r="G24" i="110"/>
  <c r="K24" i="110" s="1"/>
  <c r="AR23" i="110"/>
  <c r="AJ23" i="110"/>
  <c r="AI23" i="110"/>
  <c r="AG23" i="110"/>
  <c r="AQ23" i="110" s="1"/>
  <c r="AF23" i="110"/>
  <c r="U23" i="110"/>
  <c r="Q23" i="110"/>
  <c r="O23" i="110"/>
  <c r="P23" i="110" s="1"/>
  <c r="N23" i="110"/>
  <c r="R23" i="110" s="1"/>
  <c r="L23" i="110"/>
  <c r="H23" i="110"/>
  <c r="I23" i="110" s="1"/>
  <c r="G23" i="110"/>
  <c r="K23" i="110" s="1"/>
  <c r="AR22" i="110"/>
  <c r="AJ22" i="110"/>
  <c r="AI22" i="110"/>
  <c r="AG22" i="110"/>
  <c r="AQ22" i="110" s="1"/>
  <c r="AF22" i="110"/>
  <c r="U22" i="110"/>
  <c r="R22" i="110"/>
  <c r="S22" i="110" s="1"/>
  <c r="Q22" i="110"/>
  <c r="O22" i="110"/>
  <c r="P22" i="110" s="1"/>
  <c r="Y22" i="110" s="1"/>
  <c r="N22" i="110"/>
  <c r="L22" i="110"/>
  <c r="K22" i="110"/>
  <c r="H22" i="110"/>
  <c r="I22" i="110" s="1"/>
  <c r="G22" i="110"/>
  <c r="AR21" i="110"/>
  <c r="AJ21" i="110"/>
  <c r="AI21" i="110"/>
  <c r="AF21" i="110"/>
  <c r="AG21" i="110" s="1"/>
  <c r="AQ21" i="110" s="1"/>
  <c r="U21" i="110"/>
  <c r="Q21" i="110"/>
  <c r="O21" i="110"/>
  <c r="P21" i="110" s="1"/>
  <c r="N21" i="110"/>
  <c r="L21" i="110"/>
  <c r="K21" i="110"/>
  <c r="H21" i="110"/>
  <c r="I21" i="110" s="1"/>
  <c r="G21" i="110"/>
  <c r="AR20" i="110"/>
  <c r="AQ20" i="110"/>
  <c r="AJ20" i="110"/>
  <c r="AI20" i="110"/>
  <c r="AG20" i="110"/>
  <c r="AF20" i="110"/>
  <c r="Q20" i="110"/>
  <c r="U20" i="110" s="1"/>
  <c r="P20" i="110"/>
  <c r="O20" i="110"/>
  <c r="N20" i="110"/>
  <c r="R20" i="110" s="1"/>
  <c r="L20" i="110"/>
  <c r="H20" i="110"/>
  <c r="I20" i="110" s="1"/>
  <c r="G20" i="110"/>
  <c r="K20" i="110" s="1"/>
  <c r="AR19" i="110"/>
  <c r="AJ19" i="110"/>
  <c r="AI19" i="110"/>
  <c r="AG19" i="110"/>
  <c r="AQ19" i="110" s="1"/>
  <c r="AF19" i="110"/>
  <c r="R19" i="110"/>
  <c r="Z19" i="110" s="1"/>
  <c r="Q19" i="110"/>
  <c r="U19" i="110" s="1"/>
  <c r="P19" i="110"/>
  <c r="O19" i="110"/>
  <c r="N19" i="110"/>
  <c r="L19" i="110"/>
  <c r="K19" i="110"/>
  <c r="H19" i="110"/>
  <c r="I19" i="110" s="1"/>
  <c r="G19" i="110"/>
  <c r="AR18" i="110"/>
  <c r="AJ18" i="110"/>
  <c r="AI18" i="110"/>
  <c r="AF18" i="110"/>
  <c r="AG18" i="110" s="1"/>
  <c r="AQ18" i="110" s="1"/>
  <c r="U18" i="110"/>
  <c r="Q18" i="110"/>
  <c r="O18" i="110"/>
  <c r="P18" i="110" s="1"/>
  <c r="N18" i="110"/>
  <c r="L18" i="110"/>
  <c r="K18" i="110"/>
  <c r="H18" i="110"/>
  <c r="I18" i="110" s="1"/>
  <c r="G18" i="110"/>
  <c r="AR17" i="110"/>
  <c r="AQ17" i="110"/>
  <c r="AJ17" i="110"/>
  <c r="AI17" i="110"/>
  <c r="AG17" i="110"/>
  <c r="AF17" i="110"/>
  <c r="Q17" i="110"/>
  <c r="U17" i="110" s="1"/>
  <c r="P17" i="110"/>
  <c r="O17" i="110"/>
  <c r="N17" i="110"/>
  <c r="L17" i="110"/>
  <c r="H17" i="110"/>
  <c r="I17" i="110" s="1"/>
  <c r="G17" i="110"/>
  <c r="K17" i="110" s="1"/>
  <c r="AR16" i="110"/>
  <c r="AJ16" i="110"/>
  <c r="AI16" i="110"/>
  <c r="AG16" i="110"/>
  <c r="AQ16" i="110" s="1"/>
  <c r="AF16" i="110"/>
  <c r="R16" i="110"/>
  <c r="Q16" i="110"/>
  <c r="U16" i="110" s="1"/>
  <c r="P16" i="110"/>
  <c r="O16" i="110"/>
  <c r="N16" i="110"/>
  <c r="L16" i="110"/>
  <c r="K16" i="110"/>
  <c r="H16" i="110"/>
  <c r="I16" i="110" s="1"/>
  <c r="G16" i="110"/>
  <c r="AR15" i="110"/>
  <c r="AJ15" i="110"/>
  <c r="AI15" i="110"/>
  <c r="AF15" i="110"/>
  <c r="AG15" i="110" s="1"/>
  <c r="AQ15" i="110" s="1"/>
  <c r="U15" i="110"/>
  <c r="Q15" i="110"/>
  <c r="O15" i="110"/>
  <c r="P15" i="110" s="1"/>
  <c r="N15" i="110"/>
  <c r="L15" i="110"/>
  <c r="K15" i="110"/>
  <c r="H15" i="110"/>
  <c r="I15" i="110" s="1"/>
  <c r="G15" i="110"/>
  <c r="AR14" i="110"/>
  <c r="AJ14" i="110"/>
  <c r="AI14" i="110"/>
  <c r="AF14" i="110"/>
  <c r="AG14" i="110" s="1"/>
  <c r="AQ14" i="110" s="1"/>
  <c r="Q14" i="110"/>
  <c r="U14" i="110" s="1"/>
  <c r="O14" i="110"/>
  <c r="P14" i="110" s="1"/>
  <c r="N14" i="110"/>
  <c r="L14" i="110"/>
  <c r="H14" i="110"/>
  <c r="I14" i="110" s="1"/>
  <c r="G14" i="110"/>
  <c r="K14" i="110" s="1"/>
  <c r="AR13" i="110"/>
  <c r="AJ13" i="110"/>
  <c r="AI13" i="110"/>
  <c r="AG13" i="110"/>
  <c r="AQ13" i="110" s="1"/>
  <c r="AF13" i="110"/>
  <c r="R13" i="110"/>
  <c r="Q13" i="110"/>
  <c r="U13" i="110" s="1"/>
  <c r="P13" i="110"/>
  <c r="O13" i="110"/>
  <c r="N13" i="110"/>
  <c r="L13" i="110"/>
  <c r="K13" i="110"/>
  <c r="H13" i="110"/>
  <c r="I13" i="110" s="1"/>
  <c r="G13" i="110"/>
  <c r="AR12" i="110"/>
  <c r="AJ12" i="110"/>
  <c r="AI12" i="110"/>
  <c r="AF12" i="110"/>
  <c r="AG12" i="110" s="1"/>
  <c r="AQ12" i="110" s="1"/>
  <c r="U12" i="110"/>
  <c r="Q12" i="110"/>
  <c r="O12" i="110"/>
  <c r="P12" i="110" s="1"/>
  <c r="N12" i="110"/>
  <c r="L12" i="110"/>
  <c r="K12" i="110"/>
  <c r="H12" i="110"/>
  <c r="I12" i="110" s="1"/>
  <c r="G12" i="110"/>
  <c r="AR11" i="110"/>
  <c r="AJ11" i="110"/>
  <c r="AI11" i="110"/>
  <c r="AF11" i="110"/>
  <c r="AG11" i="110" s="1"/>
  <c r="AQ11" i="110" s="1"/>
  <c r="Q11" i="110"/>
  <c r="U11" i="110" s="1"/>
  <c r="O11" i="110"/>
  <c r="P11" i="110" s="1"/>
  <c r="N11" i="110"/>
  <c r="L11" i="110"/>
  <c r="H11" i="110"/>
  <c r="I11" i="110" s="1"/>
  <c r="G11" i="110"/>
  <c r="K11" i="110" s="1"/>
  <c r="AR10" i="110"/>
  <c r="AP10" i="110"/>
  <c r="AP11" i="110" s="1"/>
  <c r="AP12" i="110" s="1"/>
  <c r="AP13" i="110" s="1"/>
  <c r="AP14" i="110" s="1"/>
  <c r="AP15" i="110" s="1"/>
  <c r="AP16" i="110" s="1"/>
  <c r="AP17" i="110" s="1"/>
  <c r="AP18" i="110" s="1"/>
  <c r="AP19" i="110" s="1"/>
  <c r="AP20" i="110" s="1"/>
  <c r="AP21" i="110" s="1"/>
  <c r="AP22" i="110" s="1"/>
  <c r="AP23" i="110" s="1"/>
  <c r="AP24" i="110" s="1"/>
  <c r="AP25" i="110" s="1"/>
  <c r="AP26" i="110" s="1"/>
  <c r="AP27" i="110" s="1"/>
  <c r="AP28" i="110" s="1"/>
  <c r="AP29" i="110" s="1"/>
  <c r="AP30" i="110" s="1"/>
  <c r="AP31" i="110" s="1"/>
  <c r="AP32" i="110" s="1"/>
  <c r="AP33" i="110" s="1"/>
  <c r="AP34" i="110" s="1"/>
  <c r="AP35" i="110" s="1"/>
  <c r="AP36" i="110" s="1"/>
  <c r="AP37" i="110" s="1"/>
  <c r="AP38" i="110" s="1"/>
  <c r="AP39" i="110" s="1"/>
  <c r="AP40" i="110" s="1"/>
  <c r="AP41" i="110" s="1"/>
  <c r="AP42" i="110" s="1"/>
  <c r="AP43" i="110" s="1"/>
  <c r="AP44" i="110" s="1"/>
  <c r="AJ10" i="110"/>
  <c r="AI10" i="110"/>
  <c r="AG10" i="110"/>
  <c r="AQ10" i="110" s="1"/>
  <c r="AF10" i="110"/>
  <c r="Q10" i="110"/>
  <c r="U10" i="110" s="1"/>
  <c r="P10" i="110"/>
  <c r="O10" i="110"/>
  <c r="N10" i="110"/>
  <c r="L10" i="110"/>
  <c r="R10" i="110" s="1"/>
  <c r="K10" i="110"/>
  <c r="H10" i="110"/>
  <c r="I10" i="110" s="1"/>
  <c r="G10" i="110"/>
  <c r="AR9" i="110"/>
  <c r="AQ9" i="110"/>
  <c r="AP9" i="110"/>
  <c r="AL9" i="110"/>
  <c r="AJ9" i="110"/>
  <c r="AI9" i="110"/>
  <c r="AF9" i="110"/>
  <c r="AG9" i="110" s="1"/>
  <c r="U9" i="110"/>
  <c r="Q9" i="110"/>
  <c r="O9" i="110"/>
  <c r="P9" i="110" s="1"/>
  <c r="N9" i="110"/>
  <c r="L9" i="110"/>
  <c r="K9" i="110"/>
  <c r="H9" i="110"/>
  <c r="I9" i="110" s="1"/>
  <c r="G9" i="110"/>
  <c r="AS8" i="110"/>
  <c r="AS9" i="110" s="1"/>
  <c r="AS10" i="110" s="1"/>
  <c r="AS11" i="110" s="1"/>
  <c r="AS12" i="110" s="1"/>
  <c r="AS13" i="110" s="1"/>
  <c r="AS14" i="110" s="1"/>
  <c r="AS15" i="110" s="1"/>
  <c r="AS16" i="110" s="1"/>
  <c r="AS17" i="110" s="1"/>
  <c r="AS18" i="110" s="1"/>
  <c r="AS19" i="110" s="1"/>
  <c r="AS20" i="110" s="1"/>
  <c r="AS21" i="110" s="1"/>
  <c r="AS22" i="110" s="1"/>
  <c r="AS23" i="110" s="1"/>
  <c r="AS24" i="110" s="1"/>
  <c r="AS25" i="110" s="1"/>
  <c r="AS26" i="110" s="1"/>
  <c r="AS27" i="110" s="1"/>
  <c r="AS28" i="110" s="1"/>
  <c r="AS29" i="110" s="1"/>
  <c r="AS30" i="110" s="1"/>
  <c r="AS31" i="110" s="1"/>
  <c r="AS32" i="110" s="1"/>
  <c r="AS33" i="110" s="1"/>
  <c r="AS34" i="110" s="1"/>
  <c r="AS35" i="110" s="1"/>
  <c r="AS36" i="110" s="1"/>
  <c r="AS37" i="110" s="1"/>
  <c r="AS38" i="110" s="1"/>
  <c r="AS39" i="110" s="1"/>
  <c r="AS40" i="110" s="1"/>
  <c r="AS41" i="110" s="1"/>
  <c r="AS42" i="110" s="1"/>
  <c r="AS43" i="110" s="1"/>
  <c r="AS44" i="110" s="1"/>
  <c r="AR8" i="110"/>
  <c r="AP8" i="110"/>
  <c r="AL8" i="110"/>
  <c r="AK8" i="110"/>
  <c r="AK9" i="110" s="1"/>
  <c r="AK10" i="110" s="1"/>
  <c r="AK11" i="110" s="1"/>
  <c r="AK12" i="110" s="1"/>
  <c r="AK13" i="110" s="1"/>
  <c r="AK14" i="110" s="1"/>
  <c r="AK15" i="110" s="1"/>
  <c r="AK16" i="110" s="1"/>
  <c r="AK17" i="110" s="1"/>
  <c r="AK18" i="110" s="1"/>
  <c r="AK19" i="110" s="1"/>
  <c r="AK20" i="110" s="1"/>
  <c r="AK21" i="110" s="1"/>
  <c r="AK22" i="110" s="1"/>
  <c r="AK23" i="110" s="1"/>
  <c r="AK24" i="110" s="1"/>
  <c r="AK25" i="110" s="1"/>
  <c r="AK26" i="110" s="1"/>
  <c r="AK27" i="110" s="1"/>
  <c r="AK28" i="110" s="1"/>
  <c r="AK29" i="110" s="1"/>
  <c r="AK30" i="110" s="1"/>
  <c r="AK31" i="110" s="1"/>
  <c r="AK32" i="110" s="1"/>
  <c r="AK33" i="110" s="1"/>
  <c r="AK34" i="110" s="1"/>
  <c r="AK35" i="110" s="1"/>
  <c r="AK36" i="110" s="1"/>
  <c r="AK37" i="110" s="1"/>
  <c r="AK38" i="110" s="1"/>
  <c r="AK39" i="110" s="1"/>
  <c r="AK40" i="110" s="1"/>
  <c r="AK41" i="110" s="1"/>
  <c r="AK42" i="110" s="1"/>
  <c r="AK43" i="110" s="1"/>
  <c r="AK44" i="110" s="1"/>
  <c r="AJ8" i="110"/>
  <c r="AI8" i="110"/>
  <c r="AH8" i="110"/>
  <c r="AH9" i="110" s="1"/>
  <c r="AH10" i="110" s="1"/>
  <c r="AH11" i="110" s="1"/>
  <c r="AH12" i="110" s="1"/>
  <c r="AH13" i="110" s="1"/>
  <c r="AH14" i="110" s="1"/>
  <c r="AH15" i="110" s="1"/>
  <c r="AH16" i="110" s="1"/>
  <c r="AH17" i="110" s="1"/>
  <c r="AH18" i="110" s="1"/>
  <c r="AH19" i="110" s="1"/>
  <c r="AH20" i="110" s="1"/>
  <c r="AH21" i="110" s="1"/>
  <c r="AH22" i="110" s="1"/>
  <c r="AH23" i="110" s="1"/>
  <c r="AH24" i="110" s="1"/>
  <c r="AH25" i="110" s="1"/>
  <c r="AH26" i="110" s="1"/>
  <c r="AH27" i="110" s="1"/>
  <c r="AH28" i="110" s="1"/>
  <c r="AH29" i="110" s="1"/>
  <c r="AH30" i="110" s="1"/>
  <c r="AH31" i="110" s="1"/>
  <c r="AH32" i="110" s="1"/>
  <c r="AH33" i="110" s="1"/>
  <c r="AH34" i="110" s="1"/>
  <c r="AH35" i="110" s="1"/>
  <c r="AH36" i="110" s="1"/>
  <c r="AH37" i="110" s="1"/>
  <c r="AH38" i="110" s="1"/>
  <c r="AH39" i="110" s="1"/>
  <c r="AH40" i="110" s="1"/>
  <c r="AH41" i="110" s="1"/>
  <c r="AH42" i="110" s="1"/>
  <c r="AH43" i="110" s="1"/>
  <c r="AH44" i="110" s="1"/>
  <c r="AF8" i="110"/>
  <c r="AG8" i="110" s="1"/>
  <c r="AQ8" i="110" s="1"/>
  <c r="Q8" i="110"/>
  <c r="U8" i="110" s="1"/>
  <c r="O8" i="110"/>
  <c r="P8" i="110" s="1"/>
  <c r="N8" i="110"/>
  <c r="L8" i="110"/>
  <c r="H8" i="110"/>
  <c r="I8" i="110" s="1"/>
  <c r="G8" i="110"/>
  <c r="K8" i="110" s="1"/>
  <c r="AR7" i="110"/>
  <c r="AM7" i="110"/>
  <c r="AJ7" i="110"/>
  <c r="AI7" i="110"/>
  <c r="AG7" i="110"/>
  <c r="AQ7" i="110" s="1"/>
  <c r="AF7" i="110"/>
  <c r="Q7" i="110"/>
  <c r="U7" i="110" s="1"/>
  <c r="P7" i="110"/>
  <c r="O7" i="110"/>
  <c r="N7" i="110"/>
  <c r="L7" i="110"/>
  <c r="K7" i="110"/>
  <c r="I7" i="110"/>
  <c r="H7" i="110"/>
  <c r="G7" i="110"/>
  <c r="AE12" i="45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N7" i="114" l="1"/>
  <c r="AO7" i="114" s="1"/>
  <c r="X37" i="114"/>
  <c r="T37" i="114"/>
  <c r="S37" i="114"/>
  <c r="Z37" i="114"/>
  <c r="Z38" i="114"/>
  <c r="X38" i="114"/>
  <c r="T38" i="114"/>
  <c r="S38" i="114"/>
  <c r="Y36" i="114"/>
  <c r="S36" i="114"/>
  <c r="Z36" i="114"/>
  <c r="X36" i="114"/>
  <c r="Y9" i="114"/>
  <c r="Z19" i="114"/>
  <c r="X19" i="114"/>
  <c r="S19" i="114"/>
  <c r="Z28" i="114"/>
  <c r="T28" i="114"/>
  <c r="S28" i="114"/>
  <c r="X28" i="114"/>
  <c r="S10" i="114"/>
  <c r="X10" i="114"/>
  <c r="Z10" i="114"/>
  <c r="Z16" i="114"/>
  <c r="X16" i="114"/>
  <c r="S16" i="114"/>
  <c r="Z22" i="114"/>
  <c r="X22" i="114"/>
  <c r="S22" i="114"/>
  <c r="Z31" i="114"/>
  <c r="T31" i="114"/>
  <c r="X31" i="114"/>
  <c r="S31" i="114"/>
  <c r="S13" i="114"/>
  <c r="X13" i="114"/>
  <c r="Z13" i="114"/>
  <c r="S17" i="114"/>
  <c r="V17" i="114" s="1"/>
  <c r="X17" i="114"/>
  <c r="Z17" i="114"/>
  <c r="T18" i="114"/>
  <c r="S18" i="114"/>
  <c r="Z18" i="114"/>
  <c r="X18" i="114"/>
  <c r="V12" i="114"/>
  <c r="Y13" i="114"/>
  <c r="T15" i="114"/>
  <c r="Y16" i="114"/>
  <c r="Z24" i="114"/>
  <c r="X24" i="114"/>
  <c r="S24" i="114"/>
  <c r="V24" i="114" s="1"/>
  <c r="W24" i="114" s="1"/>
  <c r="S7" i="114"/>
  <c r="Y7" i="114" s="1"/>
  <c r="Z7" i="114"/>
  <c r="X7" i="114"/>
  <c r="Y22" i="114"/>
  <c r="Z25" i="114"/>
  <c r="T25" i="114"/>
  <c r="W25" i="114" s="1"/>
  <c r="X25" i="114"/>
  <c r="S25" i="114"/>
  <c r="V25" i="114" s="1"/>
  <c r="T12" i="114"/>
  <c r="W12" i="114" s="1"/>
  <c r="T7" i="114"/>
  <c r="AL9" i="114"/>
  <c r="T22" i="114"/>
  <c r="R23" i="114"/>
  <c r="X50" i="114"/>
  <c r="S50" i="114"/>
  <c r="V50" i="114" s="1"/>
  <c r="Z50" i="114"/>
  <c r="X58" i="114"/>
  <c r="S58" i="114"/>
  <c r="Z58" i="114"/>
  <c r="S9" i="114"/>
  <c r="S26" i="114"/>
  <c r="V26" i="114" s="1"/>
  <c r="W26" i="114" s="1"/>
  <c r="Z26" i="114"/>
  <c r="X26" i="114"/>
  <c r="U7" i="114"/>
  <c r="R8" i="114"/>
  <c r="R11" i="114"/>
  <c r="T11" i="114" s="1"/>
  <c r="R14" i="114"/>
  <c r="T14" i="114" s="1"/>
  <c r="T20" i="114"/>
  <c r="R21" i="114"/>
  <c r="T21" i="114" s="1"/>
  <c r="R30" i="114"/>
  <c r="X40" i="114"/>
  <c r="Z40" i="114"/>
  <c r="R43" i="114"/>
  <c r="T9" i="114"/>
  <c r="T36" i="114"/>
  <c r="U36" i="114"/>
  <c r="Y24" i="114"/>
  <c r="Y40" i="114"/>
  <c r="Y58" i="114"/>
  <c r="T26" i="114"/>
  <c r="U35" i="114"/>
  <c r="X52" i="114"/>
  <c r="S52" i="114"/>
  <c r="V52" i="114" s="1"/>
  <c r="W52" i="114" s="1"/>
  <c r="Z52" i="114"/>
  <c r="R35" i="114"/>
  <c r="T35" i="114" s="1"/>
  <c r="V40" i="114"/>
  <c r="W40" i="114" s="1"/>
  <c r="U43" i="114"/>
  <c r="X9" i="114"/>
  <c r="Z12" i="114"/>
  <c r="T17" i="114"/>
  <c r="W17" i="114" s="1"/>
  <c r="R29" i="114"/>
  <c r="T40" i="114"/>
  <c r="R44" i="114"/>
  <c r="R15" i="114"/>
  <c r="R41" i="114"/>
  <c r="T41" i="114" s="1"/>
  <c r="X12" i="114"/>
  <c r="T10" i="114"/>
  <c r="T13" i="114"/>
  <c r="R32" i="114"/>
  <c r="R34" i="114"/>
  <c r="R39" i="114"/>
  <c r="P79" i="114"/>
  <c r="AY2" i="114" s="1"/>
  <c r="H14" i="45" s="1"/>
  <c r="K14" i="45" s="1"/>
  <c r="BB14" i="45" s="1"/>
  <c r="R27" i="114"/>
  <c r="X70" i="114"/>
  <c r="S70" i="114"/>
  <c r="Z70" i="114"/>
  <c r="Z75" i="114"/>
  <c r="X75" i="114"/>
  <c r="T75" i="114"/>
  <c r="S75" i="114"/>
  <c r="S20" i="114"/>
  <c r="V20" i="114" s="1"/>
  <c r="W20" i="114" s="1"/>
  <c r="X20" i="114"/>
  <c r="T45" i="114"/>
  <c r="U45" i="114"/>
  <c r="R45" i="114"/>
  <c r="T16" i="114"/>
  <c r="T19" i="114"/>
  <c r="U32" i="114"/>
  <c r="U34" i="114"/>
  <c r="T34" i="114"/>
  <c r="U48" i="114"/>
  <c r="R48" i="114"/>
  <c r="X64" i="114"/>
  <c r="S64" i="114"/>
  <c r="Z64" i="114"/>
  <c r="T50" i="114"/>
  <c r="W50" i="114" s="1"/>
  <c r="U54" i="114"/>
  <c r="U60" i="114"/>
  <c r="U66" i="114"/>
  <c r="R33" i="114"/>
  <c r="R42" i="114"/>
  <c r="T44" i="114"/>
  <c r="U50" i="114"/>
  <c r="R57" i="114"/>
  <c r="R63" i="114"/>
  <c r="T63" i="114" s="1"/>
  <c r="W65" i="114"/>
  <c r="R69" i="114"/>
  <c r="W71" i="114"/>
  <c r="R76" i="114"/>
  <c r="U44" i="114"/>
  <c r="Z53" i="114"/>
  <c r="Z59" i="114"/>
  <c r="Z65" i="114"/>
  <c r="Z71" i="114"/>
  <c r="R49" i="114"/>
  <c r="T49" i="114" s="1"/>
  <c r="U76" i="114"/>
  <c r="X74" i="114"/>
  <c r="S74" i="114"/>
  <c r="V74" i="114" s="1"/>
  <c r="W74" i="114" s="1"/>
  <c r="T57" i="114"/>
  <c r="R72" i="114"/>
  <c r="R73" i="114"/>
  <c r="T52" i="114"/>
  <c r="R54" i="114"/>
  <c r="T58" i="114"/>
  <c r="R60" i="114"/>
  <c r="T60" i="114" s="1"/>
  <c r="T64" i="114"/>
  <c r="R66" i="114"/>
  <c r="T66" i="114" s="1"/>
  <c r="T70" i="114"/>
  <c r="R78" i="114"/>
  <c r="T39" i="114"/>
  <c r="U74" i="114"/>
  <c r="T74" i="114"/>
  <c r="R46" i="114"/>
  <c r="R47" i="114"/>
  <c r="T47" i="114" s="1"/>
  <c r="S53" i="114"/>
  <c r="V53" i="114" s="1"/>
  <c r="R55" i="114"/>
  <c r="S59" i="114"/>
  <c r="V59" i="114" s="1"/>
  <c r="R61" i="114"/>
  <c r="S65" i="114"/>
  <c r="V65" i="114" s="1"/>
  <c r="R67" i="114"/>
  <c r="S71" i="114"/>
  <c r="V71" i="114" s="1"/>
  <c r="T53" i="114"/>
  <c r="W53" i="114" s="1"/>
  <c r="T59" i="114"/>
  <c r="W59" i="114" s="1"/>
  <c r="T65" i="114"/>
  <c r="T71" i="114"/>
  <c r="Z74" i="114"/>
  <c r="Z77" i="114"/>
  <c r="X77" i="114"/>
  <c r="T77" i="114"/>
  <c r="R51" i="114"/>
  <c r="R56" i="114"/>
  <c r="R62" i="114"/>
  <c r="X68" i="114"/>
  <c r="S68" i="114"/>
  <c r="V68" i="114" s="1"/>
  <c r="W68" i="114" s="1"/>
  <c r="Y77" i="114"/>
  <c r="T78" i="114"/>
  <c r="AN7" i="110"/>
  <c r="AO7" i="110" s="1"/>
  <c r="Z10" i="110"/>
  <c r="X10" i="110"/>
  <c r="S10" i="110"/>
  <c r="R15" i="110"/>
  <c r="X23" i="110"/>
  <c r="Z23" i="110"/>
  <c r="S23" i="110"/>
  <c r="T23" i="110"/>
  <c r="R7" i="110"/>
  <c r="AM9" i="110"/>
  <c r="AN9" i="110" s="1"/>
  <c r="AO9" i="110" s="1"/>
  <c r="AL10" i="110"/>
  <c r="Y23" i="110"/>
  <c r="S39" i="110"/>
  <c r="Z39" i="110"/>
  <c r="X39" i="110"/>
  <c r="X40" i="110"/>
  <c r="T40" i="110"/>
  <c r="S40" i="110"/>
  <c r="V40" i="110" s="1"/>
  <c r="Z40" i="110"/>
  <c r="W40" i="110"/>
  <c r="Y13" i="110"/>
  <c r="T24" i="110"/>
  <c r="S24" i="110"/>
  <c r="V24" i="110" s="1"/>
  <c r="Z24" i="110"/>
  <c r="X24" i="110"/>
  <c r="W24" i="110"/>
  <c r="R11" i="110"/>
  <c r="Z13" i="110"/>
  <c r="X13" i="110"/>
  <c r="S13" i="110"/>
  <c r="P79" i="110"/>
  <c r="AY2" i="110" s="1"/>
  <c r="H13" i="45" s="1"/>
  <c r="K13" i="45" s="1"/>
  <c r="BB13" i="45" s="1"/>
  <c r="R17" i="110"/>
  <c r="Y39" i="110"/>
  <c r="Y16" i="110"/>
  <c r="T7" i="110"/>
  <c r="T11" i="110"/>
  <c r="Z30" i="110"/>
  <c r="X30" i="110"/>
  <c r="S30" i="110"/>
  <c r="R8" i="110"/>
  <c r="AM8" i="110"/>
  <c r="AN8" i="110" s="1"/>
  <c r="AO8" i="110" s="1"/>
  <c r="R9" i="110"/>
  <c r="T12" i="110"/>
  <c r="R12" i="110"/>
  <c r="Z16" i="110"/>
  <c r="X16" i="110"/>
  <c r="S16" i="110"/>
  <c r="T18" i="110"/>
  <c r="R18" i="110"/>
  <c r="T20" i="110"/>
  <c r="S20" i="110"/>
  <c r="Z20" i="110"/>
  <c r="X20" i="110"/>
  <c r="X44" i="110"/>
  <c r="S44" i="110"/>
  <c r="Z44" i="110"/>
  <c r="X28" i="110"/>
  <c r="Z28" i="110"/>
  <c r="S28" i="110"/>
  <c r="X29" i="110"/>
  <c r="Z29" i="110"/>
  <c r="S29" i="110"/>
  <c r="X35" i="110"/>
  <c r="S35" i="110"/>
  <c r="Z35" i="110"/>
  <c r="R14" i="110"/>
  <c r="Y20" i="110"/>
  <c r="R25" i="110"/>
  <c r="T25" i="110" s="1"/>
  <c r="R27" i="110"/>
  <c r="T27" i="110" s="1"/>
  <c r="Y28" i="110"/>
  <c r="T30" i="110"/>
  <c r="X46" i="110"/>
  <c r="S46" i="110"/>
  <c r="Y46" i="110" s="1"/>
  <c r="S19" i="110"/>
  <c r="V19" i="110" s="1"/>
  <c r="S32" i="110"/>
  <c r="V32" i="110" s="1"/>
  <c r="W32" i="110" s="1"/>
  <c r="Z42" i="110"/>
  <c r="X43" i="110"/>
  <c r="Z43" i="110"/>
  <c r="U59" i="110"/>
  <c r="T59" i="110"/>
  <c r="U63" i="110"/>
  <c r="U31" i="110"/>
  <c r="T31" i="110"/>
  <c r="T10" i="110"/>
  <c r="T13" i="110"/>
  <c r="T16" i="110"/>
  <c r="T19" i="110"/>
  <c r="W19" i="110" s="1"/>
  <c r="S43" i="110"/>
  <c r="V43" i="110" s="1"/>
  <c r="W43" i="110" s="1"/>
  <c r="T46" i="110"/>
  <c r="X58" i="110"/>
  <c r="S58" i="110"/>
  <c r="V58" i="110" s="1"/>
  <c r="W58" i="110" s="1"/>
  <c r="U69" i="110"/>
  <c r="T69" i="110"/>
  <c r="X22" i="110"/>
  <c r="T29" i="110"/>
  <c r="T35" i="110"/>
  <c r="S36" i="110"/>
  <c r="U46" i="110"/>
  <c r="Z46" i="110"/>
  <c r="U65" i="110"/>
  <c r="T65" i="110"/>
  <c r="R21" i="110"/>
  <c r="Z22" i="110"/>
  <c r="R26" i="110"/>
  <c r="Z32" i="110"/>
  <c r="S42" i="110"/>
  <c r="Y42" i="110" s="1"/>
  <c r="U49" i="110"/>
  <c r="U71" i="110"/>
  <c r="X19" i="110"/>
  <c r="T34" i="110"/>
  <c r="V34" i="110" s="1"/>
  <c r="R38" i="110"/>
  <c r="T38" i="110" s="1"/>
  <c r="T44" i="110"/>
  <c r="U53" i="110"/>
  <c r="Z58" i="110"/>
  <c r="T61" i="110"/>
  <c r="X64" i="110"/>
  <c r="S64" i="110"/>
  <c r="Z64" i="110"/>
  <c r="X52" i="110"/>
  <c r="S52" i="110"/>
  <c r="V52" i="110" s="1"/>
  <c r="W52" i="110" s="1"/>
  <c r="Y56" i="110"/>
  <c r="T67" i="110"/>
  <c r="R33" i="110"/>
  <c r="R37" i="110"/>
  <c r="Y40" i="110"/>
  <c r="R41" i="110"/>
  <c r="T64" i="110"/>
  <c r="T22" i="110"/>
  <c r="R31" i="110"/>
  <c r="X34" i="110"/>
  <c r="Z34" i="110"/>
  <c r="X36" i="110"/>
  <c r="Z36" i="110"/>
  <c r="T41" i="110"/>
  <c r="T52" i="110"/>
  <c r="Y78" i="110"/>
  <c r="T28" i="110"/>
  <c r="U37" i="110"/>
  <c r="U79" i="110" s="1"/>
  <c r="U81" i="110" s="1"/>
  <c r="T37" i="110"/>
  <c r="T17" i="110"/>
  <c r="Z45" i="110"/>
  <c r="X45" i="110"/>
  <c r="U47" i="110"/>
  <c r="Z52" i="110"/>
  <c r="T33" i="110"/>
  <c r="T42" i="110"/>
  <c r="R49" i="110"/>
  <c r="R55" i="110"/>
  <c r="R61" i="110"/>
  <c r="R67" i="110"/>
  <c r="R73" i="110"/>
  <c r="W70" i="110"/>
  <c r="X50" i="110"/>
  <c r="S50" i="110"/>
  <c r="V50" i="110" s="1"/>
  <c r="W50" i="110" s="1"/>
  <c r="X56" i="110"/>
  <c r="S56" i="110"/>
  <c r="V56" i="110" s="1"/>
  <c r="W56" i="110" s="1"/>
  <c r="X62" i="110"/>
  <c r="S62" i="110"/>
  <c r="V62" i="110" s="1"/>
  <c r="W62" i="110" s="1"/>
  <c r="X68" i="110"/>
  <c r="S68" i="110"/>
  <c r="V68" i="110" s="1"/>
  <c r="W68" i="110" s="1"/>
  <c r="R74" i="110"/>
  <c r="T36" i="110"/>
  <c r="T45" i="110"/>
  <c r="R51" i="110"/>
  <c r="R57" i="110"/>
  <c r="R63" i="110"/>
  <c r="R69" i="110"/>
  <c r="R75" i="110"/>
  <c r="X78" i="110"/>
  <c r="S78" i="110"/>
  <c r="X70" i="110"/>
  <c r="S70" i="110"/>
  <c r="V70" i="110" s="1"/>
  <c r="X76" i="110"/>
  <c r="S76" i="110"/>
  <c r="R77" i="110"/>
  <c r="T39" i="110"/>
  <c r="R47" i="110"/>
  <c r="T47" i="110" s="1"/>
  <c r="R53" i="110"/>
  <c r="T53" i="110" s="1"/>
  <c r="R59" i="110"/>
  <c r="R65" i="110"/>
  <c r="R71" i="110"/>
  <c r="T71" i="110" s="1"/>
  <c r="T75" i="110"/>
  <c r="Z78" i="110"/>
  <c r="R48" i="110"/>
  <c r="R54" i="110"/>
  <c r="R60" i="110"/>
  <c r="R66" i="110"/>
  <c r="R72" i="110"/>
  <c r="T72" i="110" s="1"/>
  <c r="T76" i="110"/>
  <c r="T78" i="110"/>
  <c r="AN8" i="99"/>
  <c r="AO8" i="99" s="1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W70" i="114" l="1"/>
  <c r="W18" i="114"/>
  <c r="Z51" i="114"/>
  <c r="X51" i="114"/>
  <c r="T51" i="114"/>
  <c r="S51" i="114"/>
  <c r="Z33" i="114"/>
  <c r="X33" i="114"/>
  <c r="S33" i="114"/>
  <c r="X78" i="114"/>
  <c r="S78" i="114"/>
  <c r="Z78" i="114"/>
  <c r="X62" i="114"/>
  <c r="S62" i="114"/>
  <c r="Z62" i="114"/>
  <c r="T62" i="114"/>
  <c r="X67" i="114"/>
  <c r="Z67" i="114"/>
  <c r="S67" i="114"/>
  <c r="Y68" i="114"/>
  <c r="Y74" i="114"/>
  <c r="X8" i="114"/>
  <c r="Z8" i="114"/>
  <c r="S8" i="114"/>
  <c r="Y50" i="114"/>
  <c r="V19" i="114"/>
  <c r="W19" i="114" s="1"/>
  <c r="S41" i="114"/>
  <c r="X41" i="114"/>
  <c r="Z41" i="114"/>
  <c r="X48" i="114"/>
  <c r="S48" i="114"/>
  <c r="Z48" i="114"/>
  <c r="X56" i="114"/>
  <c r="S56" i="114"/>
  <c r="Z56" i="114"/>
  <c r="T56" i="114"/>
  <c r="Z42" i="114"/>
  <c r="X42" i="114"/>
  <c r="S42" i="114"/>
  <c r="V64" i="114"/>
  <c r="W64" i="114" s="1"/>
  <c r="Y59" i="114"/>
  <c r="V75" i="114"/>
  <c r="W75" i="114" s="1"/>
  <c r="Z27" i="114"/>
  <c r="X27" i="114"/>
  <c r="S27" i="114"/>
  <c r="U79" i="114"/>
  <c r="U81" i="114" s="1"/>
  <c r="V31" i="114"/>
  <c r="W31" i="114" s="1"/>
  <c r="Y31" i="114"/>
  <c r="V38" i="114"/>
  <c r="W38" i="114" s="1"/>
  <c r="Y38" i="114"/>
  <c r="Z45" i="114"/>
  <c r="X45" i="114"/>
  <c r="S45" i="114"/>
  <c r="Y65" i="114"/>
  <c r="S15" i="114"/>
  <c r="Z15" i="114"/>
  <c r="X15" i="114"/>
  <c r="R79" i="114"/>
  <c r="Y71" i="114"/>
  <c r="Y52" i="114"/>
  <c r="S23" i="114"/>
  <c r="X23" i="114"/>
  <c r="Z23" i="114"/>
  <c r="T23" i="114"/>
  <c r="V10" i="114"/>
  <c r="W10" i="114" s="1"/>
  <c r="X43" i="114"/>
  <c r="S43" i="114"/>
  <c r="Z43" i="114"/>
  <c r="X69" i="114"/>
  <c r="Z69" i="114"/>
  <c r="S69" i="114"/>
  <c r="X63" i="114"/>
  <c r="Z63" i="114"/>
  <c r="S63" i="114"/>
  <c r="X30" i="114"/>
  <c r="Z30" i="114"/>
  <c r="S30" i="114"/>
  <c r="V9" i="114"/>
  <c r="W9" i="114" s="1"/>
  <c r="X61" i="114"/>
  <c r="Z61" i="114"/>
  <c r="T61" i="114"/>
  <c r="S61" i="114"/>
  <c r="X76" i="114"/>
  <c r="S76" i="114"/>
  <c r="Z76" i="114"/>
  <c r="V7" i="114"/>
  <c r="X55" i="114"/>
  <c r="Z55" i="114"/>
  <c r="T55" i="114"/>
  <c r="S55" i="114"/>
  <c r="T76" i="114"/>
  <c r="T48" i="114"/>
  <c r="Z47" i="114"/>
  <c r="X47" i="114"/>
  <c r="S47" i="114"/>
  <c r="X54" i="114"/>
  <c r="S54" i="114"/>
  <c r="Z54" i="114"/>
  <c r="X39" i="114"/>
  <c r="S39" i="114"/>
  <c r="Z39" i="114"/>
  <c r="X46" i="114"/>
  <c r="S46" i="114"/>
  <c r="Z46" i="114"/>
  <c r="Y75" i="114"/>
  <c r="T42" i="114"/>
  <c r="X34" i="114"/>
  <c r="S34" i="114"/>
  <c r="Z34" i="114"/>
  <c r="Z44" i="114"/>
  <c r="S44" i="114"/>
  <c r="X44" i="114"/>
  <c r="T46" i="114"/>
  <c r="Y26" i="114"/>
  <c r="Y64" i="114"/>
  <c r="AL10" i="114"/>
  <c r="AM9" i="114"/>
  <c r="V22" i="114"/>
  <c r="W22" i="114" s="1"/>
  <c r="V36" i="114"/>
  <c r="W36" i="114" s="1"/>
  <c r="Z73" i="114"/>
  <c r="X73" i="114"/>
  <c r="T73" i="114"/>
  <c r="S73" i="114"/>
  <c r="S49" i="114"/>
  <c r="Z49" i="114"/>
  <c r="X49" i="114"/>
  <c r="X57" i="114"/>
  <c r="Z57" i="114"/>
  <c r="S57" i="114"/>
  <c r="T33" i="114"/>
  <c r="V70" i="114"/>
  <c r="S32" i="114"/>
  <c r="Z32" i="114"/>
  <c r="X32" i="114"/>
  <c r="T43" i="114"/>
  <c r="Z21" i="114"/>
  <c r="X21" i="114"/>
  <c r="S21" i="114"/>
  <c r="Y20" i="114"/>
  <c r="V13" i="114"/>
  <c r="W13" i="114" s="1"/>
  <c r="V37" i="114"/>
  <c r="W37" i="114" s="1"/>
  <c r="Y37" i="114"/>
  <c r="X66" i="114"/>
  <c r="S66" i="114"/>
  <c r="Z66" i="114"/>
  <c r="X72" i="114"/>
  <c r="S72" i="114"/>
  <c r="T72" i="114"/>
  <c r="Z72" i="114"/>
  <c r="Y70" i="114"/>
  <c r="T32" i="114"/>
  <c r="T30" i="114"/>
  <c r="T79" i="114" s="1"/>
  <c r="AX2" i="114" s="1"/>
  <c r="V77" i="114"/>
  <c r="W77" i="114" s="1"/>
  <c r="Y19" i="114"/>
  <c r="V28" i="114"/>
  <c r="W28" i="114" s="1"/>
  <c r="Y28" i="114"/>
  <c r="T27" i="114"/>
  <c r="T69" i="114"/>
  <c r="S29" i="114"/>
  <c r="Z29" i="114"/>
  <c r="X29" i="114"/>
  <c r="T29" i="114"/>
  <c r="X14" i="114"/>
  <c r="Z14" i="114"/>
  <c r="S14" i="114"/>
  <c r="T67" i="114"/>
  <c r="T8" i="114"/>
  <c r="Y17" i="114"/>
  <c r="V18" i="114"/>
  <c r="Y18" i="114"/>
  <c r="Y25" i="114"/>
  <c r="X60" i="114"/>
  <c r="S60" i="114"/>
  <c r="Z60" i="114"/>
  <c r="T54" i="114"/>
  <c r="Z35" i="114"/>
  <c r="S35" i="114"/>
  <c r="X35" i="114"/>
  <c r="Z11" i="114"/>
  <c r="X11" i="114"/>
  <c r="S11" i="114"/>
  <c r="S79" i="114" s="1"/>
  <c r="AW2" i="114" s="1"/>
  <c r="B14" i="45" s="1"/>
  <c r="AT14" i="45" s="1"/>
  <c r="V58" i="114"/>
  <c r="W58" i="114" s="1"/>
  <c r="Y53" i="114"/>
  <c r="Y10" i="114"/>
  <c r="V16" i="114"/>
  <c r="W16" i="114" s="1"/>
  <c r="W76" i="110"/>
  <c r="W22" i="110"/>
  <c r="W46" i="110"/>
  <c r="W44" i="110"/>
  <c r="X48" i="110"/>
  <c r="S48" i="110"/>
  <c r="T48" i="110"/>
  <c r="Z48" i="110"/>
  <c r="X57" i="110"/>
  <c r="S57" i="110"/>
  <c r="Z57" i="110"/>
  <c r="T57" i="110"/>
  <c r="X49" i="110"/>
  <c r="S49" i="110"/>
  <c r="Z49" i="110"/>
  <c r="X37" i="110"/>
  <c r="Z37" i="110"/>
  <c r="S37" i="110"/>
  <c r="V36" i="110"/>
  <c r="W36" i="110" s="1"/>
  <c r="S14" i="110"/>
  <c r="Z14" i="110"/>
  <c r="X14" i="110"/>
  <c r="V22" i="110"/>
  <c r="X21" i="110"/>
  <c r="S21" i="110"/>
  <c r="Z21" i="110"/>
  <c r="X51" i="110"/>
  <c r="S51" i="110"/>
  <c r="Z51" i="110"/>
  <c r="Z33" i="110"/>
  <c r="X33" i="110"/>
  <c r="S33" i="110"/>
  <c r="V64" i="110"/>
  <c r="W64" i="110" s="1"/>
  <c r="Y50" i="110"/>
  <c r="V13" i="110"/>
  <c r="W13" i="110" s="1"/>
  <c r="Y76" i="110"/>
  <c r="V76" i="110"/>
  <c r="W45" i="110"/>
  <c r="V35" i="110"/>
  <c r="W35" i="110" s="1"/>
  <c r="Y19" i="110"/>
  <c r="S12" i="110"/>
  <c r="Z12" i="110"/>
  <c r="X12" i="110"/>
  <c r="Y24" i="110"/>
  <c r="X15" i="110"/>
  <c r="S15" i="110"/>
  <c r="Z15" i="110"/>
  <c r="X55" i="110"/>
  <c r="S55" i="110"/>
  <c r="Z55" i="110"/>
  <c r="X71" i="110"/>
  <c r="Z71" i="110"/>
  <c r="S71" i="110"/>
  <c r="X74" i="110"/>
  <c r="S74" i="110"/>
  <c r="T74" i="110"/>
  <c r="Z74" i="110"/>
  <c r="T55" i="110"/>
  <c r="Y64" i="110"/>
  <c r="V45" i="110"/>
  <c r="T49" i="110"/>
  <c r="V44" i="110"/>
  <c r="Y44" i="110"/>
  <c r="S9" i="110"/>
  <c r="Z9" i="110"/>
  <c r="X9" i="110"/>
  <c r="T15" i="110"/>
  <c r="X54" i="110"/>
  <c r="S54" i="110"/>
  <c r="T54" i="110"/>
  <c r="Z54" i="110"/>
  <c r="V46" i="110"/>
  <c r="X65" i="110"/>
  <c r="Z65" i="110"/>
  <c r="S65" i="110"/>
  <c r="V78" i="110"/>
  <c r="W78" i="110" s="1"/>
  <c r="Y32" i="110"/>
  <c r="X31" i="110"/>
  <c r="Z31" i="110"/>
  <c r="S31" i="110"/>
  <c r="V42" i="110"/>
  <c r="W42" i="110" s="1"/>
  <c r="X18" i="110"/>
  <c r="S18" i="110"/>
  <c r="Z18" i="110"/>
  <c r="Y36" i="110"/>
  <c r="S11" i="110"/>
  <c r="Z11" i="110"/>
  <c r="X11" i="110"/>
  <c r="AL11" i="110"/>
  <c r="AM10" i="110"/>
  <c r="V10" i="110"/>
  <c r="W10" i="110" s="1"/>
  <c r="V29" i="110"/>
  <c r="W29" i="110" s="1"/>
  <c r="Y29" i="110"/>
  <c r="S8" i="110"/>
  <c r="X8" i="110"/>
  <c r="Z8" i="110"/>
  <c r="T8" i="110"/>
  <c r="X63" i="110"/>
  <c r="S63" i="110"/>
  <c r="Z63" i="110"/>
  <c r="X59" i="110"/>
  <c r="Z59" i="110"/>
  <c r="S59" i="110"/>
  <c r="Y68" i="110"/>
  <c r="X53" i="110"/>
  <c r="Z53" i="110"/>
  <c r="S53" i="110"/>
  <c r="T14" i="110"/>
  <c r="Y70" i="110"/>
  <c r="Y30" i="110"/>
  <c r="V30" i="110"/>
  <c r="W30" i="110" s="1"/>
  <c r="Y35" i="110"/>
  <c r="R79" i="110"/>
  <c r="X7" i="110"/>
  <c r="S7" i="110"/>
  <c r="Z7" i="110"/>
  <c r="X72" i="110"/>
  <c r="S72" i="110"/>
  <c r="Z72" i="110"/>
  <c r="S38" i="110"/>
  <c r="Z38" i="110"/>
  <c r="X38" i="110"/>
  <c r="T63" i="110"/>
  <c r="S27" i="110"/>
  <c r="Z27" i="110"/>
  <c r="X27" i="110"/>
  <c r="S17" i="110"/>
  <c r="Z17" i="110"/>
  <c r="X17" i="110"/>
  <c r="X73" i="110"/>
  <c r="Z73" i="110"/>
  <c r="S73" i="110"/>
  <c r="Z25" i="110"/>
  <c r="X25" i="110"/>
  <c r="S25" i="110"/>
  <c r="Y10" i="110"/>
  <c r="X47" i="110"/>
  <c r="Z47" i="110"/>
  <c r="S47" i="110"/>
  <c r="T73" i="110"/>
  <c r="X26" i="110"/>
  <c r="S26" i="110"/>
  <c r="Z26" i="110"/>
  <c r="X66" i="110"/>
  <c r="S66" i="110"/>
  <c r="T66" i="110"/>
  <c r="Z66" i="110"/>
  <c r="X75" i="110"/>
  <c r="S75" i="110"/>
  <c r="Z75" i="110"/>
  <c r="X67" i="110"/>
  <c r="Z67" i="110"/>
  <c r="S67" i="110"/>
  <c r="Y52" i="110"/>
  <c r="W34" i="110"/>
  <c r="X60" i="110"/>
  <c r="S60" i="110"/>
  <c r="T60" i="110"/>
  <c r="Z60" i="110"/>
  <c r="Z77" i="110"/>
  <c r="X77" i="110"/>
  <c r="T77" i="110"/>
  <c r="S77" i="110"/>
  <c r="X69" i="110"/>
  <c r="S69" i="110"/>
  <c r="Z69" i="110"/>
  <c r="X61" i="110"/>
  <c r="Z61" i="110"/>
  <c r="S61" i="110"/>
  <c r="Y43" i="110"/>
  <c r="S41" i="110"/>
  <c r="X41" i="110"/>
  <c r="Z41" i="110"/>
  <c r="T26" i="110"/>
  <c r="Y58" i="110"/>
  <c r="T51" i="110"/>
  <c r="Y62" i="110"/>
  <c r="T21" i="110"/>
  <c r="V28" i="110"/>
  <c r="W28" i="110" s="1"/>
  <c r="V20" i="110"/>
  <c r="W20" i="110" s="1"/>
  <c r="V16" i="110"/>
  <c r="W16" i="110" s="1"/>
  <c r="T9" i="110"/>
  <c r="V39" i="110"/>
  <c r="W39" i="110" s="1"/>
  <c r="V23" i="110"/>
  <c r="W23" i="110" s="1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P82" i="114" l="1"/>
  <c r="D14" i="45"/>
  <c r="W51" i="114"/>
  <c r="W67" i="114"/>
  <c r="W72" i="114"/>
  <c r="W23" i="114"/>
  <c r="Y44" i="114"/>
  <c r="V44" i="114"/>
  <c r="W44" i="114" s="1"/>
  <c r="V14" i="114"/>
  <c r="W14" i="114" s="1"/>
  <c r="Y14" i="114"/>
  <c r="V79" i="114"/>
  <c r="V81" i="114" s="1"/>
  <c r="V30" i="114"/>
  <c r="W30" i="114" s="1"/>
  <c r="Y30" i="114"/>
  <c r="V66" i="114"/>
  <c r="W66" i="114" s="1"/>
  <c r="Y66" i="114"/>
  <c r="V47" i="114"/>
  <c r="W47" i="114" s="1"/>
  <c r="Y47" i="114"/>
  <c r="V43" i="114"/>
  <c r="W43" i="114" s="1"/>
  <c r="Y43" i="114"/>
  <c r="V42" i="114"/>
  <c r="W42" i="114" s="1"/>
  <c r="Y42" i="114"/>
  <c r="V67" i="114"/>
  <c r="Y67" i="114"/>
  <c r="V76" i="114"/>
  <c r="W76" i="114" s="1"/>
  <c r="Y76" i="114"/>
  <c r="W7" i="114"/>
  <c r="V49" i="114"/>
  <c r="W49" i="114" s="1"/>
  <c r="Y49" i="114"/>
  <c r="V27" i="114"/>
  <c r="W27" i="114" s="1"/>
  <c r="Y27" i="114"/>
  <c r="V32" i="114"/>
  <c r="W32" i="114" s="1"/>
  <c r="Y32" i="114"/>
  <c r="V39" i="114"/>
  <c r="W39" i="114" s="1"/>
  <c r="Y39" i="114"/>
  <c r="V61" i="114"/>
  <c r="W61" i="114" s="1"/>
  <c r="Y61" i="114"/>
  <c r="Y45" i="114"/>
  <c r="V45" i="114"/>
  <c r="W45" i="114" s="1"/>
  <c r="V51" i="114"/>
  <c r="Y51" i="114"/>
  <c r="V73" i="114"/>
  <c r="W73" i="114" s="1"/>
  <c r="Y73" i="114"/>
  <c r="V41" i="114"/>
  <c r="W41" i="114" s="1"/>
  <c r="Y41" i="114"/>
  <c r="V57" i="114"/>
  <c r="W57" i="114" s="1"/>
  <c r="Y57" i="114"/>
  <c r="V55" i="114"/>
  <c r="W55" i="114" s="1"/>
  <c r="Y55" i="114"/>
  <c r="V56" i="114"/>
  <c r="W56" i="114" s="1"/>
  <c r="Y56" i="114"/>
  <c r="V8" i="114"/>
  <c r="W8" i="114" s="1"/>
  <c r="Y8" i="114"/>
  <c r="V46" i="114"/>
  <c r="W46" i="114" s="1"/>
  <c r="Y46" i="114"/>
  <c r="V33" i="114"/>
  <c r="W33" i="114" s="1"/>
  <c r="Y33" i="114"/>
  <c r="V63" i="114"/>
  <c r="W63" i="114" s="1"/>
  <c r="Y63" i="114"/>
  <c r="V15" i="114"/>
  <c r="W15" i="114" s="1"/>
  <c r="Y15" i="114"/>
  <c r="V29" i="114"/>
  <c r="W29" i="114" s="1"/>
  <c r="Y29" i="114"/>
  <c r="V72" i="114"/>
  <c r="Y72" i="114"/>
  <c r="V21" i="114"/>
  <c r="W21" i="114" s="1"/>
  <c r="Y21" i="114"/>
  <c r="V69" i="114"/>
  <c r="W69" i="114" s="1"/>
  <c r="Y69" i="114"/>
  <c r="V62" i="114"/>
  <c r="W62" i="114" s="1"/>
  <c r="Y62" i="114"/>
  <c r="V60" i="114"/>
  <c r="W60" i="114" s="1"/>
  <c r="Y60" i="114"/>
  <c r="V34" i="114"/>
  <c r="W34" i="114" s="1"/>
  <c r="Y34" i="114"/>
  <c r="V23" i="114"/>
  <c r="Y23" i="114"/>
  <c r="AN9" i="114"/>
  <c r="AO9" i="114" s="1"/>
  <c r="V11" i="114"/>
  <c r="W11" i="114" s="1"/>
  <c r="Y11" i="114"/>
  <c r="Y35" i="114"/>
  <c r="V35" i="114"/>
  <c r="W35" i="114" s="1"/>
  <c r="AM10" i="114"/>
  <c r="AN10" i="114" s="1"/>
  <c r="AO10" i="114" s="1"/>
  <c r="AL11" i="114"/>
  <c r="V54" i="114"/>
  <c r="W54" i="114" s="1"/>
  <c r="Y54" i="114"/>
  <c r="V48" i="114"/>
  <c r="W48" i="114" s="1"/>
  <c r="Y48" i="114"/>
  <c r="V78" i="114"/>
  <c r="W78" i="114" s="1"/>
  <c r="Y78" i="114"/>
  <c r="V61" i="110"/>
  <c r="W61" i="110" s="1"/>
  <c r="Y61" i="110"/>
  <c r="V75" i="110"/>
  <c r="W75" i="110" s="1"/>
  <c r="Y75" i="110"/>
  <c r="V47" i="110"/>
  <c r="W47" i="110" s="1"/>
  <c r="Y47" i="110"/>
  <c r="V38" i="110"/>
  <c r="W38" i="110" s="1"/>
  <c r="Y38" i="110"/>
  <c r="V12" i="110"/>
  <c r="W12" i="110" s="1"/>
  <c r="Y12" i="110"/>
  <c r="AN10" i="110"/>
  <c r="AO10" i="110" s="1"/>
  <c r="V31" i="110"/>
  <c r="W31" i="110" s="1"/>
  <c r="Y31" i="110"/>
  <c r="Y41" i="110"/>
  <c r="V41" i="110"/>
  <c r="W41" i="110" s="1"/>
  <c r="V60" i="110"/>
  <c r="W60" i="110" s="1"/>
  <c r="Y60" i="110"/>
  <c r="AL12" i="110"/>
  <c r="AM11" i="110"/>
  <c r="AN11" i="110" s="1"/>
  <c r="AO11" i="110" s="1"/>
  <c r="V55" i="110"/>
  <c r="W55" i="110" s="1"/>
  <c r="Y55" i="110"/>
  <c r="V63" i="110"/>
  <c r="W63" i="110" s="1"/>
  <c r="Y63" i="110"/>
  <c r="V54" i="110"/>
  <c r="W54" i="110" s="1"/>
  <c r="Y54" i="110"/>
  <c r="V14" i="110"/>
  <c r="W14" i="110" s="1"/>
  <c r="Y14" i="110"/>
  <c r="V53" i="110"/>
  <c r="W53" i="110" s="1"/>
  <c r="Y53" i="110"/>
  <c r="V57" i="110"/>
  <c r="W57" i="110" s="1"/>
  <c r="Y57" i="110"/>
  <c r="V69" i="110"/>
  <c r="W69" i="110" s="1"/>
  <c r="Y69" i="110"/>
  <c r="V17" i="110"/>
  <c r="W17" i="110" s="1"/>
  <c r="Y17" i="110"/>
  <c r="V72" i="110"/>
  <c r="W72" i="110" s="1"/>
  <c r="Y72" i="110"/>
  <c r="V66" i="110"/>
  <c r="W66" i="110" s="1"/>
  <c r="Y66" i="110"/>
  <c r="V25" i="110"/>
  <c r="W25" i="110" s="1"/>
  <c r="Y25" i="110"/>
  <c r="V51" i="110"/>
  <c r="W51" i="110" s="1"/>
  <c r="Y51" i="110"/>
  <c r="V77" i="110"/>
  <c r="W77" i="110" s="1"/>
  <c r="Y77" i="110"/>
  <c r="V67" i="110"/>
  <c r="W67" i="110" s="1"/>
  <c r="Y67" i="110"/>
  <c r="V11" i="110"/>
  <c r="W11" i="110" s="1"/>
  <c r="Y11" i="110"/>
  <c r="V15" i="110"/>
  <c r="W15" i="110" s="1"/>
  <c r="Y15" i="110"/>
  <c r="V37" i="110"/>
  <c r="W37" i="110" s="1"/>
  <c r="Y37" i="110"/>
  <c r="V65" i="110"/>
  <c r="W65" i="110" s="1"/>
  <c r="Y65" i="110"/>
  <c r="V74" i="110"/>
  <c r="W74" i="110" s="1"/>
  <c r="Y74" i="110"/>
  <c r="T79" i="110"/>
  <c r="AX2" i="110" s="1"/>
  <c r="V21" i="110"/>
  <c r="W21" i="110" s="1"/>
  <c r="Y21" i="110"/>
  <c r="Y26" i="110"/>
  <c r="V26" i="110"/>
  <c r="W26" i="110" s="1"/>
  <c r="V27" i="110"/>
  <c r="W27" i="110" s="1"/>
  <c r="Y27" i="110"/>
  <c r="S79" i="110"/>
  <c r="AW2" i="110" s="1"/>
  <c r="B13" i="45" s="1"/>
  <c r="AT13" i="45" s="1"/>
  <c r="V7" i="110"/>
  <c r="Y7" i="110"/>
  <c r="V9" i="110"/>
  <c r="W9" i="110" s="1"/>
  <c r="Y9" i="110"/>
  <c r="V73" i="110"/>
  <c r="W73" i="110" s="1"/>
  <c r="Y73" i="110"/>
  <c r="V59" i="110"/>
  <c r="W59" i="110" s="1"/>
  <c r="Y59" i="110"/>
  <c r="V8" i="110"/>
  <c r="W8" i="110" s="1"/>
  <c r="Y8" i="110"/>
  <c r="V18" i="110"/>
  <c r="W18" i="110" s="1"/>
  <c r="Y18" i="110"/>
  <c r="V71" i="110"/>
  <c r="W71" i="110" s="1"/>
  <c r="Y71" i="110"/>
  <c r="V48" i="110"/>
  <c r="W48" i="110" s="1"/>
  <c r="Y48" i="110"/>
  <c r="V49" i="110"/>
  <c r="W49" i="110" s="1"/>
  <c r="Y49" i="110"/>
  <c r="V33" i="110"/>
  <c r="W33" i="110" s="1"/>
  <c r="Y33" i="110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O14" i="45" l="1"/>
  <c r="Q14" i="45" s="1"/>
  <c r="R14" i="45" s="1"/>
  <c r="W14" i="45" s="1"/>
  <c r="P14" i="45"/>
  <c r="V14" i="45" s="1"/>
  <c r="AC14" i="45"/>
  <c r="AD14" i="45" s="1"/>
  <c r="AL14" i="45" s="1"/>
  <c r="AB14" i="45"/>
  <c r="AK14" i="45" s="1"/>
  <c r="AU14" i="45"/>
  <c r="AW14" i="45" s="1"/>
  <c r="AZ14" i="45" s="1"/>
  <c r="AM11" i="114"/>
  <c r="AN11" i="114" s="1"/>
  <c r="AO11" i="114" s="1"/>
  <c r="AL12" i="114"/>
  <c r="P82" i="110"/>
  <c r="D13" i="45"/>
  <c r="V79" i="110"/>
  <c r="V81" i="110" s="1"/>
  <c r="W7" i="110"/>
  <c r="AM12" i="110"/>
  <c r="AL13" i="110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AP14" i="45" l="1"/>
  <c r="AM14" i="45"/>
  <c r="X14" i="45"/>
  <c r="AA14" i="45"/>
  <c r="AS14" i="45" s="1"/>
  <c r="AL13" i="114"/>
  <c r="AM12" i="114"/>
  <c r="AN12" i="114" s="1"/>
  <c r="AO12" i="114" s="1"/>
  <c r="O13" i="45"/>
  <c r="AU13" i="45" s="1"/>
  <c r="AW13" i="45" s="1"/>
  <c r="AZ13" i="45" s="1"/>
  <c r="AL14" i="110"/>
  <c r="AM13" i="110"/>
  <c r="AN13" i="110" s="1"/>
  <c r="AO13" i="110" s="1"/>
  <c r="AN12" i="110"/>
  <c r="AO12" i="110" s="1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Q14" i="45" l="1"/>
  <c r="AR14" i="45"/>
  <c r="AM13" i="114"/>
  <c r="AN13" i="114" s="1"/>
  <c r="AO13" i="114" s="1"/>
  <c r="AL14" i="114"/>
  <c r="AC13" i="45"/>
  <c r="AD13" i="45" s="1"/>
  <c r="AL13" i="45" s="1"/>
  <c r="P13" i="45"/>
  <c r="V13" i="45" s="1"/>
  <c r="AB13" i="45"/>
  <c r="AK13" i="45" s="1"/>
  <c r="Q13" i="45"/>
  <c r="R13" i="45" s="1"/>
  <c r="W13" i="45" s="1"/>
  <c r="AL15" i="110"/>
  <c r="AM14" i="110"/>
  <c r="AM14" i="99"/>
  <c r="AL15" i="99"/>
  <c r="P79" i="48"/>
  <c r="AY2" i="48" s="1"/>
  <c r="H12" i="45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L15" i="114" l="1"/>
  <c r="AM14" i="114"/>
  <c r="AN14" i="114" s="1"/>
  <c r="AO14" i="114" s="1"/>
  <c r="AM13" i="45"/>
  <c r="AP13" i="45"/>
  <c r="X13" i="45"/>
  <c r="AQ13" i="45" s="1"/>
  <c r="AA13" i="45"/>
  <c r="AR13" i="45"/>
  <c r="AN14" i="110"/>
  <c r="AO14" i="110" s="1"/>
  <c r="AM15" i="110"/>
  <c r="AN15" i="110" s="1"/>
  <c r="AO15" i="110" s="1"/>
  <c r="AL16" i="110"/>
  <c r="AF15" i="48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M15" i="114" l="1"/>
  <c r="AN15" i="114" s="1"/>
  <c r="AO15" i="114" s="1"/>
  <c r="AL16" i="114"/>
  <c r="AS13" i="45"/>
  <c r="AL17" i="110"/>
  <c r="AM16" i="110"/>
  <c r="AN16" i="110" s="1"/>
  <c r="AO16" i="110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B12" i="45" s="1"/>
  <c r="T79" i="48"/>
  <c r="AX2" i="48" s="1"/>
  <c r="D12" i="45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L17" i="114" l="1"/>
  <c r="AM16" i="114"/>
  <c r="AN16" i="114" s="1"/>
  <c r="AO16" i="114" s="1"/>
  <c r="AL18" i="110"/>
  <c r="AM17" i="110"/>
  <c r="AN17" i="110" s="1"/>
  <c r="AO17" i="110" s="1"/>
  <c r="AM7" i="48"/>
  <c r="AN7" i="48" s="1"/>
  <c r="AO7" i="48" s="1"/>
  <c r="AL18" i="99"/>
  <c r="AM17" i="99"/>
  <c r="AN17" i="99" s="1"/>
  <c r="AO17" i="99" s="1"/>
  <c r="B15" i="45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18" i="114" l="1"/>
  <c r="AM17" i="114"/>
  <c r="AN17" i="114" s="1"/>
  <c r="AO17" i="114" s="1"/>
  <c r="AM18" i="110"/>
  <c r="AN18" i="110" s="1"/>
  <c r="AO18" i="110" s="1"/>
  <c r="AL19" i="110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19" i="114" l="1"/>
  <c r="AM18" i="114"/>
  <c r="AN18" i="114" s="1"/>
  <c r="AO18" i="114" s="1"/>
  <c r="AL20" i="110"/>
  <c r="AM19" i="110"/>
  <c r="AN19" i="110" s="1"/>
  <c r="AO19" i="110" s="1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X12" i="45" s="1"/>
  <c r="AU12" i="45"/>
  <c r="N7" i="63"/>
  <c r="AL20" i="114" l="1"/>
  <c r="AM19" i="114"/>
  <c r="AN19" i="114" s="1"/>
  <c r="AO19" i="114" s="1"/>
  <c r="AL21" i="110"/>
  <c r="AM20" i="110"/>
  <c r="AN20" i="110" s="1"/>
  <c r="AO20" i="110" s="1"/>
  <c r="AM12" i="45"/>
  <c r="AR12" i="45" s="1"/>
  <c r="AM20" i="99"/>
  <c r="AN20" i="99" s="1"/>
  <c r="AO20" i="99" s="1"/>
  <c r="AL21" i="99"/>
  <c r="AA15" i="45"/>
  <c r="N8" i="63"/>
  <c r="AK20" i="48"/>
  <c r="AM19" i="48"/>
  <c r="AN19" i="48" s="1"/>
  <c r="AO19" i="48" s="1"/>
  <c r="AL23" i="48"/>
  <c r="AP12" i="45"/>
  <c r="AW12" i="45"/>
  <c r="AW15" i="45" s="1"/>
  <c r="AL21" i="114" l="1"/>
  <c r="AM20" i="114"/>
  <c r="AN20" i="114" s="1"/>
  <c r="AO20" i="114" s="1"/>
  <c r="AL22" i="110"/>
  <c r="AM21" i="110"/>
  <c r="AN21" i="110" s="1"/>
  <c r="AO21" i="110" s="1"/>
  <c r="AL22" i="99"/>
  <c r="AM21" i="99"/>
  <c r="AN21" i="99" s="1"/>
  <c r="AO21" i="99" s="1"/>
  <c r="AP15" i="45"/>
  <c r="AS12" i="45"/>
  <c r="AS15" i="45" s="1"/>
  <c r="K8" i="64" s="1"/>
  <c r="AL24" i="48"/>
  <c r="AK21" i="48"/>
  <c r="AM20" i="48"/>
  <c r="AN20" i="48" s="1"/>
  <c r="AO20" i="48" s="1"/>
  <c r="AQ12" i="45"/>
  <c r="AQ15" i="45" s="1"/>
  <c r="K7" i="64" s="1"/>
  <c r="AZ12" i="45"/>
  <c r="AZ15" i="45" s="1"/>
  <c r="AM21" i="114" l="1"/>
  <c r="AN21" i="114" s="1"/>
  <c r="AO21" i="114" s="1"/>
  <c r="AL22" i="114"/>
  <c r="AL23" i="110"/>
  <c r="AM22" i="110"/>
  <c r="AN22" i="110" s="1"/>
  <c r="AO22" i="110" s="1"/>
  <c r="AM22" i="99"/>
  <c r="AN22" i="99" s="1"/>
  <c r="AO22" i="99" s="1"/>
  <c r="AL23" i="99"/>
  <c r="AK22" i="48"/>
  <c r="AM21" i="48"/>
  <c r="AN21" i="48" s="1"/>
  <c r="AO21" i="48" s="1"/>
  <c r="AL25" i="48"/>
  <c r="AL23" i="114" l="1"/>
  <c r="AM22" i="114"/>
  <c r="AN22" i="114" s="1"/>
  <c r="AO22" i="114" s="1"/>
  <c r="AL24" i="110"/>
  <c r="AM23" i="110"/>
  <c r="AN23" i="110" s="1"/>
  <c r="AO23" i="110" s="1"/>
  <c r="AL24" i="99"/>
  <c r="AM23" i="99"/>
  <c r="AN23" i="99" s="1"/>
  <c r="AO23" i="99" s="1"/>
  <c r="AL26" i="48"/>
  <c r="AK23" i="48"/>
  <c r="AM22" i="48"/>
  <c r="AN22" i="48" s="1"/>
  <c r="AO22" i="48" s="1"/>
  <c r="AM23" i="114" l="1"/>
  <c r="AN23" i="114" s="1"/>
  <c r="AO23" i="114" s="1"/>
  <c r="AL24" i="114"/>
  <c r="AM24" i="110"/>
  <c r="AN24" i="110" s="1"/>
  <c r="AO24" i="110" s="1"/>
  <c r="AL25" i="110"/>
  <c r="AM24" i="99"/>
  <c r="AN24" i="99" s="1"/>
  <c r="AO24" i="99" s="1"/>
  <c r="AL25" i="99"/>
  <c r="AK24" i="48"/>
  <c r="AM23" i="48"/>
  <c r="AN23" i="48" s="1"/>
  <c r="AO23" i="48" s="1"/>
  <c r="AL27" i="48"/>
  <c r="AM24" i="114" l="1"/>
  <c r="AN24" i="114" s="1"/>
  <c r="AO24" i="114" s="1"/>
  <c r="AL25" i="114"/>
  <c r="AL26" i="110"/>
  <c r="AM25" i="110"/>
  <c r="AN25" i="110" s="1"/>
  <c r="AO25" i="110" s="1"/>
  <c r="AL26" i="99"/>
  <c r="AM25" i="99"/>
  <c r="AN25" i="99" s="1"/>
  <c r="AO25" i="99" s="1"/>
  <c r="AL28" i="48"/>
  <c r="AK25" i="48"/>
  <c r="AM24" i="48"/>
  <c r="AN24" i="48" s="1"/>
  <c r="AO24" i="48" s="1"/>
  <c r="AL26" i="114" l="1"/>
  <c r="AM25" i="114"/>
  <c r="AN25" i="114" s="1"/>
  <c r="AO25" i="114" s="1"/>
  <c r="AM26" i="110"/>
  <c r="AN26" i="110" s="1"/>
  <c r="AO26" i="110" s="1"/>
  <c r="AL27" i="110"/>
  <c r="AL27" i="99"/>
  <c r="AM26" i="99"/>
  <c r="AN26" i="99" s="1"/>
  <c r="AO26" i="99" s="1"/>
  <c r="AK26" i="48"/>
  <c r="AM25" i="48"/>
  <c r="AN25" i="48" s="1"/>
  <c r="AO25" i="48" s="1"/>
  <c r="AL29" i="48"/>
  <c r="AL27" i="114" l="1"/>
  <c r="AM26" i="114"/>
  <c r="AN26" i="114" s="1"/>
  <c r="AO26" i="114" s="1"/>
  <c r="AL28" i="110"/>
  <c r="AM27" i="110"/>
  <c r="AN27" i="110" s="1"/>
  <c r="AO27" i="110" s="1"/>
  <c r="AL28" i="99"/>
  <c r="AM27" i="99"/>
  <c r="AN27" i="99" s="1"/>
  <c r="AO27" i="99" s="1"/>
  <c r="AL30" i="48"/>
  <c r="AK27" i="48"/>
  <c r="AM26" i="48"/>
  <c r="AN26" i="48" s="1"/>
  <c r="AO26" i="48" s="1"/>
  <c r="AM27" i="114" l="1"/>
  <c r="AN27" i="114" s="1"/>
  <c r="AO27" i="114" s="1"/>
  <c r="AL28" i="114"/>
  <c r="AM28" i="110"/>
  <c r="AN28" i="110" s="1"/>
  <c r="AO28" i="110" s="1"/>
  <c r="AL29" i="110"/>
  <c r="AL29" i="99"/>
  <c r="AM28" i="99"/>
  <c r="AN28" i="99" s="1"/>
  <c r="AO28" i="99" s="1"/>
  <c r="AK28" i="48"/>
  <c r="AM27" i="48"/>
  <c r="AN27" i="48" s="1"/>
  <c r="AO27" i="48" s="1"/>
  <c r="AL31" i="48"/>
  <c r="AL29" i="114" l="1"/>
  <c r="AM28" i="114"/>
  <c r="AN28" i="114" s="1"/>
  <c r="AO28" i="114" s="1"/>
  <c r="AM29" i="110"/>
  <c r="AN29" i="110" s="1"/>
  <c r="AO29" i="110" s="1"/>
  <c r="AL30" i="110"/>
  <c r="AL30" i="99"/>
  <c r="AM29" i="99"/>
  <c r="AN29" i="99" s="1"/>
  <c r="AO29" i="99" s="1"/>
  <c r="AL32" i="48"/>
  <c r="AK29" i="48"/>
  <c r="AM28" i="48"/>
  <c r="AN28" i="48" s="1"/>
  <c r="AO28" i="48" s="1"/>
  <c r="AM29" i="114" l="1"/>
  <c r="AN29" i="114" s="1"/>
  <c r="AO29" i="114" s="1"/>
  <c r="AL30" i="114"/>
  <c r="AL31" i="110"/>
  <c r="AM30" i="110"/>
  <c r="AN30" i="110" s="1"/>
  <c r="AO30" i="110" s="1"/>
  <c r="AL31" i="99"/>
  <c r="AM30" i="99"/>
  <c r="AN30" i="99" s="1"/>
  <c r="AO30" i="99" s="1"/>
  <c r="AK30" i="48"/>
  <c r="AM29" i="48"/>
  <c r="AN29" i="48" s="1"/>
  <c r="AO29" i="48" s="1"/>
  <c r="AL33" i="48"/>
  <c r="AM30" i="114" l="1"/>
  <c r="AN30" i="114" s="1"/>
  <c r="AO30" i="114" s="1"/>
  <c r="AL31" i="114"/>
  <c r="AL32" i="110"/>
  <c r="AM31" i="110"/>
  <c r="AN31" i="110" s="1"/>
  <c r="AO31" i="110" s="1"/>
  <c r="AL32" i="99"/>
  <c r="AM31" i="99"/>
  <c r="AN31" i="99" s="1"/>
  <c r="AO31" i="99" s="1"/>
  <c r="AL34" i="48"/>
  <c r="AK31" i="48"/>
  <c r="AM30" i="48"/>
  <c r="AN30" i="48" s="1"/>
  <c r="AO30" i="48" s="1"/>
  <c r="AL32" i="114" l="1"/>
  <c r="AM31" i="114"/>
  <c r="AN31" i="114" s="1"/>
  <c r="AO31" i="114" s="1"/>
  <c r="AM32" i="110"/>
  <c r="AN32" i="110" s="1"/>
  <c r="AO32" i="110" s="1"/>
  <c r="AL33" i="110"/>
  <c r="AM32" i="99"/>
  <c r="AN32" i="99" s="1"/>
  <c r="AO32" i="99" s="1"/>
  <c r="AL33" i="99"/>
  <c r="AK32" i="48"/>
  <c r="AM31" i="48"/>
  <c r="AN31" i="48" s="1"/>
  <c r="AO31" i="48" s="1"/>
  <c r="AL35" i="48"/>
  <c r="AL33" i="114" l="1"/>
  <c r="AM32" i="114"/>
  <c r="AN32" i="114" s="1"/>
  <c r="AO32" i="114" s="1"/>
  <c r="AL34" i="110"/>
  <c r="AM33" i="110"/>
  <c r="AN33" i="110" s="1"/>
  <c r="AO33" i="110" s="1"/>
  <c r="AL34" i="99"/>
  <c r="AM33" i="99"/>
  <c r="AN33" i="99" s="1"/>
  <c r="AO33" i="99" s="1"/>
  <c r="AL36" i="48"/>
  <c r="AK33" i="48"/>
  <c r="AM32" i="48"/>
  <c r="AN32" i="48" s="1"/>
  <c r="AO32" i="48" s="1"/>
  <c r="AL34" i="114" l="1"/>
  <c r="AM33" i="114"/>
  <c r="AN33" i="114" s="1"/>
  <c r="AO33" i="114" s="1"/>
  <c r="AL35" i="110"/>
  <c r="AM34" i="110"/>
  <c r="AN34" i="110" s="1"/>
  <c r="AO34" i="110" s="1"/>
  <c r="AL35" i="99"/>
  <c r="AM34" i="99"/>
  <c r="AN34" i="99" s="1"/>
  <c r="AO34" i="99" s="1"/>
  <c r="AK34" i="48"/>
  <c r="AM33" i="48"/>
  <c r="AN33" i="48" s="1"/>
  <c r="AO33" i="48" s="1"/>
  <c r="AL37" i="48"/>
  <c r="AM34" i="114" l="1"/>
  <c r="AN34" i="114" s="1"/>
  <c r="AO34" i="114" s="1"/>
  <c r="AL35" i="114"/>
  <c r="AM35" i="110"/>
  <c r="AN35" i="110" s="1"/>
  <c r="AO35" i="110" s="1"/>
  <c r="AL36" i="110"/>
  <c r="AL36" i="99"/>
  <c r="AM35" i="99"/>
  <c r="AN35" i="99" s="1"/>
  <c r="AO35" i="99" s="1"/>
  <c r="AL38" i="48"/>
  <c r="AK35" i="48"/>
  <c r="AM34" i="48"/>
  <c r="AN34" i="48" s="1"/>
  <c r="AO34" i="48" s="1"/>
  <c r="AL36" i="114" l="1"/>
  <c r="AM35" i="114"/>
  <c r="AN35" i="114" s="1"/>
  <c r="AO35" i="114" s="1"/>
  <c r="AL37" i="110"/>
  <c r="AM36" i="110"/>
  <c r="AN36" i="110" s="1"/>
  <c r="AO36" i="110" s="1"/>
  <c r="AL37" i="99"/>
  <c r="AM36" i="99"/>
  <c r="AN36" i="99" s="1"/>
  <c r="AO36" i="99" s="1"/>
  <c r="AK36" i="48"/>
  <c r="AM35" i="48"/>
  <c r="AN35" i="48" s="1"/>
  <c r="AO35" i="48" s="1"/>
  <c r="AL39" i="48"/>
  <c r="AM36" i="114" l="1"/>
  <c r="AN36" i="114" s="1"/>
  <c r="AO36" i="114" s="1"/>
  <c r="AL37" i="114"/>
  <c r="AL38" i="110"/>
  <c r="AM37" i="110"/>
  <c r="AN37" i="110" s="1"/>
  <c r="AO37" i="110" s="1"/>
  <c r="AM37" i="99"/>
  <c r="AN37" i="99" s="1"/>
  <c r="AO37" i="99" s="1"/>
  <c r="AL38" i="99"/>
  <c r="AL40" i="48"/>
  <c r="AK37" i="48"/>
  <c r="AM36" i="48"/>
  <c r="AN36" i="48" s="1"/>
  <c r="AO36" i="48" s="1"/>
  <c r="AM37" i="114" l="1"/>
  <c r="AN37" i="114" s="1"/>
  <c r="AO37" i="114" s="1"/>
  <c r="AL38" i="114"/>
  <c r="AL39" i="110"/>
  <c r="AM38" i="110"/>
  <c r="AN38" i="110" s="1"/>
  <c r="AO38" i="110" s="1"/>
  <c r="AM38" i="99"/>
  <c r="AN38" i="99" s="1"/>
  <c r="AO38" i="99" s="1"/>
  <c r="AL39" i="99"/>
  <c r="AK38" i="48"/>
  <c r="AM37" i="48"/>
  <c r="AN37" i="48" s="1"/>
  <c r="AO37" i="48" s="1"/>
  <c r="AL41" i="48"/>
  <c r="AM38" i="114" l="1"/>
  <c r="AN38" i="114" s="1"/>
  <c r="AO38" i="114" s="1"/>
  <c r="AL39" i="114"/>
  <c r="AL40" i="110"/>
  <c r="AM39" i="110"/>
  <c r="AN39" i="110" s="1"/>
  <c r="AO39" i="110" s="1"/>
  <c r="AM39" i="99"/>
  <c r="AN39" i="99" s="1"/>
  <c r="AO39" i="99" s="1"/>
  <c r="AL40" i="99"/>
  <c r="AL42" i="48"/>
  <c r="AK39" i="48"/>
  <c r="AM38" i="48"/>
  <c r="AN38" i="48" s="1"/>
  <c r="AO38" i="48" s="1"/>
  <c r="AM39" i="114" l="1"/>
  <c r="AN39" i="114" s="1"/>
  <c r="AO39" i="114" s="1"/>
  <c r="AL40" i="114"/>
  <c r="AM40" i="110"/>
  <c r="AN40" i="110" s="1"/>
  <c r="AO40" i="110" s="1"/>
  <c r="AL41" i="110"/>
  <c r="AM40" i="99"/>
  <c r="AN40" i="99" s="1"/>
  <c r="AO40" i="99" s="1"/>
  <c r="AL41" i="99"/>
  <c r="AK40" i="48"/>
  <c r="AM39" i="48"/>
  <c r="AN39" i="48" s="1"/>
  <c r="AO39" i="48" s="1"/>
  <c r="AL43" i="48"/>
  <c r="AL44" i="48" s="1"/>
  <c r="AL41" i="114" l="1"/>
  <c r="AM40" i="114"/>
  <c r="AN40" i="114" s="1"/>
  <c r="AO40" i="114" s="1"/>
  <c r="AM41" i="110"/>
  <c r="AN41" i="110" s="1"/>
  <c r="AO41" i="110" s="1"/>
  <c r="AL42" i="110"/>
  <c r="AM41" i="99"/>
  <c r="AN41" i="99" s="1"/>
  <c r="AO41" i="99" s="1"/>
  <c r="AL42" i="99"/>
  <c r="AK41" i="48"/>
  <c r="AM40" i="48"/>
  <c r="AN40" i="48" s="1"/>
  <c r="AO40" i="48" s="1"/>
  <c r="AL42" i="114" l="1"/>
  <c r="AM41" i="114"/>
  <c r="AN41" i="114" s="1"/>
  <c r="AO41" i="114" s="1"/>
  <c r="AL43" i="110"/>
  <c r="AM42" i="110"/>
  <c r="AN42" i="110" s="1"/>
  <c r="AO42" i="110" s="1"/>
  <c r="AM42" i="99"/>
  <c r="AN42" i="99" s="1"/>
  <c r="AO42" i="99" s="1"/>
  <c r="AL43" i="99"/>
  <c r="AK42" i="48"/>
  <c r="AM41" i="48"/>
  <c r="AN41" i="48" s="1"/>
  <c r="AO41" i="48" s="1"/>
  <c r="AL43" i="114" l="1"/>
  <c r="AM42" i="114"/>
  <c r="AN42" i="114" s="1"/>
  <c r="AO42" i="114" s="1"/>
  <c r="AL44" i="110"/>
  <c r="AM44" i="110" s="1"/>
  <c r="AM43" i="110"/>
  <c r="AN43" i="110" s="1"/>
  <c r="AO43" i="110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M43" i="114" l="1"/>
  <c r="AN43" i="114" s="1"/>
  <c r="AO43" i="114" s="1"/>
  <c r="AL44" i="114"/>
  <c r="AM44" i="114" s="1"/>
  <c r="AN44" i="110"/>
  <c r="AO44" i="110" s="1"/>
  <c r="AO45" i="110" s="1"/>
  <c r="BA2" i="110" s="1"/>
  <c r="BE13" i="45" s="1"/>
  <c r="AM45" i="110"/>
  <c r="BB2" i="110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4" i="114" l="1"/>
  <c r="AO44" i="114" s="1"/>
  <c r="AO45" i="114" s="1"/>
  <c r="BA2" i="114" s="1"/>
  <c r="BE14" i="45" s="1"/>
  <c r="AM45" i="114"/>
  <c r="BB2" i="114" s="1"/>
  <c r="AN43" i="48"/>
  <c r="AO43" i="48" s="1"/>
  <c r="AO45" i="48" s="1"/>
  <c r="BA2" i="48" s="1"/>
  <c r="BE12" i="45" s="1"/>
  <c r="BF15" i="45" l="1"/>
  <c r="K9" i="64" s="1"/>
  <c r="BE15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tc={1EB236BF-96EC-49B5-8BA4-499B9E065752}</author>
    <author>tc={F3805313-9594-4879-97F7-C7F6BC6FA04D}</author>
    <author>tc={79E2D205-4C0A-4CD0-B8C3-196BEA6A5A96}</author>
    <author>tc={D0D8592F-0566-41B7-8A79-9192C7826000}</author>
    <author>tc={B089C921-FDC4-4A6B-B948-ED102ADEB184}</author>
    <author>tc={7BCC3E1E-8909-4463-B312-7092CF863315}</author>
    <author>tc={59B4252D-BCDF-40FF-A174-24027E009A53}</author>
    <author>tc={D94D7604-232A-4310-AFDC-6999DCD981A4}</author>
    <author>tc={381BD25E-DD99-4D07-921D-0CCE48A78B96}</author>
    <author>tc={ADD193DE-B1A0-4122-A453-CDC2ED8CE3E5}</author>
    <author>tc={A6ADD465-29B6-48E2-82FA-7E9E8A8B6D93}</author>
    <author>tc={05D3C548-1DBA-4934-A29D-3298C9BD3481}</author>
  </authors>
  <commentList>
    <comment ref="B6" authorId="0" shapeId="0" xr:uid="{1EB236BF-96EC-49B5-8BA4-499B9E06575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3805313-9594-4879-97F7-C7F6BC6FA04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79E2D205-4C0A-4CD0-B8C3-196BEA6A5A96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0D8592F-0566-41B7-8A79-9192C7826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B089C921-FDC4-4A6B-B948-ED102ADEB1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7BCC3E1E-8909-4463-B312-7092CF863315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59B4252D-BCDF-40FF-A174-24027E009A53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D94D7604-232A-4310-AFDC-6999DCD981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381BD25E-DD99-4D07-921D-0CCE48A78B9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ADD193DE-B1A0-4122-A453-CDC2ED8CE3E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A6ADD465-29B6-48E2-82FA-7E9E8A8B6D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5D3C548-1DBA-4934-A29D-3298C9BD348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tc={73461C93-3BEE-4D26-AF41-9BE42C1833D7}</author>
    <author>tc={576D820F-6730-4C54-8E55-9C2E502D84BB}</author>
    <author>tc={E2B54755-540C-42DA-B87D-2193FF865881}</author>
    <author>tc={3FDA59CC-BCBD-43DE-8F30-0097A9497158}</author>
    <author>tc={7F7039EF-AB0D-4827-81E6-50F548BB3FF9}</author>
    <author>tc={E5B21D69-5054-464D-A064-505BBBD2F28A}</author>
    <author>tc={F34D2BEF-E3FF-45EC-B605-7369A06E9688}</author>
    <author>tc={72C7E3B9-E599-4314-8CB5-8D2BD0E161D9}</author>
    <author>tc={BD320EE2-E6DF-4B12-B6A5-C0E38FCFB9BF}</author>
    <author>tc={BA94528B-04A9-40A8-BB3A-BE8FD34AB5AC}</author>
    <author>tc={2A48AA0E-422E-4E35-A535-B30C2EB21269}</author>
    <author>tc={4BD97DE3-71E1-4DD6-B6CD-67BD557FAEF2}</author>
  </authors>
  <commentList>
    <comment ref="B6" authorId="0" shapeId="0" xr:uid="{73461C93-3BEE-4D26-AF41-9BE42C1833D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576D820F-6730-4C54-8E55-9C2E502D84B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E2B54755-540C-42DA-B87D-2193FF86588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3FDA59CC-BCBD-43DE-8F30-0097A949715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7F7039EF-AB0D-4827-81E6-50F548BB3FF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E5B21D69-5054-464D-A064-505BBBD2F28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F34D2BEF-E3FF-45EC-B605-7369A06E9688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72C7E3B9-E599-4314-8CB5-8D2BD0E161D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D320EE2-E6DF-4B12-B6A5-C0E38FCFB9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BA94528B-04A9-40A8-BB3A-BE8FD34AB5A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2A48AA0E-422E-4E35-A535-B30C2EB212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4BD97DE3-71E1-4DD6-B6CD-67BD557FAEF2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sharedStrings.xml><?xml version="1.0" encoding="utf-8"?>
<sst xmlns="http://schemas.openxmlformats.org/spreadsheetml/2006/main" count="1721" uniqueCount="440">
  <si>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</si>
  <si>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</si>
  <si>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</si>
  <si>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</si>
  <si>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</si>
  <si>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</si>
  <si>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</si>
  <si>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</si>
  <si>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</si>
  <si>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</si>
  <si>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</si>
  <si>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</si>
  <si>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</si>
  <si>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</si>
  <si>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</si>
  <si>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</si>
  <si>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</si>
  <si>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</si>
  <si>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</si>
  <si>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</si>
  <si>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</si>
  <si>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</si>
  <si>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</si>
  <si>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</si>
  <si>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</si>
  <si>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</si>
  <si>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</si>
  <si>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</si>
  <si>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</si>
  <si>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</si>
  <si>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</si>
  <si>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</si>
  <si>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</si>
  <si>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</si>
  <si>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</si>
  <si>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</si>
  <si>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</si>
  <si>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</si>
  <si>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</si>
  <si>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</si>
  <si>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</si>
  <si>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</si>
  <si>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</si>
  <si>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</si>
  <si>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</si>
  <si>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</si>
  <si>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</si>
  <si>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</si>
  <si>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</si>
  <si>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</si>
  <si>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</si>
  <si>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</si>
  <si>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</si>
  <si>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</si>
  <si>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</si>
  <si>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</si>
  <si>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</si>
  <si>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</si>
  <si>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</si>
  <si>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</si>
  <si>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</si>
  <si>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</si>
  <si>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</si>
  <si>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</si>
  <si>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</si>
  <si>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</si>
  <si>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</si>
  <si>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</si>
  <si>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</si>
  <si>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</si>
  <si>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</si>
  <si>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</si>
  <si>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</si>
  <si>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</si>
  <si>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</si>
  <si>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</si>
  <si>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</si>
  <si>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</si>
  <si>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</si>
  <si>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</si>
  <si>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</si>
  <si>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</si>
  <si>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</si>
  <si>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</si>
  <si>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</si>
  <si>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</si>
  <si>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</si>
  <si>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</si>
  <si>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</si>
  <si>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</si>
  <si>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</si>
  <si>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</si>
  <si>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</si>
  <si>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</si>
  <si>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</si>
  <si>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</si>
  <si>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</si>
  <si>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</si>
  <si>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</si>
  <si>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</si>
  <si>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</si>
  <si>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</si>
  <si>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</si>
  <si>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</si>
  <si>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</si>
  <si>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</si>
  <si>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</si>
  <si>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</si>
  <si>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</si>
  <si>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</si>
  <si>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</si>
  <si>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</si>
  <si>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</si>
  <si>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</si>
  <si>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</si>
  <si>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</si>
  <si>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</si>
  <si>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</si>
  <si>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</si>
  <si>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</si>
  <si>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</si>
  <si>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</si>
  <si>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</si>
  <si>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</si>
  <si>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</si>
  <si>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</si>
  <si>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</si>
  <si>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</si>
  <si>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</si>
  <si>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</si>
  <si>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</si>
  <si>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</si>
  <si>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</si>
  <si>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</si>
  <si>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</si>
  <si>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</si>
  <si>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</si>
  <si>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</si>
  <si>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</si>
  <si>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</si>
  <si>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</si>
  <si>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</si>
  <si>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</si>
  <si>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</si>
  <si>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</si>
  <si>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</si>
  <si>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</si>
  <si>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</si>
  <si>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</si>
  <si>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</si>
  <si>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</si>
  <si>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</si>
  <si>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</si>
  <si>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</si>
  <si>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</si>
  <si>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</si>
  <si>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</si>
  <si>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</si>
  <si>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</si>
  <si>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</si>
  <si>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</si>
  <si>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</si>
  <si>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</si>
  <si>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</si>
  <si>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</si>
  <si>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</si>
  <si>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</si>
  <si>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</si>
  <si>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</si>
  <si>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</si>
  <si>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</si>
  <si>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</si>
  <si>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</si>
  <si>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</si>
  <si>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</si>
  <si>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</si>
  <si>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</si>
  <si>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</si>
  <si>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</si>
  <si>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</si>
  <si>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</si>
  <si>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</si>
  <si>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</si>
  <si>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</si>
  <si>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</si>
  <si>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</si>
  <si>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</si>
  <si>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</si>
  <si>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</si>
  <si>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</si>
  <si>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</si>
  <si>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</si>
  <si>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</si>
  <si>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</si>
  <si>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</si>
  <si>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</si>
  <si>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</si>
  <si>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</si>
  <si>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</si>
  <si>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</si>
  <si>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</si>
  <si>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</si>
  <si>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</si>
  <si>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</si>
  <si>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</si>
  <si>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</si>
  <si>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</si>
  <si>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</si>
  <si>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</si>
  <si>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</si>
  <si>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</si>
  <si>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</si>
  <si>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</si>
  <si>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</si>
  <si>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</si>
  <si>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</si>
  <si>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</si>
  <si>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</si>
  <si>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</si>
  <si>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</si>
  <si>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</si>
  <si>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</si>
  <si>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</si>
  <si>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</si>
  <si>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</si>
  <si>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</si>
  <si>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</si>
  <si>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</si>
  <si>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</si>
  <si>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</si>
  <si>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</si>
  <si>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</si>
  <si>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</si>
  <si>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</si>
  <si>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</si>
  <si>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</si>
  <si>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</si>
  <si>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</si>
  <si>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</si>
  <si>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</si>
  <si>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</si>
  <si>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</si>
  <si>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</si>
  <si>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</si>
  <si>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</si>
  <si>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</si>
  <si>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</si>
  <si>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</si>
  <si>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</si>
  <si>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</si>
  <si>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</si>
  <si>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</si>
  <si>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</si>
  <si>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</si>
  <si>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</si>
  <si>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</si>
  <si>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</si>
  <si>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</si>
  <si>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</si>
  <si>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</si>
  <si>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</si>
  <si>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</si>
  <si>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</si>
  <si>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</si>
  <si>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</si>
  <si>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</si>
  <si>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</si>
  <si>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</si>
  <si>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</si>
  <si>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</si>
  <si>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</si>
  <si>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</si>
  <si>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</si>
  <si>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</si>
  <si>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</si>
  <si>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</si>
  <si>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</si>
  <si>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</si>
  <si>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</si>
  <si>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</si>
  <si>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</si>
  <si>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</si>
  <si>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</si>
  <si>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</si>
  <si>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</si>
  <si>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</si>
  <si>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</si>
  <si>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</si>
  <si>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</si>
  <si>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</si>
  <si>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</si>
  <si>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</si>
  <si>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</si>
  <si>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</si>
  <si>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</si>
  <si>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</si>
  <si>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</si>
  <si>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</si>
  <si>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</si>
  <si>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</si>
  <si>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</si>
  <si>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</si>
  <si>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</si>
  <si>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</si>
  <si>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</si>
  <si>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</si>
  <si>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</si>
  <si>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</si>
  <si>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</si>
  <si>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</si>
  <si>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</si>
  <si>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</si>
  <si>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</si>
  <si>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</si>
  <si>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</si>
  <si>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</si>
  <si>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</si>
  <si>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</si>
  <si>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</si>
  <si>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</si>
  <si>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</si>
  <si>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</si>
  <si>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</si>
  <si>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</si>
  <si>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</si>
  <si>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</si>
  <si>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</si>
  <si>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</si>
  <si>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</si>
  <si>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</si>
  <si>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</si>
  <si>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</si>
  <si>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</si>
  <si>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</si>
  <si>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</si>
  <si>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</si>
  <si>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</si>
  <si>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</si>
  <si>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</si>
  <si>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</si>
  <si>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</si>
  <si>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</si>
  <si>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</si>
  <si>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</si>
  <si>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</si>
  <si>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</si>
  <si>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</si>
  <si>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</si>
  <si>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</si>
  <si>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</si>
  <si>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</si>
  <si>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</si>
  <si>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</si>
  <si>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</si>
  <si>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</si>
  <si>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</si>
  <si>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</si>
  <si>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</si>
  <si>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</si>
  <si>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</si>
  <si>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</si>
  <si>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</si>
  <si>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</si>
  <si>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</si>
  <si>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</si>
  <si>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</si>
  <si>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</si>
  <si>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</si>
  <si>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</si>
  <si>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</si>
  <si>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</si>
  <si>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</si>
  <si>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</si>
  <si>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</si>
  <si>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</si>
  <si>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</si>
  <si>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</si>
  <si>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</si>
  <si>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</si>
  <si>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</si>
  <si>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</si>
  <si>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</si>
  <si>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</si>
  <si>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</si>
  <si>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</si>
  <si>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</si>
  <si>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</si>
  <si>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</si>
  <si>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</si>
  <si>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</si>
  <si>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</si>
  <si>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</si>
  <si>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</si>
  <si>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</si>
  <si>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</si>
  <si>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</si>
  <si>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</si>
  <si>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</si>
  <si>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</si>
  <si>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</si>
  <si>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</si>
  <si>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</si>
  <si>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</si>
  <si>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</si>
  <si>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</si>
  <si>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</si>
  <si>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</si>
  <si>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</si>
  <si>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</si>
  <si>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</si>
  <si>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</si>
  <si>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</si>
  <si>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</si>
  <si>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</si>
  <si>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</si>
  <si>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</si>
  <si>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</si>
  <si>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</si>
  <si>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</si>
  <si>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</si>
  <si>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</si>
  <si>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</si>
  <si>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</si>
  <si>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</si>
  <si>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</si>
  <si>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</si>
  <si>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</si>
  <si>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</si>
  <si>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</si>
  <si>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</si>
  <si>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</si>
  <si>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</si>
  <si>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</si>
  <si>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</si>
  <si>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</si>
  <si>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</si>
  <si>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</si>
  <si>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</si>
  <si>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3</t>
  </si>
  <si>
    <t>AHU OPTIONS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</si>
</sst>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5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264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16" fillId="0" borderId="15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54" fillId="0" borderId="13" xfId="0" applyFont="1" applyBorder="1" applyAlignment="1">
      <alignment horizontal="center" vertical="center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40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51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438150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628650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8" totalsRowShown="0" headerRowDxfId="511" dataDxfId="509" headerRowBorderDxfId="510" tableBorderDxfId="508" totalsRowBorderDxfId="507">
  <autoFilter ref="B25:T28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06"/>
    <tableColumn id="18" xr3:uid="{366DBBF2-20A8-4D60-93FE-3D5A81578DB0}" name="DISCHARGE CONFIG" dataDxfId="505"/>
    <tableColumn id="19" xr3:uid="{0CEE3843-A0BB-4053-8B60-160B8D23C3A1}" name="RETURN CONFIG" dataDxfId="504"/>
    <tableColumn id="2" xr3:uid="{A907651C-1565-4CA5-8395-FBF4A48F82DF}" name="SUPPLY FAN VFD" dataDxfId="503"/>
    <tableColumn id="3" xr3:uid="{A1BA734B-6B37-4C81-BB00-B96C74EABC9E}" name="RETURN FAN" dataDxfId="502"/>
    <tableColumn id="4" xr3:uid="{1A2A118E-5D50-4E1F-8178-C4EFA7C8AFB2}" name="RETURN FAN VFD" dataDxfId="501"/>
    <tableColumn id="5" xr3:uid="{9789DB90-BB58-4C9A-84AA-733010BD2ABF}" name="ECONOMIZER" dataDxfId="500"/>
    <tableColumn id="6" xr3:uid="{7F342EF1-E9D4-4167-9F2C-FB7ECDD16AC5}" name="HEAT RECOVERY" dataDxfId="499"/>
    <tableColumn id="7" xr3:uid="{26A7AB30-2773-4D3A-B047-D020B43C98AD}" name="PREHEAT COIL" dataDxfId="498"/>
    <tableColumn id="8" xr3:uid="{698E1BCF-A037-4D50-BC22-BF171E579A40}" name="REHEAT COIL" dataDxfId="497"/>
    <tableColumn id="9" xr3:uid="{E1206B26-EAF7-482D-90C7-BD9B25AC7DF4}" name="SUPPLY SMOKE" dataDxfId="496"/>
    <tableColumn id="10" xr3:uid="{3C1D9E90-D1DB-4131-ACF1-AE091BA0F570}" name="RETURN SMOKE" dataDxfId="495"/>
    <tableColumn id="11" xr3:uid="{42FFA5A3-94D2-4855-A74E-B15F86BB7CA6}" name="SINGLE POWER" dataDxfId="494"/>
    <tableColumn id="12" xr3:uid="{A9CF85BF-E075-40CD-A3D8-8F54B4742E17}" name="UV LIGHTS" dataDxfId="493"/>
    <tableColumn id="13" xr3:uid="{E6598DEC-673D-4041-8DFD-65E1B4E86C00}" name="PRE FILTER " dataDxfId="492"/>
    <tableColumn id="14" xr3:uid="{A42CA4AB-ECDB-4F8E-9F88-493EE19C6264}" name="FINAL FILTER" dataDxfId="491"/>
    <tableColumn id="15" xr3:uid="{7E317255-F402-493B-BA5E-6339E59F2B79}" name="ATFP DAMPERS" dataDxfId="490"/>
    <tableColumn id="16" xr3:uid="{F81087CC-928B-4AE1-A5CB-B814D3F9D515}" name="HUMIDIFIER" dataDxfId="489"/>
    <tableColumn id="17" xr3:uid="{6D8362BD-1A4B-4899-83CC-017029BF5237}" name="HEPA FILTER" dataDxfId="48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486" tableBorderDxfId="485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484" totalsRowDxfId="483"/>
    <tableColumn id="3" xr3:uid="{49758621-BBD6-4E64-B5EB-30AAEEEAC7DB}" name="ROOM" dataDxfId="482" totalsRowDxfId="481"/>
    <tableColumn id="4" xr3:uid="{07AB65A5-3070-4259-B9E3-B3A0821D46DB}" name="ROOM #" dataDxfId="480" totalsRowDxfId="479"/>
    <tableColumn id="5" xr3:uid="{6BD4501F-F2C8-4DE6-94B2-70EECF81DC26}" name="AREA (FT²)" totalsRowFunction="sum" dataDxfId="478" totalsRowDxfId="477"/>
    <tableColumn id="6" xr3:uid="{0305DB12-480F-4DBE-B0BB-D944D44E3761}" name="HG_x000a_(FT)" dataDxfId="476" totalsRowDxfId="475"/>
    <tableColumn id="7" xr3:uid="{0E2CEBD9-8207-49B7-828E-FED991A3EF1B}" name="TOTAL AC/HR" dataDxfId="474" totalsRowDxfId="473"/>
    <tableColumn id="8" xr3:uid="{B39F50FE-C65C-4C16-996E-B6A311DB49BB}" name="100%_x000a_EA" dataDxfId="472" totalsRowDxfId="471"/>
    <tableColumn id="9" xr3:uid="{8D97FF71-56B9-4380-92A5-7F58032041F8}" name="CRICU_x000a_EA" dataDxfId="470" totalsRowDxfId="469"/>
    <tableColumn id="10" xr3:uid="{DF05C704-DE23-4E47-A5C6-4F757C38BE24}" name="LOAD CFM" dataDxfId="468" totalsRowDxfId="467"/>
    <tableColumn id="11" xr3:uid="{C013AEA1-36DC-4A80-866F-AF6BEEE8A018}" name="AC/HR CFM" dataDxfId="466" totalsRowDxfId="465"/>
    <tableColumn id="12" xr3:uid="{2DFD819A-C977-4FA7-9725-9D06ABE7E8E7}" name="1 CFM/SF" dataDxfId="464" totalsRowDxfId="463"/>
    <tableColumn id="13" xr3:uid="{A50C5E1C-6A55-44C9-8312-028575630C03}" name="4-A DESIGNATION" dataDxfId="462" totalsRowDxfId="461"/>
    <tableColumn id="14" xr3:uid="{7C4ABC5D-F6B9-4FFF-9A67-D601283681B7}" name="AIRBALANCE RELATIONSHIP" dataDxfId="460" totalsRowDxfId="459"/>
    <tableColumn id="15" xr3:uid="{D17D3851-5B53-4906-9ED4-998CD7BF6D54}" name="MINIMUM OSA CHANGES PER HOUR" dataDxfId="458" totalsRowDxfId="457"/>
    <tableColumn id="16" xr3:uid="{5712ECF0-F7FD-4E19-ABEA-95FC2E37BF38}" name="OSA CFM" totalsRowFunction="sum" dataDxfId="456" totalsRowDxfId="455"/>
    <tableColumn id="17" xr3:uid="{CCE3CBFF-D4D8-46EC-83F1-4E5A27EE107F}" name="ALL AIR EXHAUSTED" dataDxfId="454" totalsRowDxfId="453"/>
    <tableColumn id="18" xr3:uid="{AC02FE2F-24A9-4273-9C14-9BADDC50ABF2}" name="CALCULATED SA CFM" totalsRowFunction="sum" dataDxfId="452" totalsRowDxfId="451"/>
    <tableColumn id="19" xr3:uid="{D2E7ABF0-6C07-417C-B186-691CC143A6B0}" name="DESIGN SA CFM" totalsRowFunction="sum" dataDxfId="450" totalsRowDxfId="449"/>
    <tableColumn id="20" xr3:uid="{DF4B9159-EFFC-40F0-9FC4-33EA3C26F8BE}" name="RA CFM" totalsRowFunction="sum" dataDxfId="448" totalsRowDxfId="447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446" totalsRowDxfId="445"/>
    <tableColumn id="22" xr3:uid="{6B6AF6EB-931D-4C93-89A9-561F9C32BB12}" name="Transfer Air CFM" totalsRowFunction="sum" dataDxfId="444" totalsRowDxfId="443"/>
    <tableColumn id="23" xr3:uid="{39003D3E-BBD2-4F77-B42A-2E9AAC1B3F5F}" name="Balance?" dataDxfId="442" totalsRowDxfId="441"/>
    <tableColumn id="24" xr3:uid="{624F2EC9-EDEF-4331-8F08-3623018EE046}" name="CFM/SF" dataDxfId="440" totalsRowDxfId="439"/>
    <tableColumn id="25" xr3:uid="{224933E3-CC52-4D9F-904F-939C4C4561E9}" name="OSA PERCENT" dataDxfId="438" totalsRowDxfId="437"/>
    <tableColumn id="26" xr3:uid="{3F8BC55D-461B-40F9-A13B-0B2D7B2DEE28}" name="ACH/hr" dataDxfId="436" totalsRowDxfId="43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434" dataDxfId="432" headerRowBorderDxfId="433" tableBorderDxfId="431" totalsRowBorderDxfId="430">
  <autoFilter ref="AC6:AS44" xr:uid="{2A2B6BA6-0EAB-2349-A085-FD569408EC9D}"/>
  <tableColumns count="17">
    <tableColumn id="1" xr3:uid="{95D9C8F3-85BF-7348-B9D8-30B40B154BA0}" name="ZONE" totalsRowLabel="Total" dataDxfId="429" totalsRowDxfId="428"/>
    <tableColumn id="2" xr3:uid="{34C7498F-5EF8-014B-8B1C-DCBE6607BBC2}" name="BASIS OF DESIGN _x000a_MANUFACTURER" dataDxfId="427" totalsRowDxfId="426"/>
    <tableColumn id="3" xr3:uid="{8D44A577-B62E-C643-BDBD-7C71640AF7DD}" name="DESCRIPTION" dataDxfId="425" totalsRowDxfId="424"/>
    <tableColumn id="4" xr3:uid="{A85908E5-E973-6C41-AED9-F99DFF123237}" name="CFM" dataDxfId="423" totalsRowDxfId="422">
      <calculatedColumnFormula>SUMIF($B$7:$B$78,AC7,$S$7:$S$78)</calculatedColumnFormula>
    </tableColumn>
    <tableColumn id="5" xr3:uid="{C26D28ED-C133-154D-B0D2-6FAC49106BF4}" name="CAV INLET SIZE" dataDxfId="421" totalsRowDxfId="420">
      <calculatedColumnFormula>IFERROR((VLOOKUP(AF7,'DO NOT TOUCH'!$P$9:$Q$14,2,TRUE)),"TBD")</calculatedColumnFormula>
    </tableColumn>
    <tableColumn id="6" xr3:uid="{6ECDE356-225C-A24E-86F4-F7792C922A11}" name="MAX TOTAL CAV PD _x000a_(IN W.G.)" dataDxfId="419" totalsRowDxfId="418">
      <calculatedColumnFormula>AH6</calculatedColumnFormula>
    </tableColumn>
    <tableColumn id="7" xr3:uid="{6F655F52-D807-FF44-9E81-17EE8D10DF07}" name="EWT" dataDxfId="417" totalsRowDxfId="416">
      <calculatedColumnFormula>INPUT_OUTPUTS!$C$16</calculatedColumnFormula>
    </tableColumn>
    <tableColumn id="8" xr3:uid="{B969B290-D7B8-B049-BD43-F28721191F95}" name="DESIGN _x000a_LWT" dataDxfId="415" totalsRowDxfId="414">
      <calculatedColumnFormula>INPUT_OUTPUTS!$C$17</calculatedColumnFormula>
    </tableColumn>
    <tableColumn id="9" xr3:uid="{B1987597-E6E5-0645-B303-001D7440884A}" name="EAT" dataDxfId="413" totalsRowDxfId="412">
      <calculatedColumnFormula>AK6</calculatedColumnFormula>
    </tableColumn>
    <tableColumn id="10" xr3:uid="{23D60126-7A10-3A4F-A6F6-8D88FC3D7BF2}" name="DESIGN _x000a_LAT" dataDxfId="411" totalsRowDxfId="410">
      <calculatedColumnFormula>AL6</calculatedColumnFormula>
    </tableColumn>
    <tableColumn id="11" xr3:uid="{FCA3CDCB-EF7A-AF4E-A008-4CE5DE083146}" name="MIN MBH" totalsRowFunction="sum" dataDxfId="409" totalsRowDxfId="408">
      <calculatedColumnFormula>MROUND((1.08*(AL7-AK7)*AF7)/1000,0.1)</calculatedColumnFormula>
    </tableColumn>
    <tableColumn id="12" xr3:uid="{E12D8355-62CD-9A45-8AA8-A6C3960814AB}" name="AGPM" dataDxfId="407" totalsRowDxfId="406">
      <calculatedColumnFormula>(AM7*1000)/(500*(AI7-AJ7))</calculatedColumnFormula>
    </tableColumn>
    <tableColumn id="13" xr3:uid="{8B58FDB3-AB0C-084D-93CC-883797C9E61A}" name="GPM" totalsRowFunction="sum" dataDxfId="405" totalsRowDxfId="404">
      <calculatedColumnFormula>IF(AN7&lt;0.5,0.5,AN7)</calculatedColumnFormula>
    </tableColumn>
    <tableColumn id="14" xr3:uid="{16D8B3A9-2DD2-EA40-91A2-B427BDC9DA7F}" name="MAX WATER _x000a_PD (FT)" dataDxfId="403" totalsRowDxfId="402">
      <calculatedColumnFormula>AP6</calculatedColumnFormula>
    </tableColumn>
    <tableColumn id="15" xr3:uid="{12A7883C-5AA1-F34A-AF87-208908C77F47}" name="OPER _x000a_WEIGHT_x000a_(LBS)" dataDxfId="401" totalsRowDxfId="400">
      <calculatedColumnFormula>IFERROR((_xlfn.XLOOKUP(AG7,'DO NOT TOUCH'!$Q$9:$Q$14,'DO NOT TOUCH'!$R$9:$R$14,)),"TBD")</calculatedColumnFormula>
    </tableColumn>
    <tableColumn id="16" xr3:uid="{1DEE7EFC-9697-DF4F-9AB3-B7AA6F3AD8F6}" name="MTG _x000a_DETAIL" dataDxfId="399" totalsRowDxfId="398">
      <calculatedColumnFormula>INPUT_OUTPUTS!$C$19</calculatedColumnFormula>
    </tableColumn>
    <tableColumn id="17" xr3:uid="{4FFF90F0-EA71-194F-A327-10021D7AF629}" name="REMARKS" dataDxfId="397" totalsRowDxfId="396">
      <calculatedColumnFormula>AS6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394" tableBorderDxfId="393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392" totalsRowDxfId="391"/>
    <tableColumn id="3" xr3:uid="{62F86706-BFED-8849-B203-1462C07A11D1}" name="ROOM" dataDxfId="390" totalsRowDxfId="389"/>
    <tableColumn id="4" xr3:uid="{BA8CC09C-8989-7449-815E-02DA3EBCCE73}" name="ROOM #" dataDxfId="388" totalsRowDxfId="387"/>
    <tableColumn id="5" xr3:uid="{2A5847B7-C8C2-7D4C-9B9E-AF0D4F961528}" name="AREA (FT²)" totalsRowFunction="sum" dataDxfId="386" totalsRowDxfId="385"/>
    <tableColumn id="6" xr3:uid="{6F4863D2-E26C-4B4A-8A7E-6808FF9E98AF}" name="HG_x000a_(FT)" dataDxfId="384" totalsRowDxfId="383"/>
    <tableColumn id="7" xr3:uid="{D114EF5A-EB4D-E240-9D9D-BD8D88BBD5D0}" name="TOTAL AC/HR" dataDxfId="382" totalsRowDxfId="381">
      <calculatedColumnFormula>VLOOKUP($M7,'UMC Table 4-A'!$A$10:$E$139,4,FALSE)</calculatedColumnFormula>
    </tableColumn>
    <tableColumn id="8" xr3:uid="{C41C1A8A-07D2-F847-ADC4-523F6DA3A59A}" name="100%_x000a_EA" dataDxfId="380" totalsRowDxfId="379">
      <calculatedColumnFormula>VLOOKUP($M7,'UMC Table 4-A'!$A$10:$E$139,5,FALSE)</calculatedColumnFormula>
    </tableColumn>
    <tableColumn id="9" xr3:uid="{C2F85DE3-5208-7A42-B5B3-6BD44EDE360A}" name="CRICU_x000a_EA" dataDxfId="378" totalsRowDxfId="377">
      <calculatedColumnFormula>IF(H7="Yes",K7,"-")</calculatedColumnFormula>
    </tableColumn>
    <tableColumn id="10" xr3:uid="{DB9587E5-51D0-9E49-B476-3D1DEB286854}" name="LOAD CFM" dataDxfId="376" totalsRowDxfId="375"/>
    <tableColumn id="11" xr3:uid="{C2B72E76-A1B2-864A-8E40-94D30E0904B2}" name="AC/HR CFM" dataDxfId="374" totalsRowDxfId="373">
      <calculatedColumnFormula>IF(G7&lt;&gt;"NR",ROUNDUP((E7*F7*G7)/60,-1),0)</calculatedColumnFormula>
    </tableColumn>
    <tableColumn id="12" xr3:uid="{4166323B-03BF-624D-B936-3007427F886B}" name="1 CFM/SF" dataDxfId="372" totalsRowDxfId="371">
      <calculatedColumnFormula>E7</calculatedColumnFormula>
    </tableColumn>
    <tableColumn id="13" xr3:uid="{EF99C6F8-178D-B74B-9494-D87EECB93536}" name="4-A DESIGNATION" dataDxfId="370" totalsRowDxfId="369"/>
    <tableColumn id="14" xr3:uid="{58966974-3F49-C846-8C54-D89C6D09D35B}" name="AIRBALANCE RELATIONSHIP" dataDxfId="368" totalsRowDxfId="367">
      <calculatedColumnFormula>VLOOKUP($M7,'UMC Table 4-A'!$A$10:$E$139,2,FALSE)</calculatedColumnFormula>
    </tableColumn>
    <tableColumn id="15" xr3:uid="{5E77F12B-AF22-DE47-96B1-F2CCA63C5F3B}" name="MINIMUM OSA CHANGES PER HOUR" dataDxfId="366" totalsRowDxfId="365">
      <calculatedColumnFormula>VLOOKUP($M7,'UMC Table 4-A'!$A$10:$E$139,3,FALSE)</calculatedColumnFormula>
    </tableColumn>
    <tableColumn id="16" xr3:uid="{EB149268-2DAB-9145-9B3F-A075A9E0BB62}" name="OSA CFM" totalsRowFunction="sum" dataDxfId="364" totalsRowDxfId="363">
      <calculatedColumnFormula>IF(O7&lt;&gt;"NR",ROUNDUP((E7*F7*O7)/60,-1),0)</calculatedColumnFormula>
    </tableColumn>
    <tableColumn id="17" xr3:uid="{D7D5D4AD-5D2F-1947-A1EC-864FB51133D3}" name="ALL AIR EXHAUSTED" dataDxfId="362" totalsRowDxfId="361">
      <calculatedColumnFormula>VLOOKUP($M7,'UMC Table 4-A'!$A$10:$E$139,5,FALSE)</calculatedColumnFormula>
    </tableColumn>
    <tableColumn id="18" xr3:uid="{8E64C3DD-B984-C34D-950D-988E6756EC90}" name="CALCULATED SA CFM" totalsRowFunction="sum" dataDxfId="360" totalsRowDxfId="359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58" totalsRowDxfId="357">
      <calculatedColumnFormula>R7</calculatedColumnFormula>
    </tableColumn>
    <tableColumn id="20" xr3:uid="{DD8A54C1-53C5-BC42-BBC6-13ABBEB44ADF}" name="RA CFM" totalsRowFunction="sum" dataDxfId="356" totalsRowDxfId="355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54" totalsRowDxfId="353">
      <calculatedColumnFormula>IF(Q7="Yes",I7,0)</calculatedColumnFormula>
    </tableColumn>
    <tableColumn id="22" xr3:uid="{D9078ABF-02C8-5649-BF43-2635E4E43CD3}" name="Transfer Air CFM" totalsRowFunction="sum" dataDxfId="352" totalsRowDxfId="351">
      <calculatedColumnFormula>S7-T7-U7</calculatedColumnFormula>
    </tableColumn>
    <tableColumn id="23" xr3:uid="{420D3664-0F81-6346-9798-DAAD4438D382}" name="Balance?" dataDxfId="350" totalsRowDxfId="349">
      <calculatedColumnFormula>IF(R7-T7-U7+V7=0,"Yes","No")</calculatedColumnFormula>
    </tableColumn>
    <tableColumn id="24" xr3:uid="{2B06E20E-4173-5744-A06B-F45C3B6E4E06}" name="CFM/SF" dataDxfId="348" totalsRowDxfId="347">
      <calculatedColumnFormula>IFERROR(R7/E7,"-")</calculatedColumnFormula>
    </tableColumn>
    <tableColumn id="25" xr3:uid="{1CCCE25F-6BF2-294F-9C7E-94799BF60C61}" name="OSA PERCENT" dataDxfId="346" totalsRowDxfId="345"/>
    <tableColumn id="26" xr3:uid="{A9787315-1554-5F47-9583-71F6447BADE7}" name="ACH/hr" dataDxfId="344" totalsRowDxfId="34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42" dataDxfId="340" headerRowBorderDxfId="341" tableBorderDxfId="339" totalsRowBorderDxfId="338">
  <autoFilter ref="AC6:AS44" xr:uid="{2A2B6BA6-0EAB-2349-A085-FD569408EC9D}"/>
  <tableColumns count="17">
    <tableColumn id="1" xr3:uid="{C25C46EE-18B7-234F-90BC-9CFAECF0D77B}" name="ZONE" totalsRowLabel="Total" dataDxfId="337" totalsRowDxfId="336"/>
    <tableColumn id="2" xr3:uid="{FF1D057E-CF59-234B-BE6D-5179D70CBEFE}" name="BASIS OF DESIGN _x000a_MANUFACTURER" dataDxfId="335" totalsRowDxfId="334"/>
    <tableColumn id="3" xr3:uid="{76C3F628-FC7A-644D-A84B-B7D2DF32CB78}" name="DESCRIPTION" dataDxfId="333" totalsRowDxfId="332"/>
    <tableColumn id="4" xr3:uid="{648F5A5B-AB00-7445-B77F-BC8AA4FAF8E5}" name="CFM" dataDxfId="331" totalsRowDxfId="330">
      <calculatedColumnFormula>SUMIF($B$7:$B$78,AC7,$S$7:$S$78)</calculatedColumnFormula>
    </tableColumn>
    <tableColumn id="5" xr3:uid="{B8C6F18E-27B7-5C47-A6AA-896E053D5DD5}" name="CAV INLET SIZE" dataDxfId="329" totalsRowDxfId="328">
      <calculatedColumnFormula>IFERROR((VLOOKUP(AF7,'DO NOT TOUCH'!$P$9:$Q$14,2,TRUE)),"TBD")</calculatedColumnFormula>
    </tableColumn>
    <tableColumn id="6" xr3:uid="{9B933B17-72C0-114F-B80C-4F0E9DEE45DA}" name="MAX TOTAL CAV PD _x000a_(IN W.G.)" dataDxfId="327" totalsRowDxfId="326">
      <calculatedColumnFormula>AH6</calculatedColumnFormula>
    </tableColumn>
    <tableColumn id="7" xr3:uid="{B18295A8-1F00-1048-BB1F-85CE741F6991}" name="EWT" dataDxfId="325" totalsRowDxfId="324">
      <calculatedColumnFormula>INPUT_OUTPUTS!$C$16</calculatedColumnFormula>
    </tableColumn>
    <tableColumn id="8" xr3:uid="{71AC2984-1F71-FE45-8BF4-5C296E523C25}" name="DESIGN _x000a_LWT" dataDxfId="323" totalsRowDxfId="322">
      <calculatedColumnFormula>INPUT_OUTPUTS!$C$17</calculatedColumnFormula>
    </tableColumn>
    <tableColumn id="9" xr3:uid="{ECBF8CE3-146D-7E4C-B125-10414FE35F41}" name="EAT" dataDxfId="321" totalsRowDxfId="320">
      <calculatedColumnFormula>AK6</calculatedColumnFormula>
    </tableColumn>
    <tableColumn id="10" xr3:uid="{15F58DEE-0A56-6E49-9C7C-E911663EA507}" name="DESIGN _x000a_LAT" dataDxfId="319" totalsRowDxfId="318">
      <calculatedColumnFormula>AL6</calculatedColumnFormula>
    </tableColumn>
    <tableColumn id="11" xr3:uid="{914895A5-B38D-0743-8A44-8F92020558DF}" name="MIN MBH" totalsRowFunction="sum" dataDxfId="317" totalsRowDxfId="316">
      <calculatedColumnFormula>MROUND((1.08*(AL7-AK7)*AF7)/1000,0.1)</calculatedColumnFormula>
    </tableColumn>
    <tableColumn id="12" xr3:uid="{CD0348BA-B462-F447-A201-4DC3F6D405EA}" name="AGPM" dataDxfId="315" totalsRowDxfId="314">
      <calculatedColumnFormula>(AM7*1000)/(500*(AI7-AJ7))</calculatedColumnFormula>
    </tableColumn>
    <tableColumn id="13" xr3:uid="{08FCAA37-BE69-A645-B7B4-97E57511637E}" name="GPM" totalsRowFunction="sum" dataDxfId="313" totalsRowDxfId="312">
      <calculatedColumnFormula>IF(AN7&lt;0.5,0.5,AN7)</calculatedColumnFormula>
    </tableColumn>
    <tableColumn id="14" xr3:uid="{36DECC85-96C7-1F40-8C0A-6358A371661E}" name="MAX WATER _x000a_PD (FT)" dataDxfId="311" totalsRowDxfId="310">
      <calculatedColumnFormula>AP6</calculatedColumnFormula>
    </tableColumn>
    <tableColumn id="15" xr3:uid="{40BE04EB-CA2B-BD46-A2A8-B5618F6EB628}" name="OPER _x000a_WEIGHT_x000a_(LBS)" dataDxfId="309" totalsRowDxfId="308">
      <calculatedColumnFormula>IFERROR((_xlfn.XLOOKUP(AG7,'DO NOT TOUCH'!$Q$9:$Q$14,'DO NOT TOUCH'!$R$9:$R$14,)),"TBD")</calculatedColumnFormula>
    </tableColumn>
    <tableColumn id="16" xr3:uid="{FCE60676-46C3-2C4E-9399-C8250EC74D56}" name="MTG _x000a_DETAIL" dataDxfId="307" totalsRowDxfId="306">
      <calculatedColumnFormula>INPUT_OUTPUTS!$C$19</calculatedColumnFormula>
    </tableColumn>
    <tableColumn id="17" xr3:uid="{F5AE1D75-89DB-1E44-A1ED-A1A5537714F6}" name="REMARKS" dataDxfId="305" totalsRowDxfId="304">
      <calculatedColumnFormula>AS6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95C12D-08DB-4254-BF56-8E42D0C835A4}" name="AHU1_TABLE_4A4310" displayName="AHU1_TABLE_4A4310" ref="B6:Z79" totalsRowCount="1" headerRowDxfId="302" tableBorderDxfId="30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62D854BD-1DFA-491D-BC8F-258D69C94655}" name="Zone" dataDxfId="300" totalsRowDxfId="299"/>
    <tableColumn id="3" xr3:uid="{FC65DF07-143E-49E3-BAFA-C319F65FF629}" name="ROOM" dataDxfId="298" totalsRowDxfId="297"/>
    <tableColumn id="4" xr3:uid="{6EFB50F7-E1EE-4EFB-AD5D-C9519D23D30D}" name="ROOM #" dataDxfId="296" totalsRowDxfId="295"/>
    <tableColumn id="5" xr3:uid="{FCFCB96E-0FFB-4819-AB00-6B8BFEF7E10E}" name="AREA (FT²)" totalsRowFunction="sum" dataDxfId="294" totalsRowDxfId="293"/>
    <tableColumn id="6" xr3:uid="{138D4293-0213-49AD-8064-FCDE03718394}" name="HG_x000a_(FT)" dataDxfId="292" totalsRowDxfId="291"/>
    <tableColumn id="7" xr3:uid="{90C8AA71-963B-47B1-A9D0-76E3AC4F3605}" name="TOTAL AC/HR" dataDxfId="290" totalsRowDxfId="289">
      <calculatedColumnFormula>VLOOKUP($M7,'UMC Table 4-A'!$A$10:$E$139,4,FALSE)</calculatedColumnFormula>
    </tableColumn>
    <tableColumn id="8" xr3:uid="{5A69A9C3-DB95-4488-9FDA-4F309B84B232}" name="100%_x000a_EA" dataDxfId="288" totalsRowDxfId="287">
      <calculatedColumnFormula>VLOOKUP($M7,'UMC Table 4-A'!$A$10:$E$139,5,FALSE)</calculatedColumnFormula>
    </tableColumn>
    <tableColumn id="9" xr3:uid="{CD5CE391-4B2E-48BE-A09D-7300EE98EFED}" name="CRICU_x000a_EA" dataDxfId="286" totalsRowDxfId="285">
      <calculatedColumnFormula>IF(H7="Yes",K7,"-")</calculatedColumnFormula>
    </tableColumn>
    <tableColumn id="10" xr3:uid="{E98DDBA6-4DEB-4810-9009-C4BA6F9111A8}" name="LOAD CFM" dataDxfId="284" totalsRowDxfId="283"/>
    <tableColumn id="11" xr3:uid="{D844263E-4E91-42B3-BB66-58DF9469FB95}" name="AC/HR CFM" dataDxfId="282" totalsRowDxfId="281">
      <calculatedColumnFormula>IF(G7&lt;&gt;"NR",ROUNDUP((E7*F7*G7)/60,-1),0)</calculatedColumnFormula>
    </tableColumn>
    <tableColumn id="12" xr3:uid="{26D1E25C-30DD-4247-9B9A-3EBBF4739170}" name="1 CFM/SF" dataDxfId="280" totalsRowDxfId="279">
      <calculatedColumnFormula>E7</calculatedColumnFormula>
    </tableColumn>
    <tableColumn id="13" xr3:uid="{4E8A0AC4-E616-4D3B-9A4D-C29566D86B69}" name="4-A DESIGNATION" dataDxfId="278" totalsRowDxfId="277"/>
    <tableColumn id="14" xr3:uid="{5BA24957-DEAD-43CE-A745-8E97A9989FB9}" name="AIRBALANCE RELATIONSHIP" dataDxfId="276" totalsRowDxfId="275">
      <calculatedColumnFormula>VLOOKUP($M7,'UMC Table 4-A'!$A$10:$E$139,2,FALSE)</calculatedColumnFormula>
    </tableColumn>
    <tableColumn id="15" xr3:uid="{7F1D2A3A-9E45-4C2E-9A9F-8CA150F2AC9B}" name="MINIMUM OSA CHANGES PER HOUR" dataDxfId="274" totalsRowDxfId="273">
      <calculatedColumnFormula>VLOOKUP($M7,'UMC Table 4-A'!$A$10:$E$139,3,FALSE)</calculatedColumnFormula>
    </tableColumn>
    <tableColumn id="16" xr3:uid="{AF93204C-44E2-4AA4-B6AC-5EEDDE1E2CFF}" name="OSA CFM" totalsRowFunction="sum" dataDxfId="272" totalsRowDxfId="271">
      <calculatedColumnFormula>IF(O7&lt;&gt;"NR",ROUNDUP((E7*F7*O7)/60,-1),0)</calculatedColumnFormula>
    </tableColumn>
    <tableColumn id="17" xr3:uid="{1A3E48AA-96CC-45AC-9E37-39B807B298D1}" name="ALL AIR EXHAUSTED" dataDxfId="270" totalsRowDxfId="269">
      <calculatedColumnFormula>VLOOKUP($M7,'UMC Table 4-A'!$A$10:$E$139,5,FALSE)</calculatedColumnFormula>
    </tableColumn>
    <tableColumn id="18" xr3:uid="{55DEC6AE-DE87-45E1-B008-F6AA31FE0906}" name="CALCULATED SA CFM" totalsRowFunction="sum" dataDxfId="268" totalsRowDxfId="267">
      <calculatedColumnFormula>IF(N7="Negative",IF(OR(M7="Toilet room",M7="Janitor's closet, housekeeping"),0,IF(0.1*U7&gt;50,220-0.1*U7,U7-50)),IF(Q7="Yes",0,CEILING(MAX(J7:L7),5)))</calculatedColumnFormula>
    </tableColumn>
    <tableColumn id="19" xr3:uid="{9626CC94-BDBA-43CA-A40F-53C74F1EFA70}" name="DESIGN SA CFM" totalsRowFunction="sum" dataDxfId="266" totalsRowDxfId="265">
      <calculatedColumnFormula>R7</calculatedColumnFormula>
    </tableColumn>
    <tableColumn id="20" xr3:uid="{A71CB8F8-D232-4E7B-A6EB-3C5680870424}" name="RA CFM" totalsRowFunction="sum" dataDxfId="264" totalsRowDxfId="263">
      <calculatedColumnFormula>IF(Q7="Yes",0,IF(N7="Positive",IF(0.1*R7&gt;50,R7-0.1*R7,R7-50),IF(N7="Negative",IF(0.1*R7&gt;50,R7+0.1*R7,R7+50),R7)))</calculatedColumnFormula>
    </tableColumn>
    <tableColumn id="21" xr3:uid="{E7A2F8E4-ED2A-4A41-A878-E3607809948D}" name="EA CFM" totalsRowFunction="sum" dataDxfId="262" totalsRowDxfId="261">
      <calculatedColumnFormula>IF(Q7="Yes",I7,0)</calculatedColumnFormula>
    </tableColumn>
    <tableColumn id="22" xr3:uid="{1910F9C2-3222-467A-A6AA-9622A6622730}" name="Transfer Air CFM" totalsRowFunction="sum" dataDxfId="260" totalsRowDxfId="259">
      <calculatedColumnFormula>S7-T7-U7</calculatedColumnFormula>
    </tableColumn>
    <tableColumn id="23" xr3:uid="{C57E3AE1-9A94-4ACC-ABE3-AB2937DAC980}" name="Balance?" dataDxfId="258" totalsRowDxfId="257">
      <calculatedColumnFormula>IF(R7-T7-U7+V7=0,"Yes","No")</calculatedColumnFormula>
    </tableColumn>
    <tableColumn id="24" xr3:uid="{91DAB794-FDAC-4148-B571-894CD919512A}" name="CFM/SF" dataDxfId="256" totalsRowDxfId="255">
      <calculatedColumnFormula>IFERROR(R7/E7,"-")</calculatedColumnFormula>
    </tableColumn>
    <tableColumn id="25" xr3:uid="{F2E8FF8E-F1E8-417E-98BD-110C00EFE1BA}" name="OSA PERCENT" dataDxfId="254" totalsRowDxfId="253"/>
    <tableColumn id="26" xr3:uid="{31972631-67B4-4703-9C60-C4268DEAB9A3}" name="ACH/hr" dataDxfId="252" totalsRowDxfId="25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D0E179-D988-4786-8407-F9D6526F1DDF}" name="AHU1_CAV_SCHEDULE4411" displayName="AHU1_CAV_SCHEDULE4411" ref="AC6:AS45" totalsRowCount="1" headerRowDxfId="250" dataDxfId="248" headerRowBorderDxfId="249" tableBorderDxfId="247" totalsRowBorderDxfId="246">
  <autoFilter ref="AC6:AS44" xr:uid="{2A2B6BA6-0EAB-2349-A085-FD569408EC9D}"/>
  <tableColumns count="17">
    <tableColumn id="1" xr3:uid="{866E6647-A6A3-4FC5-AAA6-69F23B131D9A}" name="ZONE" totalsRowLabel="Total" dataDxfId="245" totalsRowDxfId="244"/>
    <tableColumn id="2" xr3:uid="{C6679964-EFED-425C-87B5-AD642E220D9C}" name="BASIS OF DESIGN _x000a_MANUFACTURER" dataDxfId="243" totalsRowDxfId="242"/>
    <tableColumn id="3" xr3:uid="{D3149E19-941E-4844-9619-739032F82523}" name="DESCRIPTION" dataDxfId="241" totalsRowDxfId="240"/>
    <tableColumn id="4" xr3:uid="{5CFC54CB-B2B6-4357-BE5F-759033481C61}" name="CFM" dataDxfId="239" totalsRowDxfId="238">
      <calculatedColumnFormula>SUMIF($B$7:$B$78,AC7,$S$7:$S$78)</calculatedColumnFormula>
    </tableColumn>
    <tableColumn id="5" xr3:uid="{FAA552B5-07C5-4B93-97C0-1DAB55267E60}" name="CAV INLET SIZE" dataDxfId="237" totalsRowDxfId="236">
      <calculatedColumnFormula>IFERROR((VLOOKUP(AF7,'DO NOT TOUCH'!$P$9:$Q$14,2,TRUE)),"TBD")</calculatedColumnFormula>
    </tableColumn>
    <tableColumn id="6" xr3:uid="{85E52775-2E2E-4437-A659-7AAE59C57723}" name="MAX TOTAL CAV PD _x000a_(IN W.G.)" dataDxfId="235" totalsRowDxfId="234">
      <calculatedColumnFormula>AH6</calculatedColumnFormula>
    </tableColumn>
    <tableColumn id="7" xr3:uid="{18FB9904-AFA7-4BBD-91C5-F6618FC505AD}" name="EWT" dataDxfId="233" totalsRowDxfId="232">
      <calculatedColumnFormula>INPUT_OUTPUTS!$C$16</calculatedColumnFormula>
    </tableColumn>
    <tableColumn id="8" xr3:uid="{EBB54598-E901-4FA9-92F9-CB81C0499A00}" name="DESIGN _x000a_LWT" dataDxfId="231" totalsRowDxfId="230">
      <calculatedColumnFormula>INPUT_OUTPUTS!$C$17</calculatedColumnFormula>
    </tableColumn>
    <tableColumn id="9" xr3:uid="{7F9F0678-094D-416A-A0F8-A90BF631D6EA}" name="EAT" dataDxfId="229" totalsRowDxfId="228">
      <calculatedColumnFormula>AK6</calculatedColumnFormula>
    </tableColumn>
    <tableColumn id="10" xr3:uid="{2AACB3CE-776A-4F89-AAD8-AD17B24DB58D}" name="DESIGN _x000a_LAT" dataDxfId="227" totalsRowDxfId="226">
      <calculatedColumnFormula>AL6</calculatedColumnFormula>
    </tableColumn>
    <tableColumn id="11" xr3:uid="{01558AE2-E768-42BC-B2AD-D5CAC07CD4FF}" name="MIN MBH" totalsRowFunction="sum" dataDxfId="225" totalsRowDxfId="224">
      <calculatedColumnFormula>MROUND((1.08*(AL7-AK7)*AF7)/1000,0.1)</calculatedColumnFormula>
    </tableColumn>
    <tableColumn id="12" xr3:uid="{22F38C7E-0E83-4F69-B497-26C6CB263DEA}" name="AGPM" dataDxfId="223" totalsRowDxfId="222">
      <calculatedColumnFormula>(AM7*1000)/(500*(AI7-AJ7))</calculatedColumnFormula>
    </tableColumn>
    <tableColumn id="13" xr3:uid="{167AE368-5E29-43D6-A470-D0AD24998929}" name="GPM" totalsRowFunction="sum" dataDxfId="221" totalsRowDxfId="220">
      <calculatedColumnFormula>IF(AN7&lt;0.5,0.5,AN7)</calculatedColumnFormula>
    </tableColumn>
    <tableColumn id="14" xr3:uid="{CA6EC450-EF13-4164-8E64-F3D0DEA40A51}" name="MAX WATER _x000a_PD (FT)" dataDxfId="219" totalsRowDxfId="218">
      <calculatedColumnFormula>AP6</calculatedColumnFormula>
    </tableColumn>
    <tableColumn id="15" xr3:uid="{D8E319A4-E29F-4454-9521-783F50F0B479}" name="OPER _x000a_WEIGHT_x000a_(LBS)" dataDxfId="217" totalsRowDxfId="216">
      <calculatedColumnFormula>IFERROR((_xlfn.XLOOKUP(AG7,'DO NOT TOUCH'!$Q$9:$Q$14,'DO NOT TOUCH'!$R$9:$R$14,)),"TBD")</calculatedColumnFormula>
    </tableColumn>
    <tableColumn id="16" xr3:uid="{070BF762-B899-493A-8F8F-9648EE30D2FF}" name="MTG _x000a_DETAIL" dataDxfId="215" totalsRowDxfId="214">
      <calculatedColumnFormula>INPUT_OUTPUTS!$C$19</calculatedColumnFormula>
    </tableColumn>
    <tableColumn id="17" xr3:uid="{AD220D1C-4ADD-4C6D-8D33-6905A511CC82}" name="REMARKS" dataDxfId="213" totalsRowDxfId="212">
      <calculatedColumnFormula>AS6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567D80-0124-4B20-B081-0287B3AEFBBB}" name="AHU1_TABLE_4A4319" displayName="AHU1_TABLE_4A4319" ref="B6:Z79" totalsRowCount="1" headerRowDxfId="210" tableBorderDxfId="209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DF73B76F-CCF6-4316-892B-6D96BF21B982}" name="Zone" dataDxfId="208" totalsRowDxfId="207"/>
    <tableColumn id="3" xr3:uid="{1E4F151D-C5C4-4618-8074-5C0EC88B3510}" name="ROOM" dataDxfId="206" totalsRowDxfId="205"/>
    <tableColumn id="4" xr3:uid="{FF2C144A-9932-4FA1-B652-5F122377D517}" name="ROOM #" dataDxfId="204" totalsRowDxfId="203"/>
    <tableColumn id="5" xr3:uid="{CC8EBE54-8F0C-4F8C-A5EE-4D5041049104}" name="AREA (FT²)" totalsRowFunction="sum" dataDxfId="202" totalsRowDxfId="201"/>
    <tableColumn id="6" xr3:uid="{E39C700F-26A9-45C4-B406-6847BB182A70}" name="HG_x000a_(FT)" dataDxfId="200" totalsRowDxfId="199"/>
    <tableColumn id="7" xr3:uid="{03CF565B-5594-4580-8878-C4FF0D3DB5D3}" name="TOTAL AC/HR" dataDxfId="198" totalsRowDxfId="197">
      <calculatedColumnFormula>VLOOKUP($M7,'UMC Table 4-A'!$A$10:$E$139,4,FALSE)</calculatedColumnFormula>
    </tableColumn>
    <tableColumn id="8" xr3:uid="{DCBF3D30-C495-4D65-BFF0-E633609510C0}" name="100%_x000a_EA" dataDxfId="196" totalsRowDxfId="195">
      <calculatedColumnFormula>VLOOKUP($M7,'UMC Table 4-A'!$A$10:$E$139,5,FALSE)</calculatedColumnFormula>
    </tableColumn>
    <tableColumn id="9" xr3:uid="{FA38A0CA-F3F0-4EBF-A257-74DF05AA136A}" name="CRICU_x000a_EA" dataDxfId="194" totalsRowDxfId="193">
      <calculatedColumnFormula>IF(H7="Yes",K7,"-")</calculatedColumnFormula>
    </tableColumn>
    <tableColumn id="10" xr3:uid="{410B529C-14D3-4909-B7F9-BB87C18819A0}" name="LOAD CFM" dataDxfId="192" totalsRowDxfId="191"/>
    <tableColumn id="11" xr3:uid="{E40C1F67-8C0B-4E33-8943-35003039E6B2}" name="AC/HR CFM" dataDxfId="190" totalsRowDxfId="189">
      <calculatedColumnFormula>IF(G7&lt;&gt;"NR",ROUNDUP((E7*F7*G7)/60,-1),0)</calculatedColumnFormula>
    </tableColumn>
    <tableColumn id="12" xr3:uid="{03DA94DE-353C-42D2-B12B-0BC699E962CA}" name="1 CFM/SF" dataDxfId="188" totalsRowDxfId="187">
      <calculatedColumnFormula>E7</calculatedColumnFormula>
    </tableColumn>
    <tableColumn id="13" xr3:uid="{A3C90FF2-5147-4C28-9190-9A86D1492370}" name="4-A DESIGNATION" dataDxfId="186" totalsRowDxfId="185"/>
    <tableColumn id="14" xr3:uid="{32E657D3-D52E-433E-8839-C54233AA0867}" name="AIRBALANCE RELATIONSHIP" dataDxfId="184" totalsRowDxfId="183">
      <calculatedColumnFormula>VLOOKUP($M7,'UMC Table 4-A'!$A$10:$E$139,2,FALSE)</calculatedColumnFormula>
    </tableColumn>
    <tableColumn id="15" xr3:uid="{0C3ED219-50F2-4693-891A-0D9B167C6418}" name="MINIMUM OSA CHANGES PER HOUR" dataDxfId="182" totalsRowDxfId="181">
      <calculatedColumnFormula>VLOOKUP($M7,'UMC Table 4-A'!$A$10:$E$139,3,FALSE)</calculatedColumnFormula>
    </tableColumn>
    <tableColumn id="16" xr3:uid="{30D1BE11-4C9F-4D5F-B14F-DF2367E686EF}" name="OSA CFM" totalsRowFunction="sum" dataDxfId="180" totalsRowDxfId="179">
      <calculatedColumnFormula>IF(O7&lt;&gt;"NR",ROUNDUP((E7*F7*O7)/60,-1),0)</calculatedColumnFormula>
    </tableColumn>
    <tableColumn id="17" xr3:uid="{2691270A-9EB6-48EA-85BF-059251B72017}" name="ALL AIR EXHAUSTED" dataDxfId="178" totalsRowDxfId="177">
      <calculatedColumnFormula>VLOOKUP($M7,'UMC Table 4-A'!$A$10:$E$139,5,FALSE)</calculatedColumnFormula>
    </tableColumn>
    <tableColumn id="18" xr3:uid="{1C6B8CA5-93B8-472C-B6A2-CE64C1B529AE}" name="CALCULATED SA CFM" totalsRowFunction="sum" dataDxfId="176" totalsRowDxfId="175">
      <calculatedColumnFormula>IF(N7="Negative",IF(OR(M7="Toilet room",M7="Janitor's closet, housekeeping"),0,IF(0.1*U7&gt;50,220-0.1*U7,U7-50)),IF(Q7="Yes",0,CEILING(MAX(J7:L7),5)))</calculatedColumnFormula>
    </tableColumn>
    <tableColumn id="19" xr3:uid="{B0FE440E-37BD-4568-9908-DA5867F0FB50}" name="DESIGN SA CFM" totalsRowFunction="sum" dataDxfId="174" totalsRowDxfId="173">
      <calculatedColumnFormula>R7</calculatedColumnFormula>
    </tableColumn>
    <tableColumn id="20" xr3:uid="{CCF0CFA9-187A-4195-B80A-9095DCDE627F}" name="RA CFM" totalsRowFunction="sum" dataDxfId="172" totalsRowDxfId="171">
      <calculatedColumnFormula>IF(Q7="Yes",0,IF(N7="Positive",IF(0.1*R7&gt;50,R7-0.1*R7,R7-50),IF(N7="Negative",IF(0.1*R7&gt;50,R7+0.1*R7,R7+50),R7)))</calculatedColumnFormula>
    </tableColumn>
    <tableColumn id="21" xr3:uid="{7FC343BE-33C0-451E-A77B-EF9908469F38}" name="EA CFM" totalsRowFunction="sum" dataDxfId="170" totalsRowDxfId="169">
      <calculatedColumnFormula>IF(Q7="Yes",I7,0)</calculatedColumnFormula>
    </tableColumn>
    <tableColumn id="22" xr3:uid="{5714812B-CD3B-4FF1-9CA9-8F32A8F726B2}" name="Transfer Air CFM" totalsRowFunction="sum" dataDxfId="168" totalsRowDxfId="167">
      <calculatedColumnFormula>S7-T7-U7</calculatedColumnFormula>
    </tableColumn>
    <tableColumn id="23" xr3:uid="{FFD9B2F1-499D-4B69-A563-72FA623C4729}" name="Balance?" dataDxfId="166" totalsRowDxfId="165">
      <calculatedColumnFormula>IF(R7-T7-U7+V7=0,"Yes","No")</calculatedColumnFormula>
    </tableColumn>
    <tableColumn id="24" xr3:uid="{017A97C8-1B69-489D-AC1B-3CB751348513}" name="CFM/SF" dataDxfId="164" totalsRowDxfId="163">
      <calculatedColumnFormula>IFERROR(R7/E7,"-")</calculatedColumnFormula>
    </tableColumn>
    <tableColumn id="25" xr3:uid="{CAF1D199-7872-4951-B656-4BE211873BBB}" name="OSA PERCENT" dataDxfId="162" totalsRowDxfId="161"/>
    <tableColumn id="26" xr3:uid="{6E7CAE1C-BD95-49A4-9027-A4E5BF52B72A}" name="ACH/hr" dataDxfId="160" totalsRowDxfId="159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0405EA-BD4B-4D03-ADCE-E9ECB5F1B26A}" name="AHU1_CAV_SCHEDULE4420" displayName="AHU1_CAV_SCHEDULE4420" ref="AC6:AS45" totalsRowCount="1" headerRowDxfId="158" dataDxfId="156" headerRowBorderDxfId="157" tableBorderDxfId="155" totalsRowBorderDxfId="154">
  <autoFilter ref="AC6:AS44" xr:uid="{2A2B6BA6-0EAB-2349-A085-FD569408EC9D}"/>
  <tableColumns count="17">
    <tableColumn id="1" xr3:uid="{C400DB31-C565-49B5-B73F-C4DAA7E4A82F}" name="ZONE" totalsRowLabel="Total" dataDxfId="153" totalsRowDxfId="152"/>
    <tableColumn id="2" xr3:uid="{B6B589AD-4A4F-4CEE-9D9D-E834C854A885}" name="BASIS OF DESIGN _x000a_MANUFACTURER" dataDxfId="151" totalsRowDxfId="150"/>
    <tableColumn id="3" xr3:uid="{379D4B81-AD37-4B60-B11C-438217CA2829}" name="DESCRIPTION" dataDxfId="149" totalsRowDxfId="148"/>
    <tableColumn id="4" xr3:uid="{C6B31D05-9466-4CB3-AFF1-AD3E0876FCF2}" name="CFM" dataDxfId="147" totalsRowDxfId="146">
      <calculatedColumnFormula>SUMIF($B$7:$B$78,AC7,$S$7:$S$78)</calculatedColumnFormula>
    </tableColumn>
    <tableColumn id="5" xr3:uid="{1547B59C-02E3-40A4-A9EB-EA57745F22A7}" name="CAV INLET SIZE" dataDxfId="145" totalsRowDxfId="144">
      <calculatedColumnFormula>IFERROR((VLOOKUP(AF7,'DO NOT TOUCH'!$P$9:$Q$14,2,TRUE)),"TBD")</calculatedColumnFormula>
    </tableColumn>
    <tableColumn id="6" xr3:uid="{C10BED3E-89CF-4E4F-8F20-F3DD670E3FC5}" name="MAX TOTAL CAV PD _x000a_(IN W.G.)" dataDxfId="143" totalsRowDxfId="142">
      <calculatedColumnFormula>AH6</calculatedColumnFormula>
    </tableColumn>
    <tableColumn id="7" xr3:uid="{CD804886-8CDA-475A-AFA0-77E7438E4001}" name="EWT" dataDxfId="141" totalsRowDxfId="140">
      <calculatedColumnFormula>INPUT_OUTPUTS!$C$16</calculatedColumnFormula>
    </tableColumn>
    <tableColumn id="8" xr3:uid="{1E473E0F-34AA-496F-BE26-2D4965E85BDC}" name="DESIGN _x000a_LWT" dataDxfId="139" totalsRowDxfId="138">
      <calculatedColumnFormula>INPUT_OUTPUTS!$C$17</calculatedColumnFormula>
    </tableColumn>
    <tableColumn id="9" xr3:uid="{2FB24645-673F-4CF3-A5F4-3746FF8D8BE3}" name="EAT" dataDxfId="137" totalsRowDxfId="136">
      <calculatedColumnFormula>AK6</calculatedColumnFormula>
    </tableColumn>
    <tableColumn id="10" xr3:uid="{1762048E-2A35-473D-AD8F-A19689F43147}" name="DESIGN _x000a_LAT" dataDxfId="135" totalsRowDxfId="134">
      <calculatedColumnFormula>AL6</calculatedColumnFormula>
    </tableColumn>
    <tableColumn id="11" xr3:uid="{02BD64C0-4FA8-47E8-A6C4-9D85192D3DC4}" name="MIN MBH" totalsRowFunction="sum" dataDxfId="133" totalsRowDxfId="132">
      <calculatedColumnFormula>MROUND((1.08*(AL7-AK7)*AF7)/1000,0.1)</calculatedColumnFormula>
    </tableColumn>
    <tableColumn id="12" xr3:uid="{11259ECD-5F8A-4CFE-A8D7-6BDC6CCD22C3}" name="AGPM" dataDxfId="131" totalsRowDxfId="130">
      <calculatedColumnFormula>(AM7*1000)/(500*(AI7-AJ7))</calculatedColumnFormula>
    </tableColumn>
    <tableColumn id="13" xr3:uid="{2C4DFDDF-61BC-4B56-9857-1D6A3E2E1B9D}" name="GPM" totalsRowFunction="sum" dataDxfId="129" totalsRowDxfId="128">
      <calculatedColumnFormula>IF(AN7&lt;0.5,0.5,AN7)</calculatedColumnFormula>
    </tableColumn>
    <tableColumn id="14" xr3:uid="{0BBC1E82-418A-405B-965E-F185280290B7}" name="MAX WATER _x000a_PD (FT)" dataDxfId="127" totalsRowDxfId="126">
      <calculatedColumnFormula>AP6</calculatedColumnFormula>
    </tableColumn>
    <tableColumn id="15" xr3:uid="{9FF77565-5000-4F75-8557-19FA98CAEB1A}" name="OPER _x000a_WEIGHT_x000a_(LBS)" dataDxfId="125" totalsRowDxfId="124">
      <calculatedColumnFormula>IFERROR((_xlfn.XLOOKUP(AG7,'DO NOT TOUCH'!$Q$9:$Q$14,'DO NOT TOUCH'!$R$9:$R$14,)),"TBD")</calculatedColumnFormula>
    </tableColumn>
    <tableColumn id="16" xr3:uid="{A40EFCE0-ADEF-4F06-B7F1-899FC1EA89AC}" name="MTG _x000a_DETAIL" dataDxfId="123" totalsRowDxfId="122">
      <calculatedColumnFormula>INPUT_OUTPUTS!$C$19</calculatedColumnFormula>
    </tableColumn>
    <tableColumn id="17" xr3:uid="{FF5EA594-643C-41A9-B539-25726281EDAA}" name="REMARKS" dataDxfId="121" totalsRowDxfId="120">
      <calculatedColumnFormula>AS6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119" dataDxfId="117" headerRowBorderDxfId="118" tableBorderDxfId="116">
  <autoFilter ref="A11:BF14" xr:uid="{E6D9D33A-2DE5-364A-B78C-5DD7A614D29B}"/>
  <tableColumns count="58">
    <tableColumn id="1" xr3:uid="{75084425-A44B-8E45-87AE-08AECD33E09D}" name="TAG" totalsRowLabel="Total" dataDxfId="115" totalsRowDxfId="114"/>
    <tableColumn id="2" xr3:uid="{C741F4EF-D022-3147-B8E2-8A68ED8EF0CC}" name="(CFM)" totalsRowFunction="sum" dataDxfId="113" totalsRowDxfId="112">
      <calculatedColumnFormula>#REF!</calculatedColumnFormula>
    </tableColumn>
    <tableColumn id="3" xr3:uid="{C6A2D6A3-4809-A245-A511-1795421C653D}" name="SF ESP" dataDxfId="111" totalsRowDxfId="110"/>
    <tableColumn id="4" xr3:uid="{8F33E354-148B-E049-A9AB-2FEBF1D2ABCF}" name="(CFM)2" dataDxfId="109" totalsRowDxfId="108">
      <calculatedColumnFormula>#REF!</calculatedColumnFormula>
    </tableColumn>
    <tableColumn id="5" xr3:uid="{484AF528-CB4D-ED45-8EAC-187579FFF5C8}" name="RF ESP" dataDxfId="107" totalsRowDxfId="106"/>
    <tableColumn id="6" xr3:uid="{44289BD7-7B7A-5040-A9C3-A81E708605BA}" name="(˚F db)" dataDxfId="105" totalsRowDxfId="104"/>
    <tableColumn id="7" xr3:uid="{A118C93B-9473-8340-A213-7536CC01FA69}" name="(˚F wb)" dataDxfId="103" totalsRowDxfId="102"/>
    <tableColumn id="8" xr3:uid="{BA4E1C0D-A98F-C94F-B5DE-2C36AC9D0BA3}" name="(CFM)3" dataDxfId="101" totalsRowDxfId="100">
      <calculatedColumnFormula>#REF!</calculatedColumnFormula>
    </tableColumn>
    <tableColumn id="9" xr3:uid="{8E2A683D-7B4C-954E-A75A-56B4A8A15F0B}" name="(˚F db)4" dataDxfId="99" totalsRowDxfId="98">
      <calculatedColumnFormula>INPUT_OUTPUTS!$C$8</calculatedColumnFormula>
    </tableColumn>
    <tableColumn id="10" xr3:uid="{D83D5AD6-51F5-5E4B-BE3C-C238ECC50CFF}" name="(˚F wb)5" dataDxfId="97" totalsRowDxfId="96">
      <calculatedColumnFormula>INPUT_OUTPUTS!$C$9</calculatedColumnFormula>
    </tableColumn>
    <tableColumn id="11" xr3:uid="{58DDBF84-EFFA-734F-B069-FD929AE8505B}" name="(CFM)6" dataDxfId="95" totalsRowDxfId="94">
      <calculatedColumnFormula>Table7[[#This Row],[(CFM)3]]</calculatedColumnFormula>
    </tableColumn>
    <tableColumn id="12" xr3:uid="{7D7925B1-33E7-A84F-AAEC-67A01BBE986C}" name="(˚F db)7" dataDxfId="93" totalsRowDxfId="92">
      <calculatedColumnFormula>INPUT_OUTPUTS!$C$10</calculatedColumnFormula>
    </tableColumn>
    <tableColumn id="13" xr3:uid="{9E21E0BF-E9C5-C54C-9B8C-005C0935E109}" name="(˚F wb)8" dataDxfId="91" totalsRowDxfId="90">
      <calculatedColumnFormula>INPUT_OUTPUTS!$C$11</calculatedColumnFormula>
    </tableColumn>
    <tableColumn id="14" xr3:uid="{AC23D981-3B01-5147-97B6-3252A7FC953B}" name="(˚F db)9" dataDxfId="89" totalsRowDxfId="88">
      <calculatedColumnFormula>INPUT_OUTPUTS!$F$8</calculatedColumnFormula>
    </tableColumn>
    <tableColumn id="15" xr3:uid="{DB54E7DD-3A47-6447-A89B-94C85E52BE7D}" name="(CFM)10" dataDxfId="87" totalsRowDxfId="86">
      <calculatedColumnFormula>D12+H12-B12</calculatedColumnFormula>
    </tableColumn>
    <tableColumn id="16" xr3:uid="{4FEC2D7C-9758-744F-A9BF-FBA46547E062}" name="(˚F db)11" dataDxfId="85" totalsRowDxfId="84">
      <calculatedColumnFormula>F12*((D12-O12)/B12) + I12*(H12/B12)</calculatedColumnFormula>
    </tableColumn>
    <tableColumn id="17" xr3:uid="{B005BDD5-39CF-2B47-842F-C982BA9FC7E1}" name="(˚F wb)12" dataDxfId="83" totalsRowDxfId="82">
      <calculatedColumnFormula>TRUNC(G12*((D12-O12)/B12) + J12*(H12/B12),1)</calculatedColumnFormula>
    </tableColumn>
    <tableColumn id="18" xr3:uid="{5AC4E564-0F72-0E49-B041-B5DE3FD4DD18}" name="(h)" dataDxfId="81" totalsRowDxfId="8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79" totalsRowDxfId="78"/>
    <tableColumn id="20" xr3:uid="{069031AB-30B0-304F-BA24-44B4C6E6101C}" name="(˚F wb)14" dataDxfId="77" totalsRowDxfId="76"/>
    <tableColumn id="21" xr3:uid="{1EA24A2B-BE77-6945-9098-6C4501A9902F}" name="(h)15" dataDxfId="75" totalsRowDxfId="74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73" totalsRowDxfId="72">
      <calculatedColumnFormula>B12*1.085*(P12-S12)</calculatedColumnFormula>
    </tableColumn>
    <tableColumn id="23" xr3:uid="{02C21CA2-732A-8C4C-93ED-640017544BD3}" name="(Btu/hr)16" dataDxfId="71" totalsRowDxfId="70">
      <calculatedColumnFormula>4.5*B12*(R12-U12)</calculatedColumnFormula>
    </tableColumn>
    <tableColumn id="24" xr3:uid="{80183150-6317-2C46-B9FB-5600693E1D79}" name="(Tons)" dataDxfId="69" totalsRowDxfId="68">
      <calculatedColumnFormula>IF(W12&lt;V12,"INVALID POINT",W12/12000)</calculatedColumnFormula>
    </tableColumn>
    <tableColumn id="25" xr3:uid="{8AF1DEDF-1446-A54C-A718-1F4A80DCED1F}" name="(˚F db)17" dataDxfId="67" totalsRowDxfId="66">
      <calculatedColumnFormula>INPUT_OUTPUTS!$C$14</calculatedColumnFormula>
    </tableColumn>
    <tableColumn id="26" xr3:uid="{30713AF6-10A7-A640-9A81-7C9C656F28C6}" name="(˚F db)18" dataDxfId="65" totalsRowDxfId="64">
      <calculatedColumnFormula>INPUT_OUTPUTS!$C$15</calculatedColumnFormula>
    </tableColumn>
    <tableColumn id="27" xr3:uid="{07E9B9A3-68BD-0040-B64A-445B4F7DB78B}" name="GPM" totalsRowFunction="sum" dataDxfId="63" totalsRowDxfId="62">
      <calculatedColumnFormula>W12/(500*(Z12-Y12))</calculatedColumnFormula>
    </tableColumn>
    <tableColumn id="28" xr3:uid="{63A1C04A-F0C1-344B-9C91-CDCBB09CC808}" name="(˚F db)19" dataDxfId="61" totalsRowDxfId="60">
      <calculatedColumnFormula>F12*((D12-O12)/B12) + L12*(H12/B12)</calculatedColumnFormula>
    </tableColumn>
    <tableColumn id="29" xr3:uid="{6B8C516D-DE70-BF40-8E5C-0B23062187E5}" name="(˚F wb)20" dataDxfId="59" totalsRowDxfId="58">
      <calculatedColumnFormula>G12*((D12-O12)/B12) + M12*(H12/B12)</calculatedColumnFormula>
    </tableColumn>
    <tableColumn id="30" xr3:uid="{045EE11E-9647-ED4C-9652-8752BBE74982}" name="(h)21" dataDxfId="57" totalsRowDxfId="56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55" totalsRowDxfId="54">
      <calculatedColumnFormula>Table7[[#This Row],[(˚F db)13]]</calculatedColumnFormula>
    </tableColumn>
    <tableColumn id="32" xr3:uid="{5E7C32E8-28E9-554C-93A3-4ED479273F5C}" name="(˚F wb)23" dataDxfId="53" totalsRowDxfId="52">
      <calculatedColumnFormula>Table7[[#This Row],[(˚F wb)14]]</calculatedColumnFormula>
    </tableColumn>
    <tableColumn id="33" xr3:uid="{7EB81F19-A30A-5844-B465-95995C2169F1}" name="(h)24" dataDxfId="51" totalsRowDxfId="50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49" totalsRowDxfId="48"/>
    <tableColumn id="35" xr3:uid="{7A2C2E1E-1049-4241-8E5F-76BCC1035FE0}" name="(Btu/hr)26" dataDxfId="47" totalsRowDxfId="46"/>
    <tableColumn id="36" xr3:uid="{E80AE8D9-52CE-214F-8CAE-BBC7A25C1206}" name="(Btu/hr)27" dataDxfId="45" totalsRowDxfId="44">
      <calculatedColumnFormula>AI12+AH12</calculatedColumnFormula>
    </tableColumn>
    <tableColumn id="37" xr3:uid="{B86C10F8-CA05-8945-8F0F-F9E339D5FA04}" name="(Btu/hr)28" dataDxfId="43" totalsRowDxfId="42">
      <calculatedColumnFormula>B12*1.085*(AB12-AE12)</calculatedColumnFormula>
    </tableColumn>
    <tableColumn id="38" xr3:uid="{3C9101C2-66E5-5844-8571-55FD8B0FA8E4}" name="(Btu/hr)29" dataDxfId="41" totalsRowDxfId="40">
      <calculatedColumnFormula>4.5*B12*(AD12-AG12)</calculatedColumnFormula>
    </tableColumn>
    <tableColumn id="39" xr3:uid="{611DF507-C49C-8E40-9B22-204394B4D484}" name="(Tons)30" dataDxfId="39" totalsRowDxfId="38">
      <calculatedColumnFormula>IF(AL12&lt;AK12,"INVALID POINT",AL12/12000)</calculatedColumnFormula>
    </tableColumn>
    <tableColumn id="40" xr3:uid="{8D69DAB9-C665-1C40-8BEE-2F67013BDA9E}" name="(˚F db)31" dataDxfId="37" totalsRowDxfId="36">
      <calculatedColumnFormula>INPUT_OUTPUTS!$C$14</calculatedColumnFormula>
    </tableColumn>
    <tableColumn id="41" xr3:uid="{2C7A8B9E-09E2-C245-8AD4-9B511603B988}" name="(˚F db)32" dataDxfId="35" totalsRowDxfId="34">
      <calculatedColumnFormula>INPUT_OUTPUTS!$C$15</calculatedColumnFormula>
    </tableColumn>
    <tableColumn id="42" xr3:uid="{97B72D8E-BA89-4E4A-B5D1-F02C61433D68}" name="GPM33" totalsRowFunction="sum" dataDxfId="33" totalsRowDxfId="32">
      <calculatedColumnFormula>AL12/(500*(AO12-AN12))</calculatedColumnFormula>
    </tableColumn>
    <tableColumn id="43" xr3:uid="{EE7A438B-ECC2-DF4B-9129-EA55728EFC2E}" name="(Tons)34" totalsRowFunction="sum" dataDxfId="31" totalsRowDxfId="30">
      <calculatedColumnFormula>MAX(AM12,X12)</calculatedColumnFormula>
    </tableColumn>
    <tableColumn id="44" xr3:uid="{B68CC7E9-570D-A84E-8670-D3C2DEA54479}" name="(CFM)35" dataDxfId="29" totalsRowDxfId="28">
      <calculatedColumnFormula>B12/AM12</calculatedColumnFormula>
    </tableColumn>
    <tableColumn id="59" xr3:uid="{2F2BA6E3-EE55-BA45-94DB-4A9361068B22}" name="GPM MAX" totalsRowFunction="sum" dataDxfId="27" totalsRowDxfId="26">
      <calculatedColumnFormula>MAX(Table7[[#This Row],[GPM33]],Table7[[#This Row],[GPM]])</calculatedColumnFormula>
    </tableColumn>
    <tableColumn id="45" xr3:uid="{033D6B36-8B19-EB4B-A1E7-E7585C21489B}" name="(CFM)36" dataDxfId="25" totalsRowDxfId="24">
      <calculatedColumnFormula>B12</calculatedColumnFormula>
    </tableColumn>
    <tableColumn id="46" xr3:uid="{940C5796-789D-5B4A-9FCD-445173CBE38B}" name="(˚F db)37" dataDxfId="23" totalsRowDxfId="22">
      <calculatedColumnFormula>F12*((D12-O12)/B12) + N12*(H12/B12)</calculatedColumnFormula>
    </tableColumn>
    <tableColumn id="47" xr3:uid="{33252E21-E95C-E84B-AA5C-160823174238}" name="(˚F db)38" dataDxfId="21" totalsRowDxfId="20"/>
    <tableColumn id="48" xr3:uid="{F5FF0CC7-9CD6-DC4B-9AC8-6CF9532FE75F}" name="(MBH)" totalsRowFunction="sum" dataDxfId="19" totalsRowDxfId="18">
      <calculatedColumnFormula>AT12*1.085*(AV12-AU12)/1000</calculatedColumnFormula>
    </tableColumn>
    <tableColumn id="49" xr3:uid="{41191CD7-30B2-EE4D-850D-B2169746F6D6}" name="(˚F db)39" dataDxfId="17" totalsRowDxfId="16">
      <calculatedColumnFormula>INPUT_OUTPUTS!$C$16</calculatedColumnFormula>
    </tableColumn>
    <tableColumn id="50" xr3:uid="{4D3CE10E-9198-0E44-849F-6C7B4A36B8CE}" name="(˚F db)40" dataDxfId="15" totalsRowDxfId="14">
      <calculatedColumnFormula>INPUT_OUTPUTS!$C$17</calculatedColumnFormula>
    </tableColumn>
    <tableColumn id="51" xr3:uid="{01E8F924-565C-4D42-9E39-E87365245FFA}" name="GPM41" totalsRowFunction="sum" dataDxfId="13" totalsRowDxfId="12">
      <calculatedColumnFormula>(AW12*1000)/(500*(AX12-AY12))</calculatedColumnFormula>
    </tableColumn>
    <tableColumn id="52" xr3:uid="{682AB22E-7AB3-E544-B158-3A216817586F}" name="LBS/HR" dataDxfId="11" totalsRowDxfId="10"/>
    <tableColumn id="53" xr3:uid="{9FA51183-6547-7247-B2B7-FE2572F6FDB0}" name="LBS/HR42" dataDxfId="9" totalsRowDxfId="8">
      <calculatedColumnFormula>BA12*(K12/1000)</calculatedColumnFormula>
    </tableColumn>
    <tableColumn id="54" xr3:uid="{D0D7EAE6-3EA2-E244-8B8D-01899554629D}" name="(˚F db)43" dataDxfId="7" totalsRowDxfId="6"/>
    <tableColumn id="56" xr3:uid="{0D1DB506-119B-7043-BE7D-652B0413152C}" name="(˚F db)45" dataDxfId="5" totalsRowDxfId="4"/>
    <tableColumn id="60" xr3:uid="{3575FFB4-394C-DC4E-9487-884A377EB86A}" name="(˚F db)46" totalsRowFunction="sum" dataDxfId="3" totalsRowDxfId="2">
      <calculatedColumnFormula>AHU1_CAV_SCHEDULE[[#Totals],[GPM]]</calculatedColumnFormula>
    </tableColumn>
    <tableColumn id="57" xr3:uid="{C012C8FF-93AB-B94F-BC98-7474F441DD8E}" name="(mbh)46" totalsRowFunction="sum" dataDxfId="1" totalsRowDxfId="0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EB236BF-96EC-49B5-8BA4-499B9E065752}">
    <text>Import zone from Revit</text>
  </threadedComment>
  <threadedComment ref="C6" dT="2023-01-20T01:59:19.81" personId="{4EB4B6F3-1969-DB48-B081-3832009A33BA}" id="{F3805313-9594-4879-97F7-C7F6BC6FA04D}">
    <text>Import room from Revit</text>
  </threadedComment>
  <threadedComment ref="D6" dT="2023-01-20T01:59:37.35" personId="{4EB4B6F3-1969-DB48-B081-3832009A33BA}" id="{79E2D205-4C0A-4CD0-B8C3-196BEA6A5A96}">
    <text>Import room number from Revit</text>
  </threadedComment>
  <threadedComment ref="E6" dT="2023-01-20T01:59:56.66" personId="{4EB4B6F3-1969-DB48-B081-3832009A33BA}" id="{D0D8592F-0566-41B7-8A79-9192C7826000}">
    <text>Import Area from Revit</text>
  </threadedComment>
  <threadedComment ref="F6" dT="2023-01-20T02:00:11.73" personId="{4EB4B6F3-1969-DB48-B081-3832009A33BA}" id="{B089C921-FDC4-4A6B-B948-ED102ADEB184}">
    <text>Import height from Revit</text>
  </threadedComment>
  <threadedComment ref="S6" dT="2023-01-20T02:57:22.76" personId="{4EB4B6F3-1969-DB48-B081-3832009A33BA}" id="{7BCC3E1E-8909-4463-B312-7092CF863315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B4252D-BCDF-40FF-A174-24027E009A53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D94D7604-232A-4310-AFDC-6999DCD981A4}">
    <text xml:space="preserve">Usually automatic, but check and edit as necessary. </text>
  </threadedComment>
  <threadedComment ref="Y6" dT="2023-01-20T02:57:47.98" personId="{4EB4B6F3-1969-DB48-B081-3832009A33BA}" id="{381BD25E-DD99-4D07-921D-0CCE48A78B96}">
    <text>All cells in this column must be green</text>
  </threadedComment>
  <threadedComment ref="AC6" dT="2023-01-20T03:02:14.75" personId="{4EB4B6F3-1969-DB48-B081-3832009A33BA}" id="{ADD193DE-B1A0-4122-A453-CDC2ED8CE3E5}">
    <text>Increase or decrease number of rows in this table to match the number of zones.</text>
  </threadedComment>
  <threadedComment ref="P80" dT="2023-01-20T02:10:44.44" personId="{4EB4B6F3-1969-DB48-B081-3832009A33BA}" id="{A6ADD465-29B6-48E2-82FA-7E9E8A8B6D93}">
    <text xml:space="preserve">This is a manual number added here when the percent outside air needs to be increased. </text>
  </threadedComment>
  <threadedComment ref="V81" dT="2023-01-20T04:37:46.99" personId="{4EB4B6F3-1969-DB48-B081-3832009A33BA}" id="{05D3C548-1DBA-4934-A29D-3298C9BD3481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73461C93-3BEE-4D26-AF41-9BE42C1833D7}">
    <text>Import zone from Revit</text>
  </threadedComment>
  <threadedComment ref="C6" dT="2023-01-20T01:59:19.81" personId="{4EB4B6F3-1969-DB48-B081-3832009A33BA}" id="{576D820F-6730-4C54-8E55-9C2E502D84BB}">
    <text>Import room from Revit</text>
  </threadedComment>
  <threadedComment ref="D6" dT="2023-01-20T01:59:37.35" personId="{4EB4B6F3-1969-DB48-B081-3832009A33BA}" id="{E2B54755-540C-42DA-B87D-2193FF865881}">
    <text>Import room number from Revit</text>
  </threadedComment>
  <threadedComment ref="E6" dT="2023-01-20T01:59:56.66" personId="{4EB4B6F3-1969-DB48-B081-3832009A33BA}" id="{3FDA59CC-BCBD-43DE-8F30-0097A9497158}">
    <text>Import Area from Revit</text>
  </threadedComment>
  <threadedComment ref="F6" dT="2023-01-20T02:00:11.73" personId="{4EB4B6F3-1969-DB48-B081-3832009A33BA}" id="{7F7039EF-AB0D-4827-81E6-50F548BB3FF9}">
    <text>Import height from Revit</text>
  </threadedComment>
  <threadedComment ref="S6" dT="2023-01-20T02:57:22.76" personId="{4EB4B6F3-1969-DB48-B081-3832009A33BA}" id="{E5B21D69-5054-464D-A064-505BBBD2F28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34D2BEF-E3FF-45EC-B605-7369A06E9688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72C7E3B9-E599-4314-8CB5-8D2BD0E161D9}">
    <text xml:space="preserve">Usually automatic, but check and edit as necessary. </text>
  </threadedComment>
  <threadedComment ref="Y6" dT="2023-01-20T02:57:47.98" personId="{4EB4B6F3-1969-DB48-B081-3832009A33BA}" id="{BD320EE2-E6DF-4B12-B6A5-C0E38FCFB9BF}">
    <text>All cells in this column must be green</text>
  </threadedComment>
  <threadedComment ref="AC6" dT="2023-01-20T03:02:14.75" personId="{4EB4B6F3-1969-DB48-B081-3832009A33BA}" id="{BA94528B-04A9-40A8-BB3A-BE8FD34AB5AC}">
    <text>Increase or decrease number of rows in this table to match the number of zones.</text>
  </threadedComment>
  <threadedComment ref="P80" dT="2023-01-20T02:10:44.44" personId="{4EB4B6F3-1969-DB48-B081-3832009A33BA}" id="{2A48AA0E-422E-4E35-A535-B30C2EB21269}">
    <text xml:space="preserve">This is a manual number added here when the percent outside air needs to be increased. </text>
  </threadedComment>
  <threadedComment ref="V81" dT="2023-01-20T04:37:46.99" personId="{4EB4B6F3-1969-DB48-B081-3832009A33BA}" id="{4BD97DE3-71E1-4DD6-B6CD-67BD557FAEF2}">
    <text>This is how much the building is positive or negative.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6.xml"/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Y29"/>
  <sheetViews>
    <sheetView showGridLines="0" showRowColHeaders="0" tabSelected="1" zoomScale="125" zoomScaleNormal="125" workbookViewId="0">
      <pane xSplit="26" ySplit="41" topLeftCell="AA42" activePane="bottomRight" state="frozen"/>
      <selection pane="topRight" activeCell="AA1" sqref="AA1"/>
      <selection pane="bottomLeft" activeCell="A42" sqref="A42"/>
      <selection pane="bottomRight" activeCell="M16" sqref="M16"/>
    </sheetView>
  </sheetViews>
  <sheetFormatPr defaultColWidth="8.85546875" defaultRowHeight="12.75"/>
  <cols>
    <col min="1" max="1" width="3.85546875" customWidth="1"/>
    <col min="2" max="2" width="14.28515625" bestFit="1" customWidth="1"/>
    <col min="3" max="3" width="11.42578125" customWidth="1"/>
    <col min="4" max="4" width="10.28515625" customWidth="1"/>
    <col min="5" max="5" width="12.7109375" customWidth="1"/>
    <col min="6" max="6" width="9.7109375" customWidth="1"/>
    <col min="7" max="7" width="11.5703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92" t="s">
        <v>401</v>
      </c>
      <c r="C2" s="204" t="s">
        <v>403</v>
      </c>
      <c r="D2" s="204"/>
      <c r="E2" s="192" t="s">
        <v>400</v>
      </c>
      <c r="F2" s="205">
        <v>44949</v>
      </c>
      <c r="G2" s="204"/>
    </row>
    <row r="3" spans="2:25">
      <c r="B3" s="74"/>
      <c r="C3" s="191"/>
      <c r="D3" s="191"/>
      <c r="V3" s="74" t="s">
        <v>242</v>
      </c>
      <c r="W3" s="74" t="s">
        <v>426</v>
      </c>
      <c r="X3" s="74" t="s">
        <v>429</v>
      </c>
      <c r="Y3" s="74" t="s">
        <v>436</v>
      </c>
    </row>
    <row r="4" spans="2:25">
      <c r="B4" s="206" t="s">
        <v>375</v>
      </c>
      <c r="C4" s="207"/>
      <c r="D4" s="207"/>
      <c r="E4" s="207"/>
      <c r="F4" s="207"/>
      <c r="G4" s="208"/>
      <c r="J4" s="209" t="s">
        <v>377</v>
      </c>
      <c r="K4" s="209"/>
      <c r="L4" s="209"/>
      <c r="V4" s="74" t="s">
        <v>410</v>
      </c>
      <c r="W4" s="74" t="s">
        <v>427</v>
      </c>
      <c r="X4" s="74" t="s">
        <v>430</v>
      </c>
      <c r="Y4" s="74" t="s">
        <v>437</v>
      </c>
    </row>
    <row r="5" spans="2:25">
      <c r="B5" s="210" t="s">
        <v>402</v>
      </c>
      <c r="C5" s="210"/>
      <c r="D5" s="210"/>
      <c r="E5" s="210"/>
      <c r="F5" s="210"/>
      <c r="G5" s="210"/>
      <c r="S5" s="74"/>
      <c r="W5" s="74" t="s">
        <v>428</v>
      </c>
      <c r="X5" s="74" t="s">
        <v>431</v>
      </c>
    </row>
    <row r="6" spans="2:25">
      <c r="B6" s="14"/>
      <c r="D6" s="17"/>
      <c r="E6" s="17"/>
      <c r="F6" s="14"/>
      <c r="J6" s="216" t="s">
        <v>399</v>
      </c>
      <c r="K6" s="217"/>
      <c r="L6" s="218"/>
      <c r="S6" s="74"/>
      <c r="X6" s="74" t="s">
        <v>432</v>
      </c>
    </row>
    <row r="7" spans="2:25">
      <c r="B7" s="209" t="s">
        <v>66</v>
      </c>
      <c r="C7" s="209"/>
      <c r="D7" s="209"/>
      <c r="E7" s="209" t="s">
        <v>67</v>
      </c>
      <c r="F7" s="209"/>
      <c r="G7" s="209"/>
      <c r="J7" s="188" t="s">
        <v>378</v>
      </c>
      <c r="K7" s="189">
        <f>Table7[[#Totals],[(Tons)34]]</f>
        <v>811.29074999999966</v>
      </c>
      <c r="L7" s="190" t="s">
        <v>379</v>
      </c>
      <c r="X7" s="74" t="s">
        <v>433</v>
      </c>
    </row>
    <row r="8" spans="2:25">
      <c r="B8" s="211" t="s">
        <v>68</v>
      </c>
      <c r="C8" s="195">
        <v>91</v>
      </c>
      <c r="D8" s="164" t="s">
        <v>9</v>
      </c>
      <c r="E8" s="211" t="s">
        <v>54</v>
      </c>
      <c r="F8" s="212">
        <v>38.9</v>
      </c>
      <c r="G8" s="211" t="s">
        <v>69</v>
      </c>
      <c r="J8" s="188" t="s">
        <v>382</v>
      </c>
      <c r="K8" s="189">
        <f>Table7[[#Totals],[GPM MAX]]</f>
        <v>1947.0977999999993</v>
      </c>
      <c r="L8" s="190" t="s">
        <v>383</v>
      </c>
      <c r="X8" s="74" t="s">
        <v>434</v>
      </c>
    </row>
    <row r="9" spans="2:25">
      <c r="B9" s="211"/>
      <c r="C9" s="195">
        <v>71</v>
      </c>
      <c r="D9" s="164" t="s">
        <v>32</v>
      </c>
      <c r="E9" s="211"/>
      <c r="F9" s="213"/>
      <c r="G9" s="211"/>
      <c r="J9" s="188" t="s">
        <v>380</v>
      </c>
      <c r="K9" s="189">
        <f>Table7[[#Totals],[(mbh)46]]</f>
        <v>454.09999999999991</v>
      </c>
      <c r="L9" s="190" t="s">
        <v>381</v>
      </c>
      <c r="X9" s="74" t="s">
        <v>435</v>
      </c>
    </row>
    <row r="10" spans="2:25">
      <c r="B10" s="211" t="s">
        <v>388</v>
      </c>
      <c r="C10" s="196">
        <v>80.400000000000006</v>
      </c>
      <c r="D10" s="164" t="s">
        <v>69</v>
      </c>
      <c r="E10" s="211" t="s">
        <v>91</v>
      </c>
      <c r="F10" s="195">
        <v>57.2</v>
      </c>
      <c r="G10" s="164" t="s">
        <v>69</v>
      </c>
      <c r="J10" s="188" t="s">
        <v>384</v>
      </c>
      <c r="K10" s="189">
        <f>Table7[[#Totals],[(˚F db)46]]</f>
        <v>74.205000000000013</v>
      </c>
      <c r="L10" s="190" t="s">
        <v>383</v>
      </c>
    </row>
    <row r="11" spans="2:25">
      <c r="B11" s="211"/>
      <c r="C11" s="196">
        <v>68.900000000000006</v>
      </c>
      <c r="D11" s="164" t="s">
        <v>32</v>
      </c>
      <c r="E11" s="211"/>
      <c r="F11" s="195">
        <v>12.7</v>
      </c>
      <c r="G11" s="164" t="s">
        <v>70</v>
      </c>
      <c r="J11" s="165"/>
      <c r="K11" s="165"/>
      <c r="L11" s="165"/>
    </row>
    <row r="12" spans="2:25">
      <c r="B12" s="14"/>
      <c r="D12" s="17"/>
      <c r="E12" s="17"/>
      <c r="J12" s="165"/>
      <c r="K12" s="165"/>
      <c r="L12" s="165"/>
    </row>
    <row r="13" spans="2:25">
      <c r="B13" s="209" t="s">
        <v>376</v>
      </c>
      <c r="C13" s="209"/>
      <c r="D13" s="209"/>
    </row>
    <row r="14" spans="2:25">
      <c r="B14" s="187" t="s">
        <v>307</v>
      </c>
      <c r="C14" s="196">
        <v>42</v>
      </c>
      <c r="D14" s="164" t="s">
        <v>308</v>
      </c>
    </row>
    <row r="15" spans="2:25">
      <c r="B15" s="187" t="s">
        <v>309</v>
      </c>
      <c r="C15" s="196">
        <v>52</v>
      </c>
      <c r="D15" s="164" t="s">
        <v>308</v>
      </c>
    </row>
    <row r="16" spans="2:25">
      <c r="B16" s="187" t="s">
        <v>310</v>
      </c>
      <c r="C16" s="196">
        <v>140</v>
      </c>
      <c r="D16" s="164" t="s">
        <v>308</v>
      </c>
    </row>
    <row r="17" spans="2:20">
      <c r="B17" s="187" t="s">
        <v>311</v>
      </c>
      <c r="C17" s="196">
        <v>100</v>
      </c>
      <c r="D17" s="164" t="s">
        <v>308</v>
      </c>
    </row>
    <row r="18" spans="2:20">
      <c r="B18" s="187" t="s">
        <v>312</v>
      </c>
      <c r="C18" s="197">
        <v>1.2</v>
      </c>
      <c r="D18" s="164" t="s">
        <v>313</v>
      </c>
    </row>
    <row r="19" spans="2:20">
      <c r="B19" s="187" t="s">
        <v>317</v>
      </c>
      <c r="C19" s="197" t="s">
        <v>318</v>
      </c>
      <c r="D19" s="164" t="s">
        <v>299</v>
      </c>
      <c r="H19" s="165"/>
      <c r="I19" s="165"/>
      <c r="J19" s="165"/>
      <c r="K19" s="165"/>
      <c r="L19" s="165"/>
    </row>
    <row r="20" spans="2:20">
      <c r="H20" s="165"/>
      <c r="I20" s="165"/>
      <c r="J20" s="215" t="s">
        <v>404</v>
      </c>
      <c r="K20" s="215"/>
      <c r="L20" s="165"/>
    </row>
    <row r="21" spans="2:20">
      <c r="H21" s="165"/>
      <c r="I21" s="165"/>
      <c r="J21" s="165"/>
      <c r="K21" s="165"/>
      <c r="L21" s="165"/>
    </row>
    <row r="23" spans="2:20">
      <c r="B23" s="214" t="s">
        <v>439</v>
      </c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</row>
    <row r="24" spans="2:20"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</row>
    <row r="25" spans="2:20" ht="22.5">
      <c r="B25" s="202" t="s">
        <v>406</v>
      </c>
      <c r="C25" s="198" t="s">
        <v>425</v>
      </c>
      <c r="D25" s="198" t="s">
        <v>424</v>
      </c>
      <c r="E25" s="198" t="s">
        <v>405</v>
      </c>
      <c r="F25" s="198" t="s">
        <v>407</v>
      </c>
      <c r="G25" s="198" t="s">
        <v>408</v>
      </c>
      <c r="H25" s="198" t="s">
        <v>411</v>
      </c>
      <c r="I25" s="198" t="s">
        <v>412</v>
      </c>
      <c r="J25" s="198" t="s">
        <v>413</v>
      </c>
      <c r="K25" s="198" t="s">
        <v>414</v>
      </c>
      <c r="L25" s="198" t="s">
        <v>415</v>
      </c>
      <c r="M25" s="198" t="s">
        <v>416</v>
      </c>
      <c r="N25" s="198" t="s">
        <v>417</v>
      </c>
      <c r="O25" s="198" t="s">
        <v>418</v>
      </c>
      <c r="P25" s="198" t="s">
        <v>419</v>
      </c>
      <c r="Q25" s="198" t="s">
        <v>420</v>
      </c>
      <c r="R25" s="198" t="s">
        <v>421</v>
      </c>
      <c r="S25" s="198" t="s">
        <v>422</v>
      </c>
      <c r="T25" s="199" t="s">
        <v>423</v>
      </c>
    </row>
    <row r="26" spans="2:20">
      <c r="B26" s="203" t="s">
        <v>409</v>
      </c>
      <c r="C26" s="196" t="s">
        <v>426</v>
      </c>
      <c r="D26" s="200"/>
      <c r="E26" s="200"/>
      <c r="F26" s="200"/>
      <c r="G26" s="200" t="s">
        <v>242</v>
      </c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1"/>
    </row>
    <row r="27" spans="2:20">
      <c r="B27" s="203" t="s">
        <v>394</v>
      </c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1"/>
    </row>
    <row r="28" spans="2:20">
      <c r="B28" s="203" t="s">
        <v>438</v>
      </c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1"/>
    </row>
    <row r="29" spans="2:20">
      <c r="K29" s="165"/>
      <c r="L29" s="165"/>
      <c r="M29" s="165"/>
      <c r="N29" s="165"/>
    </row>
  </sheetData>
  <mergeCells count="17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16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8 R26:T28" xr:uid="{57C62CAF-236A-4438-B44C-4554C59AA83F}">
      <formula1>$V$3:$V$4</formula1>
    </dataValidation>
    <dataValidation type="list" allowBlank="1" showInputMessage="1" showErrorMessage="1" sqref="C26:D28" xr:uid="{AB1B10D3-F427-400A-82FF-B6F1F44366B6}">
      <formula1>$W$3:$W$5</formula1>
    </dataValidation>
    <dataValidation type="list" allowBlank="1" showInputMessage="1" showErrorMessage="1" sqref="P26:P28" xr:uid="{1BE18A46-D051-4CA4-B717-7C8319AC5967}">
      <formula1>$X$3:$X$6</formula1>
    </dataValidation>
    <dataValidation type="list" allowBlank="1" showInputMessage="1" showErrorMessage="1" sqref="Q26:Q28" xr:uid="{7B280275-1915-41C0-BE13-14BD3110A14F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438150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628650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A21" zoomScale="85" zoomScaleNormal="85" zoomScaleSheetLayoutView="50" zoomScalePageLayoutView="80" workbookViewId="0">
      <selection activeCell="D62" sqref="D62:D63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21.85546875" bestFit="1" customWidth="1"/>
    <col min="14" max="14" width="71.57031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1.57031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487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395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D53B-AC3C-45F3-8662-19F170F40E56}">
  <sheetPr codeName="Sheet8">
    <tabColor indexed="43"/>
    <pageSetUpPr fitToPage="1"/>
  </sheetPr>
  <dimension ref="A1:BB104"/>
  <sheetViews>
    <sheetView showGridLines="0" topLeftCell="A56" zoomScale="85" zoomScaleNormal="85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AHU1_CAV_SCHEDULE4411[[#Totals],[GPM]]</f>
        <v>19</v>
      </c>
      <c r="BB2" s="75">
        <f>AHU1_CAV_SCHEDULE4411[[#Totals],[MIN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SUBTOTAL(109,AHU1_CAV_SCHEDULE4411[MIN MBH])</f>
        <v>0</v>
      </c>
      <c r="AN45" s="161"/>
      <c r="AO45" s="163">
        <f>SUBTOTAL(109,AHU1_CAV_SCHEDULE4411[GPM])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SUBTOTAL(109,AHU1_TABLE_4A4310[AREA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SUBTOTAL(109,AHU1_TABLE_4A4310[OSA CFM])</f>
        <v>36740</v>
      </c>
      <c r="Q79" s="123"/>
      <c r="R79" s="128">
        <f>SUBTOTAL(109,AHU1_TABLE_4A4310[CALCULATED SA CFM])</f>
        <v>110000</v>
      </c>
      <c r="S79" s="180">
        <f>SUBTOTAL(109,AHU1_TABLE_4A4310[DESIGN SA CFM])</f>
        <v>110000</v>
      </c>
      <c r="T79" s="180">
        <f>SUBTOTAL(109,AHU1_TABLE_4A4310[RA CFM])</f>
        <v>110000</v>
      </c>
      <c r="U79" s="181">
        <f>SUBTOTAL(109,AHU1_TABLE_4A4310[EA CFM])</f>
        <v>0</v>
      </c>
      <c r="V79" s="182">
        <f>SUBTOTAL(109,AHU1_TABLE_4A4310[Transfer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303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48C99717-E393-4ED2-A162-BD58CB52A04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76716-C698-47EC-806D-E49857F21D9C}">
  <sheetPr codeName="Sheet9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defaultColWidth="8.85546875" defaultRowHeight="12.75"/>
  <cols>
    <col min="1" max="1" width="2.85546875" customWidth="1"/>
    <col min="2" max="2" width="12.7109375" customWidth="1"/>
    <col min="3" max="3" width="9.85546875" style="15" bestFit="1" customWidth="1"/>
    <col min="4" max="4" width="14" style="73" bestFit="1" customWidth="1"/>
    <col min="5" max="5" width="16" style="15" bestFit="1" customWidth="1"/>
    <col min="6" max="6" width="9.85546875" style="15" bestFit="1" customWidth="1"/>
    <col min="7" max="7" width="12.7109375" bestFit="1" customWidth="1"/>
    <col min="8" max="8" width="11.42578125" style="18" bestFit="1" customWidth="1"/>
    <col min="9" max="10" width="7.7109375" customWidth="1"/>
    <col min="11" max="11" width="11.85546875" style="1" customWidth="1"/>
    <col min="12" max="12" width="12.7109375" customWidth="1"/>
    <col min="13" max="13" width="11.42578125" hidden="1" customWidth="1"/>
    <col min="14" max="14" width="64.28515625" style="1" bestFit="1" customWidth="1"/>
    <col min="15" max="15" width="25.42578125" style="1" bestFit="1" customWidth="1"/>
    <col min="16" max="16" width="12.85546875" customWidth="1"/>
    <col min="17" max="17" width="13" bestFit="1" customWidth="1"/>
    <col min="18" max="18" width="18" customWidth="1"/>
    <col min="19" max="19" width="22.85546875" style="1" customWidth="1"/>
    <col min="20" max="20" width="16.42578125" style="1" customWidth="1"/>
    <col min="21" max="21" width="10.140625" style="15" customWidth="1"/>
    <col min="22" max="22" width="10" style="1" customWidth="1"/>
    <col min="23" max="23" width="18" style="67" customWidth="1"/>
    <col min="24" max="24" width="11.28515625" customWidth="1"/>
    <col min="25" max="25" width="9.85546875" style="15" customWidth="1"/>
    <col min="26" max="26" width="15.85546875" style="15" customWidth="1"/>
    <col min="27" max="27" width="9.42578125" style="15" customWidth="1"/>
    <col min="28" max="28" width="22.42578125" style="15" bestFit="1" customWidth="1"/>
    <col min="29" max="29" width="10.140625" style="15" bestFit="1" customWidth="1"/>
    <col min="30" max="30" width="18.42578125" style="68" bestFit="1" customWidth="1"/>
    <col min="31" max="31" width="22" style="68" bestFit="1" customWidth="1"/>
    <col min="32" max="32" width="7.28515625" style="68" customWidth="1"/>
    <col min="33" max="33" width="18" style="46" customWidth="1"/>
    <col min="34" max="34" width="9.85546875" style="46" customWidth="1"/>
    <col min="35" max="35" width="14.140625" style="46" bestFit="1" customWidth="1"/>
    <col min="36" max="36" width="8.42578125" hidden="1" customWidth="1"/>
    <col min="37" max="37" width="9.28515625" customWidth="1"/>
    <col min="38" max="38" width="7.140625" customWidth="1"/>
    <col min="39" max="39" width="5.85546875" customWidth="1"/>
    <col min="40" max="40" width="5.85546875" hidden="1" customWidth="1"/>
    <col min="41" max="41" width="8.85546875" customWidth="1"/>
    <col min="42" max="42" width="8.28515625" bestFit="1" customWidth="1"/>
    <col min="43" max="43" width="9.7109375" bestFit="1" customWidth="1"/>
    <col min="44" max="44" width="10.42578125" bestFit="1" customWidth="1"/>
    <col min="45" max="45" width="12.42578125" customWidth="1"/>
    <col min="46" max="46" width="12.85546875" bestFit="1" customWidth="1"/>
    <col min="49" max="51" width="9.285156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.25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AHU1_CAV_SCHEDULE4420[[#Totals],[GPM]]</f>
        <v>19</v>
      </c>
      <c r="BB2" s="75">
        <f>AHU1_CAV_SCHEDULE4420[[#Totals],[MIN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.1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SUBTOTAL(109,AHU1_CAV_SCHEDULE4420[MIN MBH])</f>
        <v>0</v>
      </c>
      <c r="AN45" s="161"/>
      <c r="AO45" s="163">
        <f>SUBTOTAL(109,AHU1_CAV_SCHEDULE4420[GPM])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SUBTOTAL(109,AHU1_TABLE_4A4319[AREA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SUBTOTAL(109,AHU1_TABLE_4A4319[OSA CFM])</f>
        <v>36740</v>
      </c>
      <c r="Q79" s="123"/>
      <c r="R79" s="128">
        <f>SUBTOTAL(109,AHU1_TABLE_4A4319[CALCULATED SA CFM])</f>
        <v>110000</v>
      </c>
      <c r="S79" s="180">
        <f>SUBTOTAL(109,AHU1_TABLE_4A4319[DESIGN SA CFM])</f>
        <v>110000</v>
      </c>
      <c r="T79" s="180">
        <f>SUBTOTAL(109,AHU1_TABLE_4A4319[RA CFM])</f>
        <v>110000</v>
      </c>
      <c r="U79" s="181">
        <f>SUBTOTAL(109,AHU1_TABLE_4A4319[EA CFM])</f>
        <v>0</v>
      </c>
      <c r="V79" s="182">
        <f>SUBTOTAL(109,AHU1_TABLE_4A4319[Transfer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6.2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1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B7964001-4C2F-4416-99D3-9EC4D5CD6D2E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6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2" sqref="B12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84"/>
      <c r="D2" s="184"/>
    </row>
    <row r="8" spans="1:58" s="166" customFormat="1" ht="12.95" customHeight="1">
      <c r="A8" s="240"/>
      <c r="B8" s="241" t="s">
        <v>50</v>
      </c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 t="s">
        <v>51</v>
      </c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 t="s">
        <v>52</v>
      </c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 t="s">
        <v>53</v>
      </c>
      <c r="AR8" s="241"/>
      <c r="AS8" s="241"/>
      <c r="AT8" s="241" t="s">
        <v>107</v>
      </c>
      <c r="AU8" s="241"/>
      <c r="AV8" s="241"/>
      <c r="AW8" s="241"/>
      <c r="AX8" s="241"/>
      <c r="AY8" s="241"/>
      <c r="AZ8" s="241"/>
      <c r="BA8" s="241" t="s">
        <v>91</v>
      </c>
      <c r="BB8" s="241"/>
      <c r="BC8" s="241" t="s">
        <v>55</v>
      </c>
      <c r="BD8" s="241"/>
      <c r="BE8" s="241"/>
      <c r="BF8" s="241"/>
    </row>
    <row r="9" spans="1:58" s="74" customFormat="1" ht="32.25" customHeight="1">
      <c r="A9" s="240"/>
      <c r="B9" s="239" t="s">
        <v>19</v>
      </c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40" t="s">
        <v>56</v>
      </c>
      <c r="P9" s="239" t="s">
        <v>57</v>
      </c>
      <c r="Q9" s="239"/>
      <c r="R9" s="239"/>
      <c r="S9" s="239"/>
      <c r="T9" s="239"/>
      <c r="U9" s="239"/>
      <c r="V9" s="242" t="s">
        <v>59</v>
      </c>
      <c r="W9" s="242"/>
      <c r="X9" s="243" t="s">
        <v>391</v>
      </c>
      <c r="Y9" s="240" t="s">
        <v>390</v>
      </c>
      <c r="Z9" s="240"/>
      <c r="AA9" s="240"/>
      <c r="AB9" s="239" t="s">
        <v>57</v>
      </c>
      <c r="AC9" s="239"/>
      <c r="AD9" s="239"/>
      <c r="AE9" s="239"/>
      <c r="AF9" s="239"/>
      <c r="AG9" s="239"/>
      <c r="AH9" s="239" t="s">
        <v>58</v>
      </c>
      <c r="AI9" s="239"/>
      <c r="AJ9" s="239"/>
      <c r="AK9" s="242" t="s">
        <v>60</v>
      </c>
      <c r="AL9" s="242"/>
      <c r="AM9" s="243" t="s">
        <v>391</v>
      </c>
      <c r="AN9" s="240" t="s">
        <v>255</v>
      </c>
      <c r="AO9" s="240"/>
      <c r="AP9" s="240"/>
      <c r="AQ9" s="243" t="s">
        <v>392</v>
      </c>
      <c r="AR9" s="239" t="s">
        <v>33</v>
      </c>
      <c r="AS9" s="239" t="s">
        <v>374</v>
      </c>
      <c r="AT9" s="94"/>
      <c r="AU9" s="239" t="s">
        <v>36</v>
      </c>
      <c r="AV9" s="239"/>
      <c r="AW9" s="94" t="s">
        <v>20</v>
      </c>
      <c r="AX9" s="240" t="s">
        <v>258</v>
      </c>
      <c r="AY9" s="240"/>
      <c r="AZ9" s="240"/>
      <c r="BA9" s="242" t="s">
        <v>94</v>
      </c>
      <c r="BB9" s="239" t="s">
        <v>93</v>
      </c>
      <c r="BC9" s="94"/>
      <c r="BD9" s="94"/>
      <c r="BE9" s="94"/>
      <c r="BF9" s="52"/>
    </row>
    <row r="10" spans="1:58" s="74" customFormat="1" ht="25.5">
      <c r="A10" s="240"/>
      <c r="B10" s="108" t="s">
        <v>21</v>
      </c>
      <c r="C10" s="108"/>
      <c r="D10" s="240" t="s">
        <v>61</v>
      </c>
      <c r="E10" s="240"/>
      <c r="F10" s="240"/>
      <c r="G10" s="240"/>
      <c r="H10" s="240" t="s">
        <v>389</v>
      </c>
      <c r="I10" s="240"/>
      <c r="J10" s="240"/>
      <c r="K10" s="240" t="s">
        <v>62</v>
      </c>
      <c r="L10" s="240"/>
      <c r="M10" s="240"/>
      <c r="N10" s="108" t="s">
        <v>63</v>
      </c>
      <c r="O10" s="240"/>
      <c r="P10" s="240" t="s">
        <v>22</v>
      </c>
      <c r="Q10" s="240"/>
      <c r="R10" s="240"/>
      <c r="S10" s="240" t="s">
        <v>23</v>
      </c>
      <c r="T10" s="240"/>
      <c r="U10" s="240"/>
      <c r="V10" s="108" t="s">
        <v>24</v>
      </c>
      <c r="W10" s="108" t="s">
        <v>25</v>
      </c>
      <c r="X10" s="243"/>
      <c r="Y10" s="240"/>
      <c r="Z10" s="240"/>
      <c r="AA10" s="240"/>
      <c r="AB10" s="240" t="s">
        <v>22</v>
      </c>
      <c r="AC10" s="240"/>
      <c r="AD10" s="240"/>
      <c r="AE10" s="240" t="s">
        <v>23</v>
      </c>
      <c r="AF10" s="240"/>
      <c r="AG10" s="240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43"/>
      <c r="AN10" s="55" t="s">
        <v>46</v>
      </c>
      <c r="AO10" s="55" t="s">
        <v>256</v>
      </c>
      <c r="AP10" s="108" t="s">
        <v>257</v>
      </c>
      <c r="AQ10" s="243"/>
      <c r="AR10" s="239"/>
      <c r="AS10" s="239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42"/>
      <c r="BB10" s="239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6.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6.5">
      <c r="A12" s="54" t="s">
        <v>393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8900</v>
      </c>
      <c r="P12" s="52">
        <f t="shared" ref="P12" si="1">F12*((D12-O12)/B12) + I12*(H12/B12)</f>
        <v>84.84615384615384</v>
      </c>
      <c r="Q12" s="52">
        <f t="shared" ref="Q12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547273.99999999988</v>
      </c>
      <c r="W12" s="109">
        <f t="shared" ref="W12" si="4">4.5*B12*(R12-U12)</f>
        <v>682929</v>
      </c>
      <c r="X12" s="55">
        <f>IF(W12&lt;V12,"INVALID POINT",W12/12000)</f>
        <v>56.91075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136.58580000000001</v>
      </c>
      <c r="AB12" s="52">
        <f t="shared" ref="AB12" si="6">F12*((D12-O12)/B12) + L12*(H12/B12)</f>
        <v>79.263905325443787</v>
      </c>
      <c r="AC12" s="52">
        <f t="shared" ref="AC12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444915.1</v>
      </c>
      <c r="AL12" s="109">
        <f t="shared" ref="AL12" si="10">4.5*B12*(AD12-AG12)</f>
        <v>625130.99999999988</v>
      </c>
      <c r="AM12" s="52">
        <f>IF(AL12&lt;AK12,"INVALID POINT",AL12/12000)</f>
        <v>52.094249999999988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125.02619999999997</v>
      </c>
      <c r="AQ12" s="52">
        <f t="shared" ref="AQ12" si="12">MAX(AM12,X12)</f>
        <v>56.91075</v>
      </c>
      <c r="AR12" s="158">
        <f t="shared" ref="AR12" si="13">B12/AM12</f>
        <v>324.41200324412011</v>
      </c>
      <c r="AS12" s="158">
        <f>MAX(Table7[[#This Row],[GPM33]],Table7[[#This Row],[GPM]])</f>
        <v>136.58580000000001</v>
      </c>
      <c r="AT12" s="109">
        <f t="shared" ref="AT12" si="14">B12</f>
        <v>16900</v>
      </c>
      <c r="AU12" s="52">
        <f t="shared" ref="AU12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6.9597325000000012</v>
      </c>
      <c r="BA12" s="111"/>
      <c r="BB12" s="55">
        <f t="shared" ref="BB12" si="17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6.5">
      <c r="A13" s="185" t="s">
        <v>394</v>
      </c>
      <c r="B13" s="109">
        <f>'AHU 2'!$AW$2</f>
        <v>132000</v>
      </c>
      <c r="C13" s="110"/>
      <c r="D13" s="109">
        <f>'AHU 2'!$AX$2</f>
        <v>132000</v>
      </c>
      <c r="E13" s="52"/>
      <c r="F13" s="156">
        <v>78</v>
      </c>
      <c r="G13" s="156">
        <v>60</v>
      </c>
      <c r="H13" s="109">
        <f>'AHU 2'!$AY$2</f>
        <v>47300</v>
      </c>
      <c r="I13" s="52">
        <f>INPUT_OUTPUTS!$C$8</f>
        <v>91</v>
      </c>
      <c r="J13" s="52">
        <f>INPUT_OUTPUTS!$C$9</f>
        <v>71</v>
      </c>
      <c r="K13" s="109">
        <f>Table7[[#This Row],[(CFM)3]]</f>
        <v>47300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>D13+H13-B13</f>
        <v>47300</v>
      </c>
      <c r="P13" s="52">
        <f>F13*((D13-O13)/B13) + I13*(H13/B13)</f>
        <v>82.658333333333331</v>
      </c>
      <c r="Q13" s="52">
        <f>TRUNC(G13*((D13-O13)/B13) + J13*(H13/B13),1)</f>
        <v>63.9</v>
      </c>
      <c r="R13" s="107">
        <f>VLOOKUP(FLOOR(Q13,1),'DO NOT TOUCH'!$A$7:$K$57,MATCH(ROUND((Q13-FLOOR(Q13,1)),1),'DO NOT TOUCH'!$A$6:$K$6,0),FALSE)</f>
        <v>29.24</v>
      </c>
      <c r="S13" s="186">
        <v>55</v>
      </c>
      <c r="T13" s="186">
        <v>52.3</v>
      </c>
      <c r="U13" s="52">
        <f>VLOOKUP(FLOOR(T13,1),'DO NOT TOUCH'!$A$7:$K$57,MATCH(ROUND((T13-FLOOR(T13,1)),1),'DO NOT TOUCH'!$A$6:$K$6,0),FALSE)</f>
        <v>21.62</v>
      </c>
      <c r="V13" s="109">
        <f>B13*1.085*(P13-S13)</f>
        <v>3961226.4999999995</v>
      </c>
      <c r="W13" s="109">
        <f>4.5*B13*(R13-U13)</f>
        <v>4526279.9999999981</v>
      </c>
      <c r="X13" s="55">
        <f>IF(W13&lt;V13,"INVALID POINT",W13/12000)</f>
        <v>377.18999999999983</v>
      </c>
      <c r="Y13" s="55">
        <f>INPUT_OUTPUTS!$C$14</f>
        <v>42</v>
      </c>
      <c r="Z13" s="55">
        <f>INPUT_OUTPUTS!$C$15</f>
        <v>52</v>
      </c>
      <c r="AA13" s="157">
        <f>W13/(500*(Z13-Y13))</f>
        <v>905.25599999999963</v>
      </c>
      <c r="AB13" s="52">
        <f>F13*((D13-O13)/B13) + L13*(H13/B13)</f>
        <v>78.860000000000014</v>
      </c>
      <c r="AC13" s="52">
        <f>G13*((D13-O13)/B13) + M13*(H13/B13)</f>
        <v>63.189166666666665</v>
      </c>
      <c r="AD13" s="52">
        <f>VLOOKUP(FLOOR(AC13,1),'DO NOT TOUCH'!$A$7:$K$57,MATCH(ROUND((AC13-FLOOR(AC13,1)),1),'DO NOT TOUCH'!$A$6:$K$6,0),FALSE)</f>
        <v>28.72</v>
      </c>
      <c r="AE13" s="52">
        <f>Table7[[#This Row],[(˚F db)13]]</f>
        <v>55</v>
      </c>
      <c r="AF13" s="52">
        <f>Table7[[#This Row],[(˚F wb)14]]</f>
        <v>52.3</v>
      </c>
      <c r="AG13" s="52">
        <f>VLOOKUP(FLOOR(AF13,1),'DO NOT TOUCH'!$A$7:$K$57,MATCH(ROUND((AF13-FLOOR(AF13,1)),1),'DO NOT TOUCH'!$A$6:$K$6,0),FALSE)</f>
        <v>21.62</v>
      </c>
      <c r="AH13" s="53"/>
      <c r="AI13" s="53"/>
      <c r="AJ13" s="54">
        <f>AI13+AH13</f>
        <v>0</v>
      </c>
      <c r="AK13" s="109">
        <f>B13*1.085*(AB13-AE13)</f>
        <v>3417229.200000002</v>
      </c>
      <c r="AL13" s="109">
        <f>4.5*B13*(AD13-AG13)</f>
        <v>4217399.9999999991</v>
      </c>
      <c r="AM13" s="52">
        <f>IF(AL13&lt;AK13,"INVALID POINT",AL13/12000)</f>
        <v>351.44999999999993</v>
      </c>
      <c r="AN13" s="55">
        <f>INPUT_OUTPUTS!$C$14</f>
        <v>42</v>
      </c>
      <c r="AO13" s="55">
        <f>INPUT_OUTPUTS!$C$15</f>
        <v>52</v>
      </c>
      <c r="AP13" s="157">
        <f>AL13/(500*(AO13-AN13))</f>
        <v>843.47999999999979</v>
      </c>
      <c r="AQ13" s="52">
        <f>MAX(AM13,X13)</f>
        <v>377.18999999999983</v>
      </c>
      <c r="AR13" s="158">
        <f>B13/AM13</f>
        <v>375.58685446009395</v>
      </c>
      <c r="AS13" s="158">
        <f>MAX(Table7[[#This Row],[GPM33]],Table7[[#This Row],[GPM]])</f>
        <v>905.25599999999963</v>
      </c>
      <c r="AT13" s="109">
        <f>B13</f>
        <v>132000</v>
      </c>
      <c r="AU13" s="52">
        <f>F13*((D13-O13)/B13) + N13*(H13/B13)</f>
        <v>63.989166666666669</v>
      </c>
      <c r="AV13" s="52"/>
      <c r="AW13" s="109">
        <f>AT13*1.085*(AV13-AU13)/1000</f>
        <v>-9164.5284500000016</v>
      </c>
      <c r="AX13" s="55">
        <f>INPUT_OUTPUTS!$C$16</f>
        <v>140</v>
      </c>
      <c r="AY13" s="55">
        <f>INPUT_OUTPUTS!$C$17</f>
        <v>100</v>
      </c>
      <c r="AZ13" s="157">
        <f>(AW13*1000)/(500*(AX13-AY13))</f>
        <v>-458.22642250000007</v>
      </c>
      <c r="BA13" s="111"/>
      <c r="BB13" s="55">
        <f>BA13*(K13/1000)</f>
        <v>0</v>
      </c>
      <c r="BC13" s="186">
        <v>55</v>
      </c>
      <c r="BD13" s="52" t="s">
        <v>296</v>
      </c>
      <c r="BE13" s="52">
        <f>'AHU 2'!$BA$2</f>
        <v>19</v>
      </c>
      <c r="BF13" s="193">
        <f>'AHU 2'!$BB$2</f>
        <v>0</v>
      </c>
    </row>
    <row r="14" spans="1:58" ht="16.5">
      <c r="A14" s="185" t="s">
        <v>438</v>
      </c>
      <c r="B14" s="109">
        <f>'AHU 3'!$AW$2</f>
        <v>132000</v>
      </c>
      <c r="C14" s="110"/>
      <c r="D14" s="109">
        <f>'AHU 3'!$AX$2</f>
        <v>132000</v>
      </c>
      <c r="E14" s="52"/>
      <c r="F14" s="156">
        <v>78</v>
      </c>
      <c r="G14" s="156">
        <v>60</v>
      </c>
      <c r="H14" s="109">
        <f>'AHU 3'!$AY$2</f>
        <v>47300</v>
      </c>
      <c r="I14" s="52">
        <f>INPUT_OUTPUTS!$C$8</f>
        <v>91</v>
      </c>
      <c r="J14" s="52">
        <f>INPUT_OUTPUTS!$C$9</f>
        <v>71</v>
      </c>
      <c r="K14" s="109">
        <f>Table7[[#This Row],[(CFM)3]]</f>
        <v>47300</v>
      </c>
      <c r="L14" s="52">
        <f>INPUT_OUTPUTS!$C$10</f>
        <v>80.400000000000006</v>
      </c>
      <c r="M14" s="52">
        <f>INPUT_OUTPUTS!$C$11</f>
        <v>68.900000000000006</v>
      </c>
      <c r="N14" s="52">
        <f>INPUT_OUTPUTS!$F$8</f>
        <v>38.9</v>
      </c>
      <c r="O14" s="109">
        <f>D14+H14-B14</f>
        <v>47300</v>
      </c>
      <c r="P14" s="52">
        <f>F14*((D14-O14)/B14) + I14*(H14/B14)</f>
        <v>82.658333333333331</v>
      </c>
      <c r="Q14" s="52">
        <f>TRUNC(G14*((D14-O14)/B14) + J14*(H14/B14),1)</f>
        <v>63.9</v>
      </c>
      <c r="R14" s="107">
        <f>VLOOKUP(FLOOR(Q14,1),'DO NOT TOUCH'!$A$7:$K$57,MATCH(ROUND((Q14-FLOOR(Q14,1)),1),'DO NOT TOUCH'!$A$6:$K$6,0),FALSE)</f>
        <v>29.24</v>
      </c>
      <c r="S14" s="186">
        <v>55</v>
      </c>
      <c r="T14" s="186">
        <v>52.3</v>
      </c>
      <c r="U14" s="52">
        <f>VLOOKUP(FLOOR(T14,1),'DO NOT TOUCH'!$A$7:$K$57,MATCH(ROUND((T14-FLOOR(T14,1)),1),'DO NOT TOUCH'!$A$6:$K$6,0),FALSE)</f>
        <v>21.62</v>
      </c>
      <c r="V14" s="109">
        <f>B14*1.085*(P14-S14)</f>
        <v>3961226.4999999995</v>
      </c>
      <c r="W14" s="109">
        <f>4.5*B14*(R14-U14)</f>
        <v>4526279.9999999981</v>
      </c>
      <c r="X14" s="55">
        <f>IF(W14&lt;V14,"INVALID POINT",W14/12000)</f>
        <v>377.18999999999983</v>
      </c>
      <c r="Y14" s="55">
        <f>INPUT_OUTPUTS!$C$14</f>
        <v>42</v>
      </c>
      <c r="Z14" s="55">
        <f>INPUT_OUTPUTS!$C$15</f>
        <v>52</v>
      </c>
      <c r="AA14" s="157">
        <f>W14/(500*(Z14-Y14))</f>
        <v>905.25599999999963</v>
      </c>
      <c r="AB14" s="52">
        <f>F14*((D14-O14)/B14) + L14*(H14/B14)</f>
        <v>78.860000000000014</v>
      </c>
      <c r="AC14" s="52">
        <f>G14*((D14-O14)/B14) + M14*(H14/B14)</f>
        <v>63.189166666666665</v>
      </c>
      <c r="AD14" s="52">
        <f>VLOOKUP(FLOOR(AC14,1),'DO NOT TOUCH'!$A$7:$K$57,MATCH(ROUND((AC14-FLOOR(AC14,1)),1),'DO NOT TOUCH'!$A$6:$K$6,0),FALSE)</f>
        <v>28.72</v>
      </c>
      <c r="AE14" s="52">
        <f>Table7[[#This Row],[(˚F db)13]]</f>
        <v>55</v>
      </c>
      <c r="AF14" s="52">
        <f>Table7[[#This Row],[(˚F wb)14]]</f>
        <v>52.3</v>
      </c>
      <c r="AG14" s="52">
        <f>VLOOKUP(FLOOR(AF14,1),'DO NOT TOUCH'!$A$7:$K$57,MATCH(ROUND((AF14-FLOOR(AF14,1)),1),'DO NOT TOUCH'!$A$6:$K$6,0),FALSE)</f>
        <v>21.62</v>
      </c>
      <c r="AH14" s="53"/>
      <c r="AI14" s="53"/>
      <c r="AJ14" s="54">
        <f>AI14+AH14</f>
        <v>0</v>
      </c>
      <c r="AK14" s="109">
        <f>B14*1.085*(AB14-AE14)</f>
        <v>3417229.200000002</v>
      </c>
      <c r="AL14" s="109">
        <f>4.5*B14*(AD14-AG14)</f>
        <v>4217399.9999999991</v>
      </c>
      <c r="AM14" s="52">
        <f>IF(AL14&lt;AK14,"INVALID POINT",AL14/12000)</f>
        <v>351.44999999999993</v>
      </c>
      <c r="AN14" s="55">
        <f>INPUT_OUTPUTS!$C$14</f>
        <v>42</v>
      </c>
      <c r="AO14" s="55">
        <f>INPUT_OUTPUTS!$C$15</f>
        <v>52</v>
      </c>
      <c r="AP14" s="157">
        <f>AL14/(500*(AO14-AN14))</f>
        <v>843.47999999999979</v>
      </c>
      <c r="AQ14" s="52">
        <f>MAX(AM14,X14)</f>
        <v>377.18999999999983</v>
      </c>
      <c r="AR14" s="158">
        <f>B14/AM14</f>
        <v>375.58685446009395</v>
      </c>
      <c r="AS14" s="158">
        <f>MAX(Table7[[#This Row],[GPM33]],Table7[[#This Row],[GPM]])</f>
        <v>905.25599999999963</v>
      </c>
      <c r="AT14" s="109">
        <f>B14</f>
        <v>132000</v>
      </c>
      <c r="AU14" s="52">
        <f>F14*((D14-O14)/B14) + N14*(H14/B14)</f>
        <v>63.989166666666669</v>
      </c>
      <c r="AV14" s="52"/>
      <c r="AW14" s="109">
        <f>AT14*1.085*(AV14-AU14)/1000</f>
        <v>-9164.5284500000016</v>
      </c>
      <c r="AX14" s="55">
        <f>INPUT_OUTPUTS!$C$16</f>
        <v>140</v>
      </c>
      <c r="AY14" s="55">
        <f>INPUT_OUTPUTS!$C$17</f>
        <v>100</v>
      </c>
      <c r="AZ14" s="157">
        <f>(AW14*1000)/(500*(AX14-AY14))</f>
        <v>-458.22642250000007</v>
      </c>
      <c r="BA14" s="111"/>
      <c r="BB14" s="55">
        <f>BA14*(K14/1000)</f>
        <v>0</v>
      </c>
      <c r="BC14" s="186">
        <v>55</v>
      </c>
      <c r="BD14" s="52" t="s">
        <v>296</v>
      </c>
      <c r="BE14" s="52">
        <f>'AHU 3'!$BA$2</f>
        <v>19</v>
      </c>
      <c r="BF14" s="193">
        <f>'AHU 3'!$BB$2</f>
        <v>0</v>
      </c>
    </row>
    <row r="15" spans="1:58" ht="18" thickBot="1">
      <c r="A15" s="173" t="s">
        <v>316</v>
      </c>
      <c r="B15" s="174">
        <f>SUBTOTAL(109,Table7[(CFM)])</f>
        <v>280900</v>
      </c>
      <c r="C15" s="173"/>
      <c r="D15" s="173"/>
      <c r="E15" s="173"/>
      <c r="F15" s="175"/>
      <c r="G15" s="175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6">
        <f>SUBTOTAL(109,Table7[GPM])</f>
        <v>1947.0977999999993</v>
      </c>
      <c r="AB15" s="173"/>
      <c r="AC15" s="173"/>
      <c r="AD15" s="173"/>
      <c r="AE15" s="175"/>
      <c r="AF15" s="175"/>
      <c r="AG15" s="173"/>
      <c r="AH15" s="177"/>
      <c r="AI15" s="177"/>
      <c r="AJ15" s="173"/>
      <c r="AK15" s="173"/>
      <c r="AL15" s="173"/>
      <c r="AM15" s="173"/>
      <c r="AN15" s="173"/>
      <c r="AO15" s="173"/>
      <c r="AP15" s="194">
        <f>SUBTOTAL(109,Table7[GPM33])</f>
        <v>1811.9861999999996</v>
      </c>
      <c r="AQ15" s="176">
        <f>SUBTOTAL(109,Table7[(Tons)34])</f>
        <v>811.29074999999966</v>
      </c>
      <c r="AR15" s="173"/>
      <c r="AS15" s="178">
        <f>SUBTOTAL(109,Table7[GPM MAX])</f>
        <v>1947.0977999999993</v>
      </c>
      <c r="AT15" s="173"/>
      <c r="AU15" s="173"/>
      <c r="AV15" s="173"/>
      <c r="AW15" s="178">
        <f>SUBTOTAL(109,Table7[(MBH)])</f>
        <v>-18189.862250000006</v>
      </c>
      <c r="AX15" s="173"/>
      <c r="AY15" s="173"/>
      <c r="AZ15" s="176">
        <f>SUBTOTAL(109,Table7[GPM41])</f>
        <v>-909.49311250000005</v>
      </c>
      <c r="BA15" s="175"/>
      <c r="BB15" s="173"/>
      <c r="BC15" s="173"/>
      <c r="BD15" s="173"/>
      <c r="BE15" s="176">
        <f>SUBTOTAL(109,Table7[(˚F db)46])</f>
        <v>74.205000000000013</v>
      </c>
      <c r="BF15" s="176">
        <f>SUBTOTAL(109,Table7[(mbh)46])</f>
        <v>454.09999999999991</v>
      </c>
    </row>
    <row r="16" spans="1:58" ht="17.25" thickTop="1">
      <c r="AL16" s="114"/>
    </row>
    <row r="17" spans="1:58" ht="16.5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18" spans="1:58" ht="16.5">
      <c r="T18" s="113"/>
      <c r="U18" s="113"/>
      <c r="AA18" s="153"/>
      <c r="AF18" s="113"/>
      <c r="AG18" s="113"/>
      <c r="AH18" s="112"/>
      <c r="AM18" s="153"/>
      <c r="AP18" s="153"/>
      <c r="AQ18" s="153"/>
      <c r="AZ18" s="153"/>
    </row>
    <row r="22" spans="1:58">
      <c r="O22" s="153"/>
    </row>
    <row r="25" spans="1:58">
      <c r="G25" s="183"/>
    </row>
    <row r="32" spans="1:58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</row>
    <row r="33" spans="1:5">
      <c r="A33" s="154"/>
      <c r="B33" s="154"/>
      <c r="E33" s="155"/>
    </row>
    <row r="34" spans="1:5">
      <c r="A34" s="154"/>
      <c r="B34" s="153"/>
      <c r="E34" s="155"/>
    </row>
    <row r="35" spans="1:5">
      <c r="A35" s="154"/>
      <c r="E35" s="155"/>
    </row>
    <row r="36" spans="1:5">
      <c r="E36" s="155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22" type="noConversion"/>
  <printOptions horizontalCentered="1" verticalCentered="1"/>
  <pageMargins left="0.25" right="0.25" top="0.75" bottom="0.75" header="0.3" footer="0.3"/>
  <pageSetup scale="28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2" customWidth="1"/>
    <col min="2" max="2" width="47.140625" style="2" customWidth="1"/>
    <col min="3" max="5" width="9.85546875" style="2" customWidth="1"/>
    <col min="6" max="6" width="3" style="2" customWidth="1"/>
    <col min="7" max="12" width="9.140625" style="2"/>
    <col min="13" max="13" width="34" style="2" bestFit="1" customWidth="1"/>
    <col min="14" max="16384" width="9.140625" style="2"/>
  </cols>
  <sheetData>
    <row r="1" spans="1:13" ht="15.75">
      <c r="A1" s="250" t="s">
        <v>1</v>
      </c>
      <c r="B1" s="250"/>
      <c r="C1" s="22"/>
      <c r="D1" s="22"/>
      <c r="F1" s="23" t="s">
        <v>2</v>
      </c>
    </row>
    <row r="2" spans="1:13" ht="15.75">
      <c r="A2" s="250"/>
      <c r="B2" s="250"/>
      <c r="C2" s="22"/>
      <c r="D2" s="22"/>
      <c r="F2" s="24" t="s">
        <v>49</v>
      </c>
    </row>
    <row r="3" spans="1:13">
      <c r="A3" s="251" t="s">
        <v>11</v>
      </c>
      <c r="B3" s="251"/>
      <c r="C3" s="251"/>
      <c r="D3" s="251"/>
      <c r="E3" s="251"/>
      <c r="F3" s="252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46" t="s">
        <v>3</v>
      </c>
      <c r="B6" s="244" t="s">
        <v>4</v>
      </c>
      <c r="C6" s="253" t="s">
        <v>5</v>
      </c>
      <c r="D6" s="253"/>
      <c r="E6" s="254" t="s">
        <v>6</v>
      </c>
    </row>
    <row r="7" spans="1:13">
      <c r="A7" s="247"/>
      <c r="B7" s="244"/>
      <c r="C7" s="244" t="s">
        <v>7</v>
      </c>
      <c r="D7" s="244" t="s">
        <v>8</v>
      </c>
      <c r="E7" s="254"/>
    </row>
    <row r="8" spans="1:13">
      <c r="A8" s="248"/>
      <c r="B8" s="244"/>
      <c r="C8" s="244"/>
      <c r="D8" s="244"/>
      <c r="E8" s="254"/>
    </row>
    <row r="9" spans="1:13">
      <c r="A9" s="249"/>
      <c r="B9" s="245"/>
      <c r="C9" s="245"/>
      <c r="D9" s="245"/>
      <c r="E9" s="255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56" t="s">
        <v>301</v>
      </c>
      <c r="B5" s="258" t="s">
        <v>302</v>
      </c>
      <c r="C5" s="259"/>
      <c r="D5" s="259"/>
      <c r="E5" s="259"/>
      <c r="F5" s="259"/>
      <c r="G5" s="259"/>
      <c r="H5" s="259"/>
      <c r="I5" s="259"/>
      <c r="J5" s="259"/>
      <c r="K5" s="260"/>
      <c r="P5" s="74" t="s">
        <v>315</v>
      </c>
    </row>
    <row r="6" spans="1:18">
      <c r="A6" s="257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.2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61" t="s">
        <v>73</v>
      </c>
      <c r="Q7" s="262"/>
      <c r="R7" s="263"/>
    </row>
    <row r="8" spans="1:18" ht="14.2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3.5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INPUT_OUTPUTS</vt:lpstr>
      <vt:lpstr>AHU 1</vt:lpstr>
      <vt:lpstr>Generic</vt:lpstr>
      <vt:lpstr>AHU 2</vt:lpstr>
      <vt:lpstr>AHU 3</vt:lpstr>
      <vt:lpstr>Psych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2'!AHUs</vt:lpstr>
      <vt:lpstr>'AHU 3'!AHUs</vt:lpstr>
      <vt:lpstr>Psych!AHUs</vt:lpstr>
      <vt:lpstr>AHUs</vt:lpstr>
      <vt:lpstr>'AHU 2'!CAV_1A_SCHEDULE</vt:lpstr>
      <vt:lpstr>'AHU 3'!CAV_1A_SCHEDULE</vt:lpstr>
      <vt:lpstr>Generic!CAV_1A_SCHEDULE</vt:lpstr>
      <vt:lpstr>CAV_1A_SCHEDULE</vt:lpstr>
      <vt:lpstr>'AHU 1'!Print_Area</vt:lpstr>
      <vt:lpstr>'AHU 2'!Print_Area</vt:lpstr>
      <vt:lpstr>'AHU 3'!Print_Area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rush@scengineers.net</cp:lastModifiedBy>
  <cp:lastPrinted>2023-02-10T22:28:20Z</cp:lastPrinted>
  <dcterms:created xsi:type="dcterms:W3CDTF">2001-05-17T15:02:58Z</dcterms:created>
  <dcterms:modified xsi:type="dcterms:W3CDTF">2023-02-11T00:49:43Z</dcterms:modified>
  <cp:category/>
</cp:coreProperties>
</file>