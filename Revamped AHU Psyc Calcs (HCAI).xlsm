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7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5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6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hraddhapatil/Documents/PsychroCalc/"/>
    </mc:Choice>
  </mc:AlternateContent>
  <xr:revisionPtr revIDLastSave="0" documentId="13_ncr:1_{20DC12B5-07D6-0046-816F-A4CC22586335}" xr6:coauthVersionLast="47" xr6:coauthVersionMax="47" xr10:uidLastSave="{00000000-0000-0000-0000-000000000000}"/>
  <bookViews>
    <workbookView xWindow="0" yWindow="720" windowWidth="29400" windowHeight="18400" xr2:uid="{00000000-000D-0000-FFFF-FFFF00000000}"/>
  </bookViews>
  <sheets>
    <sheet name="INPUT_OUTPUTS" sheetId="64" r:id="rId1"/>
    <sheet name="AHU 1" sheetId="48" r:id="rId2"/>
    <sheet name="AHU 2" sheetId="102" r:id="rId3"/>
    <sheet name="AHU 6" sheetId="107" r:id="rId4"/>
    <sheet name="AHU 5" sheetId="106" r:id="rId5"/>
    <sheet name="AHU 4" sheetId="105" r:id="rId6"/>
    <sheet name="AHU 3" sheetId="104" r:id="rId7"/>
    <sheet name="Generic" sheetId="99" state="hidden" r:id="rId8"/>
    <sheet name="Psych" sheetId="45" r:id="rId9"/>
    <sheet name="UMC Table 4-A" sheetId="37" state="hidden" r:id="rId10"/>
    <sheet name="DO NOT TOUCH" sheetId="63" state="hidden" r:id="rId11"/>
  </sheets>
  <definedNames>
    <definedName name="_CAV1">#REF!</definedName>
    <definedName name="_CAV1." localSheetId="2">'AHU 2'!$AD$5:$AT$48</definedName>
    <definedName name="_CAV1." localSheetId="6">'AHU 3'!$AD$5:$AT$48</definedName>
    <definedName name="_CAV1." localSheetId="5">'AHU 4'!$AD$5:$AT$48</definedName>
    <definedName name="_CAV1." localSheetId="4">'AHU 5'!$AD$5:$AT$48</definedName>
    <definedName name="_CAV1." localSheetId="3">'AHU 6'!$AD$5:$AT$48</definedName>
    <definedName name="_CAV1." localSheetId="7">Generic!$AD$5:$AT$48</definedName>
    <definedName name="_CAV1.">'AHU 1'!$AD$5:$AT$48</definedName>
    <definedName name="_CAV2">#REF!</definedName>
    <definedName name="_CAV3">#REF!</definedName>
    <definedName name="_CAV4">#REF!</definedName>
    <definedName name="AHU_1AC_AV" localSheetId="2">'AHU 2'!$AC$7:$AO$43</definedName>
    <definedName name="AHU_1AC_AV" localSheetId="6">'AHU 3'!$AC$7:$AO$43</definedName>
    <definedName name="AHU_1AC_AV" localSheetId="5">'AHU 4'!$AC$7:$AO$43</definedName>
    <definedName name="AHU_1AC_AV" localSheetId="4">'AHU 5'!$AC$7:$AO$43</definedName>
    <definedName name="AHU_1AC_AV" localSheetId="3">'AHU 6'!$AC$7:$AO$43</definedName>
    <definedName name="AHU_1AC_AV" localSheetId="7">Generic!$AC$7:$AO$43</definedName>
    <definedName name="AHU_1AC_AV">'AHU 1'!$AC$7:$AO$43</definedName>
    <definedName name="CAV_1A_SCHEDULE" localSheetId="2">'AHU 2'!$AD$5:$AT$48</definedName>
    <definedName name="CAV_1A_SCHEDULE" localSheetId="6">'AHU 3'!$AD$5:$AT$48</definedName>
    <definedName name="CAV_1A_SCHEDULE" localSheetId="5">'AHU 4'!$AD$5:$AT$48</definedName>
    <definedName name="CAV_1A_SCHEDULE" localSheetId="4">'AHU 5'!$AD$5:$AT$48</definedName>
    <definedName name="CAV_1A_SCHEDULE" localSheetId="3">'AHU 6'!$AD$5:$AT$48</definedName>
    <definedName name="CAV_1A_SCHEDULE" localSheetId="7">Generic!$AD$5:$AT$48</definedName>
    <definedName name="CAV_1A_SCHEDULE">'AHU 1'!$AD$5:$AT$48</definedName>
    <definedName name="CAV_1B_SCHEDULE">#REF!</definedName>
    <definedName name="CAV_1C_SCHEDULE">#REF!</definedName>
    <definedName name="CAV_2_SCHEDULE">#REF!</definedName>
    <definedName name="CAV_3_SCHEDULE">#REF!</definedName>
    <definedName name="_xlnm.Print_Area" localSheetId="1">'AHU 1'!$D$4:$V$78</definedName>
    <definedName name="_xlnm.Print_Area" localSheetId="2">'AHU 2'!$D$4:$V$78</definedName>
    <definedName name="_xlnm.Print_Area" localSheetId="6">'AHU 3'!$D$4:$V$78</definedName>
    <definedName name="_xlnm.Print_Area" localSheetId="5">'AHU 4'!$D$4:$V$78</definedName>
    <definedName name="_xlnm.Print_Area" localSheetId="4">'AHU 5'!$D$4:$V$78</definedName>
    <definedName name="_xlnm.Print_Area" localSheetId="3">'AHU 6'!$D$4:$V$78</definedName>
    <definedName name="_xlnm.Print_Area" localSheetId="7">Generic!$D$4:$V$78</definedName>
    <definedName name="_xlnm.Print_Area" localSheetId="8">Psych!$A$8:$BF$18</definedName>
    <definedName name="_xlnm.Print_Area" localSheetId="9">'UMC Table 4-A'!$A$5:$E$139</definedName>
    <definedName name="_xlnm.Print_Titles" localSheetId="1">'AHU 1'!$3:$6</definedName>
    <definedName name="_xlnm.Print_Titles" localSheetId="2">'AHU 2'!$3:$6</definedName>
    <definedName name="_xlnm.Print_Titles" localSheetId="6">'AHU 3'!$3:$6</definedName>
    <definedName name="_xlnm.Print_Titles" localSheetId="5">'AHU 4'!$3:$6</definedName>
    <definedName name="_xlnm.Print_Titles" localSheetId="4">'AHU 5'!$3:$6</definedName>
    <definedName name="_xlnm.Print_Titles" localSheetId="3">'AHU 6'!$3:$6</definedName>
    <definedName name="_xlnm.Print_Titles" localSheetId="7">Generic!$3:$6</definedName>
    <definedName name="_xlnm.Print_Titles" localSheetId="9">'UMC Table 4-A'!$A:$B,'UMC Table 4-A'!$5:$9</definedName>
    <definedName name="table_4_a">'UMC Table 4-A'!$A$10:$E$139</definedName>
    <definedName name="VENTILATION_SCHEDULE_AHU_3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7" i="45" l="1"/>
  <c r="J17" i="45"/>
  <c r="L17" i="45"/>
  <c r="M17" i="45"/>
  <c r="N17" i="45"/>
  <c r="U17" i="45"/>
  <c r="Y17" i="45"/>
  <c r="Z17" i="45"/>
  <c r="AE17" i="45"/>
  <c r="AF17" i="45"/>
  <c r="AG17" i="45"/>
  <c r="AJ17" i="45"/>
  <c r="AN17" i="45"/>
  <c r="AO17" i="45"/>
  <c r="AX17" i="45"/>
  <c r="AY17" i="45"/>
  <c r="E79" i="107"/>
  <c r="U78" i="107"/>
  <c r="Q78" i="107"/>
  <c r="O78" i="107"/>
  <c r="P78" i="107" s="1"/>
  <c r="N78" i="107"/>
  <c r="L78" i="107"/>
  <c r="H78" i="107"/>
  <c r="I78" i="107" s="1"/>
  <c r="G78" i="107"/>
  <c r="K78" i="107" s="1"/>
  <c r="Q77" i="107"/>
  <c r="O77" i="107"/>
  <c r="P77" i="107" s="1"/>
  <c r="N77" i="107"/>
  <c r="L77" i="107"/>
  <c r="H77" i="107"/>
  <c r="I77" i="107" s="1"/>
  <c r="G77" i="107"/>
  <c r="K77" i="107" s="1"/>
  <c r="Q76" i="107"/>
  <c r="P76" i="107"/>
  <c r="O76" i="107"/>
  <c r="N76" i="107"/>
  <c r="L76" i="107"/>
  <c r="I76" i="107"/>
  <c r="H76" i="107"/>
  <c r="G76" i="107"/>
  <c r="K76" i="107" s="1"/>
  <c r="U75" i="107"/>
  <c r="Q75" i="107"/>
  <c r="O75" i="107"/>
  <c r="P75" i="107" s="1"/>
  <c r="N75" i="107"/>
  <c r="L75" i="107"/>
  <c r="K75" i="107"/>
  <c r="I75" i="107"/>
  <c r="H75" i="107"/>
  <c r="G75" i="107"/>
  <c r="U74" i="107"/>
  <c r="Q74" i="107"/>
  <c r="O74" i="107"/>
  <c r="P74" i="107" s="1"/>
  <c r="N74" i="107"/>
  <c r="L74" i="107"/>
  <c r="H74" i="107"/>
  <c r="I74" i="107" s="1"/>
  <c r="G74" i="107"/>
  <c r="K74" i="107" s="1"/>
  <c r="Q73" i="107"/>
  <c r="O73" i="107"/>
  <c r="P73" i="107" s="1"/>
  <c r="N73" i="107"/>
  <c r="L73" i="107"/>
  <c r="I73" i="107"/>
  <c r="H73" i="107"/>
  <c r="G73" i="107"/>
  <c r="K73" i="107" s="1"/>
  <c r="Q72" i="107"/>
  <c r="P72" i="107"/>
  <c r="O72" i="107"/>
  <c r="N72" i="107"/>
  <c r="L72" i="107"/>
  <c r="I72" i="107"/>
  <c r="H72" i="107"/>
  <c r="G72" i="107"/>
  <c r="K72" i="107" s="1"/>
  <c r="U71" i="107"/>
  <c r="Q71" i="107"/>
  <c r="O71" i="107"/>
  <c r="P71" i="107" s="1"/>
  <c r="N71" i="107"/>
  <c r="L71" i="107"/>
  <c r="K71" i="107"/>
  <c r="I71" i="107"/>
  <c r="H71" i="107"/>
  <c r="G71" i="107"/>
  <c r="U70" i="107"/>
  <c r="Q70" i="107"/>
  <c r="O70" i="107"/>
  <c r="P70" i="107" s="1"/>
  <c r="N70" i="107"/>
  <c r="L70" i="107"/>
  <c r="I70" i="107"/>
  <c r="H70" i="107"/>
  <c r="G70" i="107"/>
  <c r="K70" i="107" s="1"/>
  <c r="Q69" i="107"/>
  <c r="O69" i="107"/>
  <c r="P69" i="107" s="1"/>
  <c r="N69" i="107"/>
  <c r="L69" i="107"/>
  <c r="H69" i="107"/>
  <c r="I69" i="107" s="1"/>
  <c r="G69" i="107"/>
  <c r="K69" i="107" s="1"/>
  <c r="U68" i="107"/>
  <c r="Q68" i="107"/>
  <c r="P68" i="107"/>
  <c r="O68" i="107"/>
  <c r="N68" i="107"/>
  <c r="L68" i="107"/>
  <c r="K68" i="107"/>
  <c r="I68" i="107"/>
  <c r="H68" i="107"/>
  <c r="G68" i="107"/>
  <c r="U67" i="107"/>
  <c r="Q67" i="107"/>
  <c r="O67" i="107"/>
  <c r="P67" i="107" s="1"/>
  <c r="N67" i="107"/>
  <c r="L67" i="107"/>
  <c r="K67" i="107"/>
  <c r="I67" i="107"/>
  <c r="H67" i="107"/>
  <c r="G67" i="107"/>
  <c r="X66" i="107"/>
  <c r="U66" i="107"/>
  <c r="Q66" i="107"/>
  <c r="P66" i="107"/>
  <c r="O66" i="107"/>
  <c r="N66" i="107"/>
  <c r="R66" i="107" s="1"/>
  <c r="L66" i="107"/>
  <c r="I66" i="107"/>
  <c r="H66" i="107"/>
  <c r="G66" i="107"/>
  <c r="K66" i="107" s="1"/>
  <c r="Q65" i="107"/>
  <c r="O65" i="107"/>
  <c r="P65" i="107" s="1"/>
  <c r="N65" i="107"/>
  <c r="L65" i="107"/>
  <c r="I65" i="107"/>
  <c r="H65" i="107"/>
  <c r="G65" i="107"/>
  <c r="K65" i="107" s="1"/>
  <c r="R65" i="107" s="1"/>
  <c r="U64" i="107"/>
  <c r="Q64" i="107"/>
  <c r="O64" i="107"/>
  <c r="P64" i="107" s="1"/>
  <c r="N64" i="107"/>
  <c r="L64" i="107"/>
  <c r="K64" i="107"/>
  <c r="I64" i="107"/>
  <c r="H64" i="107"/>
  <c r="G64" i="107"/>
  <c r="U63" i="107"/>
  <c r="Q63" i="107"/>
  <c r="O63" i="107"/>
  <c r="P63" i="107" s="1"/>
  <c r="N63" i="107"/>
  <c r="L63" i="107"/>
  <c r="I63" i="107"/>
  <c r="H63" i="107"/>
  <c r="G63" i="107"/>
  <c r="K63" i="107" s="1"/>
  <c r="U62" i="107"/>
  <c r="Q62" i="107"/>
  <c r="O62" i="107"/>
  <c r="P62" i="107" s="1"/>
  <c r="N62" i="107"/>
  <c r="L62" i="107"/>
  <c r="I62" i="107"/>
  <c r="H62" i="107"/>
  <c r="G62" i="107"/>
  <c r="K62" i="107" s="1"/>
  <c r="R61" i="107"/>
  <c r="Q61" i="107"/>
  <c r="O61" i="107"/>
  <c r="P61" i="107" s="1"/>
  <c r="N61" i="107"/>
  <c r="L61" i="107"/>
  <c r="H61" i="107"/>
  <c r="I61" i="107" s="1"/>
  <c r="G61" i="107"/>
  <c r="K61" i="107" s="1"/>
  <c r="U60" i="107"/>
  <c r="Q60" i="107"/>
  <c r="O60" i="107"/>
  <c r="P60" i="107" s="1"/>
  <c r="N60" i="107"/>
  <c r="L60" i="107"/>
  <c r="K60" i="107"/>
  <c r="I60" i="107"/>
  <c r="H60" i="107"/>
  <c r="G60" i="107"/>
  <c r="U59" i="107"/>
  <c r="Q59" i="107"/>
  <c r="O59" i="107"/>
  <c r="P59" i="107" s="1"/>
  <c r="N59" i="107"/>
  <c r="L59" i="107"/>
  <c r="I59" i="107"/>
  <c r="H59" i="107"/>
  <c r="G59" i="107"/>
  <c r="K59" i="107" s="1"/>
  <c r="Q58" i="107"/>
  <c r="P58" i="107"/>
  <c r="O58" i="107"/>
  <c r="N58" i="107"/>
  <c r="L58" i="107"/>
  <c r="I58" i="107"/>
  <c r="H58" i="107"/>
  <c r="G58" i="107"/>
  <c r="K58" i="107" s="1"/>
  <c r="Q57" i="107"/>
  <c r="O57" i="107"/>
  <c r="P57" i="107" s="1"/>
  <c r="N57" i="107"/>
  <c r="L57" i="107"/>
  <c r="I57" i="107"/>
  <c r="H57" i="107"/>
  <c r="G57" i="107"/>
  <c r="K57" i="107" s="1"/>
  <c r="U56" i="107"/>
  <c r="Q56" i="107"/>
  <c r="O56" i="107"/>
  <c r="P56" i="107" s="1"/>
  <c r="N56" i="107"/>
  <c r="L56" i="107"/>
  <c r="I56" i="107"/>
  <c r="H56" i="107"/>
  <c r="G56" i="107"/>
  <c r="K56" i="107" s="1"/>
  <c r="U55" i="107"/>
  <c r="Q55" i="107"/>
  <c r="O55" i="107"/>
  <c r="P55" i="107" s="1"/>
  <c r="N55" i="107"/>
  <c r="L55" i="107"/>
  <c r="I55" i="107"/>
  <c r="H55" i="107"/>
  <c r="G55" i="107"/>
  <c r="K55" i="107" s="1"/>
  <c r="U54" i="107"/>
  <c r="Q54" i="107"/>
  <c r="P54" i="107"/>
  <c r="O54" i="107"/>
  <c r="N54" i="107"/>
  <c r="L54" i="107"/>
  <c r="I54" i="107"/>
  <c r="H54" i="107"/>
  <c r="G54" i="107"/>
  <c r="K54" i="107" s="1"/>
  <c r="Z53" i="107"/>
  <c r="R53" i="107"/>
  <c r="X53" i="107" s="1"/>
  <c r="Q53" i="107"/>
  <c r="O53" i="107"/>
  <c r="P53" i="107" s="1"/>
  <c r="N53" i="107"/>
  <c r="L53" i="107"/>
  <c r="I53" i="107"/>
  <c r="H53" i="107"/>
  <c r="G53" i="107"/>
  <c r="K53" i="107" s="1"/>
  <c r="Q52" i="107"/>
  <c r="O52" i="107"/>
  <c r="P52" i="107" s="1"/>
  <c r="N52" i="107"/>
  <c r="L52" i="107"/>
  <c r="I52" i="107"/>
  <c r="H52" i="107"/>
  <c r="G52" i="107"/>
  <c r="K52" i="107" s="1"/>
  <c r="U51" i="107"/>
  <c r="Q51" i="107"/>
  <c r="O51" i="107"/>
  <c r="P51" i="107" s="1"/>
  <c r="N51" i="107"/>
  <c r="R51" i="107" s="1"/>
  <c r="L51" i="107"/>
  <c r="I51" i="107"/>
  <c r="H51" i="107"/>
  <c r="G51" i="107"/>
  <c r="K51" i="107" s="1"/>
  <c r="U50" i="107"/>
  <c r="Q50" i="107"/>
  <c r="P50" i="107"/>
  <c r="O50" i="107"/>
  <c r="N50" i="107"/>
  <c r="L50" i="107"/>
  <c r="I50" i="107"/>
  <c r="H50" i="107"/>
  <c r="G50" i="107"/>
  <c r="K50" i="107" s="1"/>
  <c r="Q49" i="107"/>
  <c r="O49" i="107"/>
  <c r="P49" i="107" s="1"/>
  <c r="N49" i="107"/>
  <c r="L49" i="107"/>
  <c r="I49" i="107"/>
  <c r="H49" i="107"/>
  <c r="G49" i="107"/>
  <c r="K49" i="107" s="1"/>
  <c r="U48" i="107"/>
  <c r="Q48" i="107"/>
  <c r="O48" i="107"/>
  <c r="P48" i="107" s="1"/>
  <c r="N48" i="107"/>
  <c r="L48" i="107"/>
  <c r="I48" i="107"/>
  <c r="H48" i="107"/>
  <c r="G48" i="107"/>
  <c r="K48" i="107" s="1"/>
  <c r="Q47" i="107"/>
  <c r="U47" i="107" s="1"/>
  <c r="O47" i="107"/>
  <c r="P47" i="107" s="1"/>
  <c r="N47" i="107"/>
  <c r="L47" i="107"/>
  <c r="I47" i="107"/>
  <c r="H47" i="107"/>
  <c r="G47" i="107"/>
  <c r="K47" i="107" s="1"/>
  <c r="Q46" i="107"/>
  <c r="O46" i="107"/>
  <c r="P46" i="107" s="1"/>
  <c r="N46" i="107"/>
  <c r="L46" i="107"/>
  <c r="I46" i="107"/>
  <c r="H46" i="107"/>
  <c r="G46" i="107"/>
  <c r="K46" i="107" s="1"/>
  <c r="Q45" i="107"/>
  <c r="O45" i="107"/>
  <c r="P45" i="107" s="1"/>
  <c r="N45" i="107"/>
  <c r="L45" i="107"/>
  <c r="I45" i="107"/>
  <c r="H45" i="107"/>
  <c r="G45" i="107"/>
  <c r="K45" i="107" s="1"/>
  <c r="AR44" i="107"/>
  <c r="AJ44" i="107"/>
  <c r="AI44" i="107"/>
  <c r="AF44" i="107"/>
  <c r="AG44" i="107" s="1"/>
  <c r="AQ44" i="107" s="1"/>
  <c r="Q44" i="107"/>
  <c r="U44" i="107" s="1"/>
  <c r="O44" i="107"/>
  <c r="P44" i="107" s="1"/>
  <c r="N44" i="107"/>
  <c r="L44" i="107"/>
  <c r="I44" i="107"/>
  <c r="H44" i="107"/>
  <c r="G44" i="107"/>
  <c r="K44" i="107" s="1"/>
  <c r="AR43" i="107"/>
  <c r="AJ43" i="107"/>
  <c r="AI43" i="107"/>
  <c r="AF43" i="107"/>
  <c r="AG43" i="107" s="1"/>
  <c r="AQ43" i="107" s="1"/>
  <c r="U43" i="107"/>
  <c r="Q43" i="107"/>
  <c r="O43" i="107"/>
  <c r="P43" i="107" s="1"/>
  <c r="N43" i="107"/>
  <c r="L43" i="107"/>
  <c r="I43" i="107"/>
  <c r="H43" i="107"/>
  <c r="G43" i="107"/>
  <c r="K43" i="107" s="1"/>
  <c r="AR42" i="107"/>
  <c r="AJ42" i="107"/>
  <c r="AI42" i="107"/>
  <c r="AF42" i="107"/>
  <c r="AG42" i="107" s="1"/>
  <c r="AQ42" i="107" s="1"/>
  <c r="Q42" i="107"/>
  <c r="O42" i="107"/>
  <c r="P42" i="107" s="1"/>
  <c r="N42" i="107"/>
  <c r="L42" i="107"/>
  <c r="H42" i="107"/>
  <c r="I42" i="107" s="1"/>
  <c r="G42" i="107"/>
  <c r="K42" i="107" s="1"/>
  <c r="R42" i="107" s="1"/>
  <c r="AR41" i="107"/>
  <c r="AJ41" i="107"/>
  <c r="AI41" i="107"/>
  <c r="AF41" i="107"/>
  <c r="AG41" i="107" s="1"/>
  <c r="AQ41" i="107" s="1"/>
  <c r="U41" i="107"/>
  <c r="R41" i="107"/>
  <c r="Q41" i="107"/>
  <c r="O41" i="107"/>
  <c r="P41" i="107" s="1"/>
  <c r="N41" i="107"/>
  <c r="L41" i="107"/>
  <c r="H41" i="107"/>
  <c r="I41" i="107" s="1"/>
  <c r="G41" i="107"/>
  <c r="K41" i="107" s="1"/>
  <c r="AR40" i="107"/>
  <c r="AJ40" i="107"/>
  <c r="AI40" i="107"/>
  <c r="AF40" i="107"/>
  <c r="AG40" i="107" s="1"/>
  <c r="AQ40" i="107" s="1"/>
  <c r="Q40" i="107"/>
  <c r="O40" i="107"/>
  <c r="P40" i="107" s="1"/>
  <c r="N40" i="107"/>
  <c r="R40" i="107" s="1"/>
  <c r="L40" i="107"/>
  <c r="H40" i="107"/>
  <c r="I40" i="107" s="1"/>
  <c r="G40" i="107"/>
  <c r="K40" i="107" s="1"/>
  <c r="AR39" i="107"/>
  <c r="AJ39" i="107"/>
  <c r="AI39" i="107"/>
  <c r="AF39" i="107"/>
  <c r="AG39" i="107" s="1"/>
  <c r="AQ39" i="107" s="1"/>
  <c r="U39" i="107"/>
  <c r="Q39" i="107"/>
  <c r="O39" i="107"/>
  <c r="P39" i="107" s="1"/>
  <c r="N39" i="107"/>
  <c r="L39" i="107"/>
  <c r="K39" i="107"/>
  <c r="I39" i="107"/>
  <c r="H39" i="107"/>
  <c r="G39" i="107"/>
  <c r="AR38" i="107"/>
  <c r="AJ38" i="107"/>
  <c r="AI38" i="107"/>
  <c r="AF38" i="107"/>
  <c r="AG38" i="107" s="1"/>
  <c r="AQ38" i="107" s="1"/>
  <c r="Q38" i="107"/>
  <c r="P38" i="107"/>
  <c r="O38" i="107"/>
  <c r="N38" i="107"/>
  <c r="L38" i="107"/>
  <c r="H38" i="107"/>
  <c r="I38" i="107" s="1"/>
  <c r="G38" i="107"/>
  <c r="K38" i="107" s="1"/>
  <c r="AR37" i="107"/>
  <c r="AJ37" i="107"/>
  <c r="AI37" i="107"/>
  <c r="AF37" i="107"/>
  <c r="AG37" i="107" s="1"/>
  <c r="AQ37" i="107" s="1"/>
  <c r="Q37" i="107"/>
  <c r="U37" i="107" s="1"/>
  <c r="O37" i="107"/>
  <c r="P37" i="107" s="1"/>
  <c r="N37" i="107"/>
  <c r="R37" i="107" s="1"/>
  <c r="L37" i="107"/>
  <c r="K37" i="107"/>
  <c r="I37" i="107"/>
  <c r="H37" i="107"/>
  <c r="G37" i="107"/>
  <c r="AR36" i="107"/>
  <c r="AJ36" i="107"/>
  <c r="AI36" i="107"/>
  <c r="AF36" i="107"/>
  <c r="AG36" i="107" s="1"/>
  <c r="AQ36" i="107" s="1"/>
  <c r="Q36" i="107"/>
  <c r="P36" i="107"/>
  <c r="O36" i="107"/>
  <c r="N36" i="107"/>
  <c r="L36" i="107"/>
  <c r="I36" i="107"/>
  <c r="H36" i="107"/>
  <c r="G36" i="107"/>
  <c r="K36" i="107" s="1"/>
  <c r="AR35" i="107"/>
  <c r="AJ35" i="107"/>
  <c r="AI35" i="107"/>
  <c r="AF35" i="107"/>
  <c r="AG35" i="107" s="1"/>
  <c r="AQ35" i="107" s="1"/>
  <c r="Q35" i="107"/>
  <c r="U35" i="107" s="1"/>
  <c r="P35" i="107"/>
  <c r="O35" i="107"/>
  <c r="N35" i="107"/>
  <c r="L35" i="107"/>
  <c r="K35" i="107"/>
  <c r="I35" i="107"/>
  <c r="H35" i="107"/>
  <c r="G35" i="107"/>
  <c r="AR34" i="107"/>
  <c r="AJ34" i="107"/>
  <c r="AI34" i="107"/>
  <c r="AF34" i="107"/>
  <c r="AG34" i="107" s="1"/>
  <c r="AQ34" i="107" s="1"/>
  <c r="Q34" i="107"/>
  <c r="U34" i="107" s="1"/>
  <c r="P34" i="107"/>
  <c r="O34" i="107"/>
  <c r="N34" i="107"/>
  <c r="L34" i="107"/>
  <c r="K34" i="107"/>
  <c r="R34" i="107" s="1"/>
  <c r="I34" i="107"/>
  <c r="H34" i="107"/>
  <c r="G34" i="107"/>
  <c r="AR33" i="107"/>
  <c r="AJ33" i="107"/>
  <c r="AI33" i="107"/>
  <c r="AF33" i="107"/>
  <c r="AG33" i="107" s="1"/>
  <c r="AQ33" i="107" s="1"/>
  <c r="Q33" i="107"/>
  <c r="P33" i="107"/>
  <c r="O33" i="107"/>
  <c r="N33" i="107"/>
  <c r="L33" i="107"/>
  <c r="H33" i="107"/>
  <c r="I33" i="107" s="1"/>
  <c r="G33" i="107"/>
  <c r="K33" i="107" s="1"/>
  <c r="R33" i="107" s="1"/>
  <c r="AR32" i="107"/>
  <c r="AJ32" i="107"/>
  <c r="AI32" i="107"/>
  <c r="AF32" i="107"/>
  <c r="AG32" i="107" s="1"/>
  <c r="AQ32" i="107" s="1"/>
  <c r="Q32" i="107"/>
  <c r="U32" i="107" s="1"/>
  <c r="O32" i="107"/>
  <c r="P32" i="107" s="1"/>
  <c r="N32" i="107"/>
  <c r="R32" i="107" s="1"/>
  <c r="X32" i="107" s="1"/>
  <c r="L32" i="107"/>
  <c r="K32" i="107"/>
  <c r="I32" i="107"/>
  <c r="H32" i="107"/>
  <c r="G32" i="107"/>
  <c r="AR31" i="107"/>
  <c r="AJ31" i="107"/>
  <c r="AI31" i="107"/>
  <c r="AF31" i="107"/>
  <c r="AG31" i="107" s="1"/>
  <c r="AQ31" i="107" s="1"/>
  <c r="Q31" i="107"/>
  <c r="U31" i="107" s="1"/>
  <c r="P31" i="107"/>
  <c r="O31" i="107"/>
  <c r="N31" i="107"/>
  <c r="L31" i="107"/>
  <c r="I31" i="107"/>
  <c r="H31" i="107"/>
  <c r="G31" i="107"/>
  <c r="K31" i="107" s="1"/>
  <c r="R31" i="107" s="1"/>
  <c r="AR30" i="107"/>
  <c r="AJ30" i="107"/>
  <c r="AI30" i="107"/>
  <c r="AF30" i="107"/>
  <c r="AG30" i="107" s="1"/>
  <c r="AQ30" i="107" s="1"/>
  <c r="Q30" i="107"/>
  <c r="O30" i="107"/>
  <c r="P30" i="107" s="1"/>
  <c r="Y30" i="107" s="1"/>
  <c r="N30" i="107"/>
  <c r="R30" i="107" s="1"/>
  <c r="S30" i="107" s="1"/>
  <c r="L30" i="107"/>
  <c r="H30" i="107"/>
  <c r="I30" i="107" s="1"/>
  <c r="G30" i="107"/>
  <c r="K30" i="107" s="1"/>
  <c r="AR29" i="107"/>
  <c r="AJ29" i="107"/>
  <c r="AI29" i="107"/>
  <c r="AF29" i="107"/>
  <c r="AG29" i="107" s="1"/>
  <c r="AQ29" i="107" s="1"/>
  <c r="T29" i="107"/>
  <c r="S29" i="107"/>
  <c r="V29" i="107" s="1"/>
  <c r="Q29" i="107"/>
  <c r="U29" i="107" s="1"/>
  <c r="O29" i="107"/>
  <c r="P29" i="107" s="1"/>
  <c r="N29" i="107"/>
  <c r="R29" i="107" s="1"/>
  <c r="L29" i="107"/>
  <c r="K29" i="107"/>
  <c r="I29" i="107"/>
  <c r="H29" i="107"/>
  <c r="G29" i="107"/>
  <c r="AR28" i="107"/>
  <c r="AJ28" i="107"/>
  <c r="AI28" i="107"/>
  <c r="AF28" i="107"/>
  <c r="AG28" i="107" s="1"/>
  <c r="AQ28" i="107" s="1"/>
  <c r="Q28" i="107"/>
  <c r="P28" i="107"/>
  <c r="O28" i="107"/>
  <c r="N28" i="107"/>
  <c r="L28" i="107"/>
  <c r="I28" i="107"/>
  <c r="H28" i="107"/>
  <c r="G28" i="107"/>
  <c r="K28" i="107" s="1"/>
  <c r="R28" i="107" s="1"/>
  <c r="AR27" i="107"/>
  <c r="AJ27" i="107"/>
  <c r="AI27" i="107"/>
  <c r="AG27" i="107"/>
  <c r="AQ27" i="107" s="1"/>
  <c r="AF27" i="107"/>
  <c r="Q27" i="107"/>
  <c r="U27" i="107" s="1"/>
  <c r="P27" i="107"/>
  <c r="O27" i="107"/>
  <c r="N27" i="107"/>
  <c r="L27" i="107"/>
  <c r="K27" i="107"/>
  <c r="I27" i="107"/>
  <c r="H27" i="107"/>
  <c r="G27" i="107"/>
  <c r="AR26" i="107"/>
  <c r="AJ26" i="107"/>
  <c r="AI26" i="107"/>
  <c r="AF26" i="107"/>
  <c r="AG26" i="107" s="1"/>
  <c r="AQ26" i="107" s="1"/>
  <c r="R26" i="107"/>
  <c r="Q26" i="107"/>
  <c r="U26" i="107" s="1"/>
  <c r="P26" i="107"/>
  <c r="O26" i="107"/>
  <c r="N26" i="107"/>
  <c r="L26" i="107"/>
  <c r="K26" i="107"/>
  <c r="H26" i="107"/>
  <c r="I26" i="107" s="1"/>
  <c r="G26" i="107"/>
  <c r="AR25" i="107"/>
  <c r="AJ25" i="107"/>
  <c r="AI25" i="107"/>
  <c r="AF25" i="107"/>
  <c r="AG25" i="107" s="1"/>
  <c r="AQ25" i="107" s="1"/>
  <c r="Q25" i="107"/>
  <c r="U25" i="107" s="1"/>
  <c r="P25" i="107"/>
  <c r="O25" i="107"/>
  <c r="N25" i="107"/>
  <c r="L25" i="107"/>
  <c r="I25" i="107"/>
  <c r="H25" i="107"/>
  <c r="G25" i="107"/>
  <c r="K25" i="107" s="1"/>
  <c r="AR24" i="107"/>
  <c r="AJ24" i="107"/>
  <c r="AI24" i="107"/>
  <c r="AF24" i="107"/>
  <c r="AG24" i="107" s="1"/>
  <c r="AQ24" i="107" s="1"/>
  <c r="Q24" i="107"/>
  <c r="U24" i="107" s="1"/>
  <c r="P24" i="107"/>
  <c r="O24" i="107"/>
  <c r="N24" i="107"/>
  <c r="L24" i="107"/>
  <c r="K24" i="107"/>
  <c r="R24" i="107" s="1"/>
  <c r="H24" i="107"/>
  <c r="I24" i="107" s="1"/>
  <c r="G24" i="107"/>
  <c r="AR23" i="107"/>
  <c r="AJ23" i="107"/>
  <c r="AI23" i="107"/>
  <c r="AF23" i="107"/>
  <c r="AG23" i="107" s="1"/>
  <c r="AQ23" i="107" s="1"/>
  <c r="Q23" i="107"/>
  <c r="U23" i="107" s="1"/>
  <c r="P23" i="107"/>
  <c r="O23" i="107"/>
  <c r="N23" i="107"/>
  <c r="L23" i="107"/>
  <c r="I23" i="107"/>
  <c r="H23" i="107"/>
  <c r="G23" i="107"/>
  <c r="K23" i="107" s="1"/>
  <c r="AR22" i="107"/>
  <c r="AJ22" i="107"/>
  <c r="AI22" i="107"/>
  <c r="AF22" i="107"/>
  <c r="AG22" i="107" s="1"/>
  <c r="AQ22" i="107" s="1"/>
  <c r="Q22" i="107"/>
  <c r="U22" i="107" s="1"/>
  <c r="O22" i="107"/>
  <c r="P22" i="107" s="1"/>
  <c r="N22" i="107"/>
  <c r="L22" i="107"/>
  <c r="I22" i="107"/>
  <c r="H22" i="107"/>
  <c r="G22" i="107"/>
  <c r="K22" i="107" s="1"/>
  <c r="R22" i="107" s="1"/>
  <c r="AR21" i="107"/>
  <c r="AJ21" i="107"/>
  <c r="AI21" i="107"/>
  <c r="AF21" i="107"/>
  <c r="AG21" i="107" s="1"/>
  <c r="AQ21" i="107" s="1"/>
  <c r="Q21" i="107"/>
  <c r="U21" i="107" s="1"/>
  <c r="O21" i="107"/>
  <c r="P21" i="107" s="1"/>
  <c r="N21" i="107"/>
  <c r="L21" i="107"/>
  <c r="I21" i="107"/>
  <c r="H21" i="107"/>
  <c r="G21" i="107"/>
  <c r="K21" i="107" s="1"/>
  <c r="R21" i="107" s="1"/>
  <c r="AR20" i="107"/>
  <c r="AJ20" i="107"/>
  <c r="AI20" i="107"/>
  <c r="AG20" i="107"/>
  <c r="AQ20" i="107" s="1"/>
  <c r="AF20" i="107"/>
  <c r="Q20" i="107"/>
  <c r="U20" i="107" s="1"/>
  <c r="O20" i="107"/>
  <c r="P20" i="107" s="1"/>
  <c r="N20" i="107"/>
  <c r="L20" i="107"/>
  <c r="H20" i="107"/>
  <c r="I20" i="107" s="1"/>
  <c r="G20" i="107"/>
  <c r="K20" i="107" s="1"/>
  <c r="AR19" i="107"/>
  <c r="AJ19" i="107"/>
  <c r="AI19" i="107"/>
  <c r="AF19" i="107"/>
  <c r="AG19" i="107" s="1"/>
  <c r="AQ19" i="107" s="1"/>
  <c r="Q19" i="107"/>
  <c r="U19" i="107" s="1"/>
  <c r="O19" i="107"/>
  <c r="P19" i="107" s="1"/>
  <c r="N19" i="107"/>
  <c r="L19" i="107"/>
  <c r="I19" i="107"/>
  <c r="H19" i="107"/>
  <c r="G19" i="107"/>
  <c r="K19" i="107" s="1"/>
  <c r="R19" i="107" s="1"/>
  <c r="AR18" i="107"/>
  <c r="AJ18" i="107"/>
  <c r="AI18" i="107"/>
  <c r="AF18" i="107"/>
  <c r="AG18" i="107" s="1"/>
  <c r="AQ18" i="107" s="1"/>
  <c r="Q18" i="107"/>
  <c r="U18" i="107" s="1"/>
  <c r="O18" i="107"/>
  <c r="P18" i="107" s="1"/>
  <c r="N18" i="107"/>
  <c r="L18" i="107"/>
  <c r="K18" i="107"/>
  <c r="H18" i="107"/>
  <c r="I18" i="107" s="1"/>
  <c r="G18" i="107"/>
  <c r="AR17" i="107"/>
  <c r="AJ17" i="107"/>
  <c r="AI17" i="107"/>
  <c r="AF17" i="107"/>
  <c r="AG17" i="107" s="1"/>
  <c r="AQ17" i="107" s="1"/>
  <c r="Q17" i="107"/>
  <c r="U17" i="107" s="1"/>
  <c r="O17" i="107"/>
  <c r="P17" i="107" s="1"/>
  <c r="N17" i="107"/>
  <c r="L17" i="107"/>
  <c r="I17" i="107"/>
  <c r="H17" i="107"/>
  <c r="G17" i="107"/>
  <c r="K17" i="107" s="1"/>
  <c r="R17" i="107" s="1"/>
  <c r="AR16" i="107"/>
  <c r="AJ16" i="107"/>
  <c r="AI16" i="107"/>
  <c r="AF16" i="107"/>
  <c r="AG16" i="107" s="1"/>
  <c r="AQ16" i="107" s="1"/>
  <c r="Q16" i="107"/>
  <c r="U16" i="107" s="1"/>
  <c r="O16" i="107"/>
  <c r="P16" i="107" s="1"/>
  <c r="N16" i="107"/>
  <c r="L16" i="107"/>
  <c r="K16" i="107"/>
  <c r="H16" i="107"/>
  <c r="I16" i="107" s="1"/>
  <c r="G16" i="107"/>
  <c r="AR15" i="107"/>
  <c r="AJ15" i="107"/>
  <c r="AI15" i="107"/>
  <c r="AF15" i="107"/>
  <c r="AG15" i="107" s="1"/>
  <c r="AQ15" i="107" s="1"/>
  <c r="Q15" i="107"/>
  <c r="U15" i="107" s="1"/>
  <c r="O15" i="107"/>
  <c r="P15" i="107" s="1"/>
  <c r="N15" i="107"/>
  <c r="L15" i="107"/>
  <c r="I15" i="107"/>
  <c r="H15" i="107"/>
  <c r="G15" i="107"/>
  <c r="K15" i="107" s="1"/>
  <c r="R15" i="107" s="1"/>
  <c r="AR14" i="107"/>
  <c r="AJ14" i="107"/>
  <c r="AI14" i="107"/>
  <c r="AF14" i="107"/>
  <c r="AG14" i="107" s="1"/>
  <c r="AQ14" i="107" s="1"/>
  <c r="Q14" i="107"/>
  <c r="U14" i="107" s="1"/>
  <c r="P14" i="107"/>
  <c r="O14" i="107"/>
  <c r="N14" i="107"/>
  <c r="L14" i="107"/>
  <c r="K14" i="107"/>
  <c r="R14" i="107" s="1"/>
  <c r="H14" i="107"/>
  <c r="I14" i="107" s="1"/>
  <c r="G14" i="107"/>
  <c r="AR13" i="107"/>
  <c r="AJ13" i="107"/>
  <c r="AI13" i="107"/>
  <c r="AF13" i="107"/>
  <c r="AG13" i="107" s="1"/>
  <c r="AQ13" i="107" s="1"/>
  <c r="Q13" i="107"/>
  <c r="U13" i="107" s="1"/>
  <c r="O13" i="107"/>
  <c r="P13" i="107" s="1"/>
  <c r="N13" i="107"/>
  <c r="L13" i="107"/>
  <c r="I13" i="107"/>
  <c r="H13" i="107"/>
  <c r="G13" i="107"/>
  <c r="K13" i="107" s="1"/>
  <c r="AR12" i="107"/>
  <c r="AJ12" i="107"/>
  <c r="AI12" i="107"/>
  <c r="AF12" i="107"/>
  <c r="AG12" i="107" s="1"/>
  <c r="AQ12" i="107" s="1"/>
  <c r="Q12" i="107"/>
  <c r="U12" i="107" s="1"/>
  <c r="P12" i="107"/>
  <c r="O12" i="107"/>
  <c r="N12" i="107"/>
  <c r="L12" i="107"/>
  <c r="K12" i="107"/>
  <c r="R12" i="107" s="1"/>
  <c r="H12" i="107"/>
  <c r="I12" i="107" s="1"/>
  <c r="G12" i="107"/>
  <c r="AS11" i="107"/>
  <c r="AS12" i="107" s="1"/>
  <c r="AS13" i="107" s="1"/>
  <c r="AS14" i="107" s="1"/>
  <c r="AS15" i="107" s="1"/>
  <c r="AS16" i="107" s="1"/>
  <c r="AS17" i="107" s="1"/>
  <c r="AS18" i="107" s="1"/>
  <c r="AS19" i="107" s="1"/>
  <c r="AS20" i="107" s="1"/>
  <c r="AS21" i="107" s="1"/>
  <c r="AS22" i="107" s="1"/>
  <c r="AS23" i="107" s="1"/>
  <c r="AS24" i="107" s="1"/>
  <c r="AS25" i="107" s="1"/>
  <c r="AS26" i="107" s="1"/>
  <c r="AS27" i="107" s="1"/>
  <c r="AS28" i="107" s="1"/>
  <c r="AS29" i="107" s="1"/>
  <c r="AS30" i="107" s="1"/>
  <c r="AS31" i="107" s="1"/>
  <c r="AS32" i="107" s="1"/>
  <c r="AS33" i="107" s="1"/>
  <c r="AS34" i="107" s="1"/>
  <c r="AS35" i="107" s="1"/>
  <c r="AS36" i="107" s="1"/>
  <c r="AS37" i="107" s="1"/>
  <c r="AS38" i="107" s="1"/>
  <c r="AS39" i="107" s="1"/>
  <c r="AS40" i="107" s="1"/>
  <c r="AS41" i="107" s="1"/>
  <c r="AS42" i="107" s="1"/>
  <c r="AS43" i="107" s="1"/>
  <c r="AS44" i="107" s="1"/>
  <c r="AR11" i="107"/>
  <c r="AJ11" i="107"/>
  <c r="AI11" i="107"/>
  <c r="AF11" i="107"/>
  <c r="AG11" i="107" s="1"/>
  <c r="AQ11" i="107" s="1"/>
  <c r="Q11" i="107"/>
  <c r="U11" i="107" s="1"/>
  <c r="O11" i="107"/>
  <c r="P11" i="107" s="1"/>
  <c r="N11" i="107"/>
  <c r="L11" i="107"/>
  <c r="I11" i="107"/>
  <c r="H11" i="107"/>
  <c r="G11" i="107"/>
  <c r="K11" i="107" s="1"/>
  <c r="AS10" i="107"/>
  <c r="AR10" i="107"/>
  <c r="AK10" i="107"/>
  <c r="AK11" i="107" s="1"/>
  <c r="AK12" i="107" s="1"/>
  <c r="AK13" i="107" s="1"/>
  <c r="AK14" i="107" s="1"/>
  <c r="AK15" i="107" s="1"/>
  <c r="AK16" i="107" s="1"/>
  <c r="AK17" i="107" s="1"/>
  <c r="AK18" i="107" s="1"/>
  <c r="AK19" i="107" s="1"/>
  <c r="AK20" i="107" s="1"/>
  <c r="AK21" i="107" s="1"/>
  <c r="AK22" i="107" s="1"/>
  <c r="AK23" i="107" s="1"/>
  <c r="AK24" i="107" s="1"/>
  <c r="AK25" i="107" s="1"/>
  <c r="AK26" i="107" s="1"/>
  <c r="AK27" i="107" s="1"/>
  <c r="AK28" i="107" s="1"/>
  <c r="AK29" i="107" s="1"/>
  <c r="AK30" i="107" s="1"/>
  <c r="AK31" i="107" s="1"/>
  <c r="AK32" i="107" s="1"/>
  <c r="AK33" i="107" s="1"/>
  <c r="AK34" i="107" s="1"/>
  <c r="AK35" i="107" s="1"/>
  <c r="AK36" i="107" s="1"/>
  <c r="AK37" i="107" s="1"/>
  <c r="AK38" i="107" s="1"/>
  <c r="AK39" i="107" s="1"/>
  <c r="AK40" i="107" s="1"/>
  <c r="AK41" i="107" s="1"/>
  <c r="AK42" i="107" s="1"/>
  <c r="AK43" i="107" s="1"/>
  <c r="AK44" i="107" s="1"/>
  <c r="AJ10" i="107"/>
  <c r="AI10" i="107"/>
  <c r="AF10" i="107"/>
  <c r="AG10" i="107" s="1"/>
  <c r="AQ10" i="107" s="1"/>
  <c r="Q10" i="107"/>
  <c r="U10" i="107" s="1"/>
  <c r="P10" i="107"/>
  <c r="O10" i="107"/>
  <c r="N10" i="107"/>
  <c r="L10" i="107"/>
  <c r="K10" i="107"/>
  <c r="H10" i="107"/>
  <c r="I10" i="107" s="1"/>
  <c r="G10" i="107"/>
  <c r="AS9" i="107"/>
  <c r="AR9" i="107"/>
  <c r="AK9" i="107"/>
  <c r="AJ9" i="107"/>
  <c r="AI9" i="107"/>
  <c r="AF9" i="107"/>
  <c r="AG9" i="107" s="1"/>
  <c r="AQ9" i="107" s="1"/>
  <c r="Q9" i="107"/>
  <c r="U9" i="107" s="1"/>
  <c r="O9" i="107"/>
  <c r="P9" i="107" s="1"/>
  <c r="N9" i="107"/>
  <c r="L9" i="107"/>
  <c r="I9" i="107"/>
  <c r="H9" i="107"/>
  <c r="G9" i="107"/>
  <c r="K9" i="107" s="1"/>
  <c r="AS8" i="107"/>
  <c r="AR8" i="107"/>
  <c r="AP8" i="107"/>
  <c r="AP9" i="107" s="1"/>
  <c r="AP10" i="107" s="1"/>
  <c r="AP11" i="107" s="1"/>
  <c r="AP12" i="107" s="1"/>
  <c r="AP13" i="107" s="1"/>
  <c r="AP14" i="107" s="1"/>
  <c r="AP15" i="107" s="1"/>
  <c r="AP16" i="107" s="1"/>
  <c r="AP17" i="107" s="1"/>
  <c r="AP18" i="107" s="1"/>
  <c r="AP19" i="107" s="1"/>
  <c r="AP20" i="107" s="1"/>
  <c r="AP21" i="107" s="1"/>
  <c r="AP22" i="107" s="1"/>
  <c r="AP23" i="107" s="1"/>
  <c r="AP24" i="107" s="1"/>
  <c r="AP25" i="107" s="1"/>
  <c r="AP26" i="107" s="1"/>
  <c r="AP27" i="107" s="1"/>
  <c r="AP28" i="107" s="1"/>
  <c r="AP29" i="107" s="1"/>
  <c r="AP30" i="107" s="1"/>
  <c r="AP31" i="107" s="1"/>
  <c r="AP32" i="107" s="1"/>
  <c r="AP33" i="107" s="1"/>
  <c r="AP34" i="107" s="1"/>
  <c r="AP35" i="107" s="1"/>
  <c r="AP36" i="107" s="1"/>
  <c r="AP37" i="107" s="1"/>
  <c r="AP38" i="107" s="1"/>
  <c r="AP39" i="107" s="1"/>
  <c r="AP40" i="107" s="1"/>
  <c r="AP41" i="107" s="1"/>
  <c r="AP42" i="107" s="1"/>
  <c r="AP43" i="107" s="1"/>
  <c r="AP44" i="107" s="1"/>
  <c r="AL8" i="107"/>
  <c r="AK8" i="107"/>
  <c r="AJ8" i="107"/>
  <c r="AI8" i="107"/>
  <c r="AH8" i="107"/>
  <c r="AH9" i="107" s="1"/>
  <c r="AH10" i="107" s="1"/>
  <c r="AH11" i="107" s="1"/>
  <c r="AH12" i="107" s="1"/>
  <c r="AH13" i="107" s="1"/>
  <c r="AH14" i="107" s="1"/>
  <c r="AH15" i="107" s="1"/>
  <c r="AH16" i="107" s="1"/>
  <c r="AH17" i="107" s="1"/>
  <c r="AH18" i="107" s="1"/>
  <c r="AH19" i="107" s="1"/>
  <c r="AH20" i="107" s="1"/>
  <c r="AH21" i="107" s="1"/>
  <c r="AH22" i="107" s="1"/>
  <c r="AH23" i="107" s="1"/>
  <c r="AH24" i="107" s="1"/>
  <c r="AH25" i="107" s="1"/>
  <c r="AH26" i="107" s="1"/>
  <c r="AH27" i="107" s="1"/>
  <c r="AH28" i="107" s="1"/>
  <c r="AH29" i="107" s="1"/>
  <c r="AH30" i="107" s="1"/>
  <c r="AH31" i="107" s="1"/>
  <c r="AH32" i="107" s="1"/>
  <c r="AH33" i="107" s="1"/>
  <c r="AH34" i="107" s="1"/>
  <c r="AH35" i="107" s="1"/>
  <c r="AH36" i="107" s="1"/>
  <c r="AH37" i="107" s="1"/>
  <c r="AH38" i="107" s="1"/>
  <c r="AH39" i="107" s="1"/>
  <c r="AH40" i="107" s="1"/>
  <c r="AH41" i="107" s="1"/>
  <c r="AH42" i="107" s="1"/>
  <c r="AH43" i="107" s="1"/>
  <c r="AH44" i="107" s="1"/>
  <c r="AF8" i="107"/>
  <c r="AG8" i="107" s="1"/>
  <c r="AQ8" i="107" s="1"/>
  <c r="Q8" i="107"/>
  <c r="U8" i="107" s="1"/>
  <c r="P8" i="107"/>
  <c r="O8" i="107"/>
  <c r="N8" i="107"/>
  <c r="L8" i="107"/>
  <c r="H8" i="107"/>
  <c r="I8" i="107" s="1"/>
  <c r="G8" i="107"/>
  <c r="K8" i="107" s="1"/>
  <c r="R8" i="107" s="1"/>
  <c r="AR7" i="107"/>
  <c r="AJ7" i="107"/>
  <c r="AI7" i="107"/>
  <c r="AF7" i="107"/>
  <c r="AM7" i="107" s="1"/>
  <c r="Q7" i="107"/>
  <c r="U7" i="107" s="1"/>
  <c r="O7" i="107"/>
  <c r="P7" i="107" s="1"/>
  <c r="N7" i="107"/>
  <c r="R7" i="107" s="1"/>
  <c r="L7" i="107"/>
  <c r="H7" i="107"/>
  <c r="I7" i="107" s="1"/>
  <c r="G7" i="107"/>
  <c r="K7" i="107" s="1"/>
  <c r="I16" i="45"/>
  <c r="J16" i="45"/>
  <c r="L16" i="45"/>
  <c r="M16" i="45"/>
  <c r="N16" i="45"/>
  <c r="U16" i="45"/>
  <c r="Y16" i="45"/>
  <c r="Z16" i="45"/>
  <c r="AE16" i="45"/>
  <c r="AF16" i="45"/>
  <c r="AG16" i="45" s="1"/>
  <c r="AJ16" i="45"/>
  <c r="AN16" i="45"/>
  <c r="AO16" i="45"/>
  <c r="AX16" i="45"/>
  <c r="AY16" i="45"/>
  <c r="E79" i="106"/>
  <c r="U78" i="106"/>
  <c r="Q78" i="106"/>
  <c r="O78" i="106"/>
  <c r="P78" i="106" s="1"/>
  <c r="N78" i="106"/>
  <c r="L78" i="106"/>
  <c r="H78" i="106"/>
  <c r="I78" i="106" s="1"/>
  <c r="G78" i="106"/>
  <c r="K78" i="106" s="1"/>
  <c r="Q77" i="106"/>
  <c r="O77" i="106"/>
  <c r="P77" i="106" s="1"/>
  <c r="N77" i="106"/>
  <c r="L77" i="106"/>
  <c r="I77" i="106"/>
  <c r="H77" i="106"/>
  <c r="G77" i="106"/>
  <c r="K77" i="106" s="1"/>
  <c r="Q76" i="106"/>
  <c r="O76" i="106"/>
  <c r="P76" i="106" s="1"/>
  <c r="N76" i="106"/>
  <c r="L76" i="106"/>
  <c r="I76" i="106"/>
  <c r="H76" i="106"/>
  <c r="G76" i="106"/>
  <c r="K76" i="106" s="1"/>
  <c r="U75" i="106"/>
  <c r="Q75" i="106"/>
  <c r="O75" i="106"/>
  <c r="P75" i="106" s="1"/>
  <c r="N75" i="106"/>
  <c r="L75" i="106"/>
  <c r="K75" i="106"/>
  <c r="I75" i="106"/>
  <c r="H75" i="106"/>
  <c r="G75" i="106"/>
  <c r="Q74" i="106"/>
  <c r="P74" i="106"/>
  <c r="O74" i="106"/>
  <c r="N74" i="106"/>
  <c r="L74" i="106"/>
  <c r="I74" i="106"/>
  <c r="H74" i="106"/>
  <c r="G74" i="106"/>
  <c r="K74" i="106" s="1"/>
  <c r="Q73" i="106"/>
  <c r="O73" i="106"/>
  <c r="P73" i="106" s="1"/>
  <c r="N73" i="106"/>
  <c r="L73" i="106"/>
  <c r="I73" i="106"/>
  <c r="H73" i="106"/>
  <c r="G73" i="106"/>
  <c r="K73" i="106" s="1"/>
  <c r="U72" i="106"/>
  <c r="Q72" i="106"/>
  <c r="O72" i="106"/>
  <c r="P72" i="106" s="1"/>
  <c r="N72" i="106"/>
  <c r="L72" i="106"/>
  <c r="I72" i="106"/>
  <c r="H72" i="106"/>
  <c r="G72" i="106"/>
  <c r="K72" i="106" s="1"/>
  <c r="U71" i="106"/>
  <c r="Q71" i="106"/>
  <c r="O71" i="106"/>
  <c r="P71" i="106" s="1"/>
  <c r="N71" i="106"/>
  <c r="L71" i="106"/>
  <c r="K71" i="106"/>
  <c r="I71" i="106"/>
  <c r="H71" i="106"/>
  <c r="G71" i="106"/>
  <c r="Q70" i="106"/>
  <c r="P70" i="106"/>
  <c r="O70" i="106"/>
  <c r="N70" i="106"/>
  <c r="L70" i="106"/>
  <c r="I70" i="106"/>
  <c r="H70" i="106"/>
  <c r="G70" i="106"/>
  <c r="K70" i="106" s="1"/>
  <c r="Q69" i="106"/>
  <c r="O69" i="106"/>
  <c r="P69" i="106" s="1"/>
  <c r="N69" i="106"/>
  <c r="L69" i="106"/>
  <c r="I69" i="106"/>
  <c r="H69" i="106"/>
  <c r="G69" i="106"/>
  <c r="K69" i="106" s="1"/>
  <c r="Q68" i="106"/>
  <c r="R68" i="106" s="1"/>
  <c r="O68" i="106"/>
  <c r="P68" i="106" s="1"/>
  <c r="N68" i="106"/>
  <c r="L68" i="106"/>
  <c r="I68" i="106"/>
  <c r="H68" i="106"/>
  <c r="G68" i="106"/>
  <c r="K68" i="106" s="1"/>
  <c r="U67" i="106"/>
  <c r="Q67" i="106"/>
  <c r="O67" i="106"/>
  <c r="P67" i="106" s="1"/>
  <c r="N67" i="106"/>
  <c r="L67" i="106"/>
  <c r="K67" i="106"/>
  <c r="I67" i="106"/>
  <c r="H67" i="106"/>
  <c r="G67" i="106"/>
  <c r="Q66" i="106"/>
  <c r="P66" i="106"/>
  <c r="O66" i="106"/>
  <c r="N66" i="106"/>
  <c r="L66" i="106"/>
  <c r="I66" i="106"/>
  <c r="H66" i="106"/>
  <c r="G66" i="106"/>
  <c r="K66" i="106" s="1"/>
  <c r="Q65" i="106"/>
  <c r="O65" i="106"/>
  <c r="P65" i="106" s="1"/>
  <c r="N65" i="106"/>
  <c r="L65" i="106"/>
  <c r="I65" i="106"/>
  <c r="H65" i="106"/>
  <c r="G65" i="106"/>
  <c r="K65" i="106" s="1"/>
  <c r="Q64" i="106"/>
  <c r="R64" i="106" s="1"/>
  <c r="O64" i="106"/>
  <c r="P64" i="106" s="1"/>
  <c r="N64" i="106"/>
  <c r="L64" i="106"/>
  <c r="I64" i="106"/>
  <c r="H64" i="106"/>
  <c r="G64" i="106"/>
  <c r="K64" i="106" s="1"/>
  <c r="U63" i="106"/>
  <c r="Q63" i="106"/>
  <c r="O63" i="106"/>
  <c r="P63" i="106" s="1"/>
  <c r="N63" i="106"/>
  <c r="L63" i="106"/>
  <c r="I63" i="106"/>
  <c r="H63" i="106"/>
  <c r="G63" i="106"/>
  <c r="K63" i="106" s="1"/>
  <c r="U62" i="106"/>
  <c r="Q62" i="106"/>
  <c r="P62" i="106"/>
  <c r="O62" i="106"/>
  <c r="N62" i="106"/>
  <c r="L62" i="106"/>
  <c r="I62" i="106"/>
  <c r="H62" i="106"/>
  <c r="G62" i="106"/>
  <c r="K62" i="106" s="1"/>
  <c r="Q61" i="106"/>
  <c r="O61" i="106"/>
  <c r="P61" i="106" s="1"/>
  <c r="N61" i="106"/>
  <c r="L61" i="106"/>
  <c r="H61" i="106"/>
  <c r="I61" i="106" s="1"/>
  <c r="G61" i="106"/>
  <c r="K61" i="106" s="1"/>
  <c r="R61" i="106" s="1"/>
  <c r="Q60" i="106"/>
  <c r="O60" i="106"/>
  <c r="P60" i="106" s="1"/>
  <c r="N60" i="106"/>
  <c r="L60" i="106"/>
  <c r="I60" i="106"/>
  <c r="H60" i="106"/>
  <c r="G60" i="106"/>
  <c r="K60" i="106" s="1"/>
  <c r="U59" i="106"/>
  <c r="Q59" i="106"/>
  <c r="O59" i="106"/>
  <c r="P59" i="106" s="1"/>
  <c r="N59" i="106"/>
  <c r="R59" i="106" s="1"/>
  <c r="L59" i="106"/>
  <c r="I59" i="106"/>
  <c r="H59" i="106"/>
  <c r="G59" i="106"/>
  <c r="K59" i="106" s="1"/>
  <c r="U58" i="106"/>
  <c r="Q58" i="106"/>
  <c r="O58" i="106"/>
  <c r="P58" i="106" s="1"/>
  <c r="N58" i="106"/>
  <c r="R58" i="106" s="1"/>
  <c r="L58" i="106"/>
  <c r="I58" i="106"/>
  <c r="H58" i="106"/>
  <c r="G58" i="106"/>
  <c r="K58" i="106" s="1"/>
  <c r="S57" i="106"/>
  <c r="Q57" i="106"/>
  <c r="O57" i="106"/>
  <c r="P57" i="106" s="1"/>
  <c r="N57" i="106"/>
  <c r="L57" i="106"/>
  <c r="H57" i="106"/>
  <c r="I57" i="106" s="1"/>
  <c r="G57" i="106"/>
  <c r="K57" i="106" s="1"/>
  <c r="R57" i="106" s="1"/>
  <c r="X57" i="106" s="1"/>
  <c r="Q56" i="106"/>
  <c r="O56" i="106"/>
  <c r="P56" i="106" s="1"/>
  <c r="N56" i="106"/>
  <c r="L56" i="106"/>
  <c r="I56" i="106"/>
  <c r="H56" i="106"/>
  <c r="G56" i="106"/>
  <c r="K56" i="106" s="1"/>
  <c r="U55" i="106"/>
  <c r="Q55" i="106"/>
  <c r="O55" i="106"/>
  <c r="P55" i="106" s="1"/>
  <c r="N55" i="106"/>
  <c r="L55" i="106"/>
  <c r="I55" i="106"/>
  <c r="H55" i="106"/>
  <c r="G55" i="106"/>
  <c r="K55" i="106" s="1"/>
  <c r="Q54" i="106"/>
  <c r="O54" i="106"/>
  <c r="P54" i="106" s="1"/>
  <c r="N54" i="106"/>
  <c r="L54" i="106"/>
  <c r="I54" i="106"/>
  <c r="H54" i="106"/>
  <c r="G54" i="106"/>
  <c r="K54" i="106" s="1"/>
  <c r="Q53" i="106"/>
  <c r="P53" i="106"/>
  <c r="O53" i="106"/>
  <c r="N53" i="106"/>
  <c r="L53" i="106"/>
  <c r="H53" i="106"/>
  <c r="I53" i="106" s="1"/>
  <c r="G53" i="106"/>
  <c r="K53" i="106" s="1"/>
  <c r="U52" i="106"/>
  <c r="Q52" i="106"/>
  <c r="O52" i="106"/>
  <c r="P52" i="106" s="1"/>
  <c r="N52" i="106"/>
  <c r="L52" i="106"/>
  <c r="K52" i="106"/>
  <c r="R52" i="106" s="1"/>
  <c r="I52" i="106"/>
  <c r="H52" i="106"/>
  <c r="G52" i="106"/>
  <c r="U51" i="106"/>
  <c r="Q51" i="106"/>
  <c r="O51" i="106"/>
  <c r="P51" i="106" s="1"/>
  <c r="N51" i="106"/>
  <c r="L51" i="106"/>
  <c r="K51" i="106"/>
  <c r="I51" i="106"/>
  <c r="H51" i="106"/>
  <c r="G51" i="106"/>
  <c r="U50" i="106"/>
  <c r="Q50" i="106"/>
  <c r="P50" i="106"/>
  <c r="O50" i="106"/>
  <c r="N50" i="106"/>
  <c r="L50" i="106"/>
  <c r="I50" i="106"/>
  <c r="H50" i="106"/>
  <c r="G50" i="106"/>
  <c r="K50" i="106" s="1"/>
  <c r="Q49" i="106"/>
  <c r="P49" i="106"/>
  <c r="O49" i="106"/>
  <c r="N49" i="106"/>
  <c r="L49" i="106"/>
  <c r="H49" i="106"/>
  <c r="I49" i="106" s="1"/>
  <c r="G49" i="106"/>
  <c r="K49" i="106" s="1"/>
  <c r="R49" i="106" s="1"/>
  <c r="R48" i="106"/>
  <c r="Q48" i="106"/>
  <c r="O48" i="106"/>
  <c r="P48" i="106" s="1"/>
  <c r="N48" i="106"/>
  <c r="L48" i="106"/>
  <c r="I48" i="106"/>
  <c r="H48" i="106"/>
  <c r="G48" i="106"/>
  <c r="K48" i="106" s="1"/>
  <c r="U47" i="106"/>
  <c r="Q47" i="106"/>
  <c r="O47" i="106"/>
  <c r="P47" i="106" s="1"/>
  <c r="N47" i="106"/>
  <c r="L47" i="106"/>
  <c r="K47" i="106"/>
  <c r="I47" i="106"/>
  <c r="H47" i="106"/>
  <c r="G47" i="106"/>
  <c r="U46" i="106"/>
  <c r="Q46" i="106"/>
  <c r="P46" i="106"/>
  <c r="O46" i="106"/>
  <c r="N46" i="106"/>
  <c r="L46" i="106"/>
  <c r="I46" i="106"/>
  <c r="H46" i="106"/>
  <c r="G46" i="106"/>
  <c r="K46" i="106" s="1"/>
  <c r="U45" i="106"/>
  <c r="Q45" i="106"/>
  <c r="O45" i="106"/>
  <c r="P45" i="106" s="1"/>
  <c r="N45" i="106"/>
  <c r="L45" i="106"/>
  <c r="K45" i="106"/>
  <c r="I45" i="106"/>
  <c r="H45" i="106"/>
  <c r="G45" i="106"/>
  <c r="AR44" i="106"/>
  <c r="AJ44" i="106"/>
  <c r="AI44" i="106"/>
  <c r="AF44" i="106"/>
  <c r="AG44" i="106" s="1"/>
  <c r="AQ44" i="106" s="1"/>
  <c r="S44" i="106"/>
  <c r="R44" i="106"/>
  <c r="Q44" i="106"/>
  <c r="O44" i="106"/>
  <c r="P44" i="106" s="1"/>
  <c r="N44" i="106"/>
  <c r="L44" i="106"/>
  <c r="H44" i="106"/>
  <c r="I44" i="106" s="1"/>
  <c r="G44" i="106"/>
  <c r="K44" i="106" s="1"/>
  <c r="AR43" i="106"/>
  <c r="AJ43" i="106"/>
  <c r="AI43" i="106"/>
  <c r="AF43" i="106"/>
  <c r="AG43" i="106" s="1"/>
  <c r="AQ43" i="106" s="1"/>
  <c r="U43" i="106"/>
  <c r="R43" i="106"/>
  <c r="Q43" i="106"/>
  <c r="O43" i="106"/>
  <c r="P43" i="106" s="1"/>
  <c r="N43" i="106"/>
  <c r="L43" i="106"/>
  <c r="H43" i="106"/>
  <c r="I43" i="106" s="1"/>
  <c r="G43" i="106"/>
  <c r="K43" i="106" s="1"/>
  <c r="AR42" i="106"/>
  <c r="AJ42" i="106"/>
  <c r="AI42" i="106"/>
  <c r="AF42" i="106"/>
  <c r="AG42" i="106" s="1"/>
  <c r="AQ42" i="106" s="1"/>
  <c r="Q42" i="106"/>
  <c r="O42" i="106"/>
  <c r="P42" i="106" s="1"/>
  <c r="N42" i="106"/>
  <c r="L42" i="106"/>
  <c r="H42" i="106"/>
  <c r="I42" i="106" s="1"/>
  <c r="G42" i="106"/>
  <c r="K42" i="106" s="1"/>
  <c r="AR41" i="106"/>
  <c r="AJ41" i="106"/>
  <c r="AI41" i="106"/>
  <c r="AF41" i="106"/>
  <c r="AG41" i="106" s="1"/>
  <c r="AQ41" i="106" s="1"/>
  <c r="U41" i="106"/>
  <c r="Q41" i="106"/>
  <c r="O41" i="106"/>
  <c r="P41" i="106" s="1"/>
  <c r="N41" i="106"/>
  <c r="L41" i="106"/>
  <c r="K41" i="106"/>
  <c r="I41" i="106"/>
  <c r="H41" i="106"/>
  <c r="G41" i="106"/>
  <c r="AR40" i="106"/>
  <c r="AJ40" i="106"/>
  <c r="AI40" i="106"/>
  <c r="AF40" i="106"/>
  <c r="AG40" i="106" s="1"/>
  <c r="AQ40" i="106" s="1"/>
  <c r="Q40" i="106"/>
  <c r="O40" i="106"/>
  <c r="P40" i="106" s="1"/>
  <c r="N40" i="106"/>
  <c r="L40" i="106"/>
  <c r="K40" i="106"/>
  <c r="H40" i="106"/>
  <c r="I40" i="106" s="1"/>
  <c r="G40" i="106"/>
  <c r="AR39" i="106"/>
  <c r="AJ39" i="106"/>
  <c r="AI39" i="106"/>
  <c r="AF39" i="106"/>
  <c r="AG39" i="106" s="1"/>
  <c r="AQ39" i="106" s="1"/>
  <c r="Q39" i="106"/>
  <c r="O39" i="106"/>
  <c r="P39" i="106" s="1"/>
  <c r="N39" i="106"/>
  <c r="L39" i="106"/>
  <c r="H39" i="106"/>
  <c r="I39" i="106" s="1"/>
  <c r="G39" i="106"/>
  <c r="K39" i="106" s="1"/>
  <c r="AR38" i="106"/>
  <c r="AJ38" i="106"/>
  <c r="AI38" i="106"/>
  <c r="AF38" i="106"/>
  <c r="AG38" i="106" s="1"/>
  <c r="AQ38" i="106" s="1"/>
  <c r="U38" i="106"/>
  <c r="Q38" i="106"/>
  <c r="O38" i="106"/>
  <c r="P38" i="106" s="1"/>
  <c r="N38" i="106"/>
  <c r="L38" i="106"/>
  <c r="K38" i="106"/>
  <c r="H38" i="106"/>
  <c r="I38" i="106" s="1"/>
  <c r="G38" i="106"/>
  <c r="AR37" i="106"/>
  <c r="AJ37" i="106"/>
  <c r="AI37" i="106"/>
  <c r="AF37" i="106"/>
  <c r="AG37" i="106" s="1"/>
  <c r="AQ37" i="106" s="1"/>
  <c r="Q37" i="106"/>
  <c r="O37" i="106"/>
  <c r="P37" i="106" s="1"/>
  <c r="N37" i="106"/>
  <c r="R37" i="106" s="1"/>
  <c r="L37" i="106"/>
  <c r="H37" i="106"/>
  <c r="I37" i="106" s="1"/>
  <c r="G37" i="106"/>
  <c r="K37" i="106" s="1"/>
  <c r="AR36" i="106"/>
  <c r="AJ36" i="106"/>
  <c r="AI36" i="106"/>
  <c r="AF36" i="106"/>
  <c r="AG36" i="106" s="1"/>
  <c r="AQ36" i="106" s="1"/>
  <c r="U36" i="106"/>
  <c r="S36" i="106"/>
  <c r="Q36" i="106"/>
  <c r="O36" i="106"/>
  <c r="P36" i="106" s="1"/>
  <c r="Y36" i="106" s="1"/>
  <c r="N36" i="106"/>
  <c r="R36" i="106" s="1"/>
  <c r="L36" i="106"/>
  <c r="K36" i="106"/>
  <c r="H36" i="106"/>
  <c r="I36" i="106" s="1"/>
  <c r="G36" i="106"/>
  <c r="AR35" i="106"/>
  <c r="AJ35" i="106"/>
  <c r="AI35" i="106"/>
  <c r="AF35" i="106"/>
  <c r="AG35" i="106" s="1"/>
  <c r="AQ35" i="106" s="1"/>
  <c r="Q35" i="106"/>
  <c r="O35" i="106"/>
  <c r="P35" i="106" s="1"/>
  <c r="N35" i="106"/>
  <c r="R35" i="106" s="1"/>
  <c r="L35" i="106"/>
  <c r="H35" i="106"/>
  <c r="I35" i="106" s="1"/>
  <c r="G35" i="106"/>
  <c r="K35" i="106" s="1"/>
  <c r="AR34" i="106"/>
  <c r="AJ34" i="106"/>
  <c r="AI34" i="106"/>
  <c r="AF34" i="106"/>
  <c r="AG34" i="106" s="1"/>
  <c r="AQ34" i="106" s="1"/>
  <c r="U34" i="106"/>
  <c r="Q34" i="106"/>
  <c r="O34" i="106"/>
  <c r="P34" i="106" s="1"/>
  <c r="N34" i="106"/>
  <c r="L34" i="106"/>
  <c r="K34" i="106"/>
  <c r="H34" i="106"/>
  <c r="I34" i="106" s="1"/>
  <c r="G34" i="106"/>
  <c r="AR33" i="106"/>
  <c r="AJ33" i="106"/>
  <c r="AI33" i="106"/>
  <c r="AF33" i="106"/>
  <c r="AG33" i="106" s="1"/>
  <c r="AQ33" i="106" s="1"/>
  <c r="R33" i="106"/>
  <c r="Q33" i="106"/>
  <c r="O33" i="106"/>
  <c r="P33" i="106" s="1"/>
  <c r="N33" i="106"/>
  <c r="L33" i="106"/>
  <c r="H33" i="106"/>
  <c r="I33" i="106" s="1"/>
  <c r="G33" i="106"/>
  <c r="K33" i="106" s="1"/>
  <c r="AR32" i="106"/>
  <c r="AJ32" i="106"/>
  <c r="AI32" i="106"/>
  <c r="AF32" i="106"/>
  <c r="AG32" i="106" s="1"/>
  <c r="AQ32" i="106" s="1"/>
  <c r="U32" i="106"/>
  <c r="Q32" i="106"/>
  <c r="O32" i="106"/>
  <c r="P32" i="106" s="1"/>
  <c r="N32" i="106"/>
  <c r="L32" i="106"/>
  <c r="K32" i="106"/>
  <c r="I32" i="106"/>
  <c r="H32" i="106"/>
  <c r="G32" i="106"/>
  <c r="AR31" i="106"/>
  <c r="AJ31" i="106"/>
  <c r="AI31" i="106"/>
  <c r="AF31" i="106"/>
  <c r="AG31" i="106" s="1"/>
  <c r="AQ31" i="106" s="1"/>
  <c r="R31" i="106"/>
  <c r="Q31" i="106"/>
  <c r="O31" i="106"/>
  <c r="P31" i="106" s="1"/>
  <c r="N31" i="106"/>
  <c r="L31" i="106"/>
  <c r="H31" i="106"/>
  <c r="I31" i="106" s="1"/>
  <c r="G31" i="106"/>
  <c r="K31" i="106" s="1"/>
  <c r="AR30" i="106"/>
  <c r="AJ30" i="106"/>
  <c r="AI30" i="106"/>
  <c r="AF30" i="106"/>
  <c r="AG30" i="106" s="1"/>
  <c r="AQ30" i="106" s="1"/>
  <c r="Q30" i="106"/>
  <c r="U30" i="106" s="1"/>
  <c r="P30" i="106"/>
  <c r="O30" i="106"/>
  <c r="N30" i="106"/>
  <c r="L30" i="106"/>
  <c r="I30" i="106"/>
  <c r="H30" i="106"/>
  <c r="G30" i="106"/>
  <c r="K30" i="106" s="1"/>
  <c r="AR29" i="106"/>
  <c r="AJ29" i="106"/>
  <c r="AI29" i="106"/>
  <c r="AF29" i="106"/>
  <c r="AG29" i="106" s="1"/>
  <c r="AQ29" i="106" s="1"/>
  <c r="Q29" i="106"/>
  <c r="U29" i="106" s="1"/>
  <c r="P29" i="106"/>
  <c r="O29" i="106"/>
  <c r="N29" i="106"/>
  <c r="L29" i="106"/>
  <c r="I29" i="106"/>
  <c r="H29" i="106"/>
  <c r="G29" i="106"/>
  <c r="K29" i="106" s="1"/>
  <c r="AR28" i="106"/>
  <c r="AJ28" i="106"/>
  <c r="AI28" i="106"/>
  <c r="AF28" i="106"/>
  <c r="AG28" i="106" s="1"/>
  <c r="AQ28" i="106" s="1"/>
  <c r="U28" i="106"/>
  <c r="Q28" i="106"/>
  <c r="O28" i="106"/>
  <c r="P28" i="106" s="1"/>
  <c r="N28" i="106"/>
  <c r="L28" i="106"/>
  <c r="K28" i="106"/>
  <c r="I28" i="106"/>
  <c r="H28" i="106"/>
  <c r="G28" i="106"/>
  <c r="AR27" i="106"/>
  <c r="AJ27" i="106"/>
  <c r="AI27" i="106"/>
  <c r="AF27" i="106"/>
  <c r="AG27" i="106" s="1"/>
  <c r="AQ27" i="106" s="1"/>
  <c r="Q27" i="106"/>
  <c r="U27" i="106" s="1"/>
  <c r="O27" i="106"/>
  <c r="P27" i="106" s="1"/>
  <c r="N27" i="106"/>
  <c r="L27" i="106"/>
  <c r="I27" i="106"/>
  <c r="H27" i="106"/>
  <c r="G27" i="106"/>
  <c r="K27" i="106" s="1"/>
  <c r="AR26" i="106"/>
  <c r="AJ26" i="106"/>
  <c r="AI26" i="106"/>
  <c r="AF26" i="106"/>
  <c r="AG26" i="106" s="1"/>
  <c r="AQ26" i="106" s="1"/>
  <c r="U26" i="106"/>
  <c r="Q26" i="106"/>
  <c r="P26" i="106"/>
  <c r="O26" i="106"/>
  <c r="N26" i="106"/>
  <c r="L26" i="106"/>
  <c r="K26" i="106"/>
  <c r="I26" i="106"/>
  <c r="H26" i="106"/>
  <c r="G26" i="106"/>
  <c r="AR25" i="106"/>
  <c r="AJ25" i="106"/>
  <c r="AI25" i="106"/>
  <c r="AF25" i="106"/>
  <c r="AG25" i="106" s="1"/>
  <c r="AQ25" i="106" s="1"/>
  <c r="Q25" i="106"/>
  <c r="U25" i="106" s="1"/>
  <c r="P25" i="106"/>
  <c r="O25" i="106"/>
  <c r="N25" i="106"/>
  <c r="L25" i="106"/>
  <c r="I25" i="106"/>
  <c r="H25" i="106"/>
  <c r="G25" i="106"/>
  <c r="K25" i="106" s="1"/>
  <c r="AR24" i="106"/>
  <c r="AJ24" i="106"/>
  <c r="AI24" i="106"/>
  <c r="AF24" i="106"/>
  <c r="AG24" i="106" s="1"/>
  <c r="AQ24" i="106" s="1"/>
  <c r="U24" i="106"/>
  <c r="Q24" i="106"/>
  <c r="O24" i="106"/>
  <c r="P24" i="106" s="1"/>
  <c r="N24" i="106"/>
  <c r="L24" i="106"/>
  <c r="K24" i="106"/>
  <c r="I24" i="106"/>
  <c r="H24" i="106"/>
  <c r="G24" i="106"/>
  <c r="AR23" i="106"/>
  <c r="AJ23" i="106"/>
  <c r="AI23" i="106"/>
  <c r="AF23" i="106"/>
  <c r="AG23" i="106" s="1"/>
  <c r="AQ23" i="106" s="1"/>
  <c r="U23" i="106"/>
  <c r="Q23" i="106"/>
  <c r="P23" i="106"/>
  <c r="O23" i="106"/>
  <c r="N23" i="106"/>
  <c r="L23" i="106"/>
  <c r="I23" i="106"/>
  <c r="H23" i="106"/>
  <c r="G23" i="106"/>
  <c r="K23" i="106" s="1"/>
  <c r="AR22" i="106"/>
  <c r="AJ22" i="106"/>
  <c r="AI22" i="106"/>
  <c r="AF22" i="106"/>
  <c r="AG22" i="106" s="1"/>
  <c r="AQ22" i="106" s="1"/>
  <c r="Q22" i="106"/>
  <c r="U22" i="106" s="1"/>
  <c r="O22" i="106"/>
  <c r="P22" i="106" s="1"/>
  <c r="N22" i="106"/>
  <c r="L22" i="106"/>
  <c r="I22" i="106"/>
  <c r="H22" i="106"/>
  <c r="G22" i="106"/>
  <c r="K22" i="106" s="1"/>
  <c r="AR21" i="106"/>
  <c r="AJ21" i="106"/>
  <c r="AI21" i="106"/>
  <c r="AF21" i="106"/>
  <c r="AG21" i="106" s="1"/>
  <c r="AQ21" i="106" s="1"/>
  <c r="U21" i="106"/>
  <c r="Q21" i="106"/>
  <c r="O21" i="106"/>
  <c r="P21" i="106" s="1"/>
  <c r="N21" i="106"/>
  <c r="L21" i="106"/>
  <c r="K21" i="106"/>
  <c r="I21" i="106"/>
  <c r="H21" i="106"/>
  <c r="G21" i="106"/>
  <c r="AR20" i="106"/>
  <c r="AJ20" i="106"/>
  <c r="AI20" i="106"/>
  <c r="AF20" i="106"/>
  <c r="AG20" i="106" s="1"/>
  <c r="AQ20" i="106" s="1"/>
  <c r="Q20" i="106"/>
  <c r="P20" i="106"/>
  <c r="O20" i="106"/>
  <c r="N20" i="106"/>
  <c r="L20" i="106"/>
  <c r="I20" i="106"/>
  <c r="H20" i="106"/>
  <c r="G20" i="106"/>
  <c r="K20" i="106" s="1"/>
  <c r="AR19" i="106"/>
  <c r="AK19" i="106"/>
  <c r="AK20" i="106" s="1"/>
  <c r="AK21" i="106" s="1"/>
  <c r="AK22" i="106" s="1"/>
  <c r="AK23" i="106" s="1"/>
  <c r="AK24" i="106" s="1"/>
  <c r="AK25" i="106" s="1"/>
  <c r="AK26" i="106" s="1"/>
  <c r="AK27" i="106" s="1"/>
  <c r="AK28" i="106" s="1"/>
  <c r="AK29" i="106" s="1"/>
  <c r="AK30" i="106" s="1"/>
  <c r="AK31" i="106" s="1"/>
  <c r="AK32" i="106" s="1"/>
  <c r="AK33" i="106" s="1"/>
  <c r="AK34" i="106" s="1"/>
  <c r="AK35" i="106" s="1"/>
  <c r="AK36" i="106" s="1"/>
  <c r="AK37" i="106" s="1"/>
  <c r="AK38" i="106" s="1"/>
  <c r="AK39" i="106" s="1"/>
  <c r="AK40" i="106" s="1"/>
  <c r="AK41" i="106" s="1"/>
  <c r="AK42" i="106" s="1"/>
  <c r="AK43" i="106" s="1"/>
  <c r="AK44" i="106" s="1"/>
  <c r="AJ19" i="106"/>
  <c r="AI19" i="106"/>
  <c r="AF19" i="106"/>
  <c r="AG19" i="106" s="1"/>
  <c r="AQ19" i="106" s="1"/>
  <c r="Q19" i="106"/>
  <c r="O19" i="106"/>
  <c r="P19" i="106" s="1"/>
  <c r="N19" i="106"/>
  <c r="L19" i="106"/>
  <c r="H19" i="106"/>
  <c r="I19" i="106" s="1"/>
  <c r="G19" i="106"/>
  <c r="K19" i="106" s="1"/>
  <c r="AR18" i="106"/>
  <c r="AJ18" i="106"/>
  <c r="AI18" i="106"/>
  <c r="AF18" i="106"/>
  <c r="AG18" i="106" s="1"/>
  <c r="AQ18" i="106" s="1"/>
  <c r="Q18" i="106"/>
  <c r="O18" i="106"/>
  <c r="P18" i="106" s="1"/>
  <c r="N18" i="106"/>
  <c r="R18" i="106" s="1"/>
  <c r="L18" i="106"/>
  <c r="H18" i="106"/>
  <c r="I18" i="106" s="1"/>
  <c r="G18" i="106"/>
  <c r="K18" i="106" s="1"/>
  <c r="AR17" i="106"/>
  <c r="AJ17" i="106"/>
  <c r="AI17" i="106"/>
  <c r="AF17" i="106"/>
  <c r="AG17" i="106" s="1"/>
  <c r="AQ17" i="106" s="1"/>
  <c r="Q17" i="106"/>
  <c r="O17" i="106"/>
  <c r="P17" i="106" s="1"/>
  <c r="N17" i="106"/>
  <c r="R17" i="106" s="1"/>
  <c r="L17" i="106"/>
  <c r="H17" i="106"/>
  <c r="I17" i="106" s="1"/>
  <c r="G17" i="106"/>
  <c r="K17" i="106" s="1"/>
  <c r="AR16" i="106"/>
  <c r="AJ16" i="106"/>
  <c r="AI16" i="106"/>
  <c r="AF16" i="106"/>
  <c r="AG16" i="106" s="1"/>
  <c r="AQ16" i="106" s="1"/>
  <c r="Q16" i="106"/>
  <c r="O16" i="106"/>
  <c r="P16" i="106" s="1"/>
  <c r="N16" i="106"/>
  <c r="L16" i="106"/>
  <c r="H16" i="106"/>
  <c r="I16" i="106" s="1"/>
  <c r="G16" i="106"/>
  <c r="K16" i="106" s="1"/>
  <c r="AR15" i="106"/>
  <c r="AJ15" i="106"/>
  <c r="AI15" i="106"/>
  <c r="AF15" i="106"/>
  <c r="AG15" i="106" s="1"/>
  <c r="AQ15" i="106" s="1"/>
  <c r="Q15" i="106"/>
  <c r="O15" i="106"/>
  <c r="P15" i="106" s="1"/>
  <c r="N15" i="106"/>
  <c r="R15" i="106" s="1"/>
  <c r="L15" i="106"/>
  <c r="H15" i="106"/>
  <c r="I15" i="106" s="1"/>
  <c r="G15" i="106"/>
  <c r="K15" i="106" s="1"/>
  <c r="AR14" i="106"/>
  <c r="AJ14" i="106"/>
  <c r="AI14" i="106"/>
  <c r="AF14" i="106"/>
  <c r="AG14" i="106" s="1"/>
  <c r="AQ14" i="106" s="1"/>
  <c r="Q14" i="106"/>
  <c r="O14" i="106"/>
  <c r="P14" i="106" s="1"/>
  <c r="N14" i="106"/>
  <c r="L14" i="106"/>
  <c r="H14" i="106"/>
  <c r="I14" i="106" s="1"/>
  <c r="G14" i="106"/>
  <c r="K14" i="106" s="1"/>
  <c r="AR13" i="106"/>
  <c r="AJ13" i="106"/>
  <c r="AI13" i="106"/>
  <c r="AF13" i="106"/>
  <c r="AG13" i="106" s="1"/>
  <c r="AQ13" i="106" s="1"/>
  <c r="Q13" i="106"/>
  <c r="O13" i="106"/>
  <c r="P13" i="106" s="1"/>
  <c r="N13" i="106"/>
  <c r="R13" i="106" s="1"/>
  <c r="L13" i="106"/>
  <c r="H13" i="106"/>
  <c r="I13" i="106" s="1"/>
  <c r="G13" i="106"/>
  <c r="K13" i="106" s="1"/>
  <c r="AR12" i="106"/>
  <c r="AJ12" i="106"/>
  <c r="AI12" i="106"/>
  <c r="AF12" i="106"/>
  <c r="AG12" i="106" s="1"/>
  <c r="AQ12" i="106" s="1"/>
  <c r="Q12" i="106"/>
  <c r="O12" i="106"/>
  <c r="P12" i="106" s="1"/>
  <c r="N12" i="106"/>
  <c r="L12" i="106"/>
  <c r="H12" i="106"/>
  <c r="I12" i="106" s="1"/>
  <c r="G12" i="106"/>
  <c r="K12" i="106" s="1"/>
  <c r="AR11" i="106"/>
  <c r="AJ11" i="106"/>
  <c r="AI11" i="106"/>
  <c r="AF11" i="106"/>
  <c r="AG11" i="106" s="1"/>
  <c r="AQ11" i="106" s="1"/>
  <c r="Q11" i="106"/>
  <c r="O11" i="106"/>
  <c r="P11" i="106" s="1"/>
  <c r="N11" i="106"/>
  <c r="L11" i="106"/>
  <c r="H11" i="106"/>
  <c r="I11" i="106" s="1"/>
  <c r="G11" i="106"/>
  <c r="K11" i="106" s="1"/>
  <c r="AR10" i="106"/>
  <c r="AJ10" i="106"/>
  <c r="AI10" i="106"/>
  <c r="AF10" i="106"/>
  <c r="AG10" i="106" s="1"/>
  <c r="AQ10" i="106" s="1"/>
  <c r="Q10" i="106"/>
  <c r="O10" i="106"/>
  <c r="P10" i="106" s="1"/>
  <c r="N10" i="106"/>
  <c r="L10" i="106"/>
  <c r="H10" i="106"/>
  <c r="I10" i="106" s="1"/>
  <c r="G10" i="106"/>
  <c r="K10" i="106" s="1"/>
  <c r="AR9" i="106"/>
  <c r="AJ9" i="106"/>
  <c r="AI9" i="106"/>
  <c r="AF9" i="106"/>
  <c r="AG9" i="106" s="1"/>
  <c r="AQ9" i="106" s="1"/>
  <c r="Q9" i="106"/>
  <c r="O9" i="106"/>
  <c r="P9" i="106" s="1"/>
  <c r="N9" i="106"/>
  <c r="L9" i="106"/>
  <c r="H9" i="106"/>
  <c r="I9" i="106" s="1"/>
  <c r="G9" i="106"/>
  <c r="K9" i="106" s="1"/>
  <c r="AS8" i="106"/>
  <c r="AS9" i="106" s="1"/>
  <c r="AS10" i="106" s="1"/>
  <c r="AS11" i="106" s="1"/>
  <c r="AS12" i="106" s="1"/>
  <c r="AS13" i="106" s="1"/>
  <c r="AS14" i="106" s="1"/>
  <c r="AS15" i="106" s="1"/>
  <c r="AS16" i="106" s="1"/>
  <c r="AS17" i="106" s="1"/>
  <c r="AS18" i="106" s="1"/>
  <c r="AS19" i="106" s="1"/>
  <c r="AS20" i="106" s="1"/>
  <c r="AS21" i="106" s="1"/>
  <c r="AS22" i="106" s="1"/>
  <c r="AS23" i="106" s="1"/>
  <c r="AS24" i="106" s="1"/>
  <c r="AS25" i="106" s="1"/>
  <c r="AS26" i="106" s="1"/>
  <c r="AS27" i="106" s="1"/>
  <c r="AS28" i="106" s="1"/>
  <c r="AS29" i="106" s="1"/>
  <c r="AS30" i="106" s="1"/>
  <c r="AS31" i="106" s="1"/>
  <c r="AS32" i="106" s="1"/>
  <c r="AS33" i="106" s="1"/>
  <c r="AS34" i="106" s="1"/>
  <c r="AS35" i="106" s="1"/>
  <c r="AS36" i="106" s="1"/>
  <c r="AS37" i="106" s="1"/>
  <c r="AS38" i="106" s="1"/>
  <c r="AS39" i="106" s="1"/>
  <c r="AS40" i="106" s="1"/>
  <c r="AS41" i="106" s="1"/>
  <c r="AS42" i="106" s="1"/>
  <c r="AS43" i="106" s="1"/>
  <c r="AS44" i="106" s="1"/>
  <c r="AR8" i="106"/>
  <c r="AP8" i="106"/>
  <c r="AP9" i="106" s="1"/>
  <c r="AP10" i="106" s="1"/>
  <c r="AP11" i="106" s="1"/>
  <c r="AP12" i="106" s="1"/>
  <c r="AP13" i="106" s="1"/>
  <c r="AP14" i="106" s="1"/>
  <c r="AP15" i="106" s="1"/>
  <c r="AP16" i="106" s="1"/>
  <c r="AP17" i="106" s="1"/>
  <c r="AP18" i="106" s="1"/>
  <c r="AP19" i="106" s="1"/>
  <c r="AP20" i="106" s="1"/>
  <c r="AP21" i="106" s="1"/>
  <c r="AP22" i="106" s="1"/>
  <c r="AP23" i="106" s="1"/>
  <c r="AP24" i="106" s="1"/>
  <c r="AP25" i="106" s="1"/>
  <c r="AP26" i="106" s="1"/>
  <c r="AP27" i="106" s="1"/>
  <c r="AP28" i="106" s="1"/>
  <c r="AP29" i="106" s="1"/>
  <c r="AP30" i="106" s="1"/>
  <c r="AP31" i="106" s="1"/>
  <c r="AP32" i="106" s="1"/>
  <c r="AP33" i="106" s="1"/>
  <c r="AP34" i="106" s="1"/>
  <c r="AP35" i="106" s="1"/>
  <c r="AP36" i="106" s="1"/>
  <c r="AP37" i="106" s="1"/>
  <c r="AP38" i="106" s="1"/>
  <c r="AP39" i="106" s="1"/>
  <c r="AP40" i="106" s="1"/>
  <c r="AP41" i="106" s="1"/>
  <c r="AP42" i="106" s="1"/>
  <c r="AP43" i="106" s="1"/>
  <c r="AP44" i="106" s="1"/>
  <c r="AL8" i="106"/>
  <c r="AK8" i="106"/>
  <c r="AK9" i="106" s="1"/>
  <c r="AK10" i="106" s="1"/>
  <c r="AK11" i="106" s="1"/>
  <c r="AK12" i="106" s="1"/>
  <c r="AK13" i="106" s="1"/>
  <c r="AK14" i="106" s="1"/>
  <c r="AK15" i="106" s="1"/>
  <c r="AK16" i="106" s="1"/>
  <c r="AK17" i="106" s="1"/>
  <c r="AK18" i="106" s="1"/>
  <c r="AJ8" i="106"/>
  <c r="AI8" i="106"/>
  <c r="AH8" i="106"/>
  <c r="AH9" i="106" s="1"/>
  <c r="AH10" i="106" s="1"/>
  <c r="AH11" i="106" s="1"/>
  <c r="AH12" i="106" s="1"/>
  <c r="AH13" i="106" s="1"/>
  <c r="AH14" i="106" s="1"/>
  <c r="AH15" i="106" s="1"/>
  <c r="AH16" i="106" s="1"/>
  <c r="AH17" i="106" s="1"/>
  <c r="AH18" i="106" s="1"/>
  <c r="AH19" i="106" s="1"/>
  <c r="AH20" i="106" s="1"/>
  <c r="AH21" i="106" s="1"/>
  <c r="AH22" i="106" s="1"/>
  <c r="AH23" i="106" s="1"/>
  <c r="AH24" i="106" s="1"/>
  <c r="AH25" i="106" s="1"/>
  <c r="AH26" i="106" s="1"/>
  <c r="AH27" i="106" s="1"/>
  <c r="AH28" i="106" s="1"/>
  <c r="AH29" i="106" s="1"/>
  <c r="AH30" i="106" s="1"/>
  <c r="AH31" i="106" s="1"/>
  <c r="AH32" i="106" s="1"/>
  <c r="AH33" i="106" s="1"/>
  <c r="AH34" i="106" s="1"/>
  <c r="AH35" i="106" s="1"/>
  <c r="AH36" i="106" s="1"/>
  <c r="AH37" i="106" s="1"/>
  <c r="AH38" i="106" s="1"/>
  <c r="AH39" i="106" s="1"/>
  <c r="AH40" i="106" s="1"/>
  <c r="AH41" i="106" s="1"/>
  <c r="AH42" i="106" s="1"/>
  <c r="AH43" i="106" s="1"/>
  <c r="AH44" i="106" s="1"/>
  <c r="AF8" i="106"/>
  <c r="AG8" i="106" s="1"/>
  <c r="AQ8" i="106" s="1"/>
  <c r="Q8" i="106"/>
  <c r="O8" i="106"/>
  <c r="P8" i="106" s="1"/>
  <c r="N8" i="106"/>
  <c r="R8" i="106" s="1"/>
  <c r="L8" i="106"/>
  <c r="H8" i="106"/>
  <c r="I8" i="106" s="1"/>
  <c r="G8" i="106"/>
  <c r="K8" i="106" s="1"/>
  <c r="AR7" i="106"/>
  <c r="AJ7" i="106"/>
  <c r="AI7" i="106"/>
  <c r="AF7" i="106"/>
  <c r="AM7" i="106" s="1"/>
  <c r="Q7" i="106"/>
  <c r="U7" i="106" s="1"/>
  <c r="O7" i="106"/>
  <c r="P7" i="106" s="1"/>
  <c r="N7" i="106"/>
  <c r="L7" i="106"/>
  <c r="K7" i="106"/>
  <c r="H7" i="106"/>
  <c r="I7" i="106" s="1"/>
  <c r="G7" i="106"/>
  <c r="I15" i="45"/>
  <c r="J15" i="45"/>
  <c r="L15" i="45"/>
  <c r="M15" i="45"/>
  <c r="N15" i="45"/>
  <c r="U15" i="45"/>
  <c r="Y15" i="45"/>
  <c r="Z15" i="45"/>
  <c r="AE15" i="45"/>
  <c r="AF15" i="45"/>
  <c r="AG15" i="45"/>
  <c r="AJ15" i="45"/>
  <c r="AN15" i="45"/>
  <c r="AO15" i="45"/>
  <c r="AX15" i="45"/>
  <c r="AY15" i="45"/>
  <c r="E79" i="105"/>
  <c r="Q78" i="105"/>
  <c r="P78" i="105"/>
  <c r="O78" i="105"/>
  <c r="N78" i="105"/>
  <c r="L78" i="105"/>
  <c r="H78" i="105"/>
  <c r="I78" i="105" s="1"/>
  <c r="G78" i="105"/>
  <c r="K78" i="105" s="1"/>
  <c r="Q77" i="105"/>
  <c r="U77" i="105" s="1"/>
  <c r="P77" i="105"/>
  <c r="O77" i="105"/>
  <c r="N77" i="105"/>
  <c r="L77" i="105"/>
  <c r="K77" i="105"/>
  <c r="R77" i="105" s="1"/>
  <c r="H77" i="105"/>
  <c r="I77" i="105" s="1"/>
  <c r="G77" i="105"/>
  <c r="Q76" i="105"/>
  <c r="U76" i="105" s="1"/>
  <c r="P76" i="105"/>
  <c r="O76" i="105"/>
  <c r="N76" i="105"/>
  <c r="L76" i="105"/>
  <c r="H76" i="105"/>
  <c r="I76" i="105" s="1"/>
  <c r="G76" i="105"/>
  <c r="K76" i="105" s="1"/>
  <c r="X75" i="105"/>
  <c r="U75" i="105"/>
  <c r="S75" i="105"/>
  <c r="Q75" i="105"/>
  <c r="O75" i="105"/>
  <c r="P75" i="105" s="1"/>
  <c r="Y75" i="105" s="1"/>
  <c r="N75" i="105"/>
  <c r="R75" i="105" s="1"/>
  <c r="Z75" i="105" s="1"/>
  <c r="L75" i="105"/>
  <c r="K75" i="105"/>
  <c r="I75" i="105"/>
  <c r="H75" i="105"/>
  <c r="G75" i="105"/>
  <c r="Q74" i="105"/>
  <c r="P74" i="105"/>
  <c r="O74" i="105"/>
  <c r="N74" i="105"/>
  <c r="R74" i="105" s="1"/>
  <c r="L74" i="105"/>
  <c r="H74" i="105"/>
  <c r="I74" i="105" s="1"/>
  <c r="G74" i="105"/>
  <c r="K74" i="105" s="1"/>
  <c r="Q73" i="105"/>
  <c r="U73" i="105" s="1"/>
  <c r="P73" i="105"/>
  <c r="O73" i="105"/>
  <c r="N73" i="105"/>
  <c r="L73" i="105"/>
  <c r="K73" i="105"/>
  <c r="R73" i="105" s="1"/>
  <c r="S73" i="105" s="1"/>
  <c r="I73" i="105"/>
  <c r="H73" i="105"/>
  <c r="G73" i="105"/>
  <c r="U72" i="105"/>
  <c r="Q72" i="105"/>
  <c r="P72" i="105"/>
  <c r="O72" i="105"/>
  <c r="N72" i="105"/>
  <c r="L72" i="105"/>
  <c r="H72" i="105"/>
  <c r="I72" i="105" s="1"/>
  <c r="G72" i="105"/>
  <c r="K72" i="105" s="1"/>
  <c r="R72" i="105" s="1"/>
  <c r="U71" i="105"/>
  <c r="Q71" i="105"/>
  <c r="P71" i="105"/>
  <c r="O71" i="105"/>
  <c r="N71" i="105"/>
  <c r="L71" i="105"/>
  <c r="K71" i="105"/>
  <c r="I71" i="105"/>
  <c r="H71" i="105"/>
  <c r="G71" i="105"/>
  <c r="Q70" i="105"/>
  <c r="P70" i="105"/>
  <c r="O70" i="105"/>
  <c r="N70" i="105"/>
  <c r="L70" i="105"/>
  <c r="H70" i="105"/>
  <c r="I70" i="105" s="1"/>
  <c r="G70" i="105"/>
  <c r="K70" i="105" s="1"/>
  <c r="X69" i="105"/>
  <c r="T69" i="105"/>
  <c r="Q69" i="105"/>
  <c r="U69" i="105" s="1"/>
  <c r="O69" i="105"/>
  <c r="P69" i="105" s="1"/>
  <c r="N69" i="105"/>
  <c r="L69" i="105"/>
  <c r="K69" i="105"/>
  <c r="R69" i="105" s="1"/>
  <c r="H69" i="105"/>
  <c r="I69" i="105" s="1"/>
  <c r="G69" i="105"/>
  <c r="Q68" i="105"/>
  <c r="U68" i="105" s="1"/>
  <c r="P68" i="105"/>
  <c r="O68" i="105"/>
  <c r="N68" i="105"/>
  <c r="R68" i="105" s="1"/>
  <c r="L68" i="105"/>
  <c r="K68" i="105"/>
  <c r="H68" i="105"/>
  <c r="I68" i="105" s="1"/>
  <c r="G68" i="105"/>
  <c r="U67" i="105"/>
  <c r="Q67" i="105"/>
  <c r="O67" i="105"/>
  <c r="P67" i="105" s="1"/>
  <c r="N67" i="105"/>
  <c r="L67" i="105"/>
  <c r="K67" i="105"/>
  <c r="I67" i="105"/>
  <c r="H67" i="105"/>
  <c r="G67" i="105"/>
  <c r="R66" i="105"/>
  <c r="Q66" i="105"/>
  <c r="P66" i="105"/>
  <c r="O66" i="105"/>
  <c r="N66" i="105"/>
  <c r="L66" i="105"/>
  <c r="H66" i="105"/>
  <c r="I66" i="105" s="1"/>
  <c r="G66" i="105"/>
  <c r="K66" i="105" s="1"/>
  <c r="Z65" i="105"/>
  <c r="S65" i="105"/>
  <c r="V65" i="105" s="1"/>
  <c r="W65" i="105" s="1"/>
  <c r="Q65" i="105"/>
  <c r="U65" i="105" s="1"/>
  <c r="P65" i="105"/>
  <c r="O65" i="105"/>
  <c r="N65" i="105"/>
  <c r="L65" i="105"/>
  <c r="K65" i="105"/>
  <c r="R65" i="105" s="1"/>
  <c r="T65" i="105" s="1"/>
  <c r="I65" i="105"/>
  <c r="H65" i="105"/>
  <c r="G65" i="105"/>
  <c r="U64" i="105"/>
  <c r="Q64" i="105"/>
  <c r="O64" i="105"/>
  <c r="P64" i="105" s="1"/>
  <c r="N64" i="105"/>
  <c r="L64" i="105"/>
  <c r="R64" i="105" s="1"/>
  <c r="Z64" i="105" s="1"/>
  <c r="K64" i="105"/>
  <c r="H64" i="105"/>
  <c r="I64" i="105" s="1"/>
  <c r="G64" i="105"/>
  <c r="U63" i="105"/>
  <c r="Q63" i="105"/>
  <c r="O63" i="105"/>
  <c r="P63" i="105" s="1"/>
  <c r="N63" i="105"/>
  <c r="L63" i="105"/>
  <c r="K63" i="105"/>
  <c r="I63" i="105"/>
  <c r="H63" i="105"/>
  <c r="G63" i="105"/>
  <c r="Q62" i="105"/>
  <c r="T62" i="105" s="1"/>
  <c r="P62" i="105"/>
  <c r="O62" i="105"/>
  <c r="N62" i="105"/>
  <c r="R62" i="105" s="1"/>
  <c r="L62" i="105"/>
  <c r="H62" i="105"/>
  <c r="I62" i="105" s="1"/>
  <c r="G62" i="105"/>
  <c r="K62" i="105" s="1"/>
  <c r="X61" i="105"/>
  <c r="Q61" i="105"/>
  <c r="U61" i="105" s="1"/>
  <c r="O61" i="105"/>
  <c r="P61" i="105" s="1"/>
  <c r="N61" i="105"/>
  <c r="L61" i="105"/>
  <c r="K61" i="105"/>
  <c r="R61" i="105" s="1"/>
  <c r="I61" i="105"/>
  <c r="H61" i="105"/>
  <c r="G61" i="105"/>
  <c r="U60" i="105"/>
  <c r="Q60" i="105"/>
  <c r="O60" i="105"/>
  <c r="P60" i="105" s="1"/>
  <c r="N60" i="105"/>
  <c r="R60" i="105" s="1"/>
  <c r="L60" i="105"/>
  <c r="K60" i="105"/>
  <c r="H60" i="105"/>
  <c r="I60" i="105" s="1"/>
  <c r="G60" i="105"/>
  <c r="U59" i="105"/>
  <c r="Q59" i="105"/>
  <c r="O59" i="105"/>
  <c r="P59" i="105" s="1"/>
  <c r="N59" i="105"/>
  <c r="L59" i="105"/>
  <c r="K59" i="105"/>
  <c r="I59" i="105"/>
  <c r="H59" i="105"/>
  <c r="G59" i="105"/>
  <c r="U58" i="105"/>
  <c r="Q58" i="105"/>
  <c r="P58" i="105"/>
  <c r="O58" i="105"/>
  <c r="N58" i="105"/>
  <c r="R58" i="105" s="1"/>
  <c r="L58" i="105"/>
  <c r="H58" i="105"/>
  <c r="I58" i="105" s="1"/>
  <c r="G58" i="105"/>
  <c r="K58" i="105" s="1"/>
  <c r="Z57" i="105"/>
  <c r="X57" i="105"/>
  <c r="S57" i="105"/>
  <c r="R57" i="105"/>
  <c r="T57" i="105" s="1"/>
  <c r="Q57" i="105"/>
  <c r="U57" i="105" s="1"/>
  <c r="O57" i="105"/>
  <c r="P57" i="105" s="1"/>
  <c r="Y57" i="105" s="1"/>
  <c r="N57" i="105"/>
  <c r="L57" i="105"/>
  <c r="K57" i="105"/>
  <c r="I57" i="105"/>
  <c r="H57" i="105"/>
  <c r="G57" i="105"/>
  <c r="U56" i="105"/>
  <c r="Q56" i="105"/>
  <c r="O56" i="105"/>
  <c r="P56" i="105" s="1"/>
  <c r="N56" i="105"/>
  <c r="R56" i="105" s="1"/>
  <c r="L56" i="105"/>
  <c r="K56" i="105"/>
  <c r="H56" i="105"/>
  <c r="I56" i="105" s="1"/>
  <c r="G56" i="105"/>
  <c r="U55" i="105"/>
  <c r="Q55" i="105"/>
  <c r="O55" i="105"/>
  <c r="P55" i="105" s="1"/>
  <c r="N55" i="105"/>
  <c r="L55" i="105"/>
  <c r="K55" i="105"/>
  <c r="I55" i="105"/>
  <c r="H55" i="105"/>
  <c r="G55" i="105"/>
  <c r="U54" i="105"/>
  <c r="Q54" i="105"/>
  <c r="P54" i="105"/>
  <c r="O54" i="105"/>
  <c r="N54" i="105"/>
  <c r="L54" i="105"/>
  <c r="H54" i="105"/>
  <c r="I54" i="105" s="1"/>
  <c r="G54" i="105"/>
  <c r="K54" i="105" s="1"/>
  <c r="Q53" i="105"/>
  <c r="P53" i="105"/>
  <c r="O53" i="105"/>
  <c r="N53" i="105"/>
  <c r="L53" i="105"/>
  <c r="I53" i="105"/>
  <c r="H53" i="105"/>
  <c r="G53" i="105"/>
  <c r="K53" i="105" s="1"/>
  <c r="Q52" i="105"/>
  <c r="U52" i="105" s="1"/>
  <c r="O52" i="105"/>
  <c r="P52" i="105" s="1"/>
  <c r="N52" i="105"/>
  <c r="R52" i="105" s="1"/>
  <c r="L52" i="105"/>
  <c r="K52" i="105"/>
  <c r="I52" i="105"/>
  <c r="H52" i="105"/>
  <c r="G52" i="105"/>
  <c r="U51" i="105"/>
  <c r="Q51" i="105"/>
  <c r="O51" i="105"/>
  <c r="P51" i="105" s="1"/>
  <c r="N51" i="105"/>
  <c r="L51" i="105"/>
  <c r="K51" i="105"/>
  <c r="I51" i="105"/>
  <c r="H51" i="105"/>
  <c r="G51" i="105"/>
  <c r="U50" i="105"/>
  <c r="Q50" i="105"/>
  <c r="P50" i="105"/>
  <c r="O50" i="105"/>
  <c r="N50" i="105"/>
  <c r="R50" i="105" s="1"/>
  <c r="L50" i="105"/>
  <c r="H50" i="105"/>
  <c r="I50" i="105" s="1"/>
  <c r="G50" i="105"/>
  <c r="K50" i="105" s="1"/>
  <c r="U49" i="105"/>
  <c r="Q49" i="105"/>
  <c r="O49" i="105"/>
  <c r="P49" i="105" s="1"/>
  <c r="N49" i="105"/>
  <c r="L49" i="105"/>
  <c r="I49" i="105"/>
  <c r="H49" i="105"/>
  <c r="G49" i="105"/>
  <c r="K49" i="105" s="1"/>
  <c r="Q48" i="105"/>
  <c r="O48" i="105"/>
  <c r="P48" i="105" s="1"/>
  <c r="N48" i="105"/>
  <c r="L48" i="105"/>
  <c r="I48" i="105"/>
  <c r="H48" i="105"/>
  <c r="G48" i="105"/>
  <c r="K48" i="105" s="1"/>
  <c r="Q47" i="105"/>
  <c r="U47" i="105" s="1"/>
  <c r="P47" i="105"/>
  <c r="O47" i="105"/>
  <c r="N47" i="105"/>
  <c r="L47" i="105"/>
  <c r="I47" i="105"/>
  <c r="H47" i="105"/>
  <c r="G47" i="105"/>
  <c r="K47" i="105" s="1"/>
  <c r="U46" i="105"/>
  <c r="Q46" i="105"/>
  <c r="P46" i="105"/>
  <c r="O46" i="105"/>
  <c r="N46" i="105"/>
  <c r="L46" i="105"/>
  <c r="I46" i="105"/>
  <c r="H46" i="105"/>
  <c r="G46" i="105"/>
  <c r="K46" i="105" s="1"/>
  <c r="S45" i="105"/>
  <c r="R45" i="105"/>
  <c r="Q45" i="105"/>
  <c r="O45" i="105"/>
  <c r="P45" i="105" s="1"/>
  <c r="Y45" i="105" s="1"/>
  <c r="N45" i="105"/>
  <c r="L45" i="105"/>
  <c r="H45" i="105"/>
  <c r="I45" i="105" s="1"/>
  <c r="G45" i="105"/>
  <c r="K45" i="105" s="1"/>
  <c r="AR44" i="105"/>
  <c r="AJ44" i="105"/>
  <c r="AI44" i="105"/>
  <c r="AF44" i="105"/>
  <c r="AG44" i="105" s="1"/>
  <c r="AQ44" i="105" s="1"/>
  <c r="U44" i="105"/>
  <c r="Q44" i="105"/>
  <c r="O44" i="105"/>
  <c r="P44" i="105" s="1"/>
  <c r="N44" i="105"/>
  <c r="L44" i="105"/>
  <c r="K44" i="105"/>
  <c r="R44" i="105" s="1"/>
  <c r="I44" i="105"/>
  <c r="H44" i="105"/>
  <c r="G44" i="105"/>
  <c r="AR43" i="105"/>
  <c r="AJ43" i="105"/>
  <c r="AI43" i="105"/>
  <c r="AF43" i="105"/>
  <c r="AG43" i="105" s="1"/>
  <c r="AQ43" i="105" s="1"/>
  <c r="Q43" i="105"/>
  <c r="O43" i="105"/>
  <c r="P43" i="105" s="1"/>
  <c r="N43" i="105"/>
  <c r="L43" i="105"/>
  <c r="H43" i="105"/>
  <c r="I43" i="105" s="1"/>
  <c r="G43" i="105"/>
  <c r="K43" i="105" s="1"/>
  <c r="AR42" i="105"/>
  <c r="AJ42" i="105"/>
  <c r="AI42" i="105"/>
  <c r="AF42" i="105"/>
  <c r="AG42" i="105" s="1"/>
  <c r="AQ42" i="105" s="1"/>
  <c r="Q42" i="105"/>
  <c r="O42" i="105"/>
  <c r="P42" i="105" s="1"/>
  <c r="N42" i="105"/>
  <c r="L42" i="105"/>
  <c r="I42" i="105"/>
  <c r="H42" i="105"/>
  <c r="G42" i="105"/>
  <c r="K42" i="105" s="1"/>
  <c r="AR41" i="105"/>
  <c r="AJ41" i="105"/>
  <c r="AI41" i="105"/>
  <c r="AF41" i="105"/>
  <c r="AG41" i="105" s="1"/>
  <c r="AQ41" i="105" s="1"/>
  <c r="Q41" i="105"/>
  <c r="O41" i="105"/>
  <c r="P41" i="105" s="1"/>
  <c r="N41" i="105"/>
  <c r="L41" i="105"/>
  <c r="H41" i="105"/>
  <c r="I41" i="105" s="1"/>
  <c r="G41" i="105"/>
  <c r="K41" i="105" s="1"/>
  <c r="R41" i="105" s="1"/>
  <c r="AR40" i="105"/>
  <c r="AJ40" i="105"/>
  <c r="AI40" i="105"/>
  <c r="AF40" i="105"/>
  <c r="AG40" i="105" s="1"/>
  <c r="AQ40" i="105" s="1"/>
  <c r="T40" i="105"/>
  <c r="Q40" i="105"/>
  <c r="U40" i="105" s="1"/>
  <c r="O40" i="105"/>
  <c r="P40" i="105" s="1"/>
  <c r="N40" i="105"/>
  <c r="R40" i="105" s="1"/>
  <c r="L40" i="105"/>
  <c r="K40" i="105"/>
  <c r="I40" i="105"/>
  <c r="H40" i="105"/>
  <c r="G40" i="105"/>
  <c r="AR39" i="105"/>
  <c r="AJ39" i="105"/>
  <c r="AI39" i="105"/>
  <c r="AF39" i="105"/>
  <c r="AG39" i="105" s="1"/>
  <c r="AQ39" i="105" s="1"/>
  <c r="U39" i="105"/>
  <c r="Q39" i="105"/>
  <c r="O39" i="105"/>
  <c r="P39" i="105" s="1"/>
  <c r="N39" i="105"/>
  <c r="L39" i="105"/>
  <c r="K39" i="105"/>
  <c r="R39" i="105" s="1"/>
  <c r="H39" i="105"/>
  <c r="I39" i="105" s="1"/>
  <c r="G39" i="105"/>
  <c r="AR38" i="105"/>
  <c r="AJ38" i="105"/>
  <c r="AI38" i="105"/>
  <c r="AF38" i="105"/>
  <c r="AG38" i="105" s="1"/>
  <c r="AQ38" i="105" s="1"/>
  <c r="U38" i="105"/>
  <c r="Q38" i="105"/>
  <c r="O38" i="105"/>
  <c r="P38" i="105" s="1"/>
  <c r="N38" i="105"/>
  <c r="R38" i="105" s="1"/>
  <c r="L38" i="105"/>
  <c r="H38" i="105"/>
  <c r="I38" i="105" s="1"/>
  <c r="G38" i="105"/>
  <c r="K38" i="105" s="1"/>
  <c r="AR37" i="105"/>
  <c r="AJ37" i="105"/>
  <c r="AI37" i="105"/>
  <c r="AF37" i="105"/>
  <c r="AG37" i="105" s="1"/>
  <c r="AQ37" i="105" s="1"/>
  <c r="Q37" i="105"/>
  <c r="O37" i="105"/>
  <c r="P37" i="105" s="1"/>
  <c r="N37" i="105"/>
  <c r="L37" i="105"/>
  <c r="H37" i="105"/>
  <c r="I37" i="105" s="1"/>
  <c r="G37" i="105"/>
  <c r="K37" i="105" s="1"/>
  <c r="AR36" i="105"/>
  <c r="AJ36" i="105"/>
  <c r="AI36" i="105"/>
  <c r="AF36" i="105"/>
  <c r="AG36" i="105" s="1"/>
  <c r="AQ36" i="105" s="1"/>
  <c r="U36" i="105"/>
  <c r="Q36" i="105"/>
  <c r="O36" i="105"/>
  <c r="P36" i="105" s="1"/>
  <c r="N36" i="105"/>
  <c r="R36" i="105" s="1"/>
  <c r="L36" i="105"/>
  <c r="I36" i="105"/>
  <c r="H36" i="105"/>
  <c r="G36" i="105"/>
  <c r="K36" i="105" s="1"/>
  <c r="AR35" i="105"/>
  <c r="AJ35" i="105"/>
  <c r="AI35" i="105"/>
  <c r="AF35" i="105"/>
  <c r="AG35" i="105" s="1"/>
  <c r="AQ35" i="105" s="1"/>
  <c r="Q35" i="105"/>
  <c r="O35" i="105"/>
  <c r="P35" i="105" s="1"/>
  <c r="N35" i="105"/>
  <c r="L35" i="105"/>
  <c r="H35" i="105"/>
  <c r="I35" i="105" s="1"/>
  <c r="G35" i="105"/>
  <c r="K35" i="105" s="1"/>
  <c r="AR34" i="105"/>
  <c r="AJ34" i="105"/>
  <c r="AI34" i="105"/>
  <c r="AF34" i="105"/>
  <c r="AG34" i="105" s="1"/>
  <c r="AQ34" i="105" s="1"/>
  <c r="U34" i="105"/>
  <c r="Q34" i="105"/>
  <c r="O34" i="105"/>
  <c r="P34" i="105" s="1"/>
  <c r="N34" i="105"/>
  <c r="L34" i="105"/>
  <c r="I34" i="105"/>
  <c r="H34" i="105"/>
  <c r="G34" i="105"/>
  <c r="K34" i="105" s="1"/>
  <c r="R34" i="105" s="1"/>
  <c r="AR33" i="105"/>
  <c r="AJ33" i="105"/>
  <c r="AI33" i="105"/>
  <c r="AF33" i="105"/>
  <c r="AG33" i="105" s="1"/>
  <c r="AQ33" i="105" s="1"/>
  <c r="Q33" i="105"/>
  <c r="O33" i="105"/>
  <c r="P33" i="105" s="1"/>
  <c r="N33" i="105"/>
  <c r="L33" i="105"/>
  <c r="R33" i="105" s="1"/>
  <c r="H33" i="105"/>
  <c r="I33" i="105" s="1"/>
  <c r="G33" i="105"/>
  <c r="K33" i="105" s="1"/>
  <c r="AR32" i="105"/>
  <c r="AJ32" i="105"/>
  <c r="AI32" i="105"/>
  <c r="AF32" i="105"/>
  <c r="AG32" i="105" s="1"/>
  <c r="AQ32" i="105" s="1"/>
  <c r="R32" i="105"/>
  <c r="X32" i="105" s="1"/>
  <c r="Q32" i="105"/>
  <c r="U32" i="105" s="1"/>
  <c r="O32" i="105"/>
  <c r="P32" i="105" s="1"/>
  <c r="N32" i="105"/>
  <c r="L32" i="105"/>
  <c r="I32" i="105"/>
  <c r="H32" i="105"/>
  <c r="G32" i="105"/>
  <c r="K32" i="105" s="1"/>
  <c r="AR31" i="105"/>
  <c r="AJ31" i="105"/>
  <c r="AI31" i="105"/>
  <c r="AF31" i="105"/>
  <c r="AG31" i="105" s="1"/>
  <c r="AQ31" i="105" s="1"/>
  <c r="R31" i="105"/>
  <c r="Q31" i="105"/>
  <c r="P31" i="105"/>
  <c r="O31" i="105"/>
  <c r="N31" i="105"/>
  <c r="L31" i="105"/>
  <c r="H31" i="105"/>
  <c r="I31" i="105" s="1"/>
  <c r="G31" i="105"/>
  <c r="K31" i="105" s="1"/>
  <c r="AR30" i="105"/>
  <c r="AJ30" i="105"/>
  <c r="AI30" i="105"/>
  <c r="AF30" i="105"/>
  <c r="AG30" i="105" s="1"/>
  <c r="AQ30" i="105" s="1"/>
  <c r="Q30" i="105"/>
  <c r="O30" i="105"/>
  <c r="P30" i="105" s="1"/>
  <c r="N30" i="105"/>
  <c r="L30" i="105"/>
  <c r="K30" i="105"/>
  <c r="H30" i="105"/>
  <c r="I30" i="105" s="1"/>
  <c r="G30" i="105"/>
  <c r="AR29" i="105"/>
  <c r="AJ29" i="105"/>
  <c r="AI29" i="105"/>
  <c r="AF29" i="105"/>
  <c r="AG29" i="105" s="1"/>
  <c r="AQ29" i="105" s="1"/>
  <c r="Q29" i="105"/>
  <c r="U29" i="105" s="1"/>
  <c r="O29" i="105"/>
  <c r="P29" i="105" s="1"/>
  <c r="N29" i="105"/>
  <c r="R29" i="105" s="1"/>
  <c r="L29" i="105"/>
  <c r="K29" i="105"/>
  <c r="I29" i="105"/>
  <c r="H29" i="105"/>
  <c r="G29" i="105"/>
  <c r="AR28" i="105"/>
  <c r="AJ28" i="105"/>
  <c r="AI28" i="105"/>
  <c r="AF28" i="105"/>
  <c r="AG28" i="105" s="1"/>
  <c r="AQ28" i="105" s="1"/>
  <c r="Q28" i="105"/>
  <c r="O28" i="105"/>
  <c r="P28" i="105" s="1"/>
  <c r="N28" i="105"/>
  <c r="L28" i="105"/>
  <c r="K28" i="105"/>
  <c r="H28" i="105"/>
  <c r="I28" i="105" s="1"/>
  <c r="G28" i="105"/>
  <c r="AR27" i="105"/>
  <c r="AJ27" i="105"/>
  <c r="AI27" i="105"/>
  <c r="AF27" i="105"/>
  <c r="AG27" i="105" s="1"/>
  <c r="AQ27" i="105" s="1"/>
  <c r="Q27" i="105"/>
  <c r="U27" i="105" s="1"/>
  <c r="O27" i="105"/>
  <c r="P27" i="105" s="1"/>
  <c r="N27" i="105"/>
  <c r="R27" i="105" s="1"/>
  <c r="L27" i="105"/>
  <c r="K27" i="105"/>
  <c r="I27" i="105"/>
  <c r="H27" i="105"/>
  <c r="G27" i="105"/>
  <c r="AR26" i="105"/>
  <c r="AJ26" i="105"/>
  <c r="AI26" i="105"/>
  <c r="AF26" i="105"/>
  <c r="AG26" i="105" s="1"/>
  <c r="AQ26" i="105" s="1"/>
  <c r="U26" i="105"/>
  <c r="Q26" i="105"/>
  <c r="O26" i="105"/>
  <c r="P26" i="105" s="1"/>
  <c r="N26" i="105"/>
  <c r="L26" i="105"/>
  <c r="K26" i="105"/>
  <c r="H26" i="105"/>
  <c r="I26" i="105" s="1"/>
  <c r="G26" i="105"/>
  <c r="AR25" i="105"/>
  <c r="AJ25" i="105"/>
  <c r="AI25" i="105"/>
  <c r="AF25" i="105"/>
  <c r="AG25" i="105" s="1"/>
  <c r="AQ25" i="105" s="1"/>
  <c r="Q25" i="105"/>
  <c r="U25" i="105" s="1"/>
  <c r="O25" i="105"/>
  <c r="P25" i="105" s="1"/>
  <c r="N25" i="105"/>
  <c r="R25" i="105" s="1"/>
  <c r="L25" i="105"/>
  <c r="K25" i="105"/>
  <c r="I25" i="105"/>
  <c r="H25" i="105"/>
  <c r="G25" i="105"/>
  <c r="AR24" i="105"/>
  <c r="AJ24" i="105"/>
  <c r="AI24" i="105"/>
  <c r="AF24" i="105"/>
  <c r="AG24" i="105" s="1"/>
  <c r="AQ24" i="105" s="1"/>
  <c r="Q24" i="105"/>
  <c r="U24" i="105" s="1"/>
  <c r="O24" i="105"/>
  <c r="P24" i="105" s="1"/>
  <c r="N24" i="105"/>
  <c r="L24" i="105"/>
  <c r="K24" i="105"/>
  <c r="H24" i="105"/>
  <c r="I24" i="105" s="1"/>
  <c r="G24" i="105"/>
  <c r="AR23" i="105"/>
  <c r="AJ23" i="105"/>
  <c r="AI23" i="105"/>
  <c r="AF23" i="105"/>
  <c r="AG23" i="105" s="1"/>
  <c r="AQ23" i="105" s="1"/>
  <c r="Q23" i="105"/>
  <c r="U23" i="105" s="1"/>
  <c r="O23" i="105"/>
  <c r="P23" i="105" s="1"/>
  <c r="N23" i="105"/>
  <c r="L23" i="105"/>
  <c r="I23" i="105"/>
  <c r="H23" i="105"/>
  <c r="G23" i="105"/>
  <c r="K23" i="105" s="1"/>
  <c r="AR22" i="105"/>
  <c r="AJ22" i="105"/>
  <c r="AI22" i="105"/>
  <c r="AF22" i="105"/>
  <c r="AG22" i="105" s="1"/>
  <c r="AQ22" i="105" s="1"/>
  <c r="U22" i="105"/>
  <c r="Q22" i="105"/>
  <c r="P22" i="105"/>
  <c r="O22" i="105"/>
  <c r="N22" i="105"/>
  <c r="L22" i="105"/>
  <c r="H22" i="105"/>
  <c r="I22" i="105" s="1"/>
  <c r="G22" i="105"/>
  <c r="K22" i="105" s="1"/>
  <c r="R22" i="105" s="1"/>
  <c r="AR21" i="105"/>
  <c r="AJ21" i="105"/>
  <c r="AI21" i="105"/>
  <c r="AF21" i="105"/>
  <c r="AG21" i="105" s="1"/>
  <c r="AQ21" i="105" s="1"/>
  <c r="U21" i="105"/>
  <c r="Q21" i="105"/>
  <c r="P21" i="105"/>
  <c r="O21" i="105"/>
  <c r="N21" i="105"/>
  <c r="L21" i="105"/>
  <c r="H21" i="105"/>
  <c r="I21" i="105" s="1"/>
  <c r="G21" i="105"/>
  <c r="K21" i="105" s="1"/>
  <c r="R21" i="105" s="1"/>
  <c r="AR20" i="105"/>
  <c r="AJ20" i="105"/>
  <c r="AI20" i="105"/>
  <c r="AF20" i="105"/>
  <c r="AG20" i="105" s="1"/>
  <c r="AQ20" i="105" s="1"/>
  <c r="U20" i="105"/>
  <c r="Q20" i="105"/>
  <c r="P20" i="105"/>
  <c r="O20" i="105"/>
  <c r="N20" i="105"/>
  <c r="L20" i="105"/>
  <c r="I20" i="105"/>
  <c r="H20" i="105"/>
  <c r="G20" i="105"/>
  <c r="K20" i="105" s="1"/>
  <c r="R20" i="105" s="1"/>
  <c r="AR19" i="105"/>
  <c r="AJ19" i="105"/>
  <c r="AI19" i="105"/>
  <c r="AF19" i="105"/>
  <c r="AG19" i="105" s="1"/>
  <c r="AQ19" i="105" s="1"/>
  <c r="U19" i="105"/>
  <c r="Q19" i="105"/>
  <c r="P19" i="105"/>
  <c r="O19" i="105"/>
  <c r="N19" i="105"/>
  <c r="R19" i="105" s="1"/>
  <c r="L19" i="105"/>
  <c r="I19" i="105"/>
  <c r="H19" i="105"/>
  <c r="G19" i="105"/>
  <c r="K19" i="105" s="1"/>
  <c r="AR18" i="105"/>
  <c r="AJ18" i="105"/>
  <c r="AI18" i="105"/>
  <c r="AF18" i="105"/>
  <c r="AG18" i="105" s="1"/>
  <c r="AQ18" i="105" s="1"/>
  <c r="U18" i="105"/>
  <c r="Q18" i="105"/>
  <c r="P18" i="105"/>
  <c r="O18" i="105"/>
  <c r="N18" i="105"/>
  <c r="L18" i="105"/>
  <c r="I18" i="105"/>
  <c r="H18" i="105"/>
  <c r="G18" i="105"/>
  <c r="K18" i="105" s="1"/>
  <c r="R18" i="105" s="1"/>
  <c r="AR17" i="105"/>
  <c r="AJ17" i="105"/>
  <c r="AI17" i="105"/>
  <c r="AF17" i="105"/>
  <c r="AG17" i="105" s="1"/>
  <c r="AQ17" i="105" s="1"/>
  <c r="U17" i="105"/>
  <c r="Q17" i="105"/>
  <c r="P17" i="105"/>
  <c r="O17" i="105"/>
  <c r="N17" i="105"/>
  <c r="R17" i="105" s="1"/>
  <c r="L17" i="105"/>
  <c r="I17" i="105"/>
  <c r="H17" i="105"/>
  <c r="G17" i="105"/>
  <c r="K17" i="105" s="1"/>
  <c r="AR16" i="105"/>
  <c r="AJ16" i="105"/>
  <c r="AI16" i="105"/>
  <c r="AF16" i="105"/>
  <c r="AG16" i="105" s="1"/>
  <c r="AQ16" i="105" s="1"/>
  <c r="U16" i="105"/>
  <c r="Q16" i="105"/>
  <c r="P16" i="105"/>
  <c r="O16" i="105"/>
  <c r="N16" i="105"/>
  <c r="L16" i="105"/>
  <c r="I16" i="105"/>
  <c r="H16" i="105"/>
  <c r="G16" i="105"/>
  <c r="K16" i="105" s="1"/>
  <c r="R16" i="105" s="1"/>
  <c r="AR15" i="105"/>
  <c r="AJ15" i="105"/>
  <c r="AI15" i="105"/>
  <c r="AF15" i="105"/>
  <c r="AG15" i="105" s="1"/>
  <c r="AQ15" i="105" s="1"/>
  <c r="U15" i="105"/>
  <c r="Q15" i="105"/>
  <c r="P15" i="105"/>
  <c r="O15" i="105"/>
  <c r="N15" i="105"/>
  <c r="L15" i="105"/>
  <c r="I15" i="105"/>
  <c r="H15" i="105"/>
  <c r="G15" i="105"/>
  <c r="K15" i="105" s="1"/>
  <c r="AR14" i="105"/>
  <c r="AJ14" i="105"/>
  <c r="AI14" i="105"/>
  <c r="AF14" i="105"/>
  <c r="AG14" i="105" s="1"/>
  <c r="AQ14" i="105" s="1"/>
  <c r="U14" i="105"/>
  <c r="Q14" i="105"/>
  <c r="P14" i="105"/>
  <c r="O14" i="105"/>
  <c r="N14" i="105"/>
  <c r="L14" i="105"/>
  <c r="I14" i="105"/>
  <c r="H14" i="105"/>
  <c r="G14" i="105"/>
  <c r="K14" i="105" s="1"/>
  <c r="R14" i="105" s="1"/>
  <c r="AR13" i="105"/>
  <c r="AJ13" i="105"/>
  <c r="AI13" i="105"/>
  <c r="AF13" i="105"/>
  <c r="AG13" i="105" s="1"/>
  <c r="AQ13" i="105" s="1"/>
  <c r="U13" i="105"/>
  <c r="Q13" i="105"/>
  <c r="P13" i="105"/>
  <c r="O13" i="105"/>
  <c r="N13" i="105"/>
  <c r="R13" i="105" s="1"/>
  <c r="L13" i="105"/>
  <c r="I13" i="105"/>
  <c r="H13" i="105"/>
  <c r="G13" i="105"/>
  <c r="K13" i="105" s="1"/>
  <c r="AR12" i="105"/>
  <c r="AJ12" i="105"/>
  <c r="AI12" i="105"/>
  <c r="AF12" i="105"/>
  <c r="AG12" i="105" s="1"/>
  <c r="AQ12" i="105" s="1"/>
  <c r="Q12" i="105"/>
  <c r="U12" i="105" s="1"/>
  <c r="O12" i="105"/>
  <c r="P12" i="105" s="1"/>
  <c r="N12" i="105"/>
  <c r="R12" i="105" s="1"/>
  <c r="L12" i="105"/>
  <c r="I12" i="105"/>
  <c r="H12" i="105"/>
  <c r="G12" i="105"/>
  <c r="K12" i="105" s="1"/>
  <c r="AR11" i="105"/>
  <c r="AJ11" i="105"/>
  <c r="AI11" i="105"/>
  <c r="AF11" i="105"/>
  <c r="AG11" i="105" s="1"/>
  <c r="AQ11" i="105" s="1"/>
  <c r="Q11" i="105"/>
  <c r="U11" i="105" s="1"/>
  <c r="O11" i="105"/>
  <c r="P11" i="105" s="1"/>
  <c r="N11" i="105"/>
  <c r="R11" i="105" s="1"/>
  <c r="L11" i="105"/>
  <c r="I11" i="105"/>
  <c r="H11" i="105"/>
  <c r="G11" i="105"/>
  <c r="K11" i="105" s="1"/>
  <c r="AR10" i="105"/>
  <c r="AJ10" i="105"/>
  <c r="AI10" i="105"/>
  <c r="AF10" i="105"/>
  <c r="AG10" i="105" s="1"/>
  <c r="AQ10" i="105" s="1"/>
  <c r="Q10" i="105"/>
  <c r="U10" i="105" s="1"/>
  <c r="O10" i="105"/>
  <c r="P10" i="105" s="1"/>
  <c r="N10" i="105"/>
  <c r="R10" i="105" s="1"/>
  <c r="L10" i="105"/>
  <c r="I10" i="105"/>
  <c r="H10" i="105"/>
  <c r="G10" i="105"/>
  <c r="K10" i="105" s="1"/>
  <c r="AR9" i="105"/>
  <c r="AJ9" i="105"/>
  <c r="AI9" i="105"/>
  <c r="AF9" i="105"/>
  <c r="AG9" i="105" s="1"/>
  <c r="AQ9" i="105" s="1"/>
  <c r="Q9" i="105"/>
  <c r="U9" i="105" s="1"/>
  <c r="O9" i="105"/>
  <c r="P9" i="105" s="1"/>
  <c r="N9" i="105"/>
  <c r="R9" i="105" s="1"/>
  <c r="L9" i="105"/>
  <c r="I9" i="105"/>
  <c r="H9" i="105"/>
  <c r="G9" i="105"/>
  <c r="K9" i="105" s="1"/>
  <c r="AS8" i="105"/>
  <c r="AS9" i="105" s="1"/>
  <c r="AS10" i="105" s="1"/>
  <c r="AS11" i="105" s="1"/>
  <c r="AS12" i="105" s="1"/>
  <c r="AS13" i="105" s="1"/>
  <c r="AS14" i="105" s="1"/>
  <c r="AS15" i="105" s="1"/>
  <c r="AS16" i="105" s="1"/>
  <c r="AS17" i="105" s="1"/>
  <c r="AS18" i="105" s="1"/>
  <c r="AS19" i="105" s="1"/>
  <c r="AS20" i="105" s="1"/>
  <c r="AS21" i="105" s="1"/>
  <c r="AS22" i="105" s="1"/>
  <c r="AS23" i="105" s="1"/>
  <c r="AS24" i="105" s="1"/>
  <c r="AS25" i="105" s="1"/>
  <c r="AS26" i="105" s="1"/>
  <c r="AS27" i="105" s="1"/>
  <c r="AS28" i="105" s="1"/>
  <c r="AS29" i="105" s="1"/>
  <c r="AS30" i="105" s="1"/>
  <c r="AS31" i="105" s="1"/>
  <c r="AS32" i="105" s="1"/>
  <c r="AS33" i="105" s="1"/>
  <c r="AS34" i="105" s="1"/>
  <c r="AS35" i="105" s="1"/>
  <c r="AS36" i="105" s="1"/>
  <c r="AS37" i="105" s="1"/>
  <c r="AS38" i="105" s="1"/>
  <c r="AS39" i="105" s="1"/>
  <c r="AS40" i="105" s="1"/>
  <c r="AS41" i="105" s="1"/>
  <c r="AS42" i="105" s="1"/>
  <c r="AS43" i="105" s="1"/>
  <c r="AS44" i="105" s="1"/>
  <c r="AR8" i="105"/>
  <c r="AP8" i="105"/>
  <c r="AP9" i="105" s="1"/>
  <c r="AP10" i="105" s="1"/>
  <c r="AP11" i="105" s="1"/>
  <c r="AP12" i="105" s="1"/>
  <c r="AP13" i="105" s="1"/>
  <c r="AP14" i="105" s="1"/>
  <c r="AP15" i="105" s="1"/>
  <c r="AP16" i="105" s="1"/>
  <c r="AP17" i="105" s="1"/>
  <c r="AP18" i="105" s="1"/>
  <c r="AP19" i="105" s="1"/>
  <c r="AP20" i="105" s="1"/>
  <c r="AP21" i="105" s="1"/>
  <c r="AP22" i="105" s="1"/>
  <c r="AP23" i="105" s="1"/>
  <c r="AP24" i="105" s="1"/>
  <c r="AP25" i="105" s="1"/>
  <c r="AP26" i="105" s="1"/>
  <c r="AP27" i="105" s="1"/>
  <c r="AP28" i="105" s="1"/>
  <c r="AP29" i="105" s="1"/>
  <c r="AP30" i="105" s="1"/>
  <c r="AP31" i="105" s="1"/>
  <c r="AP32" i="105" s="1"/>
  <c r="AP33" i="105" s="1"/>
  <c r="AP34" i="105" s="1"/>
  <c r="AP35" i="105" s="1"/>
  <c r="AP36" i="105" s="1"/>
  <c r="AP37" i="105" s="1"/>
  <c r="AP38" i="105" s="1"/>
  <c r="AP39" i="105" s="1"/>
  <c r="AP40" i="105" s="1"/>
  <c r="AP41" i="105" s="1"/>
  <c r="AP42" i="105" s="1"/>
  <c r="AP43" i="105" s="1"/>
  <c r="AP44" i="105" s="1"/>
  <c r="AL8" i="105"/>
  <c r="AK8" i="105"/>
  <c r="AK9" i="105" s="1"/>
  <c r="AK10" i="105" s="1"/>
  <c r="AK11" i="105" s="1"/>
  <c r="AK12" i="105" s="1"/>
  <c r="AK13" i="105" s="1"/>
  <c r="AK14" i="105" s="1"/>
  <c r="AK15" i="105" s="1"/>
  <c r="AK16" i="105" s="1"/>
  <c r="AK17" i="105" s="1"/>
  <c r="AK18" i="105" s="1"/>
  <c r="AK19" i="105" s="1"/>
  <c r="AK20" i="105" s="1"/>
  <c r="AK21" i="105" s="1"/>
  <c r="AK22" i="105" s="1"/>
  <c r="AK23" i="105" s="1"/>
  <c r="AK24" i="105" s="1"/>
  <c r="AK25" i="105" s="1"/>
  <c r="AK26" i="105" s="1"/>
  <c r="AK27" i="105" s="1"/>
  <c r="AK28" i="105" s="1"/>
  <c r="AK29" i="105" s="1"/>
  <c r="AK30" i="105" s="1"/>
  <c r="AK31" i="105" s="1"/>
  <c r="AK32" i="105" s="1"/>
  <c r="AK33" i="105" s="1"/>
  <c r="AK34" i="105" s="1"/>
  <c r="AK35" i="105" s="1"/>
  <c r="AK36" i="105" s="1"/>
  <c r="AK37" i="105" s="1"/>
  <c r="AK38" i="105" s="1"/>
  <c r="AK39" i="105" s="1"/>
  <c r="AK40" i="105" s="1"/>
  <c r="AK41" i="105" s="1"/>
  <c r="AK42" i="105" s="1"/>
  <c r="AK43" i="105" s="1"/>
  <c r="AK44" i="105" s="1"/>
  <c r="AJ8" i="105"/>
  <c r="AI8" i="105"/>
  <c r="AH8" i="105"/>
  <c r="AH9" i="105" s="1"/>
  <c r="AH10" i="105" s="1"/>
  <c r="AH11" i="105" s="1"/>
  <c r="AH12" i="105" s="1"/>
  <c r="AH13" i="105" s="1"/>
  <c r="AH14" i="105" s="1"/>
  <c r="AH15" i="105" s="1"/>
  <c r="AH16" i="105" s="1"/>
  <c r="AH17" i="105" s="1"/>
  <c r="AH18" i="105" s="1"/>
  <c r="AH19" i="105" s="1"/>
  <c r="AH20" i="105" s="1"/>
  <c r="AH21" i="105" s="1"/>
  <c r="AH22" i="105" s="1"/>
  <c r="AH23" i="105" s="1"/>
  <c r="AH24" i="105" s="1"/>
  <c r="AH25" i="105" s="1"/>
  <c r="AH26" i="105" s="1"/>
  <c r="AH27" i="105" s="1"/>
  <c r="AH28" i="105" s="1"/>
  <c r="AH29" i="105" s="1"/>
  <c r="AH30" i="105" s="1"/>
  <c r="AH31" i="105" s="1"/>
  <c r="AH32" i="105" s="1"/>
  <c r="AH33" i="105" s="1"/>
  <c r="AH34" i="105" s="1"/>
  <c r="AH35" i="105" s="1"/>
  <c r="AH36" i="105" s="1"/>
  <c r="AH37" i="105" s="1"/>
  <c r="AH38" i="105" s="1"/>
  <c r="AH39" i="105" s="1"/>
  <c r="AH40" i="105" s="1"/>
  <c r="AH41" i="105" s="1"/>
  <c r="AH42" i="105" s="1"/>
  <c r="AH43" i="105" s="1"/>
  <c r="AH44" i="105" s="1"/>
  <c r="AF8" i="105"/>
  <c r="AG8" i="105" s="1"/>
  <c r="AQ8" i="105" s="1"/>
  <c r="Q8" i="105"/>
  <c r="U8" i="105" s="1"/>
  <c r="O8" i="105"/>
  <c r="P8" i="105" s="1"/>
  <c r="N8" i="105"/>
  <c r="R8" i="105" s="1"/>
  <c r="L8" i="105"/>
  <c r="I8" i="105"/>
  <c r="H8" i="105"/>
  <c r="G8" i="105"/>
  <c r="K8" i="105" s="1"/>
  <c r="AR7" i="105"/>
  <c r="AJ7" i="105"/>
  <c r="AI7" i="105"/>
  <c r="AF7" i="105"/>
  <c r="AM7" i="105" s="1"/>
  <c r="Q7" i="105"/>
  <c r="U7" i="105" s="1"/>
  <c r="P7" i="105"/>
  <c r="O7" i="105"/>
  <c r="N7" i="105"/>
  <c r="R7" i="105" s="1"/>
  <c r="L7" i="105"/>
  <c r="K7" i="105"/>
  <c r="H7" i="105"/>
  <c r="I7" i="105" s="1"/>
  <c r="G7" i="105"/>
  <c r="I14" i="45"/>
  <c r="J14" i="45"/>
  <c r="L14" i="45"/>
  <c r="M14" i="45"/>
  <c r="N14" i="45"/>
  <c r="U14" i="45"/>
  <c r="Y14" i="45"/>
  <c r="Z14" i="45"/>
  <c r="AE14" i="45"/>
  <c r="AF14" i="45"/>
  <c r="AG14" i="45" s="1"/>
  <c r="AJ14" i="45"/>
  <c r="AN14" i="45"/>
  <c r="AO14" i="45"/>
  <c r="AX14" i="45"/>
  <c r="AY14" i="45"/>
  <c r="E79" i="104"/>
  <c r="Q78" i="104"/>
  <c r="O78" i="104"/>
  <c r="P78" i="104" s="1"/>
  <c r="N78" i="104"/>
  <c r="R78" i="104" s="1"/>
  <c r="L78" i="104"/>
  <c r="H78" i="104"/>
  <c r="I78" i="104" s="1"/>
  <c r="G78" i="104"/>
  <c r="K78" i="104" s="1"/>
  <c r="Q77" i="104"/>
  <c r="P77" i="104"/>
  <c r="O77" i="104"/>
  <c r="N77" i="104"/>
  <c r="L77" i="104"/>
  <c r="H77" i="104"/>
  <c r="I77" i="104" s="1"/>
  <c r="G77" i="104"/>
  <c r="K77" i="104" s="1"/>
  <c r="R77" i="104" s="1"/>
  <c r="U76" i="104"/>
  <c r="R76" i="104"/>
  <c r="Z76" i="104" s="1"/>
  <c r="Q76" i="104"/>
  <c r="P76" i="104"/>
  <c r="O76" i="104"/>
  <c r="N76" i="104"/>
  <c r="L76" i="104"/>
  <c r="K76" i="104"/>
  <c r="H76" i="104"/>
  <c r="I76" i="104" s="1"/>
  <c r="G76" i="104"/>
  <c r="U75" i="104"/>
  <c r="Q75" i="104"/>
  <c r="O75" i="104"/>
  <c r="P75" i="104" s="1"/>
  <c r="N75" i="104"/>
  <c r="R75" i="104" s="1"/>
  <c r="L75" i="104"/>
  <c r="K75" i="104"/>
  <c r="I75" i="104"/>
  <c r="H75" i="104"/>
  <c r="G75" i="104"/>
  <c r="Q74" i="104"/>
  <c r="P74" i="104"/>
  <c r="O74" i="104"/>
  <c r="N74" i="104"/>
  <c r="L74" i="104"/>
  <c r="H74" i="104"/>
  <c r="I74" i="104" s="1"/>
  <c r="G74" i="104"/>
  <c r="K74" i="104" s="1"/>
  <c r="Q73" i="104"/>
  <c r="P73" i="104"/>
  <c r="O73" i="104"/>
  <c r="N73" i="104"/>
  <c r="L73" i="104"/>
  <c r="I73" i="104"/>
  <c r="H73" i="104"/>
  <c r="G73" i="104"/>
  <c r="K73" i="104" s="1"/>
  <c r="R73" i="104" s="1"/>
  <c r="U72" i="104"/>
  <c r="Q72" i="104"/>
  <c r="P72" i="104"/>
  <c r="O72" i="104"/>
  <c r="N72" i="104"/>
  <c r="L72" i="104"/>
  <c r="K72" i="104"/>
  <c r="R72" i="104" s="1"/>
  <c r="H72" i="104"/>
  <c r="I72" i="104" s="1"/>
  <c r="G72" i="104"/>
  <c r="U71" i="104"/>
  <c r="Q71" i="104"/>
  <c r="O71" i="104"/>
  <c r="P71" i="104" s="1"/>
  <c r="N71" i="104"/>
  <c r="R71" i="104" s="1"/>
  <c r="L71" i="104"/>
  <c r="K71" i="104"/>
  <c r="I71" i="104"/>
  <c r="H71" i="104"/>
  <c r="G71" i="104"/>
  <c r="Q70" i="104"/>
  <c r="P70" i="104"/>
  <c r="O70" i="104"/>
  <c r="N70" i="104"/>
  <c r="L70" i="104"/>
  <c r="I70" i="104"/>
  <c r="H70" i="104"/>
  <c r="G70" i="104"/>
  <c r="K70" i="104" s="1"/>
  <c r="Q69" i="104"/>
  <c r="P69" i="104"/>
  <c r="O69" i="104"/>
  <c r="N69" i="104"/>
  <c r="L69" i="104"/>
  <c r="H69" i="104"/>
  <c r="I69" i="104" s="1"/>
  <c r="G69" i="104"/>
  <c r="K69" i="104" s="1"/>
  <c r="R69" i="104" s="1"/>
  <c r="U68" i="104"/>
  <c r="Q68" i="104"/>
  <c r="O68" i="104"/>
  <c r="P68" i="104" s="1"/>
  <c r="N68" i="104"/>
  <c r="L68" i="104"/>
  <c r="K68" i="104"/>
  <c r="R68" i="104" s="1"/>
  <c r="I68" i="104"/>
  <c r="H68" i="104"/>
  <c r="G68" i="104"/>
  <c r="U67" i="104"/>
  <c r="T67" i="104"/>
  <c r="Q67" i="104"/>
  <c r="O67" i="104"/>
  <c r="P67" i="104" s="1"/>
  <c r="N67" i="104"/>
  <c r="R67" i="104" s="1"/>
  <c r="L67" i="104"/>
  <c r="K67" i="104"/>
  <c r="I67" i="104"/>
  <c r="H67" i="104"/>
  <c r="G67" i="104"/>
  <c r="X66" i="104"/>
  <c r="Q66" i="104"/>
  <c r="O66" i="104"/>
  <c r="P66" i="104" s="1"/>
  <c r="N66" i="104"/>
  <c r="R66" i="104" s="1"/>
  <c r="L66" i="104"/>
  <c r="I66" i="104"/>
  <c r="H66" i="104"/>
  <c r="G66" i="104"/>
  <c r="K66" i="104" s="1"/>
  <c r="Q65" i="104"/>
  <c r="P65" i="104"/>
  <c r="O65" i="104"/>
  <c r="N65" i="104"/>
  <c r="L65" i="104"/>
  <c r="I65" i="104"/>
  <c r="H65" i="104"/>
  <c r="G65" i="104"/>
  <c r="K65" i="104" s="1"/>
  <c r="U64" i="104"/>
  <c r="Q64" i="104"/>
  <c r="O64" i="104"/>
  <c r="P64" i="104" s="1"/>
  <c r="N64" i="104"/>
  <c r="L64" i="104"/>
  <c r="K64" i="104"/>
  <c r="R64" i="104" s="1"/>
  <c r="I64" i="104"/>
  <c r="H64" i="104"/>
  <c r="G64" i="104"/>
  <c r="U63" i="104"/>
  <c r="Q63" i="104"/>
  <c r="O63" i="104"/>
  <c r="P63" i="104" s="1"/>
  <c r="N63" i="104"/>
  <c r="L63" i="104"/>
  <c r="K63" i="104"/>
  <c r="I63" i="104"/>
  <c r="H63" i="104"/>
  <c r="G63" i="104"/>
  <c r="Q62" i="104"/>
  <c r="O62" i="104"/>
  <c r="P62" i="104" s="1"/>
  <c r="N62" i="104"/>
  <c r="R62" i="104" s="1"/>
  <c r="L62" i="104"/>
  <c r="I62" i="104"/>
  <c r="H62" i="104"/>
  <c r="G62" i="104"/>
  <c r="K62" i="104" s="1"/>
  <c r="Q61" i="104"/>
  <c r="R61" i="104" s="1"/>
  <c r="P61" i="104"/>
  <c r="O61" i="104"/>
  <c r="N61" i="104"/>
  <c r="L61" i="104"/>
  <c r="H61" i="104"/>
  <c r="I61" i="104" s="1"/>
  <c r="G61" i="104"/>
  <c r="K61" i="104" s="1"/>
  <c r="U60" i="104"/>
  <c r="S60" i="104"/>
  <c r="R60" i="104"/>
  <c r="Q60" i="104"/>
  <c r="O60" i="104"/>
  <c r="P60" i="104" s="1"/>
  <c r="Y60" i="104" s="1"/>
  <c r="N60" i="104"/>
  <c r="L60" i="104"/>
  <c r="K60" i="104"/>
  <c r="H60" i="104"/>
  <c r="I60" i="104" s="1"/>
  <c r="G60" i="104"/>
  <c r="U59" i="104"/>
  <c r="Q59" i="104"/>
  <c r="O59" i="104"/>
  <c r="P59" i="104" s="1"/>
  <c r="N59" i="104"/>
  <c r="R59" i="104" s="1"/>
  <c r="L59" i="104"/>
  <c r="K59" i="104"/>
  <c r="I59" i="104"/>
  <c r="H59" i="104"/>
  <c r="G59" i="104"/>
  <c r="Q58" i="104"/>
  <c r="P58" i="104"/>
  <c r="O58" i="104"/>
  <c r="N58" i="104"/>
  <c r="L58" i="104"/>
  <c r="I58" i="104"/>
  <c r="H58" i="104"/>
  <c r="G58" i="104"/>
  <c r="K58" i="104" s="1"/>
  <c r="Q57" i="104"/>
  <c r="P57" i="104"/>
  <c r="O57" i="104"/>
  <c r="N57" i="104"/>
  <c r="L57" i="104"/>
  <c r="H57" i="104"/>
  <c r="I57" i="104" s="1"/>
  <c r="G57" i="104"/>
  <c r="K57" i="104" s="1"/>
  <c r="U56" i="104"/>
  <c r="Q56" i="104"/>
  <c r="O56" i="104"/>
  <c r="P56" i="104" s="1"/>
  <c r="N56" i="104"/>
  <c r="L56" i="104"/>
  <c r="K56" i="104"/>
  <c r="R56" i="104" s="1"/>
  <c r="H56" i="104"/>
  <c r="I56" i="104" s="1"/>
  <c r="G56" i="104"/>
  <c r="U55" i="104"/>
  <c r="Q55" i="104"/>
  <c r="O55" i="104"/>
  <c r="P55" i="104" s="1"/>
  <c r="N55" i="104"/>
  <c r="R55" i="104" s="1"/>
  <c r="L55" i="104"/>
  <c r="K55" i="104"/>
  <c r="I55" i="104"/>
  <c r="H55" i="104"/>
  <c r="G55" i="104"/>
  <c r="U54" i="104"/>
  <c r="Q54" i="104"/>
  <c r="O54" i="104"/>
  <c r="P54" i="104" s="1"/>
  <c r="N54" i="104"/>
  <c r="L54" i="104"/>
  <c r="I54" i="104"/>
  <c r="H54" i="104"/>
  <c r="G54" i="104"/>
  <c r="K54" i="104" s="1"/>
  <c r="Q53" i="104"/>
  <c r="P53" i="104"/>
  <c r="O53" i="104"/>
  <c r="N53" i="104"/>
  <c r="L53" i="104"/>
  <c r="H53" i="104"/>
  <c r="I53" i="104" s="1"/>
  <c r="G53" i="104"/>
  <c r="K53" i="104" s="1"/>
  <c r="R53" i="104" s="1"/>
  <c r="Q52" i="104"/>
  <c r="U52" i="104" s="1"/>
  <c r="O52" i="104"/>
  <c r="P52" i="104" s="1"/>
  <c r="N52" i="104"/>
  <c r="L52" i="104"/>
  <c r="H52" i="104"/>
  <c r="I52" i="104" s="1"/>
  <c r="G52" i="104"/>
  <c r="K52" i="104" s="1"/>
  <c r="U51" i="104"/>
  <c r="Q51" i="104"/>
  <c r="O51" i="104"/>
  <c r="P51" i="104" s="1"/>
  <c r="N51" i="104"/>
  <c r="L51" i="104"/>
  <c r="K51" i="104"/>
  <c r="I51" i="104"/>
  <c r="H51" i="104"/>
  <c r="G51" i="104"/>
  <c r="U50" i="104"/>
  <c r="Q50" i="104"/>
  <c r="P50" i="104"/>
  <c r="O50" i="104"/>
  <c r="N50" i="104"/>
  <c r="R50" i="104" s="1"/>
  <c r="X50" i="104" s="1"/>
  <c r="L50" i="104"/>
  <c r="I50" i="104"/>
  <c r="H50" i="104"/>
  <c r="G50" i="104"/>
  <c r="K50" i="104" s="1"/>
  <c r="U49" i="104"/>
  <c r="R49" i="104"/>
  <c r="Q49" i="104"/>
  <c r="P49" i="104"/>
  <c r="O49" i="104"/>
  <c r="N49" i="104"/>
  <c r="L49" i="104"/>
  <c r="H49" i="104"/>
  <c r="I49" i="104" s="1"/>
  <c r="G49" i="104"/>
  <c r="K49" i="104" s="1"/>
  <c r="R48" i="104"/>
  <c r="Q48" i="104"/>
  <c r="U48" i="104" s="1"/>
  <c r="O48" i="104"/>
  <c r="P48" i="104" s="1"/>
  <c r="N48" i="104"/>
  <c r="L48" i="104"/>
  <c r="I48" i="104"/>
  <c r="H48" i="104"/>
  <c r="G48" i="104"/>
  <c r="K48" i="104" s="1"/>
  <c r="Q47" i="104"/>
  <c r="U47" i="104" s="1"/>
  <c r="O47" i="104"/>
  <c r="P47" i="104" s="1"/>
  <c r="N47" i="104"/>
  <c r="L47" i="104"/>
  <c r="I47" i="104"/>
  <c r="H47" i="104"/>
  <c r="G47" i="104"/>
  <c r="K47" i="104" s="1"/>
  <c r="U46" i="104"/>
  <c r="Q46" i="104"/>
  <c r="O46" i="104"/>
  <c r="P46" i="104" s="1"/>
  <c r="N46" i="104"/>
  <c r="R46" i="104" s="1"/>
  <c r="L46" i="104"/>
  <c r="I46" i="104"/>
  <c r="H46" i="104"/>
  <c r="G46" i="104"/>
  <c r="K46" i="104" s="1"/>
  <c r="Q45" i="104"/>
  <c r="O45" i="104"/>
  <c r="P45" i="104" s="1"/>
  <c r="N45" i="104"/>
  <c r="L45" i="104"/>
  <c r="K45" i="104"/>
  <c r="H45" i="104"/>
  <c r="I45" i="104" s="1"/>
  <c r="G45" i="104"/>
  <c r="AR44" i="104"/>
  <c r="AJ44" i="104"/>
  <c r="AI44" i="104"/>
  <c r="AF44" i="104"/>
  <c r="AG44" i="104" s="1"/>
  <c r="AQ44" i="104" s="1"/>
  <c r="Q44" i="104"/>
  <c r="O44" i="104"/>
  <c r="P44" i="104" s="1"/>
  <c r="N44" i="104"/>
  <c r="L44" i="104"/>
  <c r="H44" i="104"/>
  <c r="I44" i="104" s="1"/>
  <c r="G44" i="104"/>
  <c r="K44" i="104" s="1"/>
  <c r="AR43" i="104"/>
  <c r="AJ43" i="104"/>
  <c r="AI43" i="104"/>
  <c r="AF43" i="104"/>
  <c r="AG43" i="104" s="1"/>
  <c r="AQ43" i="104" s="1"/>
  <c r="U43" i="104"/>
  <c r="Q43" i="104"/>
  <c r="O43" i="104"/>
  <c r="P43" i="104" s="1"/>
  <c r="N43" i="104"/>
  <c r="L43" i="104"/>
  <c r="K43" i="104"/>
  <c r="I43" i="104"/>
  <c r="H43" i="104"/>
  <c r="G43" i="104"/>
  <c r="AR42" i="104"/>
  <c r="AJ42" i="104"/>
  <c r="AI42" i="104"/>
  <c r="AF42" i="104"/>
  <c r="AG42" i="104" s="1"/>
  <c r="AQ42" i="104" s="1"/>
  <c r="Q42" i="104"/>
  <c r="O42" i="104"/>
  <c r="P42" i="104" s="1"/>
  <c r="N42" i="104"/>
  <c r="L42" i="104"/>
  <c r="H42" i="104"/>
  <c r="I42" i="104" s="1"/>
  <c r="G42" i="104"/>
  <c r="K42" i="104" s="1"/>
  <c r="R42" i="104" s="1"/>
  <c r="AR41" i="104"/>
  <c r="AJ41" i="104"/>
  <c r="AI41" i="104"/>
  <c r="AF41" i="104"/>
  <c r="AG41" i="104" s="1"/>
  <c r="AQ41" i="104" s="1"/>
  <c r="U41" i="104"/>
  <c r="Q41" i="104"/>
  <c r="O41" i="104"/>
  <c r="P41" i="104" s="1"/>
  <c r="N41" i="104"/>
  <c r="R41" i="104" s="1"/>
  <c r="L41" i="104"/>
  <c r="K41" i="104"/>
  <c r="I41" i="104"/>
  <c r="H41" i="104"/>
  <c r="G41" i="104"/>
  <c r="AR40" i="104"/>
  <c r="AJ40" i="104"/>
  <c r="AI40" i="104"/>
  <c r="AF40" i="104"/>
  <c r="AG40" i="104" s="1"/>
  <c r="AQ40" i="104" s="1"/>
  <c r="Q40" i="104"/>
  <c r="O40" i="104"/>
  <c r="P40" i="104" s="1"/>
  <c r="N40" i="104"/>
  <c r="L40" i="104"/>
  <c r="H40" i="104"/>
  <c r="I40" i="104" s="1"/>
  <c r="G40" i="104"/>
  <c r="K40" i="104" s="1"/>
  <c r="AR39" i="104"/>
  <c r="AJ39" i="104"/>
  <c r="AI39" i="104"/>
  <c r="AF39" i="104"/>
  <c r="AG39" i="104" s="1"/>
  <c r="AQ39" i="104" s="1"/>
  <c r="U39" i="104"/>
  <c r="Q39" i="104"/>
  <c r="O39" i="104"/>
  <c r="P39" i="104" s="1"/>
  <c r="N39" i="104"/>
  <c r="L39" i="104"/>
  <c r="K39" i="104"/>
  <c r="I39" i="104"/>
  <c r="H39" i="104"/>
  <c r="G39" i="104"/>
  <c r="AR38" i="104"/>
  <c r="AJ38" i="104"/>
  <c r="AI38" i="104"/>
  <c r="AF38" i="104"/>
  <c r="AG38" i="104" s="1"/>
  <c r="AQ38" i="104" s="1"/>
  <c r="U38" i="104"/>
  <c r="Q38" i="104"/>
  <c r="P38" i="104"/>
  <c r="O38" i="104"/>
  <c r="N38" i="104"/>
  <c r="L38" i="104"/>
  <c r="K38" i="104"/>
  <c r="R38" i="104" s="1"/>
  <c r="H38" i="104"/>
  <c r="I38" i="104" s="1"/>
  <c r="G38" i="104"/>
  <c r="AR37" i="104"/>
  <c r="AJ37" i="104"/>
  <c r="AI37" i="104"/>
  <c r="AF37" i="104"/>
  <c r="AG37" i="104" s="1"/>
  <c r="AQ37" i="104" s="1"/>
  <c r="U37" i="104"/>
  <c r="Q37" i="104"/>
  <c r="P37" i="104"/>
  <c r="O37" i="104"/>
  <c r="N37" i="104"/>
  <c r="L37" i="104"/>
  <c r="K37" i="104"/>
  <c r="R37" i="104" s="1"/>
  <c r="H37" i="104"/>
  <c r="I37" i="104" s="1"/>
  <c r="G37" i="104"/>
  <c r="AR36" i="104"/>
  <c r="AJ36" i="104"/>
  <c r="AI36" i="104"/>
  <c r="AF36" i="104"/>
  <c r="AG36" i="104" s="1"/>
  <c r="AQ36" i="104" s="1"/>
  <c r="U36" i="104"/>
  <c r="Q36" i="104"/>
  <c r="P36" i="104"/>
  <c r="O36" i="104"/>
  <c r="N36" i="104"/>
  <c r="L36" i="104"/>
  <c r="K36" i="104"/>
  <c r="R36" i="104" s="1"/>
  <c r="H36" i="104"/>
  <c r="I36" i="104" s="1"/>
  <c r="G36" i="104"/>
  <c r="AR35" i="104"/>
  <c r="AJ35" i="104"/>
  <c r="AI35" i="104"/>
  <c r="AF35" i="104"/>
  <c r="AG35" i="104" s="1"/>
  <c r="AQ35" i="104" s="1"/>
  <c r="U35" i="104"/>
  <c r="Q35" i="104"/>
  <c r="P35" i="104"/>
  <c r="O35" i="104"/>
  <c r="N35" i="104"/>
  <c r="L35" i="104"/>
  <c r="K35" i="104"/>
  <c r="R35" i="104" s="1"/>
  <c r="H35" i="104"/>
  <c r="I35" i="104" s="1"/>
  <c r="G35" i="104"/>
  <c r="AR34" i="104"/>
  <c r="AJ34" i="104"/>
  <c r="AI34" i="104"/>
  <c r="AF34" i="104"/>
  <c r="AG34" i="104" s="1"/>
  <c r="AQ34" i="104" s="1"/>
  <c r="U34" i="104"/>
  <c r="R34" i="104"/>
  <c r="Q34" i="104"/>
  <c r="P34" i="104"/>
  <c r="O34" i="104"/>
  <c r="N34" i="104"/>
  <c r="L34" i="104"/>
  <c r="K34" i="104"/>
  <c r="H34" i="104"/>
  <c r="I34" i="104" s="1"/>
  <c r="G34" i="104"/>
  <c r="AR33" i="104"/>
  <c r="AJ33" i="104"/>
  <c r="AI33" i="104"/>
  <c r="AF33" i="104"/>
  <c r="AG33" i="104" s="1"/>
  <c r="AQ33" i="104" s="1"/>
  <c r="U33" i="104"/>
  <c r="R33" i="104"/>
  <c r="Q33" i="104"/>
  <c r="P33" i="104"/>
  <c r="O33" i="104"/>
  <c r="N33" i="104"/>
  <c r="L33" i="104"/>
  <c r="K33" i="104"/>
  <c r="H33" i="104"/>
  <c r="I33" i="104" s="1"/>
  <c r="G33" i="104"/>
  <c r="AR32" i="104"/>
  <c r="AJ32" i="104"/>
  <c r="AI32" i="104"/>
  <c r="AF32" i="104"/>
  <c r="AG32" i="104" s="1"/>
  <c r="AQ32" i="104" s="1"/>
  <c r="U32" i="104"/>
  <c r="R32" i="104"/>
  <c r="Q32" i="104"/>
  <c r="O32" i="104"/>
  <c r="P32" i="104" s="1"/>
  <c r="N32" i="104"/>
  <c r="L32" i="104"/>
  <c r="K32" i="104"/>
  <c r="I32" i="104"/>
  <c r="H32" i="104"/>
  <c r="G32" i="104"/>
  <c r="AR31" i="104"/>
  <c r="AJ31" i="104"/>
  <c r="AI31" i="104"/>
  <c r="AF31" i="104"/>
  <c r="AG31" i="104" s="1"/>
  <c r="AQ31" i="104" s="1"/>
  <c r="U31" i="104"/>
  <c r="S31" i="104"/>
  <c r="R31" i="104"/>
  <c r="Q31" i="104"/>
  <c r="O31" i="104"/>
  <c r="P31" i="104" s="1"/>
  <c r="Y31" i="104" s="1"/>
  <c r="N31" i="104"/>
  <c r="L31" i="104"/>
  <c r="K31" i="104"/>
  <c r="H31" i="104"/>
  <c r="I31" i="104" s="1"/>
  <c r="G31" i="104"/>
  <c r="AR30" i="104"/>
  <c r="AJ30" i="104"/>
  <c r="AI30" i="104"/>
  <c r="AF30" i="104"/>
  <c r="AG30" i="104" s="1"/>
  <c r="AQ30" i="104" s="1"/>
  <c r="Q30" i="104"/>
  <c r="O30" i="104"/>
  <c r="P30" i="104" s="1"/>
  <c r="N30" i="104"/>
  <c r="L30" i="104"/>
  <c r="I30" i="104"/>
  <c r="H30" i="104"/>
  <c r="G30" i="104"/>
  <c r="K30" i="104" s="1"/>
  <c r="AR29" i="104"/>
  <c r="AJ29" i="104"/>
  <c r="AI29" i="104"/>
  <c r="AF29" i="104"/>
  <c r="AG29" i="104" s="1"/>
  <c r="AQ29" i="104" s="1"/>
  <c r="U29" i="104"/>
  <c r="Q29" i="104"/>
  <c r="O29" i="104"/>
  <c r="P29" i="104" s="1"/>
  <c r="N29" i="104"/>
  <c r="L29" i="104"/>
  <c r="H29" i="104"/>
  <c r="I29" i="104" s="1"/>
  <c r="G29" i="104"/>
  <c r="K29" i="104" s="1"/>
  <c r="R29" i="104" s="1"/>
  <c r="AR28" i="104"/>
  <c r="AJ28" i="104"/>
  <c r="AI28" i="104"/>
  <c r="AG28" i="104"/>
  <c r="AQ28" i="104" s="1"/>
  <c r="AF28" i="104"/>
  <c r="U28" i="104"/>
  <c r="S28" i="104"/>
  <c r="Q28" i="104"/>
  <c r="O28" i="104"/>
  <c r="P28" i="104" s="1"/>
  <c r="N28" i="104"/>
  <c r="L28" i="104"/>
  <c r="K28" i="104"/>
  <c r="R28" i="104" s="1"/>
  <c r="H28" i="104"/>
  <c r="I28" i="104" s="1"/>
  <c r="G28" i="104"/>
  <c r="AR27" i="104"/>
  <c r="AJ27" i="104"/>
  <c r="AI27" i="104"/>
  <c r="AF27" i="104"/>
  <c r="AG27" i="104" s="1"/>
  <c r="AQ27" i="104" s="1"/>
  <c r="U27" i="104"/>
  <c r="Q27" i="104"/>
  <c r="O27" i="104"/>
  <c r="P27" i="104" s="1"/>
  <c r="N27" i="104"/>
  <c r="L27" i="104"/>
  <c r="K27" i="104"/>
  <c r="R27" i="104" s="1"/>
  <c r="I27" i="104"/>
  <c r="H27" i="104"/>
  <c r="G27" i="104"/>
  <c r="AR26" i="104"/>
  <c r="AJ26" i="104"/>
  <c r="AI26" i="104"/>
  <c r="AF26" i="104"/>
  <c r="AG26" i="104" s="1"/>
  <c r="AQ26" i="104" s="1"/>
  <c r="U26" i="104"/>
  <c r="Q26" i="104"/>
  <c r="O26" i="104"/>
  <c r="P26" i="104" s="1"/>
  <c r="N26" i="104"/>
  <c r="L26" i="104"/>
  <c r="K26" i="104"/>
  <c r="I26" i="104"/>
  <c r="H26" i="104"/>
  <c r="G26" i="104"/>
  <c r="AR25" i="104"/>
  <c r="AJ25" i="104"/>
  <c r="AI25" i="104"/>
  <c r="AG25" i="104"/>
  <c r="AQ25" i="104" s="1"/>
  <c r="AF25" i="104"/>
  <c r="Q25" i="104"/>
  <c r="O25" i="104"/>
  <c r="P25" i="104" s="1"/>
  <c r="N25" i="104"/>
  <c r="L25" i="104"/>
  <c r="K25" i="104"/>
  <c r="I25" i="104"/>
  <c r="H25" i="104"/>
  <c r="G25" i="104"/>
  <c r="AR24" i="104"/>
  <c r="AJ24" i="104"/>
  <c r="AI24" i="104"/>
  <c r="AF24" i="104"/>
  <c r="AG24" i="104" s="1"/>
  <c r="AQ24" i="104" s="1"/>
  <c r="Z24" i="104"/>
  <c r="Q24" i="104"/>
  <c r="U24" i="104" s="1"/>
  <c r="O24" i="104"/>
  <c r="P24" i="104" s="1"/>
  <c r="N24" i="104"/>
  <c r="L24" i="104"/>
  <c r="H24" i="104"/>
  <c r="I24" i="104" s="1"/>
  <c r="G24" i="104"/>
  <c r="K24" i="104" s="1"/>
  <c r="R24" i="104" s="1"/>
  <c r="AR23" i="104"/>
  <c r="AJ23" i="104"/>
  <c r="AI23" i="104"/>
  <c r="AF23" i="104"/>
  <c r="AG23" i="104" s="1"/>
  <c r="AQ23" i="104" s="1"/>
  <c r="Q23" i="104"/>
  <c r="U23" i="104" s="1"/>
  <c r="O23" i="104"/>
  <c r="P23" i="104" s="1"/>
  <c r="N23" i="104"/>
  <c r="L23" i="104"/>
  <c r="H23" i="104"/>
  <c r="I23" i="104" s="1"/>
  <c r="G23" i="104"/>
  <c r="K23" i="104" s="1"/>
  <c r="AR22" i="104"/>
  <c r="AJ22" i="104"/>
  <c r="AI22" i="104"/>
  <c r="AF22" i="104"/>
  <c r="AG22" i="104" s="1"/>
  <c r="AQ22" i="104" s="1"/>
  <c r="R22" i="104"/>
  <c r="Q22" i="104"/>
  <c r="O22" i="104"/>
  <c r="P22" i="104" s="1"/>
  <c r="N22" i="104"/>
  <c r="L22" i="104"/>
  <c r="I22" i="104"/>
  <c r="H22" i="104"/>
  <c r="G22" i="104"/>
  <c r="K22" i="104" s="1"/>
  <c r="AR21" i="104"/>
  <c r="AJ21" i="104"/>
  <c r="AI21" i="104"/>
  <c r="AF21" i="104"/>
  <c r="AG21" i="104" s="1"/>
  <c r="AQ21" i="104" s="1"/>
  <c r="U21" i="104"/>
  <c r="T21" i="104"/>
  <c r="S21" i="104"/>
  <c r="V21" i="104" s="1"/>
  <c r="Q21" i="104"/>
  <c r="O21" i="104"/>
  <c r="P21" i="104" s="1"/>
  <c r="N21" i="104"/>
  <c r="L21" i="104"/>
  <c r="K21" i="104"/>
  <c r="R21" i="104" s="1"/>
  <c r="H21" i="104"/>
  <c r="I21" i="104" s="1"/>
  <c r="G21" i="104"/>
  <c r="AR20" i="104"/>
  <c r="AJ20" i="104"/>
  <c r="AI20" i="104"/>
  <c r="AF20" i="104"/>
  <c r="AG20" i="104" s="1"/>
  <c r="AQ20" i="104" s="1"/>
  <c r="Q20" i="104"/>
  <c r="U20" i="104" s="1"/>
  <c r="O20" i="104"/>
  <c r="P20" i="104" s="1"/>
  <c r="N20" i="104"/>
  <c r="L20" i="104"/>
  <c r="H20" i="104"/>
  <c r="I20" i="104" s="1"/>
  <c r="G20" i="104"/>
  <c r="K20" i="104" s="1"/>
  <c r="AR19" i="104"/>
  <c r="AJ19" i="104"/>
  <c r="AI19" i="104"/>
  <c r="AF19" i="104"/>
  <c r="AG19" i="104" s="1"/>
  <c r="AQ19" i="104" s="1"/>
  <c r="U19" i="104"/>
  <c r="T19" i="104"/>
  <c r="Q19" i="104"/>
  <c r="O19" i="104"/>
  <c r="P19" i="104" s="1"/>
  <c r="N19" i="104"/>
  <c r="L19" i="104"/>
  <c r="K19" i="104"/>
  <c r="R19" i="104" s="1"/>
  <c r="S19" i="104" s="1"/>
  <c r="V19" i="104" s="1"/>
  <c r="H19" i="104"/>
  <c r="I19" i="104" s="1"/>
  <c r="G19" i="104"/>
  <c r="AR18" i="104"/>
  <c r="AJ18" i="104"/>
  <c r="AI18" i="104"/>
  <c r="AF18" i="104"/>
  <c r="AG18" i="104" s="1"/>
  <c r="AQ18" i="104" s="1"/>
  <c r="Q18" i="104"/>
  <c r="U18" i="104" s="1"/>
  <c r="O18" i="104"/>
  <c r="P18" i="104" s="1"/>
  <c r="N18" i="104"/>
  <c r="L18" i="104"/>
  <c r="H18" i="104"/>
  <c r="I18" i="104" s="1"/>
  <c r="G18" i="104"/>
  <c r="K18" i="104" s="1"/>
  <c r="AR17" i="104"/>
  <c r="AJ17" i="104"/>
  <c r="AI17" i="104"/>
  <c r="AF17" i="104"/>
  <c r="AG17" i="104" s="1"/>
  <c r="AQ17" i="104" s="1"/>
  <c r="U17" i="104"/>
  <c r="Q17" i="104"/>
  <c r="O17" i="104"/>
  <c r="P17" i="104" s="1"/>
  <c r="N17" i="104"/>
  <c r="L17" i="104"/>
  <c r="K17" i="104"/>
  <c r="I17" i="104"/>
  <c r="H17" i="104"/>
  <c r="G17" i="104"/>
  <c r="AR16" i="104"/>
  <c r="AJ16" i="104"/>
  <c r="AI16" i="104"/>
  <c r="AF16" i="104"/>
  <c r="AG16" i="104" s="1"/>
  <c r="AQ16" i="104" s="1"/>
  <c r="Q16" i="104"/>
  <c r="U16" i="104" s="1"/>
  <c r="O16" i="104"/>
  <c r="P16" i="104" s="1"/>
  <c r="N16" i="104"/>
  <c r="R16" i="104" s="1"/>
  <c r="L16" i="104"/>
  <c r="H16" i="104"/>
  <c r="I16" i="104" s="1"/>
  <c r="G16" i="104"/>
  <c r="K16" i="104" s="1"/>
  <c r="AR15" i="104"/>
  <c r="AJ15" i="104"/>
  <c r="AI15" i="104"/>
  <c r="AF15" i="104"/>
  <c r="AG15" i="104" s="1"/>
  <c r="AQ15" i="104" s="1"/>
  <c r="U15" i="104"/>
  <c r="S15" i="104"/>
  <c r="V15" i="104" s="1"/>
  <c r="Q15" i="104"/>
  <c r="O15" i="104"/>
  <c r="P15" i="104" s="1"/>
  <c r="N15" i="104"/>
  <c r="L15" i="104"/>
  <c r="K15" i="104"/>
  <c r="R15" i="104" s="1"/>
  <c r="H15" i="104"/>
  <c r="I15" i="104" s="1"/>
  <c r="G15" i="104"/>
  <c r="AR14" i="104"/>
  <c r="AJ14" i="104"/>
  <c r="AI14" i="104"/>
  <c r="AF14" i="104"/>
  <c r="AG14" i="104" s="1"/>
  <c r="AQ14" i="104" s="1"/>
  <c r="Q14" i="104"/>
  <c r="O14" i="104"/>
  <c r="P14" i="104" s="1"/>
  <c r="N14" i="104"/>
  <c r="L14" i="104"/>
  <c r="H14" i="104"/>
  <c r="I14" i="104" s="1"/>
  <c r="G14" i="104"/>
  <c r="K14" i="104" s="1"/>
  <c r="AR13" i="104"/>
  <c r="AJ13" i="104"/>
  <c r="AI13" i="104"/>
  <c r="AF13" i="104"/>
  <c r="AG13" i="104" s="1"/>
  <c r="AQ13" i="104" s="1"/>
  <c r="U13" i="104"/>
  <c r="Q13" i="104"/>
  <c r="O13" i="104"/>
  <c r="P13" i="104" s="1"/>
  <c r="N13" i="104"/>
  <c r="L13" i="104"/>
  <c r="K13" i="104"/>
  <c r="H13" i="104"/>
  <c r="I13" i="104" s="1"/>
  <c r="G13" i="104"/>
  <c r="AR12" i="104"/>
  <c r="AJ12" i="104"/>
  <c r="AI12" i="104"/>
  <c r="AF12" i="104"/>
  <c r="AG12" i="104" s="1"/>
  <c r="AQ12" i="104" s="1"/>
  <c r="Q12" i="104"/>
  <c r="O12" i="104"/>
  <c r="P12" i="104" s="1"/>
  <c r="N12" i="104"/>
  <c r="L12" i="104"/>
  <c r="H12" i="104"/>
  <c r="I12" i="104" s="1"/>
  <c r="G12" i="104"/>
  <c r="K12" i="104" s="1"/>
  <c r="R12" i="104" s="1"/>
  <c r="AR11" i="104"/>
  <c r="AJ11" i="104"/>
  <c r="AI11" i="104"/>
  <c r="AF11" i="104"/>
  <c r="AG11" i="104" s="1"/>
  <c r="AQ11" i="104" s="1"/>
  <c r="U11" i="104"/>
  <c r="Q11" i="104"/>
  <c r="O11" i="104"/>
  <c r="P11" i="104" s="1"/>
  <c r="N11" i="104"/>
  <c r="L11" i="104"/>
  <c r="K11" i="104"/>
  <c r="I11" i="104"/>
  <c r="H11" i="104"/>
  <c r="G11" i="104"/>
  <c r="AR10" i="104"/>
  <c r="AJ10" i="104"/>
  <c r="AI10" i="104"/>
  <c r="AF10" i="104"/>
  <c r="AG10" i="104" s="1"/>
  <c r="AQ10" i="104" s="1"/>
  <c r="R10" i="104"/>
  <c r="Q10" i="104"/>
  <c r="O10" i="104"/>
  <c r="P10" i="104" s="1"/>
  <c r="N10" i="104"/>
  <c r="L10" i="104"/>
  <c r="H10" i="104"/>
  <c r="I10" i="104" s="1"/>
  <c r="G10" i="104"/>
  <c r="K10" i="104" s="1"/>
  <c r="AR9" i="104"/>
  <c r="AP9" i="104"/>
  <c r="AP10" i="104" s="1"/>
  <c r="AP11" i="104" s="1"/>
  <c r="AP12" i="104" s="1"/>
  <c r="AP13" i="104" s="1"/>
  <c r="AP14" i="104" s="1"/>
  <c r="AP15" i="104" s="1"/>
  <c r="AP16" i="104" s="1"/>
  <c r="AP17" i="104" s="1"/>
  <c r="AP18" i="104" s="1"/>
  <c r="AP19" i="104" s="1"/>
  <c r="AP20" i="104" s="1"/>
  <c r="AP21" i="104" s="1"/>
  <c r="AP22" i="104" s="1"/>
  <c r="AP23" i="104" s="1"/>
  <c r="AP24" i="104" s="1"/>
  <c r="AP25" i="104" s="1"/>
  <c r="AP26" i="104" s="1"/>
  <c r="AP27" i="104" s="1"/>
  <c r="AP28" i="104" s="1"/>
  <c r="AP29" i="104" s="1"/>
  <c r="AP30" i="104" s="1"/>
  <c r="AP31" i="104" s="1"/>
  <c r="AP32" i="104" s="1"/>
  <c r="AP33" i="104" s="1"/>
  <c r="AP34" i="104" s="1"/>
  <c r="AP35" i="104" s="1"/>
  <c r="AP36" i="104" s="1"/>
  <c r="AP37" i="104" s="1"/>
  <c r="AP38" i="104" s="1"/>
  <c r="AP39" i="104" s="1"/>
  <c r="AP40" i="104" s="1"/>
  <c r="AP41" i="104" s="1"/>
  <c r="AP42" i="104" s="1"/>
  <c r="AP43" i="104" s="1"/>
  <c r="AP44" i="104" s="1"/>
  <c r="AJ9" i="104"/>
  <c r="AI9" i="104"/>
  <c r="AF9" i="104"/>
  <c r="AG9" i="104" s="1"/>
  <c r="AQ9" i="104" s="1"/>
  <c r="U9" i="104"/>
  <c r="Q9" i="104"/>
  <c r="O9" i="104"/>
  <c r="P9" i="104" s="1"/>
  <c r="N9" i="104"/>
  <c r="L9" i="104"/>
  <c r="K9" i="104"/>
  <c r="I9" i="104"/>
  <c r="H9" i="104"/>
  <c r="G9" i="104"/>
  <c r="AS8" i="104"/>
  <c r="AS9" i="104" s="1"/>
  <c r="AS10" i="104" s="1"/>
  <c r="AS11" i="104" s="1"/>
  <c r="AS12" i="104" s="1"/>
  <c r="AS13" i="104" s="1"/>
  <c r="AS14" i="104" s="1"/>
  <c r="AS15" i="104" s="1"/>
  <c r="AS16" i="104" s="1"/>
  <c r="AS17" i="104" s="1"/>
  <c r="AS18" i="104" s="1"/>
  <c r="AS19" i="104" s="1"/>
  <c r="AS20" i="104" s="1"/>
  <c r="AS21" i="104" s="1"/>
  <c r="AS22" i="104" s="1"/>
  <c r="AS23" i="104" s="1"/>
  <c r="AS24" i="104" s="1"/>
  <c r="AS25" i="104" s="1"/>
  <c r="AS26" i="104" s="1"/>
  <c r="AS27" i="104" s="1"/>
  <c r="AS28" i="104" s="1"/>
  <c r="AS29" i="104" s="1"/>
  <c r="AS30" i="104" s="1"/>
  <c r="AS31" i="104" s="1"/>
  <c r="AS32" i="104" s="1"/>
  <c r="AS33" i="104" s="1"/>
  <c r="AS34" i="104" s="1"/>
  <c r="AS35" i="104" s="1"/>
  <c r="AS36" i="104" s="1"/>
  <c r="AS37" i="104" s="1"/>
  <c r="AS38" i="104" s="1"/>
  <c r="AS39" i="104" s="1"/>
  <c r="AS40" i="104" s="1"/>
  <c r="AS41" i="104" s="1"/>
  <c r="AS42" i="104" s="1"/>
  <c r="AS43" i="104" s="1"/>
  <c r="AS44" i="104" s="1"/>
  <c r="AR8" i="104"/>
  <c r="AP8" i="104"/>
  <c r="AL8" i="104"/>
  <c r="AL9" i="104" s="1"/>
  <c r="AM9" i="104" s="1"/>
  <c r="AN9" i="104" s="1"/>
  <c r="AO9" i="104" s="1"/>
  <c r="AK8" i="104"/>
  <c r="AK9" i="104" s="1"/>
  <c r="AK10" i="104" s="1"/>
  <c r="AK11" i="104" s="1"/>
  <c r="AK12" i="104" s="1"/>
  <c r="AK13" i="104" s="1"/>
  <c r="AK14" i="104" s="1"/>
  <c r="AK15" i="104" s="1"/>
  <c r="AK16" i="104" s="1"/>
  <c r="AK17" i="104" s="1"/>
  <c r="AK18" i="104" s="1"/>
  <c r="AK19" i="104" s="1"/>
  <c r="AK20" i="104" s="1"/>
  <c r="AK21" i="104" s="1"/>
  <c r="AK22" i="104" s="1"/>
  <c r="AK23" i="104" s="1"/>
  <c r="AK24" i="104" s="1"/>
  <c r="AK25" i="104" s="1"/>
  <c r="AK26" i="104" s="1"/>
  <c r="AK27" i="104" s="1"/>
  <c r="AK28" i="104" s="1"/>
  <c r="AK29" i="104" s="1"/>
  <c r="AK30" i="104" s="1"/>
  <c r="AK31" i="104" s="1"/>
  <c r="AK32" i="104" s="1"/>
  <c r="AK33" i="104" s="1"/>
  <c r="AK34" i="104" s="1"/>
  <c r="AK35" i="104" s="1"/>
  <c r="AK36" i="104" s="1"/>
  <c r="AK37" i="104" s="1"/>
  <c r="AK38" i="104" s="1"/>
  <c r="AK39" i="104" s="1"/>
  <c r="AK40" i="104" s="1"/>
  <c r="AK41" i="104" s="1"/>
  <c r="AK42" i="104" s="1"/>
  <c r="AK43" i="104" s="1"/>
  <c r="AK44" i="104" s="1"/>
  <c r="AJ8" i="104"/>
  <c r="AI8" i="104"/>
  <c r="AH8" i="104"/>
  <c r="AH9" i="104" s="1"/>
  <c r="AH10" i="104" s="1"/>
  <c r="AH11" i="104" s="1"/>
  <c r="AH12" i="104" s="1"/>
  <c r="AH13" i="104" s="1"/>
  <c r="AH14" i="104" s="1"/>
  <c r="AH15" i="104" s="1"/>
  <c r="AH16" i="104" s="1"/>
  <c r="AH17" i="104" s="1"/>
  <c r="AH18" i="104" s="1"/>
  <c r="AH19" i="104" s="1"/>
  <c r="AH20" i="104" s="1"/>
  <c r="AH21" i="104" s="1"/>
  <c r="AH22" i="104" s="1"/>
  <c r="AH23" i="104" s="1"/>
  <c r="AH24" i="104" s="1"/>
  <c r="AH25" i="104" s="1"/>
  <c r="AH26" i="104" s="1"/>
  <c r="AH27" i="104" s="1"/>
  <c r="AH28" i="104" s="1"/>
  <c r="AH29" i="104" s="1"/>
  <c r="AH30" i="104" s="1"/>
  <c r="AH31" i="104" s="1"/>
  <c r="AH32" i="104" s="1"/>
  <c r="AH33" i="104" s="1"/>
  <c r="AH34" i="104" s="1"/>
  <c r="AH35" i="104" s="1"/>
  <c r="AH36" i="104" s="1"/>
  <c r="AH37" i="104" s="1"/>
  <c r="AH38" i="104" s="1"/>
  <c r="AH39" i="104" s="1"/>
  <c r="AH40" i="104" s="1"/>
  <c r="AH41" i="104" s="1"/>
  <c r="AH42" i="104" s="1"/>
  <c r="AH43" i="104" s="1"/>
  <c r="AH44" i="104" s="1"/>
  <c r="AF8" i="104"/>
  <c r="AG8" i="104" s="1"/>
  <c r="AQ8" i="104" s="1"/>
  <c r="Q8" i="104"/>
  <c r="U8" i="104" s="1"/>
  <c r="O8" i="104"/>
  <c r="P8" i="104" s="1"/>
  <c r="N8" i="104"/>
  <c r="L8" i="104"/>
  <c r="H8" i="104"/>
  <c r="I8" i="104" s="1"/>
  <c r="G8" i="104"/>
  <c r="K8" i="104" s="1"/>
  <c r="R8" i="104" s="1"/>
  <c r="AR7" i="104"/>
  <c r="AJ7" i="104"/>
  <c r="AI7" i="104"/>
  <c r="AF7" i="104"/>
  <c r="AM7" i="104" s="1"/>
  <c r="U7" i="104"/>
  <c r="Q7" i="104"/>
  <c r="P7" i="104"/>
  <c r="O7" i="104"/>
  <c r="N7" i="104"/>
  <c r="L7" i="104"/>
  <c r="K7" i="104"/>
  <c r="R7" i="104" s="1"/>
  <c r="H7" i="104"/>
  <c r="I7" i="104" s="1"/>
  <c r="G7" i="104"/>
  <c r="I13" i="45"/>
  <c r="J13" i="45"/>
  <c r="L13" i="45"/>
  <c r="M13" i="45"/>
  <c r="N13" i="45"/>
  <c r="U13" i="45"/>
  <c r="Y13" i="45"/>
  <c r="Z13" i="45"/>
  <c r="AE13" i="45"/>
  <c r="AF13" i="45"/>
  <c r="AG13" i="45" s="1"/>
  <c r="AJ13" i="45"/>
  <c r="AN13" i="45"/>
  <c r="AO13" i="45"/>
  <c r="AX13" i="45"/>
  <c r="AY13" i="45"/>
  <c r="E79" i="102"/>
  <c r="Q78" i="102"/>
  <c r="O78" i="102"/>
  <c r="P78" i="102" s="1"/>
  <c r="N78" i="102"/>
  <c r="L78" i="102"/>
  <c r="H78" i="102"/>
  <c r="I78" i="102" s="1"/>
  <c r="G78" i="102"/>
  <c r="K78" i="102" s="1"/>
  <c r="Q77" i="102"/>
  <c r="P77" i="102"/>
  <c r="O77" i="102"/>
  <c r="N77" i="102"/>
  <c r="L77" i="102"/>
  <c r="I77" i="102"/>
  <c r="H77" i="102"/>
  <c r="G77" i="102"/>
  <c r="K77" i="102" s="1"/>
  <c r="U76" i="102"/>
  <c r="R76" i="102"/>
  <c r="Q76" i="102"/>
  <c r="P76" i="102"/>
  <c r="O76" i="102"/>
  <c r="N76" i="102"/>
  <c r="L76" i="102"/>
  <c r="K76" i="102"/>
  <c r="H76" i="102"/>
  <c r="I76" i="102" s="1"/>
  <c r="G76" i="102"/>
  <c r="U75" i="102"/>
  <c r="Q75" i="102"/>
  <c r="O75" i="102"/>
  <c r="P75" i="102" s="1"/>
  <c r="N75" i="102"/>
  <c r="L75" i="102"/>
  <c r="K75" i="102"/>
  <c r="I75" i="102"/>
  <c r="H75" i="102"/>
  <c r="G75" i="102"/>
  <c r="Q74" i="102"/>
  <c r="O74" i="102"/>
  <c r="P74" i="102" s="1"/>
  <c r="N74" i="102"/>
  <c r="R74" i="102" s="1"/>
  <c r="L74" i="102"/>
  <c r="H74" i="102"/>
  <c r="I74" i="102" s="1"/>
  <c r="G74" i="102"/>
  <c r="K74" i="102" s="1"/>
  <c r="Q73" i="102"/>
  <c r="P73" i="102"/>
  <c r="O73" i="102"/>
  <c r="N73" i="102"/>
  <c r="L73" i="102"/>
  <c r="I73" i="102"/>
  <c r="H73" i="102"/>
  <c r="G73" i="102"/>
  <c r="K73" i="102" s="1"/>
  <c r="U72" i="102"/>
  <c r="Q72" i="102"/>
  <c r="P72" i="102"/>
  <c r="O72" i="102"/>
  <c r="N72" i="102"/>
  <c r="L72" i="102"/>
  <c r="K72" i="102"/>
  <c r="H72" i="102"/>
  <c r="I72" i="102" s="1"/>
  <c r="G72" i="102"/>
  <c r="U71" i="102"/>
  <c r="Q71" i="102"/>
  <c r="O71" i="102"/>
  <c r="P71" i="102" s="1"/>
  <c r="N71" i="102"/>
  <c r="L71" i="102"/>
  <c r="K71" i="102"/>
  <c r="I71" i="102"/>
  <c r="H71" i="102"/>
  <c r="G71" i="102"/>
  <c r="R70" i="102"/>
  <c r="Q70" i="102"/>
  <c r="O70" i="102"/>
  <c r="P70" i="102" s="1"/>
  <c r="N70" i="102"/>
  <c r="L70" i="102"/>
  <c r="H70" i="102"/>
  <c r="I70" i="102" s="1"/>
  <c r="G70" i="102"/>
  <c r="K70" i="102" s="1"/>
  <c r="Q69" i="102"/>
  <c r="P69" i="102"/>
  <c r="O69" i="102"/>
  <c r="N69" i="102"/>
  <c r="L69" i="102"/>
  <c r="K69" i="102"/>
  <c r="I69" i="102"/>
  <c r="H69" i="102"/>
  <c r="G69" i="102"/>
  <c r="U68" i="102"/>
  <c r="R68" i="102"/>
  <c r="Q68" i="102"/>
  <c r="P68" i="102"/>
  <c r="O68" i="102"/>
  <c r="N68" i="102"/>
  <c r="L68" i="102"/>
  <c r="H68" i="102"/>
  <c r="I68" i="102" s="1"/>
  <c r="G68" i="102"/>
  <c r="K68" i="102" s="1"/>
  <c r="U67" i="102"/>
  <c r="Q67" i="102"/>
  <c r="O67" i="102"/>
  <c r="P67" i="102" s="1"/>
  <c r="N67" i="102"/>
  <c r="L67" i="102"/>
  <c r="K67" i="102"/>
  <c r="I67" i="102"/>
  <c r="H67" i="102"/>
  <c r="G67" i="102"/>
  <c r="R66" i="102"/>
  <c r="Q66" i="102"/>
  <c r="O66" i="102"/>
  <c r="P66" i="102" s="1"/>
  <c r="N66" i="102"/>
  <c r="L66" i="102"/>
  <c r="H66" i="102"/>
  <c r="I66" i="102" s="1"/>
  <c r="G66" i="102"/>
  <c r="K66" i="102" s="1"/>
  <c r="Q65" i="102"/>
  <c r="P65" i="102"/>
  <c r="O65" i="102"/>
  <c r="N65" i="102"/>
  <c r="L65" i="102"/>
  <c r="K65" i="102"/>
  <c r="I65" i="102"/>
  <c r="H65" i="102"/>
  <c r="G65" i="102"/>
  <c r="U64" i="102"/>
  <c r="S64" i="102"/>
  <c r="Q64" i="102"/>
  <c r="O64" i="102"/>
  <c r="P64" i="102" s="1"/>
  <c r="N64" i="102"/>
  <c r="L64" i="102"/>
  <c r="I64" i="102"/>
  <c r="H64" i="102"/>
  <c r="G64" i="102"/>
  <c r="K64" i="102" s="1"/>
  <c r="R64" i="102" s="1"/>
  <c r="U63" i="102"/>
  <c r="Q63" i="102"/>
  <c r="P63" i="102"/>
  <c r="O63" i="102"/>
  <c r="N63" i="102"/>
  <c r="R63" i="102" s="1"/>
  <c r="L63" i="102"/>
  <c r="K63" i="102"/>
  <c r="I63" i="102"/>
  <c r="H63" i="102"/>
  <c r="G63" i="102"/>
  <c r="Q62" i="102"/>
  <c r="O62" i="102"/>
  <c r="P62" i="102" s="1"/>
  <c r="N62" i="102"/>
  <c r="L62" i="102"/>
  <c r="H62" i="102"/>
  <c r="I62" i="102" s="1"/>
  <c r="G62" i="102"/>
  <c r="K62" i="102" s="1"/>
  <c r="R62" i="102" s="1"/>
  <c r="Q61" i="102"/>
  <c r="P61" i="102"/>
  <c r="O61" i="102"/>
  <c r="N61" i="102"/>
  <c r="L61" i="102"/>
  <c r="K61" i="102"/>
  <c r="I61" i="102"/>
  <c r="H61" i="102"/>
  <c r="G61" i="102"/>
  <c r="Z60" i="102"/>
  <c r="U60" i="102"/>
  <c r="Q60" i="102"/>
  <c r="O60" i="102"/>
  <c r="P60" i="102" s="1"/>
  <c r="N60" i="102"/>
  <c r="L60" i="102"/>
  <c r="I60" i="102"/>
  <c r="H60" i="102"/>
  <c r="G60" i="102"/>
  <c r="K60" i="102" s="1"/>
  <c r="R60" i="102" s="1"/>
  <c r="S60" i="102" s="1"/>
  <c r="U59" i="102"/>
  <c r="Q59" i="102"/>
  <c r="O59" i="102"/>
  <c r="P59" i="102" s="1"/>
  <c r="N59" i="102"/>
  <c r="R59" i="102" s="1"/>
  <c r="L59" i="102"/>
  <c r="K59" i="102"/>
  <c r="I59" i="102"/>
  <c r="H59" i="102"/>
  <c r="G59" i="102"/>
  <c r="Q58" i="102"/>
  <c r="O58" i="102"/>
  <c r="P58" i="102" s="1"/>
  <c r="N58" i="102"/>
  <c r="L58" i="102"/>
  <c r="H58" i="102"/>
  <c r="I58" i="102" s="1"/>
  <c r="G58" i="102"/>
  <c r="K58" i="102" s="1"/>
  <c r="Q57" i="102"/>
  <c r="P57" i="102"/>
  <c r="O57" i="102"/>
  <c r="N57" i="102"/>
  <c r="L57" i="102"/>
  <c r="I57" i="102"/>
  <c r="H57" i="102"/>
  <c r="G57" i="102"/>
  <c r="K57" i="102" s="1"/>
  <c r="U56" i="102"/>
  <c r="Q56" i="102"/>
  <c r="O56" i="102"/>
  <c r="P56" i="102" s="1"/>
  <c r="N56" i="102"/>
  <c r="L56" i="102"/>
  <c r="H56" i="102"/>
  <c r="I56" i="102" s="1"/>
  <c r="G56" i="102"/>
  <c r="K56" i="102" s="1"/>
  <c r="U55" i="102"/>
  <c r="Q55" i="102"/>
  <c r="P55" i="102"/>
  <c r="O55" i="102"/>
  <c r="N55" i="102"/>
  <c r="L55" i="102"/>
  <c r="K55" i="102"/>
  <c r="I55" i="102"/>
  <c r="H55" i="102"/>
  <c r="G55" i="102"/>
  <c r="Q54" i="102"/>
  <c r="O54" i="102"/>
  <c r="P54" i="102" s="1"/>
  <c r="N54" i="102"/>
  <c r="R54" i="102" s="1"/>
  <c r="L54" i="102"/>
  <c r="H54" i="102"/>
  <c r="I54" i="102" s="1"/>
  <c r="G54" i="102"/>
  <c r="K54" i="102" s="1"/>
  <c r="Q53" i="102"/>
  <c r="O53" i="102"/>
  <c r="P53" i="102" s="1"/>
  <c r="N53" i="102"/>
  <c r="L53" i="102"/>
  <c r="K53" i="102"/>
  <c r="I53" i="102"/>
  <c r="H53" i="102"/>
  <c r="G53" i="102"/>
  <c r="U52" i="102"/>
  <c r="Q52" i="102"/>
  <c r="O52" i="102"/>
  <c r="P52" i="102" s="1"/>
  <c r="N52" i="102"/>
  <c r="L52" i="102"/>
  <c r="H52" i="102"/>
  <c r="I52" i="102" s="1"/>
  <c r="G52" i="102"/>
  <c r="K52" i="102" s="1"/>
  <c r="R52" i="102" s="1"/>
  <c r="U51" i="102"/>
  <c r="Q51" i="102"/>
  <c r="O51" i="102"/>
  <c r="P51" i="102" s="1"/>
  <c r="N51" i="102"/>
  <c r="L51" i="102"/>
  <c r="K51" i="102"/>
  <c r="I51" i="102"/>
  <c r="H51" i="102"/>
  <c r="G51" i="102"/>
  <c r="Q50" i="102"/>
  <c r="P50" i="102"/>
  <c r="O50" i="102"/>
  <c r="N50" i="102"/>
  <c r="L50" i="102"/>
  <c r="H50" i="102"/>
  <c r="I50" i="102" s="1"/>
  <c r="G50" i="102"/>
  <c r="K50" i="102" s="1"/>
  <c r="X49" i="102"/>
  <c r="T49" i="102"/>
  <c r="Q49" i="102"/>
  <c r="U49" i="102" s="1"/>
  <c r="P49" i="102"/>
  <c r="O49" i="102"/>
  <c r="N49" i="102"/>
  <c r="L49" i="102"/>
  <c r="K49" i="102"/>
  <c r="R49" i="102" s="1"/>
  <c r="Z49" i="102" s="1"/>
  <c r="I49" i="102"/>
  <c r="H49" i="102"/>
  <c r="G49" i="102"/>
  <c r="U48" i="102"/>
  <c r="S48" i="102"/>
  <c r="Q48" i="102"/>
  <c r="O48" i="102"/>
  <c r="P48" i="102" s="1"/>
  <c r="N48" i="102"/>
  <c r="L48" i="102"/>
  <c r="K48" i="102"/>
  <c r="R48" i="102" s="1"/>
  <c r="I48" i="102"/>
  <c r="H48" i="102"/>
  <c r="G48" i="102"/>
  <c r="U47" i="102"/>
  <c r="Q47" i="102"/>
  <c r="O47" i="102"/>
  <c r="P47" i="102" s="1"/>
  <c r="N47" i="102"/>
  <c r="L47" i="102"/>
  <c r="K47" i="102"/>
  <c r="I47" i="102"/>
  <c r="H47" i="102"/>
  <c r="G47" i="102"/>
  <c r="U46" i="102"/>
  <c r="Q46" i="102"/>
  <c r="P46" i="102"/>
  <c r="O46" i="102"/>
  <c r="N46" i="102"/>
  <c r="L46" i="102"/>
  <c r="I46" i="102"/>
  <c r="H46" i="102"/>
  <c r="G46" i="102"/>
  <c r="K46" i="102" s="1"/>
  <c r="U45" i="102"/>
  <c r="Q45" i="102"/>
  <c r="O45" i="102"/>
  <c r="P45" i="102" s="1"/>
  <c r="N45" i="102"/>
  <c r="L45" i="102"/>
  <c r="K45" i="102"/>
  <c r="I45" i="102"/>
  <c r="H45" i="102"/>
  <c r="G45" i="102"/>
  <c r="AR44" i="102"/>
  <c r="AJ44" i="102"/>
  <c r="AI44" i="102"/>
  <c r="AF44" i="102"/>
  <c r="AG44" i="102" s="1"/>
  <c r="AQ44" i="102" s="1"/>
  <c r="Z44" i="102"/>
  <c r="T44" i="102"/>
  <c r="R44" i="102"/>
  <c r="Q44" i="102"/>
  <c r="U44" i="102" s="1"/>
  <c r="O44" i="102"/>
  <c r="P44" i="102" s="1"/>
  <c r="N44" i="102"/>
  <c r="L44" i="102"/>
  <c r="H44" i="102"/>
  <c r="I44" i="102" s="1"/>
  <c r="G44" i="102"/>
  <c r="K44" i="102" s="1"/>
  <c r="AR43" i="102"/>
  <c r="AJ43" i="102"/>
  <c r="AI43" i="102"/>
  <c r="AF43" i="102"/>
  <c r="AG43" i="102" s="1"/>
  <c r="AQ43" i="102" s="1"/>
  <c r="U43" i="102"/>
  <c r="Q43" i="102"/>
  <c r="O43" i="102"/>
  <c r="P43" i="102" s="1"/>
  <c r="N43" i="102"/>
  <c r="L43" i="102"/>
  <c r="K43" i="102"/>
  <c r="I43" i="102"/>
  <c r="H43" i="102"/>
  <c r="G43" i="102"/>
  <c r="AR42" i="102"/>
  <c r="AJ42" i="102"/>
  <c r="AI42" i="102"/>
  <c r="AF42" i="102"/>
  <c r="AG42" i="102" s="1"/>
  <c r="AQ42" i="102" s="1"/>
  <c r="Q42" i="102"/>
  <c r="U42" i="102" s="1"/>
  <c r="O42" i="102"/>
  <c r="P42" i="102" s="1"/>
  <c r="N42" i="102"/>
  <c r="L42" i="102"/>
  <c r="I42" i="102"/>
  <c r="H42" i="102"/>
  <c r="G42" i="102"/>
  <c r="K42" i="102" s="1"/>
  <c r="AR41" i="102"/>
  <c r="AJ41" i="102"/>
  <c r="AI41" i="102"/>
  <c r="AF41" i="102"/>
  <c r="AG41" i="102" s="1"/>
  <c r="AQ41" i="102" s="1"/>
  <c r="U41" i="102"/>
  <c r="Q41" i="102"/>
  <c r="O41" i="102"/>
  <c r="P41" i="102" s="1"/>
  <c r="N41" i="102"/>
  <c r="L41" i="102"/>
  <c r="K41" i="102"/>
  <c r="I41" i="102"/>
  <c r="H41" i="102"/>
  <c r="G41" i="102"/>
  <c r="AR40" i="102"/>
  <c r="AJ40" i="102"/>
  <c r="AI40" i="102"/>
  <c r="AF40" i="102"/>
  <c r="AG40" i="102" s="1"/>
  <c r="AQ40" i="102" s="1"/>
  <c r="T40" i="102"/>
  <c r="R40" i="102"/>
  <c r="Z40" i="102" s="1"/>
  <c r="Q40" i="102"/>
  <c r="U40" i="102" s="1"/>
  <c r="O40" i="102"/>
  <c r="P40" i="102" s="1"/>
  <c r="N40" i="102"/>
  <c r="L40" i="102"/>
  <c r="I40" i="102"/>
  <c r="H40" i="102"/>
  <c r="G40" i="102"/>
  <c r="K40" i="102" s="1"/>
  <c r="AR39" i="102"/>
  <c r="AJ39" i="102"/>
  <c r="AI39" i="102"/>
  <c r="AF39" i="102"/>
  <c r="AG39" i="102" s="1"/>
  <c r="AQ39" i="102" s="1"/>
  <c r="U39" i="102"/>
  <c r="Q39" i="102"/>
  <c r="O39" i="102"/>
  <c r="P39" i="102" s="1"/>
  <c r="N39" i="102"/>
  <c r="L39" i="102"/>
  <c r="K39" i="102"/>
  <c r="H39" i="102"/>
  <c r="I39" i="102" s="1"/>
  <c r="G39" i="102"/>
  <c r="AR38" i="102"/>
  <c r="AJ38" i="102"/>
  <c r="AI38" i="102"/>
  <c r="AF38" i="102"/>
  <c r="AG38" i="102" s="1"/>
  <c r="AQ38" i="102" s="1"/>
  <c r="U38" i="102"/>
  <c r="T38" i="102"/>
  <c r="Q38" i="102"/>
  <c r="O38" i="102"/>
  <c r="P38" i="102" s="1"/>
  <c r="N38" i="102"/>
  <c r="L38" i="102"/>
  <c r="K38" i="102"/>
  <c r="R38" i="102" s="1"/>
  <c r="S38" i="102" s="1"/>
  <c r="V38" i="102" s="1"/>
  <c r="H38" i="102"/>
  <c r="I38" i="102" s="1"/>
  <c r="G38" i="102"/>
  <c r="AR37" i="102"/>
  <c r="AJ37" i="102"/>
  <c r="AI37" i="102"/>
  <c r="AF37" i="102"/>
  <c r="AG37" i="102" s="1"/>
  <c r="AQ37" i="102" s="1"/>
  <c r="U37" i="102"/>
  <c r="S37" i="102"/>
  <c r="R37" i="102"/>
  <c r="Q37" i="102"/>
  <c r="O37" i="102"/>
  <c r="P37" i="102" s="1"/>
  <c r="N37" i="102"/>
  <c r="L37" i="102"/>
  <c r="K37" i="102"/>
  <c r="H37" i="102"/>
  <c r="I37" i="102" s="1"/>
  <c r="G37" i="102"/>
  <c r="AR36" i="102"/>
  <c r="AJ36" i="102"/>
  <c r="AI36" i="102"/>
  <c r="AF36" i="102"/>
  <c r="AG36" i="102" s="1"/>
  <c r="AQ36" i="102" s="1"/>
  <c r="U36" i="102"/>
  <c r="S36" i="102"/>
  <c r="R36" i="102"/>
  <c r="Q36" i="102"/>
  <c r="O36" i="102"/>
  <c r="P36" i="102" s="1"/>
  <c r="N36" i="102"/>
  <c r="L36" i="102"/>
  <c r="K36" i="102"/>
  <c r="H36" i="102"/>
  <c r="I36" i="102" s="1"/>
  <c r="G36" i="102"/>
  <c r="AR35" i="102"/>
  <c r="AJ35" i="102"/>
  <c r="AI35" i="102"/>
  <c r="AF35" i="102"/>
  <c r="AG35" i="102" s="1"/>
  <c r="AQ35" i="102" s="1"/>
  <c r="U35" i="102"/>
  <c r="S35" i="102"/>
  <c r="R35" i="102"/>
  <c r="Q35" i="102"/>
  <c r="O35" i="102"/>
  <c r="P35" i="102" s="1"/>
  <c r="N35" i="102"/>
  <c r="L35" i="102"/>
  <c r="K35" i="102"/>
  <c r="H35" i="102"/>
  <c r="I35" i="102" s="1"/>
  <c r="G35" i="102"/>
  <c r="AR34" i="102"/>
  <c r="AJ34" i="102"/>
  <c r="AI34" i="102"/>
  <c r="AF34" i="102"/>
  <c r="AG34" i="102" s="1"/>
  <c r="AQ34" i="102" s="1"/>
  <c r="U34" i="102"/>
  <c r="Q34" i="102"/>
  <c r="O34" i="102"/>
  <c r="P34" i="102" s="1"/>
  <c r="N34" i="102"/>
  <c r="L34" i="102"/>
  <c r="H34" i="102"/>
  <c r="I34" i="102" s="1"/>
  <c r="G34" i="102"/>
  <c r="K34" i="102" s="1"/>
  <c r="R34" i="102" s="1"/>
  <c r="AR33" i="102"/>
  <c r="AJ33" i="102"/>
  <c r="AI33" i="102"/>
  <c r="AF33" i="102"/>
  <c r="AG33" i="102" s="1"/>
  <c r="AQ33" i="102" s="1"/>
  <c r="U33" i="102"/>
  <c r="Q33" i="102"/>
  <c r="O33" i="102"/>
  <c r="P33" i="102" s="1"/>
  <c r="N33" i="102"/>
  <c r="L33" i="102"/>
  <c r="I33" i="102"/>
  <c r="H33" i="102"/>
  <c r="G33" i="102"/>
  <c r="K33" i="102" s="1"/>
  <c r="R33" i="102" s="1"/>
  <c r="AR32" i="102"/>
  <c r="AJ32" i="102"/>
  <c r="AI32" i="102"/>
  <c r="AF32" i="102"/>
  <c r="AG32" i="102" s="1"/>
  <c r="AQ32" i="102" s="1"/>
  <c r="U32" i="102"/>
  <c r="Q32" i="102"/>
  <c r="O32" i="102"/>
  <c r="P32" i="102" s="1"/>
  <c r="N32" i="102"/>
  <c r="L32" i="102"/>
  <c r="K32" i="102"/>
  <c r="I32" i="102"/>
  <c r="H32" i="102"/>
  <c r="G32" i="102"/>
  <c r="AR31" i="102"/>
  <c r="AJ31" i="102"/>
  <c r="AI31" i="102"/>
  <c r="AG31" i="102"/>
  <c r="AQ31" i="102" s="1"/>
  <c r="AF31" i="102"/>
  <c r="Q31" i="102"/>
  <c r="O31" i="102"/>
  <c r="P31" i="102" s="1"/>
  <c r="N31" i="102"/>
  <c r="L31" i="102"/>
  <c r="I31" i="102"/>
  <c r="H31" i="102"/>
  <c r="G31" i="102"/>
  <c r="K31" i="102" s="1"/>
  <c r="AR30" i="102"/>
  <c r="AJ30" i="102"/>
  <c r="AI30" i="102"/>
  <c r="AG30" i="102"/>
  <c r="AQ30" i="102" s="1"/>
  <c r="AF30" i="102"/>
  <c r="Z30" i="102"/>
  <c r="T30" i="102"/>
  <c r="R30" i="102"/>
  <c r="Q30" i="102"/>
  <c r="U30" i="102" s="1"/>
  <c r="O30" i="102"/>
  <c r="P30" i="102" s="1"/>
  <c r="N30" i="102"/>
  <c r="L30" i="102"/>
  <c r="H30" i="102"/>
  <c r="I30" i="102" s="1"/>
  <c r="G30" i="102"/>
  <c r="K30" i="102" s="1"/>
  <c r="AR29" i="102"/>
  <c r="AJ29" i="102"/>
  <c r="AI29" i="102"/>
  <c r="AF29" i="102"/>
  <c r="AG29" i="102" s="1"/>
  <c r="AQ29" i="102" s="1"/>
  <c r="U29" i="102"/>
  <c r="Q29" i="102"/>
  <c r="O29" i="102"/>
  <c r="P29" i="102" s="1"/>
  <c r="N29" i="102"/>
  <c r="L29" i="102"/>
  <c r="I29" i="102"/>
  <c r="H29" i="102"/>
  <c r="G29" i="102"/>
  <c r="K29" i="102" s="1"/>
  <c r="R29" i="102" s="1"/>
  <c r="AR28" i="102"/>
  <c r="AJ28" i="102"/>
  <c r="AI28" i="102"/>
  <c r="AF28" i="102"/>
  <c r="AG28" i="102" s="1"/>
  <c r="AQ28" i="102" s="1"/>
  <c r="U28" i="102"/>
  <c r="Q28" i="102"/>
  <c r="O28" i="102"/>
  <c r="P28" i="102" s="1"/>
  <c r="N28" i="102"/>
  <c r="R28" i="102" s="1"/>
  <c r="Z28" i="102" s="1"/>
  <c r="L28" i="102"/>
  <c r="K28" i="102"/>
  <c r="H28" i="102"/>
  <c r="I28" i="102" s="1"/>
  <c r="G28" i="102"/>
  <c r="AR27" i="102"/>
  <c r="AJ27" i="102"/>
  <c r="AI27" i="102"/>
  <c r="AG27" i="102"/>
  <c r="AQ27" i="102" s="1"/>
  <c r="AF27" i="102"/>
  <c r="U27" i="102"/>
  <c r="T27" i="102"/>
  <c r="S27" i="102"/>
  <c r="Q27" i="102"/>
  <c r="R27" i="102" s="1"/>
  <c r="Z27" i="102" s="1"/>
  <c r="O27" i="102"/>
  <c r="P27" i="102" s="1"/>
  <c r="Y27" i="102" s="1"/>
  <c r="N27" i="102"/>
  <c r="L27" i="102"/>
  <c r="K27" i="102"/>
  <c r="I27" i="102"/>
  <c r="H27" i="102"/>
  <c r="G27" i="102"/>
  <c r="AR26" i="102"/>
  <c r="AJ26" i="102"/>
  <c r="AI26" i="102"/>
  <c r="AG26" i="102"/>
  <c r="AQ26" i="102" s="1"/>
  <c r="AF26" i="102"/>
  <c r="U26" i="102"/>
  <c r="Q26" i="102"/>
  <c r="O26" i="102"/>
  <c r="P26" i="102" s="1"/>
  <c r="N26" i="102"/>
  <c r="R26" i="102" s="1"/>
  <c r="Z26" i="102" s="1"/>
  <c r="L26" i="102"/>
  <c r="K26" i="102"/>
  <c r="H26" i="102"/>
  <c r="I26" i="102" s="1"/>
  <c r="G26" i="102"/>
  <c r="AR25" i="102"/>
  <c r="AJ25" i="102"/>
  <c r="AI25" i="102"/>
  <c r="AF25" i="102"/>
  <c r="AG25" i="102" s="1"/>
  <c r="AQ25" i="102" s="1"/>
  <c r="U25" i="102"/>
  <c r="T25" i="102"/>
  <c r="Q25" i="102"/>
  <c r="R25" i="102" s="1"/>
  <c r="Z25" i="102" s="1"/>
  <c r="O25" i="102"/>
  <c r="P25" i="102" s="1"/>
  <c r="N25" i="102"/>
  <c r="L25" i="102"/>
  <c r="K25" i="102"/>
  <c r="I25" i="102"/>
  <c r="H25" i="102"/>
  <c r="G25" i="102"/>
  <c r="AR24" i="102"/>
  <c r="AJ24" i="102"/>
  <c r="AI24" i="102"/>
  <c r="AG24" i="102"/>
  <c r="AQ24" i="102" s="1"/>
  <c r="AF24" i="102"/>
  <c r="U24" i="102"/>
  <c r="Q24" i="102"/>
  <c r="O24" i="102"/>
  <c r="P24" i="102" s="1"/>
  <c r="N24" i="102"/>
  <c r="R24" i="102" s="1"/>
  <c r="Z24" i="102" s="1"/>
  <c r="L24" i="102"/>
  <c r="K24" i="102"/>
  <c r="H24" i="102"/>
  <c r="I24" i="102" s="1"/>
  <c r="G24" i="102"/>
  <c r="AR23" i="102"/>
  <c r="AJ23" i="102"/>
  <c r="AI23" i="102"/>
  <c r="AF23" i="102"/>
  <c r="AG23" i="102" s="1"/>
  <c r="AQ23" i="102" s="1"/>
  <c r="U23" i="102"/>
  <c r="T23" i="102"/>
  <c r="Q23" i="102"/>
  <c r="R23" i="102" s="1"/>
  <c r="Z23" i="102" s="1"/>
  <c r="O23" i="102"/>
  <c r="P23" i="102" s="1"/>
  <c r="N23" i="102"/>
  <c r="L23" i="102"/>
  <c r="K23" i="102"/>
  <c r="I23" i="102"/>
  <c r="H23" i="102"/>
  <c r="G23" i="102"/>
  <c r="AR22" i="102"/>
  <c r="AJ22" i="102"/>
  <c r="AI22" i="102"/>
  <c r="AG22" i="102"/>
  <c r="AQ22" i="102" s="1"/>
  <c r="AF22" i="102"/>
  <c r="U22" i="102"/>
  <c r="Q22" i="102"/>
  <c r="O22" i="102"/>
  <c r="P22" i="102" s="1"/>
  <c r="N22" i="102"/>
  <c r="R22" i="102" s="1"/>
  <c r="Z22" i="102" s="1"/>
  <c r="L22" i="102"/>
  <c r="K22" i="102"/>
  <c r="H22" i="102"/>
  <c r="I22" i="102" s="1"/>
  <c r="G22" i="102"/>
  <c r="AR21" i="102"/>
  <c r="AJ21" i="102"/>
  <c r="AI21" i="102"/>
  <c r="AF21" i="102"/>
  <c r="AG21" i="102" s="1"/>
  <c r="AQ21" i="102" s="1"/>
  <c r="U21" i="102"/>
  <c r="T21" i="102"/>
  <c r="Q21" i="102"/>
  <c r="R21" i="102" s="1"/>
  <c r="Z21" i="102" s="1"/>
  <c r="O21" i="102"/>
  <c r="P21" i="102" s="1"/>
  <c r="N21" i="102"/>
  <c r="L21" i="102"/>
  <c r="K21" i="102"/>
  <c r="I21" i="102"/>
  <c r="H21" i="102"/>
  <c r="G21" i="102"/>
  <c r="AR20" i="102"/>
  <c r="AJ20" i="102"/>
  <c r="AI20" i="102"/>
  <c r="AG20" i="102"/>
  <c r="AQ20" i="102" s="1"/>
  <c r="AF20" i="102"/>
  <c r="U20" i="102"/>
  <c r="Q20" i="102"/>
  <c r="O20" i="102"/>
  <c r="P20" i="102" s="1"/>
  <c r="N20" i="102"/>
  <c r="R20" i="102" s="1"/>
  <c r="Z20" i="102" s="1"/>
  <c r="L20" i="102"/>
  <c r="K20" i="102"/>
  <c r="H20" i="102"/>
  <c r="I20" i="102" s="1"/>
  <c r="G20" i="102"/>
  <c r="AR19" i="102"/>
  <c r="AJ19" i="102"/>
  <c r="AI19" i="102"/>
  <c r="AF19" i="102"/>
  <c r="AG19" i="102" s="1"/>
  <c r="AQ19" i="102" s="1"/>
  <c r="U19" i="102"/>
  <c r="T19" i="102"/>
  <c r="Q19" i="102"/>
  <c r="R19" i="102" s="1"/>
  <c r="Z19" i="102" s="1"/>
  <c r="O19" i="102"/>
  <c r="P19" i="102" s="1"/>
  <c r="N19" i="102"/>
  <c r="L19" i="102"/>
  <c r="K19" i="102"/>
  <c r="I19" i="102"/>
  <c r="H19" i="102"/>
  <c r="G19" i="102"/>
  <c r="AR18" i="102"/>
  <c r="AJ18" i="102"/>
  <c r="AI18" i="102"/>
  <c r="AG18" i="102"/>
  <c r="AQ18" i="102" s="1"/>
  <c r="AF18" i="102"/>
  <c r="U18" i="102"/>
  <c r="Q18" i="102"/>
  <c r="O18" i="102"/>
  <c r="P18" i="102" s="1"/>
  <c r="N18" i="102"/>
  <c r="R18" i="102" s="1"/>
  <c r="Z18" i="102" s="1"/>
  <c r="L18" i="102"/>
  <c r="K18" i="102"/>
  <c r="H18" i="102"/>
  <c r="I18" i="102" s="1"/>
  <c r="G18" i="102"/>
  <c r="AR17" i="102"/>
  <c r="AJ17" i="102"/>
  <c r="AI17" i="102"/>
  <c r="AF17" i="102"/>
  <c r="AG17" i="102" s="1"/>
  <c r="AQ17" i="102" s="1"/>
  <c r="U17" i="102"/>
  <c r="T17" i="102"/>
  <c r="Q17" i="102"/>
  <c r="R17" i="102" s="1"/>
  <c r="Z17" i="102" s="1"/>
  <c r="O17" i="102"/>
  <c r="P17" i="102" s="1"/>
  <c r="N17" i="102"/>
  <c r="L17" i="102"/>
  <c r="K17" i="102"/>
  <c r="I17" i="102"/>
  <c r="H17" i="102"/>
  <c r="G17" i="102"/>
  <c r="AR16" i="102"/>
  <c r="AJ16" i="102"/>
  <c r="AI16" i="102"/>
  <c r="AG16" i="102"/>
  <c r="AQ16" i="102" s="1"/>
  <c r="AF16" i="102"/>
  <c r="U16" i="102"/>
  <c r="Q16" i="102"/>
  <c r="O16" i="102"/>
  <c r="P16" i="102" s="1"/>
  <c r="N16" i="102"/>
  <c r="R16" i="102" s="1"/>
  <c r="Z16" i="102" s="1"/>
  <c r="L16" i="102"/>
  <c r="K16" i="102"/>
  <c r="H16" i="102"/>
  <c r="I16" i="102" s="1"/>
  <c r="G16" i="102"/>
  <c r="AR15" i="102"/>
  <c r="AJ15" i="102"/>
  <c r="AI15" i="102"/>
  <c r="AF15" i="102"/>
  <c r="AG15" i="102" s="1"/>
  <c r="AQ15" i="102" s="1"/>
  <c r="U15" i="102"/>
  <c r="T15" i="102"/>
  <c r="Q15" i="102"/>
  <c r="R15" i="102" s="1"/>
  <c r="Z15" i="102" s="1"/>
  <c r="O15" i="102"/>
  <c r="P15" i="102" s="1"/>
  <c r="N15" i="102"/>
  <c r="L15" i="102"/>
  <c r="K15" i="102"/>
  <c r="I15" i="102"/>
  <c r="H15" i="102"/>
  <c r="G15" i="102"/>
  <c r="AR14" i="102"/>
  <c r="AJ14" i="102"/>
  <c r="AI14" i="102"/>
  <c r="AG14" i="102"/>
  <c r="AQ14" i="102" s="1"/>
  <c r="AF14" i="102"/>
  <c r="U14" i="102"/>
  <c r="Q14" i="102"/>
  <c r="O14" i="102"/>
  <c r="P14" i="102" s="1"/>
  <c r="N14" i="102"/>
  <c r="R14" i="102" s="1"/>
  <c r="Z14" i="102" s="1"/>
  <c r="L14" i="102"/>
  <c r="K14" i="102"/>
  <c r="H14" i="102"/>
  <c r="I14" i="102" s="1"/>
  <c r="G14" i="102"/>
  <c r="AR13" i="102"/>
  <c r="AJ13" i="102"/>
  <c r="AI13" i="102"/>
  <c r="AF13" i="102"/>
  <c r="AG13" i="102" s="1"/>
  <c r="AQ13" i="102" s="1"/>
  <c r="U13" i="102"/>
  <c r="Q13" i="102"/>
  <c r="O13" i="102"/>
  <c r="P13" i="102" s="1"/>
  <c r="N13" i="102"/>
  <c r="L13" i="102"/>
  <c r="K13" i="102"/>
  <c r="I13" i="102"/>
  <c r="H13" i="102"/>
  <c r="G13" i="102"/>
  <c r="AR12" i="102"/>
  <c r="AJ12" i="102"/>
  <c r="AI12" i="102"/>
  <c r="AG12" i="102"/>
  <c r="AQ12" i="102" s="1"/>
  <c r="AF12" i="102"/>
  <c r="U12" i="102"/>
  <c r="Q12" i="102"/>
  <c r="O12" i="102"/>
  <c r="P12" i="102" s="1"/>
  <c r="N12" i="102"/>
  <c r="R12" i="102" s="1"/>
  <c r="Z12" i="102" s="1"/>
  <c r="L12" i="102"/>
  <c r="K12" i="102"/>
  <c r="H12" i="102"/>
  <c r="I12" i="102" s="1"/>
  <c r="G12" i="102"/>
  <c r="AR11" i="102"/>
  <c r="AJ11" i="102"/>
  <c r="AI11" i="102"/>
  <c r="AF11" i="102"/>
  <c r="AG11" i="102" s="1"/>
  <c r="AQ11" i="102" s="1"/>
  <c r="U11" i="102"/>
  <c r="T11" i="102"/>
  <c r="Q11" i="102"/>
  <c r="R11" i="102" s="1"/>
  <c r="Z11" i="102" s="1"/>
  <c r="O11" i="102"/>
  <c r="P11" i="102" s="1"/>
  <c r="N11" i="102"/>
  <c r="L11" i="102"/>
  <c r="K11" i="102"/>
  <c r="I11" i="102"/>
  <c r="H11" i="102"/>
  <c r="G11" i="102"/>
  <c r="AR10" i="102"/>
  <c r="AL10" i="102"/>
  <c r="AL11" i="102" s="1"/>
  <c r="AM11" i="102" s="1"/>
  <c r="AN11" i="102" s="1"/>
  <c r="AO11" i="102" s="1"/>
  <c r="AJ10" i="102"/>
  <c r="AI10" i="102"/>
  <c r="AF10" i="102"/>
  <c r="AG10" i="102" s="1"/>
  <c r="AQ10" i="102" s="1"/>
  <c r="U10" i="102"/>
  <c r="Q10" i="102"/>
  <c r="O10" i="102"/>
  <c r="P10" i="102" s="1"/>
  <c r="N10" i="102"/>
  <c r="R10" i="102" s="1"/>
  <c r="Z10" i="102" s="1"/>
  <c r="L10" i="102"/>
  <c r="K10" i="102"/>
  <c r="H10" i="102"/>
  <c r="I10" i="102" s="1"/>
  <c r="G10" i="102"/>
  <c r="AR9" i="102"/>
  <c r="AP9" i="102"/>
  <c r="AP10" i="102" s="1"/>
  <c r="AP11" i="102" s="1"/>
  <c r="AP12" i="102" s="1"/>
  <c r="AP13" i="102" s="1"/>
  <c r="AP14" i="102" s="1"/>
  <c r="AP15" i="102" s="1"/>
  <c r="AP16" i="102" s="1"/>
  <c r="AP17" i="102" s="1"/>
  <c r="AP18" i="102" s="1"/>
  <c r="AP19" i="102" s="1"/>
  <c r="AP20" i="102" s="1"/>
  <c r="AP21" i="102" s="1"/>
  <c r="AP22" i="102" s="1"/>
  <c r="AP23" i="102" s="1"/>
  <c r="AP24" i="102" s="1"/>
  <c r="AP25" i="102" s="1"/>
  <c r="AP26" i="102" s="1"/>
  <c r="AP27" i="102" s="1"/>
  <c r="AP28" i="102" s="1"/>
  <c r="AP29" i="102" s="1"/>
  <c r="AP30" i="102" s="1"/>
  <c r="AP31" i="102" s="1"/>
  <c r="AP32" i="102" s="1"/>
  <c r="AP33" i="102" s="1"/>
  <c r="AP34" i="102" s="1"/>
  <c r="AP35" i="102" s="1"/>
  <c r="AP36" i="102" s="1"/>
  <c r="AP37" i="102" s="1"/>
  <c r="AP38" i="102" s="1"/>
  <c r="AP39" i="102" s="1"/>
  <c r="AP40" i="102" s="1"/>
  <c r="AP41" i="102" s="1"/>
  <c r="AP42" i="102" s="1"/>
  <c r="AP43" i="102" s="1"/>
  <c r="AP44" i="102" s="1"/>
  <c r="AJ9" i="102"/>
  <c r="AI9" i="102"/>
  <c r="AH9" i="102"/>
  <c r="AH10" i="102" s="1"/>
  <c r="AH11" i="102" s="1"/>
  <c r="AH12" i="102" s="1"/>
  <c r="AH13" i="102" s="1"/>
  <c r="AH14" i="102" s="1"/>
  <c r="AH15" i="102" s="1"/>
  <c r="AH16" i="102" s="1"/>
  <c r="AH17" i="102" s="1"/>
  <c r="AH18" i="102" s="1"/>
  <c r="AH19" i="102" s="1"/>
  <c r="AH20" i="102" s="1"/>
  <c r="AH21" i="102" s="1"/>
  <c r="AH22" i="102" s="1"/>
  <c r="AH23" i="102" s="1"/>
  <c r="AH24" i="102" s="1"/>
  <c r="AH25" i="102" s="1"/>
  <c r="AH26" i="102" s="1"/>
  <c r="AH27" i="102" s="1"/>
  <c r="AH28" i="102" s="1"/>
  <c r="AH29" i="102" s="1"/>
  <c r="AH30" i="102" s="1"/>
  <c r="AH31" i="102" s="1"/>
  <c r="AH32" i="102" s="1"/>
  <c r="AH33" i="102" s="1"/>
  <c r="AH34" i="102" s="1"/>
  <c r="AH35" i="102" s="1"/>
  <c r="AH36" i="102" s="1"/>
  <c r="AH37" i="102" s="1"/>
  <c r="AH38" i="102" s="1"/>
  <c r="AH39" i="102" s="1"/>
  <c r="AH40" i="102" s="1"/>
  <c r="AH41" i="102" s="1"/>
  <c r="AH42" i="102" s="1"/>
  <c r="AH43" i="102" s="1"/>
  <c r="AH44" i="102" s="1"/>
  <c r="AG9" i="102"/>
  <c r="AQ9" i="102" s="1"/>
  <c r="AF9" i="102"/>
  <c r="U9" i="102"/>
  <c r="T9" i="102"/>
  <c r="Q9" i="102"/>
  <c r="R9" i="102" s="1"/>
  <c r="Z9" i="102" s="1"/>
  <c r="O9" i="102"/>
  <c r="P9" i="102" s="1"/>
  <c r="N9" i="102"/>
  <c r="L9" i="102"/>
  <c r="K9" i="102"/>
  <c r="I9" i="102"/>
  <c r="H9" i="102"/>
  <c r="G9" i="102"/>
  <c r="AS8" i="102"/>
  <c r="AS9" i="102" s="1"/>
  <c r="AS10" i="102" s="1"/>
  <c r="AS11" i="102" s="1"/>
  <c r="AS12" i="102" s="1"/>
  <c r="AS13" i="102" s="1"/>
  <c r="AS14" i="102" s="1"/>
  <c r="AS15" i="102" s="1"/>
  <c r="AS16" i="102" s="1"/>
  <c r="AS17" i="102" s="1"/>
  <c r="AS18" i="102" s="1"/>
  <c r="AS19" i="102" s="1"/>
  <c r="AS20" i="102" s="1"/>
  <c r="AS21" i="102" s="1"/>
  <c r="AS22" i="102" s="1"/>
  <c r="AS23" i="102" s="1"/>
  <c r="AS24" i="102" s="1"/>
  <c r="AS25" i="102" s="1"/>
  <c r="AS26" i="102" s="1"/>
  <c r="AS27" i="102" s="1"/>
  <c r="AS28" i="102" s="1"/>
  <c r="AS29" i="102" s="1"/>
  <c r="AS30" i="102" s="1"/>
  <c r="AS31" i="102" s="1"/>
  <c r="AS32" i="102" s="1"/>
  <c r="AS33" i="102" s="1"/>
  <c r="AS34" i="102" s="1"/>
  <c r="AS35" i="102" s="1"/>
  <c r="AS36" i="102" s="1"/>
  <c r="AS37" i="102" s="1"/>
  <c r="AS38" i="102" s="1"/>
  <c r="AS39" i="102" s="1"/>
  <c r="AS40" i="102" s="1"/>
  <c r="AS41" i="102" s="1"/>
  <c r="AS42" i="102" s="1"/>
  <c r="AS43" i="102" s="1"/>
  <c r="AS44" i="102" s="1"/>
  <c r="AR8" i="102"/>
  <c r="AP8" i="102"/>
  <c r="AL8" i="102"/>
  <c r="AL9" i="102" s="1"/>
  <c r="AM9" i="102" s="1"/>
  <c r="AN9" i="102" s="1"/>
  <c r="AO9" i="102" s="1"/>
  <c r="AK8" i="102"/>
  <c r="AK9" i="102" s="1"/>
  <c r="AK10" i="102" s="1"/>
  <c r="AK11" i="102" s="1"/>
  <c r="AK12" i="102" s="1"/>
  <c r="AK13" i="102" s="1"/>
  <c r="AK14" i="102" s="1"/>
  <c r="AK15" i="102" s="1"/>
  <c r="AK16" i="102" s="1"/>
  <c r="AK17" i="102" s="1"/>
  <c r="AK18" i="102" s="1"/>
  <c r="AK19" i="102" s="1"/>
  <c r="AK20" i="102" s="1"/>
  <c r="AK21" i="102" s="1"/>
  <c r="AK22" i="102" s="1"/>
  <c r="AK23" i="102" s="1"/>
  <c r="AK24" i="102" s="1"/>
  <c r="AK25" i="102" s="1"/>
  <c r="AK26" i="102" s="1"/>
  <c r="AK27" i="102" s="1"/>
  <c r="AK28" i="102" s="1"/>
  <c r="AK29" i="102" s="1"/>
  <c r="AK30" i="102" s="1"/>
  <c r="AK31" i="102" s="1"/>
  <c r="AK32" i="102" s="1"/>
  <c r="AK33" i="102" s="1"/>
  <c r="AK34" i="102" s="1"/>
  <c r="AK35" i="102" s="1"/>
  <c r="AK36" i="102" s="1"/>
  <c r="AK37" i="102" s="1"/>
  <c r="AK38" i="102" s="1"/>
  <c r="AK39" i="102" s="1"/>
  <c r="AK40" i="102" s="1"/>
  <c r="AK41" i="102" s="1"/>
  <c r="AK42" i="102" s="1"/>
  <c r="AK43" i="102" s="1"/>
  <c r="AK44" i="102" s="1"/>
  <c r="AJ8" i="102"/>
  <c r="AI8" i="102"/>
  <c r="AH8" i="102"/>
  <c r="AF8" i="102"/>
  <c r="AG8" i="102" s="1"/>
  <c r="AQ8" i="102" s="1"/>
  <c r="Q8" i="102"/>
  <c r="O8" i="102"/>
  <c r="P8" i="102" s="1"/>
  <c r="N8" i="102"/>
  <c r="R8" i="102" s="1"/>
  <c r="L8" i="102"/>
  <c r="H8" i="102"/>
  <c r="I8" i="102" s="1"/>
  <c r="G8" i="102"/>
  <c r="K8" i="102" s="1"/>
  <c r="AR7" i="102"/>
  <c r="AM7" i="102"/>
  <c r="AJ7" i="102"/>
  <c r="AI7" i="102"/>
  <c r="AF7" i="102"/>
  <c r="AG7" i="102" s="1"/>
  <c r="AQ7" i="102" s="1"/>
  <c r="U7" i="102"/>
  <c r="Q7" i="102"/>
  <c r="P7" i="102"/>
  <c r="P79" i="102" s="1"/>
  <c r="AY2" i="102" s="1"/>
  <c r="H13" i="45" s="1"/>
  <c r="K13" i="45" s="1"/>
  <c r="BB13" i="45" s="1"/>
  <c r="O7" i="102"/>
  <c r="N7" i="102"/>
  <c r="L7" i="102"/>
  <c r="H7" i="102"/>
  <c r="I7" i="102" s="1"/>
  <c r="G7" i="102"/>
  <c r="K7" i="102" s="1"/>
  <c r="R7" i="102" s="1"/>
  <c r="E79" i="99"/>
  <c r="Q78" i="99"/>
  <c r="P78" i="99"/>
  <c r="O78" i="99"/>
  <c r="N78" i="99"/>
  <c r="R78" i="99" s="1"/>
  <c r="L78" i="99"/>
  <c r="H78" i="99"/>
  <c r="I78" i="99" s="1"/>
  <c r="G78" i="99"/>
  <c r="K78" i="99" s="1"/>
  <c r="Q77" i="99"/>
  <c r="U77" i="99" s="1"/>
  <c r="P77" i="99"/>
  <c r="O77" i="99"/>
  <c r="N77" i="99"/>
  <c r="L77" i="99"/>
  <c r="H77" i="99"/>
  <c r="I77" i="99" s="1"/>
  <c r="G77" i="99"/>
  <c r="K77" i="99" s="1"/>
  <c r="Q76" i="99"/>
  <c r="U76" i="99" s="1"/>
  <c r="P76" i="99"/>
  <c r="O76" i="99"/>
  <c r="N76" i="99"/>
  <c r="L76" i="99"/>
  <c r="K76" i="99"/>
  <c r="H76" i="99"/>
  <c r="I76" i="99" s="1"/>
  <c r="G76" i="99"/>
  <c r="U75" i="99"/>
  <c r="Q75" i="99"/>
  <c r="P75" i="99"/>
  <c r="O75" i="99"/>
  <c r="N75" i="99"/>
  <c r="R75" i="99" s="1"/>
  <c r="X75" i="99" s="1"/>
  <c r="L75" i="99"/>
  <c r="K75" i="99"/>
  <c r="H75" i="99"/>
  <c r="I75" i="99" s="1"/>
  <c r="G75" i="99"/>
  <c r="Q74" i="99"/>
  <c r="P74" i="99"/>
  <c r="O74" i="99"/>
  <c r="N74" i="99"/>
  <c r="L74" i="99"/>
  <c r="H74" i="99"/>
  <c r="I74" i="99" s="1"/>
  <c r="G74" i="99"/>
  <c r="K74" i="99" s="1"/>
  <c r="R74" i="99" s="1"/>
  <c r="Q73" i="99"/>
  <c r="U73" i="99" s="1"/>
  <c r="P73" i="99"/>
  <c r="O73" i="99"/>
  <c r="N73" i="99"/>
  <c r="L73" i="99"/>
  <c r="K73" i="99"/>
  <c r="R73" i="99" s="1"/>
  <c r="H73" i="99"/>
  <c r="I73" i="99" s="1"/>
  <c r="G73" i="99"/>
  <c r="Q72" i="99"/>
  <c r="U72" i="99" s="1"/>
  <c r="P72" i="99"/>
  <c r="O72" i="99"/>
  <c r="N72" i="99"/>
  <c r="L72" i="99"/>
  <c r="K72" i="99"/>
  <c r="R72" i="99" s="1"/>
  <c r="H72" i="99"/>
  <c r="I72" i="99" s="1"/>
  <c r="G72" i="99"/>
  <c r="U71" i="99"/>
  <c r="Q71" i="99"/>
  <c r="P71" i="99"/>
  <c r="O71" i="99"/>
  <c r="N71" i="99"/>
  <c r="L71" i="99"/>
  <c r="K71" i="99"/>
  <c r="I71" i="99"/>
  <c r="H71" i="99"/>
  <c r="G71" i="99"/>
  <c r="Q70" i="99"/>
  <c r="O70" i="99"/>
  <c r="P70" i="99" s="1"/>
  <c r="N70" i="99"/>
  <c r="R70" i="99" s="1"/>
  <c r="L70" i="99"/>
  <c r="H70" i="99"/>
  <c r="I70" i="99" s="1"/>
  <c r="G70" i="99"/>
  <c r="K70" i="99" s="1"/>
  <c r="Q69" i="99"/>
  <c r="U69" i="99" s="1"/>
  <c r="P69" i="99"/>
  <c r="O69" i="99"/>
  <c r="N69" i="99"/>
  <c r="L69" i="99"/>
  <c r="H69" i="99"/>
  <c r="I69" i="99" s="1"/>
  <c r="G69" i="99"/>
  <c r="K69" i="99" s="1"/>
  <c r="Q68" i="99"/>
  <c r="U68" i="99" s="1"/>
  <c r="P68" i="99"/>
  <c r="O68" i="99"/>
  <c r="N68" i="99"/>
  <c r="L68" i="99"/>
  <c r="K68" i="99"/>
  <c r="H68" i="99"/>
  <c r="I68" i="99" s="1"/>
  <c r="G68" i="99"/>
  <c r="U67" i="99"/>
  <c r="Q67" i="99"/>
  <c r="P67" i="99"/>
  <c r="O67" i="99"/>
  <c r="N67" i="99"/>
  <c r="L67" i="99"/>
  <c r="K67" i="99"/>
  <c r="I67" i="99"/>
  <c r="H67" i="99"/>
  <c r="G67" i="99"/>
  <c r="R66" i="99"/>
  <c r="Q66" i="99"/>
  <c r="T66" i="99" s="1"/>
  <c r="P66" i="99"/>
  <c r="O66" i="99"/>
  <c r="N66" i="99"/>
  <c r="L66" i="99"/>
  <c r="H66" i="99"/>
  <c r="I66" i="99" s="1"/>
  <c r="G66" i="99"/>
  <c r="K66" i="99" s="1"/>
  <c r="Q65" i="99"/>
  <c r="U65" i="99" s="1"/>
  <c r="P65" i="99"/>
  <c r="O65" i="99"/>
  <c r="N65" i="99"/>
  <c r="L65" i="99"/>
  <c r="K65" i="99"/>
  <c r="H65" i="99"/>
  <c r="I65" i="99" s="1"/>
  <c r="G65" i="99"/>
  <c r="T64" i="99"/>
  <c r="S64" i="99"/>
  <c r="Q64" i="99"/>
  <c r="U64" i="99" s="1"/>
  <c r="P64" i="99"/>
  <c r="O64" i="99"/>
  <c r="N64" i="99"/>
  <c r="L64" i="99"/>
  <c r="K64" i="99"/>
  <c r="R64" i="99" s="1"/>
  <c r="I64" i="99"/>
  <c r="H64" i="99"/>
  <c r="G64" i="99"/>
  <c r="U63" i="99"/>
  <c r="Q63" i="99"/>
  <c r="P63" i="99"/>
  <c r="O63" i="99"/>
  <c r="N63" i="99"/>
  <c r="L63" i="99"/>
  <c r="K63" i="99"/>
  <c r="I63" i="99"/>
  <c r="H63" i="99"/>
  <c r="G63" i="99"/>
  <c r="Z62" i="99"/>
  <c r="X62" i="99"/>
  <c r="Q62" i="99"/>
  <c r="O62" i="99"/>
  <c r="P62" i="99" s="1"/>
  <c r="Y62" i="99" s="1"/>
  <c r="N62" i="99"/>
  <c r="R62" i="99" s="1"/>
  <c r="S62" i="99" s="1"/>
  <c r="L62" i="99"/>
  <c r="H62" i="99"/>
  <c r="I62" i="99" s="1"/>
  <c r="G62" i="99"/>
  <c r="K62" i="99" s="1"/>
  <c r="Q61" i="99"/>
  <c r="P61" i="99"/>
  <c r="O61" i="99"/>
  <c r="N61" i="99"/>
  <c r="L61" i="99"/>
  <c r="H61" i="99"/>
  <c r="I61" i="99" s="1"/>
  <c r="G61" i="99"/>
  <c r="K61" i="99" s="1"/>
  <c r="Q60" i="99"/>
  <c r="U60" i="99" s="1"/>
  <c r="O60" i="99"/>
  <c r="P60" i="99" s="1"/>
  <c r="N60" i="99"/>
  <c r="L60" i="99"/>
  <c r="K60" i="99"/>
  <c r="I60" i="99"/>
  <c r="H60" i="99"/>
  <c r="G60" i="99"/>
  <c r="U59" i="99"/>
  <c r="Q59" i="99"/>
  <c r="P59" i="99"/>
  <c r="O59" i="99"/>
  <c r="N59" i="99"/>
  <c r="L59" i="99"/>
  <c r="K59" i="99"/>
  <c r="I59" i="99"/>
  <c r="H59" i="99"/>
  <c r="G59" i="99"/>
  <c r="R58" i="99"/>
  <c r="Q58" i="99"/>
  <c r="T58" i="99" s="1"/>
  <c r="O58" i="99"/>
  <c r="P58" i="99" s="1"/>
  <c r="N58" i="99"/>
  <c r="L58" i="99"/>
  <c r="H58" i="99"/>
  <c r="I58" i="99" s="1"/>
  <c r="G58" i="99"/>
  <c r="K58" i="99" s="1"/>
  <c r="Q57" i="99"/>
  <c r="U57" i="99" s="1"/>
  <c r="P57" i="99"/>
  <c r="O57" i="99"/>
  <c r="N57" i="99"/>
  <c r="L57" i="99"/>
  <c r="K57" i="99"/>
  <c r="R57" i="99" s="1"/>
  <c r="H57" i="99"/>
  <c r="I57" i="99" s="1"/>
  <c r="G57" i="99"/>
  <c r="S56" i="99"/>
  <c r="R56" i="99"/>
  <c r="Q56" i="99"/>
  <c r="U56" i="99" s="1"/>
  <c r="O56" i="99"/>
  <c r="P56" i="99" s="1"/>
  <c r="Y56" i="99" s="1"/>
  <c r="N56" i="99"/>
  <c r="T56" i="99" s="1"/>
  <c r="L56" i="99"/>
  <c r="K56" i="99"/>
  <c r="H56" i="99"/>
  <c r="I56" i="99" s="1"/>
  <c r="G56" i="99"/>
  <c r="U55" i="99"/>
  <c r="Q55" i="99"/>
  <c r="P55" i="99"/>
  <c r="O55" i="99"/>
  <c r="N55" i="99"/>
  <c r="L55" i="99"/>
  <c r="K55" i="99"/>
  <c r="I55" i="99"/>
  <c r="H55" i="99"/>
  <c r="G55" i="99"/>
  <c r="Q54" i="99"/>
  <c r="O54" i="99"/>
  <c r="P54" i="99" s="1"/>
  <c r="N54" i="99"/>
  <c r="L54" i="99"/>
  <c r="H54" i="99"/>
  <c r="I54" i="99" s="1"/>
  <c r="G54" i="99"/>
  <c r="K54" i="99" s="1"/>
  <c r="R54" i="99" s="1"/>
  <c r="X54" i="99" s="1"/>
  <c r="Q53" i="99"/>
  <c r="P53" i="99"/>
  <c r="O53" i="99"/>
  <c r="N53" i="99"/>
  <c r="L53" i="99"/>
  <c r="H53" i="99"/>
  <c r="I53" i="99" s="1"/>
  <c r="G53" i="99"/>
  <c r="K53" i="99" s="1"/>
  <c r="Z52" i="99"/>
  <c r="Q52" i="99"/>
  <c r="U52" i="99" s="1"/>
  <c r="O52" i="99"/>
  <c r="P52" i="99" s="1"/>
  <c r="N52" i="99"/>
  <c r="L52" i="99"/>
  <c r="K52" i="99"/>
  <c r="R52" i="99" s="1"/>
  <c r="I52" i="99"/>
  <c r="H52" i="99"/>
  <c r="G52" i="99"/>
  <c r="U51" i="99"/>
  <c r="Q51" i="99"/>
  <c r="P51" i="99"/>
  <c r="O51" i="99"/>
  <c r="N51" i="99"/>
  <c r="L51" i="99"/>
  <c r="K51" i="99"/>
  <c r="I51" i="99"/>
  <c r="H51" i="99"/>
  <c r="G51" i="99"/>
  <c r="U50" i="99"/>
  <c r="Q50" i="99"/>
  <c r="P50" i="99"/>
  <c r="O50" i="99"/>
  <c r="N50" i="99"/>
  <c r="L50" i="99"/>
  <c r="H50" i="99"/>
  <c r="I50" i="99" s="1"/>
  <c r="G50" i="99"/>
  <c r="K50" i="99" s="1"/>
  <c r="R50" i="99" s="1"/>
  <c r="Q49" i="99"/>
  <c r="P49" i="99"/>
  <c r="O49" i="99"/>
  <c r="N49" i="99"/>
  <c r="L49" i="99"/>
  <c r="H49" i="99"/>
  <c r="I49" i="99" s="1"/>
  <c r="G49" i="99"/>
  <c r="K49" i="99" s="1"/>
  <c r="Q48" i="99"/>
  <c r="O48" i="99"/>
  <c r="P48" i="99" s="1"/>
  <c r="N48" i="99"/>
  <c r="L48" i="99"/>
  <c r="K48" i="99"/>
  <c r="H48" i="99"/>
  <c r="I48" i="99" s="1"/>
  <c r="G48" i="99"/>
  <c r="U47" i="99"/>
  <c r="Q47" i="99"/>
  <c r="O47" i="99"/>
  <c r="P47" i="99" s="1"/>
  <c r="N47" i="99"/>
  <c r="L47" i="99"/>
  <c r="K47" i="99"/>
  <c r="I47" i="99"/>
  <c r="H47" i="99"/>
  <c r="G47" i="99"/>
  <c r="Q46" i="99"/>
  <c r="P46" i="99"/>
  <c r="O46" i="99"/>
  <c r="N46" i="99"/>
  <c r="L46" i="99"/>
  <c r="H46" i="99"/>
  <c r="I46" i="99" s="1"/>
  <c r="G46" i="99"/>
  <c r="K46" i="99" s="1"/>
  <c r="Q45" i="99"/>
  <c r="O45" i="99"/>
  <c r="P45" i="99" s="1"/>
  <c r="N45" i="99"/>
  <c r="L45" i="99"/>
  <c r="H45" i="99"/>
  <c r="I45" i="99" s="1"/>
  <c r="G45" i="99"/>
  <c r="K45" i="99" s="1"/>
  <c r="AR44" i="99"/>
  <c r="AQ44" i="99"/>
  <c r="AJ44" i="99"/>
  <c r="AI44" i="99"/>
  <c r="AG44" i="99"/>
  <c r="AF44" i="99"/>
  <c r="U44" i="99"/>
  <c r="T44" i="99"/>
  <c r="Q44" i="99"/>
  <c r="O44" i="99"/>
  <c r="P44" i="99" s="1"/>
  <c r="N44" i="99"/>
  <c r="R44" i="99" s="1"/>
  <c r="L44" i="99"/>
  <c r="K44" i="99"/>
  <c r="I44" i="99"/>
  <c r="H44" i="99"/>
  <c r="G44" i="99"/>
  <c r="AR43" i="99"/>
  <c r="AJ43" i="99"/>
  <c r="AI43" i="99"/>
  <c r="AG43" i="99"/>
  <c r="AQ43" i="99" s="1"/>
  <c r="AF43" i="99"/>
  <c r="Q43" i="99"/>
  <c r="O43" i="99"/>
  <c r="P43" i="99" s="1"/>
  <c r="N43" i="99"/>
  <c r="L43" i="99"/>
  <c r="H43" i="99"/>
  <c r="I43" i="99" s="1"/>
  <c r="G43" i="99"/>
  <c r="K43" i="99" s="1"/>
  <c r="AR42" i="99"/>
  <c r="AQ42" i="99"/>
  <c r="AJ42" i="99"/>
  <c r="AI42" i="99"/>
  <c r="AG42" i="99"/>
  <c r="AF42" i="99"/>
  <c r="U42" i="99"/>
  <c r="Q42" i="99"/>
  <c r="O42" i="99"/>
  <c r="P42" i="99" s="1"/>
  <c r="N42" i="99"/>
  <c r="R42" i="99" s="1"/>
  <c r="L42" i="99"/>
  <c r="K42" i="99"/>
  <c r="I42" i="99"/>
  <c r="H42" i="99"/>
  <c r="G42" i="99"/>
  <c r="AR41" i="99"/>
  <c r="AJ41" i="99"/>
  <c r="AI41" i="99"/>
  <c r="AG41" i="99"/>
  <c r="AQ41" i="99" s="1"/>
  <c r="AF41" i="99"/>
  <c r="Q41" i="99"/>
  <c r="O41" i="99"/>
  <c r="P41" i="99" s="1"/>
  <c r="N41" i="99"/>
  <c r="L41" i="99"/>
  <c r="H41" i="99"/>
  <c r="I41" i="99" s="1"/>
  <c r="G41" i="99"/>
  <c r="K41" i="99" s="1"/>
  <c r="AR40" i="99"/>
  <c r="AQ40" i="99"/>
  <c r="AJ40" i="99"/>
  <c r="AI40" i="99"/>
  <c r="AG40" i="99"/>
  <c r="AF40" i="99"/>
  <c r="U40" i="99"/>
  <c r="Q40" i="99"/>
  <c r="O40" i="99"/>
  <c r="P40" i="99" s="1"/>
  <c r="N40" i="99"/>
  <c r="L40" i="99"/>
  <c r="K40" i="99"/>
  <c r="H40" i="99"/>
  <c r="I40" i="99" s="1"/>
  <c r="G40" i="99"/>
  <c r="AR39" i="99"/>
  <c r="AJ39" i="99"/>
  <c r="AI39" i="99"/>
  <c r="AF39" i="99"/>
  <c r="AG39" i="99" s="1"/>
  <c r="AQ39" i="99" s="1"/>
  <c r="Z39" i="99"/>
  <c r="Q39" i="99"/>
  <c r="O39" i="99"/>
  <c r="P39" i="99" s="1"/>
  <c r="N39" i="99"/>
  <c r="R39" i="99" s="1"/>
  <c r="L39" i="99"/>
  <c r="H39" i="99"/>
  <c r="I39" i="99" s="1"/>
  <c r="G39" i="99"/>
  <c r="K39" i="99" s="1"/>
  <c r="AR38" i="99"/>
  <c r="AQ38" i="99"/>
  <c r="AJ38" i="99"/>
  <c r="AI38" i="99"/>
  <c r="AG38" i="99"/>
  <c r="AF38" i="99"/>
  <c r="U38" i="99"/>
  <c r="Q38" i="99"/>
  <c r="O38" i="99"/>
  <c r="P38" i="99" s="1"/>
  <c r="N38" i="99"/>
  <c r="L38" i="99"/>
  <c r="K38" i="99"/>
  <c r="I38" i="99"/>
  <c r="H38" i="99"/>
  <c r="G38" i="99"/>
  <c r="AR37" i="99"/>
  <c r="AJ37" i="99"/>
  <c r="AI37" i="99"/>
  <c r="AF37" i="99"/>
  <c r="AG37" i="99" s="1"/>
  <c r="AQ37" i="99" s="1"/>
  <c r="U37" i="99"/>
  <c r="T37" i="99"/>
  <c r="S37" i="99"/>
  <c r="V37" i="99" s="1"/>
  <c r="Q37" i="99"/>
  <c r="O37" i="99"/>
  <c r="P37" i="99" s="1"/>
  <c r="N37" i="99"/>
  <c r="R37" i="99" s="1"/>
  <c r="W37" i="99" s="1"/>
  <c r="L37" i="99"/>
  <c r="K37" i="99"/>
  <c r="I37" i="99"/>
  <c r="H37" i="99"/>
  <c r="G37" i="99"/>
  <c r="AR36" i="99"/>
  <c r="AJ36" i="99"/>
  <c r="AI36" i="99"/>
  <c r="AF36" i="99"/>
  <c r="AG36" i="99" s="1"/>
  <c r="AQ36" i="99" s="1"/>
  <c r="U36" i="99"/>
  <c r="Q36" i="99"/>
  <c r="O36" i="99"/>
  <c r="P36" i="99" s="1"/>
  <c r="N36" i="99"/>
  <c r="L36" i="99"/>
  <c r="K36" i="99"/>
  <c r="H36" i="99"/>
  <c r="I36" i="99" s="1"/>
  <c r="G36" i="99"/>
  <c r="AR35" i="99"/>
  <c r="AJ35" i="99"/>
  <c r="AI35" i="99"/>
  <c r="AF35" i="99"/>
  <c r="AG35" i="99" s="1"/>
  <c r="AQ35" i="99" s="1"/>
  <c r="U35" i="99"/>
  <c r="Q35" i="99"/>
  <c r="O35" i="99"/>
  <c r="P35" i="99" s="1"/>
  <c r="N35" i="99"/>
  <c r="L35" i="99"/>
  <c r="K35" i="99"/>
  <c r="H35" i="99"/>
  <c r="I35" i="99" s="1"/>
  <c r="G35" i="99"/>
  <c r="AR34" i="99"/>
  <c r="AJ34" i="99"/>
  <c r="AI34" i="99"/>
  <c r="AG34" i="99"/>
  <c r="AQ34" i="99" s="1"/>
  <c r="AF34" i="99"/>
  <c r="Q34" i="99"/>
  <c r="O34" i="99"/>
  <c r="P34" i="99" s="1"/>
  <c r="N34" i="99"/>
  <c r="L34" i="99"/>
  <c r="H34" i="99"/>
  <c r="I34" i="99" s="1"/>
  <c r="G34" i="99"/>
  <c r="K34" i="99" s="1"/>
  <c r="AR33" i="99"/>
  <c r="AQ33" i="99"/>
  <c r="AJ33" i="99"/>
  <c r="AI33" i="99"/>
  <c r="AF33" i="99"/>
  <c r="AG33" i="99" s="1"/>
  <c r="U33" i="99"/>
  <c r="T33" i="99"/>
  <c r="Q33" i="99"/>
  <c r="O33" i="99"/>
  <c r="P33" i="99" s="1"/>
  <c r="N33" i="99"/>
  <c r="R33" i="99" s="1"/>
  <c r="L33" i="99"/>
  <c r="K33" i="99"/>
  <c r="I33" i="99"/>
  <c r="H33" i="99"/>
  <c r="G33" i="99"/>
  <c r="AR32" i="99"/>
  <c r="AJ32" i="99"/>
  <c r="AI32" i="99"/>
  <c r="AF32" i="99"/>
  <c r="AG32" i="99" s="1"/>
  <c r="AQ32" i="99" s="1"/>
  <c r="Q32" i="99"/>
  <c r="O32" i="99"/>
  <c r="P32" i="99" s="1"/>
  <c r="N32" i="99"/>
  <c r="L32" i="99"/>
  <c r="H32" i="99"/>
  <c r="I32" i="99" s="1"/>
  <c r="G32" i="99"/>
  <c r="K32" i="99" s="1"/>
  <c r="AR31" i="99"/>
  <c r="AJ31" i="99"/>
  <c r="AI31" i="99"/>
  <c r="AF31" i="99"/>
  <c r="AG31" i="99" s="1"/>
  <c r="AQ31" i="99" s="1"/>
  <c r="U31" i="99"/>
  <c r="Q31" i="99"/>
  <c r="O31" i="99"/>
  <c r="P31" i="99" s="1"/>
  <c r="N31" i="99"/>
  <c r="L31" i="99"/>
  <c r="K31" i="99"/>
  <c r="I31" i="99"/>
  <c r="H31" i="99"/>
  <c r="G31" i="99"/>
  <c r="AR30" i="99"/>
  <c r="AJ30" i="99"/>
  <c r="AI30" i="99"/>
  <c r="AF30" i="99"/>
  <c r="AG30" i="99" s="1"/>
  <c r="AQ30" i="99" s="1"/>
  <c r="Q30" i="99"/>
  <c r="O30" i="99"/>
  <c r="P30" i="99" s="1"/>
  <c r="N30" i="99"/>
  <c r="L30" i="99"/>
  <c r="H30" i="99"/>
  <c r="I30" i="99" s="1"/>
  <c r="G30" i="99"/>
  <c r="K30" i="99" s="1"/>
  <c r="R30" i="99" s="1"/>
  <c r="S30" i="99" s="1"/>
  <c r="AR29" i="99"/>
  <c r="AJ29" i="99"/>
  <c r="AI29" i="99"/>
  <c r="AF29" i="99"/>
  <c r="AG29" i="99" s="1"/>
  <c r="AQ29" i="99" s="1"/>
  <c r="U29" i="99"/>
  <c r="Q29" i="99"/>
  <c r="O29" i="99"/>
  <c r="P29" i="99" s="1"/>
  <c r="N29" i="99"/>
  <c r="L29" i="99"/>
  <c r="K29" i="99"/>
  <c r="H29" i="99"/>
  <c r="I29" i="99" s="1"/>
  <c r="G29" i="99"/>
  <c r="AR28" i="99"/>
  <c r="AQ28" i="99"/>
  <c r="AJ28" i="99"/>
  <c r="AI28" i="99"/>
  <c r="AG28" i="99"/>
  <c r="AF28" i="99"/>
  <c r="U28" i="99"/>
  <c r="Q28" i="99"/>
  <c r="O28" i="99"/>
  <c r="P28" i="99" s="1"/>
  <c r="N28" i="99"/>
  <c r="L28" i="99"/>
  <c r="K28" i="99"/>
  <c r="I28" i="99"/>
  <c r="H28" i="99"/>
  <c r="G28" i="99"/>
  <c r="AR27" i="99"/>
  <c r="AJ27" i="99"/>
  <c r="AI27" i="99"/>
  <c r="AF27" i="99"/>
  <c r="AG27" i="99" s="1"/>
  <c r="AQ27" i="99" s="1"/>
  <c r="U27" i="99"/>
  <c r="R27" i="99"/>
  <c r="Q27" i="99"/>
  <c r="O27" i="99"/>
  <c r="P27" i="99" s="1"/>
  <c r="N27" i="99"/>
  <c r="L27" i="99"/>
  <c r="K27" i="99"/>
  <c r="H27" i="99"/>
  <c r="I27" i="99" s="1"/>
  <c r="G27" i="99"/>
  <c r="AR26" i="99"/>
  <c r="AJ26" i="99"/>
  <c r="AI26" i="99"/>
  <c r="AG26" i="99"/>
  <c r="AQ26" i="99" s="1"/>
  <c r="AF26" i="99"/>
  <c r="U26" i="99"/>
  <c r="Q26" i="99"/>
  <c r="O26" i="99"/>
  <c r="P26" i="99" s="1"/>
  <c r="N26" i="99"/>
  <c r="L26" i="99"/>
  <c r="I26" i="99"/>
  <c r="H26" i="99"/>
  <c r="G26" i="99"/>
  <c r="K26" i="99" s="1"/>
  <c r="R26" i="99" s="1"/>
  <c r="AR25" i="99"/>
  <c r="AJ25" i="99"/>
  <c r="AI25" i="99"/>
  <c r="AF25" i="99"/>
  <c r="AG25" i="99" s="1"/>
  <c r="AQ25" i="99" s="1"/>
  <c r="Q25" i="99"/>
  <c r="O25" i="99"/>
  <c r="P25" i="99" s="1"/>
  <c r="N25" i="99"/>
  <c r="R25" i="99" s="1"/>
  <c r="L25" i="99"/>
  <c r="K25" i="99"/>
  <c r="H25" i="99"/>
  <c r="I25" i="99" s="1"/>
  <c r="G25" i="99"/>
  <c r="AR24" i="99"/>
  <c r="AJ24" i="99"/>
  <c r="AI24" i="99"/>
  <c r="AG24" i="99"/>
  <c r="AQ24" i="99" s="1"/>
  <c r="AF24" i="99"/>
  <c r="U24" i="99"/>
  <c r="Q24" i="99"/>
  <c r="O24" i="99"/>
  <c r="P24" i="99" s="1"/>
  <c r="N24" i="99"/>
  <c r="L24" i="99"/>
  <c r="H24" i="99"/>
  <c r="I24" i="99" s="1"/>
  <c r="G24" i="99"/>
  <c r="K24" i="99" s="1"/>
  <c r="R24" i="99" s="1"/>
  <c r="AR23" i="99"/>
  <c r="AJ23" i="99"/>
  <c r="AI23" i="99"/>
  <c r="AF23" i="99"/>
  <c r="AG23" i="99" s="1"/>
  <c r="AQ23" i="99" s="1"/>
  <c r="Q23" i="99"/>
  <c r="T23" i="99" s="1"/>
  <c r="O23" i="99"/>
  <c r="P23" i="99" s="1"/>
  <c r="N23" i="99"/>
  <c r="R23" i="99" s="1"/>
  <c r="L23" i="99"/>
  <c r="K23" i="99"/>
  <c r="H23" i="99"/>
  <c r="I23" i="99" s="1"/>
  <c r="G23" i="99"/>
  <c r="AR22" i="99"/>
  <c r="AJ22" i="99"/>
  <c r="AI22" i="99"/>
  <c r="AF22" i="99"/>
  <c r="AG22" i="99" s="1"/>
  <c r="AQ22" i="99" s="1"/>
  <c r="U22" i="99"/>
  <c r="Q22" i="99"/>
  <c r="O22" i="99"/>
  <c r="P22" i="99" s="1"/>
  <c r="N22" i="99"/>
  <c r="L22" i="99"/>
  <c r="H22" i="99"/>
  <c r="I22" i="99" s="1"/>
  <c r="G22" i="99"/>
  <c r="K22" i="99" s="1"/>
  <c r="R22" i="99" s="1"/>
  <c r="AR21" i="99"/>
  <c r="AJ21" i="99"/>
  <c r="AI21" i="99"/>
  <c r="AF21" i="99"/>
  <c r="AG21" i="99" s="1"/>
  <c r="AQ21" i="99" s="1"/>
  <c r="Q21" i="99"/>
  <c r="O21" i="99"/>
  <c r="P21" i="99" s="1"/>
  <c r="N21" i="99"/>
  <c r="L21" i="99"/>
  <c r="K21" i="99"/>
  <c r="H21" i="99"/>
  <c r="I21" i="99" s="1"/>
  <c r="G21" i="99"/>
  <c r="AR20" i="99"/>
  <c r="AJ20" i="99"/>
  <c r="AI20" i="99"/>
  <c r="AG20" i="99"/>
  <c r="AQ20" i="99" s="1"/>
  <c r="AF20" i="99"/>
  <c r="U20" i="99"/>
  <c r="R20" i="99"/>
  <c r="S20" i="99" s="1"/>
  <c r="Q20" i="99"/>
  <c r="O20" i="99"/>
  <c r="P20" i="99" s="1"/>
  <c r="N20" i="99"/>
  <c r="L20" i="99"/>
  <c r="H20" i="99"/>
  <c r="I20" i="99" s="1"/>
  <c r="G20" i="99"/>
  <c r="K20" i="99" s="1"/>
  <c r="AR19" i="99"/>
  <c r="AJ19" i="99"/>
  <c r="AI19" i="99"/>
  <c r="AG19" i="99"/>
  <c r="AQ19" i="99" s="1"/>
  <c r="AF19" i="99"/>
  <c r="Q19" i="99"/>
  <c r="T19" i="99" s="1"/>
  <c r="O19" i="99"/>
  <c r="P19" i="99" s="1"/>
  <c r="N19" i="99"/>
  <c r="R19" i="99" s="1"/>
  <c r="L19" i="99"/>
  <c r="K19" i="99"/>
  <c r="H19" i="99"/>
  <c r="I19" i="99" s="1"/>
  <c r="G19" i="99"/>
  <c r="AR18" i="99"/>
  <c r="AJ18" i="99"/>
  <c r="AI18" i="99"/>
  <c r="AF18" i="99"/>
  <c r="AG18" i="99" s="1"/>
  <c r="AQ18" i="99" s="1"/>
  <c r="U18" i="99"/>
  <c r="Q18" i="99"/>
  <c r="O18" i="99"/>
  <c r="P18" i="99" s="1"/>
  <c r="N18" i="99"/>
  <c r="L18" i="99"/>
  <c r="I18" i="99"/>
  <c r="H18" i="99"/>
  <c r="G18" i="99"/>
  <c r="K18" i="99" s="1"/>
  <c r="R18" i="99" s="1"/>
  <c r="AR17" i="99"/>
  <c r="AJ17" i="99"/>
  <c r="AI17" i="99"/>
  <c r="AG17" i="99"/>
  <c r="AQ17" i="99" s="1"/>
  <c r="AF17" i="99"/>
  <c r="Q17" i="99"/>
  <c r="O17" i="99"/>
  <c r="P17" i="99" s="1"/>
  <c r="N17" i="99"/>
  <c r="L17" i="99"/>
  <c r="H17" i="99"/>
  <c r="I17" i="99" s="1"/>
  <c r="G17" i="99"/>
  <c r="K17" i="99" s="1"/>
  <c r="AR16" i="99"/>
  <c r="AQ16" i="99"/>
  <c r="AJ16" i="99"/>
  <c r="AI16" i="99"/>
  <c r="AG16" i="99"/>
  <c r="AF16" i="99"/>
  <c r="Q16" i="99"/>
  <c r="P16" i="99"/>
  <c r="O16" i="99"/>
  <c r="N16" i="99"/>
  <c r="L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P15" i="99"/>
  <c r="O15" i="99"/>
  <c r="N15" i="99"/>
  <c r="L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P14" i="99"/>
  <c r="O14" i="99"/>
  <c r="N14" i="99"/>
  <c r="L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R13" i="99" s="1"/>
  <c r="O13" i="99"/>
  <c r="P13" i="99" s="1"/>
  <c r="N13" i="99"/>
  <c r="L13" i="99"/>
  <c r="H13" i="99"/>
  <c r="I13" i="99" s="1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L12" i="99"/>
  <c r="H12" i="99"/>
  <c r="I12" i="99" s="1"/>
  <c r="G12" i="99"/>
  <c r="K12" i="99" s="1"/>
  <c r="R12" i="99" s="1"/>
  <c r="AR11" i="99"/>
  <c r="AJ11" i="99"/>
  <c r="AI11" i="99"/>
  <c r="AF11" i="99"/>
  <c r="AG11" i="99" s="1"/>
  <c r="AQ11" i="99" s="1"/>
  <c r="Q11" i="99"/>
  <c r="O11" i="99"/>
  <c r="P11" i="99" s="1"/>
  <c r="N11" i="99"/>
  <c r="L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L10" i="99"/>
  <c r="H10" i="99"/>
  <c r="I10" i="99" s="1"/>
  <c r="G10" i="99"/>
  <c r="K10" i="99" s="1"/>
  <c r="R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R9" i="99" s="1"/>
  <c r="O9" i="99"/>
  <c r="P9" i="99" s="1"/>
  <c r="N9" i="99"/>
  <c r="L9" i="99"/>
  <c r="H9" i="99"/>
  <c r="I9" i="99" s="1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M8" i="99"/>
  <c r="AN8" i="99" s="1"/>
  <c r="AO8" i="99" s="1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L8" i="99"/>
  <c r="H8" i="99"/>
  <c r="I8" i="99" s="1"/>
  <c r="G8" i="99"/>
  <c r="K8" i="99" s="1"/>
  <c r="AR7" i="99"/>
  <c r="AJ7" i="99"/>
  <c r="AI7" i="99"/>
  <c r="AG7" i="99"/>
  <c r="AQ7" i="99" s="1"/>
  <c r="AF7" i="99"/>
  <c r="AM7" i="99" s="1"/>
  <c r="Q7" i="99"/>
  <c r="U7" i="99" s="1"/>
  <c r="O7" i="99"/>
  <c r="P7" i="99" s="1"/>
  <c r="N7" i="99"/>
  <c r="L7" i="99"/>
  <c r="H7" i="99"/>
  <c r="I7" i="99" s="1"/>
  <c r="G7" i="99"/>
  <c r="K7" i="99" s="1"/>
  <c r="AF12" i="45"/>
  <c r="AG12" i="45" s="1"/>
  <c r="AE12" i="45"/>
  <c r="M12" i="45"/>
  <c r="L12" i="45"/>
  <c r="J12" i="45"/>
  <c r="I12" i="45"/>
  <c r="N12" i="45"/>
  <c r="E79" i="48"/>
  <c r="L76" i="48"/>
  <c r="L77" i="48"/>
  <c r="L78" i="48"/>
  <c r="L71" i="48"/>
  <c r="L72" i="48"/>
  <c r="L73" i="48"/>
  <c r="L74" i="48"/>
  <c r="L75" i="48"/>
  <c r="L55" i="48"/>
  <c r="L56" i="48"/>
  <c r="L57" i="48"/>
  <c r="L58" i="48"/>
  <c r="L59" i="48"/>
  <c r="L60" i="48"/>
  <c r="L61" i="48"/>
  <c r="L62" i="48"/>
  <c r="L63" i="48"/>
  <c r="L64" i="48"/>
  <c r="L65" i="48"/>
  <c r="L66" i="48"/>
  <c r="L67" i="48"/>
  <c r="L68" i="48"/>
  <c r="L69" i="48"/>
  <c r="L70" i="48"/>
  <c r="L53" i="48"/>
  <c r="L54" i="48"/>
  <c r="L25" i="48"/>
  <c r="L26" i="48"/>
  <c r="L27" i="48"/>
  <c r="L28" i="48"/>
  <c r="L29" i="48"/>
  <c r="L30" i="48"/>
  <c r="L31" i="48"/>
  <c r="L32" i="48"/>
  <c r="L33" i="48"/>
  <c r="L34" i="48"/>
  <c r="L35" i="48"/>
  <c r="L36" i="48"/>
  <c r="L37" i="48"/>
  <c r="L38" i="48"/>
  <c r="L39" i="48"/>
  <c r="L40" i="48"/>
  <c r="L41" i="48"/>
  <c r="L42" i="48"/>
  <c r="L43" i="48"/>
  <c r="L44" i="48"/>
  <c r="L45" i="48"/>
  <c r="L46" i="48"/>
  <c r="L47" i="48"/>
  <c r="L48" i="48"/>
  <c r="L49" i="48"/>
  <c r="L50" i="48"/>
  <c r="L51" i="48"/>
  <c r="L52" i="48"/>
  <c r="L23" i="48"/>
  <c r="L24" i="48"/>
  <c r="L19" i="48"/>
  <c r="L20" i="48"/>
  <c r="L21" i="48"/>
  <c r="L22" i="48"/>
  <c r="L18" i="48"/>
  <c r="L8" i="48"/>
  <c r="L9" i="48"/>
  <c r="L10" i="48"/>
  <c r="L11" i="48"/>
  <c r="L12" i="48"/>
  <c r="L13" i="48"/>
  <c r="L14" i="48"/>
  <c r="L15" i="48"/>
  <c r="L16" i="48"/>
  <c r="L17" i="48"/>
  <c r="AR7" i="48"/>
  <c r="AR8" i="48"/>
  <c r="AR9" i="48"/>
  <c r="AR10" i="48"/>
  <c r="AR11" i="48"/>
  <c r="AR12" i="48"/>
  <c r="AR13" i="48"/>
  <c r="AR14" i="48"/>
  <c r="AR15" i="48"/>
  <c r="AR16" i="48"/>
  <c r="AR17" i="48"/>
  <c r="AR18" i="48"/>
  <c r="AR19" i="48"/>
  <c r="AR20" i="48"/>
  <c r="AR21" i="48"/>
  <c r="AR22" i="48"/>
  <c r="AR23" i="48"/>
  <c r="AR24" i="48"/>
  <c r="AR25" i="48"/>
  <c r="AR26" i="48"/>
  <c r="AR27" i="48"/>
  <c r="AR28" i="48"/>
  <c r="AR29" i="48"/>
  <c r="AR30" i="48"/>
  <c r="AR31" i="48"/>
  <c r="AR32" i="48"/>
  <c r="AR33" i="48"/>
  <c r="AR34" i="48"/>
  <c r="AR35" i="48"/>
  <c r="AR36" i="48"/>
  <c r="AR37" i="48"/>
  <c r="AR38" i="48"/>
  <c r="AR39" i="48"/>
  <c r="AR40" i="48"/>
  <c r="AR41" i="48"/>
  <c r="AR42" i="48"/>
  <c r="AR43" i="48"/>
  <c r="AR44" i="48"/>
  <c r="AI8" i="48"/>
  <c r="AJ8" i="48"/>
  <c r="AI9" i="48"/>
  <c r="AJ9" i="48"/>
  <c r="AI10" i="48"/>
  <c r="AJ10" i="48"/>
  <c r="AI11" i="48"/>
  <c r="AJ11" i="48"/>
  <c r="AI12" i="48"/>
  <c r="AJ12" i="48"/>
  <c r="AI13" i="48"/>
  <c r="AJ13" i="48"/>
  <c r="AI14" i="48"/>
  <c r="AJ14" i="48"/>
  <c r="AI15" i="48"/>
  <c r="AJ15" i="48"/>
  <c r="AI16" i="48"/>
  <c r="AJ16" i="48"/>
  <c r="AI17" i="48"/>
  <c r="AJ17" i="48"/>
  <c r="AI18" i="48"/>
  <c r="AJ18" i="48"/>
  <c r="AI19" i="48"/>
  <c r="AJ19" i="48"/>
  <c r="AI20" i="48"/>
  <c r="AJ20" i="48"/>
  <c r="AI21" i="48"/>
  <c r="AJ21" i="48"/>
  <c r="AI22" i="48"/>
  <c r="AJ22" i="48"/>
  <c r="AI23" i="48"/>
  <c r="AJ23" i="48"/>
  <c r="AI24" i="48"/>
  <c r="AJ24" i="48"/>
  <c r="AI25" i="48"/>
  <c r="AJ25" i="48"/>
  <c r="AI26" i="48"/>
  <c r="AJ26" i="48"/>
  <c r="AI27" i="48"/>
  <c r="AJ27" i="48"/>
  <c r="AI28" i="48"/>
  <c r="AJ28" i="48"/>
  <c r="AI29" i="48"/>
  <c r="AJ29" i="48"/>
  <c r="AI30" i="48"/>
  <c r="AJ30" i="48"/>
  <c r="AI31" i="48"/>
  <c r="AJ31" i="48"/>
  <c r="AI32" i="48"/>
  <c r="AJ32" i="48"/>
  <c r="AI33" i="48"/>
  <c r="AJ33" i="48"/>
  <c r="AI34" i="48"/>
  <c r="AJ34" i="48"/>
  <c r="AI35" i="48"/>
  <c r="AJ35" i="48"/>
  <c r="AI36" i="48"/>
  <c r="AJ36" i="48"/>
  <c r="AI37" i="48"/>
  <c r="AJ37" i="48"/>
  <c r="AI38" i="48"/>
  <c r="AJ38" i="48"/>
  <c r="AI39" i="48"/>
  <c r="AJ39" i="48"/>
  <c r="AI40" i="48"/>
  <c r="AJ40" i="48"/>
  <c r="AI41" i="48"/>
  <c r="AJ41" i="48"/>
  <c r="AI42" i="48"/>
  <c r="AJ42" i="48"/>
  <c r="AI43" i="48"/>
  <c r="AJ43" i="48"/>
  <c r="AI44" i="48"/>
  <c r="AJ44" i="48"/>
  <c r="AJ7" i="48"/>
  <c r="AI7" i="48"/>
  <c r="AY12" i="45"/>
  <c r="AX12" i="45"/>
  <c r="AO12" i="45"/>
  <c r="Z12" i="45"/>
  <c r="AN12" i="45"/>
  <c r="Y12" i="45"/>
  <c r="U12" i="45"/>
  <c r="AM8" i="102" l="1"/>
  <c r="AN8" i="102" s="1"/>
  <c r="AO8" i="102" s="1"/>
  <c r="R13" i="102"/>
  <c r="R14" i="104"/>
  <c r="AG7" i="104"/>
  <c r="AQ7" i="104" s="1"/>
  <c r="R9" i="104"/>
  <c r="AM8" i="104"/>
  <c r="AN8" i="104" s="1"/>
  <c r="AO8" i="104" s="1"/>
  <c r="AG7" i="107"/>
  <c r="AQ7" i="107" s="1"/>
  <c r="AM8" i="107"/>
  <c r="AN8" i="107" s="1"/>
  <c r="AO8" i="107" s="1"/>
  <c r="R15" i="105"/>
  <c r="AG7" i="105"/>
  <c r="AQ7" i="105" s="1"/>
  <c r="AM8" i="105"/>
  <c r="AN7" i="105"/>
  <c r="AO7" i="105" s="1"/>
  <c r="R16" i="106"/>
  <c r="P79" i="106"/>
  <c r="AY2" i="106" s="1"/>
  <c r="H16" i="45" s="1"/>
  <c r="K16" i="45" s="1"/>
  <c r="BB16" i="45" s="1"/>
  <c r="AM8" i="106"/>
  <c r="R14" i="106"/>
  <c r="AG7" i="106"/>
  <c r="AQ7" i="106" s="1"/>
  <c r="R12" i="106"/>
  <c r="X17" i="107"/>
  <c r="S17" i="107"/>
  <c r="Z17" i="107"/>
  <c r="T17" i="107"/>
  <c r="X15" i="107"/>
  <c r="Z15" i="107"/>
  <c r="T15" i="107"/>
  <c r="S15" i="107"/>
  <c r="X22" i="107"/>
  <c r="Z22" i="107"/>
  <c r="T22" i="107"/>
  <c r="S22" i="107"/>
  <c r="X40" i="107"/>
  <c r="S40" i="107"/>
  <c r="Z40" i="107"/>
  <c r="Y14" i="107"/>
  <c r="X24" i="107"/>
  <c r="S24" i="107"/>
  <c r="Z24" i="107"/>
  <c r="T24" i="107"/>
  <c r="Y28" i="107"/>
  <c r="X31" i="107"/>
  <c r="Z31" i="107"/>
  <c r="S31" i="107"/>
  <c r="V31" i="107" s="1"/>
  <c r="X34" i="107"/>
  <c r="Z34" i="107"/>
  <c r="T34" i="107"/>
  <c r="S34" i="107"/>
  <c r="Y17" i="107"/>
  <c r="W21" i="107"/>
  <c r="X21" i="107"/>
  <c r="Z21" i="107"/>
  <c r="T21" i="107"/>
  <c r="S21" i="107"/>
  <c r="V21" i="107" s="1"/>
  <c r="X28" i="107"/>
  <c r="S28" i="107"/>
  <c r="Z28" i="107"/>
  <c r="S33" i="107"/>
  <c r="Y33" i="107" s="1"/>
  <c r="Z33" i="107"/>
  <c r="X33" i="107"/>
  <c r="X7" i="107"/>
  <c r="S7" i="107"/>
  <c r="Z7" i="107"/>
  <c r="AN7" i="107"/>
  <c r="AO7" i="107" s="1"/>
  <c r="X12" i="107"/>
  <c r="W12" i="107"/>
  <c r="T12" i="107"/>
  <c r="S12" i="107"/>
  <c r="V12" i="107" s="1"/>
  <c r="Z12" i="107"/>
  <c r="Z14" i="107"/>
  <c r="X14" i="107"/>
  <c r="T14" i="107"/>
  <c r="S14" i="107"/>
  <c r="X42" i="107"/>
  <c r="Z42" i="107"/>
  <c r="S42" i="107"/>
  <c r="S8" i="107"/>
  <c r="Z8" i="107"/>
  <c r="X8" i="107"/>
  <c r="X19" i="107"/>
  <c r="S19" i="107"/>
  <c r="Z19" i="107"/>
  <c r="AL9" i="107"/>
  <c r="R10" i="107"/>
  <c r="Z29" i="107"/>
  <c r="X29" i="107"/>
  <c r="R35" i="107"/>
  <c r="T35" i="107"/>
  <c r="U36" i="107"/>
  <c r="T36" i="107"/>
  <c r="U38" i="107"/>
  <c r="R38" i="107"/>
  <c r="X65" i="107"/>
  <c r="Z65" i="107"/>
  <c r="S65" i="107"/>
  <c r="V65" i="107" s="1"/>
  <c r="P79" i="107"/>
  <c r="AY2" i="107" s="1"/>
  <c r="H17" i="45" s="1"/>
  <c r="K17" i="45" s="1"/>
  <c r="BB17" i="45" s="1"/>
  <c r="Y29" i="107"/>
  <c r="Z30" i="107"/>
  <c r="U33" i="107"/>
  <c r="T33" i="107"/>
  <c r="R36" i="107"/>
  <c r="R39" i="107"/>
  <c r="T41" i="107"/>
  <c r="R9" i="107"/>
  <c r="R20" i="107"/>
  <c r="Z37" i="107"/>
  <c r="X37" i="107"/>
  <c r="Y42" i="107"/>
  <c r="X26" i="107"/>
  <c r="Z26" i="107"/>
  <c r="Z32" i="107"/>
  <c r="S32" i="107"/>
  <c r="U40" i="107"/>
  <c r="T40" i="107"/>
  <c r="X41" i="107"/>
  <c r="Z41" i="107"/>
  <c r="S41" i="107"/>
  <c r="V41" i="107" s="1"/>
  <c r="W41" i="107" s="1"/>
  <c r="T7" i="107"/>
  <c r="R11" i="107"/>
  <c r="T11" i="107" s="1"/>
  <c r="R13" i="107"/>
  <c r="R18" i="107"/>
  <c r="T20" i="107"/>
  <c r="R25" i="107"/>
  <c r="S26" i="107"/>
  <c r="Y26" i="107" s="1"/>
  <c r="R27" i="107"/>
  <c r="T27" i="107"/>
  <c r="U28" i="107"/>
  <c r="U79" i="107" s="1"/>
  <c r="U81" i="107" s="1"/>
  <c r="T28" i="107"/>
  <c r="U30" i="107"/>
  <c r="T30" i="107"/>
  <c r="T31" i="107"/>
  <c r="W31" i="107" s="1"/>
  <c r="Y32" i="107"/>
  <c r="Y34" i="107"/>
  <c r="T8" i="107"/>
  <c r="T19" i="107"/>
  <c r="T26" i="107"/>
  <c r="W29" i="107"/>
  <c r="S37" i="107"/>
  <c r="Y37" i="107" s="1"/>
  <c r="R16" i="107"/>
  <c r="T16" i="107" s="1"/>
  <c r="T18" i="107"/>
  <c r="R23" i="107"/>
  <c r="T23" i="107" s="1"/>
  <c r="T25" i="107"/>
  <c r="X30" i="107"/>
  <c r="T32" i="107"/>
  <c r="T37" i="107"/>
  <c r="T50" i="107"/>
  <c r="U65" i="107"/>
  <c r="T65" i="107"/>
  <c r="W65" i="107" s="1"/>
  <c r="U42" i="107"/>
  <c r="T42" i="107"/>
  <c r="U45" i="107"/>
  <c r="T45" i="107"/>
  <c r="R56" i="107"/>
  <c r="U61" i="107"/>
  <c r="T61" i="107"/>
  <c r="W61" i="107" s="1"/>
  <c r="R45" i="107"/>
  <c r="X61" i="107"/>
  <c r="S61" i="107"/>
  <c r="V61" i="107" s="1"/>
  <c r="Z61" i="107"/>
  <c r="R63" i="107"/>
  <c r="T63" i="107"/>
  <c r="R52" i="107"/>
  <c r="U52" i="107"/>
  <c r="U57" i="107"/>
  <c r="R57" i="107"/>
  <c r="U69" i="107"/>
  <c r="R69" i="107"/>
  <c r="T69" i="107" s="1"/>
  <c r="R71" i="107"/>
  <c r="T71" i="107"/>
  <c r="R46" i="107"/>
  <c r="T58" i="107"/>
  <c r="R59" i="107"/>
  <c r="R67" i="107"/>
  <c r="T67" i="107"/>
  <c r="U58" i="107"/>
  <c r="R44" i="107"/>
  <c r="U49" i="107"/>
  <c r="R49" i="107"/>
  <c r="R55" i="107"/>
  <c r="T55" i="107" s="1"/>
  <c r="T59" i="107"/>
  <c r="R72" i="107"/>
  <c r="U72" i="107"/>
  <c r="R43" i="107"/>
  <c r="T46" i="107"/>
  <c r="U46" i="107"/>
  <c r="R47" i="107"/>
  <c r="Z51" i="107"/>
  <c r="X51" i="107"/>
  <c r="S51" i="107"/>
  <c r="Y65" i="107"/>
  <c r="S66" i="107"/>
  <c r="Z66" i="107"/>
  <c r="R48" i="107"/>
  <c r="R60" i="107"/>
  <c r="R68" i="107"/>
  <c r="T78" i="107"/>
  <c r="R76" i="107"/>
  <c r="R75" i="107"/>
  <c r="T75" i="107"/>
  <c r="U73" i="107"/>
  <c r="T73" i="107"/>
  <c r="U76" i="107"/>
  <c r="U77" i="107"/>
  <c r="Y51" i="107"/>
  <c r="U53" i="107"/>
  <c r="T53" i="107"/>
  <c r="R62" i="107"/>
  <c r="T62" i="107" s="1"/>
  <c r="R70" i="107"/>
  <c r="R73" i="107"/>
  <c r="R74" i="107"/>
  <c r="R77" i="107"/>
  <c r="R78" i="107"/>
  <c r="T51" i="107"/>
  <c r="R58" i="107"/>
  <c r="R50" i="107"/>
  <c r="S53" i="107"/>
  <c r="V53" i="107" s="1"/>
  <c r="R54" i="107"/>
  <c r="R64" i="107"/>
  <c r="T66" i="107"/>
  <c r="U9" i="106"/>
  <c r="X35" i="106"/>
  <c r="S35" i="106"/>
  <c r="Z35" i="106"/>
  <c r="X37" i="106"/>
  <c r="S37" i="106"/>
  <c r="Z37" i="106"/>
  <c r="AN7" i="106"/>
  <c r="AO7" i="106" s="1"/>
  <c r="R19" i="106"/>
  <c r="Y37" i="106"/>
  <c r="U20" i="106"/>
  <c r="S8" i="106"/>
  <c r="V8" i="106" s="1"/>
  <c r="W8" i="106" s="1"/>
  <c r="Z8" i="106"/>
  <c r="X8" i="106"/>
  <c r="S12" i="106"/>
  <c r="Y12" i="106" s="1"/>
  <c r="Z12" i="106"/>
  <c r="X12" i="106"/>
  <c r="S15" i="106"/>
  <c r="Z15" i="106"/>
  <c r="X15" i="106"/>
  <c r="S16" i="106"/>
  <c r="Y16" i="106" s="1"/>
  <c r="Z16" i="106"/>
  <c r="X16" i="106"/>
  <c r="S17" i="106"/>
  <c r="Z17" i="106"/>
  <c r="X17" i="106"/>
  <c r="S18" i="106"/>
  <c r="V18" i="106" s="1"/>
  <c r="Z18" i="106"/>
  <c r="X18" i="106"/>
  <c r="R11" i="106"/>
  <c r="S14" i="106"/>
  <c r="V14" i="106" s="1"/>
  <c r="W14" i="106" s="1"/>
  <c r="Z14" i="106"/>
  <c r="X14" i="106"/>
  <c r="R7" i="106"/>
  <c r="T8" i="106"/>
  <c r="U8" i="106"/>
  <c r="R10" i="106"/>
  <c r="T10" i="106" s="1"/>
  <c r="U12" i="106"/>
  <c r="U13" i="106"/>
  <c r="U14" i="106"/>
  <c r="U15" i="106"/>
  <c r="T16" i="106"/>
  <c r="U16" i="106"/>
  <c r="T17" i="106"/>
  <c r="U17" i="106"/>
  <c r="T18" i="106"/>
  <c r="T7" i="106"/>
  <c r="AN8" i="106"/>
  <c r="AO8" i="106" s="1"/>
  <c r="R9" i="106"/>
  <c r="T11" i="106"/>
  <c r="U11" i="106"/>
  <c r="V36" i="106"/>
  <c r="S13" i="106"/>
  <c r="V13" i="106" s="1"/>
  <c r="W13" i="106" s="1"/>
  <c r="Z13" i="106"/>
  <c r="X13" i="106"/>
  <c r="T19" i="106"/>
  <c r="U19" i="106"/>
  <c r="AL9" i="106"/>
  <c r="U10" i="106"/>
  <c r="U18" i="106"/>
  <c r="W18" i="106" s="1"/>
  <c r="R25" i="106"/>
  <c r="Y43" i="106"/>
  <c r="X49" i="106"/>
  <c r="Z49" i="106"/>
  <c r="S49" i="106"/>
  <c r="R22" i="106"/>
  <c r="R27" i="106"/>
  <c r="U33" i="106"/>
  <c r="T33" i="106"/>
  <c r="X36" i="106"/>
  <c r="Z36" i="106"/>
  <c r="R30" i="106"/>
  <c r="X33" i="106"/>
  <c r="S33" i="106"/>
  <c r="U42" i="106"/>
  <c r="X43" i="106"/>
  <c r="Z43" i="106"/>
  <c r="S43" i="106"/>
  <c r="X44" i="106"/>
  <c r="Z44" i="106"/>
  <c r="W44" i="106"/>
  <c r="R24" i="106"/>
  <c r="U31" i="106"/>
  <c r="T31" i="106"/>
  <c r="R34" i="106"/>
  <c r="U39" i="106"/>
  <c r="T39" i="106"/>
  <c r="R42" i="106"/>
  <c r="T42" i="106" s="1"/>
  <c r="V44" i="106"/>
  <c r="R47" i="106"/>
  <c r="T47" i="106"/>
  <c r="R21" i="106"/>
  <c r="T21" i="106" s="1"/>
  <c r="R28" i="106"/>
  <c r="T28" i="106" s="1"/>
  <c r="X31" i="106"/>
  <c r="S31" i="106"/>
  <c r="V31" i="106" s="1"/>
  <c r="W31" i="106" s="1"/>
  <c r="R39" i="106"/>
  <c r="R40" i="106"/>
  <c r="Y44" i="106"/>
  <c r="T25" i="106"/>
  <c r="R26" i="106"/>
  <c r="T27" i="106"/>
  <c r="R32" i="106"/>
  <c r="Z33" i="106"/>
  <c r="T36" i="106"/>
  <c r="W36" i="106" s="1"/>
  <c r="U37" i="106"/>
  <c r="T37" i="106"/>
  <c r="Y49" i="106"/>
  <c r="T22" i="106"/>
  <c r="R23" i="106"/>
  <c r="T30" i="106"/>
  <c r="T40" i="106"/>
  <c r="U40" i="106"/>
  <c r="R20" i="106"/>
  <c r="T20" i="106" s="1"/>
  <c r="R29" i="106"/>
  <c r="Z31" i="106"/>
  <c r="U35" i="106"/>
  <c r="T35" i="106"/>
  <c r="R38" i="106"/>
  <c r="R41" i="106"/>
  <c r="T41" i="106"/>
  <c r="T43" i="106"/>
  <c r="U44" i="106"/>
  <c r="T44" i="106"/>
  <c r="U48" i="106"/>
  <c r="T48" i="106"/>
  <c r="U53" i="106"/>
  <c r="R53" i="106"/>
  <c r="T53" i="106" s="1"/>
  <c r="R54" i="106"/>
  <c r="X48" i="106"/>
  <c r="S48" i="106"/>
  <c r="Z48" i="106"/>
  <c r="X52" i="106"/>
  <c r="S52" i="106"/>
  <c r="V52" i="106" s="1"/>
  <c r="W52" i="106"/>
  <c r="Z52" i="106"/>
  <c r="R63" i="106"/>
  <c r="T63" i="106"/>
  <c r="T54" i="106"/>
  <c r="U54" i="106"/>
  <c r="X61" i="106"/>
  <c r="S61" i="106"/>
  <c r="Z61" i="106"/>
  <c r="X68" i="106"/>
  <c r="Z68" i="106"/>
  <c r="S68" i="106"/>
  <c r="V68" i="106" s="1"/>
  <c r="W68" i="106" s="1"/>
  <c r="T68" i="106"/>
  <c r="U69" i="106"/>
  <c r="R69" i="106"/>
  <c r="T69" i="106" s="1"/>
  <c r="S58" i="106"/>
  <c r="Y58" i="106" s="1"/>
  <c r="Z58" i="106"/>
  <c r="X58" i="106"/>
  <c r="Z59" i="106"/>
  <c r="X59" i="106"/>
  <c r="S59" i="106"/>
  <c r="V59" i="106" s="1"/>
  <c r="W59" i="106"/>
  <c r="Y64" i="106"/>
  <c r="U68" i="106"/>
  <c r="U70" i="106"/>
  <c r="R71" i="106"/>
  <c r="T71" i="106"/>
  <c r="R45" i="106"/>
  <c r="R56" i="106"/>
  <c r="U56" i="106"/>
  <c r="Y57" i="106"/>
  <c r="X64" i="106"/>
  <c r="Z64" i="106"/>
  <c r="S64" i="106"/>
  <c r="T52" i="106"/>
  <c r="T58" i="106"/>
  <c r="T64" i="106"/>
  <c r="U65" i="106"/>
  <c r="R65" i="106"/>
  <c r="T65" i="106" s="1"/>
  <c r="R46" i="106"/>
  <c r="Z57" i="106"/>
  <c r="U64" i="106"/>
  <c r="T66" i="106"/>
  <c r="U66" i="106"/>
  <c r="R67" i="106"/>
  <c r="T67" i="106" s="1"/>
  <c r="R72" i="106"/>
  <c r="T74" i="106"/>
  <c r="R76" i="106"/>
  <c r="T49" i="106"/>
  <c r="R60" i="106"/>
  <c r="U74" i="106"/>
  <c r="R75" i="106"/>
  <c r="T75" i="106"/>
  <c r="U73" i="106"/>
  <c r="T73" i="106"/>
  <c r="U76" i="106"/>
  <c r="U77" i="106"/>
  <c r="U49" i="106"/>
  <c r="R51" i="106"/>
  <c r="R55" i="106"/>
  <c r="Y59" i="106"/>
  <c r="U60" i="106"/>
  <c r="U61" i="106"/>
  <c r="T61" i="106"/>
  <c r="R73" i="106"/>
  <c r="R77" i="106"/>
  <c r="T77" i="106" s="1"/>
  <c r="R78" i="106"/>
  <c r="R50" i="106"/>
  <c r="U57" i="106"/>
  <c r="V57" i="106" s="1"/>
  <c r="W57" i="106" s="1"/>
  <c r="T57" i="106"/>
  <c r="T59" i="106"/>
  <c r="R66" i="106"/>
  <c r="R70" i="106"/>
  <c r="R74" i="106"/>
  <c r="T46" i="106"/>
  <c r="T55" i="106"/>
  <c r="R62" i="106"/>
  <c r="X11" i="105"/>
  <c r="S11" i="105"/>
  <c r="Z11" i="105"/>
  <c r="Y13" i="105"/>
  <c r="S15" i="105"/>
  <c r="Z15" i="105"/>
  <c r="X15" i="105"/>
  <c r="X20" i="105"/>
  <c r="S20" i="105"/>
  <c r="V20" i="105" s="1"/>
  <c r="W20" i="105" s="1"/>
  <c r="Z20" i="105"/>
  <c r="T22" i="105"/>
  <c r="S22" i="105"/>
  <c r="V22" i="105" s="1"/>
  <c r="W22" i="105" s="1"/>
  <c r="Z22" i="105"/>
  <c r="X22" i="105"/>
  <c r="X25" i="105"/>
  <c r="S25" i="105"/>
  <c r="Z25" i="105"/>
  <c r="Z33" i="105"/>
  <c r="X33" i="105"/>
  <c r="S33" i="105"/>
  <c r="Z34" i="105"/>
  <c r="X34" i="105"/>
  <c r="S34" i="105"/>
  <c r="Z38" i="105"/>
  <c r="S38" i="105"/>
  <c r="V38" i="105" s="1"/>
  <c r="W38" i="105" s="1"/>
  <c r="X38" i="105"/>
  <c r="X8" i="105"/>
  <c r="S8" i="105"/>
  <c r="Z8" i="105"/>
  <c r="AN8" i="105"/>
  <c r="AO8" i="105" s="1"/>
  <c r="X9" i="105"/>
  <c r="S9" i="105"/>
  <c r="Z9" i="105"/>
  <c r="X16" i="105"/>
  <c r="S16" i="105"/>
  <c r="Z16" i="105"/>
  <c r="X27" i="105"/>
  <c r="S27" i="105"/>
  <c r="Z27" i="105"/>
  <c r="T27" i="105"/>
  <c r="X29" i="105"/>
  <c r="S29" i="105"/>
  <c r="Z29" i="105"/>
  <c r="X41" i="105"/>
  <c r="Z41" i="105"/>
  <c r="S41" i="105"/>
  <c r="Y8" i="105"/>
  <c r="Y9" i="105"/>
  <c r="X12" i="105"/>
  <c r="S12" i="105"/>
  <c r="Z12" i="105"/>
  <c r="S17" i="105"/>
  <c r="Z17" i="105"/>
  <c r="X17" i="105"/>
  <c r="Y18" i="105"/>
  <c r="X39" i="105"/>
  <c r="S39" i="105"/>
  <c r="Y39" i="105" s="1"/>
  <c r="Z39" i="105"/>
  <c r="S7" i="105"/>
  <c r="Z7" i="105"/>
  <c r="X7" i="105"/>
  <c r="T7" i="105"/>
  <c r="Y12" i="105"/>
  <c r="S36" i="105"/>
  <c r="V36" i="105" s="1"/>
  <c r="W36" i="105"/>
  <c r="Z36" i="105"/>
  <c r="X36" i="105"/>
  <c r="X10" i="105"/>
  <c r="S10" i="105"/>
  <c r="Y10" i="105" s="1"/>
  <c r="Z10" i="105"/>
  <c r="Y17" i="105"/>
  <c r="X18" i="105"/>
  <c r="S18" i="105"/>
  <c r="Z18" i="105"/>
  <c r="S21" i="105"/>
  <c r="Z21" i="105"/>
  <c r="X21" i="105"/>
  <c r="S13" i="105"/>
  <c r="Z13" i="105"/>
  <c r="X13" i="105"/>
  <c r="S19" i="105"/>
  <c r="V19" i="105" s="1"/>
  <c r="Z19" i="105"/>
  <c r="X19" i="105"/>
  <c r="Y41" i="105"/>
  <c r="X14" i="105"/>
  <c r="S14" i="105"/>
  <c r="Z14" i="105"/>
  <c r="AL9" i="105"/>
  <c r="R43" i="105"/>
  <c r="U43" i="105"/>
  <c r="V73" i="105"/>
  <c r="T16" i="105"/>
  <c r="T18" i="105"/>
  <c r="T20" i="105"/>
  <c r="R26" i="105"/>
  <c r="S32" i="105"/>
  <c r="R37" i="105"/>
  <c r="X56" i="105"/>
  <c r="S56" i="105"/>
  <c r="Z56" i="105"/>
  <c r="Y21" i="105"/>
  <c r="Y22" i="105"/>
  <c r="T29" i="105"/>
  <c r="S31" i="105"/>
  <c r="X31" i="105"/>
  <c r="U48" i="105"/>
  <c r="Z50" i="105"/>
  <c r="S50" i="105"/>
  <c r="X50" i="105"/>
  <c r="T9" i="105"/>
  <c r="T10" i="105"/>
  <c r="T12" i="105"/>
  <c r="T21" i="105"/>
  <c r="R23" i="105"/>
  <c r="T23" i="105" s="1"/>
  <c r="Y25" i="105"/>
  <c r="T28" i="105"/>
  <c r="R28" i="105"/>
  <c r="T33" i="105"/>
  <c r="U33" i="105"/>
  <c r="T37" i="105"/>
  <c r="U37" i="105"/>
  <c r="R42" i="105"/>
  <c r="P79" i="105"/>
  <c r="AY2" i="105" s="1"/>
  <c r="H15" i="45" s="1"/>
  <c r="K15" i="45" s="1"/>
  <c r="BB15" i="45" s="1"/>
  <c r="Z32" i="105"/>
  <c r="Y7" i="105"/>
  <c r="T13" i="105"/>
  <c r="T15" i="105"/>
  <c r="T19" i="105"/>
  <c r="W19" i="105" s="1"/>
  <c r="Y27" i="105"/>
  <c r="U28" i="105"/>
  <c r="U30" i="105"/>
  <c r="R30" i="105"/>
  <c r="T35" i="105"/>
  <c r="U35" i="105"/>
  <c r="X40" i="105"/>
  <c r="S40" i="105"/>
  <c r="V40" i="105" s="1"/>
  <c r="Z40" i="105"/>
  <c r="W40" i="105"/>
  <c r="U42" i="105"/>
  <c r="X44" i="105"/>
  <c r="Z44" i="105"/>
  <c r="S44" i="105"/>
  <c r="V44" i="105" s="1"/>
  <c r="X72" i="105"/>
  <c r="S72" i="105"/>
  <c r="Z72" i="105"/>
  <c r="T72" i="105"/>
  <c r="T25" i="105"/>
  <c r="Z31" i="105"/>
  <c r="R35" i="105"/>
  <c r="X60" i="105"/>
  <c r="S60" i="105"/>
  <c r="Z60" i="105"/>
  <c r="R24" i="105"/>
  <c r="Y34" i="105"/>
  <c r="Y36" i="105"/>
  <c r="V45" i="105"/>
  <c r="W45" i="105" s="1"/>
  <c r="R47" i="105"/>
  <c r="X52" i="105"/>
  <c r="S52" i="105"/>
  <c r="Z52" i="105"/>
  <c r="S62" i="105"/>
  <c r="X62" i="105"/>
  <c r="Z62" i="105"/>
  <c r="T34" i="105"/>
  <c r="Y40" i="105"/>
  <c r="Y58" i="105"/>
  <c r="T31" i="105"/>
  <c r="U31" i="105"/>
  <c r="U79" i="105" s="1"/>
  <c r="U81" i="105" s="1"/>
  <c r="T36" i="105"/>
  <c r="T44" i="105"/>
  <c r="R49" i="105"/>
  <c r="R54" i="105"/>
  <c r="T61" i="105"/>
  <c r="Z61" i="105"/>
  <c r="S61" i="105"/>
  <c r="Y65" i="105"/>
  <c r="Z69" i="105"/>
  <c r="S69" i="105"/>
  <c r="V69" i="105" s="1"/>
  <c r="W69" i="105"/>
  <c r="T32" i="105"/>
  <c r="Y38" i="105"/>
  <c r="T41" i="105"/>
  <c r="U41" i="105"/>
  <c r="U45" i="105"/>
  <c r="T45" i="105"/>
  <c r="R48" i="105"/>
  <c r="X68" i="105"/>
  <c r="S68" i="105"/>
  <c r="Z68" i="105"/>
  <c r="T38" i="105"/>
  <c r="X45" i="105"/>
  <c r="Z45" i="105"/>
  <c r="U53" i="105"/>
  <c r="R53" i="105"/>
  <c r="S58" i="105"/>
  <c r="X58" i="105"/>
  <c r="Z58" i="105"/>
  <c r="Y61" i="105"/>
  <c r="X64" i="105"/>
  <c r="S64" i="105"/>
  <c r="T64" i="105"/>
  <c r="T70" i="105"/>
  <c r="R71" i="105"/>
  <c r="T71" i="105" s="1"/>
  <c r="Z77" i="105"/>
  <c r="X77" i="105"/>
  <c r="T77" i="105"/>
  <c r="W77" i="105" s="1"/>
  <c r="S77" i="105"/>
  <c r="V77" i="105" s="1"/>
  <c r="Z73" i="105"/>
  <c r="X73" i="105"/>
  <c r="T73" i="105"/>
  <c r="W73" i="105" s="1"/>
  <c r="T56" i="105"/>
  <c r="V57" i="105"/>
  <c r="W57" i="105" s="1"/>
  <c r="T60" i="105"/>
  <c r="X65" i="105"/>
  <c r="T66" i="105"/>
  <c r="T68" i="105"/>
  <c r="S66" i="105"/>
  <c r="Y66" i="105" s="1"/>
  <c r="X66" i="105"/>
  <c r="Z66" i="105"/>
  <c r="Y69" i="105"/>
  <c r="S74" i="105"/>
  <c r="Z74" i="105"/>
  <c r="X74" i="105"/>
  <c r="T39" i="105"/>
  <c r="Y44" i="105"/>
  <c r="R46" i="105"/>
  <c r="T54" i="105"/>
  <c r="T58" i="105"/>
  <c r="U66" i="105"/>
  <c r="R51" i="105"/>
  <c r="T51" i="105"/>
  <c r="T52" i="105"/>
  <c r="U62" i="105"/>
  <c r="R76" i="105"/>
  <c r="R78" i="105"/>
  <c r="T76" i="105"/>
  <c r="R70" i="105"/>
  <c r="T74" i="105"/>
  <c r="T50" i="105"/>
  <c r="U70" i="105"/>
  <c r="T75" i="105"/>
  <c r="V75" i="105" s="1"/>
  <c r="R55" i="105"/>
  <c r="R59" i="105"/>
  <c r="R63" i="105"/>
  <c r="R67" i="105"/>
  <c r="Y73" i="105"/>
  <c r="U74" i="105"/>
  <c r="U78" i="105"/>
  <c r="S7" i="104"/>
  <c r="X7" i="104"/>
  <c r="Z7" i="104"/>
  <c r="T7" i="104"/>
  <c r="X12" i="104"/>
  <c r="S12" i="104"/>
  <c r="Z12" i="104"/>
  <c r="X29" i="104"/>
  <c r="Z29" i="104"/>
  <c r="T29" i="104"/>
  <c r="S29" i="104"/>
  <c r="X14" i="104"/>
  <c r="S14" i="104"/>
  <c r="Z14" i="104"/>
  <c r="Y10" i="104"/>
  <c r="X16" i="104"/>
  <c r="S16" i="104"/>
  <c r="Z16" i="104"/>
  <c r="X8" i="104"/>
  <c r="Z8" i="104"/>
  <c r="T8" i="104"/>
  <c r="W8" i="104" s="1"/>
  <c r="S8" i="104"/>
  <c r="V8" i="104" s="1"/>
  <c r="U12" i="104"/>
  <c r="T12" i="104"/>
  <c r="R13" i="104"/>
  <c r="Y21" i="104"/>
  <c r="Y22" i="104"/>
  <c r="T25" i="104"/>
  <c r="X42" i="104"/>
  <c r="Z42" i="104"/>
  <c r="Y15" i="104"/>
  <c r="U22" i="104"/>
  <c r="T22" i="104"/>
  <c r="Y24" i="104"/>
  <c r="X27" i="104"/>
  <c r="Z27" i="104"/>
  <c r="S27" i="104"/>
  <c r="U10" i="104"/>
  <c r="AL10" i="104"/>
  <c r="R11" i="104"/>
  <c r="R17" i="104"/>
  <c r="X22" i="104"/>
  <c r="Z22" i="104"/>
  <c r="S22" i="104"/>
  <c r="X10" i="104"/>
  <c r="S10" i="104"/>
  <c r="V10" i="104" s="1"/>
  <c r="W10" i="104" s="1"/>
  <c r="Y28" i="104"/>
  <c r="X38" i="104"/>
  <c r="W38" i="104"/>
  <c r="Z38" i="104"/>
  <c r="T38" i="104"/>
  <c r="S38" i="104"/>
  <c r="V38" i="104" s="1"/>
  <c r="X19" i="104"/>
  <c r="Z19" i="104"/>
  <c r="W19" i="104"/>
  <c r="X37" i="104"/>
  <c r="W37" i="104"/>
  <c r="Z37" i="104"/>
  <c r="T37" i="104"/>
  <c r="S37" i="104"/>
  <c r="V37" i="104" s="1"/>
  <c r="X21" i="104"/>
  <c r="Z21" i="104"/>
  <c r="W21" i="104"/>
  <c r="X24" i="104"/>
  <c r="S24" i="104"/>
  <c r="X36" i="104"/>
  <c r="Z36" i="104"/>
  <c r="T36" i="104"/>
  <c r="S36" i="104"/>
  <c r="U40" i="104"/>
  <c r="R40" i="104"/>
  <c r="T40" i="104" s="1"/>
  <c r="X9" i="104"/>
  <c r="Z9" i="104"/>
  <c r="Z10" i="104"/>
  <c r="U14" i="104"/>
  <c r="T14" i="104"/>
  <c r="X15" i="104"/>
  <c r="Z15" i="104"/>
  <c r="W15" i="104"/>
  <c r="R18" i="104"/>
  <c r="T27" i="104"/>
  <c r="X28" i="104"/>
  <c r="Z28" i="104"/>
  <c r="T28" i="104"/>
  <c r="Y29" i="104"/>
  <c r="U30" i="104"/>
  <c r="T30" i="104"/>
  <c r="R30" i="104"/>
  <c r="X35" i="104"/>
  <c r="Z35" i="104"/>
  <c r="T35" i="104"/>
  <c r="S35" i="104"/>
  <c r="S42" i="104"/>
  <c r="AN7" i="104"/>
  <c r="AO7" i="104" s="1"/>
  <c r="Y19" i="104"/>
  <c r="R20" i="104"/>
  <c r="R26" i="104"/>
  <c r="U25" i="104"/>
  <c r="Y37" i="104"/>
  <c r="Y38" i="104"/>
  <c r="T45" i="104"/>
  <c r="R45" i="104"/>
  <c r="U45" i="104"/>
  <c r="Y49" i="104"/>
  <c r="Z73" i="104"/>
  <c r="X73" i="104"/>
  <c r="S73" i="104"/>
  <c r="Z46" i="104"/>
  <c r="S46" i="104"/>
  <c r="X48" i="104"/>
  <c r="S48" i="104"/>
  <c r="Z48" i="104"/>
  <c r="X68" i="104"/>
  <c r="Z68" i="104"/>
  <c r="T68" i="104"/>
  <c r="S68" i="104"/>
  <c r="X72" i="104"/>
  <c r="Z72" i="104"/>
  <c r="T72" i="104"/>
  <c r="S72" i="104"/>
  <c r="X32" i="104"/>
  <c r="X33" i="104"/>
  <c r="X34" i="104"/>
  <c r="R43" i="104"/>
  <c r="T48" i="104"/>
  <c r="Z49" i="104"/>
  <c r="X49" i="104"/>
  <c r="Z50" i="104"/>
  <c r="S50" i="104"/>
  <c r="Z53" i="104"/>
  <c r="X53" i="104"/>
  <c r="S53" i="104"/>
  <c r="V53" i="104" s="1"/>
  <c r="W53" i="104" s="1"/>
  <c r="Z61" i="104"/>
  <c r="X61" i="104"/>
  <c r="S61" i="104"/>
  <c r="Z77" i="104"/>
  <c r="X77" i="104"/>
  <c r="S77" i="104"/>
  <c r="R23" i="104"/>
  <c r="X31" i="104"/>
  <c r="S32" i="104"/>
  <c r="S33" i="104"/>
  <c r="S34" i="104"/>
  <c r="S49" i="104"/>
  <c r="T32" i="104"/>
  <c r="T33" i="104"/>
  <c r="T34" i="104"/>
  <c r="X41" i="104"/>
  <c r="Z41" i="104"/>
  <c r="S41" i="104"/>
  <c r="Y50" i="104"/>
  <c r="X56" i="104"/>
  <c r="Z56" i="104"/>
  <c r="T56" i="104"/>
  <c r="S56" i="104"/>
  <c r="T23" i="104"/>
  <c r="R25" i="104"/>
  <c r="T31" i="104"/>
  <c r="V31" i="104" s="1"/>
  <c r="Y41" i="104"/>
  <c r="T43" i="104"/>
  <c r="U44" i="104"/>
  <c r="R47" i="104"/>
  <c r="Y78" i="104"/>
  <c r="T16" i="104"/>
  <c r="T18" i="104"/>
  <c r="T24" i="104"/>
  <c r="Z32" i="104"/>
  <c r="Z33" i="104"/>
  <c r="Z34" i="104"/>
  <c r="R39" i="104"/>
  <c r="R44" i="104"/>
  <c r="X64" i="104"/>
  <c r="T64" i="104"/>
  <c r="W64" i="104" s="1"/>
  <c r="S64" i="104"/>
  <c r="V64" i="104" s="1"/>
  <c r="Z64" i="104"/>
  <c r="P79" i="104"/>
  <c r="AY2" i="104" s="1"/>
  <c r="H14" i="45" s="1"/>
  <c r="K14" i="45" s="1"/>
  <c r="BB14" i="45" s="1"/>
  <c r="Y7" i="104"/>
  <c r="Z31" i="104"/>
  <c r="T41" i="104"/>
  <c r="U42" i="104"/>
  <c r="T42" i="104"/>
  <c r="X46" i="104"/>
  <c r="Y48" i="104"/>
  <c r="X69" i="104"/>
  <c r="S69" i="104"/>
  <c r="Z69" i="104"/>
  <c r="T49" i="104"/>
  <c r="U53" i="104"/>
  <c r="T53" i="104"/>
  <c r="Z67" i="104"/>
  <c r="X67" i="104"/>
  <c r="S67" i="104"/>
  <c r="V67" i="104" s="1"/>
  <c r="W67" i="104" s="1"/>
  <c r="T70" i="104"/>
  <c r="U70" i="104"/>
  <c r="U77" i="104"/>
  <c r="T77" i="104"/>
  <c r="Z55" i="104"/>
  <c r="X55" i="104"/>
  <c r="S62" i="104"/>
  <c r="Z62" i="104"/>
  <c r="U65" i="104"/>
  <c r="S78" i="104"/>
  <c r="Z78" i="104"/>
  <c r="Y55" i="104"/>
  <c r="T58" i="104"/>
  <c r="U58" i="104"/>
  <c r="R65" i="104"/>
  <c r="Z71" i="104"/>
  <c r="X71" i="104"/>
  <c r="S71" i="104"/>
  <c r="V71" i="104" s="1"/>
  <c r="T74" i="104"/>
  <c r="U74" i="104"/>
  <c r="R51" i="104"/>
  <c r="R52" i="104"/>
  <c r="T52" i="104" s="1"/>
  <c r="R54" i="104"/>
  <c r="X60" i="104"/>
  <c r="S66" i="104"/>
  <c r="V66" i="104" s="1"/>
  <c r="Z66" i="104"/>
  <c r="U69" i="104"/>
  <c r="T69" i="104"/>
  <c r="S55" i="104"/>
  <c r="Z59" i="104"/>
  <c r="X59" i="104"/>
  <c r="S59" i="104"/>
  <c r="T62" i="104"/>
  <c r="U62" i="104"/>
  <c r="Z75" i="104"/>
  <c r="X75" i="104"/>
  <c r="S75" i="104"/>
  <c r="X76" i="104"/>
  <c r="T78" i="104"/>
  <c r="U78" i="104"/>
  <c r="T46" i="104"/>
  <c r="T47" i="104"/>
  <c r="T55" i="104"/>
  <c r="U57" i="104"/>
  <c r="Y59" i="104"/>
  <c r="T60" i="104"/>
  <c r="V60" i="104" s="1"/>
  <c r="Y68" i="104"/>
  <c r="R70" i="104"/>
  <c r="T71" i="104"/>
  <c r="W71" i="104" s="1"/>
  <c r="Y75" i="104"/>
  <c r="S76" i="104"/>
  <c r="X78" i="104"/>
  <c r="T54" i="104"/>
  <c r="R57" i="104"/>
  <c r="T57" i="104" s="1"/>
  <c r="R63" i="104"/>
  <c r="T66" i="104"/>
  <c r="W66" i="104" s="1"/>
  <c r="U66" i="104"/>
  <c r="U73" i="104"/>
  <c r="T73" i="104"/>
  <c r="T76" i="104"/>
  <c r="T50" i="104"/>
  <c r="Y56" i="104"/>
  <c r="R58" i="104"/>
  <c r="T59" i="104"/>
  <c r="Z60" i="104"/>
  <c r="U61" i="104"/>
  <c r="T61" i="104"/>
  <c r="X62" i="104"/>
  <c r="R74" i="104"/>
  <c r="T75" i="104"/>
  <c r="Y24" i="102"/>
  <c r="Y14" i="102"/>
  <c r="Y18" i="102"/>
  <c r="S7" i="102"/>
  <c r="X7" i="102"/>
  <c r="Z7" i="102"/>
  <c r="T7" i="102"/>
  <c r="X33" i="102"/>
  <c r="Z33" i="102"/>
  <c r="S33" i="102"/>
  <c r="T33" i="102"/>
  <c r="X29" i="102"/>
  <c r="Z29" i="102"/>
  <c r="S29" i="102"/>
  <c r="T29" i="102"/>
  <c r="X34" i="102"/>
  <c r="Z34" i="102"/>
  <c r="T34" i="102"/>
  <c r="S34" i="102"/>
  <c r="X8" i="102"/>
  <c r="S8" i="102"/>
  <c r="Z8" i="102"/>
  <c r="X30" i="102"/>
  <c r="W30" i="102"/>
  <c r="Y33" i="102"/>
  <c r="T10" i="102"/>
  <c r="T12" i="102"/>
  <c r="T14" i="102"/>
  <c r="T16" i="102"/>
  <c r="T18" i="102"/>
  <c r="T20" i="102"/>
  <c r="T22" i="102"/>
  <c r="T24" i="102"/>
  <c r="T26" i="102"/>
  <c r="T28" i="102"/>
  <c r="S30" i="102"/>
  <c r="V30" i="102" s="1"/>
  <c r="R32" i="102"/>
  <c r="X35" i="102"/>
  <c r="Z35" i="102"/>
  <c r="T35" i="102"/>
  <c r="V35" i="102" s="1"/>
  <c r="X36" i="102"/>
  <c r="Z36" i="102"/>
  <c r="T36" i="102"/>
  <c r="X37" i="102"/>
  <c r="W37" i="102"/>
  <c r="T37" i="102"/>
  <c r="Z37" i="102"/>
  <c r="X52" i="102"/>
  <c r="Z52" i="102"/>
  <c r="S52" i="102"/>
  <c r="X64" i="102"/>
  <c r="Z64" i="102"/>
  <c r="U31" i="102"/>
  <c r="V37" i="102"/>
  <c r="V48" i="102"/>
  <c r="W48" i="102" s="1"/>
  <c r="R43" i="102"/>
  <c r="T43" i="102"/>
  <c r="S70" i="102"/>
  <c r="X70" i="102"/>
  <c r="Z70" i="102"/>
  <c r="Y11" i="102"/>
  <c r="X11" i="102"/>
  <c r="W11" i="102"/>
  <c r="X15" i="102"/>
  <c r="X17" i="102"/>
  <c r="X19" i="102"/>
  <c r="X21" i="102"/>
  <c r="X23" i="102"/>
  <c r="X25" i="102"/>
  <c r="X27" i="102"/>
  <c r="W27" i="102"/>
  <c r="R41" i="102"/>
  <c r="T41" i="102"/>
  <c r="X48" i="102"/>
  <c r="Z48" i="102"/>
  <c r="T48" i="102"/>
  <c r="Y8" i="102"/>
  <c r="AM10" i="102"/>
  <c r="AN10" i="102" s="1"/>
  <c r="AO10" i="102" s="1"/>
  <c r="U8" i="102"/>
  <c r="U79" i="102" s="1"/>
  <c r="U81" i="102" s="1"/>
  <c r="T8" i="102"/>
  <c r="Y17" i="102"/>
  <c r="Y29" i="102"/>
  <c r="X38" i="102"/>
  <c r="W38" i="102"/>
  <c r="Z38" i="102"/>
  <c r="S54" i="102"/>
  <c r="X54" i="102"/>
  <c r="Z54" i="102"/>
  <c r="X9" i="102"/>
  <c r="X13" i="102"/>
  <c r="S9" i="102"/>
  <c r="V9" i="102" s="1"/>
  <c r="W9" i="102" s="1"/>
  <c r="S11" i="102"/>
  <c r="V11" i="102" s="1"/>
  <c r="S13" i="102"/>
  <c r="S15" i="102"/>
  <c r="V15" i="102" s="1"/>
  <c r="W15" i="102" s="1"/>
  <c r="S17" i="102"/>
  <c r="V17" i="102" s="1"/>
  <c r="W17" i="102" s="1"/>
  <c r="S19" i="102"/>
  <c r="V19" i="102" s="1"/>
  <c r="W19" i="102" s="1"/>
  <c r="S21" i="102"/>
  <c r="V21" i="102" s="1"/>
  <c r="W21" i="102" s="1"/>
  <c r="S23" i="102"/>
  <c r="V23" i="102" s="1"/>
  <c r="W23" i="102" s="1"/>
  <c r="S25" i="102"/>
  <c r="V25" i="102" s="1"/>
  <c r="W25" i="102" s="1"/>
  <c r="V27" i="102"/>
  <c r="Y30" i="102"/>
  <c r="T54" i="102"/>
  <c r="U54" i="102"/>
  <c r="AL12" i="102"/>
  <c r="R31" i="102"/>
  <c r="Y7" i="102"/>
  <c r="X10" i="102"/>
  <c r="S10" i="102"/>
  <c r="X12" i="102"/>
  <c r="S12" i="102"/>
  <c r="V12" i="102" s="1"/>
  <c r="X14" i="102"/>
  <c r="S14" i="102"/>
  <c r="V14" i="102" s="1"/>
  <c r="X16" i="102"/>
  <c r="S16" i="102"/>
  <c r="V16" i="102" s="1"/>
  <c r="X18" i="102"/>
  <c r="S18" i="102"/>
  <c r="X20" i="102"/>
  <c r="S20" i="102"/>
  <c r="V20" i="102" s="1"/>
  <c r="X22" i="102"/>
  <c r="S22" i="102"/>
  <c r="X24" i="102"/>
  <c r="S24" i="102"/>
  <c r="V24" i="102" s="1"/>
  <c r="X26" i="102"/>
  <c r="S26" i="102"/>
  <c r="X28" i="102"/>
  <c r="S28" i="102"/>
  <c r="Y34" i="102"/>
  <c r="Y35" i="102"/>
  <c r="Y36" i="102"/>
  <c r="Y37" i="102"/>
  <c r="X40" i="102"/>
  <c r="S40" i="102"/>
  <c r="V40" i="102" s="1"/>
  <c r="W40" i="102" s="1"/>
  <c r="V60" i="102"/>
  <c r="U73" i="102"/>
  <c r="R73" i="102"/>
  <c r="R45" i="102"/>
  <c r="T45" i="102"/>
  <c r="R51" i="102"/>
  <c r="Y54" i="102"/>
  <c r="Z59" i="102"/>
  <c r="S59" i="102"/>
  <c r="Y59" i="102" s="1"/>
  <c r="T59" i="102"/>
  <c r="X59" i="102"/>
  <c r="U57" i="102"/>
  <c r="R57" i="102"/>
  <c r="T57" i="102" s="1"/>
  <c r="Z63" i="102"/>
  <c r="S63" i="102"/>
  <c r="T63" i="102"/>
  <c r="X68" i="102"/>
  <c r="Z68" i="102"/>
  <c r="R72" i="102"/>
  <c r="X76" i="102"/>
  <c r="Z76" i="102"/>
  <c r="S76" i="102"/>
  <c r="Y49" i="102"/>
  <c r="S62" i="102"/>
  <c r="X62" i="102"/>
  <c r="S68" i="102"/>
  <c r="Y63" i="102"/>
  <c r="S66" i="102"/>
  <c r="X66" i="102"/>
  <c r="Z66" i="102"/>
  <c r="R46" i="102"/>
  <c r="T46" i="102" s="1"/>
  <c r="R50" i="102"/>
  <c r="Z62" i="102"/>
  <c r="S49" i="102"/>
  <c r="V49" i="102" s="1"/>
  <c r="T52" i="102"/>
  <c r="R56" i="102"/>
  <c r="T56" i="102" s="1"/>
  <c r="R67" i="102"/>
  <c r="S74" i="102"/>
  <c r="V74" i="102" s="1"/>
  <c r="Z74" i="102"/>
  <c r="X74" i="102"/>
  <c r="X44" i="102"/>
  <c r="Y48" i="102"/>
  <c r="R58" i="102"/>
  <c r="X60" i="102"/>
  <c r="Y70" i="102"/>
  <c r="Y74" i="102"/>
  <c r="R39" i="102"/>
  <c r="T39" i="102"/>
  <c r="AN7" i="102"/>
  <c r="AO7" i="102" s="1"/>
  <c r="Y38" i="102"/>
  <c r="R42" i="102"/>
  <c r="S44" i="102"/>
  <c r="V44" i="102" s="1"/>
  <c r="W44" i="102" s="1"/>
  <c r="W49" i="102"/>
  <c r="X63" i="102"/>
  <c r="T70" i="102"/>
  <c r="U70" i="102"/>
  <c r="T74" i="102"/>
  <c r="W74" i="102" s="1"/>
  <c r="U74" i="102"/>
  <c r="U53" i="102"/>
  <c r="R53" i="102"/>
  <c r="T64" i="102"/>
  <c r="T66" i="102"/>
  <c r="U66" i="102"/>
  <c r="U69" i="102"/>
  <c r="R69" i="102"/>
  <c r="T76" i="102"/>
  <c r="U78" i="102"/>
  <c r="R47" i="102"/>
  <c r="U61" i="102"/>
  <c r="R61" i="102"/>
  <c r="R71" i="102"/>
  <c r="R75" i="102"/>
  <c r="T58" i="102"/>
  <c r="U58" i="102"/>
  <c r="Y60" i="102"/>
  <c r="U65" i="102"/>
  <c r="R65" i="102"/>
  <c r="R78" i="102"/>
  <c r="T78" i="102" s="1"/>
  <c r="U50" i="102"/>
  <c r="R55" i="102"/>
  <c r="T60" i="102"/>
  <c r="W60" i="102" s="1"/>
  <c r="T62" i="102"/>
  <c r="U62" i="102"/>
  <c r="Y64" i="102"/>
  <c r="T68" i="102"/>
  <c r="U77" i="102"/>
  <c r="T77" i="102"/>
  <c r="R77" i="102"/>
  <c r="X18" i="99"/>
  <c r="Z18" i="99"/>
  <c r="S18" i="99"/>
  <c r="T18" i="99"/>
  <c r="S13" i="99"/>
  <c r="V13" i="99" s="1"/>
  <c r="X13" i="99"/>
  <c r="Z13" i="99"/>
  <c r="X26" i="99"/>
  <c r="Z26" i="99"/>
  <c r="T26" i="99"/>
  <c r="W26" i="99" s="1"/>
  <c r="S26" i="99"/>
  <c r="V26" i="99" s="1"/>
  <c r="S12" i="99"/>
  <c r="Z12" i="99"/>
  <c r="X12" i="99"/>
  <c r="X22" i="99"/>
  <c r="Z22" i="99"/>
  <c r="T22" i="99"/>
  <c r="S22" i="99"/>
  <c r="AM9" i="99"/>
  <c r="AN9" i="99" s="1"/>
  <c r="AO9" i="99" s="1"/>
  <c r="AL10" i="99"/>
  <c r="S10" i="99"/>
  <c r="V10" i="99" s="1"/>
  <c r="Z10" i="99"/>
  <c r="X10" i="99"/>
  <c r="Y30" i="99"/>
  <c r="X24" i="99"/>
  <c r="Z24" i="99"/>
  <c r="S24" i="99"/>
  <c r="T24" i="99"/>
  <c r="Y23" i="99"/>
  <c r="S9" i="99"/>
  <c r="X9" i="99"/>
  <c r="Z9" i="99"/>
  <c r="R7" i="99"/>
  <c r="U11" i="99"/>
  <c r="U79" i="99" s="1"/>
  <c r="U81" i="99" s="1"/>
  <c r="X25" i="99"/>
  <c r="S25" i="99"/>
  <c r="Z25" i="99"/>
  <c r="P79" i="99"/>
  <c r="AY2" i="99" s="1"/>
  <c r="AN7" i="99"/>
  <c r="AO7" i="99" s="1"/>
  <c r="U15" i="99"/>
  <c r="T15" i="99"/>
  <c r="R15" i="99"/>
  <c r="X23" i="99"/>
  <c r="S23" i="99"/>
  <c r="Z23" i="99"/>
  <c r="Y33" i="99"/>
  <c r="Y24" i="99"/>
  <c r="X27" i="99"/>
  <c r="S27" i="99"/>
  <c r="R28" i="99"/>
  <c r="S74" i="99"/>
  <c r="Y74" i="99" s="1"/>
  <c r="Z74" i="99"/>
  <c r="X74" i="99"/>
  <c r="U61" i="99"/>
  <c r="R61" i="99"/>
  <c r="Z27" i="99"/>
  <c r="X72" i="99"/>
  <c r="Z72" i="99"/>
  <c r="T72" i="99"/>
  <c r="W72" i="99" s="1"/>
  <c r="S72" i="99"/>
  <c r="V72" i="99" s="1"/>
  <c r="S73" i="99"/>
  <c r="Z73" i="99"/>
  <c r="T73" i="99"/>
  <c r="X73" i="99"/>
  <c r="T48" i="99"/>
  <c r="U48" i="99"/>
  <c r="S70" i="99"/>
  <c r="V70" i="99" s="1"/>
  <c r="Z70" i="99"/>
  <c r="X70" i="99"/>
  <c r="U13" i="99"/>
  <c r="T13" i="99"/>
  <c r="W13" i="99" s="1"/>
  <c r="U17" i="99"/>
  <c r="R17" i="99"/>
  <c r="R21" i="99"/>
  <c r="R31" i="99"/>
  <c r="T31" i="99"/>
  <c r="U8" i="99"/>
  <c r="T20" i="99"/>
  <c r="V20" i="99" s="1"/>
  <c r="W20" i="99" s="1"/>
  <c r="Y22" i="99"/>
  <c r="T29" i="99"/>
  <c r="R29" i="99"/>
  <c r="R11" i="99"/>
  <c r="T11" i="99" s="1"/>
  <c r="Y18" i="99"/>
  <c r="R8" i="99"/>
  <c r="T21" i="99"/>
  <c r="T25" i="99"/>
  <c r="T27" i="99"/>
  <c r="Y64" i="99"/>
  <c r="V64" i="99"/>
  <c r="W64" i="99" s="1"/>
  <c r="U16" i="99"/>
  <c r="R16" i="99"/>
  <c r="Y20" i="99"/>
  <c r="U9" i="99"/>
  <c r="T9" i="99"/>
  <c r="X20" i="99"/>
  <c r="Z20" i="99"/>
  <c r="U10" i="99"/>
  <c r="T10" i="99"/>
  <c r="W10" i="99" s="1"/>
  <c r="U12" i="99"/>
  <c r="T12" i="99"/>
  <c r="U14" i="99"/>
  <c r="R14" i="99"/>
  <c r="X19" i="99"/>
  <c r="S19" i="99"/>
  <c r="Z19" i="99"/>
  <c r="Y27" i="99"/>
  <c r="X30" i="99"/>
  <c r="Z30" i="99"/>
  <c r="U34" i="99"/>
  <c r="T34" i="99"/>
  <c r="R34" i="99"/>
  <c r="S54" i="99"/>
  <c r="Z54" i="99"/>
  <c r="U19" i="99"/>
  <c r="U21" i="99"/>
  <c r="U23" i="99"/>
  <c r="U25" i="99"/>
  <c r="X33" i="99"/>
  <c r="S33" i="99"/>
  <c r="V33" i="99" s="1"/>
  <c r="Z33" i="99"/>
  <c r="R55" i="99"/>
  <c r="T55" i="99"/>
  <c r="S57" i="99"/>
  <c r="Z57" i="99"/>
  <c r="R40" i="99"/>
  <c r="X42" i="99"/>
  <c r="Z42" i="99"/>
  <c r="S42" i="99"/>
  <c r="U45" i="99"/>
  <c r="T45" i="99"/>
  <c r="R45" i="99"/>
  <c r="U49" i="99"/>
  <c r="R49" i="99"/>
  <c r="T49" i="99" s="1"/>
  <c r="X52" i="99"/>
  <c r="T52" i="99"/>
  <c r="S52" i="99"/>
  <c r="R63" i="99"/>
  <c r="T63" i="99"/>
  <c r="X64" i="99"/>
  <c r="Z64" i="99"/>
  <c r="U32" i="99"/>
  <c r="R35" i="99"/>
  <c r="X39" i="99"/>
  <c r="S39" i="99"/>
  <c r="V39" i="99" s="1"/>
  <c r="W39" i="99" s="1"/>
  <c r="Y42" i="99"/>
  <c r="T46" i="99"/>
  <c r="U46" i="99"/>
  <c r="S50" i="99"/>
  <c r="X50" i="99"/>
  <c r="Z50" i="99"/>
  <c r="R32" i="99"/>
  <c r="W33" i="99"/>
  <c r="R36" i="99"/>
  <c r="R47" i="99"/>
  <c r="T57" i="99"/>
  <c r="Y26" i="99"/>
  <c r="U30" i="99"/>
  <c r="V30" i="99" s="1"/>
  <c r="W30" i="99" s="1"/>
  <c r="T30" i="99"/>
  <c r="U39" i="99"/>
  <c r="T39" i="99"/>
  <c r="T42" i="99"/>
  <c r="X57" i="99"/>
  <c r="S58" i="99"/>
  <c r="V58" i="99" s="1"/>
  <c r="X58" i="99"/>
  <c r="Z58" i="99"/>
  <c r="R71" i="99"/>
  <c r="T71" i="99"/>
  <c r="U43" i="99"/>
  <c r="T43" i="99"/>
  <c r="Y50" i="99"/>
  <c r="S66" i="99"/>
  <c r="V66" i="99" s="1"/>
  <c r="Z66" i="99"/>
  <c r="X66" i="99"/>
  <c r="R69" i="99"/>
  <c r="T69" i="99" s="1"/>
  <c r="R38" i="99"/>
  <c r="U41" i="99"/>
  <c r="R43" i="99"/>
  <c r="R46" i="99"/>
  <c r="T50" i="99"/>
  <c r="Y54" i="99"/>
  <c r="R60" i="99"/>
  <c r="T60" i="99"/>
  <c r="Z37" i="99"/>
  <c r="X37" i="99"/>
  <c r="R41" i="99"/>
  <c r="X56" i="99"/>
  <c r="Z56" i="99"/>
  <c r="Y37" i="99"/>
  <c r="X44" i="99"/>
  <c r="Z44" i="99"/>
  <c r="S44" i="99"/>
  <c r="V44" i="99" s="1"/>
  <c r="W44" i="99" s="1"/>
  <c r="R48" i="99"/>
  <c r="U53" i="99"/>
  <c r="R53" i="99"/>
  <c r="T53" i="99" s="1"/>
  <c r="V56" i="99"/>
  <c r="W56" i="99" s="1"/>
  <c r="R68" i="99"/>
  <c r="T54" i="99"/>
  <c r="T75" i="99"/>
  <c r="T74" i="99"/>
  <c r="R77" i="99"/>
  <c r="S78" i="99"/>
  <c r="Z78" i="99"/>
  <c r="Z75" i="99"/>
  <c r="S75" i="99"/>
  <c r="R67" i="99"/>
  <c r="R76" i="99"/>
  <c r="T78" i="99"/>
  <c r="Y52" i="99"/>
  <c r="R59" i="99"/>
  <c r="T62" i="99"/>
  <c r="T70" i="99"/>
  <c r="W70" i="99" s="1"/>
  <c r="X78" i="99"/>
  <c r="R51" i="99"/>
  <c r="R65" i="99"/>
  <c r="U54" i="99"/>
  <c r="U58" i="99"/>
  <c r="W58" i="99" s="1"/>
  <c r="U62" i="99"/>
  <c r="U66" i="99"/>
  <c r="W66" i="99" s="1"/>
  <c r="U70" i="99"/>
  <c r="U74" i="99"/>
  <c r="U78" i="99"/>
  <c r="N53" i="48"/>
  <c r="O53" i="48"/>
  <c r="P53" i="48" s="1"/>
  <c r="Q53" i="48"/>
  <c r="N54" i="48"/>
  <c r="O54" i="48"/>
  <c r="P54" i="48" s="1"/>
  <c r="Q54" i="48"/>
  <c r="U54" i="48" s="1"/>
  <c r="N18" i="48"/>
  <c r="O18" i="48"/>
  <c r="P18" i="48" s="1"/>
  <c r="Q18" i="48"/>
  <c r="N23" i="48"/>
  <c r="O23" i="48"/>
  <c r="P23" i="48" s="1"/>
  <c r="Q23" i="48"/>
  <c r="U23" i="48" s="1"/>
  <c r="N24" i="48"/>
  <c r="O24" i="48"/>
  <c r="P24" i="48" s="1"/>
  <c r="Q24" i="48"/>
  <c r="N8" i="48"/>
  <c r="O8" i="48"/>
  <c r="P8" i="48" s="1"/>
  <c r="Q8" i="48"/>
  <c r="N71" i="48"/>
  <c r="O71" i="48"/>
  <c r="P71" i="48" s="1"/>
  <c r="Q71" i="48"/>
  <c r="U71" i="48" s="1"/>
  <c r="N72" i="48"/>
  <c r="O72" i="48"/>
  <c r="P72" i="48" s="1"/>
  <c r="Q72" i="48"/>
  <c r="U72" i="48" s="1"/>
  <c r="N73" i="48"/>
  <c r="O73" i="48"/>
  <c r="P73" i="48" s="1"/>
  <c r="Q73" i="48"/>
  <c r="U73" i="48" s="1"/>
  <c r="N74" i="48"/>
  <c r="O74" i="48"/>
  <c r="P74" i="48" s="1"/>
  <c r="Q74" i="48"/>
  <c r="U74" i="48" s="1"/>
  <c r="N75" i="48"/>
  <c r="O75" i="48"/>
  <c r="P75" i="48" s="1"/>
  <c r="Q75" i="48"/>
  <c r="U75" i="48" s="1"/>
  <c r="G53" i="48"/>
  <c r="K53" i="48" s="1"/>
  <c r="H53" i="48"/>
  <c r="G54" i="48"/>
  <c r="K54" i="48" s="1"/>
  <c r="H54" i="48"/>
  <c r="G18" i="48"/>
  <c r="K18" i="48" s="1"/>
  <c r="H18" i="48"/>
  <c r="G23" i="48"/>
  <c r="K23" i="48" s="1"/>
  <c r="H23" i="48"/>
  <c r="I23" i="48" s="1"/>
  <c r="G24" i="48"/>
  <c r="K24" i="48" s="1"/>
  <c r="H24" i="48"/>
  <c r="G8" i="48"/>
  <c r="K8" i="48" s="1"/>
  <c r="H8" i="48"/>
  <c r="G71" i="48"/>
  <c r="K71" i="48" s="1"/>
  <c r="H71" i="48"/>
  <c r="G72" i="48"/>
  <c r="K72" i="48" s="1"/>
  <c r="H72" i="48"/>
  <c r="G73" i="48"/>
  <c r="K73" i="48" s="1"/>
  <c r="H73" i="48"/>
  <c r="G74" i="48"/>
  <c r="K74" i="48" s="1"/>
  <c r="H74" i="48"/>
  <c r="G75" i="48"/>
  <c r="K75" i="48" s="1"/>
  <c r="H75" i="48"/>
  <c r="AH8" i="48"/>
  <c r="AH9" i="48" s="1"/>
  <c r="AH10" i="48" s="1"/>
  <c r="AH11" i="48" s="1"/>
  <c r="AH12" i="48" s="1"/>
  <c r="AH13" i="48" s="1"/>
  <c r="AH14" i="48" s="1"/>
  <c r="AH15" i="48" s="1"/>
  <c r="AH16" i="48" s="1"/>
  <c r="AH17" i="48" s="1"/>
  <c r="AH18" i="48" s="1"/>
  <c r="AH19" i="48" s="1"/>
  <c r="AH20" i="48" s="1"/>
  <c r="AH21" i="48" s="1"/>
  <c r="AH22" i="48" s="1"/>
  <c r="AH23" i="48" s="1"/>
  <c r="AH24" i="48" s="1"/>
  <c r="AH25" i="48" s="1"/>
  <c r="AH26" i="48" s="1"/>
  <c r="AH27" i="48" s="1"/>
  <c r="AH28" i="48" s="1"/>
  <c r="AH29" i="48" s="1"/>
  <c r="AH30" i="48" s="1"/>
  <c r="AH31" i="48" s="1"/>
  <c r="AH32" i="48" s="1"/>
  <c r="AH33" i="48" s="1"/>
  <c r="AH34" i="48" s="1"/>
  <c r="AH35" i="48" s="1"/>
  <c r="AH36" i="48" s="1"/>
  <c r="AH37" i="48" s="1"/>
  <c r="AH38" i="48" s="1"/>
  <c r="AH39" i="48" s="1"/>
  <c r="AH40" i="48" s="1"/>
  <c r="AH41" i="48" s="1"/>
  <c r="AH42" i="48" s="1"/>
  <c r="AH43" i="48" s="1"/>
  <c r="AH44" i="48" s="1"/>
  <c r="AK8" i="48"/>
  <c r="AL8" i="48"/>
  <c r="AL9" i="48" s="1"/>
  <c r="AL10" i="48" s="1"/>
  <c r="AL11" i="48" s="1"/>
  <c r="AL12" i="48" s="1"/>
  <c r="AP8" i="48"/>
  <c r="AP9" i="48" s="1"/>
  <c r="AP10" i="48" s="1"/>
  <c r="AP11" i="48" s="1"/>
  <c r="AP12" i="48" s="1"/>
  <c r="AP13" i="48" s="1"/>
  <c r="AP14" i="48" s="1"/>
  <c r="AP15" i="48" s="1"/>
  <c r="AP16" i="48" s="1"/>
  <c r="AP17" i="48" s="1"/>
  <c r="AP18" i="48" s="1"/>
  <c r="AP19" i="48" s="1"/>
  <c r="AP20" i="48" s="1"/>
  <c r="AP21" i="48" s="1"/>
  <c r="AP22" i="48" s="1"/>
  <c r="AP23" i="48" s="1"/>
  <c r="AP24" i="48" s="1"/>
  <c r="AP25" i="48" s="1"/>
  <c r="AP26" i="48" s="1"/>
  <c r="AP27" i="48" s="1"/>
  <c r="AP28" i="48" s="1"/>
  <c r="AP29" i="48" s="1"/>
  <c r="AP30" i="48" s="1"/>
  <c r="AP31" i="48" s="1"/>
  <c r="AP32" i="48" s="1"/>
  <c r="AP33" i="48" s="1"/>
  <c r="AP34" i="48" s="1"/>
  <c r="AP35" i="48" s="1"/>
  <c r="AP36" i="48" s="1"/>
  <c r="AP37" i="48" s="1"/>
  <c r="AP38" i="48" s="1"/>
  <c r="AP39" i="48" s="1"/>
  <c r="AP40" i="48" s="1"/>
  <c r="AP41" i="48" s="1"/>
  <c r="AP42" i="48" s="1"/>
  <c r="AP43" i="48" s="1"/>
  <c r="AP44" i="48" s="1"/>
  <c r="AS8" i="48"/>
  <c r="Z13" i="102" l="1"/>
  <c r="T13" i="102"/>
  <c r="V13" i="102"/>
  <c r="U79" i="104"/>
  <c r="U81" i="104" s="1"/>
  <c r="T9" i="104"/>
  <c r="S9" i="104"/>
  <c r="R79" i="107"/>
  <c r="V8" i="107"/>
  <c r="W8" i="107" s="1"/>
  <c r="V16" i="105"/>
  <c r="W16" i="105" s="1"/>
  <c r="U79" i="106"/>
  <c r="U81" i="106" s="1"/>
  <c r="X77" i="107"/>
  <c r="S77" i="107"/>
  <c r="Z77" i="107"/>
  <c r="X56" i="107"/>
  <c r="Z56" i="107"/>
  <c r="T56" i="107"/>
  <c r="S56" i="107"/>
  <c r="S38" i="107"/>
  <c r="Z38" i="107"/>
  <c r="X38" i="107"/>
  <c r="X64" i="107"/>
  <c r="Z64" i="107"/>
  <c r="S64" i="107"/>
  <c r="T64" i="107"/>
  <c r="S74" i="107"/>
  <c r="Z74" i="107"/>
  <c r="X74" i="107"/>
  <c r="T77" i="107"/>
  <c r="X72" i="107"/>
  <c r="Z72" i="107"/>
  <c r="S72" i="107"/>
  <c r="T72" i="107"/>
  <c r="Z67" i="107"/>
  <c r="X67" i="107"/>
  <c r="S67" i="107"/>
  <c r="X52" i="107"/>
  <c r="Z52" i="107"/>
  <c r="S52" i="107"/>
  <c r="X18" i="107"/>
  <c r="S18" i="107"/>
  <c r="Z18" i="107"/>
  <c r="S9" i="107"/>
  <c r="Z9" i="107"/>
  <c r="X9" i="107"/>
  <c r="X36" i="107"/>
  <c r="Z36" i="107"/>
  <c r="S36" i="107"/>
  <c r="T38" i="107"/>
  <c r="Z10" i="107"/>
  <c r="X10" i="107"/>
  <c r="S10" i="107"/>
  <c r="V7" i="107"/>
  <c r="V28" i="107"/>
  <c r="Y12" i="107"/>
  <c r="S54" i="107"/>
  <c r="Z54" i="107"/>
  <c r="X54" i="107"/>
  <c r="X73" i="107"/>
  <c r="S73" i="107"/>
  <c r="Z73" i="107"/>
  <c r="T74" i="107"/>
  <c r="V66" i="107"/>
  <c r="W66" i="107" s="1"/>
  <c r="Y66" i="107"/>
  <c r="Z47" i="107"/>
  <c r="X47" i="107"/>
  <c r="T47" i="107"/>
  <c r="S47" i="107"/>
  <c r="Z59" i="107"/>
  <c r="X59" i="107"/>
  <c r="S59" i="107"/>
  <c r="X16" i="107"/>
  <c r="Z16" i="107"/>
  <c r="S16" i="107"/>
  <c r="S13" i="107"/>
  <c r="Z13" i="107"/>
  <c r="X13" i="107"/>
  <c r="Y41" i="107"/>
  <c r="Y7" i="107"/>
  <c r="AL10" i="107"/>
  <c r="AM9" i="107"/>
  <c r="V14" i="107"/>
  <c r="W14" i="107" s="1"/>
  <c r="T10" i="107"/>
  <c r="W28" i="107"/>
  <c r="V24" i="107"/>
  <c r="W24" i="107" s="1"/>
  <c r="Y24" i="107"/>
  <c r="V40" i="107"/>
  <c r="W40" i="107" s="1"/>
  <c r="V15" i="107"/>
  <c r="W15" i="107" s="1"/>
  <c r="Y15" i="107"/>
  <c r="Z46" i="107"/>
  <c r="S46" i="107"/>
  <c r="X46" i="107"/>
  <c r="Z63" i="107"/>
  <c r="X63" i="107"/>
  <c r="S63" i="107"/>
  <c r="V30" i="107"/>
  <c r="W30" i="107" s="1"/>
  <c r="V19" i="107"/>
  <c r="W19" i="107" s="1"/>
  <c r="V42" i="107"/>
  <c r="W42" i="107" s="1"/>
  <c r="V17" i="107"/>
  <c r="W17" i="107" s="1"/>
  <c r="X68" i="107"/>
  <c r="Z68" i="107"/>
  <c r="T68" i="107"/>
  <c r="S68" i="107"/>
  <c r="S58" i="107"/>
  <c r="Z58" i="107"/>
  <c r="X58" i="107"/>
  <c r="T54" i="107"/>
  <c r="X43" i="107"/>
  <c r="Z43" i="107"/>
  <c r="T43" i="107"/>
  <c r="S43" i="107"/>
  <c r="X49" i="107"/>
  <c r="S49" i="107"/>
  <c r="Z49" i="107"/>
  <c r="T52" i="107"/>
  <c r="X57" i="107"/>
  <c r="S57" i="107"/>
  <c r="Z57" i="107"/>
  <c r="S27" i="107"/>
  <c r="Z27" i="107"/>
  <c r="X27" i="107"/>
  <c r="T79" i="107"/>
  <c r="AX2" i="107" s="1"/>
  <c r="Y40" i="107"/>
  <c r="Y31" i="107"/>
  <c r="Y19" i="107"/>
  <c r="X76" i="107"/>
  <c r="Z76" i="107"/>
  <c r="T76" i="107"/>
  <c r="S76" i="107"/>
  <c r="X44" i="107"/>
  <c r="S44" i="107"/>
  <c r="Z44" i="107"/>
  <c r="T44" i="107"/>
  <c r="X39" i="107"/>
  <c r="Z39" i="107"/>
  <c r="S39" i="107"/>
  <c r="S70" i="107"/>
  <c r="Z70" i="107"/>
  <c r="X70" i="107"/>
  <c r="T70" i="107"/>
  <c r="Z55" i="107"/>
  <c r="X55" i="107"/>
  <c r="S55" i="107"/>
  <c r="S62" i="107"/>
  <c r="Z62" i="107"/>
  <c r="X62" i="107"/>
  <c r="W53" i="107"/>
  <c r="X60" i="107"/>
  <c r="Z60" i="107"/>
  <c r="T60" i="107"/>
  <c r="S60" i="107"/>
  <c r="V51" i="107"/>
  <c r="W51" i="107" s="1"/>
  <c r="T57" i="107"/>
  <c r="V26" i="107"/>
  <c r="W26" i="107" s="1"/>
  <c r="V32" i="107"/>
  <c r="W32" i="107" s="1"/>
  <c r="S35" i="107"/>
  <c r="Z35" i="107"/>
  <c r="X35" i="107"/>
  <c r="V22" i="107"/>
  <c r="W22" i="107" s="1"/>
  <c r="Y22" i="107"/>
  <c r="X69" i="107"/>
  <c r="S69" i="107"/>
  <c r="Z69" i="107"/>
  <c r="X23" i="107"/>
  <c r="Z23" i="107"/>
  <c r="S23" i="107"/>
  <c r="X20" i="107"/>
  <c r="S20" i="107"/>
  <c r="Z20" i="107"/>
  <c r="S11" i="107"/>
  <c r="Z11" i="107"/>
  <c r="X11" i="107"/>
  <c r="Y53" i="107"/>
  <c r="Z50" i="107"/>
  <c r="X50" i="107"/>
  <c r="S50" i="107"/>
  <c r="X45" i="107"/>
  <c r="S45" i="107"/>
  <c r="Z45" i="107"/>
  <c r="S78" i="107"/>
  <c r="Z78" i="107"/>
  <c r="X78" i="107"/>
  <c r="Z75" i="107"/>
  <c r="X75" i="107"/>
  <c r="S75" i="107"/>
  <c r="X48" i="107"/>
  <c r="Z48" i="107"/>
  <c r="T48" i="107"/>
  <c r="S48" i="107"/>
  <c r="T49" i="107"/>
  <c r="Z71" i="107"/>
  <c r="X71" i="107"/>
  <c r="S71" i="107"/>
  <c r="Y61" i="107"/>
  <c r="V37" i="107"/>
  <c r="W37" i="107" s="1"/>
  <c r="X25" i="107"/>
  <c r="S25" i="107"/>
  <c r="Z25" i="107"/>
  <c r="T39" i="107"/>
  <c r="W7" i="107"/>
  <c r="V33" i="107"/>
  <c r="W33" i="107" s="1"/>
  <c r="V34" i="107"/>
  <c r="W34" i="107" s="1"/>
  <c r="Y21" i="107"/>
  <c r="Y8" i="107"/>
  <c r="W58" i="106"/>
  <c r="W43" i="106"/>
  <c r="W35" i="106"/>
  <c r="W33" i="106"/>
  <c r="X76" i="106"/>
  <c r="Z76" i="106"/>
  <c r="T76" i="106"/>
  <c r="S76" i="106"/>
  <c r="Z24" i="106"/>
  <c r="S24" i="106"/>
  <c r="X24" i="106"/>
  <c r="AM9" i="106"/>
  <c r="AL10" i="106"/>
  <c r="Z50" i="106"/>
  <c r="X50" i="106"/>
  <c r="S50" i="106"/>
  <c r="X45" i="106"/>
  <c r="Z45" i="106"/>
  <c r="T45" i="106"/>
  <c r="S45" i="106"/>
  <c r="Y14" i="106"/>
  <c r="S78" i="106"/>
  <c r="Z78" i="106"/>
  <c r="X78" i="106"/>
  <c r="S62" i="106"/>
  <c r="Z62" i="106"/>
  <c r="X62" i="106"/>
  <c r="Z46" i="106"/>
  <c r="X46" i="106"/>
  <c r="S46" i="106"/>
  <c r="X56" i="106"/>
  <c r="Z56" i="106"/>
  <c r="S56" i="106"/>
  <c r="Z54" i="106"/>
  <c r="X54" i="106"/>
  <c r="S54" i="106"/>
  <c r="Y52" i="106"/>
  <c r="S29" i="106"/>
  <c r="Z29" i="106"/>
  <c r="X29" i="106"/>
  <c r="T29" i="106"/>
  <c r="V16" i="106"/>
  <c r="W16" i="106" s="1"/>
  <c r="Z19" i="106"/>
  <c r="S19" i="106"/>
  <c r="X19" i="106"/>
  <c r="Y8" i="106"/>
  <c r="Z51" i="106"/>
  <c r="X51" i="106"/>
  <c r="T51" i="106"/>
  <c r="S51" i="106"/>
  <c r="X41" i="106"/>
  <c r="Z41" i="106"/>
  <c r="S41" i="106"/>
  <c r="S28" i="106"/>
  <c r="Z28" i="106"/>
  <c r="X28" i="106"/>
  <c r="V33" i="106"/>
  <c r="Y33" i="106"/>
  <c r="S10" i="106"/>
  <c r="Z10" i="106"/>
  <c r="X10" i="106"/>
  <c r="V15" i="106"/>
  <c r="W15" i="106" s="1"/>
  <c r="V35" i="106"/>
  <c r="Y35" i="106"/>
  <c r="Z75" i="106"/>
  <c r="X75" i="106"/>
  <c r="S75" i="106"/>
  <c r="X38" i="106"/>
  <c r="Z38" i="106"/>
  <c r="T38" i="106"/>
  <c r="S38" i="106"/>
  <c r="X34" i="106"/>
  <c r="Z34" i="106"/>
  <c r="T34" i="106"/>
  <c r="S34" i="106"/>
  <c r="S27" i="106"/>
  <c r="Z27" i="106"/>
  <c r="X27" i="106"/>
  <c r="Y18" i="106"/>
  <c r="Z20" i="106"/>
  <c r="S20" i="106"/>
  <c r="X20" i="106"/>
  <c r="S9" i="106"/>
  <c r="Z9" i="106"/>
  <c r="X9" i="106"/>
  <c r="Z55" i="106"/>
  <c r="X55" i="106"/>
  <c r="S55" i="106"/>
  <c r="Z26" i="106"/>
  <c r="X26" i="106"/>
  <c r="T26" i="106"/>
  <c r="S26" i="106"/>
  <c r="S74" i="106"/>
  <c r="Z74" i="106"/>
  <c r="X74" i="106"/>
  <c r="S66" i="106"/>
  <c r="Z66" i="106"/>
  <c r="X66" i="106"/>
  <c r="X73" i="106"/>
  <c r="S73" i="106"/>
  <c r="Z73" i="106"/>
  <c r="Z71" i="106"/>
  <c r="X71" i="106"/>
  <c r="S71" i="106"/>
  <c r="V48" i="106"/>
  <c r="W48" i="106" s="1"/>
  <c r="Y48" i="106"/>
  <c r="V43" i="106"/>
  <c r="S30" i="106"/>
  <c r="Z30" i="106"/>
  <c r="X30" i="106"/>
  <c r="Z22" i="106"/>
  <c r="S22" i="106"/>
  <c r="X22" i="106"/>
  <c r="Z25" i="106"/>
  <c r="S25" i="106"/>
  <c r="X25" i="106"/>
  <c r="S11" i="106"/>
  <c r="Z11" i="106"/>
  <c r="X11" i="106"/>
  <c r="V17" i="106"/>
  <c r="W17" i="106" s="1"/>
  <c r="V37" i="106"/>
  <c r="W37" i="106" s="1"/>
  <c r="T24" i="106"/>
  <c r="Y17" i="106"/>
  <c r="S53" i="106"/>
  <c r="Z53" i="106"/>
  <c r="X53" i="106"/>
  <c r="S70" i="106"/>
  <c r="Z70" i="106"/>
  <c r="X70" i="106"/>
  <c r="T50" i="106"/>
  <c r="X69" i="106"/>
  <c r="S69" i="106"/>
  <c r="Z69" i="106"/>
  <c r="T62" i="106"/>
  <c r="T56" i="106"/>
  <c r="Z63" i="106"/>
  <c r="X63" i="106"/>
  <c r="S63" i="106"/>
  <c r="X40" i="106"/>
  <c r="S40" i="106"/>
  <c r="Z40" i="106"/>
  <c r="Z47" i="106"/>
  <c r="X47" i="106"/>
  <c r="S47" i="106"/>
  <c r="V49" i="106"/>
  <c r="W49" i="106" s="1"/>
  <c r="R79" i="106"/>
  <c r="S7" i="106"/>
  <c r="X7" i="106"/>
  <c r="Z7" i="106"/>
  <c r="V12" i="106"/>
  <c r="W12" i="106" s="1"/>
  <c r="Y15" i="106"/>
  <c r="Z67" i="106"/>
  <c r="X67" i="106"/>
  <c r="S67" i="106"/>
  <c r="V58" i="106"/>
  <c r="X42" i="106"/>
  <c r="S42" i="106"/>
  <c r="Z42" i="106"/>
  <c r="T78" i="106"/>
  <c r="X77" i="106"/>
  <c r="S77" i="106"/>
  <c r="Z77" i="106"/>
  <c r="X65" i="106"/>
  <c r="S65" i="106"/>
  <c r="Z65" i="106"/>
  <c r="Y68" i="106"/>
  <c r="Z21" i="106"/>
  <c r="X21" i="106"/>
  <c r="S21" i="106"/>
  <c r="X60" i="106"/>
  <c r="Z60" i="106"/>
  <c r="T60" i="106"/>
  <c r="S60" i="106"/>
  <c r="X72" i="106"/>
  <c r="Z72" i="106"/>
  <c r="S72" i="106"/>
  <c r="T72" i="106"/>
  <c r="V64" i="106"/>
  <c r="W64" i="106" s="1"/>
  <c r="T70" i="106"/>
  <c r="V61" i="106"/>
  <c r="W61" i="106" s="1"/>
  <c r="Y61" i="106"/>
  <c r="Z23" i="106"/>
  <c r="X23" i="106"/>
  <c r="T23" i="106"/>
  <c r="S23" i="106"/>
  <c r="X32" i="106"/>
  <c r="Z32" i="106"/>
  <c r="T32" i="106"/>
  <c r="S32" i="106"/>
  <c r="X39" i="106"/>
  <c r="S39" i="106"/>
  <c r="Z39" i="106"/>
  <c r="Y31" i="106"/>
  <c r="T9" i="106"/>
  <c r="Y13" i="106"/>
  <c r="W50" i="105"/>
  <c r="W33" i="105"/>
  <c r="W11" i="105"/>
  <c r="W32" i="105"/>
  <c r="W29" i="105"/>
  <c r="X30" i="105"/>
  <c r="S30" i="105"/>
  <c r="Z30" i="105"/>
  <c r="S70" i="105"/>
  <c r="Z70" i="105"/>
  <c r="X70" i="105"/>
  <c r="X35" i="105"/>
  <c r="S35" i="105"/>
  <c r="Z35" i="105"/>
  <c r="W75" i="105"/>
  <c r="S53" i="105"/>
  <c r="Z53" i="105"/>
  <c r="X53" i="105"/>
  <c r="Y68" i="105"/>
  <c r="V68" i="105"/>
  <c r="W68" i="105" s="1"/>
  <c r="V61" i="105"/>
  <c r="W61" i="105" s="1"/>
  <c r="Z47" i="105"/>
  <c r="S47" i="105"/>
  <c r="X47" i="105"/>
  <c r="V31" i="105"/>
  <c r="W31" i="105" s="1"/>
  <c r="Y31" i="105"/>
  <c r="V12" i="105"/>
  <c r="W12" i="105" s="1"/>
  <c r="V27" i="105"/>
  <c r="W27" i="105" s="1"/>
  <c r="V9" i="105"/>
  <c r="W9" i="105" s="1"/>
  <c r="V74" i="105"/>
  <c r="W74" i="105" s="1"/>
  <c r="Y74" i="105"/>
  <c r="Z71" i="105"/>
  <c r="S71" i="105"/>
  <c r="X71" i="105"/>
  <c r="V62" i="105"/>
  <c r="W62" i="105" s="1"/>
  <c r="Y62" i="105"/>
  <c r="V60" i="105"/>
  <c r="W60" i="105" s="1"/>
  <c r="Y60" i="105"/>
  <c r="X42" i="105"/>
  <c r="S42" i="105"/>
  <c r="Z42" i="105"/>
  <c r="T42" i="105"/>
  <c r="S37" i="105"/>
  <c r="Z37" i="105"/>
  <c r="X37" i="105"/>
  <c r="V14" i="105"/>
  <c r="W14" i="105" s="1"/>
  <c r="V7" i="105"/>
  <c r="S46" i="105"/>
  <c r="Z46" i="105"/>
  <c r="X46" i="105"/>
  <c r="Y72" i="105"/>
  <c r="V72" i="105"/>
  <c r="W72" i="105" s="1"/>
  <c r="X23" i="105"/>
  <c r="S23" i="105"/>
  <c r="Z23" i="105"/>
  <c r="V50" i="105"/>
  <c r="V32" i="105"/>
  <c r="R79" i="105"/>
  <c r="V33" i="105"/>
  <c r="V15" i="105"/>
  <c r="W15" i="105" s="1"/>
  <c r="X26" i="105"/>
  <c r="Z26" i="105"/>
  <c r="S26" i="105"/>
  <c r="Y14" i="105"/>
  <c r="V29" i="105"/>
  <c r="Z63" i="105"/>
  <c r="X63" i="105"/>
  <c r="S63" i="105"/>
  <c r="T63" i="105"/>
  <c r="V39" i="105"/>
  <c r="W39" i="105" s="1"/>
  <c r="T46" i="105"/>
  <c r="S54" i="105"/>
  <c r="X54" i="105"/>
  <c r="Z54" i="105"/>
  <c r="V52" i="105"/>
  <c r="W52" i="105" s="1"/>
  <c r="V21" i="105"/>
  <c r="W21" i="105" s="1"/>
  <c r="Z59" i="105"/>
  <c r="T59" i="105"/>
  <c r="X59" i="105"/>
  <c r="S59" i="105"/>
  <c r="Z51" i="105"/>
  <c r="X51" i="105"/>
  <c r="S51" i="105"/>
  <c r="Y77" i="105"/>
  <c r="V58" i="105"/>
  <c r="W58" i="105" s="1"/>
  <c r="X48" i="105"/>
  <c r="S48" i="105"/>
  <c r="Z48" i="105"/>
  <c r="Y52" i="105"/>
  <c r="Y29" i="105"/>
  <c r="Y32" i="105"/>
  <c r="T30" i="105"/>
  <c r="T79" i="105" s="1"/>
  <c r="AX2" i="105" s="1"/>
  <c r="Y50" i="105"/>
  <c r="T48" i="105"/>
  <c r="V56" i="105"/>
  <c r="W56" i="105" s="1"/>
  <c r="Y56" i="105"/>
  <c r="X43" i="105"/>
  <c r="Z43" i="105"/>
  <c r="S43" i="105"/>
  <c r="V17" i="105"/>
  <c r="W17" i="105" s="1"/>
  <c r="V41" i="105"/>
  <c r="W41" i="105" s="1"/>
  <c r="V34" i="105"/>
  <c r="W34" i="105" s="1"/>
  <c r="Y19" i="105"/>
  <c r="V11" i="105"/>
  <c r="T26" i="105"/>
  <c r="Z55" i="105"/>
  <c r="X55" i="105"/>
  <c r="S55" i="105"/>
  <c r="T55" i="105"/>
  <c r="S78" i="105"/>
  <c r="Z78" i="105"/>
  <c r="X78" i="105"/>
  <c r="V66" i="105"/>
  <c r="W66" i="105" s="1"/>
  <c r="Y64" i="105"/>
  <c r="V64" i="105"/>
  <c r="W64" i="105" s="1"/>
  <c r="Z49" i="105"/>
  <c r="T49" i="105"/>
  <c r="X49" i="105"/>
  <c r="S49" i="105"/>
  <c r="X24" i="105"/>
  <c r="Z24" i="105"/>
  <c r="S24" i="105"/>
  <c r="T43" i="105"/>
  <c r="V10" i="105"/>
  <c r="W10" i="105" s="1"/>
  <c r="Y15" i="105"/>
  <c r="Y16" i="105"/>
  <c r="Z67" i="105"/>
  <c r="X67" i="105"/>
  <c r="T67" i="105"/>
  <c r="S67" i="105"/>
  <c r="T78" i="105"/>
  <c r="X76" i="105"/>
  <c r="S76" i="105"/>
  <c r="Z76" i="105"/>
  <c r="T53" i="105"/>
  <c r="W44" i="105"/>
  <c r="T47" i="105"/>
  <c r="T24" i="105"/>
  <c r="X28" i="105"/>
  <c r="S28" i="105"/>
  <c r="Z28" i="105"/>
  <c r="AM9" i="105"/>
  <c r="AL10" i="105"/>
  <c r="Y20" i="105"/>
  <c r="V13" i="105"/>
  <c r="W13" i="105" s="1"/>
  <c r="V18" i="105"/>
  <c r="W18" i="105" s="1"/>
  <c r="Y33" i="105"/>
  <c r="V8" i="105"/>
  <c r="W8" i="105" s="1"/>
  <c r="V25" i="105"/>
  <c r="W25" i="105" s="1"/>
  <c r="Y11" i="105"/>
  <c r="W76" i="104"/>
  <c r="W16" i="104"/>
  <c r="W12" i="104"/>
  <c r="W46" i="104"/>
  <c r="W59" i="104"/>
  <c r="W34" i="104"/>
  <c r="W56" i="104"/>
  <c r="W50" i="104"/>
  <c r="W42" i="104"/>
  <c r="V46" i="104"/>
  <c r="V42" i="104"/>
  <c r="Y42" i="104"/>
  <c r="X18" i="104"/>
  <c r="S18" i="104"/>
  <c r="Z18" i="104"/>
  <c r="V27" i="104"/>
  <c r="W27" i="104" s="1"/>
  <c r="Y27" i="104"/>
  <c r="V12" i="104"/>
  <c r="Y12" i="104"/>
  <c r="V72" i="104"/>
  <c r="W72" i="104" s="1"/>
  <c r="Y72" i="104"/>
  <c r="Y46" i="104"/>
  <c r="V35" i="104"/>
  <c r="W35" i="104" s="1"/>
  <c r="Y35" i="104"/>
  <c r="V29" i="104"/>
  <c r="W29" i="104" s="1"/>
  <c r="X44" i="104"/>
  <c r="S44" i="104"/>
  <c r="Z44" i="104"/>
  <c r="V34" i="104"/>
  <c r="Y34" i="104"/>
  <c r="V62" i="104"/>
  <c r="W62" i="104" s="1"/>
  <c r="V33" i="104"/>
  <c r="W33" i="104" s="1"/>
  <c r="Y33" i="104"/>
  <c r="X43" i="104"/>
  <c r="Z43" i="104"/>
  <c r="S43" i="104"/>
  <c r="V73" i="104"/>
  <c r="W73" i="104" s="1"/>
  <c r="Y73" i="104"/>
  <c r="V16" i="104"/>
  <c r="V59" i="104"/>
  <c r="X25" i="104"/>
  <c r="S25" i="104"/>
  <c r="Z25" i="104"/>
  <c r="V32" i="104"/>
  <c r="W32" i="104" s="1"/>
  <c r="Y66" i="104"/>
  <c r="X45" i="104"/>
  <c r="S45" i="104"/>
  <c r="Z45" i="104"/>
  <c r="X26" i="104"/>
  <c r="S26" i="104"/>
  <c r="Z26" i="104"/>
  <c r="T26" i="104"/>
  <c r="V28" i="104"/>
  <c r="W28" i="104" s="1"/>
  <c r="X17" i="104"/>
  <c r="Z17" i="104"/>
  <c r="S17" i="104"/>
  <c r="T17" i="104"/>
  <c r="X39" i="104"/>
  <c r="Z39" i="104"/>
  <c r="S39" i="104"/>
  <c r="T39" i="104"/>
  <c r="W31" i="104"/>
  <c r="V50" i="104"/>
  <c r="X11" i="104"/>
  <c r="Z11" i="104"/>
  <c r="S11" i="104"/>
  <c r="T11" i="104"/>
  <c r="S58" i="104"/>
  <c r="Z58" i="104"/>
  <c r="X58" i="104"/>
  <c r="V75" i="104"/>
  <c r="W75" i="104" s="1"/>
  <c r="W60" i="104"/>
  <c r="V78" i="104"/>
  <c r="W78" i="104" s="1"/>
  <c r="Y53" i="104"/>
  <c r="Z47" i="104"/>
  <c r="X47" i="104"/>
  <c r="S47" i="104"/>
  <c r="V48" i="104"/>
  <c r="W48" i="104" s="1"/>
  <c r="V24" i="104"/>
  <c r="W24" i="104" s="1"/>
  <c r="AL11" i="104"/>
  <c r="AM10" i="104"/>
  <c r="V69" i="104"/>
  <c r="W69" i="104" s="1"/>
  <c r="V76" i="104"/>
  <c r="Y76" i="104"/>
  <c r="Y64" i="104"/>
  <c r="V61" i="104"/>
  <c r="W61" i="104" s="1"/>
  <c r="Y61" i="104"/>
  <c r="X20" i="104"/>
  <c r="S20" i="104"/>
  <c r="Z20" i="104"/>
  <c r="X40" i="104"/>
  <c r="Z40" i="104"/>
  <c r="S40" i="104"/>
  <c r="S74" i="104"/>
  <c r="Z74" i="104"/>
  <c r="X74" i="104"/>
  <c r="V55" i="104"/>
  <c r="W55" i="104" s="1"/>
  <c r="Y67" i="104"/>
  <c r="T44" i="104"/>
  <c r="Y69" i="104"/>
  <c r="X23" i="104"/>
  <c r="S23" i="104"/>
  <c r="Z23" i="104"/>
  <c r="V68" i="104"/>
  <c r="W68" i="104" s="1"/>
  <c r="X30" i="104"/>
  <c r="Z30" i="104"/>
  <c r="S30" i="104"/>
  <c r="V7" i="104"/>
  <c r="W7" i="104" s="1"/>
  <c r="X52" i="104"/>
  <c r="S52" i="104"/>
  <c r="Z52" i="104"/>
  <c r="S57" i="104"/>
  <c r="Z57" i="104"/>
  <c r="X57" i="104"/>
  <c r="Z51" i="104"/>
  <c r="X51" i="104"/>
  <c r="S51" i="104"/>
  <c r="T51" i="104"/>
  <c r="Z63" i="104"/>
  <c r="X63" i="104"/>
  <c r="S63" i="104"/>
  <c r="T63" i="104"/>
  <c r="S70" i="104"/>
  <c r="Z70" i="104"/>
  <c r="X70" i="104"/>
  <c r="Y71" i="104"/>
  <c r="S54" i="104"/>
  <c r="Z54" i="104"/>
  <c r="X54" i="104"/>
  <c r="Z65" i="104"/>
  <c r="X65" i="104"/>
  <c r="S65" i="104"/>
  <c r="T65" i="104"/>
  <c r="T20" i="104"/>
  <c r="V56" i="104"/>
  <c r="V41" i="104"/>
  <c r="W41" i="104" s="1"/>
  <c r="V49" i="104"/>
  <c r="W49" i="104" s="1"/>
  <c r="V77" i="104"/>
  <c r="W77" i="104" s="1"/>
  <c r="Y77" i="104"/>
  <c r="Y62" i="104"/>
  <c r="Y32" i="104"/>
  <c r="Y8" i="104"/>
  <c r="V36" i="104"/>
  <c r="W36" i="104" s="1"/>
  <c r="Y36" i="104"/>
  <c r="V22" i="104"/>
  <c r="W22" i="104" s="1"/>
  <c r="X13" i="104"/>
  <c r="Z13" i="104"/>
  <c r="T13" i="104"/>
  <c r="S13" i="104"/>
  <c r="Y16" i="104"/>
  <c r="V14" i="104"/>
  <c r="W14" i="104" s="1"/>
  <c r="Y14" i="104"/>
  <c r="R79" i="104"/>
  <c r="W7" i="102"/>
  <c r="W59" i="102"/>
  <c r="W68" i="102"/>
  <c r="W64" i="102"/>
  <c r="W34" i="102"/>
  <c r="W54" i="102"/>
  <c r="Z47" i="102"/>
  <c r="X47" i="102"/>
  <c r="T47" i="102"/>
  <c r="S47" i="102"/>
  <c r="S58" i="102"/>
  <c r="X58" i="102"/>
  <c r="Z58" i="102"/>
  <c r="Y68" i="102"/>
  <c r="V68" i="102"/>
  <c r="X72" i="102"/>
  <c r="S72" i="102"/>
  <c r="Z72" i="102"/>
  <c r="X31" i="102"/>
  <c r="S31" i="102"/>
  <c r="Z31" i="102"/>
  <c r="R79" i="102"/>
  <c r="Z53" i="102"/>
  <c r="X53" i="102"/>
  <c r="S53" i="102"/>
  <c r="T53" i="102"/>
  <c r="X39" i="102"/>
  <c r="S39" i="102"/>
  <c r="Z39" i="102"/>
  <c r="T72" i="102"/>
  <c r="V22" i="102"/>
  <c r="AL13" i="102"/>
  <c r="AM12" i="102"/>
  <c r="AN12" i="102" s="1"/>
  <c r="AO12" i="102" s="1"/>
  <c r="V54" i="102"/>
  <c r="Y15" i="102"/>
  <c r="Y9" i="102"/>
  <c r="X43" i="102"/>
  <c r="S43" i="102"/>
  <c r="Z43" i="102"/>
  <c r="W35" i="102"/>
  <c r="W24" i="102"/>
  <c r="V64" i="102"/>
  <c r="V34" i="102"/>
  <c r="V29" i="102"/>
  <c r="W29" i="102" s="1"/>
  <c r="Y22" i="102"/>
  <c r="Y62" i="102"/>
  <c r="V62" i="102"/>
  <c r="W62" i="102" s="1"/>
  <c r="Z46" i="102"/>
  <c r="X46" i="102"/>
  <c r="S46" i="102"/>
  <c r="W20" i="102"/>
  <c r="Z69" i="102"/>
  <c r="T69" i="102"/>
  <c r="S69" i="102"/>
  <c r="X69" i="102"/>
  <c r="X41" i="102"/>
  <c r="S41" i="102"/>
  <c r="Z41" i="102"/>
  <c r="X32" i="102"/>
  <c r="S32" i="102"/>
  <c r="Z32" i="102"/>
  <c r="T32" i="102"/>
  <c r="Y40" i="102"/>
  <c r="X45" i="102"/>
  <c r="S45" i="102"/>
  <c r="Z45" i="102"/>
  <c r="V26" i="102"/>
  <c r="W26" i="102" s="1"/>
  <c r="Y26" i="102"/>
  <c r="V18" i="102"/>
  <c r="W18" i="102" s="1"/>
  <c r="V10" i="102"/>
  <c r="W10" i="102" s="1"/>
  <c r="Y25" i="102"/>
  <c r="V70" i="102"/>
  <c r="W70" i="102" s="1"/>
  <c r="V36" i="102"/>
  <c r="W36" i="102" s="1"/>
  <c r="W16" i="102"/>
  <c r="Y20" i="102"/>
  <c r="Z75" i="102"/>
  <c r="X75" i="102"/>
  <c r="S75" i="102"/>
  <c r="T75" i="102"/>
  <c r="W22" i="102"/>
  <c r="Z71" i="102"/>
  <c r="S71" i="102"/>
  <c r="X71" i="102"/>
  <c r="T71" i="102"/>
  <c r="Z67" i="102"/>
  <c r="S67" i="102"/>
  <c r="T67" i="102"/>
  <c r="X67" i="102"/>
  <c r="Z51" i="102"/>
  <c r="T51" i="102"/>
  <c r="S51" i="102"/>
  <c r="X51" i="102"/>
  <c r="Z61" i="102"/>
  <c r="T61" i="102"/>
  <c r="S61" i="102"/>
  <c r="X61" i="102"/>
  <c r="X42" i="102"/>
  <c r="T42" i="102"/>
  <c r="Z42" i="102"/>
  <c r="S42" i="102"/>
  <c r="X56" i="102"/>
  <c r="S56" i="102"/>
  <c r="Z56" i="102"/>
  <c r="V76" i="102"/>
  <c r="W76" i="102" s="1"/>
  <c r="Y76" i="102"/>
  <c r="Y52" i="102"/>
  <c r="V52" i="102"/>
  <c r="W52" i="102" s="1"/>
  <c r="Y66" i="102"/>
  <c r="V66" i="102"/>
  <c r="W66" i="102" s="1"/>
  <c r="Z73" i="102"/>
  <c r="X73" i="102"/>
  <c r="S73" i="102"/>
  <c r="Y23" i="102"/>
  <c r="Y21" i="102"/>
  <c r="W14" i="102"/>
  <c r="V8" i="102"/>
  <c r="W8" i="102" s="1"/>
  <c r="Y10" i="102"/>
  <c r="V33" i="102"/>
  <c r="W33" i="102" s="1"/>
  <c r="Y16" i="102"/>
  <c r="S78" i="102"/>
  <c r="Z78" i="102"/>
  <c r="X78" i="102"/>
  <c r="S50" i="102"/>
  <c r="Z50" i="102"/>
  <c r="X50" i="102"/>
  <c r="Z57" i="102"/>
  <c r="X57" i="102"/>
  <c r="S57" i="102"/>
  <c r="V28" i="102"/>
  <c r="W28" i="102" s="1"/>
  <c r="Y28" i="102"/>
  <c r="Z65" i="102"/>
  <c r="S65" i="102"/>
  <c r="T65" i="102"/>
  <c r="X65" i="102"/>
  <c r="Z77" i="102"/>
  <c r="S77" i="102"/>
  <c r="X77" i="102"/>
  <c r="Z55" i="102"/>
  <c r="X55" i="102"/>
  <c r="T55" i="102"/>
  <c r="S55" i="102"/>
  <c r="T50" i="102"/>
  <c r="Y44" i="102"/>
  <c r="V63" i="102"/>
  <c r="W63" i="102" s="1"/>
  <c r="V59" i="102"/>
  <c r="T73" i="102"/>
  <c r="Y19" i="102"/>
  <c r="Y13" i="102"/>
  <c r="T31" i="102"/>
  <c r="W12" i="102"/>
  <c r="V7" i="102"/>
  <c r="Y12" i="102"/>
  <c r="W78" i="99"/>
  <c r="W9" i="99"/>
  <c r="W12" i="99"/>
  <c r="W24" i="99"/>
  <c r="S77" i="99"/>
  <c r="Z77" i="99"/>
  <c r="X77" i="99"/>
  <c r="X32" i="99"/>
  <c r="S32" i="99"/>
  <c r="Z32" i="99"/>
  <c r="S8" i="99"/>
  <c r="X8" i="99"/>
  <c r="Z8" i="99"/>
  <c r="S61" i="99"/>
  <c r="Z61" i="99"/>
  <c r="X61" i="99"/>
  <c r="Y70" i="99"/>
  <c r="X41" i="99"/>
  <c r="S41" i="99"/>
  <c r="Z41" i="99"/>
  <c r="X76" i="99"/>
  <c r="S76" i="99"/>
  <c r="Z76" i="99"/>
  <c r="W62" i="99"/>
  <c r="V75" i="99"/>
  <c r="W75" i="99" s="1"/>
  <c r="V78" i="99"/>
  <c r="X68" i="99"/>
  <c r="S68" i="99"/>
  <c r="Z68" i="99"/>
  <c r="T41" i="99"/>
  <c r="T32" i="99"/>
  <c r="V52" i="99"/>
  <c r="W52" i="99" s="1"/>
  <c r="X40" i="99"/>
  <c r="Z40" i="99"/>
  <c r="S40" i="99"/>
  <c r="X29" i="99"/>
  <c r="S29" i="99"/>
  <c r="Z29" i="99"/>
  <c r="X21" i="99"/>
  <c r="Z21" i="99"/>
  <c r="S21" i="99"/>
  <c r="V73" i="99"/>
  <c r="W73" i="99" s="1"/>
  <c r="Y73" i="99"/>
  <c r="V9" i="99"/>
  <c r="Y9" i="99"/>
  <c r="V12" i="99"/>
  <c r="T61" i="99"/>
  <c r="Z59" i="99"/>
  <c r="S59" i="99"/>
  <c r="X59" i="99"/>
  <c r="T59" i="99"/>
  <c r="Z14" i="99"/>
  <c r="S14" i="99"/>
  <c r="X14" i="99"/>
  <c r="T77" i="99"/>
  <c r="R79" i="99"/>
  <c r="X7" i="99"/>
  <c r="Z7" i="99"/>
  <c r="S7" i="99"/>
  <c r="V24" i="99"/>
  <c r="AL11" i="99"/>
  <c r="AM10" i="99"/>
  <c r="Z51" i="99"/>
  <c r="X51" i="99"/>
  <c r="T51" i="99"/>
  <c r="S51" i="99"/>
  <c r="Y72" i="99"/>
  <c r="Z47" i="99"/>
  <c r="S47" i="99"/>
  <c r="X47" i="99"/>
  <c r="T8" i="99"/>
  <c r="X28" i="99"/>
  <c r="S28" i="99"/>
  <c r="Z28" i="99"/>
  <c r="Z67" i="99"/>
  <c r="S67" i="99"/>
  <c r="T67" i="99"/>
  <c r="X67" i="99"/>
  <c r="V62" i="99"/>
  <c r="T47" i="99"/>
  <c r="Z71" i="99"/>
  <c r="S71" i="99"/>
  <c r="X71" i="99"/>
  <c r="Y39" i="99"/>
  <c r="Z55" i="99"/>
  <c r="S55" i="99"/>
  <c r="X55" i="99"/>
  <c r="T7" i="99"/>
  <c r="T79" i="99" s="1"/>
  <c r="AX2" i="99" s="1"/>
  <c r="P82" i="99" s="1"/>
  <c r="T28" i="99"/>
  <c r="V23" i="99"/>
  <c r="W23" i="99" s="1"/>
  <c r="X60" i="99"/>
  <c r="S60" i="99"/>
  <c r="Z60" i="99"/>
  <c r="T14" i="99"/>
  <c r="V57" i="99"/>
  <c r="W57" i="99" s="1"/>
  <c r="Y57" i="99"/>
  <c r="Y58" i="99"/>
  <c r="V18" i="99"/>
  <c r="W18" i="99" s="1"/>
  <c r="S69" i="99"/>
  <c r="Z69" i="99"/>
  <c r="X69" i="99"/>
  <c r="S49" i="99"/>
  <c r="Z49" i="99"/>
  <c r="X49" i="99"/>
  <c r="V42" i="99"/>
  <c r="W42" i="99" s="1"/>
  <c r="S11" i="99"/>
  <c r="X11" i="99"/>
  <c r="Z11" i="99"/>
  <c r="W54" i="99"/>
  <c r="X48" i="99"/>
  <c r="S48" i="99"/>
  <c r="Z48" i="99"/>
  <c r="S46" i="99"/>
  <c r="Z46" i="99"/>
  <c r="X46" i="99"/>
  <c r="X36" i="99"/>
  <c r="Z36" i="99"/>
  <c r="T36" i="99"/>
  <c r="S36" i="99"/>
  <c r="V50" i="99"/>
  <c r="W50" i="99" s="1"/>
  <c r="X35" i="99"/>
  <c r="S35" i="99"/>
  <c r="Z35" i="99"/>
  <c r="V54" i="99"/>
  <c r="Z16" i="99"/>
  <c r="S16" i="99"/>
  <c r="X16" i="99"/>
  <c r="Y66" i="99"/>
  <c r="V25" i="99"/>
  <c r="W25" i="99" s="1"/>
  <c r="Y25" i="99"/>
  <c r="Y12" i="99"/>
  <c r="Z17" i="99"/>
  <c r="S17" i="99"/>
  <c r="X17" i="99"/>
  <c r="X38" i="99"/>
  <c r="Z38" i="99"/>
  <c r="T38" i="99"/>
  <c r="S38" i="99"/>
  <c r="T17" i="99"/>
  <c r="V74" i="99"/>
  <c r="W74" i="99" s="1"/>
  <c r="S65" i="99"/>
  <c r="T65" i="99"/>
  <c r="Z65" i="99"/>
  <c r="X65" i="99"/>
  <c r="S53" i="99"/>
  <c r="X53" i="99"/>
  <c r="Z53" i="99"/>
  <c r="Y13" i="99"/>
  <c r="Y75" i="99"/>
  <c r="Y78" i="99"/>
  <c r="T68" i="99"/>
  <c r="T76" i="99"/>
  <c r="X43" i="99"/>
  <c r="S43" i="99"/>
  <c r="Z43" i="99"/>
  <c r="T35" i="99"/>
  <c r="Z63" i="99"/>
  <c r="S63" i="99"/>
  <c r="X63" i="99"/>
  <c r="X45" i="99"/>
  <c r="Z45" i="99"/>
  <c r="S45" i="99"/>
  <c r="T40" i="99"/>
  <c r="X34" i="99"/>
  <c r="Z34" i="99"/>
  <c r="S34" i="99"/>
  <c r="Y19" i="99"/>
  <c r="V19" i="99"/>
  <c r="W19" i="99" s="1"/>
  <c r="T16" i="99"/>
  <c r="X31" i="99"/>
  <c r="S31" i="99"/>
  <c r="Z31" i="99"/>
  <c r="Y44" i="99"/>
  <c r="V27" i="99"/>
  <c r="W27" i="99" s="1"/>
  <c r="Z15" i="99"/>
  <c r="S15" i="99"/>
  <c r="X15" i="99"/>
  <c r="Y10" i="99"/>
  <c r="V22" i="99"/>
  <c r="W22" i="99" s="1"/>
  <c r="AS9" i="48"/>
  <c r="AS10" i="48" s="1"/>
  <c r="AS11" i="48" s="1"/>
  <c r="AS12" i="48" s="1"/>
  <c r="AS13" i="48" s="1"/>
  <c r="AS14" i="48" s="1"/>
  <c r="AS15" i="48" s="1"/>
  <c r="AS16" i="48" s="1"/>
  <c r="AS17" i="48" s="1"/>
  <c r="AS18" i="48" s="1"/>
  <c r="AS19" i="48" s="1"/>
  <c r="AS20" i="48" s="1"/>
  <c r="AS21" i="48" s="1"/>
  <c r="AS22" i="48" s="1"/>
  <c r="AS23" i="48" s="1"/>
  <c r="AS24" i="48" s="1"/>
  <c r="AS25" i="48" s="1"/>
  <c r="AS26" i="48" s="1"/>
  <c r="AS27" i="48" s="1"/>
  <c r="AS28" i="48" s="1"/>
  <c r="AS29" i="48" s="1"/>
  <c r="AS30" i="48" s="1"/>
  <c r="AS31" i="48" s="1"/>
  <c r="AS32" i="48" s="1"/>
  <c r="AS33" i="48" s="1"/>
  <c r="AS34" i="48" s="1"/>
  <c r="AS35" i="48" s="1"/>
  <c r="AS36" i="48" s="1"/>
  <c r="AS37" i="48" s="1"/>
  <c r="AS38" i="48" s="1"/>
  <c r="AS39" i="48" s="1"/>
  <c r="AS40" i="48" s="1"/>
  <c r="AS41" i="48" s="1"/>
  <c r="AS42" i="48" s="1"/>
  <c r="AS43" i="48" s="1"/>
  <c r="AS44" i="48" s="1"/>
  <c r="R73" i="48"/>
  <c r="X73" i="48" s="1"/>
  <c r="R53" i="48"/>
  <c r="R24" i="48"/>
  <c r="S24" i="48" s="1"/>
  <c r="Y24" i="48" s="1"/>
  <c r="R75" i="48"/>
  <c r="R74" i="48"/>
  <c r="R8" i="48"/>
  <c r="R54" i="48"/>
  <c r="R72" i="48"/>
  <c r="R18" i="48"/>
  <c r="R23" i="48"/>
  <c r="I72" i="48"/>
  <c r="I71" i="48"/>
  <c r="R71" i="48" s="1"/>
  <c r="I74" i="48"/>
  <c r="I8" i="48"/>
  <c r="U8" i="48" s="1"/>
  <c r="I53" i="48"/>
  <c r="U53" i="48" s="1"/>
  <c r="I75" i="48"/>
  <c r="I24" i="48"/>
  <c r="U24" i="48" s="1"/>
  <c r="I73" i="48"/>
  <c r="I18" i="48"/>
  <c r="U18" i="48" s="1"/>
  <c r="I54" i="48"/>
  <c r="AK9" i="48"/>
  <c r="AK10" i="48" s="1"/>
  <c r="AL13" i="48"/>
  <c r="W13" i="102" l="1"/>
  <c r="V9" i="104"/>
  <c r="Y9" i="104"/>
  <c r="W9" i="104"/>
  <c r="P82" i="107"/>
  <c r="D17" i="45"/>
  <c r="P82" i="105"/>
  <c r="D15" i="45"/>
  <c r="W64" i="107"/>
  <c r="W44" i="107"/>
  <c r="W77" i="107"/>
  <c r="W60" i="107"/>
  <c r="V39" i="107"/>
  <c r="W39" i="107" s="1"/>
  <c r="Y39" i="107"/>
  <c r="V76" i="107"/>
  <c r="W76" i="107" s="1"/>
  <c r="Y76" i="107"/>
  <c r="V57" i="107"/>
  <c r="W57" i="107" s="1"/>
  <c r="Y57" i="107"/>
  <c r="V43" i="107"/>
  <c r="W43" i="107" s="1"/>
  <c r="Y43" i="107"/>
  <c r="S79" i="107"/>
  <c r="AW2" i="107" s="1"/>
  <c r="B17" i="45" s="1"/>
  <c r="V18" i="107"/>
  <c r="W18" i="107" s="1"/>
  <c r="Y18" i="107"/>
  <c r="V25" i="107"/>
  <c r="W25" i="107" s="1"/>
  <c r="Y25" i="107"/>
  <c r="V75" i="107"/>
  <c r="W75" i="107" s="1"/>
  <c r="Y75" i="107"/>
  <c r="V23" i="107"/>
  <c r="W23" i="107" s="1"/>
  <c r="Y23" i="107"/>
  <c r="V58" i="107"/>
  <c r="W58" i="107" s="1"/>
  <c r="Y58" i="107"/>
  <c r="V10" i="107"/>
  <c r="W10" i="107" s="1"/>
  <c r="Y10" i="107"/>
  <c r="V59" i="107"/>
  <c r="W59" i="107" s="1"/>
  <c r="Y59" i="107"/>
  <c r="V52" i="107"/>
  <c r="W52" i="107" s="1"/>
  <c r="Y52" i="107"/>
  <c r="V60" i="107"/>
  <c r="Y60" i="107"/>
  <c r="V46" i="107"/>
  <c r="W46" i="107" s="1"/>
  <c r="Y46" i="107"/>
  <c r="V72" i="107"/>
  <c r="W72" i="107" s="1"/>
  <c r="Y72" i="107"/>
  <c r="V74" i="107"/>
  <c r="W74" i="107" s="1"/>
  <c r="Y74" i="107"/>
  <c r="V77" i="107"/>
  <c r="Y77" i="107"/>
  <c r="V13" i="107"/>
  <c r="W13" i="107" s="1"/>
  <c r="Y13" i="107"/>
  <c r="V54" i="107"/>
  <c r="W54" i="107" s="1"/>
  <c r="Y54" i="107"/>
  <c r="V9" i="107"/>
  <c r="W9" i="107" s="1"/>
  <c r="Y9" i="107"/>
  <c r="V38" i="107"/>
  <c r="W38" i="107" s="1"/>
  <c r="Y38" i="107"/>
  <c r="V45" i="107"/>
  <c r="W45" i="107" s="1"/>
  <c r="Y45" i="107"/>
  <c r="V62" i="107"/>
  <c r="W62" i="107" s="1"/>
  <c r="Y62" i="107"/>
  <c r="V44" i="107"/>
  <c r="Y44" i="107"/>
  <c r="V63" i="107"/>
  <c r="W63" i="107" s="1"/>
  <c r="Y63" i="107"/>
  <c r="AN9" i="107"/>
  <c r="AO9" i="107" s="1"/>
  <c r="V16" i="107"/>
  <c r="W16" i="107" s="1"/>
  <c r="Y16" i="107"/>
  <c r="V47" i="107"/>
  <c r="W47" i="107" s="1"/>
  <c r="Y47" i="107"/>
  <c r="V64" i="107"/>
  <c r="Y64" i="107"/>
  <c r="V56" i="107"/>
  <c r="W56" i="107" s="1"/>
  <c r="Y56" i="107"/>
  <c r="V68" i="107"/>
  <c r="W68" i="107" s="1"/>
  <c r="Y68" i="107"/>
  <c r="V48" i="107"/>
  <c r="W48" i="107" s="1"/>
  <c r="Y48" i="107"/>
  <c r="V50" i="107"/>
  <c r="W50" i="107" s="1"/>
  <c r="Y50" i="107"/>
  <c r="V20" i="107"/>
  <c r="W20" i="107" s="1"/>
  <c r="Y20" i="107"/>
  <c r="V69" i="107"/>
  <c r="W69" i="107" s="1"/>
  <c r="Y69" i="107"/>
  <c r="V35" i="107"/>
  <c r="W35" i="107" s="1"/>
  <c r="Y35" i="107"/>
  <c r="V70" i="107"/>
  <c r="W70" i="107" s="1"/>
  <c r="Y70" i="107"/>
  <c r="Y27" i="107"/>
  <c r="V27" i="107"/>
  <c r="W27" i="107" s="1"/>
  <c r="V49" i="107"/>
  <c r="W49" i="107" s="1"/>
  <c r="Y49" i="107"/>
  <c r="AM10" i="107"/>
  <c r="AN10" i="107" s="1"/>
  <c r="AO10" i="107" s="1"/>
  <c r="AL11" i="107"/>
  <c r="V73" i="107"/>
  <c r="W73" i="107" s="1"/>
  <c r="Y73" i="107"/>
  <c r="V36" i="107"/>
  <c r="W36" i="107" s="1"/>
  <c r="Y36" i="107"/>
  <c r="V67" i="107"/>
  <c r="W67" i="107" s="1"/>
  <c r="Y67" i="107"/>
  <c r="V11" i="107"/>
  <c r="W11" i="107" s="1"/>
  <c r="Y11" i="107"/>
  <c r="V71" i="107"/>
  <c r="W71" i="107" s="1"/>
  <c r="Y71" i="107"/>
  <c r="V78" i="107"/>
  <c r="W78" i="107" s="1"/>
  <c r="Y78" i="107"/>
  <c r="V55" i="107"/>
  <c r="W55" i="107" s="1"/>
  <c r="Y55" i="107"/>
  <c r="W60" i="106"/>
  <c r="W70" i="106"/>
  <c r="V67" i="106"/>
  <c r="W67" i="106" s="1"/>
  <c r="Y67" i="106"/>
  <c r="V23" i="106"/>
  <c r="W23" i="106" s="1"/>
  <c r="Y23" i="106"/>
  <c r="V77" i="106"/>
  <c r="W77" i="106" s="1"/>
  <c r="Y77" i="106"/>
  <c r="V53" i="106"/>
  <c r="W53" i="106" s="1"/>
  <c r="Y53" i="106"/>
  <c r="V11" i="106"/>
  <c r="W11" i="106" s="1"/>
  <c r="Y11" i="106"/>
  <c r="V26" i="106"/>
  <c r="W26" i="106" s="1"/>
  <c r="Y26" i="106"/>
  <c r="V60" i="106"/>
  <c r="Y60" i="106"/>
  <c r="S79" i="106"/>
  <c r="AW2" i="106" s="1"/>
  <c r="B16" i="45" s="1"/>
  <c r="AT16" i="45" s="1"/>
  <c r="V7" i="106"/>
  <c r="Y7" i="106"/>
  <c r="V71" i="106"/>
  <c r="W71" i="106" s="1"/>
  <c r="Y71" i="106"/>
  <c r="V75" i="106"/>
  <c r="W75" i="106" s="1"/>
  <c r="Y75" i="106"/>
  <c r="V28" i="106"/>
  <c r="W28" i="106" s="1"/>
  <c r="Y28" i="106"/>
  <c r="V50" i="106"/>
  <c r="W50" i="106" s="1"/>
  <c r="Y50" i="106"/>
  <c r="V24" i="106"/>
  <c r="W24" i="106" s="1"/>
  <c r="Y24" i="106"/>
  <c r="Y10" i="106"/>
  <c r="V10" i="106"/>
  <c r="W10" i="106" s="1"/>
  <c r="V78" i="106"/>
  <c r="W78" i="106" s="1"/>
  <c r="Y78" i="106"/>
  <c r="V40" i="106"/>
  <c r="W40" i="106" s="1"/>
  <c r="Y40" i="106"/>
  <c r="T79" i="106"/>
  <c r="AX2" i="106" s="1"/>
  <c r="V41" i="106"/>
  <c r="W41" i="106" s="1"/>
  <c r="Y41" i="106"/>
  <c r="V56" i="106"/>
  <c r="W56" i="106" s="1"/>
  <c r="Y56" i="106"/>
  <c r="V76" i="106"/>
  <c r="W76" i="106" s="1"/>
  <c r="Y76" i="106"/>
  <c r="V70" i="106"/>
  <c r="Y70" i="106"/>
  <c r="V25" i="106"/>
  <c r="W25" i="106" s="1"/>
  <c r="Y25" i="106"/>
  <c r="V65" i="106"/>
  <c r="W65" i="106" s="1"/>
  <c r="Y65" i="106"/>
  <c r="V69" i="106"/>
  <c r="W69" i="106" s="1"/>
  <c r="Y69" i="106"/>
  <c r="V72" i="106"/>
  <c r="W72" i="106" s="1"/>
  <c r="Y72" i="106"/>
  <c r="V42" i="106"/>
  <c r="W42" i="106" s="1"/>
  <c r="Y42" i="106"/>
  <c r="V73" i="106"/>
  <c r="W73" i="106" s="1"/>
  <c r="Y73" i="106"/>
  <c r="V55" i="106"/>
  <c r="W55" i="106" s="1"/>
  <c r="Y55" i="106"/>
  <c r="V27" i="106"/>
  <c r="W27" i="106" s="1"/>
  <c r="Y27" i="106"/>
  <c r="V29" i="106"/>
  <c r="W29" i="106" s="1"/>
  <c r="Y29" i="106"/>
  <c r="V45" i="106"/>
  <c r="W45" i="106" s="1"/>
  <c r="Y45" i="106"/>
  <c r="AM10" i="106"/>
  <c r="AN10" i="106" s="1"/>
  <c r="AO10" i="106" s="1"/>
  <c r="AL11" i="106"/>
  <c r="V66" i="106"/>
  <c r="W66" i="106" s="1"/>
  <c r="Y66" i="106"/>
  <c r="V38" i="106"/>
  <c r="W38" i="106" s="1"/>
  <c r="Y38" i="106"/>
  <c r="V39" i="106"/>
  <c r="W39" i="106" s="1"/>
  <c r="Y39" i="106"/>
  <c r="V30" i="106"/>
  <c r="W30" i="106" s="1"/>
  <c r="Y30" i="106"/>
  <c r="V32" i="106"/>
  <c r="W32" i="106" s="1"/>
  <c r="Y32" i="106"/>
  <c r="V21" i="106"/>
  <c r="W21" i="106" s="1"/>
  <c r="Y21" i="106"/>
  <c r="V47" i="106"/>
  <c r="W47" i="106" s="1"/>
  <c r="Y47" i="106"/>
  <c r="V63" i="106"/>
  <c r="W63" i="106" s="1"/>
  <c r="Y63" i="106"/>
  <c r="V20" i="106"/>
  <c r="W20" i="106" s="1"/>
  <c r="Y20" i="106"/>
  <c r="V34" i="106"/>
  <c r="W34" i="106" s="1"/>
  <c r="Y34" i="106"/>
  <c r="V51" i="106"/>
  <c r="W51" i="106" s="1"/>
  <c r="Y51" i="106"/>
  <c r="V19" i="106"/>
  <c r="W19" i="106" s="1"/>
  <c r="Y19" i="106"/>
  <c r="V62" i="106"/>
  <c r="W62" i="106" s="1"/>
  <c r="Y62" i="106"/>
  <c r="AN9" i="106"/>
  <c r="AO9" i="106" s="1"/>
  <c r="Y9" i="106"/>
  <c r="V9" i="106"/>
  <c r="W9" i="106" s="1"/>
  <c r="V22" i="106"/>
  <c r="W22" i="106" s="1"/>
  <c r="Y22" i="106"/>
  <c r="V74" i="106"/>
  <c r="W74" i="106" s="1"/>
  <c r="Y74" i="106"/>
  <c r="V54" i="106"/>
  <c r="W54" i="106" s="1"/>
  <c r="Y54" i="106"/>
  <c r="V46" i="106"/>
  <c r="W46" i="106" s="1"/>
  <c r="Y46" i="106"/>
  <c r="W63" i="105"/>
  <c r="W55" i="105"/>
  <c r="W78" i="105"/>
  <c r="V78" i="105"/>
  <c r="Y78" i="105"/>
  <c r="V48" i="105"/>
  <c r="W48" i="105" s="1"/>
  <c r="Y48" i="105"/>
  <c r="V67" i="105"/>
  <c r="W67" i="105" s="1"/>
  <c r="Y67" i="105"/>
  <c r="V26" i="105"/>
  <c r="W26" i="105" s="1"/>
  <c r="Y26" i="105"/>
  <c r="V47" i="105"/>
  <c r="W47" i="105" s="1"/>
  <c r="Y47" i="105"/>
  <c r="AN9" i="105"/>
  <c r="AO9" i="105" s="1"/>
  <c r="Y24" i="105"/>
  <c r="V24" i="105"/>
  <c r="W24" i="105" s="1"/>
  <c r="V63" i="105"/>
  <c r="Y63" i="105"/>
  <c r="V46" i="105"/>
  <c r="W46" i="105" s="1"/>
  <c r="Y46" i="105"/>
  <c r="V70" i="105"/>
  <c r="W70" i="105" s="1"/>
  <c r="Y70" i="105"/>
  <c r="V23" i="105"/>
  <c r="W23" i="105" s="1"/>
  <c r="Y23" i="105"/>
  <c r="V53" i="105"/>
  <c r="W53" i="105" s="1"/>
  <c r="Y53" i="105"/>
  <c r="S79" i="105"/>
  <c r="AW2" i="105" s="1"/>
  <c r="B15" i="45" s="1"/>
  <c r="AT15" i="45" s="1"/>
  <c r="V35" i="105"/>
  <c r="W35" i="105" s="1"/>
  <c r="Y35" i="105"/>
  <c r="V51" i="105"/>
  <c r="W51" i="105" s="1"/>
  <c r="Y51" i="105"/>
  <c r="V55" i="105"/>
  <c r="Y55" i="105"/>
  <c r="V28" i="105"/>
  <c r="W28" i="105" s="1"/>
  <c r="Y28" i="105"/>
  <c r="V59" i="105"/>
  <c r="W59" i="105" s="1"/>
  <c r="Y59" i="105"/>
  <c r="V42" i="105"/>
  <c r="W42" i="105" s="1"/>
  <c r="Y42" i="105"/>
  <c r="V71" i="105"/>
  <c r="W71" i="105" s="1"/>
  <c r="Y71" i="105"/>
  <c r="V30" i="105"/>
  <c r="W30" i="105" s="1"/>
  <c r="Y30" i="105"/>
  <c r="V37" i="105"/>
  <c r="W37" i="105" s="1"/>
  <c r="Y37" i="105"/>
  <c r="AM10" i="105"/>
  <c r="AN10" i="105" s="1"/>
  <c r="AO10" i="105" s="1"/>
  <c r="AL11" i="105"/>
  <c r="Y76" i="105"/>
  <c r="V76" i="105"/>
  <c r="W76" i="105" s="1"/>
  <c r="V49" i="105"/>
  <c r="W49" i="105" s="1"/>
  <c r="Y49" i="105"/>
  <c r="Y43" i="105"/>
  <c r="V43" i="105"/>
  <c r="W43" i="105" s="1"/>
  <c r="V54" i="105"/>
  <c r="W54" i="105" s="1"/>
  <c r="Y54" i="105"/>
  <c r="W7" i="105"/>
  <c r="W51" i="104"/>
  <c r="V63" i="104"/>
  <c r="W63" i="104" s="1"/>
  <c r="Y63" i="104"/>
  <c r="V58" i="104"/>
  <c r="W58" i="104" s="1"/>
  <c r="Y58" i="104"/>
  <c r="V43" i="104"/>
  <c r="W43" i="104" s="1"/>
  <c r="Y43" i="104"/>
  <c r="V57" i="104"/>
  <c r="W57" i="104" s="1"/>
  <c r="Y57" i="104"/>
  <c r="V40" i="104"/>
  <c r="W40" i="104" s="1"/>
  <c r="Y40" i="104"/>
  <c r="V17" i="104"/>
  <c r="W17" i="104" s="1"/>
  <c r="Y17" i="104"/>
  <c r="V54" i="104"/>
  <c r="W54" i="104" s="1"/>
  <c r="Y54" i="104"/>
  <c r="V20" i="104"/>
  <c r="W20" i="104" s="1"/>
  <c r="Y20" i="104"/>
  <c r="AN10" i="104"/>
  <c r="AO10" i="104" s="1"/>
  <c r="V44" i="104"/>
  <c r="W44" i="104" s="1"/>
  <c r="Y44" i="104"/>
  <c r="V18" i="104"/>
  <c r="W18" i="104" s="1"/>
  <c r="Y18" i="104"/>
  <c r="AM11" i="104"/>
  <c r="AN11" i="104" s="1"/>
  <c r="AO11" i="104" s="1"/>
  <c r="AL12" i="104"/>
  <c r="V11" i="104"/>
  <c r="V79" i="104" s="1"/>
  <c r="V81" i="104" s="1"/>
  <c r="Y11" i="104"/>
  <c r="V39" i="104"/>
  <c r="W39" i="104" s="1"/>
  <c r="Y39" i="104"/>
  <c r="V45" i="104"/>
  <c r="W45" i="104" s="1"/>
  <c r="Y45" i="104"/>
  <c r="V23" i="104"/>
  <c r="W23" i="104" s="1"/>
  <c r="Y23" i="104"/>
  <c r="V65" i="104"/>
  <c r="W65" i="104" s="1"/>
  <c r="Y65" i="104"/>
  <c r="V30" i="104"/>
  <c r="W30" i="104" s="1"/>
  <c r="Y30" i="104"/>
  <c r="T79" i="104"/>
  <c r="AX2" i="104" s="1"/>
  <c r="V74" i="104"/>
  <c r="W74" i="104" s="1"/>
  <c r="Y74" i="104"/>
  <c r="V13" i="104"/>
  <c r="W13" i="104" s="1"/>
  <c r="Y13" i="104"/>
  <c r="Y70" i="104"/>
  <c r="V70" i="104"/>
  <c r="W70" i="104" s="1"/>
  <c r="V51" i="104"/>
  <c r="Y51" i="104"/>
  <c r="V52" i="104"/>
  <c r="W52" i="104" s="1"/>
  <c r="Y52" i="104"/>
  <c r="V47" i="104"/>
  <c r="W47" i="104" s="1"/>
  <c r="Y47" i="104"/>
  <c r="V25" i="104"/>
  <c r="W25" i="104" s="1"/>
  <c r="Y25" i="104"/>
  <c r="S79" i="104"/>
  <c r="AW2" i="104" s="1"/>
  <c r="B14" i="45" s="1"/>
  <c r="AT14" i="45" s="1"/>
  <c r="V26" i="104"/>
  <c r="W26" i="104" s="1"/>
  <c r="Y26" i="104"/>
  <c r="W61" i="102"/>
  <c r="W31" i="102"/>
  <c r="W32" i="102"/>
  <c r="W47" i="102"/>
  <c r="V77" i="102"/>
  <c r="W77" i="102" s="1"/>
  <c r="Y77" i="102"/>
  <c r="T79" i="102"/>
  <c r="AX2" i="102" s="1"/>
  <c r="V32" i="102"/>
  <c r="Y32" i="102"/>
  <c r="AM13" i="102"/>
  <c r="AL14" i="102"/>
  <c r="V53" i="102"/>
  <c r="W53" i="102" s="1"/>
  <c r="Y53" i="102"/>
  <c r="V67" i="102"/>
  <c r="W67" i="102" s="1"/>
  <c r="Y67" i="102"/>
  <c r="V45" i="102"/>
  <c r="W45" i="102" s="1"/>
  <c r="Y45" i="102"/>
  <c r="V31" i="102"/>
  <c r="Y31" i="102"/>
  <c r="V55" i="102"/>
  <c r="W55" i="102" s="1"/>
  <c r="Y55" i="102"/>
  <c r="V43" i="102"/>
  <c r="W43" i="102" s="1"/>
  <c r="Y43" i="102"/>
  <c r="V57" i="102"/>
  <c r="W57" i="102" s="1"/>
  <c r="Y57" i="102"/>
  <c r="V51" i="102"/>
  <c r="W51" i="102" s="1"/>
  <c r="Y51" i="102"/>
  <c r="V75" i="102"/>
  <c r="W75" i="102" s="1"/>
  <c r="Y75" i="102"/>
  <c r="Y72" i="102"/>
  <c r="V72" i="102"/>
  <c r="W72" i="102" s="1"/>
  <c r="V58" i="102"/>
  <c r="W58" i="102" s="1"/>
  <c r="Y58" i="102"/>
  <c r="V65" i="102"/>
  <c r="W65" i="102" s="1"/>
  <c r="Y65" i="102"/>
  <c r="V61" i="102"/>
  <c r="Y61" i="102"/>
  <c r="V46" i="102"/>
  <c r="W46" i="102" s="1"/>
  <c r="Y46" i="102"/>
  <c r="Y39" i="102"/>
  <c r="V39" i="102"/>
  <c r="W39" i="102" s="1"/>
  <c r="V47" i="102"/>
  <c r="Y47" i="102"/>
  <c r="V50" i="102"/>
  <c r="W50" i="102" s="1"/>
  <c r="Y50" i="102"/>
  <c r="V56" i="102"/>
  <c r="W56" i="102" s="1"/>
  <c r="Y56" i="102"/>
  <c r="V41" i="102"/>
  <c r="W41" i="102" s="1"/>
  <c r="Y41" i="102"/>
  <c r="Y78" i="102"/>
  <c r="V78" i="102"/>
  <c r="W78" i="102" s="1"/>
  <c r="V73" i="102"/>
  <c r="W73" i="102" s="1"/>
  <c r="Y73" i="102"/>
  <c r="V71" i="102"/>
  <c r="W71" i="102" s="1"/>
  <c r="Y71" i="102"/>
  <c r="S79" i="102"/>
  <c r="AW2" i="102" s="1"/>
  <c r="B13" i="45" s="1"/>
  <c r="AT13" i="45" s="1"/>
  <c r="V42" i="102"/>
  <c r="W42" i="102" s="1"/>
  <c r="Y42" i="102"/>
  <c r="V69" i="102"/>
  <c r="W69" i="102" s="1"/>
  <c r="Y69" i="102"/>
  <c r="W41" i="99"/>
  <c r="W16" i="99"/>
  <c r="V43" i="99"/>
  <c r="W43" i="99" s="1"/>
  <c r="Y43" i="99"/>
  <c r="V59" i="99"/>
  <c r="W59" i="99" s="1"/>
  <c r="Y59" i="99"/>
  <c r="V8" i="99"/>
  <c r="W8" i="99" s="1"/>
  <c r="Y8" i="99"/>
  <c r="V15" i="99"/>
  <c r="W15" i="99" s="1"/>
  <c r="Y15" i="99"/>
  <c r="V45" i="99"/>
  <c r="W45" i="99" s="1"/>
  <c r="Y45" i="99"/>
  <c r="W7" i="99"/>
  <c r="V77" i="99"/>
  <c r="W77" i="99" s="1"/>
  <c r="Y77" i="99"/>
  <c r="V65" i="99"/>
  <c r="W65" i="99" s="1"/>
  <c r="Y65" i="99"/>
  <c r="AN10" i="99"/>
  <c r="AO10" i="99" s="1"/>
  <c r="V16" i="99"/>
  <c r="Y16" i="99"/>
  <c r="V55" i="99"/>
  <c r="W55" i="99" s="1"/>
  <c r="Y55" i="99"/>
  <c r="V35" i="99"/>
  <c r="W35" i="99" s="1"/>
  <c r="Y35" i="99"/>
  <c r="V76" i="99"/>
  <c r="W76" i="99" s="1"/>
  <c r="Y76" i="99"/>
  <c r="V34" i="99"/>
  <c r="W34" i="99" s="1"/>
  <c r="Y34" i="99"/>
  <c r="V49" i="99"/>
  <c r="W49" i="99" s="1"/>
  <c r="Y49" i="99"/>
  <c r="V47" i="99"/>
  <c r="W47" i="99" s="1"/>
  <c r="Y47" i="99"/>
  <c r="Y68" i="99"/>
  <c r="V68" i="99"/>
  <c r="W68" i="99" s="1"/>
  <c r="V63" i="99"/>
  <c r="W63" i="99" s="1"/>
  <c r="Y63" i="99"/>
  <c r="V17" i="99"/>
  <c r="W17" i="99" s="1"/>
  <c r="Y17" i="99"/>
  <c r="V36" i="99"/>
  <c r="W36" i="99" s="1"/>
  <c r="Y36" i="99"/>
  <c r="V46" i="99"/>
  <c r="W46" i="99" s="1"/>
  <c r="Y46" i="99"/>
  <c r="V31" i="99"/>
  <c r="W31" i="99" s="1"/>
  <c r="Y31" i="99"/>
  <c r="V53" i="99"/>
  <c r="W53" i="99" s="1"/>
  <c r="Y53" i="99"/>
  <c r="V38" i="99"/>
  <c r="W38" i="99" s="1"/>
  <c r="Y38" i="99"/>
  <c r="V11" i="99"/>
  <c r="W11" i="99" s="1"/>
  <c r="Y11" i="99"/>
  <c r="V60" i="99"/>
  <c r="W60" i="99" s="1"/>
  <c r="Y60" i="99"/>
  <c r="V28" i="99"/>
  <c r="W28" i="99" s="1"/>
  <c r="Y28" i="99"/>
  <c r="V51" i="99"/>
  <c r="W51" i="99" s="1"/>
  <c r="Y51" i="99"/>
  <c r="S79" i="99"/>
  <c r="AW2" i="99" s="1"/>
  <c r="V7" i="99"/>
  <c r="Y7" i="99"/>
  <c r="V14" i="99"/>
  <c r="W14" i="99" s="1"/>
  <c r="Y14" i="99"/>
  <c r="V61" i="99"/>
  <c r="W61" i="99" s="1"/>
  <c r="Y61" i="99"/>
  <c r="V67" i="99"/>
  <c r="W67" i="99" s="1"/>
  <c r="Y67" i="99"/>
  <c r="V29" i="99"/>
  <c r="W29" i="99" s="1"/>
  <c r="Y29" i="99"/>
  <c r="V71" i="99"/>
  <c r="W71" i="99" s="1"/>
  <c r="Y71" i="99"/>
  <c r="V40" i="99"/>
  <c r="W40" i="99" s="1"/>
  <c r="Y40" i="99"/>
  <c r="AM11" i="99"/>
  <c r="AN11" i="99" s="1"/>
  <c r="AO11" i="99" s="1"/>
  <c r="AL12" i="99"/>
  <c r="V21" i="99"/>
  <c r="W21" i="99" s="1"/>
  <c r="Y21" i="99"/>
  <c r="V32" i="99"/>
  <c r="W32" i="99" s="1"/>
  <c r="Y32" i="99"/>
  <c r="V48" i="99"/>
  <c r="W48" i="99" s="1"/>
  <c r="Y48" i="99"/>
  <c r="V69" i="99"/>
  <c r="W69" i="99" s="1"/>
  <c r="Y69" i="99"/>
  <c r="V41" i="99"/>
  <c r="Y41" i="99"/>
  <c r="S73" i="48"/>
  <c r="Y73" i="48" s="1"/>
  <c r="T73" i="48"/>
  <c r="Z73" i="48"/>
  <c r="T8" i="48"/>
  <c r="Z8" i="48"/>
  <c r="X8" i="48"/>
  <c r="S8" i="48"/>
  <c r="Y8" i="48" s="1"/>
  <c r="T18" i="48"/>
  <c r="X18" i="48"/>
  <c r="Z18" i="48"/>
  <c r="S72" i="48"/>
  <c r="Y72" i="48" s="1"/>
  <c r="Z72" i="48"/>
  <c r="X72" i="48"/>
  <c r="X54" i="48"/>
  <c r="Z54" i="48"/>
  <c r="X74" i="48"/>
  <c r="Z74" i="48"/>
  <c r="S75" i="48"/>
  <c r="Y75" i="48" s="1"/>
  <c r="X75" i="48"/>
  <c r="Z75" i="48"/>
  <c r="Z24" i="48"/>
  <c r="X24" i="48"/>
  <c r="S18" i="48"/>
  <c r="Y18" i="48" s="1"/>
  <c r="T53" i="48"/>
  <c r="S53" i="48"/>
  <c r="Y53" i="48" s="1"/>
  <c r="X53" i="48"/>
  <c r="Z53" i="48"/>
  <c r="Z71" i="48"/>
  <c r="X71" i="48"/>
  <c r="Z23" i="48"/>
  <c r="X23" i="48"/>
  <c r="T71" i="48"/>
  <c r="S71" i="48"/>
  <c r="Y71" i="48" s="1"/>
  <c r="T54" i="48"/>
  <c r="S54" i="48"/>
  <c r="Y54" i="48" s="1"/>
  <c r="T74" i="48"/>
  <c r="S74" i="48"/>
  <c r="Y74" i="48" s="1"/>
  <c r="S23" i="48"/>
  <c r="Y23" i="48" s="1"/>
  <c r="T23" i="48"/>
  <c r="T72" i="48"/>
  <c r="T75" i="48"/>
  <c r="T24" i="48"/>
  <c r="V24" i="48" s="1"/>
  <c r="W24" i="48" s="1"/>
  <c r="AK11" i="48"/>
  <c r="AL14" i="48"/>
  <c r="M10" i="37"/>
  <c r="G25" i="48"/>
  <c r="K25" i="48" s="1"/>
  <c r="H25" i="48"/>
  <c r="N25" i="48"/>
  <c r="O25" i="48"/>
  <c r="P25" i="48" s="1"/>
  <c r="Q25" i="48"/>
  <c r="G26" i="48"/>
  <c r="K26" i="48" s="1"/>
  <c r="H26" i="48"/>
  <c r="N26" i="48"/>
  <c r="O26" i="48"/>
  <c r="P26" i="48" s="1"/>
  <c r="Q26" i="48"/>
  <c r="O27" i="48"/>
  <c r="P27" i="48" s="1"/>
  <c r="Q27" i="48"/>
  <c r="N27" i="48"/>
  <c r="G27" i="48"/>
  <c r="K27" i="48" s="1"/>
  <c r="H27" i="48"/>
  <c r="H12" i="48"/>
  <c r="P82" i="102" l="1"/>
  <c r="D13" i="45"/>
  <c r="P82" i="104"/>
  <c r="D14" i="45"/>
  <c r="O17" i="45"/>
  <c r="AU17" i="45" s="1"/>
  <c r="AT17" i="45"/>
  <c r="AB17" i="45"/>
  <c r="AK17" i="45" s="1"/>
  <c r="O15" i="45"/>
  <c r="AB15" i="45" s="1"/>
  <c r="AK15" i="45" s="1"/>
  <c r="P82" i="106"/>
  <c r="D16" i="45"/>
  <c r="AL12" i="107"/>
  <c r="AM11" i="107"/>
  <c r="AN11" i="107" s="1"/>
  <c r="AO11" i="107" s="1"/>
  <c r="V79" i="107"/>
  <c r="V81" i="107" s="1"/>
  <c r="AM11" i="106"/>
  <c r="AN11" i="106" s="1"/>
  <c r="AO11" i="106" s="1"/>
  <c r="AL12" i="106"/>
  <c r="V79" i="106"/>
  <c r="V81" i="106" s="1"/>
  <c r="W7" i="106"/>
  <c r="AL12" i="105"/>
  <c r="AM11" i="105"/>
  <c r="V79" i="105"/>
  <c r="V81" i="105" s="1"/>
  <c r="AL13" i="104"/>
  <c r="AM12" i="104"/>
  <c r="AN12" i="104" s="1"/>
  <c r="AO12" i="104" s="1"/>
  <c r="W11" i="104"/>
  <c r="V79" i="102"/>
  <c r="V81" i="102" s="1"/>
  <c r="AN13" i="102"/>
  <c r="AO13" i="102" s="1"/>
  <c r="AL15" i="102"/>
  <c r="AM14" i="102"/>
  <c r="AN14" i="102" s="1"/>
  <c r="AO14" i="102" s="1"/>
  <c r="V79" i="99"/>
  <c r="V81" i="99" s="1"/>
  <c r="AM12" i="99"/>
  <c r="AN12" i="99" s="1"/>
  <c r="AO12" i="99" s="1"/>
  <c r="AL13" i="99"/>
  <c r="V73" i="48"/>
  <c r="W73" i="48" s="1"/>
  <c r="V8" i="48"/>
  <c r="W8" i="48" s="1"/>
  <c r="V74" i="48"/>
  <c r="W74" i="48" s="1"/>
  <c r="V54" i="48"/>
  <c r="W54" i="48" s="1"/>
  <c r="V75" i="48"/>
  <c r="W75" i="48" s="1"/>
  <c r="V18" i="48"/>
  <c r="W18" i="48" s="1"/>
  <c r="V23" i="48"/>
  <c r="W23" i="48" s="1"/>
  <c r="V53" i="48"/>
  <c r="W53" i="48" s="1"/>
  <c r="V72" i="48"/>
  <c r="W72" i="48" s="1"/>
  <c r="V71" i="48"/>
  <c r="W71" i="48" s="1"/>
  <c r="R27" i="48"/>
  <c r="R26" i="48"/>
  <c r="R25" i="48"/>
  <c r="U25" i="48"/>
  <c r="U26" i="48"/>
  <c r="U27" i="48"/>
  <c r="AL15" i="48"/>
  <c r="AK12" i="48"/>
  <c r="I26" i="48"/>
  <c r="I25" i="48"/>
  <c r="I27" i="48"/>
  <c r="G60" i="48"/>
  <c r="K60" i="48" s="1"/>
  <c r="H60" i="48"/>
  <c r="N60" i="48"/>
  <c r="O60" i="48"/>
  <c r="P60" i="48" s="1"/>
  <c r="Q60" i="48"/>
  <c r="U60" i="48" s="1"/>
  <c r="G63" i="48"/>
  <c r="K63" i="48" s="1"/>
  <c r="H63" i="48"/>
  <c r="N63" i="48"/>
  <c r="O63" i="48"/>
  <c r="P63" i="48" s="1"/>
  <c r="Q63" i="48"/>
  <c r="U63" i="48" s="1"/>
  <c r="G28" i="48"/>
  <c r="K28" i="48" s="1"/>
  <c r="H28" i="48"/>
  <c r="N28" i="48"/>
  <c r="O28" i="48"/>
  <c r="P28" i="48" s="1"/>
  <c r="Q28" i="48"/>
  <c r="G11" i="48"/>
  <c r="K11" i="48" s="1"/>
  <c r="H11" i="48"/>
  <c r="N11" i="48"/>
  <c r="O11" i="48"/>
  <c r="P11" i="48" s="1"/>
  <c r="Q11" i="48"/>
  <c r="U11" i="48" s="1"/>
  <c r="G62" i="48"/>
  <c r="K62" i="48" s="1"/>
  <c r="H62" i="48"/>
  <c r="N62" i="48"/>
  <c r="O62" i="48"/>
  <c r="P62" i="48" s="1"/>
  <c r="Q62" i="48"/>
  <c r="U62" i="48" s="1"/>
  <c r="G15" i="48"/>
  <c r="K15" i="48" s="1"/>
  <c r="H15" i="48"/>
  <c r="N15" i="48"/>
  <c r="O15" i="48"/>
  <c r="P15" i="48" s="1"/>
  <c r="Q15" i="48"/>
  <c r="G76" i="48"/>
  <c r="K76" i="48" s="1"/>
  <c r="H76" i="48"/>
  <c r="N76" i="48"/>
  <c r="O76" i="48"/>
  <c r="P76" i="48" s="1"/>
  <c r="Q76" i="48"/>
  <c r="U76" i="48" s="1"/>
  <c r="G70" i="48"/>
  <c r="K70" i="48" s="1"/>
  <c r="H70" i="48"/>
  <c r="N70" i="48"/>
  <c r="O70" i="48"/>
  <c r="P70" i="48" s="1"/>
  <c r="Q70" i="48"/>
  <c r="U70" i="48" s="1"/>
  <c r="G43" i="48"/>
  <c r="K43" i="48" s="1"/>
  <c r="H43" i="48"/>
  <c r="N43" i="48"/>
  <c r="O43" i="48"/>
  <c r="P43" i="48" s="1"/>
  <c r="Q43" i="48"/>
  <c r="G42" i="48"/>
  <c r="K42" i="48" s="1"/>
  <c r="H42" i="48"/>
  <c r="N42" i="48"/>
  <c r="O42" i="48"/>
  <c r="P42" i="48" s="1"/>
  <c r="Q42" i="48"/>
  <c r="G47" i="48"/>
  <c r="K47" i="48" s="1"/>
  <c r="H47" i="48"/>
  <c r="N47" i="48"/>
  <c r="O47" i="48"/>
  <c r="P47" i="48" s="1"/>
  <c r="Q47" i="48"/>
  <c r="G9" i="48"/>
  <c r="K9" i="48" s="1"/>
  <c r="H9" i="48"/>
  <c r="N9" i="48"/>
  <c r="O9" i="48"/>
  <c r="P9" i="48" s="1"/>
  <c r="Q9" i="48"/>
  <c r="G12" i="48"/>
  <c r="K12" i="48" s="1"/>
  <c r="I12" i="48"/>
  <c r="N12" i="48"/>
  <c r="O12" i="48"/>
  <c r="P12" i="48" s="1"/>
  <c r="Q12" i="48"/>
  <c r="G13" i="48"/>
  <c r="K13" i="48" s="1"/>
  <c r="H13" i="48"/>
  <c r="I13" i="48" s="1"/>
  <c r="N13" i="48"/>
  <c r="O13" i="48"/>
  <c r="P13" i="48" s="1"/>
  <c r="Q13" i="48"/>
  <c r="G14" i="48"/>
  <c r="K14" i="48" s="1"/>
  <c r="H14" i="48"/>
  <c r="I14" i="48" s="1"/>
  <c r="N14" i="48"/>
  <c r="O14" i="48"/>
  <c r="P14" i="48" s="1"/>
  <c r="Q14" i="48"/>
  <c r="G16" i="48"/>
  <c r="K16" i="48" s="1"/>
  <c r="H16" i="48"/>
  <c r="I16" i="48" s="1"/>
  <c r="N16" i="48"/>
  <c r="O16" i="48"/>
  <c r="P16" i="48" s="1"/>
  <c r="Q16" i="48"/>
  <c r="G20" i="48"/>
  <c r="K20" i="48" s="1"/>
  <c r="H20" i="48"/>
  <c r="I20" i="48" s="1"/>
  <c r="N20" i="48"/>
  <c r="O20" i="48"/>
  <c r="P20" i="48" s="1"/>
  <c r="Q20" i="48"/>
  <c r="G17" i="48"/>
  <c r="K17" i="48" s="1"/>
  <c r="H17" i="48"/>
  <c r="I17" i="48" s="1"/>
  <c r="N17" i="48"/>
  <c r="O17" i="48"/>
  <c r="P17" i="48" s="1"/>
  <c r="Q17" i="48"/>
  <c r="G21" i="48"/>
  <c r="K21" i="48" s="1"/>
  <c r="H21" i="48"/>
  <c r="I21" i="48" s="1"/>
  <c r="N21" i="48"/>
  <c r="O21" i="48"/>
  <c r="P21" i="48" s="1"/>
  <c r="Q21" i="48"/>
  <c r="G19" i="48"/>
  <c r="K19" i="48" s="1"/>
  <c r="H19" i="48"/>
  <c r="I19" i="48" s="1"/>
  <c r="N19" i="48"/>
  <c r="O19" i="48"/>
  <c r="P19" i="48" s="1"/>
  <c r="Q19" i="48"/>
  <c r="G22" i="48"/>
  <c r="K22" i="48" s="1"/>
  <c r="H22" i="48"/>
  <c r="I22" i="48" s="1"/>
  <c r="N22" i="48"/>
  <c r="O22" i="48"/>
  <c r="P22" i="48" s="1"/>
  <c r="Q22" i="48"/>
  <c r="G29" i="48"/>
  <c r="K29" i="48" s="1"/>
  <c r="H29" i="48"/>
  <c r="I29" i="48" s="1"/>
  <c r="N29" i="48"/>
  <c r="O29" i="48"/>
  <c r="P29" i="48" s="1"/>
  <c r="Q29" i="48"/>
  <c r="G30" i="48"/>
  <c r="K30" i="48" s="1"/>
  <c r="H30" i="48"/>
  <c r="I30" i="48" s="1"/>
  <c r="N30" i="48"/>
  <c r="O30" i="48"/>
  <c r="P30" i="48" s="1"/>
  <c r="Q30" i="48"/>
  <c r="G31" i="48"/>
  <c r="K31" i="48" s="1"/>
  <c r="H31" i="48"/>
  <c r="I31" i="48" s="1"/>
  <c r="N31" i="48"/>
  <c r="O31" i="48"/>
  <c r="P31" i="48" s="1"/>
  <c r="Q31" i="48"/>
  <c r="G35" i="48"/>
  <c r="K35" i="48" s="1"/>
  <c r="H35" i="48"/>
  <c r="I35" i="48" s="1"/>
  <c r="N35" i="48"/>
  <c r="O35" i="48"/>
  <c r="P35" i="48" s="1"/>
  <c r="Q35" i="48"/>
  <c r="G32" i="48"/>
  <c r="K32" i="48" s="1"/>
  <c r="H32" i="48"/>
  <c r="I32" i="48" s="1"/>
  <c r="N32" i="48"/>
  <c r="O32" i="48"/>
  <c r="P32" i="48" s="1"/>
  <c r="Q32" i="48"/>
  <c r="G34" i="48"/>
  <c r="K34" i="48" s="1"/>
  <c r="H34" i="48"/>
  <c r="I34" i="48" s="1"/>
  <c r="N34" i="48"/>
  <c r="O34" i="48"/>
  <c r="P34" i="48" s="1"/>
  <c r="Q34" i="48"/>
  <c r="G37" i="48"/>
  <c r="K37" i="48" s="1"/>
  <c r="H37" i="48"/>
  <c r="I37" i="48" s="1"/>
  <c r="N37" i="48"/>
  <c r="O37" i="48"/>
  <c r="P37" i="48" s="1"/>
  <c r="Q37" i="48"/>
  <c r="G36" i="48"/>
  <c r="K36" i="48" s="1"/>
  <c r="H36" i="48"/>
  <c r="I36" i="48" s="1"/>
  <c r="N36" i="48"/>
  <c r="O36" i="48"/>
  <c r="P36" i="48" s="1"/>
  <c r="Q36" i="48"/>
  <c r="G33" i="48"/>
  <c r="K33" i="48" s="1"/>
  <c r="H33" i="48"/>
  <c r="I33" i="48" s="1"/>
  <c r="N33" i="48"/>
  <c r="O33" i="48"/>
  <c r="P33" i="48" s="1"/>
  <c r="Q33" i="48"/>
  <c r="G38" i="48"/>
  <c r="K38" i="48" s="1"/>
  <c r="H38" i="48"/>
  <c r="I38" i="48" s="1"/>
  <c r="N38" i="48"/>
  <c r="O38" i="48"/>
  <c r="P38" i="48" s="1"/>
  <c r="Q38" i="48"/>
  <c r="G46" i="48"/>
  <c r="K46" i="48" s="1"/>
  <c r="H46" i="48"/>
  <c r="I46" i="48" s="1"/>
  <c r="N46" i="48"/>
  <c r="O46" i="48"/>
  <c r="P46" i="48" s="1"/>
  <c r="Q46" i="48"/>
  <c r="G41" i="48"/>
  <c r="K41" i="48" s="1"/>
  <c r="H41" i="48"/>
  <c r="I41" i="48" s="1"/>
  <c r="N41" i="48"/>
  <c r="O41" i="48"/>
  <c r="P41" i="48" s="1"/>
  <c r="Q41" i="48"/>
  <c r="G40" i="48"/>
  <c r="K40" i="48" s="1"/>
  <c r="H40" i="48"/>
  <c r="I40" i="48" s="1"/>
  <c r="N40" i="48"/>
  <c r="O40" i="48"/>
  <c r="P40" i="48" s="1"/>
  <c r="Q40" i="48"/>
  <c r="G39" i="48"/>
  <c r="K39" i="48" s="1"/>
  <c r="H39" i="48"/>
  <c r="I39" i="48" s="1"/>
  <c r="N39" i="48"/>
  <c r="O39" i="48"/>
  <c r="P39" i="48" s="1"/>
  <c r="Q39" i="48"/>
  <c r="G44" i="48"/>
  <c r="K44" i="48" s="1"/>
  <c r="H44" i="48"/>
  <c r="I44" i="48" s="1"/>
  <c r="N44" i="48"/>
  <c r="O44" i="48"/>
  <c r="P44" i="48" s="1"/>
  <c r="Q44" i="48"/>
  <c r="G45" i="48"/>
  <c r="K45" i="48" s="1"/>
  <c r="H45" i="48"/>
  <c r="I45" i="48" s="1"/>
  <c r="N45" i="48"/>
  <c r="O45" i="48"/>
  <c r="P45" i="48" s="1"/>
  <c r="Q45" i="48"/>
  <c r="G52" i="48"/>
  <c r="K52" i="48" s="1"/>
  <c r="H52" i="48"/>
  <c r="I52" i="48" s="1"/>
  <c r="N52" i="48"/>
  <c r="O52" i="48"/>
  <c r="P52" i="48" s="1"/>
  <c r="Q52" i="48"/>
  <c r="G48" i="48"/>
  <c r="K48" i="48" s="1"/>
  <c r="H48" i="48"/>
  <c r="I48" i="48" s="1"/>
  <c r="N48" i="48"/>
  <c r="O48" i="48"/>
  <c r="P48" i="48" s="1"/>
  <c r="Q48" i="48"/>
  <c r="G51" i="48"/>
  <c r="K51" i="48" s="1"/>
  <c r="H51" i="48"/>
  <c r="I51" i="48" s="1"/>
  <c r="N51" i="48"/>
  <c r="O51" i="48"/>
  <c r="P51" i="48" s="1"/>
  <c r="Q51" i="48"/>
  <c r="G49" i="48"/>
  <c r="K49" i="48" s="1"/>
  <c r="H49" i="48"/>
  <c r="I49" i="48" s="1"/>
  <c r="N49" i="48"/>
  <c r="O49" i="48"/>
  <c r="P49" i="48" s="1"/>
  <c r="Q49" i="48"/>
  <c r="G50" i="48"/>
  <c r="K50" i="48" s="1"/>
  <c r="H50" i="48"/>
  <c r="I50" i="48" s="1"/>
  <c r="N50" i="48"/>
  <c r="O50" i="48"/>
  <c r="P50" i="48" s="1"/>
  <c r="Q50" i="48"/>
  <c r="G56" i="48"/>
  <c r="K56" i="48" s="1"/>
  <c r="H56" i="48"/>
  <c r="I56" i="48" s="1"/>
  <c r="N56" i="48"/>
  <c r="O56" i="48"/>
  <c r="P56" i="48" s="1"/>
  <c r="Q56" i="48"/>
  <c r="U56" i="48" s="1"/>
  <c r="G55" i="48"/>
  <c r="K55" i="48" s="1"/>
  <c r="H55" i="48"/>
  <c r="I55" i="48" s="1"/>
  <c r="N55" i="48"/>
  <c r="O55" i="48"/>
  <c r="P55" i="48" s="1"/>
  <c r="Q55" i="48"/>
  <c r="U55" i="48" s="1"/>
  <c r="G58" i="48"/>
  <c r="K58" i="48" s="1"/>
  <c r="H58" i="48"/>
  <c r="I58" i="48" s="1"/>
  <c r="N58" i="48"/>
  <c r="O58" i="48"/>
  <c r="P58" i="48" s="1"/>
  <c r="Q58" i="48"/>
  <c r="U58" i="48" s="1"/>
  <c r="G57" i="48"/>
  <c r="K57" i="48" s="1"/>
  <c r="H57" i="48"/>
  <c r="I57" i="48" s="1"/>
  <c r="N57" i="48"/>
  <c r="O57" i="48"/>
  <c r="P57" i="48" s="1"/>
  <c r="Q57" i="48"/>
  <c r="U57" i="48" s="1"/>
  <c r="G59" i="48"/>
  <c r="K59" i="48" s="1"/>
  <c r="H59" i="48"/>
  <c r="I59" i="48" s="1"/>
  <c r="N59" i="48"/>
  <c r="O59" i="48"/>
  <c r="P59" i="48" s="1"/>
  <c r="Q59" i="48"/>
  <c r="U59" i="48" s="1"/>
  <c r="G61" i="48"/>
  <c r="K61" i="48" s="1"/>
  <c r="H61" i="48"/>
  <c r="I61" i="48" s="1"/>
  <c r="N61" i="48"/>
  <c r="O61" i="48"/>
  <c r="P61" i="48" s="1"/>
  <c r="Q61" i="48"/>
  <c r="U61" i="48" s="1"/>
  <c r="G65" i="48"/>
  <c r="K65" i="48" s="1"/>
  <c r="H65" i="48"/>
  <c r="I65" i="48" s="1"/>
  <c r="N65" i="48"/>
  <c r="O65" i="48"/>
  <c r="P65" i="48" s="1"/>
  <c r="Q65" i="48"/>
  <c r="U65" i="48" s="1"/>
  <c r="G64" i="48"/>
  <c r="K64" i="48" s="1"/>
  <c r="H64" i="48"/>
  <c r="I64" i="48" s="1"/>
  <c r="N64" i="48"/>
  <c r="O64" i="48"/>
  <c r="P64" i="48" s="1"/>
  <c r="Q64" i="48"/>
  <c r="U64" i="48" s="1"/>
  <c r="G77" i="48"/>
  <c r="K77" i="48" s="1"/>
  <c r="H77" i="48"/>
  <c r="I77" i="48" s="1"/>
  <c r="N77" i="48"/>
  <c r="O77" i="48"/>
  <c r="P77" i="48" s="1"/>
  <c r="Q77" i="48"/>
  <c r="U77" i="48" s="1"/>
  <c r="G69" i="48"/>
  <c r="K69" i="48" s="1"/>
  <c r="H69" i="48"/>
  <c r="I69" i="48" s="1"/>
  <c r="N69" i="48"/>
  <c r="O69" i="48"/>
  <c r="P69" i="48" s="1"/>
  <c r="Q69" i="48"/>
  <c r="U69" i="48" s="1"/>
  <c r="G67" i="48"/>
  <c r="K67" i="48" s="1"/>
  <c r="H67" i="48"/>
  <c r="I67" i="48" s="1"/>
  <c r="N67" i="48"/>
  <c r="O67" i="48"/>
  <c r="P67" i="48" s="1"/>
  <c r="Q67" i="48"/>
  <c r="U67" i="48" s="1"/>
  <c r="G68" i="48"/>
  <c r="K68" i="48" s="1"/>
  <c r="H68" i="48"/>
  <c r="I68" i="48" s="1"/>
  <c r="N68" i="48"/>
  <c r="O68" i="48"/>
  <c r="P68" i="48" s="1"/>
  <c r="Q68" i="48"/>
  <c r="U68" i="48" s="1"/>
  <c r="G66" i="48"/>
  <c r="K66" i="48" s="1"/>
  <c r="H66" i="48"/>
  <c r="I66" i="48" s="1"/>
  <c r="N66" i="48"/>
  <c r="O66" i="48"/>
  <c r="P66" i="48" s="1"/>
  <c r="Q66" i="48"/>
  <c r="U66" i="48" s="1"/>
  <c r="G78" i="48"/>
  <c r="K78" i="48" s="1"/>
  <c r="H78" i="48"/>
  <c r="I78" i="48" s="1"/>
  <c r="N78" i="48"/>
  <c r="O78" i="48"/>
  <c r="P78" i="48" s="1"/>
  <c r="Q78" i="48"/>
  <c r="U78" i="48" s="1"/>
  <c r="P17" i="45" l="1"/>
  <c r="V17" i="45" s="1"/>
  <c r="O13" i="45"/>
  <c r="AB13" i="45" s="1"/>
  <c r="AK13" i="45" s="1"/>
  <c r="Q13" i="45"/>
  <c r="R13" i="45" s="1"/>
  <c r="W13" i="45" s="1"/>
  <c r="AC13" i="45"/>
  <c r="AD13" i="45" s="1"/>
  <c r="AL13" i="45" s="1"/>
  <c r="AU13" i="45"/>
  <c r="AW13" i="45" s="1"/>
  <c r="AZ13" i="45" s="1"/>
  <c r="P13" i="45"/>
  <c r="V13" i="45" s="1"/>
  <c r="Q17" i="45"/>
  <c r="R17" i="45" s="1"/>
  <c r="W17" i="45" s="1"/>
  <c r="AA17" i="45" s="1"/>
  <c r="AC15" i="45"/>
  <c r="AD15" i="45" s="1"/>
  <c r="AL15" i="45" s="1"/>
  <c r="AM15" i="45" s="1"/>
  <c r="AU15" i="45"/>
  <c r="AW15" i="45" s="1"/>
  <c r="AZ15" i="45" s="1"/>
  <c r="P15" i="45"/>
  <c r="V15" i="45" s="1"/>
  <c r="AC17" i="45"/>
  <c r="AD17" i="45" s="1"/>
  <c r="AL17" i="45" s="1"/>
  <c r="AP17" i="45" s="1"/>
  <c r="O14" i="45"/>
  <c r="AB14" i="45" s="1"/>
  <c r="AK14" i="45" s="1"/>
  <c r="Q14" i="45"/>
  <c r="R14" i="45" s="1"/>
  <c r="W14" i="45" s="1"/>
  <c r="Q15" i="45"/>
  <c r="R15" i="45" s="1"/>
  <c r="W15" i="45" s="1"/>
  <c r="X15" i="45" s="1"/>
  <c r="AW17" i="45"/>
  <c r="AZ17" i="45" s="1"/>
  <c r="O16" i="45"/>
  <c r="P16" i="45" s="1"/>
  <c r="V16" i="45" s="1"/>
  <c r="AM12" i="107"/>
  <c r="AN12" i="107" s="1"/>
  <c r="AO12" i="107" s="1"/>
  <c r="AL13" i="107"/>
  <c r="AM12" i="106"/>
  <c r="AL13" i="106"/>
  <c r="AN11" i="105"/>
  <c r="AO11" i="105" s="1"/>
  <c r="AL13" i="105"/>
  <c r="AM12" i="105"/>
  <c r="AN12" i="105" s="1"/>
  <c r="AO12" i="105" s="1"/>
  <c r="AM13" i="104"/>
  <c r="AL14" i="104"/>
  <c r="AM15" i="102"/>
  <c r="AN15" i="102" s="1"/>
  <c r="AO15" i="102" s="1"/>
  <c r="AL16" i="102"/>
  <c r="AL14" i="99"/>
  <c r="AM13" i="99"/>
  <c r="AN13" i="99" s="1"/>
  <c r="AO13" i="99" s="1"/>
  <c r="X27" i="48"/>
  <c r="Z27" i="48"/>
  <c r="X26" i="48"/>
  <c r="Z26" i="48"/>
  <c r="X25" i="48"/>
  <c r="Z25" i="48"/>
  <c r="S26" i="48"/>
  <c r="T26" i="48"/>
  <c r="S27" i="48"/>
  <c r="T27" i="48"/>
  <c r="S25" i="48"/>
  <c r="T25" i="48"/>
  <c r="R76" i="48"/>
  <c r="R62" i="48"/>
  <c r="R47" i="48"/>
  <c r="R43" i="48"/>
  <c r="R42" i="48"/>
  <c r="R70" i="48"/>
  <c r="U9" i="48"/>
  <c r="U47" i="48"/>
  <c r="U42" i="48"/>
  <c r="U43" i="48"/>
  <c r="R11" i="48"/>
  <c r="U28" i="48"/>
  <c r="U50" i="48"/>
  <c r="U49" i="48"/>
  <c r="U51" i="48"/>
  <c r="U48" i="48"/>
  <c r="U52" i="48"/>
  <c r="U45" i="48"/>
  <c r="U44" i="48"/>
  <c r="U39" i="48"/>
  <c r="U40" i="48"/>
  <c r="U41" i="48"/>
  <c r="U46" i="48"/>
  <c r="U38" i="48"/>
  <c r="U33" i="48"/>
  <c r="U36" i="48"/>
  <c r="U37" i="48"/>
  <c r="U34" i="48"/>
  <c r="U32" i="48"/>
  <c r="U35" i="48"/>
  <c r="U31" i="48"/>
  <c r="U30" i="48"/>
  <c r="U29" i="48"/>
  <c r="U22" i="48"/>
  <c r="U19" i="48"/>
  <c r="U21" i="48"/>
  <c r="U17" i="48"/>
  <c r="U20" i="48"/>
  <c r="U16" i="48"/>
  <c r="U14" i="48"/>
  <c r="U13" i="48"/>
  <c r="U12" i="48"/>
  <c r="AK13" i="48"/>
  <c r="AL16" i="48"/>
  <c r="I62" i="48"/>
  <c r="I60" i="48"/>
  <c r="I63" i="48"/>
  <c r="I42" i="48"/>
  <c r="I70" i="48"/>
  <c r="I11" i="48"/>
  <c r="I47" i="48"/>
  <c r="I76" i="48"/>
  <c r="I15" i="48"/>
  <c r="U15" i="48" s="1"/>
  <c r="R15" i="48" s="1"/>
  <c r="I9" i="48"/>
  <c r="R9" i="48" s="1"/>
  <c r="I28" i="48"/>
  <c r="I43" i="48"/>
  <c r="R60" i="48"/>
  <c r="R63" i="48"/>
  <c r="R28" i="48"/>
  <c r="R45" i="48"/>
  <c r="R22" i="48"/>
  <c r="R48" i="48"/>
  <c r="R32" i="48"/>
  <c r="R30" i="48"/>
  <c r="R52" i="48"/>
  <c r="R56" i="48"/>
  <c r="R20" i="48"/>
  <c r="R39" i="48"/>
  <c r="R36" i="48"/>
  <c r="R58" i="48"/>
  <c r="R49" i="48"/>
  <c r="R33" i="48"/>
  <c r="R34" i="48"/>
  <c r="R41" i="48"/>
  <c r="R51" i="48"/>
  <c r="R40" i="48"/>
  <c r="R55" i="48"/>
  <c r="R35" i="48"/>
  <c r="R38" i="48"/>
  <c r="R14" i="48"/>
  <c r="R46" i="48"/>
  <c r="R37" i="48"/>
  <c r="R50" i="48"/>
  <c r="R44" i="48"/>
  <c r="R29" i="48"/>
  <c r="R16" i="48"/>
  <c r="R19" i="48"/>
  <c r="R13" i="48"/>
  <c r="R31" i="48"/>
  <c r="R21" i="48"/>
  <c r="R12" i="48"/>
  <c r="R17" i="48"/>
  <c r="R69" i="48"/>
  <c r="R64" i="48"/>
  <c r="R77" i="48"/>
  <c r="R78" i="48"/>
  <c r="R66" i="48"/>
  <c r="R67" i="48"/>
  <c r="R68" i="48"/>
  <c r="R61" i="48"/>
  <c r="R59" i="48"/>
  <c r="R57" i="48"/>
  <c r="R65" i="48"/>
  <c r="Q10" i="48"/>
  <c r="O10" i="48"/>
  <c r="P10" i="48" s="1"/>
  <c r="N10" i="48"/>
  <c r="H10" i="48"/>
  <c r="I10" i="48" s="1"/>
  <c r="G10" i="48"/>
  <c r="K10" i="48" s="1"/>
  <c r="Q7" i="48"/>
  <c r="O7" i="48"/>
  <c r="P7" i="48" s="1"/>
  <c r="N7" i="48"/>
  <c r="L7" i="48"/>
  <c r="H7" i="48"/>
  <c r="I7" i="48" s="1"/>
  <c r="G7" i="48"/>
  <c r="K7" i="48" s="1"/>
  <c r="AJ12" i="45"/>
  <c r="X17" i="45" l="1"/>
  <c r="X13" i="45"/>
  <c r="AA13" i="45"/>
  <c r="AM13" i="45"/>
  <c r="AP13" i="45"/>
  <c r="AS13" i="45" s="1"/>
  <c r="AP15" i="45"/>
  <c r="P14" i="45"/>
  <c r="V14" i="45" s="1"/>
  <c r="AM17" i="45"/>
  <c r="AQ17" i="45" s="1"/>
  <c r="AC14" i="45"/>
  <c r="AD14" i="45" s="1"/>
  <c r="AL14" i="45" s="1"/>
  <c r="AP14" i="45" s="1"/>
  <c r="AU14" i="45"/>
  <c r="AW14" i="45" s="1"/>
  <c r="AZ14" i="45" s="1"/>
  <c r="AA15" i="45"/>
  <c r="X14" i="45"/>
  <c r="AA14" i="45"/>
  <c r="AB16" i="45"/>
  <c r="AK16" i="45" s="1"/>
  <c r="AC16" i="45"/>
  <c r="AD16" i="45" s="1"/>
  <c r="AL16" i="45" s="1"/>
  <c r="AM16" i="45" s="1"/>
  <c r="AU16" i="45"/>
  <c r="AW16" i="45" s="1"/>
  <c r="AZ16" i="45" s="1"/>
  <c r="AS17" i="45"/>
  <c r="Q16" i="45"/>
  <c r="R16" i="45" s="1"/>
  <c r="W16" i="45" s="1"/>
  <c r="X16" i="45" s="1"/>
  <c r="AQ15" i="45"/>
  <c r="AR15" i="45"/>
  <c r="AL14" i="107"/>
  <c r="AM13" i="107"/>
  <c r="AM13" i="106"/>
  <c r="AN13" i="106" s="1"/>
  <c r="AO13" i="106" s="1"/>
  <c r="AL14" i="106"/>
  <c r="AN12" i="106"/>
  <c r="AO12" i="106" s="1"/>
  <c r="AL14" i="105"/>
  <c r="AM13" i="105"/>
  <c r="AN13" i="105" s="1"/>
  <c r="AO13" i="105" s="1"/>
  <c r="AL15" i="104"/>
  <c r="AM14" i="104"/>
  <c r="AN14" i="104" s="1"/>
  <c r="AO14" i="104" s="1"/>
  <c r="AN13" i="104"/>
  <c r="AO13" i="104" s="1"/>
  <c r="AL17" i="102"/>
  <c r="AM16" i="102"/>
  <c r="AN16" i="102" s="1"/>
  <c r="AO16" i="102" s="1"/>
  <c r="AM14" i="99"/>
  <c r="AL15" i="99"/>
  <c r="P79" i="48"/>
  <c r="AY2" i="48" s="1"/>
  <c r="AF19" i="48"/>
  <c r="AG19" i="48" s="1"/>
  <c r="AQ19" i="48" s="1"/>
  <c r="Y27" i="48"/>
  <c r="T11" i="48"/>
  <c r="Z11" i="48"/>
  <c r="X11" i="48"/>
  <c r="Z44" i="48"/>
  <c r="X44" i="48"/>
  <c r="X13" i="48"/>
  <c r="Z13" i="48"/>
  <c r="X19" i="48"/>
  <c r="Z19" i="48"/>
  <c r="Z41" i="48"/>
  <c r="X41" i="48"/>
  <c r="Z22" i="48"/>
  <c r="X22" i="48"/>
  <c r="Z33" i="48"/>
  <c r="X33" i="48"/>
  <c r="X49" i="48"/>
  <c r="Z49" i="48"/>
  <c r="X28" i="48"/>
  <c r="Z28" i="48"/>
  <c r="AF18" i="48"/>
  <c r="Y26" i="48"/>
  <c r="Z47" i="48"/>
  <c r="X47" i="48"/>
  <c r="AF17" i="48"/>
  <c r="Y25" i="48"/>
  <c r="Z29" i="48"/>
  <c r="X29" i="48"/>
  <c r="S64" i="48"/>
  <c r="Y64" i="48" s="1"/>
  <c r="X64" i="48"/>
  <c r="Z64" i="48"/>
  <c r="S58" i="48"/>
  <c r="Y58" i="48" s="1"/>
  <c r="Z58" i="48"/>
  <c r="X58" i="48"/>
  <c r="S63" i="48"/>
  <c r="Y63" i="48" s="1"/>
  <c r="X63" i="48"/>
  <c r="Z63" i="48"/>
  <c r="X51" i="48"/>
  <c r="Z51" i="48"/>
  <c r="Z48" i="48"/>
  <c r="X48" i="48"/>
  <c r="S78" i="48"/>
  <c r="Y78" i="48" s="1"/>
  <c r="X78" i="48"/>
  <c r="Z78" i="48"/>
  <c r="S77" i="48"/>
  <c r="Y77" i="48" s="1"/>
  <c r="X77" i="48"/>
  <c r="Z77" i="48"/>
  <c r="S60" i="48"/>
  <c r="Y60" i="48" s="1"/>
  <c r="Z60" i="48"/>
  <c r="X60" i="48"/>
  <c r="V26" i="48"/>
  <c r="W26" i="48" s="1"/>
  <c r="T32" i="48"/>
  <c r="X32" i="48"/>
  <c r="Z32" i="48"/>
  <c r="S76" i="48"/>
  <c r="Y76" i="48" s="1"/>
  <c r="X76" i="48"/>
  <c r="Z76" i="48"/>
  <c r="Z45" i="48"/>
  <c r="X45" i="48"/>
  <c r="X37" i="48"/>
  <c r="Z37" i="48"/>
  <c r="X14" i="48"/>
  <c r="Z14" i="48"/>
  <c r="S70" i="48"/>
  <c r="Y70" i="48" s="1"/>
  <c r="Z70" i="48"/>
  <c r="X70" i="48"/>
  <c r="Z30" i="48"/>
  <c r="X30" i="48"/>
  <c r="S62" i="48"/>
  <c r="Y62" i="48" s="1"/>
  <c r="X62" i="48"/>
  <c r="Z62" i="48"/>
  <c r="S66" i="48"/>
  <c r="Y66" i="48" s="1"/>
  <c r="X66" i="48"/>
  <c r="Z66" i="48"/>
  <c r="X50" i="48"/>
  <c r="Z50" i="48"/>
  <c r="Z36" i="48"/>
  <c r="X36" i="48"/>
  <c r="S65" i="48"/>
  <c r="Y65" i="48" s="1"/>
  <c r="Z65" i="48"/>
  <c r="X65" i="48"/>
  <c r="X38" i="48"/>
  <c r="Z38" i="48"/>
  <c r="X20" i="48"/>
  <c r="Z20" i="48"/>
  <c r="Z42" i="48"/>
  <c r="X42" i="48"/>
  <c r="X40" i="48"/>
  <c r="Z40" i="48"/>
  <c r="X67" i="48"/>
  <c r="Z67" i="48"/>
  <c r="Z34" i="48"/>
  <c r="X34" i="48"/>
  <c r="Z46" i="48"/>
  <c r="X46" i="48"/>
  <c r="Z17" i="48"/>
  <c r="X17" i="48"/>
  <c r="S57" i="48"/>
  <c r="Y57" i="48" s="1"/>
  <c r="Z57" i="48"/>
  <c r="X57" i="48"/>
  <c r="Z21" i="48"/>
  <c r="X21" i="48"/>
  <c r="Z35" i="48"/>
  <c r="X35" i="48"/>
  <c r="S56" i="48"/>
  <c r="Y56" i="48" s="1"/>
  <c r="X56" i="48"/>
  <c r="Z56" i="48"/>
  <c r="Z9" i="48"/>
  <c r="X9" i="48"/>
  <c r="Z43" i="48"/>
  <c r="X43" i="48"/>
  <c r="S61" i="48"/>
  <c r="Y61" i="48" s="1"/>
  <c r="X61" i="48"/>
  <c r="Z61" i="48"/>
  <c r="S68" i="48"/>
  <c r="Y68" i="48" s="1"/>
  <c r="X68" i="48"/>
  <c r="Z68" i="48"/>
  <c r="X16" i="48"/>
  <c r="Z16" i="48"/>
  <c r="S69" i="48"/>
  <c r="Y69" i="48" s="1"/>
  <c r="Z69" i="48"/>
  <c r="X69" i="48"/>
  <c r="X39" i="48"/>
  <c r="Z39" i="48"/>
  <c r="Z12" i="48"/>
  <c r="X12" i="48"/>
  <c r="S59" i="48"/>
  <c r="Y59" i="48" s="1"/>
  <c r="Z59" i="48"/>
  <c r="X59" i="48"/>
  <c r="X31" i="48"/>
  <c r="Z31" i="48"/>
  <c r="S55" i="48"/>
  <c r="Y55" i="48" s="1"/>
  <c r="X55" i="48"/>
  <c r="Z55" i="48"/>
  <c r="X52" i="48"/>
  <c r="Z52" i="48"/>
  <c r="X15" i="48"/>
  <c r="Z15" i="48"/>
  <c r="V25" i="48"/>
  <c r="W25" i="48" s="1"/>
  <c r="V27" i="48"/>
  <c r="W27" i="48" s="1"/>
  <c r="T67" i="48"/>
  <c r="S67" i="48"/>
  <c r="Y67" i="48" s="1"/>
  <c r="S15" i="48"/>
  <c r="Y15" i="48" s="1"/>
  <c r="T15" i="48"/>
  <c r="S13" i="48"/>
  <c r="Y13" i="48" s="1"/>
  <c r="T13" i="48"/>
  <c r="T62" i="48"/>
  <c r="T76" i="48"/>
  <c r="S41" i="48"/>
  <c r="Y41" i="48" s="1"/>
  <c r="T41" i="48"/>
  <c r="AF34" i="48"/>
  <c r="AG34" i="48" s="1"/>
  <c r="AQ34" i="48" s="1"/>
  <c r="T56" i="48"/>
  <c r="S40" i="48"/>
  <c r="Y40" i="48" s="1"/>
  <c r="T40" i="48"/>
  <c r="S16" i="48"/>
  <c r="Y16" i="48" s="1"/>
  <c r="T16" i="48"/>
  <c r="S29" i="48"/>
  <c r="Y29" i="48" s="1"/>
  <c r="T29" i="48"/>
  <c r="S42" i="48"/>
  <c r="Y42" i="48" s="1"/>
  <c r="T42" i="48"/>
  <c r="AF33" i="48"/>
  <c r="AG33" i="48" s="1"/>
  <c r="AQ33" i="48" s="1"/>
  <c r="T55" i="48"/>
  <c r="T68" i="48"/>
  <c r="T70" i="48"/>
  <c r="S34" i="48"/>
  <c r="Y34" i="48" s="1"/>
  <c r="T34" i="48"/>
  <c r="S44" i="48"/>
  <c r="Y44" i="48" s="1"/>
  <c r="T44" i="48"/>
  <c r="S43" i="48"/>
  <c r="Y43" i="48" s="1"/>
  <c r="T43" i="48"/>
  <c r="S52" i="48"/>
  <c r="Y52" i="48" s="1"/>
  <c r="T52" i="48"/>
  <c r="AF41" i="48"/>
  <c r="AG41" i="48" s="1"/>
  <c r="AQ41" i="48" s="1"/>
  <c r="T66" i="48"/>
  <c r="S22" i="48"/>
  <c r="T22" i="48"/>
  <c r="T78" i="48"/>
  <c r="S33" i="48"/>
  <c r="T33" i="48"/>
  <c r="S45" i="48"/>
  <c r="Y45" i="48" s="1"/>
  <c r="T45" i="48"/>
  <c r="T77" i="48"/>
  <c r="S50" i="48"/>
  <c r="Y50" i="48" s="1"/>
  <c r="T50" i="48"/>
  <c r="S49" i="48"/>
  <c r="Y49" i="48" s="1"/>
  <c r="T49" i="48"/>
  <c r="S28" i="48"/>
  <c r="Y28" i="48" s="1"/>
  <c r="T28" i="48"/>
  <c r="T59" i="48"/>
  <c r="S35" i="48"/>
  <c r="Y35" i="48" s="1"/>
  <c r="T35" i="48"/>
  <c r="S30" i="48"/>
  <c r="Y30" i="48" s="1"/>
  <c r="T30" i="48"/>
  <c r="S51" i="48"/>
  <c r="Y51" i="48" s="1"/>
  <c r="T51" i="48"/>
  <c r="S37" i="48"/>
  <c r="Y37" i="48" s="1"/>
  <c r="T37" i="48"/>
  <c r="AF43" i="48"/>
  <c r="T69" i="48"/>
  <c r="S36" i="48"/>
  <c r="Y36" i="48" s="1"/>
  <c r="T36" i="48"/>
  <c r="T60" i="48"/>
  <c r="AF35" i="48"/>
  <c r="AG35" i="48" s="1"/>
  <c r="AQ35" i="48" s="1"/>
  <c r="T57" i="48"/>
  <c r="S31" i="48"/>
  <c r="Y31" i="48" s="1"/>
  <c r="T31" i="48"/>
  <c r="T61" i="48"/>
  <c r="S19" i="48"/>
  <c r="Y19" i="48" s="1"/>
  <c r="T19" i="48"/>
  <c r="S48" i="48"/>
  <c r="T48" i="48"/>
  <c r="AF39" i="48"/>
  <c r="T64" i="48"/>
  <c r="T58" i="48"/>
  <c r="T63" i="48"/>
  <c r="S46" i="48"/>
  <c r="Y46" i="48" s="1"/>
  <c r="T46" i="48"/>
  <c r="S17" i="48"/>
  <c r="Y17" i="48" s="1"/>
  <c r="T17" i="48"/>
  <c r="S14" i="48"/>
  <c r="Y14" i="48" s="1"/>
  <c r="T14" i="48"/>
  <c r="S39" i="48"/>
  <c r="T39" i="48"/>
  <c r="AF40" i="48"/>
  <c r="AG40" i="48" s="1"/>
  <c r="AQ40" i="48" s="1"/>
  <c r="T65" i="48"/>
  <c r="S12" i="48"/>
  <c r="T12" i="48"/>
  <c r="S38" i="48"/>
  <c r="T38" i="48"/>
  <c r="S20" i="48"/>
  <c r="Y20" i="48" s="1"/>
  <c r="T20" i="48"/>
  <c r="S21" i="48"/>
  <c r="Y21" i="48" s="1"/>
  <c r="T21" i="48"/>
  <c r="S9" i="48"/>
  <c r="T9" i="48"/>
  <c r="S47" i="48"/>
  <c r="T47" i="48"/>
  <c r="AF44" i="48"/>
  <c r="AG44" i="48" s="1"/>
  <c r="AQ44" i="48" s="1"/>
  <c r="AF14" i="48"/>
  <c r="AG14" i="48" s="1"/>
  <c r="AQ14" i="48" s="1"/>
  <c r="AF13" i="48"/>
  <c r="AG13" i="48" s="1"/>
  <c r="AQ13" i="48" s="1"/>
  <c r="AF38" i="48"/>
  <c r="AG38" i="48" s="1"/>
  <c r="AQ38" i="48" s="1"/>
  <c r="AF37" i="48"/>
  <c r="AF21" i="48"/>
  <c r="AG21" i="48" s="1"/>
  <c r="AQ21" i="48" s="1"/>
  <c r="S11" i="48"/>
  <c r="Y11" i="48" s="1"/>
  <c r="AF15" i="48"/>
  <c r="AF12" i="48"/>
  <c r="AG12" i="48" s="1"/>
  <c r="AQ12" i="48" s="1"/>
  <c r="AF28" i="48"/>
  <c r="AG28" i="48" s="1"/>
  <c r="AQ28" i="48" s="1"/>
  <c r="AF27" i="48"/>
  <c r="AG27" i="48" s="1"/>
  <c r="AQ27" i="48" s="1"/>
  <c r="AF29" i="48"/>
  <c r="AG29" i="48" s="1"/>
  <c r="AQ29" i="48" s="1"/>
  <c r="AF32" i="48"/>
  <c r="AF23" i="48"/>
  <c r="AF20" i="48"/>
  <c r="AF24" i="48"/>
  <c r="AG24" i="48" s="1"/>
  <c r="AQ24" i="48" s="1"/>
  <c r="AF36" i="48"/>
  <c r="U7" i="48"/>
  <c r="U10" i="48"/>
  <c r="S32" i="48"/>
  <c r="AL17" i="48"/>
  <c r="AK14" i="48"/>
  <c r="R10" i="48"/>
  <c r="R7" i="48"/>
  <c r="AS15" i="45" l="1"/>
  <c r="AR17" i="45"/>
  <c r="AQ13" i="45"/>
  <c r="AR13" i="45"/>
  <c r="AM14" i="45"/>
  <c r="AR14" i="45" s="1"/>
  <c r="AS14" i="45"/>
  <c r="AP16" i="45"/>
  <c r="AQ14" i="45"/>
  <c r="AA16" i="45"/>
  <c r="AQ16" i="45"/>
  <c r="AR16" i="45"/>
  <c r="AN13" i="107"/>
  <c r="AO13" i="107" s="1"/>
  <c r="AM14" i="107"/>
  <c r="AN14" i="107" s="1"/>
  <c r="AO14" i="107" s="1"/>
  <c r="AL15" i="107"/>
  <c r="AM14" i="106"/>
  <c r="AL15" i="106"/>
  <c r="AL15" i="105"/>
  <c r="AM14" i="105"/>
  <c r="AN14" i="105" s="1"/>
  <c r="AO14" i="105" s="1"/>
  <c r="AM15" i="104"/>
  <c r="AL16" i="104"/>
  <c r="AM17" i="102"/>
  <c r="AN17" i="102" s="1"/>
  <c r="AO17" i="102" s="1"/>
  <c r="AL18" i="102"/>
  <c r="AM15" i="99"/>
  <c r="AN15" i="99" s="1"/>
  <c r="AO15" i="99" s="1"/>
  <c r="AL16" i="99"/>
  <c r="AN14" i="99"/>
  <c r="AO14" i="99" s="1"/>
  <c r="V76" i="48"/>
  <c r="W76" i="48" s="1"/>
  <c r="R79" i="48"/>
  <c r="V38" i="48"/>
  <c r="V70" i="48"/>
  <c r="W70" i="48" s="1"/>
  <c r="U79" i="48"/>
  <c r="U81" i="48" s="1"/>
  <c r="V42" i="48"/>
  <c r="W42" i="48" s="1"/>
  <c r="V61" i="48"/>
  <c r="W61" i="48" s="1"/>
  <c r="V15" i="48"/>
  <c r="W15" i="48" s="1"/>
  <c r="V46" i="48"/>
  <c r="V20" i="48"/>
  <c r="W20" i="48" s="1"/>
  <c r="V44" i="48"/>
  <c r="V63" i="48"/>
  <c r="AG18" i="48"/>
  <c r="AQ18" i="48" s="1"/>
  <c r="AG39" i="48"/>
  <c r="AQ39" i="48" s="1"/>
  <c r="AG43" i="48"/>
  <c r="AQ43" i="48" s="1"/>
  <c r="AG20" i="48"/>
  <c r="AQ20" i="48" s="1"/>
  <c r="AG32" i="48"/>
  <c r="AQ32" i="48" s="1"/>
  <c r="AG15" i="48"/>
  <c r="AQ15" i="48" s="1"/>
  <c r="V30" i="48"/>
  <c r="AG36" i="48"/>
  <c r="AQ36" i="48" s="1"/>
  <c r="AG23" i="48"/>
  <c r="AQ23" i="48" s="1"/>
  <c r="V36" i="48"/>
  <c r="W36" i="48" s="1"/>
  <c r="V49" i="48"/>
  <c r="W49" i="48" s="1"/>
  <c r="AG37" i="48"/>
  <c r="AQ37" i="48" s="1"/>
  <c r="AG17" i="48"/>
  <c r="AQ17" i="48" s="1"/>
  <c r="S7" i="48"/>
  <c r="X7" i="48"/>
  <c r="AF30" i="48"/>
  <c r="AG30" i="48" s="1"/>
  <c r="AQ30" i="48" s="1"/>
  <c r="Y47" i="48"/>
  <c r="AF8" i="48"/>
  <c r="Y9" i="48"/>
  <c r="AF16" i="48"/>
  <c r="AG16" i="48" s="1"/>
  <c r="AQ16" i="48" s="1"/>
  <c r="Y22" i="48"/>
  <c r="V56" i="48"/>
  <c r="W56" i="48" s="1"/>
  <c r="AF26" i="48"/>
  <c r="Y39" i="48"/>
  <c r="AF31" i="48"/>
  <c r="Y48" i="48"/>
  <c r="V62" i="48"/>
  <c r="W62" i="48" s="1"/>
  <c r="V35" i="48"/>
  <c r="W35" i="48" s="1"/>
  <c r="Z10" i="48"/>
  <c r="X10" i="48"/>
  <c r="V28" i="48"/>
  <c r="W28" i="48" s="1"/>
  <c r="V43" i="48"/>
  <c r="W43" i="48" s="1"/>
  <c r="AF22" i="48"/>
  <c r="Y32" i="48"/>
  <c r="V77" i="48"/>
  <c r="W77" i="48" s="1"/>
  <c r="AF25" i="48"/>
  <c r="Y38" i="48"/>
  <c r="AF11" i="48"/>
  <c r="AG11" i="48" s="1"/>
  <c r="AQ11" i="48" s="1"/>
  <c r="Y12" i="48"/>
  <c r="V33" i="48"/>
  <c r="W33" i="48" s="1"/>
  <c r="Y33" i="48"/>
  <c r="S10" i="48"/>
  <c r="T10" i="48"/>
  <c r="V65" i="48"/>
  <c r="W65" i="48" s="1"/>
  <c r="AM13" i="48"/>
  <c r="AN13" i="48" s="1"/>
  <c r="AO13" i="48" s="1"/>
  <c r="V11" i="48"/>
  <c r="W11" i="48" s="1"/>
  <c r="AF10" i="48"/>
  <c r="AG10" i="48" s="1"/>
  <c r="AQ10" i="48" s="1"/>
  <c r="AM12" i="48"/>
  <c r="AN12" i="48" s="1"/>
  <c r="AO12" i="48" s="1"/>
  <c r="T7" i="48"/>
  <c r="AF42" i="48"/>
  <c r="AG42" i="48" s="1"/>
  <c r="AQ42" i="48" s="1"/>
  <c r="V67" i="48"/>
  <c r="W67" i="48" s="1"/>
  <c r="V9" i="48"/>
  <c r="W9" i="48" s="1"/>
  <c r="AK15" i="48"/>
  <c r="AM14" i="48"/>
  <c r="AN14" i="48" s="1"/>
  <c r="AO14" i="48" s="1"/>
  <c r="AL18" i="48"/>
  <c r="V17" i="48"/>
  <c r="W17" i="48" s="1"/>
  <c r="V52" i="48"/>
  <c r="W52" i="48" s="1"/>
  <c r="V32" i="48"/>
  <c r="W32" i="48" s="1"/>
  <c r="V58" i="48"/>
  <c r="W58" i="48" s="1"/>
  <c r="V59" i="48"/>
  <c r="W59" i="48" s="1"/>
  <c r="V37" i="48"/>
  <c r="W37" i="48" s="1"/>
  <c r="V69" i="48"/>
  <c r="W69" i="48" s="1"/>
  <c r="V48" i="48"/>
  <c r="W48" i="48" s="1"/>
  <c r="V64" i="48"/>
  <c r="W64" i="48" s="1"/>
  <c r="V50" i="48"/>
  <c r="W50" i="48" s="1"/>
  <c r="V34" i="48"/>
  <c r="W34" i="48" s="1"/>
  <c r="V13" i="48"/>
  <c r="W13" i="48" s="1"/>
  <c r="V39" i="48"/>
  <c r="W39" i="48" s="1"/>
  <c r="V12" i="48"/>
  <c r="W12" i="48" s="1"/>
  <c r="V60" i="48"/>
  <c r="W60" i="48" s="1"/>
  <c r="V66" i="48"/>
  <c r="W66" i="48" s="1"/>
  <c r="V40" i="48"/>
  <c r="W40" i="48" s="1"/>
  <c r="V57" i="48"/>
  <c r="W57" i="48" s="1"/>
  <c r="V51" i="48"/>
  <c r="W51" i="48" s="1"/>
  <c r="V47" i="48"/>
  <c r="W47" i="48" s="1"/>
  <c r="V78" i="48"/>
  <c r="W78" i="48" s="1"/>
  <c r="V16" i="48"/>
  <c r="W16" i="48" s="1"/>
  <c r="V55" i="48"/>
  <c r="W55" i="48" s="1"/>
  <c r="H12" i="45"/>
  <c r="V29" i="48"/>
  <c r="W29" i="48" s="1"/>
  <c r="V45" i="48"/>
  <c r="W45" i="48" s="1"/>
  <c r="V22" i="48"/>
  <c r="W22" i="48" s="1"/>
  <c r="V41" i="48"/>
  <c r="W41" i="48" s="1"/>
  <c r="V31" i="48"/>
  <c r="W31" i="48" s="1"/>
  <c r="V21" i="48"/>
  <c r="W21" i="48" s="1"/>
  <c r="V14" i="48"/>
  <c r="W14" i="48" s="1"/>
  <c r="V68" i="48"/>
  <c r="W68" i="48" s="1"/>
  <c r="V19" i="48"/>
  <c r="W19" i="48" s="1"/>
  <c r="W63" i="48"/>
  <c r="W30" i="48"/>
  <c r="W38" i="48"/>
  <c r="W44" i="48"/>
  <c r="W46" i="48"/>
  <c r="Z7" i="48"/>
  <c r="AS16" i="45" l="1"/>
  <c r="AM15" i="107"/>
  <c r="AN15" i="107" s="1"/>
  <c r="AO15" i="107" s="1"/>
  <c r="AL16" i="107"/>
  <c r="AN14" i="106"/>
  <c r="AO14" i="106" s="1"/>
  <c r="AM15" i="106"/>
  <c r="AN15" i="106" s="1"/>
  <c r="AO15" i="106" s="1"/>
  <c r="AL16" i="106"/>
  <c r="AL16" i="105"/>
  <c r="AM15" i="105"/>
  <c r="AN15" i="105" s="1"/>
  <c r="AO15" i="105" s="1"/>
  <c r="AL17" i="104"/>
  <c r="AM16" i="104"/>
  <c r="AN16" i="104" s="1"/>
  <c r="AO16" i="104" s="1"/>
  <c r="AN15" i="104"/>
  <c r="AO15" i="104" s="1"/>
  <c r="AL19" i="102"/>
  <c r="AM18" i="102"/>
  <c r="AN18" i="102" s="1"/>
  <c r="AO18" i="102" s="1"/>
  <c r="AM16" i="99"/>
  <c r="AN16" i="99" s="1"/>
  <c r="AO16" i="99" s="1"/>
  <c r="AL17" i="99"/>
  <c r="K12" i="45"/>
  <c r="BB12" i="45" s="1"/>
  <c r="AF7" i="48"/>
  <c r="AG7" i="48" s="1"/>
  <c r="AQ7" i="48" s="1"/>
  <c r="S79" i="48"/>
  <c r="AW2" i="48" s="1"/>
  <c r="T79" i="48"/>
  <c r="AX2" i="48" s="1"/>
  <c r="AG31" i="48"/>
  <c r="AQ31" i="48" s="1"/>
  <c r="AG26" i="48"/>
  <c r="AQ26" i="48" s="1"/>
  <c r="AG22" i="48"/>
  <c r="AQ22" i="48" s="1"/>
  <c r="AG25" i="48"/>
  <c r="AQ25" i="48" s="1"/>
  <c r="AG8" i="48"/>
  <c r="AQ8" i="48" s="1"/>
  <c r="AM11" i="48"/>
  <c r="AN11" i="48" s="1"/>
  <c r="AO11" i="48" s="1"/>
  <c r="AF9" i="48"/>
  <c r="Y10" i="48"/>
  <c r="AM8" i="48"/>
  <c r="AN8" i="48" s="1"/>
  <c r="AO8" i="48" s="1"/>
  <c r="AM10" i="48"/>
  <c r="AN10" i="48" s="1"/>
  <c r="AO10" i="48" s="1"/>
  <c r="AL19" i="48"/>
  <c r="AK16" i="48"/>
  <c r="AM15" i="48"/>
  <c r="AN15" i="48" s="1"/>
  <c r="AO15" i="48" s="1"/>
  <c r="V10" i="48"/>
  <c r="W10" i="48" s="1"/>
  <c r="V7" i="48"/>
  <c r="Y7" i="48"/>
  <c r="AM7" i="48" l="1"/>
  <c r="AN7" i="48" s="1"/>
  <c r="AO7" i="48" s="1"/>
  <c r="AM16" i="107"/>
  <c r="AN16" i="107" s="1"/>
  <c r="AO16" i="107" s="1"/>
  <c r="AL17" i="107"/>
  <c r="AM16" i="106"/>
  <c r="AN16" i="106" s="1"/>
  <c r="AO16" i="106" s="1"/>
  <c r="AL17" i="106"/>
  <c r="AL17" i="105"/>
  <c r="AM16" i="105"/>
  <c r="AN16" i="105" s="1"/>
  <c r="AO16" i="105" s="1"/>
  <c r="AM17" i="104"/>
  <c r="AN17" i="104" s="1"/>
  <c r="AO17" i="104" s="1"/>
  <c r="AL18" i="104"/>
  <c r="AM19" i="102"/>
  <c r="AN19" i="102" s="1"/>
  <c r="AO19" i="102" s="1"/>
  <c r="AL20" i="102"/>
  <c r="AL18" i="99"/>
  <c r="AM17" i="99"/>
  <c r="AN17" i="99" s="1"/>
  <c r="AO17" i="99" s="1"/>
  <c r="D12" i="45"/>
  <c r="B12" i="45"/>
  <c r="B18" i="45" s="1"/>
  <c r="W7" i="48"/>
  <c r="V79" i="48"/>
  <c r="V81" i="48" s="1"/>
  <c r="AM9" i="48"/>
  <c r="AN9" i="48" s="1"/>
  <c r="AO9" i="48" s="1"/>
  <c r="AG9" i="48"/>
  <c r="AQ9" i="48" s="1"/>
  <c r="AK17" i="48"/>
  <c r="AM16" i="48"/>
  <c r="AN16" i="48" s="1"/>
  <c r="AO16" i="48" s="1"/>
  <c r="AL20" i="48"/>
  <c r="AL18" i="107" l="1"/>
  <c r="AM17" i="107"/>
  <c r="AN17" i="107" s="1"/>
  <c r="AO17" i="107" s="1"/>
  <c r="AM17" i="106"/>
  <c r="AN17" i="106" s="1"/>
  <c r="AO17" i="106" s="1"/>
  <c r="AL18" i="106"/>
  <c r="AL18" i="105"/>
  <c r="AM17" i="105"/>
  <c r="AN17" i="105" s="1"/>
  <c r="AO17" i="105" s="1"/>
  <c r="AL19" i="104"/>
  <c r="AM18" i="104"/>
  <c r="AN18" i="104" s="1"/>
  <c r="AO18" i="104" s="1"/>
  <c r="AL21" i="102"/>
  <c r="AM20" i="102"/>
  <c r="AN20" i="102" s="1"/>
  <c r="AO20" i="102" s="1"/>
  <c r="AM18" i="99"/>
  <c r="AN18" i="99" s="1"/>
  <c r="AO18" i="99" s="1"/>
  <c r="AL19" i="99"/>
  <c r="AL21" i="48"/>
  <c r="AK18" i="48"/>
  <c r="AM17" i="48"/>
  <c r="P82" i="48"/>
  <c r="O12" i="45"/>
  <c r="Q12" i="45" s="1"/>
  <c r="R12" i="45" s="1"/>
  <c r="W12" i="45" s="1"/>
  <c r="AA12" i="45" s="1"/>
  <c r="AL19" i="107" l="1"/>
  <c r="AM18" i="107"/>
  <c r="AN18" i="107" s="1"/>
  <c r="AO18" i="107" s="1"/>
  <c r="AM18" i="106"/>
  <c r="AN18" i="106" s="1"/>
  <c r="AO18" i="106" s="1"/>
  <c r="AL19" i="106"/>
  <c r="AL19" i="105"/>
  <c r="AM18" i="105"/>
  <c r="AN18" i="105" s="1"/>
  <c r="AO18" i="105" s="1"/>
  <c r="AM19" i="104"/>
  <c r="AN19" i="104" s="1"/>
  <c r="AO19" i="104" s="1"/>
  <c r="AL20" i="104"/>
  <c r="AM21" i="102"/>
  <c r="AN21" i="102" s="1"/>
  <c r="AO21" i="102" s="1"/>
  <c r="AL22" i="102"/>
  <c r="AL20" i="99"/>
  <c r="AM19" i="99"/>
  <c r="AN19" i="99" s="1"/>
  <c r="AO19" i="99" s="1"/>
  <c r="AN17" i="48"/>
  <c r="AO17" i="48" s="1"/>
  <c r="AL22" i="48"/>
  <c r="AK19" i="48"/>
  <c r="AM18" i="48"/>
  <c r="AN18" i="48" s="1"/>
  <c r="AO18" i="48" s="1"/>
  <c r="AT12" i="45"/>
  <c r="AC12" i="45"/>
  <c r="AD12" i="45" s="1"/>
  <c r="AL12" i="45" s="1"/>
  <c r="AB12" i="45"/>
  <c r="AK12" i="45" s="1"/>
  <c r="P12" i="45"/>
  <c r="V12" i="45" s="1"/>
  <c r="AU12" i="45"/>
  <c r="N7" i="63"/>
  <c r="AM19" i="107" l="1"/>
  <c r="AN19" i="107" s="1"/>
  <c r="AO19" i="107" s="1"/>
  <c r="AL20" i="107"/>
  <c r="AM19" i="106"/>
  <c r="AN19" i="106" s="1"/>
  <c r="AO19" i="106" s="1"/>
  <c r="AL20" i="106"/>
  <c r="AL20" i="105"/>
  <c r="AM19" i="105"/>
  <c r="AN19" i="105" s="1"/>
  <c r="AO19" i="105" s="1"/>
  <c r="AL21" i="104"/>
  <c r="AM20" i="104"/>
  <c r="AN20" i="104" s="1"/>
  <c r="AO20" i="104" s="1"/>
  <c r="AL23" i="102"/>
  <c r="AM22" i="102"/>
  <c r="AN22" i="102" s="1"/>
  <c r="AO22" i="102" s="1"/>
  <c r="AM20" i="99"/>
  <c r="AN20" i="99" s="1"/>
  <c r="AO20" i="99" s="1"/>
  <c r="AL21" i="99"/>
  <c r="AA18" i="45"/>
  <c r="N8" i="63"/>
  <c r="AK20" i="48"/>
  <c r="AM19" i="48"/>
  <c r="AN19" i="48" s="1"/>
  <c r="AO19" i="48" s="1"/>
  <c r="AL23" i="48"/>
  <c r="AM12" i="45"/>
  <c r="AR12" i="45" s="1"/>
  <c r="AP12" i="45"/>
  <c r="X12" i="45"/>
  <c r="AW12" i="45"/>
  <c r="AW18" i="45" s="1"/>
  <c r="AM20" i="107" l="1"/>
  <c r="AN20" i="107" s="1"/>
  <c r="AO20" i="107" s="1"/>
  <c r="AL21" i="107"/>
  <c r="AM20" i="106"/>
  <c r="AN20" i="106" s="1"/>
  <c r="AO20" i="106" s="1"/>
  <c r="AL21" i="106"/>
  <c r="AL21" i="105"/>
  <c r="AM20" i="105"/>
  <c r="AN20" i="105" s="1"/>
  <c r="AO20" i="105" s="1"/>
  <c r="AL22" i="104"/>
  <c r="AM21" i="104"/>
  <c r="AN21" i="104" s="1"/>
  <c r="AO21" i="104" s="1"/>
  <c r="AM23" i="102"/>
  <c r="AN23" i="102" s="1"/>
  <c r="AO23" i="102" s="1"/>
  <c r="AL24" i="102"/>
  <c r="AL22" i="99"/>
  <c r="AM21" i="99"/>
  <c r="AN21" i="99" s="1"/>
  <c r="AO21" i="99" s="1"/>
  <c r="AP18" i="45"/>
  <c r="AS12" i="45"/>
  <c r="AS18" i="45" s="1"/>
  <c r="K5" i="64" s="1"/>
  <c r="AL24" i="48"/>
  <c r="AK21" i="48"/>
  <c r="AM20" i="48"/>
  <c r="AN20" i="48" s="1"/>
  <c r="AO20" i="48" s="1"/>
  <c r="AQ12" i="45"/>
  <c r="AQ18" i="45" s="1"/>
  <c r="K4" i="64" s="1"/>
  <c r="AZ12" i="45"/>
  <c r="AZ18" i="45" s="1"/>
  <c r="AM21" i="107" l="1"/>
  <c r="AN21" i="107" s="1"/>
  <c r="AO21" i="107" s="1"/>
  <c r="AL22" i="107"/>
  <c r="AM21" i="106"/>
  <c r="AN21" i="106" s="1"/>
  <c r="AO21" i="106" s="1"/>
  <c r="AL22" i="106"/>
  <c r="AL22" i="105"/>
  <c r="AM21" i="105"/>
  <c r="AN21" i="105" s="1"/>
  <c r="AO21" i="105" s="1"/>
  <c r="AL23" i="104"/>
  <c r="AM22" i="104"/>
  <c r="AN22" i="104" s="1"/>
  <c r="AO22" i="104" s="1"/>
  <c r="AL25" i="102"/>
  <c r="AM24" i="102"/>
  <c r="AN24" i="102" s="1"/>
  <c r="AO24" i="102" s="1"/>
  <c r="AM22" i="99"/>
  <c r="AN22" i="99" s="1"/>
  <c r="AO22" i="99" s="1"/>
  <c r="AL23" i="99"/>
  <c r="AK22" i="48"/>
  <c r="AM21" i="48"/>
  <c r="AN21" i="48" s="1"/>
  <c r="AO21" i="48" s="1"/>
  <c r="AL25" i="48"/>
  <c r="AM22" i="107" l="1"/>
  <c r="AN22" i="107" s="1"/>
  <c r="AO22" i="107" s="1"/>
  <c r="AL23" i="107"/>
  <c r="AM22" i="106"/>
  <c r="AN22" i="106" s="1"/>
  <c r="AO22" i="106" s="1"/>
  <c r="AL23" i="106"/>
  <c r="AM22" i="105"/>
  <c r="AN22" i="105" s="1"/>
  <c r="AO22" i="105" s="1"/>
  <c r="AL23" i="105"/>
  <c r="AL24" i="104"/>
  <c r="AM23" i="104"/>
  <c r="AN23" i="104" s="1"/>
  <c r="AO23" i="104" s="1"/>
  <c r="AM25" i="102"/>
  <c r="AN25" i="102" s="1"/>
  <c r="AO25" i="102" s="1"/>
  <c r="AL26" i="102"/>
  <c r="AL24" i="99"/>
  <c r="AM23" i="99"/>
  <c r="AN23" i="99" s="1"/>
  <c r="AO23" i="99" s="1"/>
  <c r="AL26" i="48"/>
  <c r="AK23" i="48"/>
  <c r="AM22" i="48"/>
  <c r="AN22" i="48" s="1"/>
  <c r="AO22" i="48" s="1"/>
  <c r="AL24" i="107" l="1"/>
  <c r="AM23" i="107"/>
  <c r="AN23" i="107" s="1"/>
  <c r="AO23" i="107" s="1"/>
  <c r="AM23" i="106"/>
  <c r="AN23" i="106" s="1"/>
  <c r="AO23" i="106" s="1"/>
  <c r="AL24" i="106"/>
  <c r="AM23" i="105"/>
  <c r="AN23" i="105" s="1"/>
  <c r="AO23" i="105" s="1"/>
  <c r="AL24" i="105"/>
  <c r="AL25" i="104"/>
  <c r="AM24" i="104"/>
  <c r="AN24" i="104" s="1"/>
  <c r="AO24" i="104" s="1"/>
  <c r="AL27" i="102"/>
  <c r="AM26" i="102"/>
  <c r="AN26" i="102" s="1"/>
  <c r="AO26" i="102" s="1"/>
  <c r="AM24" i="99"/>
  <c r="AN24" i="99" s="1"/>
  <c r="AO24" i="99" s="1"/>
  <c r="AL25" i="99"/>
  <c r="AK24" i="48"/>
  <c r="AM23" i="48"/>
  <c r="AN23" i="48" s="1"/>
  <c r="AO23" i="48" s="1"/>
  <c r="AL27" i="48"/>
  <c r="AL25" i="107" l="1"/>
  <c r="AM24" i="107"/>
  <c r="AN24" i="107" s="1"/>
  <c r="AO24" i="107" s="1"/>
  <c r="AM24" i="106"/>
  <c r="AN24" i="106" s="1"/>
  <c r="AO24" i="106" s="1"/>
  <c r="AL25" i="106"/>
  <c r="AL25" i="105"/>
  <c r="AM24" i="105"/>
  <c r="AN24" i="105" s="1"/>
  <c r="AO24" i="105" s="1"/>
  <c r="AM25" i="104"/>
  <c r="AN25" i="104" s="1"/>
  <c r="AO25" i="104" s="1"/>
  <c r="AL26" i="104"/>
  <c r="AM27" i="102"/>
  <c r="AN27" i="102" s="1"/>
  <c r="AO27" i="102" s="1"/>
  <c r="AL28" i="102"/>
  <c r="AL26" i="99"/>
  <c r="AM25" i="99"/>
  <c r="AN25" i="99" s="1"/>
  <c r="AO25" i="99" s="1"/>
  <c r="AL28" i="48"/>
  <c r="AK25" i="48"/>
  <c r="AM24" i="48"/>
  <c r="AN24" i="48" s="1"/>
  <c r="AO24" i="48" s="1"/>
  <c r="AL26" i="107" l="1"/>
  <c r="AM25" i="107"/>
  <c r="AN25" i="107" s="1"/>
  <c r="AO25" i="107" s="1"/>
  <c r="AM25" i="106"/>
  <c r="AN25" i="106" s="1"/>
  <c r="AO25" i="106" s="1"/>
  <c r="AL26" i="106"/>
  <c r="AM25" i="105"/>
  <c r="AN25" i="105" s="1"/>
  <c r="AO25" i="105" s="1"/>
  <c r="AL26" i="105"/>
  <c r="AL27" i="104"/>
  <c r="AM26" i="104"/>
  <c r="AN26" i="104" s="1"/>
  <c r="AO26" i="104" s="1"/>
  <c r="AM28" i="102"/>
  <c r="AN28" i="102" s="1"/>
  <c r="AO28" i="102" s="1"/>
  <c r="AL29" i="102"/>
  <c r="AL27" i="99"/>
  <c r="AM26" i="99"/>
  <c r="AN26" i="99" s="1"/>
  <c r="AO26" i="99" s="1"/>
  <c r="AK26" i="48"/>
  <c r="AM25" i="48"/>
  <c r="AN25" i="48" s="1"/>
  <c r="AO25" i="48" s="1"/>
  <c r="AL29" i="48"/>
  <c r="AM26" i="107" l="1"/>
  <c r="AN26" i="107" s="1"/>
  <c r="AO26" i="107" s="1"/>
  <c r="AL27" i="107"/>
  <c r="AM26" i="106"/>
  <c r="AN26" i="106" s="1"/>
  <c r="AO26" i="106" s="1"/>
  <c r="AL27" i="106"/>
  <c r="AM26" i="105"/>
  <c r="AN26" i="105" s="1"/>
  <c r="AO26" i="105" s="1"/>
  <c r="AL27" i="105"/>
  <c r="AL28" i="104"/>
  <c r="AM27" i="104"/>
  <c r="AN27" i="104" s="1"/>
  <c r="AO27" i="104" s="1"/>
  <c r="AL30" i="102"/>
  <c r="AM29" i="102"/>
  <c r="AN29" i="102" s="1"/>
  <c r="AO29" i="102" s="1"/>
  <c r="AL28" i="99"/>
  <c r="AM27" i="99"/>
  <c r="AN27" i="99" s="1"/>
  <c r="AO27" i="99" s="1"/>
  <c r="AL30" i="48"/>
  <c r="AK27" i="48"/>
  <c r="AM26" i="48"/>
  <c r="AN26" i="48" s="1"/>
  <c r="AO26" i="48" s="1"/>
  <c r="AL28" i="107" l="1"/>
  <c r="AM27" i="107"/>
  <c r="AN27" i="107" s="1"/>
  <c r="AO27" i="107" s="1"/>
  <c r="AM27" i="106"/>
  <c r="AN27" i="106" s="1"/>
  <c r="AO27" i="106" s="1"/>
  <c r="AL28" i="106"/>
  <c r="AM27" i="105"/>
  <c r="AN27" i="105" s="1"/>
  <c r="AO27" i="105" s="1"/>
  <c r="AL28" i="105"/>
  <c r="AL29" i="104"/>
  <c r="AM28" i="104"/>
  <c r="AN28" i="104" s="1"/>
  <c r="AO28" i="104" s="1"/>
  <c r="AM30" i="102"/>
  <c r="AN30" i="102" s="1"/>
  <c r="AO30" i="102" s="1"/>
  <c r="AL31" i="102"/>
  <c r="AL29" i="99"/>
  <c r="AM28" i="99"/>
  <c r="AN28" i="99" s="1"/>
  <c r="AO28" i="99" s="1"/>
  <c r="AK28" i="48"/>
  <c r="AM27" i="48"/>
  <c r="AN27" i="48" s="1"/>
  <c r="AO27" i="48" s="1"/>
  <c r="AL31" i="48"/>
  <c r="AL29" i="107" l="1"/>
  <c r="AM28" i="107"/>
  <c r="AN28" i="107" s="1"/>
  <c r="AO28" i="107" s="1"/>
  <c r="AM28" i="106"/>
  <c r="AN28" i="106" s="1"/>
  <c r="AO28" i="106" s="1"/>
  <c r="AL29" i="106"/>
  <c r="AM28" i="105"/>
  <c r="AN28" i="105" s="1"/>
  <c r="AO28" i="105" s="1"/>
  <c r="AL29" i="105"/>
  <c r="AL30" i="104"/>
  <c r="AM29" i="104"/>
  <c r="AN29" i="104" s="1"/>
  <c r="AO29" i="104" s="1"/>
  <c r="AM31" i="102"/>
  <c r="AN31" i="102" s="1"/>
  <c r="AO31" i="102" s="1"/>
  <c r="AL32" i="102"/>
  <c r="AL30" i="99"/>
  <c r="AM29" i="99"/>
  <c r="AN29" i="99" s="1"/>
  <c r="AO29" i="99" s="1"/>
  <c r="AL32" i="48"/>
  <c r="AK29" i="48"/>
  <c r="AM28" i="48"/>
  <c r="AN28" i="48" s="1"/>
  <c r="AO28" i="48" s="1"/>
  <c r="AM29" i="107" l="1"/>
  <c r="AN29" i="107" s="1"/>
  <c r="AO29" i="107" s="1"/>
  <c r="AL30" i="107"/>
  <c r="AM29" i="106"/>
  <c r="AN29" i="106" s="1"/>
  <c r="AO29" i="106" s="1"/>
  <c r="AL30" i="106"/>
  <c r="AM29" i="105"/>
  <c r="AN29" i="105" s="1"/>
  <c r="AO29" i="105" s="1"/>
  <c r="AL30" i="105"/>
  <c r="AL31" i="104"/>
  <c r="AM30" i="104"/>
  <c r="AN30" i="104" s="1"/>
  <c r="AO30" i="104" s="1"/>
  <c r="AL33" i="102"/>
  <c r="AM32" i="102"/>
  <c r="AN32" i="102" s="1"/>
  <c r="AO32" i="102" s="1"/>
  <c r="AL31" i="99"/>
  <c r="AM30" i="99"/>
  <c r="AN30" i="99" s="1"/>
  <c r="AO30" i="99" s="1"/>
  <c r="AK30" i="48"/>
  <c r="AM29" i="48"/>
  <c r="AN29" i="48" s="1"/>
  <c r="AO29" i="48" s="1"/>
  <c r="AL33" i="48"/>
  <c r="AL31" i="107" l="1"/>
  <c r="AM30" i="107"/>
  <c r="AN30" i="107" s="1"/>
  <c r="AO30" i="107" s="1"/>
  <c r="AM30" i="106"/>
  <c r="AN30" i="106" s="1"/>
  <c r="AO30" i="106" s="1"/>
  <c r="AL31" i="106"/>
  <c r="AM30" i="105"/>
  <c r="AN30" i="105" s="1"/>
  <c r="AO30" i="105" s="1"/>
  <c r="AL31" i="105"/>
  <c r="AL32" i="104"/>
  <c r="AM31" i="104"/>
  <c r="AN31" i="104" s="1"/>
  <c r="AO31" i="104" s="1"/>
  <c r="AL34" i="102"/>
  <c r="AM33" i="102"/>
  <c r="AN33" i="102" s="1"/>
  <c r="AO33" i="102" s="1"/>
  <c r="AL32" i="99"/>
  <c r="AM31" i="99"/>
  <c r="AN31" i="99" s="1"/>
  <c r="AO31" i="99" s="1"/>
  <c r="AL34" i="48"/>
  <c r="AK31" i="48"/>
  <c r="AM30" i="48"/>
  <c r="AN30" i="48" s="1"/>
  <c r="AO30" i="48" s="1"/>
  <c r="AM31" i="107" l="1"/>
  <c r="AN31" i="107" s="1"/>
  <c r="AO31" i="107" s="1"/>
  <c r="AL32" i="107"/>
  <c r="AL32" i="106"/>
  <c r="AM31" i="106"/>
  <c r="AN31" i="106" s="1"/>
  <c r="AO31" i="106" s="1"/>
  <c r="AM31" i="105"/>
  <c r="AN31" i="105" s="1"/>
  <c r="AO31" i="105" s="1"/>
  <c r="AL32" i="105"/>
  <c r="AL33" i="104"/>
  <c r="AM32" i="104"/>
  <c r="AN32" i="104" s="1"/>
  <c r="AO32" i="104" s="1"/>
  <c r="AL35" i="102"/>
  <c r="AM34" i="102"/>
  <c r="AN34" i="102" s="1"/>
  <c r="AO34" i="102" s="1"/>
  <c r="AM32" i="99"/>
  <c r="AN32" i="99" s="1"/>
  <c r="AO32" i="99" s="1"/>
  <c r="AL33" i="99"/>
  <c r="AK32" i="48"/>
  <c r="AM31" i="48"/>
  <c r="AN31" i="48" s="1"/>
  <c r="AO31" i="48" s="1"/>
  <c r="AL35" i="48"/>
  <c r="AM32" i="107" l="1"/>
  <c r="AN32" i="107" s="1"/>
  <c r="AO32" i="107" s="1"/>
  <c r="AL33" i="107"/>
  <c r="AM32" i="106"/>
  <c r="AN32" i="106" s="1"/>
  <c r="AO32" i="106" s="1"/>
  <c r="AL33" i="106"/>
  <c r="AM32" i="105"/>
  <c r="AN32" i="105" s="1"/>
  <c r="AO32" i="105" s="1"/>
  <c r="AL33" i="105"/>
  <c r="AL34" i="104"/>
  <c r="AM33" i="104"/>
  <c r="AN33" i="104" s="1"/>
  <c r="AO33" i="104" s="1"/>
  <c r="AL36" i="102"/>
  <c r="AM35" i="102"/>
  <c r="AN35" i="102" s="1"/>
  <c r="AO35" i="102" s="1"/>
  <c r="AL34" i="99"/>
  <c r="AM33" i="99"/>
  <c r="AN33" i="99" s="1"/>
  <c r="AO33" i="99" s="1"/>
  <c r="AL36" i="48"/>
  <c r="AK33" i="48"/>
  <c r="AM32" i="48"/>
  <c r="AN32" i="48" s="1"/>
  <c r="AO32" i="48" s="1"/>
  <c r="AL34" i="107" l="1"/>
  <c r="AM33" i="107"/>
  <c r="AN33" i="107" s="1"/>
  <c r="AO33" i="107" s="1"/>
  <c r="AL34" i="106"/>
  <c r="AM33" i="106"/>
  <c r="AN33" i="106" s="1"/>
  <c r="AO33" i="106" s="1"/>
  <c r="AL34" i="105"/>
  <c r="AM33" i="105"/>
  <c r="AN33" i="105" s="1"/>
  <c r="AO33" i="105" s="1"/>
  <c r="AL35" i="104"/>
  <c r="AM34" i="104"/>
  <c r="AN34" i="104" s="1"/>
  <c r="AO34" i="104" s="1"/>
  <c r="AL37" i="102"/>
  <c r="AM36" i="102"/>
  <c r="AN36" i="102" s="1"/>
  <c r="AO36" i="102" s="1"/>
  <c r="AL35" i="99"/>
  <c r="AM34" i="99"/>
  <c r="AN34" i="99" s="1"/>
  <c r="AO34" i="99" s="1"/>
  <c r="AK34" i="48"/>
  <c r="AM33" i="48"/>
  <c r="AN33" i="48" s="1"/>
  <c r="AO33" i="48" s="1"/>
  <c r="AL37" i="48"/>
  <c r="AM34" i="107" l="1"/>
  <c r="AN34" i="107" s="1"/>
  <c r="AO34" i="107" s="1"/>
  <c r="AL35" i="107"/>
  <c r="AM34" i="106"/>
  <c r="AN34" i="106" s="1"/>
  <c r="AO34" i="106" s="1"/>
  <c r="AL35" i="106"/>
  <c r="AM34" i="105"/>
  <c r="AN34" i="105" s="1"/>
  <c r="AO34" i="105" s="1"/>
  <c r="AL35" i="105"/>
  <c r="AL36" i="104"/>
  <c r="AM35" i="104"/>
  <c r="AN35" i="104" s="1"/>
  <c r="AO35" i="104" s="1"/>
  <c r="AL38" i="102"/>
  <c r="AM37" i="102"/>
  <c r="AN37" i="102" s="1"/>
  <c r="AO37" i="102" s="1"/>
  <c r="AL36" i="99"/>
  <c r="AM35" i="99"/>
  <c r="AN35" i="99" s="1"/>
  <c r="AO35" i="99" s="1"/>
  <c r="AL38" i="48"/>
  <c r="AK35" i="48"/>
  <c r="AM34" i="48"/>
  <c r="AN34" i="48" s="1"/>
  <c r="AO34" i="48" s="1"/>
  <c r="AL36" i="107" l="1"/>
  <c r="AM35" i="107"/>
  <c r="AN35" i="107" s="1"/>
  <c r="AO35" i="107" s="1"/>
  <c r="AL36" i="106"/>
  <c r="AM35" i="106"/>
  <c r="AN35" i="106" s="1"/>
  <c r="AO35" i="106" s="1"/>
  <c r="AL36" i="105"/>
  <c r="AM35" i="105"/>
  <c r="AN35" i="105" s="1"/>
  <c r="AO35" i="105" s="1"/>
  <c r="AL37" i="104"/>
  <c r="AM36" i="104"/>
  <c r="AN36" i="104" s="1"/>
  <c r="AO36" i="104" s="1"/>
  <c r="AM38" i="102"/>
  <c r="AN38" i="102" s="1"/>
  <c r="AO38" i="102" s="1"/>
  <c r="AL39" i="102"/>
  <c r="AL37" i="99"/>
  <c r="AM36" i="99"/>
  <c r="AN36" i="99" s="1"/>
  <c r="AO36" i="99" s="1"/>
  <c r="AK36" i="48"/>
  <c r="AM35" i="48"/>
  <c r="AN35" i="48" s="1"/>
  <c r="AO35" i="48" s="1"/>
  <c r="AL39" i="48"/>
  <c r="AL37" i="107" l="1"/>
  <c r="AM36" i="107"/>
  <c r="AN36" i="107" s="1"/>
  <c r="AO36" i="107" s="1"/>
  <c r="AM36" i="106"/>
  <c r="AN36" i="106" s="1"/>
  <c r="AO36" i="106" s="1"/>
  <c r="AL37" i="106"/>
  <c r="AM36" i="105"/>
  <c r="AN36" i="105" s="1"/>
  <c r="AO36" i="105" s="1"/>
  <c r="AL37" i="105"/>
  <c r="AL38" i="104"/>
  <c r="AM37" i="104"/>
  <c r="AN37" i="104" s="1"/>
  <c r="AO37" i="104" s="1"/>
  <c r="AL40" i="102"/>
  <c r="AM39" i="102"/>
  <c r="AN39" i="102" s="1"/>
  <c r="AO39" i="102" s="1"/>
  <c r="AM37" i="99"/>
  <c r="AN37" i="99" s="1"/>
  <c r="AO37" i="99" s="1"/>
  <c r="AL38" i="99"/>
  <c r="AL40" i="48"/>
  <c r="AK37" i="48"/>
  <c r="AM36" i="48"/>
  <c r="AN36" i="48" s="1"/>
  <c r="AO36" i="48" s="1"/>
  <c r="AM37" i="107" l="1"/>
  <c r="AN37" i="107" s="1"/>
  <c r="AO37" i="107" s="1"/>
  <c r="AL38" i="107"/>
  <c r="AL38" i="106"/>
  <c r="AM37" i="106"/>
  <c r="AN37" i="106" s="1"/>
  <c r="AO37" i="106" s="1"/>
  <c r="AL38" i="105"/>
  <c r="AM37" i="105"/>
  <c r="AN37" i="105" s="1"/>
  <c r="AO37" i="105" s="1"/>
  <c r="AM38" i="104"/>
  <c r="AN38" i="104" s="1"/>
  <c r="AO38" i="104" s="1"/>
  <c r="AL39" i="104"/>
  <c r="AM40" i="102"/>
  <c r="AN40" i="102" s="1"/>
  <c r="AO40" i="102" s="1"/>
  <c r="AL41" i="102"/>
  <c r="AM38" i="99"/>
  <c r="AN38" i="99" s="1"/>
  <c r="AO38" i="99" s="1"/>
  <c r="AL39" i="99"/>
  <c r="AK38" i="48"/>
  <c r="AM37" i="48"/>
  <c r="AN37" i="48" s="1"/>
  <c r="AO37" i="48" s="1"/>
  <c r="AL41" i="48"/>
  <c r="AM38" i="107" l="1"/>
  <c r="AN38" i="107" s="1"/>
  <c r="AO38" i="107" s="1"/>
  <c r="AL39" i="107"/>
  <c r="AM38" i="106"/>
  <c r="AN38" i="106" s="1"/>
  <c r="AO38" i="106" s="1"/>
  <c r="AL39" i="106"/>
  <c r="AM38" i="105"/>
  <c r="AN38" i="105" s="1"/>
  <c r="AO38" i="105" s="1"/>
  <c r="AL39" i="105"/>
  <c r="AM39" i="104"/>
  <c r="AN39" i="104" s="1"/>
  <c r="AO39" i="104" s="1"/>
  <c r="AL40" i="104"/>
  <c r="AL42" i="102"/>
  <c r="AM41" i="102"/>
  <c r="AN41" i="102" s="1"/>
  <c r="AO41" i="102" s="1"/>
  <c r="AM39" i="99"/>
  <c r="AN39" i="99" s="1"/>
  <c r="AO39" i="99" s="1"/>
  <c r="AL40" i="99"/>
  <c r="AL42" i="48"/>
  <c r="AK39" i="48"/>
  <c r="AM38" i="48"/>
  <c r="AN38" i="48" s="1"/>
  <c r="AO38" i="48" s="1"/>
  <c r="AM39" i="107" l="1"/>
  <c r="AN39" i="107" s="1"/>
  <c r="AO39" i="107" s="1"/>
  <c r="AL40" i="107"/>
  <c r="AM39" i="106"/>
  <c r="AN39" i="106" s="1"/>
  <c r="AO39" i="106" s="1"/>
  <c r="AL40" i="106"/>
  <c r="AM39" i="105"/>
  <c r="AN39" i="105" s="1"/>
  <c r="AO39" i="105" s="1"/>
  <c r="AL40" i="105"/>
  <c r="AL41" i="104"/>
  <c r="AM40" i="104"/>
  <c r="AN40" i="104" s="1"/>
  <c r="AO40" i="104" s="1"/>
  <c r="AM42" i="102"/>
  <c r="AN42" i="102" s="1"/>
  <c r="AO42" i="102" s="1"/>
  <c r="AL43" i="102"/>
  <c r="AM40" i="99"/>
  <c r="AN40" i="99" s="1"/>
  <c r="AO40" i="99" s="1"/>
  <c r="AL41" i="99"/>
  <c r="AK40" i="48"/>
  <c r="AM39" i="48"/>
  <c r="AN39" i="48" s="1"/>
  <c r="AO39" i="48" s="1"/>
  <c r="AL43" i="48"/>
  <c r="AL44" i="48" s="1"/>
  <c r="AL41" i="107" l="1"/>
  <c r="AM40" i="107"/>
  <c r="AN40" i="107" s="1"/>
  <c r="AO40" i="107" s="1"/>
  <c r="AM40" i="106"/>
  <c r="AN40" i="106" s="1"/>
  <c r="AO40" i="106" s="1"/>
  <c r="AL41" i="106"/>
  <c r="AM40" i="105"/>
  <c r="AN40" i="105" s="1"/>
  <c r="AO40" i="105" s="1"/>
  <c r="AL41" i="105"/>
  <c r="AM41" i="104"/>
  <c r="AN41" i="104" s="1"/>
  <c r="AO41" i="104" s="1"/>
  <c r="AL42" i="104"/>
  <c r="AL44" i="102"/>
  <c r="AM44" i="102" s="1"/>
  <c r="AM43" i="102"/>
  <c r="AN43" i="102" s="1"/>
  <c r="AO43" i="102" s="1"/>
  <c r="AM41" i="99"/>
  <c r="AN41" i="99" s="1"/>
  <c r="AO41" i="99" s="1"/>
  <c r="AL42" i="99"/>
  <c r="AK41" i="48"/>
  <c r="AM40" i="48"/>
  <c r="AN40" i="48" s="1"/>
  <c r="AO40" i="48" s="1"/>
  <c r="AM41" i="107" l="1"/>
  <c r="AN41" i="107" s="1"/>
  <c r="AO41" i="107" s="1"/>
  <c r="AL42" i="107"/>
  <c r="AM41" i="106"/>
  <c r="AN41" i="106" s="1"/>
  <c r="AO41" i="106" s="1"/>
  <c r="AL42" i="106"/>
  <c r="AM41" i="105"/>
  <c r="AN41" i="105" s="1"/>
  <c r="AO41" i="105" s="1"/>
  <c r="AL42" i="105"/>
  <c r="AL43" i="104"/>
  <c r="AM42" i="104"/>
  <c r="AN42" i="104" s="1"/>
  <c r="AO42" i="104" s="1"/>
  <c r="AN44" i="102"/>
  <c r="AO44" i="102" s="1"/>
  <c r="AO45" i="102" s="1"/>
  <c r="BA2" i="102" s="1"/>
  <c r="BE13" i="45" s="1"/>
  <c r="AM45" i="102"/>
  <c r="BB2" i="102" s="1"/>
  <c r="BF13" i="45" s="1"/>
  <c r="AM42" i="99"/>
  <c r="AN42" i="99" s="1"/>
  <c r="AO42" i="99" s="1"/>
  <c r="AL43" i="99"/>
  <c r="AK42" i="48"/>
  <c r="AM41" i="48"/>
  <c r="AN41" i="48" s="1"/>
  <c r="AO41" i="48" s="1"/>
  <c r="AM42" i="107" l="1"/>
  <c r="AN42" i="107" s="1"/>
  <c r="AO42" i="107" s="1"/>
  <c r="AL43" i="107"/>
  <c r="AL43" i="106"/>
  <c r="AM42" i="106"/>
  <c r="AN42" i="106" s="1"/>
  <c r="AO42" i="106" s="1"/>
  <c r="AM42" i="105"/>
  <c r="AN42" i="105" s="1"/>
  <c r="AO42" i="105" s="1"/>
  <c r="AL43" i="105"/>
  <c r="AL44" i="104"/>
  <c r="AM44" i="104" s="1"/>
  <c r="AM43" i="104"/>
  <c r="AN43" i="104" s="1"/>
  <c r="AO43" i="104" s="1"/>
  <c r="AM43" i="99"/>
  <c r="AN43" i="99" s="1"/>
  <c r="AO43" i="99" s="1"/>
  <c r="AL44" i="99"/>
  <c r="AM44" i="99" s="1"/>
  <c r="AK43" i="48"/>
  <c r="AK44" i="48" s="1"/>
  <c r="AM44" i="48" s="1"/>
  <c r="AM42" i="48"/>
  <c r="AN42" i="48" s="1"/>
  <c r="AO42" i="48" s="1"/>
  <c r="AL44" i="107" l="1"/>
  <c r="AM44" i="107" s="1"/>
  <c r="AM43" i="107"/>
  <c r="AN43" i="107" s="1"/>
  <c r="AO43" i="107" s="1"/>
  <c r="AM43" i="106"/>
  <c r="AN43" i="106" s="1"/>
  <c r="AO43" i="106" s="1"/>
  <c r="AL44" i="106"/>
  <c r="AM44" i="106" s="1"/>
  <c r="AL44" i="105"/>
  <c r="AM44" i="105" s="1"/>
  <c r="AM43" i="105"/>
  <c r="AN43" i="105" s="1"/>
  <c r="AO43" i="105" s="1"/>
  <c r="AN44" i="104"/>
  <c r="AO44" i="104" s="1"/>
  <c r="AO45" i="104" s="1"/>
  <c r="BA2" i="104" s="1"/>
  <c r="BE14" i="45" s="1"/>
  <c r="AM45" i="104"/>
  <c r="BB2" i="104" s="1"/>
  <c r="BF14" i="45" s="1"/>
  <c r="AN44" i="99"/>
  <c r="AO44" i="99" s="1"/>
  <c r="AO45" i="99" s="1"/>
  <c r="BA2" i="99" s="1"/>
  <c r="AM45" i="99"/>
  <c r="BB2" i="99" s="1"/>
  <c r="AN44" i="48"/>
  <c r="AO44" i="48" s="1"/>
  <c r="AM43" i="48"/>
  <c r="AM45" i="48" s="1"/>
  <c r="BB2" i="48" s="1"/>
  <c r="BF12" i="45" s="1"/>
  <c r="AN44" i="107" l="1"/>
  <c r="AO44" i="107" s="1"/>
  <c r="AO45" i="107" s="1"/>
  <c r="BA2" i="107" s="1"/>
  <c r="BE17" i="45" s="1"/>
  <c r="AM45" i="107"/>
  <c r="BB2" i="107" s="1"/>
  <c r="BF17" i="45" s="1"/>
  <c r="AN44" i="106"/>
  <c r="AO44" i="106" s="1"/>
  <c r="AO45" i="106" s="1"/>
  <c r="BA2" i="106" s="1"/>
  <c r="BE16" i="45" s="1"/>
  <c r="AM45" i="106"/>
  <c r="BB2" i="106" s="1"/>
  <c r="BF16" i="45" s="1"/>
  <c r="AN44" i="105"/>
  <c r="AO44" i="105" s="1"/>
  <c r="AO45" i="105" s="1"/>
  <c r="BA2" i="105" s="1"/>
  <c r="BE15" i="45" s="1"/>
  <c r="AM45" i="105"/>
  <c r="BB2" i="105" s="1"/>
  <c r="BF15" i="45" s="1"/>
  <c r="AN43" i="48"/>
  <c r="AO43" i="48" s="1"/>
  <c r="AO45" i="48" s="1"/>
  <c r="BA2" i="48" s="1"/>
  <c r="BE12" i="45" s="1"/>
  <c r="BF18" i="45" l="1"/>
  <c r="K6" i="64" s="1"/>
  <c r="BE18" i="45"/>
  <c r="K7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Shraddha Patil</author>
  </authors>
  <commentList>
    <comment ref="E7" authorId="0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tc={DDBD82AE-C8F4-3D4C-9167-10A6463EA45D}</author>
    <author>tc={875D9AE4-27EA-7148-928B-1A52D5B56735}</author>
    <author>tc={362B3BD9-EA2F-E048-A252-80575E4BA5C1}</author>
    <author>tc={D32447AF-E888-6D40-9EF5-6B3BE0554C91}</author>
    <author>tc={1932F005-E5DD-8949-B5C9-6FDEB8B88A22}</author>
    <author>tc={A8F52013-F732-5E4E-9136-646B105AF9F9}</author>
    <author>tc={0F7418DC-4934-974D-ADA3-005A9F18D45E}</author>
    <author>tc={3BB204D3-C328-AC4A-92B0-97B28C18BD87}</author>
    <author>tc={B3EC2ACE-3B1B-7349-B173-7A5A8D6D6450}</author>
    <author>tc={C933BE8F-67EB-5D4A-BED8-AE9377D2563D}</author>
    <author>tc={E6EB6E46-87C2-3842-82EC-7B6320B053BB}</author>
    <author>tc={24F18F4B-2CFB-7042-9BC8-9669104B5E07}</author>
  </authors>
  <commentList>
    <comment ref="B6" authorId="0" shapeId="0" xr:uid="{DDBD82AE-C8F4-3D4C-9167-10A6463EA45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875D9AE4-27EA-7148-928B-1A52D5B5673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362B3BD9-EA2F-E048-A252-80575E4BA5C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D32447AF-E888-6D40-9EF5-6B3BE0554C9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1932F005-E5DD-8949-B5C9-6FDEB8B88A2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A8F52013-F732-5E4E-9136-646B105AF9F9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0F7418DC-4934-974D-ADA3-005A9F18D45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3BB204D3-C328-AC4A-92B0-97B28C18BD8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3EC2ACE-3B1B-7349-B173-7A5A8D6D645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C933BE8F-67EB-5D4A-BED8-AE9377D2563D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E6EB6E46-87C2-3842-82EC-7B6320B053B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24F18F4B-2CFB-7042-9BC8-9669104B5E0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tc={FDC006C2-572A-9A4A-BECF-70EE873AB92F}</author>
    <author>tc={F73EAE09-E266-C146-AE12-4FE3D52D5264}</author>
    <author>tc={D8E9BB69-ADEC-DE40-B9D0-2C45BBE11980}</author>
    <author>tc={13652258-8D47-2F45-944C-1BE34E2EFBAB}</author>
    <author>tc={F88E1B68-E5FC-8A43-AD2C-0DA1B4D61207}</author>
    <author>tc={69F22033-AE0C-2448-B829-E8D728F9D3DD}</author>
    <author>tc={B96FD918-2090-9C46-BE82-2A53D855965E}</author>
    <author>tc={0B2915EF-F940-F24D-BAB6-1D79BA0963D8}</author>
    <author>tc={94C3A7AD-2265-B344-B052-C5FECA2DD46C}</author>
    <author>tc={37B832F3-3F20-4B41-B6A6-9CE0491B53BB}</author>
    <author>tc={D32E6257-936E-D748-98B9-62D94B975F96}</author>
    <author>tc={C0819507-112C-584A-806B-785D603EB79B}</author>
  </authors>
  <commentList>
    <comment ref="B6" authorId="0" shapeId="0" xr:uid="{FDC006C2-572A-9A4A-BECF-70EE873AB92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F73EAE09-E266-C146-AE12-4FE3D52D526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D8E9BB69-ADEC-DE40-B9D0-2C45BBE1198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13652258-8D47-2F45-944C-1BE34E2EFBA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F88E1B68-E5FC-8A43-AD2C-0DA1B4D6120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69F22033-AE0C-2448-B829-E8D728F9D3DD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B96FD918-2090-9C46-BE82-2A53D855965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0B2915EF-F940-F24D-BAB6-1D79BA0963D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94C3A7AD-2265-B344-B052-C5FECA2DD46C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37B832F3-3F20-4B41-B6A6-9CE0491B53BB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D32E6257-936E-D748-98B9-62D94B975F9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C0819507-112C-584A-806B-785D603EB79B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tc={820D7AB9-7C62-DF4D-B9AD-B325BCB0A0C3}</author>
    <author>tc={411A101D-427A-A541-8506-FD67AB396CB7}</author>
    <author>tc={52606D34-FFBA-1041-8656-7B0F24736199}</author>
    <author>tc={9ACD77D5-9D46-404F-B6A0-FF4BB665D13D}</author>
    <author>tc={F2D3686E-C7DD-794C-91E4-4012D05DA153}</author>
    <author>tc={BDA592C7-4941-534F-9A5B-B77F6301146D}</author>
    <author>tc={8C7ABB0E-B73A-B04F-8B23-815314C5D476}</author>
    <author>tc={6568FBD8-2FEB-2C4F-80FA-464E8BF37BAC}</author>
    <author>tc={4BE22496-2E9E-744D-A86B-E8D46148E169}</author>
    <author>tc={C595C093-986F-2B49-8EF9-E8E4A18CE8E6}</author>
    <author>tc={DA73F27D-6383-1149-AF24-6F3F3E144784}</author>
    <author>tc={15D8C2A1-00CD-1849-9566-D07DEE0ADC70}</author>
  </authors>
  <commentList>
    <comment ref="B6" authorId="0" shapeId="0" xr:uid="{820D7AB9-7C62-DF4D-B9AD-B325BCB0A0C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411A101D-427A-A541-8506-FD67AB396C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52606D34-FFBA-1041-8656-7B0F24736199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9ACD77D5-9D46-404F-B6A0-FF4BB665D13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F2D3686E-C7DD-794C-91E4-4012D05DA15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BDA592C7-4941-534F-9A5B-B77F6301146D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8C7ABB0E-B73A-B04F-8B23-815314C5D47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6568FBD8-2FEB-2C4F-80FA-464E8BF37BA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4BE22496-2E9E-744D-A86B-E8D46148E169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C595C093-986F-2B49-8EF9-E8E4A18CE8E6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DA73F27D-6383-1149-AF24-6F3F3E14478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15D8C2A1-00CD-1849-9566-D07DEE0ADC70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tc={1D1DD6DD-C4F7-044A-B27B-6BD479B43714}</author>
    <author>tc={6FEC423F-2790-F247-AFCC-918FF0A36C5F}</author>
    <author>tc={6F8B68B0-CBE6-0441-BE2F-3C7B029F72E6}</author>
    <author>tc={DAD17707-B1D0-1343-8BEF-E01F539AD5E7}</author>
    <author>tc={CB3BB370-A901-5841-A5F5-94DB2FE35514}</author>
    <author>tc={17E7086A-1829-454A-AE77-AD84B9247BD7}</author>
    <author>tc={3C654B64-6AA3-6B47-9922-D65C62938B6D}</author>
    <author>tc={3A4C8EA3-66E5-5243-BA40-109E4A0D378C}</author>
    <author>tc={A1B50D6A-872C-E144-8816-44FEF62C6B8A}</author>
    <author>tc={E08D4891-3910-C243-AE04-EEBC90DD7213}</author>
    <author>tc={C0104D27-D377-F342-AA8D-4A3AE99F6BA7}</author>
    <author>tc={BE3EF7DE-5130-B344-877E-B0A4310B2A72}</author>
  </authors>
  <commentList>
    <comment ref="B6" authorId="0" shapeId="0" xr:uid="{1D1DD6DD-C4F7-044A-B27B-6BD479B4371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6FEC423F-2790-F247-AFCC-918FF0A36C5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6F8B68B0-CBE6-0441-BE2F-3C7B029F72E6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DAD17707-B1D0-1343-8BEF-E01F539AD5E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CB3BB370-A901-5841-A5F5-94DB2FE3551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17E7086A-1829-454A-AE77-AD84B9247BD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3C654B64-6AA3-6B47-9922-D65C62938B6D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3A4C8EA3-66E5-5243-BA40-109E4A0D378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A1B50D6A-872C-E144-8816-44FEF62C6B8A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E08D4891-3910-C243-AE04-EEBC90DD7213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C0104D27-D377-F342-AA8D-4A3AE99F6BA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BE3EF7DE-5130-B344-877E-B0A4310B2A72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tc={24B8E27E-851F-7648-A891-4A9A73C9A133}</author>
    <author>tc={2DEDD307-6F07-AA41-B451-34245F3FD5A4}</author>
    <author>tc={F54F573E-CEC1-8D42-BCEB-29FB2D660F29}</author>
    <author>tc={A03F15D7-A93D-584F-A706-C2FC598158BC}</author>
    <author>tc={7427EA82-27B9-5A49-B337-2E8A242EEB92}</author>
    <author>tc={CD868D3D-DC67-A443-9F92-788B0853B713}</author>
    <author>tc={8C47B0BF-151F-1040-AA3E-76AB4B6A753F}</author>
    <author>tc={AE6B90B0-991F-3D48-8B86-9EFAC05C1381}</author>
    <author>tc={640DA661-4425-624B-955A-1FD710C15FD4}</author>
    <author>tc={C616BAD9-7AFC-034E-88DA-02E8A6FFBE14}</author>
    <author>tc={50D019F3-C3DF-4E45-BB6B-8F8BA3DF75C5}</author>
    <author>tc={51BB8385-9878-1D41-8F2F-F3674A7FDA22}</author>
  </authors>
  <commentList>
    <comment ref="B6" authorId="0" shapeId="0" xr:uid="{24B8E27E-851F-7648-A891-4A9A73C9A13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2DEDD307-6F07-AA41-B451-34245F3FD5A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F54F573E-CEC1-8D42-BCEB-29FB2D660F29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A03F15D7-A93D-584F-A706-C2FC598158B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7427EA82-27B9-5A49-B337-2E8A242EEB9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CD868D3D-DC67-A443-9F92-788B0853B713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8C47B0BF-151F-1040-AA3E-76AB4B6A753F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AE6B90B0-991F-3D48-8B86-9EFAC05C138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640DA661-4425-624B-955A-1FD710C15FD4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C616BAD9-7AFC-034E-88DA-02E8A6FFBE1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50D019F3-C3DF-4E45-BB6B-8F8BA3DF75C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51BB8385-9878-1D41-8F2F-F3674A7FDA22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tc={EFC3FBC4-B92A-9D4A-8B9E-EE8E23C1E4C1}</author>
    <author>tc={31F0BF9F-A85F-A74D-8A7C-F7817BA32C24}</author>
    <author>tc={9BDE5D07-3B9D-1E47-B0D9-4129AE3A2C9D}</author>
    <author>tc={8E0DD624-C3A0-C447-A64A-CEA6891BF4FC}</author>
    <author>tc={31A1DF0B-6AB6-154D-8BA4-DD537385BAAD}</author>
    <author>tc={CA65C9B6-C4C1-C547-89B1-782ECE26E600}</author>
    <author>tc={F8F7EB67-EC7B-E949-9DCF-524BFDA3C0F4}</author>
    <author>tc={876A3876-16E4-1A43-85B6-6C982D71D0D0}</author>
    <author>tc={B9C857D7-7FED-D14F-BAC5-F9893DCB7476}</author>
    <author>tc={8816C565-63A8-8A4C-A701-5BCB87D535DF}</author>
    <author>tc={BAC273BE-0EFE-154D-88BB-BDF51F39726A}</author>
    <author>tc={02E290C1-8966-F64B-8155-4CFF6F2C6B1C}</author>
  </authors>
  <commentList>
    <comment ref="B6" authorId="0" shapeId="0" xr:uid="{EFC3FBC4-B92A-9D4A-8B9E-EE8E23C1E4C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31F0BF9F-A85F-A74D-8A7C-F7817BA32C2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9BDE5D07-3B9D-1E47-B0D9-4129AE3A2C9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8E0DD624-C3A0-C447-A64A-CEA6891BF4F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31A1DF0B-6AB6-154D-8BA4-DD537385BAA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CA65C9B6-C4C1-C547-89B1-782ECE26E600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F8F7EB67-EC7B-E949-9DCF-524BFDA3C0F4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876A3876-16E4-1A43-85B6-6C982D71D0D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9C857D7-7FED-D14F-BAC5-F9893DCB7476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8816C565-63A8-8A4C-A701-5BCB87D535DF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BAC273BE-0EFE-154D-88BB-BDF51F39726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02E290C1-8966-F64B-8155-4CFF6F2C6B1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  <author>tc={E58C7751-D100-3043-8A2B-D49980DE41F8}</author>
    <author>tc={5053F419-E298-2841-9E46-452F68294ACC}</author>
  </authors>
  <commentList>
    <comment ref="B6" authorId="0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5053F419-E298-2841-9E46-452F68294AC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sharedStrings.xml><?xml version="1.0" encoding="utf-8"?>
<sst xmlns="http://schemas.openxmlformats.org/spreadsheetml/2006/main" count="2484" uniqueCount="404">
  <si>
    <t>HG
(FT)</t>
  </si>
  <si>
    <t xml:space="preserve">VENTILATION AIR SUPPLY      </t>
  </si>
  <si>
    <t>Table 4-A</t>
  </si>
  <si>
    <t>Area Designation</t>
  </si>
  <si>
    <t>Air Balance Rerationship to Adjacent Areas</t>
  </si>
  <si>
    <t>Conditioned Air Not 100% O.S.A.</t>
  </si>
  <si>
    <t>All Air Exhausted Directly To Outdoors</t>
  </si>
  <si>
    <t>Minimum Air Changes of Outdoor Air per Hour</t>
  </si>
  <si>
    <t>Minimum Total Air Changes per Hour</t>
  </si>
  <si>
    <t>DB</t>
  </si>
  <si>
    <t>ROOM</t>
  </si>
  <si>
    <t>Table 4-A - Pressure Relationship and Ventilation Requirements For General Acute Care Hospitals, Skilled Nursing Facillities, Intermediate Care Facilitis, Correctional Treatment Centers, Outpatient Facilities and Licensed Clinics.</t>
  </si>
  <si>
    <t>1 CFM/SF</t>
  </si>
  <si>
    <t>RA CFM</t>
  </si>
  <si>
    <t>EA CFM</t>
  </si>
  <si>
    <t>Transfer Air CFM</t>
  </si>
  <si>
    <t>Balance?</t>
  </si>
  <si>
    <t>Zone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</si>
  <si>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</si>
  <si>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</si>
  <si>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</si>
  <si>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</si>
  <si>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</si>
  <si>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</si>
  <si>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</si>
  <si>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</si>
  <si>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</si>
  <si>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</si>
  <si>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</si>
  <si>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</si>
  <si>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</si>
  <si>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</si>
  <si>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</si>
  <si>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</si>
  <si>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</si>
  <si>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</si>
  <si>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</si>
  <si>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z</t>
  </si>
  <si>
    <t>NR</t>
  </si>
  <si>
    <t>Code requires 10, best practice 12</t>
  </si>
  <si>
    <t>ROOM #</t>
  </si>
  <si>
    <t>100%
EA</t>
  </si>
  <si>
    <t>P</t>
  </si>
  <si>
    <t>Changed from 20 to 15 min. total ACH</t>
  </si>
  <si>
    <t>(aa) "Nurse station pressure relationship and ventillation requirements shall match the area in which it is located."</t>
  </si>
  <si>
    <t>GPM</t>
  </si>
  <si>
    <t>EWT</t>
  </si>
  <si>
    <t>EAT</t>
  </si>
  <si>
    <t>CFM</t>
  </si>
  <si>
    <t>2019 CALIFORNIA MECHANICAL CODE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</si>
  <si>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</si>
  <si>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</si>
  <si>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</si>
  <si>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</si>
  <si>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</si>
  <si>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</si>
  <si>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</si>
  <si>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</si>
  <si>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</si>
  <si>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</si>
  <si>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</si>
  <si>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Room Setpoint</t>
  </si>
  <si>
    <t>Summer Outside Air (dehumidification)</t>
  </si>
  <si>
    <t>Winter Outside</t>
  </si>
  <si>
    <t>Ql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</si>
  <si>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</si>
  <si>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</si>
  <si>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</si>
  <si>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</si>
  <si>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</si>
  <si>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</si>
  <si>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</si>
  <si>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</si>
  <si>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</si>
  <si>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</si>
  <si>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LACTATION</t>
  </si>
  <si>
    <t>ADMIN (NOT PER TABLE 4A)</t>
  </si>
  <si>
    <t>NOURISHMENT AREA OR ROOM</t>
  </si>
  <si>
    <t>SOILED OR DECONTAMINATION ROOM</t>
  </si>
  <si>
    <t>TOILET ROOM</t>
  </si>
  <si>
    <t>SOILED LINEN SORTING AND STORAGE</t>
  </si>
  <si>
    <t>NO REQUIREMENT FOR CONTINUOUS DIRECTIONAL CONTROL</t>
  </si>
  <si>
    <t>NEGATIVE</t>
  </si>
  <si>
    <t>CALCULATED SA CFM</t>
  </si>
  <si>
    <t>ADDITIONAL FOR MEETING %OA</t>
  </si>
  <si>
    <t>POSITIVE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</si>
  <si>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</si>
  <si>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</si>
  <si>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</si>
  <si>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</si>
  <si>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</si>
  <si>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</si>
  <si>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</si>
  <si>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</si>
  <si>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</si>
  <si>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PATIENT CORRIDOR</t>
  </si>
  <si>
    <t>MEDICATION ROOM</t>
  </si>
  <si>
    <t>PHARMACY (B)</t>
  </si>
  <si>
    <t>NON-HAZARDOUS STERILE PROCESSING (PER USP)</t>
  </si>
  <si>
    <t>NON-HD POSITIVE PRESSURE ANTE ROOM (PER USP)</t>
  </si>
  <si>
    <t>MIN MBH</t>
  </si>
  <si>
    <t>DESIGN 
LAT</t>
  </si>
  <si>
    <t>DESIGN 
LWT</t>
  </si>
  <si>
    <t>PATIENT ROOM</t>
  </si>
  <si>
    <t>SF ESP</t>
  </si>
  <si>
    <t>RF ESP</t>
  </si>
  <si>
    <t>CLEAN LINEN STORAGE</t>
  </si>
  <si>
    <t>PRE - HEATING</t>
  </si>
  <si>
    <t>CLEAN WORKROOM OR CLEAN HOLDING (SUPPORT)</t>
  </si>
  <si>
    <t>NURSE STATION (AA)</t>
  </si>
  <si>
    <t>SECLUSION ROOM</t>
  </si>
  <si>
    <t>EXAMINATION ROOM</t>
  </si>
  <si>
    <t>AIRBORNE INFECTION ISOLATION ROOM (U)</t>
  </si>
  <si>
    <t>AIRBORNE INFECTION ISOLATION ANTEROOM (U)</t>
  </si>
  <si>
    <t xml:space="preserve">LAUNDRY, GENERAL 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</si>
  <si>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</si>
  <si>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</si>
  <si>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</si>
  <si>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</si>
  <si>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</si>
  <si>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</si>
  <si>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</si>
  <si>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</si>
  <si>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</si>
  <si>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</si>
  <si>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</si>
  <si>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</si>
  <si>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</si>
  <si>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</si>
  <si>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(E)</t>
  </si>
  <si>
    <t>NEGATIVE U</t>
  </si>
  <si>
    <t>(AA)</t>
  </si>
  <si>
    <t>AIRBORNE INFECTION ISOLATION TREATMENT/EXAM ROOM</t>
  </si>
  <si>
    <t>ANGIOGRAPHY ROOM</t>
  </si>
  <si>
    <t>BATHING ROOM</t>
  </si>
  <si>
    <t>BATHROOM</t>
  </si>
  <si>
    <t>BEDPAN ROOM</t>
  </si>
  <si>
    <t>BLOOD BANK/TISSURE STORAGE</t>
  </si>
  <si>
    <t>BLOOD DRAW/PHLEBOTOMY</t>
  </si>
  <si>
    <t>BRONCHOSCOPY, SPUTUM COLLECTION, AND PENTAMIDINE ADMINISTRATION (N)</t>
  </si>
  <si>
    <t>CARDIAC CATHETERIZATION LAB</t>
  </si>
  <si>
    <t>CLEAN WORKROOM (CENTRAL MEDICAL AND SURGICAL SUPPLY SPACE)</t>
  </si>
  <si>
    <t>CRITICAL AND INTENSIVE CARE</t>
  </si>
  <si>
    <t>CT SCAN</t>
  </si>
  <si>
    <t>DARKROOM (G)</t>
  </si>
  <si>
    <t>DELIVERY ROOM (CAESAREAN) (M), (N), (O)</t>
  </si>
  <si>
    <t>DIALYSIS TREATMENT AREA</t>
  </si>
  <si>
    <t>DIALYZER REPROCESSING ROOM</t>
  </si>
  <si>
    <t>DIETARY STORAGE</t>
  </si>
  <si>
    <t>ELECTROCONVULSIVE THERAPY PROCEDURE ROOM</t>
  </si>
  <si>
    <t>EMERGENCY DEPARTMENT EXAM/TREATMENT ROOM (P)</t>
  </si>
  <si>
    <t>ENDOSCOPE CLEANING</t>
  </si>
  <si>
    <t>ER DECONTAMINATION</t>
  </si>
  <si>
    <t>ER WAITING ROOMS</t>
  </si>
  <si>
    <t>FAST TRACK ROOM</t>
  </si>
  <si>
    <t>FLUOROSCOPY ROOM</t>
  </si>
  <si>
    <t>FOOD PREPARATION CENTER (I)</t>
  </si>
  <si>
    <t>GAMMA CAMERA</t>
  </si>
  <si>
    <t>GASTROINTESTINAL ENDOSCOPY PROCEDURE ROOM (X)</t>
  </si>
  <si>
    <t>HAZARDOUS MATERIAL STORAGE</t>
  </si>
  <si>
    <t>HYDROTHERAPY</t>
  </si>
  <si>
    <t>INFUSION ROOM</t>
  </si>
  <si>
    <t>INTERMEDIATE CARE (S)</t>
  </si>
  <si>
    <t>INTERVENTIONAL IMAGING PROCEDURE ROOM</t>
  </si>
  <si>
    <t>IV PREP. ROOM</t>
  </si>
  <si>
    <t>JANITOR'S CLOSET, HOUSEKEEPING</t>
  </si>
  <si>
    <t>LABOR/DELIVERY/RECOVERY (LDR) (S)</t>
  </si>
  <si>
    <t>LABOR/DELIVERY/RECOVERY/POSTPARTUM (LDRP) (S)</t>
  </si>
  <si>
    <t>LABORATORY: BACTERIOLOGY (V)</t>
  </si>
  <si>
    <t>LABORATORY: BIOCHEMISTRY (V)</t>
  </si>
  <si>
    <t>LABORATORY: CYTOLOGY (V)</t>
  </si>
  <si>
    <t>LABORATORY: GENERAL (V)</t>
  </si>
  <si>
    <t>LABORATORY: GLASS WASHING</t>
  </si>
  <si>
    <t>LABORATORY: HISTOLOGY (V)</t>
  </si>
  <si>
    <t>LABORATORY: INFECTIOUS DISEASE AND VIRUS</t>
  </si>
  <si>
    <t>LABORATORY: MEDIA TRANSFER (V)</t>
  </si>
  <si>
    <t>LABORATORY: MICROBIOLOGY (V)</t>
  </si>
  <si>
    <t>LABORATORY: NUCLEAR MEDICINE (V)</t>
  </si>
  <si>
    <t>LABORATORY: PATHOLOGY (V)</t>
  </si>
  <si>
    <t>LABORATORY: SEROLOGY (V)</t>
  </si>
  <si>
    <t>LABORATORY: STERILIZING</t>
  </si>
  <si>
    <t>LASER EYE ROOM</t>
  </si>
  <si>
    <t>LINEN AND TRASH CHUTE ROOM</t>
  </si>
  <si>
    <t>MEDICAL / ANESTHESIA GAS STORAGE (R)</t>
  </si>
  <si>
    <t>MORGUES AND AUTOPSY ROOMS (N)</t>
  </si>
  <si>
    <t>MRI ROOM</t>
  </si>
  <si>
    <t>NEGATIVE-PRESSURE X-RAY ROOM</t>
  </si>
  <si>
    <t>NEWBORN INTENSIVE CARE</t>
  </si>
  <si>
    <t>NEWBORN INTENSIVE CARE FORMULA ROOM</t>
  </si>
  <si>
    <t>NEWBORN/WELL BABY NURSERY SUITE</t>
  </si>
  <si>
    <t>NONREFRIGERATED BODY-HOLDING ROOM (H)</t>
  </si>
  <si>
    <t>NUCLEAR MEDICINE (GAMMA, PET, SPECT)</t>
  </si>
  <si>
    <t>NUCLEAR MEDICINE HOT LAB</t>
  </si>
  <si>
    <t>NUCLEAR MEDICINE TREATMENT ROOM</t>
  </si>
  <si>
    <t>OBSERVATION</t>
  </si>
  <si>
    <t>OCCUPATIONAL THERAPY</t>
  </si>
  <si>
    <t>OPERATING ROOM, HYBRID OPERATING ROOM (M) (N), (O)</t>
  </si>
  <si>
    <t>OPERATING /SURGICAL CYSTOSCOPIC ROOM (M), (N), (O)</t>
  </si>
  <si>
    <t>PATIENT HOLDING PREPARATION</t>
  </si>
  <si>
    <t>PEDIATRIC PLAY AREA</t>
  </si>
  <si>
    <t>DRUG ROOM</t>
  </si>
  <si>
    <t>HD ANTE ROOM (B)</t>
  </si>
  <si>
    <t>HD BUFFER ROOM (B)</t>
  </si>
  <si>
    <t>HD SEGREGATED COMPOUNDING AREA (AB)</t>
  </si>
  <si>
    <t>HD STORAGE (B)</t>
  </si>
  <si>
    <t>NON-HD ANTE ROOM (B)</t>
  </si>
  <si>
    <t>NON-HD BUFFER ROOM (B)</t>
  </si>
  <si>
    <t>NON-HD SEGREGATED COMPOUNDING AREA (B)</t>
  </si>
  <si>
    <t>PHYSICAL THERAPY (NURSING FACILITY)</t>
  </si>
  <si>
    <t>PHYSICAL THERAPY (DIAGNOSTIC AND TREATMENT)</t>
  </si>
  <si>
    <t>POST-ANESTHESIA CARE UNIT</t>
  </si>
  <si>
    <t>PRE-SCREENING AREA</t>
  </si>
  <si>
    <t>PROCEDURE ROOM (O), (D)</t>
  </si>
  <si>
    <t>PROTECTIVE ENVIRONMENT ANTEROOM (T)</t>
  </si>
  <si>
    <t>PROTECTIVE ENVIRONMENT ROOM (T)</t>
  </si>
  <si>
    <t>RADIOLOGY WAITING ROOMS</t>
  </si>
  <si>
    <t>RECOVERY ROOM</t>
  </si>
  <si>
    <t>RECREATION/ACTIVITY ROOM</t>
  </si>
  <si>
    <t>RESIDENT GATHERING/ACTIVITY/DINING (NURSING FACILITY)</t>
  </si>
  <si>
    <t>RESIDENT ROOM (NURSING FACILITY)</t>
  </si>
  <si>
    <t>RESIDENT UNIT CORRIDOR (NURSING FACILITY)</t>
  </si>
  <si>
    <t>SEMI-RESTRICTED CORRIDOR</t>
  </si>
  <si>
    <t>SHOWER ROOM</t>
  </si>
  <si>
    <t>SOILED WORKROOM OR SOILED HOLDING, UTILITY ROOM</t>
  </si>
  <si>
    <t>SPECIAL PURPOSE ROOM (SNF &amp; ICF ONLY)</t>
  </si>
  <si>
    <t>SPEECH THERAPY/AUDIOLOGY ROOM</t>
  </si>
  <si>
    <t>STERILE STORAGE</t>
  </si>
  <si>
    <t>STERILIZER EQUIPMENT ROOM</t>
  </si>
  <si>
    <t>SUBSTERILE SERVICE AREA</t>
  </si>
  <si>
    <t>TRAUMA/CARDIAC ROOM (CRISI OR SHOCK) (C)</t>
  </si>
  <si>
    <t>TREATMENT ROOM (SURGERY AND CRITICAL CARE (P)</t>
  </si>
  <si>
    <t>TREATMENT ROOM (DIAGNOSTIC AND TREATMENT) (X)</t>
  </si>
  <si>
    <t>TRIAGE</t>
  </si>
  <si>
    <t>ULTRASOUND ROOM</t>
  </si>
  <si>
    <t>UNSTERILE SUPPLY</t>
  </si>
  <si>
    <t>WAITING AREA (NUCLEAR MEDICINE)</t>
  </si>
  <si>
    <t>WAITING AREA, PRIMARY CARE CLINIC</t>
  </si>
  <si>
    <t>WAREWASHING</t>
  </si>
  <si>
    <t>WOUND INTENSIVE CARE (BURN UNIT)</t>
  </si>
  <si>
    <t>X-RAY (DIAGNOSTIC AND TREATMENT)</t>
  </si>
  <si>
    <t>X-RAY (SURGERY/CRITICAL CARE AND CATHERIZATION)</t>
  </si>
  <si>
    <t>NO REQUIREMENT</t>
  </si>
  <si>
    <t>YES</t>
  </si>
  <si>
    <t>YES (Q)</t>
  </si>
  <si>
    <t>YES (Q), (W)</t>
  </si>
  <si>
    <t>ZONE</t>
  </si>
  <si>
    <t>TOTAL AC/HR</t>
  </si>
  <si>
    <t>CRICU
EA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</si>
  <si>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</si>
  <si>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</si>
  <si>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</si>
  <si>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</si>
  <si>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</si>
  <si>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</si>
  <si>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</si>
  <si>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</si>
  <si>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</si>
  <si>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</si>
  <si>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</si>
  <si>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</si>
  <si>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</si>
  <si>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</si>
  <si>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</si>
  <si>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</si>
  <si>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</si>
  <si>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</si>
  <si>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</si>
  <si>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</si>
  <si>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</si>
  <si>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</si>
  <si>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</si>
  <si>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</si>
  <si>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</si>
  <si>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</si>
  <si>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</si>
  <si>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</si>
  <si>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</si>
  <si>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</si>
  <si>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</si>
  <si>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</si>
  <si>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</si>
  <si>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</si>
  <si>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</si>
  <si>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</si>
  <si>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</si>
  <si>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</si>
  <si>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</si>
  <si>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</si>
  <si>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</si>
  <si>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</si>
  <si>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</si>
  <si>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</si>
  <si>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</si>
  <si>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</si>
  <si>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</si>
  <si>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</si>
  <si>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SEE AHU-1 CALCS</t>
  </si>
  <si>
    <t xml:space="preserve"> VENTILATION SCHEDULE AHU-1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</si>
  <si>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</si>
  <si>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</si>
  <si>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</si>
  <si>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</si>
  <si>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</si>
  <si>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</si>
  <si>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</si>
  <si>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</si>
  <si>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</si>
  <si>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OUTSIDE AIR TABLE - MUST BE FROM ASHRAE OR RFP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</si>
  <si>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</si>
  <si>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</si>
  <si>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</si>
  <si>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</si>
  <si>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</si>
  <si>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</si>
  <si>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</si>
  <si>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</si>
  <si>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</si>
  <si>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</si>
  <si>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</si>
  <si>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C1/M-501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</si>
  <si>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</si>
  <si>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</si>
  <si>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</si>
  <si>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</si>
  <si>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</si>
  <si>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</si>
  <si>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</si>
  <si>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</si>
  <si>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WITH SAFETY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</si>
  <si>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</si>
  <si>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</si>
  <si>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</si>
  <si>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</si>
  <si>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</si>
  <si>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</si>
  <si>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</si>
  <si>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</si>
  <si>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</si>
  <si>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</si>
  <si>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</si>
  <si>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</si>
  <si>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</si>
  <si>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</si>
  <si>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</si>
  <si>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</si>
  <si>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</si>
  <si>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</si>
  <si>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</si>
  <si>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</si>
  <si>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</si>
  <si>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</si>
  <si>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</si>
  <si>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</si>
  <si>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(Btu/hr)25</t>
  </si>
  <si>
    <t>(Btu/hr)26</t>
  </si>
  <si>
    <t>(Btu/hr)27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</si>
  <si>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</si>
  <si>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</si>
  <si>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</si>
  <si>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</si>
  <si>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</si>
  <si>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</si>
  <si>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</si>
  <si>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</si>
  <si>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</si>
  <si>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</si>
  <si>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</si>
  <si>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</si>
  <si>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</si>
  <si>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</si>
  <si>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</si>
  <si>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</si>
  <si>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</si>
  <si>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</si>
  <si>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</si>
  <si>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</si>
  <si>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</si>
  <si>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</si>
  <si>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</si>
  <si>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</si>
  <si>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</si>
  <si>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</si>
  <si>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</si>
  <si>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</si>
  <si>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</si>
  <si>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</si>
  <si>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</si>
  <si>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</si>
  <si>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</si>
  <si>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</si>
  <si>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</si>
  <si>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</si>
  <si>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</si>
  <si>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</si>
  <si>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AHU 1</t>
  </si>
  <si>
    <t>AHU 2</t>
  </si>
  <si>
    <t>SA</t>
  </si>
  <si>
    <t>RA</t>
  </si>
  <si>
    <t>OA</t>
  </si>
  <si>
    <t>MBH</t>
  </si>
  <si>
    <t>AHU 3</t>
  </si>
  <si>
    <t>AHU 4</t>
  </si>
  <si>
    <t>AHU 5</t>
  </si>
  <si>
    <t>AHU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</si>
</sst>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&quot;N/A&quot;"/>
  </numFmts>
  <fonts count="48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color indexed="60"/>
      <name val="Arial"/>
      <family val="2"/>
    </font>
    <font>
      <b/>
      <sz val="12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5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8"/>
      <color rgb="FFFF0000"/>
      <name val="Arial Narrow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0"/>
      <color rgb="FFFF0000"/>
      <name val="Arial"/>
      <family val="2"/>
    </font>
    <font>
      <sz val="24"/>
      <name val="Arial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alibri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24"/>
      <color theme="1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3" tint="0.39997558519241921"/>
      <name val="Calibri (Body)"/>
    </font>
    <font>
      <b/>
      <sz val="8"/>
      <color theme="3"/>
      <name val="Arial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sz val="12"/>
      <color rgb="FF000000"/>
      <name val="Calibri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</fills>
  <borders count="5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2"/>
      </bottom>
      <diagonal/>
    </border>
    <border>
      <left style="thin">
        <color indexed="23"/>
      </left>
      <right style="thin">
        <color indexed="64"/>
      </right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0" fontId="18" fillId="7" borderId="0"/>
    <xf numFmtId="0" fontId="22" fillId="10" borderId="0" applyNumberFormat="0" applyBorder="0" applyAlignment="0" applyProtection="0"/>
    <xf numFmtId="9" fontId="33" fillId="0" borderId="0" applyFont="0" applyFill="0" applyBorder="0" applyAlignment="0" applyProtection="0"/>
  </cellStyleXfs>
  <cellXfs count="247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8" fillId="2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right" shrinkToFit="1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3" fillId="0" borderId="0" xfId="0" applyNumberFormat="1" applyFont="1" applyAlignment="1">
      <alignment horizontal="center" shrinkToFi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 applyProtection="1">
      <alignment horizontal="center" shrinkToFit="1"/>
      <protection locked="0"/>
    </xf>
    <xf numFmtId="0" fontId="9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6" fillId="0" borderId="23" xfId="0" applyFont="1" applyBorder="1" applyAlignment="1">
      <alignment horizontal="right" vertical="center" indent="1"/>
    </xf>
    <xf numFmtId="0" fontId="7" fillId="0" borderId="23" xfId="0" applyFont="1" applyBorder="1" applyAlignment="1">
      <alignment horizontal="right" indent="1"/>
    </xf>
    <xf numFmtId="0" fontId="5" fillId="0" borderId="23" xfId="0" applyFont="1" applyBorder="1"/>
    <xf numFmtId="0" fontId="5" fillId="6" borderId="6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6" borderId="26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8" fillId="2" borderId="28" xfId="0" applyFont="1" applyFill="1" applyBorder="1" applyAlignment="1">
      <alignment horizontal="center" vertical="center"/>
    </xf>
    <xf numFmtId="0" fontId="8" fillId="2" borderId="29" xfId="0" applyFont="1" applyFill="1" applyBorder="1" applyAlignment="1">
      <alignment horizontal="center" vertical="center"/>
    </xf>
    <xf numFmtId="0" fontId="5" fillId="0" borderId="30" xfId="0" applyFont="1" applyBorder="1" applyAlignment="1">
      <alignment vertical="center"/>
    </xf>
    <xf numFmtId="0" fontId="5" fillId="0" borderId="31" xfId="0" applyFont="1" applyBorder="1" applyAlignment="1">
      <alignment vertical="center"/>
    </xf>
    <xf numFmtId="0" fontId="5" fillId="0" borderId="26" xfId="0" quotePrefix="1" applyFont="1" applyBorder="1" applyAlignment="1">
      <alignment horizontal="center" vertical="center"/>
    </xf>
    <xf numFmtId="0" fontId="5" fillId="0" borderId="32" xfId="0" applyFont="1" applyBorder="1" applyAlignment="1">
      <alignment vertical="center"/>
    </xf>
    <xf numFmtId="0" fontId="5" fillId="0" borderId="34" xfId="0" applyFont="1" applyBorder="1"/>
    <xf numFmtId="0" fontId="5" fillId="0" borderId="33" xfId="0" applyFont="1" applyBorder="1" applyAlignment="1">
      <alignment vertical="center"/>
    </xf>
    <xf numFmtId="168" fontId="5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9" fontId="1" fillId="5" borderId="17" xfId="0" quotePrefix="1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14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12" fillId="0" borderId="13" xfId="0" applyNumberFormat="1" applyFont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" fontId="12" fillId="0" borderId="13" xfId="0" applyNumberFormat="1" applyFont="1" applyBorder="1" applyAlignment="1">
      <alignment horizontal="center" vertical="center"/>
    </xf>
    <xf numFmtId="166" fontId="0" fillId="0" borderId="15" xfId="0" applyNumberFormat="1" applyBorder="1" applyAlignment="1">
      <alignment horizontal="center" vertical="center"/>
    </xf>
    <xf numFmtId="0" fontId="15" fillId="9" borderId="40" xfId="0" applyFont="1" applyFill="1" applyBorder="1" applyAlignment="1">
      <alignment horizontal="center" vertical="center"/>
    </xf>
    <xf numFmtId="0" fontId="15" fillId="9" borderId="42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0" fillId="4" borderId="0" xfId="0" applyFont="1" applyFill="1" applyAlignment="1">
      <alignment horizontal="right"/>
    </xf>
    <xf numFmtId="0" fontId="20" fillId="4" borderId="0" xfId="0" applyFont="1" applyFill="1" applyAlignment="1">
      <alignment horizontal="left"/>
    </xf>
    <xf numFmtId="0" fontId="1" fillId="2" borderId="17" xfId="0" applyFont="1" applyFill="1" applyBorder="1" applyAlignment="1">
      <alignment horizontal="center" vertical="center" wrapText="1"/>
    </xf>
    <xf numFmtId="0" fontId="21" fillId="4" borderId="17" xfId="0" applyFont="1" applyFill="1" applyBorder="1" applyAlignment="1">
      <alignment horizontal="center" vertical="center" wrapText="1"/>
    </xf>
    <xf numFmtId="3" fontId="21" fillId="4" borderId="14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1" fontId="19" fillId="0" borderId="25" xfId="0" applyNumberFormat="1" applyFont="1" applyBorder="1" applyAlignment="1">
      <alignment horizontal="center" vertical="center" wrapText="1"/>
    </xf>
    <xf numFmtId="1" fontId="19" fillId="0" borderId="13" xfId="0" applyNumberFormat="1" applyFont="1" applyBorder="1" applyAlignment="1">
      <alignment horizontal="center" vertical="center" wrapText="1"/>
    </xf>
    <xf numFmtId="3" fontId="19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/>
    <xf numFmtId="0" fontId="12" fillId="10" borderId="0" xfId="2" applyFont="1" applyAlignment="1">
      <alignment horizontal="center" vertical="center"/>
    </xf>
    <xf numFmtId="165" fontId="12" fillId="10" borderId="0" xfId="2" applyNumberFormat="1" applyFont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19" fillId="6" borderId="0" xfId="0" applyFont="1" applyFill="1" applyAlignment="1">
      <alignment horizontal="center" vertical="center"/>
    </xf>
    <xf numFmtId="0" fontId="19" fillId="6" borderId="0" xfId="0" applyFont="1" applyFill="1"/>
    <xf numFmtId="0" fontId="25" fillId="0" borderId="13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/>
    </xf>
    <xf numFmtId="164" fontId="25" fillId="0" borderId="13" xfId="0" applyNumberFormat="1" applyFont="1" applyBorder="1" applyAlignment="1">
      <alignment horizontal="right" shrinkToFit="1"/>
    </xf>
    <xf numFmtId="0" fontId="5" fillId="0" borderId="0" xfId="0" applyFont="1" applyAlignment="1">
      <alignment horizontal="center" vertical="center"/>
    </xf>
    <xf numFmtId="0" fontId="0" fillId="0" borderId="13" xfId="0" applyBorder="1"/>
    <xf numFmtId="0" fontId="25" fillId="0" borderId="19" xfId="0" applyFont="1" applyBorder="1" applyAlignment="1">
      <alignment horizontal="center"/>
    </xf>
    <xf numFmtId="0" fontId="25" fillId="0" borderId="19" xfId="0" applyFont="1" applyBorder="1" applyAlignment="1">
      <alignment horizontal="center" vertical="center" wrapText="1"/>
    </xf>
    <xf numFmtId="164" fontId="25" fillId="0" borderId="19" xfId="0" applyNumberFormat="1" applyFont="1" applyBorder="1" applyAlignment="1">
      <alignment horizontal="right" shrinkToFit="1"/>
    </xf>
    <xf numFmtId="0" fontId="24" fillId="0" borderId="25" xfId="0" applyFont="1" applyBorder="1" applyAlignment="1">
      <alignment horizontal="center" vertical="center" wrapText="1"/>
    </xf>
    <xf numFmtId="0" fontId="25" fillId="0" borderId="19" xfId="0" applyFont="1" applyBorder="1" applyAlignment="1">
      <alignment horizontal="center" vertical="center"/>
    </xf>
    <xf numFmtId="164" fontId="25" fillId="0" borderId="19" xfId="0" applyNumberFormat="1" applyFont="1" applyBorder="1" applyAlignment="1">
      <alignment horizontal="center" vertical="center" shrinkToFit="1"/>
    </xf>
    <xf numFmtId="164" fontId="25" fillId="0" borderId="13" xfId="0" applyNumberFormat="1" applyFont="1" applyBorder="1" applyAlignment="1">
      <alignment horizontal="center" vertical="center" shrinkToFit="1"/>
    </xf>
    <xf numFmtId="0" fontId="1" fillId="0" borderId="13" xfId="0" applyFont="1" applyBorder="1" applyAlignment="1">
      <alignment horizontal="center" vertical="center"/>
    </xf>
    <xf numFmtId="0" fontId="2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30" fillId="0" borderId="53" xfId="0" applyNumberFormat="1" applyFont="1" applyBorder="1" applyAlignment="1">
      <alignment horizontal="center" vertical="top" shrinkToFit="1"/>
    </xf>
    <xf numFmtId="1" fontId="31" fillId="0" borderId="48" xfId="0" applyNumberFormat="1" applyFont="1" applyBorder="1" applyAlignment="1">
      <alignment horizontal="center" vertical="top" shrinkToFit="1"/>
    </xf>
    <xf numFmtId="2" fontId="31" fillId="0" borderId="48" xfId="0" applyNumberFormat="1" applyFont="1" applyBorder="1" applyAlignment="1">
      <alignment horizontal="center" vertical="top" shrinkToFit="1"/>
    </xf>
    <xf numFmtId="1" fontId="31" fillId="0" borderId="54" xfId="0" applyNumberFormat="1" applyFont="1" applyBorder="1" applyAlignment="1">
      <alignment horizontal="center" vertical="top" shrinkToFit="1"/>
    </xf>
    <xf numFmtId="2" fontId="31" fillId="0" borderId="54" xfId="0" applyNumberFormat="1" applyFont="1" applyBorder="1" applyAlignment="1">
      <alignment horizontal="center" vertical="top" shrinkToFit="1"/>
    </xf>
    <xf numFmtId="1" fontId="31" fillId="0" borderId="52" xfId="0" applyNumberFormat="1" applyFont="1" applyBorder="1" applyAlignment="1">
      <alignment horizontal="center" vertical="top" shrinkToFit="1"/>
    </xf>
    <xf numFmtId="2" fontId="31" fillId="0" borderId="52" xfId="0" applyNumberFormat="1" applyFont="1" applyBorder="1" applyAlignment="1">
      <alignment horizontal="center" vertical="top" shrinkToFit="1"/>
    </xf>
    <xf numFmtId="0" fontId="32" fillId="0" borderId="0" xfId="0" applyFont="1" applyAlignment="1">
      <alignment horizontal="left" vertical="top"/>
    </xf>
    <xf numFmtId="0" fontId="0" fillId="0" borderId="0" xfId="0" quotePrefix="1"/>
    <xf numFmtId="1" fontId="30" fillId="0" borderId="53" xfId="0" applyNumberFormat="1" applyFont="1" applyBorder="1" applyAlignment="1">
      <alignment horizontal="center" vertical="top" shrinkToFit="1"/>
    </xf>
    <xf numFmtId="2" fontId="12" fillId="0" borderId="13" xfId="0" applyNumberFormat="1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3" fontId="12" fillId="0" borderId="13" xfId="0" applyNumberFormat="1" applyFont="1" applyBorder="1" applyAlignment="1">
      <alignment horizontal="center" vertical="center"/>
    </xf>
    <xf numFmtId="167" fontId="12" fillId="0" borderId="13" xfId="0" applyNumberFormat="1" applyFont="1" applyBorder="1" applyAlignment="1">
      <alignment horizontal="center" vertical="center"/>
    </xf>
    <xf numFmtId="1" fontId="12" fillId="0" borderId="13" xfId="0" applyNumberFormat="1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164" fontId="36" fillId="0" borderId="19" xfId="0" applyNumberFormat="1" applyFont="1" applyBorder="1" applyAlignment="1">
      <alignment horizontal="center" shrinkToFit="1"/>
    </xf>
    <xf numFmtId="164" fontId="36" fillId="0" borderId="13" xfId="0" applyNumberFormat="1" applyFont="1" applyBorder="1" applyAlignment="1">
      <alignment horizontal="center" shrinkToFit="1"/>
    </xf>
    <xf numFmtId="164" fontId="36" fillId="0" borderId="13" xfId="0" applyNumberFormat="1" applyFont="1" applyBorder="1" applyAlignment="1" applyProtection="1">
      <alignment horizontal="center" vertical="center" wrapText="1"/>
      <protection locked="0"/>
    </xf>
    <xf numFmtId="1" fontId="36" fillId="0" borderId="13" xfId="0" applyNumberFormat="1" applyFont="1" applyBorder="1" applyAlignment="1" applyProtection="1">
      <alignment horizontal="center" vertical="center" wrapText="1"/>
      <protection locked="0"/>
    </xf>
    <xf numFmtId="0" fontId="35" fillId="0" borderId="27" xfId="0" applyFont="1" applyBorder="1" applyAlignment="1">
      <alignment horizontal="center" vertical="center" wrapText="1"/>
    </xf>
    <xf numFmtId="0" fontId="36" fillId="0" borderId="39" xfId="0" applyFont="1" applyBorder="1" applyAlignment="1">
      <alignment horizontal="center" vertical="center"/>
    </xf>
    <xf numFmtId="0" fontId="36" fillId="0" borderId="39" xfId="0" applyFont="1" applyBorder="1" applyAlignment="1">
      <alignment horizontal="center" vertical="center" shrinkToFit="1"/>
    </xf>
    <xf numFmtId="0" fontId="25" fillId="0" borderId="39" xfId="0" applyFont="1" applyBorder="1" applyAlignment="1">
      <alignment horizontal="center"/>
    </xf>
    <xf numFmtId="0" fontId="25" fillId="0" borderId="39" xfId="0" applyFont="1" applyBorder="1" applyAlignment="1">
      <alignment horizontal="center" vertical="center" wrapText="1"/>
    </xf>
    <xf numFmtId="0" fontId="28" fillId="0" borderId="39" xfId="0" applyFont="1" applyBorder="1" applyAlignment="1">
      <alignment horizontal="center" shrinkToFit="1"/>
    </xf>
    <xf numFmtId="0" fontId="25" fillId="0" borderId="39" xfId="0" applyFont="1" applyBorder="1" applyAlignment="1">
      <alignment horizontal="right" shrinkToFit="1"/>
    </xf>
    <xf numFmtId="0" fontId="28" fillId="0" borderId="39" xfId="0" applyFont="1" applyBorder="1" applyAlignment="1">
      <alignment horizontal="center"/>
    </xf>
    <xf numFmtId="0" fontId="24" fillId="0" borderId="39" xfId="0" applyFont="1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19" fillId="6" borderId="13" xfId="0" applyFont="1" applyFill="1" applyBorder="1" applyAlignment="1" applyProtection="1">
      <alignment horizontal="center" vertical="center" wrapText="1"/>
      <protection locked="0"/>
    </xf>
    <xf numFmtId="0" fontId="24" fillId="0" borderId="13" xfId="0" applyFont="1" applyBorder="1" applyAlignment="1" applyProtection="1">
      <alignment horizontal="center" vertical="center" wrapText="1"/>
      <protection locked="0"/>
    </xf>
    <xf numFmtId="0" fontId="25" fillId="0" borderId="13" xfId="0" applyFont="1" applyBorder="1" applyAlignment="1" applyProtection="1">
      <alignment horizontal="center" vertical="center"/>
      <protection locked="0"/>
    </xf>
    <xf numFmtId="165" fontId="25" fillId="0" borderId="13" xfId="0" applyNumberFormat="1" applyFont="1" applyBorder="1" applyAlignment="1" applyProtection="1">
      <alignment horizontal="center" vertical="center"/>
      <protection locked="0"/>
    </xf>
    <xf numFmtId="0" fontId="24" fillId="0" borderId="16" xfId="0" applyFont="1" applyBorder="1" applyAlignment="1" applyProtection="1">
      <alignment horizontal="center" vertical="center" wrapText="1"/>
      <protection locked="0"/>
    </xf>
    <xf numFmtId="0" fontId="25" fillId="0" borderId="22" xfId="0" applyFont="1" applyBorder="1" applyAlignment="1" applyProtection="1">
      <alignment horizontal="center" vertical="center"/>
      <protection locked="0"/>
    </xf>
    <xf numFmtId="0" fontId="24" fillId="0" borderId="47" xfId="0" applyFont="1" applyBorder="1" applyAlignment="1" applyProtection="1">
      <alignment horizontal="center" vertical="center" wrapText="1"/>
      <protection locked="0"/>
    </xf>
    <xf numFmtId="0" fontId="24" fillId="0" borderId="37" xfId="0" applyFont="1" applyBorder="1" applyAlignment="1" applyProtection="1">
      <alignment horizontal="center" vertical="center" wrapText="1"/>
      <protection locked="0"/>
    </xf>
    <xf numFmtId="0" fontId="25" fillId="0" borderId="37" xfId="0" applyFont="1" applyBorder="1" applyAlignment="1" applyProtection="1">
      <alignment horizontal="center" vertical="center"/>
      <protection locked="0"/>
    </xf>
    <xf numFmtId="165" fontId="25" fillId="0" borderId="37" xfId="0" applyNumberFormat="1" applyFont="1" applyBorder="1" applyAlignment="1" applyProtection="1">
      <alignment horizontal="center" vertical="center"/>
      <protection locked="0"/>
    </xf>
    <xf numFmtId="0" fontId="25" fillId="0" borderId="36" xfId="0" applyFont="1" applyBorder="1" applyAlignment="1" applyProtection="1">
      <alignment horizontal="center" vertical="center"/>
      <protection locked="0"/>
    </xf>
    <xf numFmtId="0" fontId="19" fillId="6" borderId="12" xfId="0" applyFont="1" applyFill="1" applyBorder="1" applyAlignment="1" applyProtection="1">
      <alignment horizontal="center" vertical="center"/>
      <protection locked="0"/>
    </xf>
    <xf numFmtId="0" fontId="24" fillId="6" borderId="12" xfId="0" applyFont="1" applyFill="1" applyBorder="1" applyAlignment="1" applyProtection="1">
      <alignment horizontal="left" vertical="center"/>
      <protection locked="0"/>
    </xf>
    <xf numFmtId="0" fontId="24" fillId="6" borderId="27" xfId="0" applyFont="1" applyFill="1" applyBorder="1" applyAlignment="1" applyProtection="1">
      <alignment horizontal="center" vertical="center"/>
      <protection locked="0"/>
    </xf>
    <xf numFmtId="0" fontId="24" fillId="6" borderId="39" xfId="0" applyFont="1" applyFill="1" applyBorder="1" applyAlignment="1" applyProtection="1">
      <alignment horizontal="center" vertical="center" wrapText="1"/>
      <protection locked="0"/>
    </xf>
    <xf numFmtId="0" fontId="24" fillId="6" borderId="24" xfId="0" applyFont="1" applyFill="1" applyBorder="1" applyAlignment="1" applyProtection="1">
      <alignment horizontal="center" vertical="center" wrapText="1"/>
      <protection locked="0"/>
    </xf>
    <xf numFmtId="0" fontId="24" fillId="6" borderId="12" xfId="0" applyFont="1" applyFill="1" applyBorder="1" applyAlignment="1" applyProtection="1">
      <alignment horizontal="center" vertical="center" wrapText="1"/>
      <protection locked="0"/>
    </xf>
    <xf numFmtId="9" fontId="24" fillId="11" borderId="27" xfId="0" applyNumberFormat="1" applyFont="1" applyFill="1" applyBorder="1" applyAlignment="1" applyProtection="1">
      <alignment horizontal="center" vertical="center" wrapText="1"/>
      <protection locked="0"/>
    </xf>
    <xf numFmtId="0" fontId="24" fillId="11" borderId="24" xfId="0" applyFont="1" applyFill="1" applyBorder="1" applyAlignment="1" applyProtection="1">
      <alignment horizontal="center" vertical="center" wrapText="1"/>
      <protection locked="0"/>
    </xf>
    <xf numFmtId="0" fontId="24" fillId="6" borderId="27" xfId="0" applyFont="1" applyFill="1" applyBorder="1" applyAlignment="1" applyProtection="1">
      <alignment horizontal="center" vertical="center" wrapText="1"/>
      <protection locked="0"/>
    </xf>
    <xf numFmtId="0" fontId="19" fillId="6" borderId="12" xfId="0" applyFont="1" applyFill="1" applyBorder="1" applyAlignment="1" applyProtection="1">
      <alignment horizontal="center" vertical="center" wrapText="1"/>
      <protection locked="0"/>
    </xf>
    <xf numFmtId="0" fontId="19" fillId="6" borderId="27" xfId="0" applyFont="1" applyFill="1" applyBorder="1" applyAlignment="1" applyProtection="1">
      <alignment horizontal="center" vertical="center" wrapText="1"/>
      <protection locked="0"/>
    </xf>
    <xf numFmtId="0" fontId="19" fillId="6" borderId="24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/>
    <xf numFmtId="165" fontId="40" fillId="0" borderId="13" xfId="0" applyNumberFormat="1" applyFont="1" applyBorder="1" applyAlignment="1" applyProtection="1">
      <alignment horizontal="center" vertical="center"/>
      <protection locked="0"/>
    </xf>
    <xf numFmtId="165" fontId="1" fillId="0" borderId="13" xfId="0" applyNumberFormat="1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0" fontId="24" fillId="0" borderId="57" xfId="0" applyFont="1" applyBorder="1" applyAlignment="1" applyProtection="1">
      <alignment horizontal="center" vertical="center" wrapText="1"/>
      <protection locked="0"/>
    </xf>
    <xf numFmtId="0" fontId="24" fillId="0" borderId="56" xfId="0" applyFont="1" applyBorder="1" applyAlignment="1" applyProtection="1">
      <alignment horizontal="center" vertical="center" wrapText="1"/>
      <protection locked="0"/>
    </xf>
    <xf numFmtId="0" fontId="25" fillId="0" borderId="56" xfId="0" applyFont="1" applyBorder="1" applyAlignment="1" applyProtection="1">
      <alignment horizontal="center" vertical="center"/>
      <protection locked="0"/>
    </xf>
    <xf numFmtId="0" fontId="25" fillId="0" borderId="58" xfId="0" applyFont="1" applyBorder="1" applyAlignment="1" applyProtection="1">
      <alignment horizontal="center" vertical="center"/>
      <protection locked="0"/>
    </xf>
    <xf numFmtId="165" fontId="25" fillId="0" borderId="56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>
      <alignment horizontal="left"/>
    </xf>
    <xf numFmtId="0" fontId="41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>
      <alignment horizontal="center" vertical="center"/>
    </xf>
    <xf numFmtId="9" fontId="41" fillId="0" borderId="0" xfId="3" applyFont="1" applyAlignment="1" applyProtection="1">
      <alignment horizontal="center" vertical="center"/>
      <protection locked="0"/>
    </xf>
    <xf numFmtId="0" fontId="17" fillId="0" borderId="13" xfId="0" applyFont="1" applyBorder="1" applyAlignment="1">
      <alignment horizontal="center" vertical="center"/>
    </xf>
    <xf numFmtId="165" fontId="41" fillId="0" borderId="13" xfId="0" applyNumberFormat="1" applyFont="1" applyBorder="1" applyAlignment="1" applyProtection="1">
      <alignment horizontal="center" vertical="center"/>
      <protection locked="0"/>
    </xf>
    <xf numFmtId="0" fontId="41" fillId="0" borderId="13" xfId="0" applyFont="1" applyBorder="1" applyAlignment="1" applyProtection="1">
      <alignment horizontal="center" vertical="center"/>
      <protection locked="0"/>
    </xf>
    <xf numFmtId="0" fontId="17" fillId="0" borderId="0" xfId="0" applyFont="1"/>
    <xf numFmtId="165" fontId="17" fillId="0" borderId="0" xfId="0" applyNumberFormat="1" applyFont="1"/>
    <xf numFmtId="1" fontId="17" fillId="0" borderId="0" xfId="0" applyNumberFormat="1" applyFont="1"/>
    <xf numFmtId="0" fontId="43" fillId="0" borderId="0" xfId="0" applyFont="1"/>
    <xf numFmtId="49" fontId="19" fillId="0" borderId="13" xfId="0" applyNumberFormat="1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/>
    </xf>
    <xf numFmtId="0" fontId="39" fillId="0" borderId="13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1" fontId="38" fillId="0" borderId="13" xfId="0" applyNumberFormat="1" applyFont="1" applyBorder="1" applyAlignment="1">
      <alignment horizontal="center" vertical="center"/>
    </xf>
    <xf numFmtId="1" fontId="19" fillId="0" borderId="13" xfId="0" applyNumberFormat="1" applyFont="1" applyBorder="1" applyAlignment="1">
      <alignment horizontal="center" vertical="center"/>
    </xf>
    <xf numFmtId="0" fontId="34" fillId="0" borderId="55" xfId="0" applyFont="1" applyBorder="1" applyAlignment="1">
      <alignment horizontal="center" vertical="center"/>
    </xf>
    <xf numFmtId="3" fontId="34" fillId="0" borderId="55" xfId="0" applyNumberFormat="1" applyFont="1" applyBorder="1" applyAlignment="1">
      <alignment horizontal="center" vertical="center"/>
    </xf>
    <xf numFmtId="0" fontId="34" fillId="0" borderId="55" xfId="0" applyFont="1" applyBorder="1" applyAlignment="1" applyProtection="1">
      <alignment horizontal="center" vertical="center"/>
      <protection locked="0"/>
    </xf>
    <xf numFmtId="165" fontId="34" fillId="0" borderId="55" xfId="0" applyNumberFormat="1" applyFont="1" applyBorder="1" applyAlignment="1">
      <alignment horizontal="center" vertical="center"/>
    </xf>
    <xf numFmtId="0" fontId="34" fillId="4" borderId="55" xfId="0" applyFont="1" applyFill="1" applyBorder="1" applyAlignment="1">
      <alignment horizontal="center" vertical="center"/>
    </xf>
    <xf numFmtId="1" fontId="34" fillId="0" borderId="55" xfId="0" applyNumberFormat="1" applyFont="1" applyBorder="1" applyAlignment="1">
      <alignment horizontal="center" vertical="center"/>
    </xf>
    <xf numFmtId="164" fontId="25" fillId="0" borderId="39" xfId="0" applyNumberFormat="1" applyFont="1" applyBorder="1" applyAlignment="1">
      <alignment horizontal="center" shrinkToFit="1"/>
    </xf>
    <xf numFmtId="1" fontId="36" fillId="0" borderId="39" xfId="0" applyNumberFormat="1" applyFont="1" applyBorder="1" applyAlignment="1" applyProtection="1">
      <alignment horizontal="center" vertical="center" wrapText="1"/>
      <protection locked="0"/>
    </xf>
    <xf numFmtId="1" fontId="28" fillId="0" borderId="39" xfId="0" applyNumberFormat="1" applyFont="1" applyBorder="1" applyAlignment="1">
      <alignment horizontal="center" vertical="center" wrapText="1"/>
    </xf>
    <xf numFmtId="1" fontId="19" fillId="0" borderId="39" xfId="0" applyNumberFormat="1" applyFont="1" applyBorder="1" applyAlignment="1">
      <alignment horizontal="center" vertical="center" wrapText="1"/>
    </xf>
    <xf numFmtId="3" fontId="0" fillId="0" borderId="0" xfId="0" applyNumberFormat="1"/>
    <xf numFmtId="1" fontId="0" fillId="0" borderId="0" xfId="0" applyNumberFormat="1"/>
    <xf numFmtId="0" fontId="12" fillId="0" borderId="16" xfId="0" applyFont="1" applyBorder="1" applyAlignment="1">
      <alignment horizontal="center" vertical="center"/>
    </xf>
    <xf numFmtId="165" fontId="39" fillId="0" borderId="13" xfId="0" applyNumberFormat="1" applyFont="1" applyBorder="1" applyAlignment="1">
      <alignment horizontal="center" vertical="center"/>
    </xf>
    <xf numFmtId="165" fontId="12" fillId="0" borderId="22" xfId="0" applyNumberFormat="1" applyFont="1" applyBorder="1" applyAlignment="1">
      <alignment horizontal="center" vertical="center"/>
    </xf>
    <xf numFmtId="0" fontId="24" fillId="0" borderId="36" xfId="0" applyFont="1" applyBorder="1" applyAlignment="1" applyProtection="1">
      <alignment horizontal="left" vertical="top" wrapText="1"/>
      <protection locked="0"/>
    </xf>
    <xf numFmtId="0" fontId="24" fillId="0" borderId="44" xfId="0" applyFont="1" applyBorder="1" applyAlignment="1" applyProtection="1">
      <alignment horizontal="left" vertical="top" wrapText="1"/>
      <protection locked="0"/>
    </xf>
    <xf numFmtId="0" fontId="24" fillId="0" borderId="45" xfId="0" applyFont="1" applyBorder="1" applyAlignment="1" applyProtection="1">
      <alignment horizontal="left" vertical="top" wrapText="1"/>
      <protection locked="0"/>
    </xf>
    <xf numFmtId="0" fontId="24" fillId="0" borderId="34" xfId="0" applyFont="1" applyBorder="1" applyAlignment="1" applyProtection="1">
      <alignment horizontal="left" vertical="top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0" fontId="24" fillId="0" borderId="41" xfId="0" applyFont="1" applyBorder="1" applyAlignment="1" applyProtection="1">
      <alignment horizontal="left" vertical="top" wrapText="1"/>
      <protection locked="0"/>
    </xf>
    <xf numFmtId="0" fontId="24" fillId="0" borderId="43" xfId="0" applyFont="1" applyBorder="1" applyAlignment="1" applyProtection="1">
      <alignment horizontal="left" vertical="top" wrapText="1"/>
      <protection locked="0"/>
    </xf>
    <xf numFmtId="0" fontId="24" fillId="0" borderId="21" xfId="0" applyFont="1" applyBorder="1" applyAlignment="1" applyProtection="1">
      <alignment horizontal="left" vertical="top" wrapText="1"/>
      <protection locked="0"/>
    </xf>
    <xf numFmtId="0" fontId="24" fillId="0" borderId="46" xfId="0" applyFont="1" applyBorder="1" applyAlignment="1" applyProtection="1">
      <alignment horizontal="left" vertical="top" wrapText="1"/>
      <protection locked="0"/>
    </xf>
    <xf numFmtId="0" fontId="14" fillId="0" borderId="22" xfId="0" applyFont="1" applyBorder="1" applyAlignment="1">
      <alignment horizontal="left" vertical="center"/>
    </xf>
    <xf numFmtId="0" fontId="14" fillId="0" borderId="20" xfId="0" applyFont="1" applyBorder="1" applyAlignment="1">
      <alignment horizontal="left" vertical="center"/>
    </xf>
    <xf numFmtId="0" fontId="14" fillId="0" borderId="16" xfId="0" applyFont="1" applyBorder="1" applyAlignment="1">
      <alignment horizontal="left" vertical="center"/>
    </xf>
    <xf numFmtId="0" fontId="25" fillId="0" borderId="22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6" xfId="0" applyBorder="1" applyAlignment="1">
      <alignment horizontal="center"/>
    </xf>
    <xf numFmtId="0" fontId="26" fillId="0" borderId="13" xfId="0" applyFont="1" applyBorder="1" applyAlignment="1">
      <alignment horizontal="left" vertical="center"/>
    </xf>
    <xf numFmtId="0" fontId="16" fillId="0" borderId="13" xfId="0" applyFont="1" applyBorder="1" applyAlignment="1">
      <alignment horizontal="center" vertical="center"/>
    </xf>
    <xf numFmtId="0" fontId="17" fillId="0" borderId="0" xfId="0" applyFont="1" applyAlignment="1">
      <alignment horizontal="left"/>
    </xf>
    <xf numFmtId="0" fontId="17" fillId="0" borderId="13" xfId="0" applyFont="1" applyBorder="1" applyAlignment="1">
      <alignment horizontal="center" vertical="center"/>
    </xf>
    <xf numFmtId="165" fontId="41" fillId="0" borderId="37" xfId="0" applyNumberFormat="1" applyFont="1" applyBorder="1" applyAlignment="1" applyProtection="1">
      <alignment horizontal="center" vertical="center"/>
      <protection locked="0"/>
    </xf>
    <xf numFmtId="165" fontId="41" fillId="0" borderId="15" xfId="0" applyNumberFormat="1" applyFont="1" applyBorder="1" applyAlignment="1" applyProtection="1">
      <alignment horizontal="center" vertical="center"/>
      <protection locked="0"/>
    </xf>
    <xf numFmtId="0" fontId="1" fillId="0" borderId="13" xfId="0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0" fontId="42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1" fontId="12" fillId="0" borderId="13" xfId="0" applyNumberFormat="1" applyFont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30" xfId="0" applyFont="1" applyFill="1" applyBorder="1" applyAlignment="1">
      <alignment horizontal="center" vertical="center" wrapText="1"/>
    </xf>
    <xf numFmtId="0" fontId="8" fillId="2" borderId="31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horizontal="left" vertical="center" wrapText="1" indent="1"/>
    </xf>
    <xf numFmtId="0" fontId="5" fillId="0" borderId="23" xfId="0" applyFont="1" applyBorder="1" applyAlignment="1">
      <alignment horizontal="left" vertical="center" wrapText="1" inden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left" vertical="top" wrapText="1"/>
    </xf>
    <xf numFmtId="0" fontId="0" fillId="0" borderId="52" xfId="0" applyBorder="1" applyAlignment="1">
      <alignment horizontal="left" vertical="top" wrapText="1"/>
    </xf>
    <xf numFmtId="0" fontId="29" fillId="0" borderId="49" xfId="0" applyFont="1" applyBorder="1" applyAlignment="1">
      <alignment horizontal="left" vertical="top" wrapText="1" indent="18"/>
    </xf>
    <xf numFmtId="0" fontId="29" fillId="0" borderId="50" xfId="0" applyFont="1" applyBorder="1" applyAlignment="1">
      <alignment horizontal="left" vertical="top" wrapText="1" indent="18"/>
    </xf>
    <xf numFmtId="0" fontId="29" fillId="0" borderId="51" xfId="0" applyFont="1" applyBorder="1" applyAlignment="1">
      <alignment horizontal="left" vertical="top" wrapText="1" indent="18"/>
    </xf>
    <xf numFmtId="0" fontId="15" fillId="8" borderId="22" xfId="0" applyFont="1" applyFill="1" applyBorder="1" applyAlignment="1">
      <alignment horizontal="center"/>
    </xf>
    <xf numFmtId="0" fontId="15" fillId="8" borderId="20" xfId="0" applyFont="1" applyFill="1" applyBorder="1" applyAlignment="1">
      <alignment horizontal="center"/>
    </xf>
    <xf numFmtId="0" fontId="15" fillId="8" borderId="16" xfId="0" applyFont="1" applyFill="1" applyBorder="1" applyAlignment="1">
      <alignment horizontal="center"/>
    </xf>
    <xf numFmtId="165" fontId="12" fillId="0" borderId="13" xfId="0" applyNumberFormat="1" applyFont="1" applyBorder="1" applyAlignment="1" applyProtection="1">
      <alignment horizontal="center" vertical="center"/>
    </xf>
  </cellXfs>
  <cellStyles count="4">
    <cellStyle name="DiRootsParameterNotFound" xfId="1" xr:uid="{104907A8-2D4D-4252-804C-87DEA72DE229}"/>
    <cellStyle name="Neutral" xfId="2" builtinId="28"/>
    <cellStyle name="Normal" xfId="0" builtinId="0"/>
    <cellStyle name="Percent" xfId="3" builtinId="5"/>
  </cellStyles>
  <dxfs count="764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406400</xdr:colOff>
          <xdr:row>13</xdr:row>
          <xdr:rowOff>12700</xdr:rowOff>
        </xdr:from>
        <xdr:to>
          <xdr:col>11</xdr:col>
          <xdr:colOff>419100</xdr:colOff>
          <xdr:row>15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631BA329-2AFE-2029-C267-E7539EF52D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1</xdr:row>
          <xdr:rowOff>12700</xdr:rowOff>
        </xdr:from>
        <xdr:to>
          <xdr:col>3</xdr:col>
          <xdr:colOff>241300</xdr:colOff>
          <xdr:row>2</xdr:row>
          <xdr:rowOff>127000</xdr:rowOff>
        </xdr:to>
        <xdr:sp macro="" textlink="">
          <xdr:nvSpPr>
            <xdr:cNvPr id="2060" name="Button 12" descr="HUMIDIFIC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4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Pre-Heat Coil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1</xdr:row>
          <xdr:rowOff>12700</xdr:rowOff>
        </xdr:from>
        <xdr:to>
          <xdr:col>1</xdr:col>
          <xdr:colOff>0</xdr:colOff>
          <xdr:row>2</xdr:row>
          <xdr:rowOff>152400</xdr:rowOff>
        </xdr:to>
        <xdr:sp macro="" textlink="">
          <xdr:nvSpPr>
            <xdr:cNvPr id="2058" name="Button 10" descr="HUMIDIFICAT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4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Humidification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12700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113" name="Button 65" descr="HUMIDIFICATION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4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AHU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673100</xdr:colOff>
          <xdr:row>0</xdr:row>
          <xdr:rowOff>139700</xdr:rowOff>
        </xdr:from>
        <xdr:to>
          <xdr:col>16</xdr:col>
          <xdr:colOff>76200</xdr:colOff>
          <xdr:row>3</xdr:row>
          <xdr:rowOff>25400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4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4E3D6C-149E-4F0C-99B8-D02F54E8F335}" name="AHU1_TABLE_4A" displayName="AHU1_TABLE_4A" ref="B6:Z79" totalsRowCount="1" headerRowDxfId="672" tableBorderDxfId="671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499CAF51-68AD-4912-B105-E6CB04E68473}" name="Zone" dataDxfId="670" totalsRowDxfId="49"/>
    <tableColumn id="3" xr3:uid="{49758621-BBD6-4E64-B5EB-30AAEEEAC7DB}" name="ROOM" dataDxfId="669" totalsRowDxfId="48"/>
    <tableColumn id="4" xr3:uid="{07AB65A5-3070-4259-B9E3-B3A0821D46DB}" name="ROOM #" dataDxfId="668" totalsRowDxfId="47"/>
    <tableColumn id="5" xr3:uid="{6BD4501F-F2C8-4DE6-94B2-70EECF81DC26}" name="AREA (FT²)" totalsRowFunction="sum" dataDxfId="667" totalsRowDxfId="46"/>
    <tableColumn id="6" xr3:uid="{0305DB12-480F-4DBE-B0BB-D944D44E3761}" name="HG_x000a_(FT)" dataDxfId="666" totalsRowDxfId="45"/>
    <tableColumn id="7" xr3:uid="{0E2CEBD9-8207-49B7-828E-FED991A3EF1B}" name="TOTAL AC/HR" dataDxfId="665" totalsRowDxfId="44"/>
    <tableColumn id="8" xr3:uid="{B39F50FE-C65C-4C16-996E-B6A311DB49BB}" name="100%_x000a_EA" dataDxfId="664" totalsRowDxfId="43"/>
    <tableColumn id="9" xr3:uid="{8D97FF71-56B9-4380-92A5-7F58032041F8}" name="CRICU_x000a_EA" dataDxfId="663" totalsRowDxfId="42"/>
    <tableColumn id="10" xr3:uid="{DF05C704-DE23-4E47-A5C6-4F757C38BE24}" name="LOAD CFM" dataDxfId="662" totalsRowDxfId="41"/>
    <tableColumn id="11" xr3:uid="{C013AEA1-36DC-4A80-866F-AF6BEEE8A018}" name="AC/HR CFM" dataDxfId="661" totalsRowDxfId="40"/>
    <tableColumn id="12" xr3:uid="{2DFD819A-C977-4FA7-9725-9D06ABE7E8E7}" name="1 CFM/SF" dataDxfId="660" totalsRowDxfId="39"/>
    <tableColumn id="13" xr3:uid="{A50C5E1C-6A55-44C9-8312-028575630C03}" name="4-A DESIGNATION" dataDxfId="659" totalsRowDxfId="38"/>
    <tableColumn id="14" xr3:uid="{7C4ABC5D-F6B9-4FFF-9A67-D601283681B7}" name="AIRBALANCE RELATIONSHIP" dataDxfId="658" totalsRowDxfId="37"/>
    <tableColumn id="15" xr3:uid="{D17D3851-5B53-4906-9ED4-998CD7BF6D54}" name="MINIMUM OSA CHANGES PER HOUR" dataDxfId="657" totalsRowDxfId="36"/>
    <tableColumn id="16" xr3:uid="{5712ECF0-F7FD-4E19-ABEA-95FC2E37BF38}" name="OSA CFM" totalsRowFunction="sum" dataDxfId="656" totalsRowDxfId="35"/>
    <tableColumn id="17" xr3:uid="{CCE3CBFF-D4D8-46EC-83F1-4E5A27EE107F}" name="ALL AIR EXHAUSTED" dataDxfId="655" totalsRowDxfId="34"/>
    <tableColumn id="18" xr3:uid="{AC02FE2F-24A9-4273-9C14-9BADDC50ABF2}" name="CALCULATED SA CFM" totalsRowFunction="sum" dataDxfId="654" totalsRowDxfId="33"/>
    <tableColumn id="19" xr3:uid="{D2E7ABF0-6C07-417C-B186-691CC143A6B0}" name="DESIGN SA CFM" totalsRowFunction="sum" dataDxfId="653" totalsRowDxfId="32"/>
    <tableColumn id="20" xr3:uid="{DF4B9159-EFFC-40F0-9FC4-33EA3C26F8BE}" name="RA CFM" totalsRowFunction="sum" dataDxfId="652" totalsRowDxfId="31">
      <calculatedColumnFormula>IF(Q7="Yes",0,IF(N7="Positive",IF(0.1*R7&gt;50,R7-0.1*R7,R7-50),IF(N7="Negative",IF(0.1*R7&gt;50,R7+0.1*R7,R7+50),R7)))</calculatedColumnFormula>
    </tableColumn>
    <tableColumn id="21" xr3:uid="{585522D4-7D9C-417D-9D5A-271A48E132B9}" name="EA CFM" totalsRowFunction="sum" dataDxfId="651" totalsRowDxfId="30"/>
    <tableColumn id="22" xr3:uid="{6B6AF6EB-931D-4C93-89A9-561F9C32BB12}" name="Transfer Air CFM" totalsRowFunction="sum" dataDxfId="650" totalsRowDxfId="29"/>
    <tableColumn id="23" xr3:uid="{39003D3E-BBD2-4F77-B42A-2E9AAC1B3F5F}" name="Balance?" dataDxfId="649" totalsRowDxfId="28"/>
    <tableColumn id="24" xr3:uid="{624F2EC9-EDEF-4331-8F08-3623018EE046}" name="CFM/SF" dataDxfId="648" totalsRowDxfId="27"/>
    <tableColumn id="25" xr3:uid="{224933E3-CC52-4D9F-904F-939C4C4561E9}" name="OSA PERCENT" dataDxfId="647" totalsRowDxfId="26"/>
    <tableColumn id="26" xr3:uid="{3F8BC55D-461B-40F9-A13B-0B2D7B2DEE28}" name="ACH/hr" dataDxfId="646" totalsRowDxfId="2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2B6BA6-0EAB-2349-A085-FD569408EC9D}" name="AHU1_CAV_SCHEDULE" displayName="AHU1_CAV_SCHEDULE" ref="AC6:AS45" totalsRowCount="1" headerRowDxfId="645" dataDxfId="643" headerRowBorderDxfId="644" tableBorderDxfId="642" totalsRowBorderDxfId="641">
  <autoFilter ref="AC6:AS44" xr:uid="{2A2B6BA6-0EAB-2349-A085-FD569408EC9D}"/>
  <tableColumns count="17">
    <tableColumn id="1" xr3:uid="{95D9C8F3-85BF-7348-B9D8-30B40B154BA0}" name="ZONE" totalsRowLabel="Total" dataDxfId="640" totalsRowDxfId="639"/>
    <tableColumn id="2" xr3:uid="{34C7498F-5EF8-014B-8B1C-DCBE6607BBC2}" name="BASIS OF DESIGN _x000a_MANUFACTURER" dataDxfId="638" totalsRowDxfId="637"/>
    <tableColumn id="3" xr3:uid="{8D44A577-B62E-C643-BDBD-7C71640AF7DD}" name="DESCRIPTION" dataDxfId="636" totalsRowDxfId="635"/>
    <tableColumn id="4" xr3:uid="{A85908E5-E973-6C41-AED9-F99DFF123237}" name="CFM" dataDxfId="634" totalsRowDxfId="633">
      <calculatedColumnFormula>SUMIF($B$7:$B$78,AC7,$S$7:$S$78)</calculatedColumnFormula>
    </tableColumn>
    <tableColumn id="5" xr3:uid="{C26D28ED-C133-154D-B0D2-6FAC49106BF4}" name="CAV INLET SIZE" dataDxfId="632" totalsRowDxfId="631">
      <calculatedColumnFormula>IFERROR((VLOOKUP(AF7,'DO NOT TOUCH'!$P$9:$Q$14,2,TRUE)),"TBD")</calculatedColumnFormula>
    </tableColumn>
    <tableColumn id="6" xr3:uid="{6ECDE356-225C-A24E-86F4-F7792C922A11}" name="MAX TOTAL CAV PD _x000a_(IN W.G.)" dataDxfId="630" totalsRowDxfId="629">
      <calculatedColumnFormula>AH6</calculatedColumnFormula>
    </tableColumn>
    <tableColumn id="7" xr3:uid="{6F655F52-D807-FF44-9E81-17EE8D10DF07}" name="EWT" dataDxfId="628" totalsRowDxfId="627">
      <calculatedColumnFormula>INPUT_OUTPUTS!$C$13</calculatedColumnFormula>
    </tableColumn>
    <tableColumn id="8" xr3:uid="{B969B290-D7B8-B049-BD43-F28721191F95}" name="DESIGN _x000a_LWT" dataDxfId="626" totalsRowDxfId="625">
      <calculatedColumnFormula>INPUT_OUTPUTS!$C$14</calculatedColumnFormula>
    </tableColumn>
    <tableColumn id="9" xr3:uid="{B1987597-E6E5-0645-B303-001D7440884A}" name="EAT" dataDxfId="624" totalsRowDxfId="623">
      <calculatedColumnFormula>AK6</calculatedColumnFormula>
    </tableColumn>
    <tableColumn id="10" xr3:uid="{23D60126-7A10-3A4F-A6F6-8D88FC3D7BF2}" name="DESIGN _x000a_LAT" dataDxfId="622" totalsRowDxfId="621">
      <calculatedColumnFormula>AL6</calculatedColumnFormula>
    </tableColumn>
    <tableColumn id="11" xr3:uid="{FCA3CDCB-EF7A-AF4E-A008-4CE5DE083146}" name="MIN MBH" totalsRowFunction="sum" dataDxfId="620" totalsRowDxfId="619">
      <calculatedColumnFormula>MROUND((1.08*(AL7-AK7)*AF7)/1000,0.1)</calculatedColumnFormula>
    </tableColumn>
    <tableColumn id="12" xr3:uid="{E12D8355-62CD-9A45-8AA8-A6C3960814AB}" name="AGPM" dataDxfId="618" totalsRowDxfId="617">
      <calculatedColumnFormula>(AM7*1000)/(500*(AI7-AJ7))</calculatedColumnFormula>
    </tableColumn>
    <tableColumn id="13" xr3:uid="{8B58FDB3-AB0C-084D-93CC-883797C9E61A}" name="GPM" totalsRowFunction="sum" dataDxfId="616" totalsRowDxfId="615">
      <calculatedColumnFormula>IF(AN7&lt;0.5,0.5,AN7)</calculatedColumnFormula>
    </tableColumn>
    <tableColumn id="14" xr3:uid="{16D8B3A9-2DD2-EA40-91A2-B427BDC9DA7F}" name="MAX WATER _x000a_PD (FT)" dataDxfId="614" totalsRowDxfId="613">
      <calculatedColumnFormula>AP6</calculatedColumnFormula>
    </tableColumn>
    <tableColumn id="15" xr3:uid="{12A7883C-5AA1-F34A-AF87-208908C77F47}" name="OPER _x000a_WEIGHT_x000a_(LBS)" dataDxfId="612" totalsRowDxfId="611">
      <calculatedColumnFormula>IFERROR((_xlfn.XLOOKUP(AG7,'DO NOT TOUCH'!$Q$9:$Q$14,'DO NOT TOUCH'!$R$9:$R$14,)),"TBD")</calculatedColumnFormula>
    </tableColumn>
    <tableColumn id="16" xr3:uid="{1DEE7EFC-9697-DF4F-9AB3-B7AA6F3AD8F6}" name="MTG _x000a_DETAIL" dataDxfId="610" totalsRowDxfId="609">
      <calculatedColumnFormula>INPUT_OUTPUTS!$C$16</calculatedColumnFormula>
    </tableColumn>
    <tableColumn id="17" xr3:uid="{4FFF90F0-EA71-194F-A327-10021D7AF629}" name="REMARKS" dataDxfId="608" totalsRowDxfId="607">
      <calculatedColumnFormula>AS6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4FE32AF6-F1D0-8F42-8FD2-D68A7D7E75A7}" name="AHU1_TABLE_4A4349" displayName="AHU1_TABLE_4A4349" ref="B6:Z79" totalsRowCount="1" headerRowDxfId="606" tableBorderDxfId="605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EF5A08D5-FE67-FE46-85B7-28CF18AFA2D5}" name="Zone" dataDxfId="604" totalsRowDxfId="24"/>
    <tableColumn id="3" xr3:uid="{D06CAEE4-8B6D-3A4A-B873-54F1CF9EA013}" name="ROOM" dataDxfId="603" totalsRowDxfId="23"/>
    <tableColumn id="4" xr3:uid="{63983AFE-CD62-CB48-BC44-509380AA7106}" name="ROOM #" dataDxfId="602" totalsRowDxfId="22"/>
    <tableColumn id="5" xr3:uid="{3045D721-A8BC-FC40-BA6B-D27F5EFAB7C9}" name="AREA (FT²)" totalsRowFunction="sum" dataDxfId="601" totalsRowDxfId="21"/>
    <tableColumn id="6" xr3:uid="{8702941F-C339-CF48-A65C-7D92AC883322}" name="HG_x000a_(FT)" dataDxfId="600" totalsRowDxfId="20"/>
    <tableColumn id="7" xr3:uid="{93608ED7-91E2-7149-BB64-3AC256E8FA9A}" name="TOTAL AC/HR" dataDxfId="599" totalsRowDxfId="19">
      <calculatedColumnFormula>VLOOKUP($M7,'UMC Table 4-A'!$A$10:$E$139,4,FALSE)</calculatedColumnFormula>
    </tableColumn>
    <tableColumn id="8" xr3:uid="{1559DC6C-A294-904C-97E2-A5651DB81104}" name="100%_x000a_EA" dataDxfId="598" totalsRowDxfId="18">
      <calculatedColumnFormula>VLOOKUP($M7,'UMC Table 4-A'!$A$10:$E$139,5,FALSE)</calculatedColumnFormula>
    </tableColumn>
    <tableColumn id="9" xr3:uid="{B42324E9-34FD-2E4A-846B-A832E5D05890}" name="CRICU_x000a_EA" dataDxfId="597" totalsRowDxfId="17">
      <calculatedColumnFormula>IF(H7="Yes",K7,"-")</calculatedColumnFormula>
    </tableColumn>
    <tableColumn id="10" xr3:uid="{624382EA-51A8-7C4F-8E55-AB7BC451DEE7}" name="LOAD CFM" dataDxfId="596" totalsRowDxfId="16"/>
    <tableColumn id="11" xr3:uid="{52D9E67E-A777-7547-83BA-39F5D31774EF}" name="AC/HR CFM" dataDxfId="595" totalsRowDxfId="15">
      <calculatedColumnFormula>IF(G7&lt;&gt;"NR",ROUNDUP((E7*F7*G7)/60,-1),0)</calculatedColumnFormula>
    </tableColumn>
    <tableColumn id="12" xr3:uid="{DEE0BB05-AC23-214A-8D79-A99BF5A754A5}" name="1 CFM/SF" dataDxfId="594" totalsRowDxfId="14">
      <calculatedColumnFormula>E7</calculatedColumnFormula>
    </tableColumn>
    <tableColumn id="13" xr3:uid="{C58F4BF7-E040-A943-9FC1-00A47088E9CC}" name="4-A DESIGNATION" dataDxfId="593" totalsRowDxfId="13"/>
    <tableColumn id="14" xr3:uid="{090CBA8C-81EA-414B-9ECC-5C1BAB73E463}" name="AIRBALANCE RELATIONSHIP" dataDxfId="592" totalsRowDxfId="12">
      <calculatedColumnFormula>VLOOKUP($M7,'UMC Table 4-A'!$A$10:$E$139,2,FALSE)</calculatedColumnFormula>
    </tableColumn>
    <tableColumn id="15" xr3:uid="{19B80B75-9768-EF45-A84B-7BE9C9A8654C}" name="MINIMUM OSA CHANGES PER HOUR" dataDxfId="591" totalsRowDxfId="11">
      <calculatedColumnFormula>VLOOKUP($M7,'UMC Table 4-A'!$A$10:$E$139,3,FALSE)</calculatedColumnFormula>
    </tableColumn>
    <tableColumn id="16" xr3:uid="{8148C7E2-FFB7-9842-A7A3-016D86FA2EB8}" name="OSA CFM" totalsRowFunction="sum" dataDxfId="590" totalsRowDxfId="10">
      <calculatedColumnFormula>IF(O7&lt;&gt;"NR",ROUNDUP((E7*F7*O7)/60,-1),0)</calculatedColumnFormula>
    </tableColumn>
    <tableColumn id="17" xr3:uid="{7381F846-E417-9A4D-8DF1-44F35159568D}" name="ALL AIR EXHAUSTED" dataDxfId="589" totalsRowDxfId="9">
      <calculatedColumnFormula>VLOOKUP($M7,'UMC Table 4-A'!$A$10:$E$139,5,FALSE)</calculatedColumnFormula>
    </tableColumn>
    <tableColumn id="18" xr3:uid="{7A67133C-1E45-CD43-9100-2BA5FADB6E46}" name="CALCULATED SA CFM" totalsRowFunction="sum" dataDxfId="588" totalsRowDxfId="8">
      <calculatedColumnFormula>IF(N7="Negative",IF(OR(M7="Toilet room",M7="Janitor's closet, housekeeping"),0,IF(0.1*U7&gt;50,220-0.1*U7,U7-50)),IF(Q7="Yes",0,CEILING(MAX(J7:L7),5)))</calculatedColumnFormula>
    </tableColumn>
    <tableColumn id="19" xr3:uid="{759BFFE8-3835-4948-9C7C-A0C96E175864}" name="DESIGN SA CFM" totalsRowFunction="sum" dataDxfId="587" totalsRowDxfId="7">
      <calculatedColumnFormula>R7</calculatedColumnFormula>
    </tableColumn>
    <tableColumn id="20" xr3:uid="{1884C1FF-3CF8-1A4C-8AFB-A5A6149B7F4E}" name="RA CFM" totalsRowFunction="sum" dataDxfId="586" totalsRowDxfId="6">
      <calculatedColumnFormula>IF(Q7="Yes",0,IF(N7="Positive",IF(0.1*R7&gt;50,R7-0.1*R7,R7-50),IF(N7="Negative",IF(0.1*R7&gt;50,R7+0.1*R7,R7+50),R7)))</calculatedColumnFormula>
    </tableColumn>
    <tableColumn id="21" xr3:uid="{DF7B6E5F-6DF8-3F40-9D0A-BF49716062A0}" name="EA CFM" totalsRowFunction="sum" dataDxfId="585" totalsRowDxfId="5">
      <calculatedColumnFormula>IF(Q7="Yes",I7,0)</calculatedColumnFormula>
    </tableColumn>
    <tableColumn id="22" xr3:uid="{1BB8E605-F1EF-4B40-A734-806EDA2353A9}" name="Transfer Air CFM" totalsRowFunction="sum" dataDxfId="584" totalsRowDxfId="4">
      <calculatedColumnFormula>S7-T7-U7</calculatedColumnFormula>
    </tableColumn>
    <tableColumn id="23" xr3:uid="{0A52BF35-A9C7-794E-8782-1ABED63D134B}" name="Balance?" dataDxfId="583" totalsRowDxfId="3">
      <calculatedColumnFormula>IF(R7-T7-U7+V7=0,"Yes","No")</calculatedColumnFormula>
    </tableColumn>
    <tableColumn id="24" xr3:uid="{73270951-3CA9-6342-AEB2-E6F5595AFE46}" name="CFM/SF" dataDxfId="582" totalsRowDxfId="2">
      <calculatedColumnFormula>IFERROR(R7/E7,"-")</calculatedColumnFormula>
    </tableColumn>
    <tableColumn id="25" xr3:uid="{90E4E6A3-6EC4-8540-A9B2-EEF69EFD8F07}" name="OSA PERCENT" dataDxfId="581" totalsRowDxfId="1"/>
    <tableColumn id="26" xr3:uid="{06BF80AD-C092-B641-B823-2A424E2177AF}" name="ACH/hr" dataDxfId="580" totalsRowDxfId="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392FDC5E-4471-4D41-A0C3-AE1C798884FE}" name="AHU1_CAV_SCHEDULE4450" displayName="AHU1_CAV_SCHEDULE4450" ref="AC6:AS45" totalsRowCount="1" headerRowDxfId="579" dataDxfId="577" headerRowBorderDxfId="578" tableBorderDxfId="576" totalsRowBorderDxfId="575">
  <autoFilter ref="AC6:AS44" xr:uid="{2A2B6BA6-0EAB-2349-A085-FD569408EC9D}"/>
  <tableColumns count="17">
    <tableColumn id="1" xr3:uid="{11447D75-6B61-EE42-A049-DC9578A152CB}" name="ZONE" totalsRowLabel="Total" dataDxfId="574" totalsRowDxfId="573"/>
    <tableColumn id="2" xr3:uid="{76933283-CA90-8B4B-BDA9-5C96F99ADDC7}" name="BASIS OF DESIGN _x000a_MANUFACTURER" dataDxfId="572" totalsRowDxfId="571"/>
    <tableColumn id="3" xr3:uid="{2B6D70F4-1DB2-604C-9792-640F06DDD445}" name="DESCRIPTION" dataDxfId="570" totalsRowDxfId="569"/>
    <tableColumn id="4" xr3:uid="{9EB4174D-5367-B54B-AA4E-71C350EEADF8}" name="CFM" dataDxfId="568" totalsRowDxfId="567">
      <calculatedColumnFormula>SUMIF($B$7:$B$78,AC7,$S$7:$S$78)</calculatedColumnFormula>
    </tableColumn>
    <tableColumn id="5" xr3:uid="{6A13E3E9-3836-7549-BF9F-D47EE4892287}" name="CAV INLET SIZE" dataDxfId="566" totalsRowDxfId="565">
      <calculatedColumnFormula>IFERROR((VLOOKUP(AF7,'DO NOT TOUCH'!$P$9:$Q$14,2,TRUE)),"TBD")</calculatedColumnFormula>
    </tableColumn>
    <tableColumn id="6" xr3:uid="{B6881152-51B5-E049-A13F-0122B88F0853}" name="MAX TOTAL CAV PD _x000a_(IN W.G.)" dataDxfId="564" totalsRowDxfId="563">
      <calculatedColumnFormula>AH6</calculatedColumnFormula>
    </tableColumn>
    <tableColumn id="7" xr3:uid="{1711A25A-3686-664D-9C81-993D64446738}" name="EWT" dataDxfId="562" totalsRowDxfId="561">
      <calculatedColumnFormula>INPUT_OUTPUTS!$C$13</calculatedColumnFormula>
    </tableColumn>
    <tableColumn id="8" xr3:uid="{84CEAD1A-2D21-C544-A84F-6198657FCB04}" name="DESIGN _x000a_LWT" dataDxfId="560" totalsRowDxfId="559">
      <calculatedColumnFormula>INPUT_OUTPUTS!$C$14</calculatedColumnFormula>
    </tableColumn>
    <tableColumn id="9" xr3:uid="{C899DA13-643E-FE40-9AEB-8726F940A4EA}" name="EAT" dataDxfId="558" totalsRowDxfId="557">
      <calculatedColumnFormula>AK6</calculatedColumnFormula>
    </tableColumn>
    <tableColumn id="10" xr3:uid="{15C074D0-5C89-574D-BCBA-8BF1BA7B49B2}" name="DESIGN _x000a_LAT" dataDxfId="556" totalsRowDxfId="555">
      <calculatedColumnFormula>AL6</calculatedColumnFormula>
    </tableColumn>
    <tableColumn id="11" xr3:uid="{9563C540-9DAA-D541-A4DF-E48B3CA5B84C}" name="MIN MBH" totalsRowFunction="sum" dataDxfId="554" totalsRowDxfId="553">
      <calculatedColumnFormula>MROUND((1.08*(AL7-AK7)*AF7)/1000,0.1)</calculatedColumnFormula>
    </tableColumn>
    <tableColumn id="12" xr3:uid="{6BAC80D2-2359-4743-B3AF-D07AFE1DF7BC}" name="AGPM" dataDxfId="552" totalsRowDxfId="551">
      <calculatedColumnFormula>(AM7*1000)/(500*(AI7-AJ7))</calculatedColumnFormula>
    </tableColumn>
    <tableColumn id="13" xr3:uid="{3C96DB7B-5B5D-544F-BE91-FD7B4BC1BAFB}" name="GPM" totalsRowFunction="sum" dataDxfId="550" totalsRowDxfId="549">
      <calculatedColumnFormula>IF(AN7&lt;0.5,0.5,AN7)</calculatedColumnFormula>
    </tableColumn>
    <tableColumn id="14" xr3:uid="{0C4B4A56-36E7-6741-851C-551A54C8EE3A}" name="MAX WATER _x000a_PD (FT)" dataDxfId="548" totalsRowDxfId="547">
      <calculatedColumnFormula>AP6</calculatedColumnFormula>
    </tableColumn>
    <tableColumn id="15" xr3:uid="{97BB91BA-83EE-7342-9C6E-1D92AD5DED8A}" name="OPER _x000a_WEIGHT_x000a_(LBS)" dataDxfId="546" totalsRowDxfId="545">
      <calculatedColumnFormula>IFERROR((_xlfn.XLOOKUP(AG7,'DO NOT TOUCH'!$Q$9:$Q$14,'DO NOT TOUCH'!$R$9:$R$14,)),"TBD")</calculatedColumnFormula>
    </tableColumn>
    <tableColumn id="16" xr3:uid="{EFE558C2-2EB0-F545-89BB-DAC84B43EBCF}" name="MTG _x000a_DETAIL" dataDxfId="544" totalsRowDxfId="543">
      <calculatedColumnFormula>INPUT_OUTPUTS!$C$16</calculatedColumnFormula>
    </tableColumn>
    <tableColumn id="17" xr3:uid="{5B3DB916-0852-014C-A2FA-30A4D2577D35}" name="REMARKS" dataDxfId="542" totalsRowDxfId="541">
      <calculatedColumnFormula>AS6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78EF10C-AABC-2940-8656-6A0B28F7A2D8}" name="AHU1_TABLE_4A4313" displayName="AHU1_TABLE_4A4313" ref="B6:Z79" totalsRowCount="1" headerRowDxfId="280" tableBorderDxfId="279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73C20815-AD52-F44A-89BF-6FCE29567B1A}" name="Zone" dataDxfId="278" totalsRowDxfId="99"/>
    <tableColumn id="3" xr3:uid="{8D706A8F-3240-BB49-B1D8-FA94D5C2FB12}" name="ROOM" dataDxfId="277" totalsRowDxfId="98"/>
    <tableColumn id="4" xr3:uid="{4A1B604B-FAA8-F04C-9EBA-E818714A1A69}" name="ROOM #" dataDxfId="276" totalsRowDxfId="97"/>
    <tableColumn id="5" xr3:uid="{E3C0AA06-360C-9B46-B087-EBAB68177116}" name="AREA (FT²)" totalsRowFunction="sum" dataDxfId="275" totalsRowDxfId="96"/>
    <tableColumn id="6" xr3:uid="{CEF06D62-3CC4-1042-B685-C6ABF6FA3D7E}" name="HG_x000a_(FT)" dataDxfId="274" totalsRowDxfId="95"/>
    <tableColumn id="7" xr3:uid="{D5C6EB17-82C8-A74D-8EB8-ECDBE3F5806C}" name="TOTAL AC/HR" dataDxfId="273" totalsRowDxfId="94">
      <calculatedColumnFormula>VLOOKUP($M7,'UMC Table 4-A'!$A$10:$E$139,4,FALSE)</calculatedColumnFormula>
    </tableColumn>
    <tableColumn id="8" xr3:uid="{9851D36D-B6CA-E749-8AD5-798504688483}" name="100%_x000a_EA" dataDxfId="272" totalsRowDxfId="93">
      <calculatedColumnFormula>VLOOKUP($M7,'UMC Table 4-A'!$A$10:$E$139,5,FALSE)</calculatedColumnFormula>
    </tableColumn>
    <tableColumn id="9" xr3:uid="{A3F199E5-A78C-5C4E-88E5-1C125E3ACF69}" name="CRICU_x000a_EA" dataDxfId="271" totalsRowDxfId="92">
      <calculatedColumnFormula>IF(H7="Yes",K7,"-")</calculatedColumnFormula>
    </tableColumn>
    <tableColumn id="10" xr3:uid="{82D79984-57C8-FB49-B978-37A14FAA54BB}" name="LOAD CFM" dataDxfId="270" totalsRowDxfId="91"/>
    <tableColumn id="11" xr3:uid="{28F09268-B435-9047-BE7C-F1FD9C2A3BE7}" name="AC/HR CFM" dataDxfId="269" totalsRowDxfId="90">
      <calculatedColumnFormula>IF(G7&lt;&gt;"NR",ROUNDUP((E7*F7*G7)/60,-1),0)</calculatedColumnFormula>
    </tableColumn>
    <tableColumn id="12" xr3:uid="{43CC3853-4881-1D45-B95E-B14B4536CF10}" name="1 CFM/SF" dataDxfId="268" totalsRowDxfId="89">
      <calculatedColumnFormula>E7</calculatedColumnFormula>
    </tableColumn>
    <tableColumn id="13" xr3:uid="{501F3517-4913-394E-A2DB-75D1D38ED76C}" name="4-A DESIGNATION" dataDxfId="267" totalsRowDxfId="88"/>
    <tableColumn id="14" xr3:uid="{8088AB03-CBFF-A441-AF71-92ED4C3CC0BA}" name="AIRBALANCE RELATIONSHIP" dataDxfId="266" totalsRowDxfId="87">
      <calculatedColumnFormula>VLOOKUP($M7,'UMC Table 4-A'!$A$10:$E$139,2,FALSE)</calculatedColumnFormula>
    </tableColumn>
    <tableColumn id="15" xr3:uid="{107B0BC3-FA06-6446-ABB0-337D6AE8C6CB}" name="MINIMUM OSA CHANGES PER HOUR" dataDxfId="265" totalsRowDxfId="86">
      <calculatedColumnFormula>VLOOKUP($M7,'UMC Table 4-A'!$A$10:$E$139,3,FALSE)</calculatedColumnFormula>
    </tableColumn>
    <tableColumn id="16" xr3:uid="{AE63DC82-F27B-CC43-AAE0-8640E49C0C46}" name="OSA CFM" totalsRowFunction="sum" dataDxfId="264" totalsRowDxfId="85">
      <calculatedColumnFormula>IF(O7&lt;&gt;"NR",ROUNDUP((E7*F7*O7)/60,-1),0)</calculatedColumnFormula>
    </tableColumn>
    <tableColumn id="17" xr3:uid="{A7B4A3C2-F9AD-C146-BE64-CDACA74EA45B}" name="ALL AIR EXHAUSTED" dataDxfId="263" totalsRowDxfId="84">
      <calculatedColumnFormula>VLOOKUP($M7,'UMC Table 4-A'!$A$10:$E$139,5,FALSE)</calculatedColumnFormula>
    </tableColumn>
    <tableColumn id="18" xr3:uid="{7C53699E-62AC-0641-8376-8B6045289849}" name="CALCULATED SA CFM" totalsRowFunction="sum" dataDxfId="262" totalsRowDxfId="83">
      <calculatedColumnFormula>IF(N7="Negative",IF(OR(M7="Toilet room",M7="Janitor's closet, housekeeping"),0,IF(0.1*U7&gt;50,220-0.1*U7,U7-50)),IF(Q7="Yes",0,CEILING(MAX(J7:L7),5)))</calculatedColumnFormula>
    </tableColumn>
    <tableColumn id="19" xr3:uid="{8379B726-B8FE-F244-9DC6-757163633BAB}" name="DESIGN SA CFM" totalsRowFunction="sum" dataDxfId="261" totalsRowDxfId="82">
      <calculatedColumnFormula>R7</calculatedColumnFormula>
    </tableColumn>
    <tableColumn id="20" xr3:uid="{D473504B-FE0D-3645-8A88-A75A51260F57}" name="RA CFM" totalsRowFunction="sum" dataDxfId="260" totalsRowDxfId="81">
      <calculatedColumnFormula>IF(Q7="Yes",0,IF(N7="Positive",IF(0.1*R7&gt;50,R7-0.1*R7,R7-50),IF(N7="Negative",IF(0.1*R7&gt;50,R7+0.1*R7,R7+50),R7)))</calculatedColumnFormula>
    </tableColumn>
    <tableColumn id="21" xr3:uid="{C0CB477A-ECFC-5D4F-9073-91A9495431AE}" name="EA CFM" totalsRowFunction="sum" dataDxfId="259" totalsRowDxfId="80">
      <calculatedColumnFormula>IF(Q7="Yes",I7,0)</calculatedColumnFormula>
    </tableColumn>
    <tableColumn id="22" xr3:uid="{DF85F5E0-8E9A-A34E-9A58-73BB1DB1BE21}" name="Transfer Air CFM" totalsRowFunction="sum" dataDxfId="258" totalsRowDxfId="79">
      <calculatedColumnFormula>S7-T7-U7</calculatedColumnFormula>
    </tableColumn>
    <tableColumn id="23" xr3:uid="{122C400B-3697-A440-A0E0-FF63E9A47198}" name="Balance?" dataDxfId="257" totalsRowDxfId="78">
      <calculatedColumnFormula>IF(R7-T7-U7+V7=0,"Yes","No")</calculatedColumnFormula>
    </tableColumn>
    <tableColumn id="24" xr3:uid="{DB3A9A6F-2D26-5942-A5F4-D6265E906757}" name="CFM/SF" dataDxfId="256" totalsRowDxfId="77">
      <calculatedColumnFormula>IFERROR(R7/E7,"-")</calculatedColumnFormula>
    </tableColumn>
    <tableColumn id="25" xr3:uid="{7E07D760-018D-B24E-980C-F731AC046510}" name="OSA PERCENT" dataDxfId="255" totalsRowDxfId="76"/>
    <tableColumn id="26" xr3:uid="{6F160C53-35C7-4C4B-8B49-94AD442ED697}" name="ACH/hr" dataDxfId="254" totalsRowDxfId="75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422F91A-B9BC-4C43-9825-541154FE99C4}" name="AHU1_CAV_SCHEDULE4414" displayName="AHU1_CAV_SCHEDULE4414" ref="AC6:AS45" totalsRowCount="1" headerRowDxfId="253" dataDxfId="252" headerRowBorderDxfId="250" tableBorderDxfId="251" totalsRowBorderDxfId="249">
  <autoFilter ref="AC6:AS44" xr:uid="{2A2B6BA6-0EAB-2349-A085-FD569408EC9D}"/>
  <tableColumns count="17">
    <tableColumn id="1" xr3:uid="{6168BFFE-E2EF-894C-B81F-F039DECC4364}" name="ZONE" totalsRowLabel="Total" dataDxfId="247" totalsRowDxfId="248"/>
    <tableColumn id="2" xr3:uid="{79D81E2A-5B3B-0D44-B4B0-2CCA605CDE27}" name="BASIS OF DESIGN _x000a_MANUFACTURER" dataDxfId="245" totalsRowDxfId="246"/>
    <tableColumn id="3" xr3:uid="{B88B7AC5-732D-E944-B5F4-836E94622CEF}" name="DESCRIPTION" dataDxfId="243" totalsRowDxfId="244"/>
    <tableColumn id="4" xr3:uid="{E016CB99-F470-2349-B29C-DD8B7EBE0B30}" name="CFM" dataDxfId="241" totalsRowDxfId="242">
      <calculatedColumnFormula>SUMIF($B$7:$B$78,AC7,$S$7:$S$78)</calculatedColumnFormula>
    </tableColumn>
    <tableColumn id="5" xr3:uid="{42A505C0-579C-8745-9CF2-B57C0450FE4D}" name="CAV INLET SIZE" dataDxfId="239" totalsRowDxfId="240">
      <calculatedColumnFormula>IFERROR((VLOOKUP(AF7,'DO NOT TOUCH'!$P$9:$Q$14,2,TRUE)),"TBD")</calculatedColumnFormula>
    </tableColumn>
    <tableColumn id="6" xr3:uid="{FF25CF24-C88F-6D4C-BD3C-8E472025DB04}" name="MAX TOTAL CAV PD _x000a_(IN W.G.)" dataDxfId="237" totalsRowDxfId="238">
      <calculatedColumnFormula>AH6</calculatedColumnFormula>
    </tableColumn>
    <tableColumn id="7" xr3:uid="{BCD874DB-DD25-3340-83D8-FDFDF2E8D432}" name="EWT" dataDxfId="235" totalsRowDxfId="236">
      <calculatedColumnFormula>INPUT_OUTPUTS!$C$13</calculatedColumnFormula>
    </tableColumn>
    <tableColumn id="8" xr3:uid="{28F08F42-7FAA-B141-8C0E-4C986A0BB502}" name="DESIGN _x000a_LWT" dataDxfId="233" totalsRowDxfId="234">
      <calculatedColumnFormula>INPUT_OUTPUTS!$C$14</calculatedColumnFormula>
    </tableColumn>
    <tableColumn id="9" xr3:uid="{7948598B-B888-C943-B9AF-7A62A7766A0B}" name="EAT" dataDxfId="231" totalsRowDxfId="232">
      <calculatedColumnFormula>AK6</calculatedColumnFormula>
    </tableColumn>
    <tableColumn id="10" xr3:uid="{B60CE3BC-DCB3-A740-B273-550C8F16C3B9}" name="DESIGN _x000a_LAT" dataDxfId="229" totalsRowDxfId="230">
      <calculatedColumnFormula>AL6</calculatedColumnFormula>
    </tableColumn>
    <tableColumn id="11" xr3:uid="{8865F24E-CD9D-5E41-A81D-081D0853DAC5}" name="MIN MBH" totalsRowFunction="sum" dataDxfId="227" totalsRowDxfId="228">
      <calculatedColumnFormula>MROUND((1.08*(AL7-AK7)*AF7)/1000,0.1)</calculatedColumnFormula>
    </tableColumn>
    <tableColumn id="12" xr3:uid="{762794E8-1E59-CE43-AC6A-0BE2C5AF0762}" name="AGPM" dataDxfId="225" totalsRowDxfId="226">
      <calculatedColumnFormula>(AM7*1000)/(500*(AI7-AJ7))</calculatedColumnFormula>
    </tableColumn>
    <tableColumn id="13" xr3:uid="{B59C7923-5A99-9B4F-8FFD-337C44504199}" name="GPM" totalsRowFunction="sum" dataDxfId="223" totalsRowDxfId="224">
      <calculatedColumnFormula>IF(AN7&lt;0.5,0.5,AN7)</calculatedColumnFormula>
    </tableColumn>
    <tableColumn id="14" xr3:uid="{1454475A-0D10-F746-95CD-A73EAFF48871}" name="MAX WATER _x000a_PD (FT)" dataDxfId="221" totalsRowDxfId="222">
      <calculatedColumnFormula>AP6</calculatedColumnFormula>
    </tableColumn>
    <tableColumn id="15" xr3:uid="{DC160ACB-E473-984B-97E1-FC0F5049B8FD}" name="OPER _x000a_WEIGHT_x000a_(LBS)" dataDxfId="219" totalsRowDxfId="220">
      <calculatedColumnFormula>IFERROR((_xlfn.XLOOKUP(AG7,'DO NOT TOUCH'!$Q$9:$Q$14,'DO NOT TOUCH'!$R$9:$R$14,)),"TBD")</calculatedColumnFormula>
    </tableColumn>
    <tableColumn id="16" xr3:uid="{E5C863DD-BA95-1749-9AC6-7BD39F9FF240}" name="MTG _x000a_DETAIL" dataDxfId="217" totalsRowDxfId="218">
      <calculatedColumnFormula>INPUT_OUTPUTS!$C$16</calculatedColumnFormula>
    </tableColumn>
    <tableColumn id="17" xr3:uid="{DA8650F3-C637-974B-90E6-A3311D3DCB37}" name="REMARKS" dataDxfId="215" totalsRowDxfId="216">
      <calculatedColumnFormula>AS6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120EDF9-C470-644B-8A22-A405EBD9B019}" name="AHU1_TABLE_4A4311" displayName="AHU1_TABLE_4A4311" ref="B6:Z79" totalsRowCount="1" headerRowDxfId="346" tableBorderDxfId="345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FDA09FD5-C133-0343-B174-CF2A712C9122}" name="Zone" dataDxfId="344" totalsRowDxfId="149"/>
    <tableColumn id="3" xr3:uid="{E896C9F1-DED2-F84E-9B1F-7CDC3D22E6A5}" name="ROOM" dataDxfId="343" totalsRowDxfId="148"/>
    <tableColumn id="4" xr3:uid="{97B0E1A8-0570-8F40-A109-4EE1CC9E9821}" name="ROOM #" dataDxfId="342" totalsRowDxfId="147"/>
    <tableColumn id="5" xr3:uid="{0348B5BB-B536-134B-9C8D-398D7748EC84}" name="AREA (FT²)" totalsRowFunction="sum" dataDxfId="341" totalsRowDxfId="146"/>
    <tableColumn id="6" xr3:uid="{29BF472C-8A89-224B-9FFC-BBC62BCDC358}" name="HG_x000a_(FT)" dataDxfId="340" totalsRowDxfId="145"/>
    <tableColumn id="7" xr3:uid="{515BF68E-AA00-FF4C-968A-0CD31A9A07CD}" name="TOTAL AC/HR" dataDxfId="339" totalsRowDxfId="144">
      <calculatedColumnFormula>VLOOKUP($M7,'UMC Table 4-A'!$A$10:$E$139,4,FALSE)</calculatedColumnFormula>
    </tableColumn>
    <tableColumn id="8" xr3:uid="{EBAFEB19-3DCE-824F-A573-B1AD56627FDC}" name="100%_x000a_EA" dataDxfId="338" totalsRowDxfId="143">
      <calculatedColumnFormula>VLOOKUP($M7,'UMC Table 4-A'!$A$10:$E$139,5,FALSE)</calculatedColumnFormula>
    </tableColumn>
    <tableColumn id="9" xr3:uid="{1C88D8B8-F804-884A-8A0A-B7A4377EFAD3}" name="CRICU_x000a_EA" dataDxfId="337" totalsRowDxfId="142">
      <calculatedColumnFormula>IF(H7="Yes",K7,"-")</calculatedColumnFormula>
    </tableColumn>
    <tableColumn id="10" xr3:uid="{73C96101-6DCF-414D-AA83-D7582DFD3F6D}" name="LOAD CFM" dataDxfId="336" totalsRowDxfId="141"/>
    <tableColumn id="11" xr3:uid="{C39253E9-25F8-2A4A-B1B7-91FE65583E66}" name="AC/HR CFM" dataDxfId="335" totalsRowDxfId="140">
      <calculatedColumnFormula>IF(G7&lt;&gt;"NR",ROUNDUP((E7*F7*G7)/60,-1),0)</calculatedColumnFormula>
    </tableColumn>
    <tableColumn id="12" xr3:uid="{CC5A6830-EADE-F74F-AE85-592B62EEAE93}" name="1 CFM/SF" dataDxfId="334" totalsRowDxfId="139">
      <calculatedColumnFormula>E7</calculatedColumnFormula>
    </tableColumn>
    <tableColumn id="13" xr3:uid="{9B004C3F-1C1D-324D-A31A-0E65FF6F4122}" name="4-A DESIGNATION" dataDxfId="333" totalsRowDxfId="138"/>
    <tableColumn id="14" xr3:uid="{7B20C019-CC51-834D-98D2-6A345007A40C}" name="AIRBALANCE RELATIONSHIP" dataDxfId="332" totalsRowDxfId="137">
      <calculatedColumnFormula>VLOOKUP($M7,'UMC Table 4-A'!$A$10:$E$139,2,FALSE)</calculatedColumnFormula>
    </tableColumn>
    <tableColumn id="15" xr3:uid="{BC7044A1-A8CE-804D-900F-8EE89FDDEDCE}" name="MINIMUM OSA CHANGES PER HOUR" dataDxfId="331" totalsRowDxfId="136">
      <calculatedColumnFormula>VLOOKUP($M7,'UMC Table 4-A'!$A$10:$E$139,3,FALSE)</calculatedColumnFormula>
    </tableColumn>
    <tableColumn id="16" xr3:uid="{F7273599-EB37-B948-AD1D-D4626924A1C4}" name="OSA CFM" totalsRowFunction="sum" dataDxfId="330" totalsRowDxfId="135">
      <calculatedColumnFormula>IF(O7&lt;&gt;"NR",ROUNDUP((E7*F7*O7)/60,-1),0)</calculatedColumnFormula>
    </tableColumn>
    <tableColumn id="17" xr3:uid="{FC202DDF-D7F2-AF4A-BDA1-B18F14FD20F2}" name="ALL AIR EXHAUSTED" dataDxfId="329" totalsRowDxfId="134">
      <calculatedColumnFormula>VLOOKUP($M7,'UMC Table 4-A'!$A$10:$E$139,5,FALSE)</calculatedColumnFormula>
    </tableColumn>
    <tableColumn id="18" xr3:uid="{B2BDF01D-AF67-DC4A-9EA4-AEFC58253C46}" name="CALCULATED SA CFM" totalsRowFunction="sum" dataDxfId="328" totalsRowDxfId="133">
      <calculatedColumnFormula>IF(N7="Negative",IF(OR(M7="Toilet room",M7="Janitor's closet, housekeeping"),0,IF(0.1*U7&gt;50,220-0.1*U7,U7-50)),IF(Q7="Yes",0,CEILING(MAX(J7:L7),5)))</calculatedColumnFormula>
    </tableColumn>
    <tableColumn id="19" xr3:uid="{E1F93461-BFF4-7947-924C-BCB1D4D7EAA1}" name="DESIGN SA CFM" totalsRowFunction="sum" dataDxfId="327" totalsRowDxfId="132">
      <calculatedColumnFormula>R7</calculatedColumnFormula>
    </tableColumn>
    <tableColumn id="20" xr3:uid="{3C6709C3-485D-0543-9F3B-EAC54C42AFDB}" name="RA CFM" totalsRowFunction="sum" dataDxfId="326" totalsRowDxfId="131">
      <calculatedColumnFormula>IF(Q7="Yes",0,IF(N7="Positive",IF(0.1*R7&gt;50,R7-0.1*R7,R7-50),IF(N7="Negative",IF(0.1*R7&gt;50,R7+0.1*R7,R7+50),R7)))</calculatedColumnFormula>
    </tableColumn>
    <tableColumn id="21" xr3:uid="{563F3595-98A9-7A42-95EE-BA817E9FD3AA}" name="EA CFM" totalsRowFunction="sum" dataDxfId="325" totalsRowDxfId="130">
      <calculatedColumnFormula>IF(Q7="Yes",I7,0)</calculatedColumnFormula>
    </tableColumn>
    <tableColumn id="22" xr3:uid="{0BD36C7D-413C-5743-8168-212F405EC580}" name="Transfer Air CFM" totalsRowFunction="sum" dataDxfId="324" totalsRowDxfId="129">
      <calculatedColumnFormula>S7-T7-U7</calculatedColumnFormula>
    </tableColumn>
    <tableColumn id="23" xr3:uid="{7B68E33F-1DE1-C64A-966F-5CBD7870BEEE}" name="Balance?" dataDxfId="323" totalsRowDxfId="128">
      <calculatedColumnFormula>IF(R7-T7-U7+V7=0,"Yes","No")</calculatedColumnFormula>
    </tableColumn>
    <tableColumn id="24" xr3:uid="{9B561644-2CDC-D74C-995A-45616B94AE10}" name="CFM/SF" dataDxfId="322" totalsRowDxfId="127">
      <calculatedColumnFormula>IFERROR(R7/E7,"-")</calculatedColumnFormula>
    </tableColumn>
    <tableColumn id="25" xr3:uid="{5AAB96C9-FC94-B241-98BC-F8D3C37CFE2F}" name="OSA PERCENT" dataDxfId="321" totalsRowDxfId="126"/>
    <tableColumn id="26" xr3:uid="{DE2B8B2D-95DE-B344-A44A-7D70E7F73C1D}" name="ACH/hr" dataDxfId="320" totalsRowDxfId="125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58BB0C7-57FA-8147-ACAF-D3A0DE32618E}" name="AHU1_CAV_SCHEDULE4412" displayName="AHU1_CAV_SCHEDULE4412" ref="AC6:AS45" totalsRowCount="1" headerRowDxfId="319" dataDxfId="318" headerRowBorderDxfId="316" tableBorderDxfId="317" totalsRowBorderDxfId="315">
  <autoFilter ref="AC6:AS44" xr:uid="{2A2B6BA6-0EAB-2349-A085-FD569408EC9D}"/>
  <tableColumns count="17">
    <tableColumn id="1" xr3:uid="{69742501-329D-6F46-910E-72B70C8210E3}" name="ZONE" totalsRowLabel="Total" dataDxfId="313" totalsRowDxfId="314"/>
    <tableColumn id="2" xr3:uid="{42B3F186-BCCF-7743-992C-C196FE5B8F74}" name="BASIS OF DESIGN _x000a_MANUFACTURER" dataDxfId="311" totalsRowDxfId="312"/>
    <tableColumn id="3" xr3:uid="{13C589DE-44F8-0847-BF37-9C4718D748DC}" name="DESCRIPTION" dataDxfId="309" totalsRowDxfId="310"/>
    <tableColumn id="4" xr3:uid="{6CA81119-9353-BF42-8362-197D266C2934}" name="CFM" dataDxfId="307" totalsRowDxfId="308">
      <calculatedColumnFormula>SUMIF($B$7:$B$78,AC7,$S$7:$S$78)</calculatedColumnFormula>
    </tableColumn>
    <tableColumn id="5" xr3:uid="{672E0CD7-271B-CB41-9457-D3C499623F3D}" name="CAV INLET SIZE" dataDxfId="305" totalsRowDxfId="306">
      <calculatedColumnFormula>IFERROR((VLOOKUP(AF7,'DO NOT TOUCH'!$P$9:$Q$14,2,TRUE)),"TBD")</calculatedColumnFormula>
    </tableColumn>
    <tableColumn id="6" xr3:uid="{C48B80CF-641B-2C41-83DF-F23A6C319E5A}" name="MAX TOTAL CAV PD _x000a_(IN W.G.)" dataDxfId="303" totalsRowDxfId="304">
      <calculatedColumnFormula>AH6</calculatedColumnFormula>
    </tableColumn>
    <tableColumn id="7" xr3:uid="{BE339250-EEF4-1840-B73A-B9DB8453B1B4}" name="EWT" dataDxfId="301" totalsRowDxfId="302">
      <calculatedColumnFormula>INPUT_OUTPUTS!$C$13</calculatedColumnFormula>
    </tableColumn>
    <tableColumn id="8" xr3:uid="{DA27D009-BB5D-F648-AC78-01A5208A9863}" name="DESIGN _x000a_LWT" dataDxfId="299" totalsRowDxfId="300">
      <calculatedColumnFormula>INPUT_OUTPUTS!$C$14</calculatedColumnFormula>
    </tableColumn>
    <tableColumn id="9" xr3:uid="{25B600F4-F3F5-5F43-8A22-30E9485CDF37}" name="EAT" dataDxfId="297" totalsRowDxfId="298">
      <calculatedColumnFormula>AK6</calculatedColumnFormula>
    </tableColumn>
    <tableColumn id="10" xr3:uid="{22B871D2-8ADC-0546-8EAF-740E8807D7FD}" name="DESIGN _x000a_LAT" dataDxfId="295" totalsRowDxfId="296">
      <calculatedColumnFormula>AL6</calculatedColumnFormula>
    </tableColumn>
    <tableColumn id="11" xr3:uid="{A2697346-BECB-3142-8158-2ACE882DBD29}" name="MIN MBH" totalsRowFunction="sum" dataDxfId="293" totalsRowDxfId="294">
      <calculatedColumnFormula>MROUND((1.08*(AL7-AK7)*AF7)/1000,0.1)</calculatedColumnFormula>
    </tableColumn>
    <tableColumn id="12" xr3:uid="{4D141A27-8245-004C-BC56-BBB2F1CB4718}" name="AGPM" dataDxfId="291" totalsRowDxfId="292">
      <calculatedColumnFormula>(AM7*1000)/(500*(AI7-AJ7))</calculatedColumnFormula>
    </tableColumn>
    <tableColumn id="13" xr3:uid="{4A502FBC-5661-0445-BD24-EF4EF8A9D0D0}" name="GPM" totalsRowFunction="sum" dataDxfId="289" totalsRowDxfId="290">
      <calculatedColumnFormula>IF(AN7&lt;0.5,0.5,AN7)</calculatedColumnFormula>
    </tableColumn>
    <tableColumn id="14" xr3:uid="{6DF106FF-023E-F140-8478-CB459840C0F9}" name="MAX WATER _x000a_PD (FT)" dataDxfId="287" totalsRowDxfId="288">
      <calculatedColumnFormula>AP6</calculatedColumnFormula>
    </tableColumn>
    <tableColumn id="15" xr3:uid="{E2C446E6-15E0-CB41-AC23-9947066A7B28}" name="OPER _x000a_WEIGHT_x000a_(LBS)" dataDxfId="285" totalsRowDxfId="286">
      <calculatedColumnFormula>IFERROR((_xlfn.XLOOKUP(AG7,'DO NOT TOUCH'!$Q$9:$Q$14,'DO NOT TOUCH'!$R$9:$R$14,)),"TBD")</calculatedColumnFormula>
    </tableColumn>
    <tableColumn id="16" xr3:uid="{23ECE1BF-CB5B-2F4E-B27C-D8AA1DB500CC}" name="MTG _x000a_DETAIL" dataDxfId="283" totalsRowDxfId="284">
      <calculatedColumnFormula>INPUT_OUTPUTS!$C$16</calculatedColumnFormula>
    </tableColumn>
    <tableColumn id="17" xr3:uid="{A1D8FA1E-D76B-9F4F-85CE-C2EF1B35745C}" name="REMARKS" dataDxfId="281" totalsRowDxfId="282">
      <calculatedColumnFormula>AS6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6BD5BD7-27C4-1548-8784-F0334DABA805}" name="AHU1_TABLE_4A439" displayName="AHU1_TABLE_4A439" ref="B6:Z79" totalsRowCount="1" headerRowDxfId="412" tableBorderDxfId="411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958CAE83-EE37-C24F-9B12-4A23DE7D93AA}" name="Zone" dataDxfId="410" totalsRowDxfId="124"/>
    <tableColumn id="3" xr3:uid="{9BA45E92-4938-F149-A874-D5B79830C964}" name="ROOM" dataDxfId="409" totalsRowDxfId="123"/>
    <tableColumn id="4" xr3:uid="{74D04FD2-D177-F34D-8B98-0FF6101C2A24}" name="ROOM #" dataDxfId="408" totalsRowDxfId="122"/>
    <tableColumn id="5" xr3:uid="{14A115C3-F82C-0141-893E-1CCA709AA1A1}" name="AREA (FT²)" totalsRowFunction="sum" dataDxfId="407" totalsRowDxfId="121"/>
    <tableColumn id="6" xr3:uid="{7348FB6A-B3A3-4B42-8FD9-9804CC265FEC}" name="HG_x000a_(FT)" dataDxfId="406" totalsRowDxfId="120"/>
    <tableColumn id="7" xr3:uid="{9B63E197-5053-C14D-8BE2-00DFDD909BA8}" name="TOTAL AC/HR" dataDxfId="405" totalsRowDxfId="119">
      <calculatedColumnFormula>VLOOKUP($M7,'UMC Table 4-A'!$A$10:$E$139,4,FALSE)</calculatedColumnFormula>
    </tableColumn>
    <tableColumn id="8" xr3:uid="{D0770DC1-7100-9E4B-B5BC-E0F7133D35DC}" name="100%_x000a_EA" dataDxfId="404" totalsRowDxfId="118">
      <calculatedColumnFormula>VLOOKUP($M7,'UMC Table 4-A'!$A$10:$E$139,5,FALSE)</calculatedColumnFormula>
    </tableColumn>
    <tableColumn id="9" xr3:uid="{756B0F75-39ED-804E-B076-63109B744745}" name="CRICU_x000a_EA" dataDxfId="403" totalsRowDxfId="117">
      <calculatedColumnFormula>IF(H7="Yes",K7,"-")</calculatedColumnFormula>
    </tableColumn>
    <tableColumn id="10" xr3:uid="{461864D0-40FA-0244-82A2-1B4A7408560E}" name="LOAD CFM" dataDxfId="402" totalsRowDxfId="116"/>
    <tableColumn id="11" xr3:uid="{00CE024D-0E61-B64D-9456-F319F0052C65}" name="AC/HR CFM" dataDxfId="401" totalsRowDxfId="115">
      <calculatedColumnFormula>IF(G7&lt;&gt;"NR",ROUNDUP((E7*F7*G7)/60,-1),0)</calculatedColumnFormula>
    </tableColumn>
    <tableColumn id="12" xr3:uid="{F9CB1CC4-24E7-E648-A43A-63CCC60FE9B3}" name="1 CFM/SF" dataDxfId="400" totalsRowDxfId="114">
      <calculatedColumnFormula>E7</calculatedColumnFormula>
    </tableColumn>
    <tableColumn id="13" xr3:uid="{8833C28C-B93E-F149-B1A5-04D5FCF3A7ED}" name="4-A DESIGNATION" dataDxfId="399" totalsRowDxfId="113"/>
    <tableColumn id="14" xr3:uid="{7FBFAF5C-444A-0F48-B6A5-45B98E4B0EE3}" name="AIRBALANCE RELATIONSHIP" dataDxfId="398" totalsRowDxfId="112">
      <calculatedColumnFormula>VLOOKUP($M7,'UMC Table 4-A'!$A$10:$E$139,2,FALSE)</calculatedColumnFormula>
    </tableColumn>
    <tableColumn id="15" xr3:uid="{37E44146-284A-424C-B741-611A09F8AD01}" name="MINIMUM OSA CHANGES PER HOUR" dataDxfId="397" totalsRowDxfId="111">
      <calculatedColumnFormula>VLOOKUP($M7,'UMC Table 4-A'!$A$10:$E$139,3,FALSE)</calculatedColumnFormula>
    </tableColumn>
    <tableColumn id="16" xr3:uid="{44A0FAF9-8410-614A-BD65-47148F72F387}" name="OSA CFM" totalsRowFunction="sum" dataDxfId="396" totalsRowDxfId="110">
      <calculatedColumnFormula>IF(O7&lt;&gt;"NR",ROUNDUP((E7*F7*O7)/60,-1),0)</calculatedColumnFormula>
    </tableColumn>
    <tableColumn id="17" xr3:uid="{C46FA699-EB75-A443-A6A9-24B554C2903B}" name="ALL AIR EXHAUSTED" dataDxfId="395" totalsRowDxfId="109">
      <calculatedColumnFormula>VLOOKUP($M7,'UMC Table 4-A'!$A$10:$E$139,5,FALSE)</calculatedColumnFormula>
    </tableColumn>
    <tableColumn id="18" xr3:uid="{CC838A5C-8AFA-3543-B4FF-8E03A48FF920}" name="CALCULATED SA CFM" totalsRowFunction="sum" dataDxfId="394" totalsRowDxfId="108">
      <calculatedColumnFormula>IF(N7="Negative",IF(OR(M7="Toilet room",M7="Janitor's closet, housekeeping"),0,IF(0.1*U7&gt;50,220-0.1*U7,U7-50)),IF(Q7="Yes",0,CEILING(MAX(J7:L7),5)))</calculatedColumnFormula>
    </tableColumn>
    <tableColumn id="19" xr3:uid="{4D008C7C-0E21-2E47-97DF-D8F194FB1C98}" name="DESIGN SA CFM" totalsRowFunction="sum" dataDxfId="393" totalsRowDxfId="107">
      <calculatedColumnFormula>R7</calculatedColumnFormula>
    </tableColumn>
    <tableColumn id="20" xr3:uid="{6FBBE57A-E962-6647-84EB-B4974F2638D5}" name="RA CFM" totalsRowFunction="sum" dataDxfId="392" totalsRowDxfId="106">
      <calculatedColumnFormula>IF(Q7="Yes",0,IF(N7="Positive",IF(0.1*R7&gt;50,R7-0.1*R7,R7-50),IF(N7="Negative",IF(0.1*R7&gt;50,R7+0.1*R7,R7+50),R7)))</calculatedColumnFormula>
    </tableColumn>
    <tableColumn id="21" xr3:uid="{DFCF9565-C980-C944-85CD-3D56F8323FCB}" name="EA CFM" totalsRowFunction="sum" dataDxfId="391" totalsRowDxfId="105">
      <calculatedColumnFormula>IF(Q7="Yes",I7,0)</calculatedColumnFormula>
    </tableColumn>
    <tableColumn id="22" xr3:uid="{C8DEE192-98AA-7B43-A86D-C591FF55E571}" name="Transfer Air CFM" totalsRowFunction="sum" dataDxfId="390" totalsRowDxfId="104">
      <calculatedColumnFormula>S7-T7-U7</calculatedColumnFormula>
    </tableColumn>
    <tableColumn id="23" xr3:uid="{B4124E08-91B7-CF44-923C-7933CB344D73}" name="Balance?" dataDxfId="389" totalsRowDxfId="103">
      <calculatedColumnFormula>IF(R7-T7-U7+V7=0,"Yes","No")</calculatedColumnFormula>
    </tableColumn>
    <tableColumn id="24" xr3:uid="{0735A03B-0407-7241-9BC5-B690B09CC2BA}" name="CFM/SF" dataDxfId="388" totalsRowDxfId="102">
      <calculatedColumnFormula>IFERROR(R7/E7,"-")</calculatedColumnFormula>
    </tableColumn>
    <tableColumn id="25" xr3:uid="{FB5D188C-852F-E64F-98A4-676C473DE29A}" name="OSA PERCENT" dataDxfId="387" totalsRowDxfId="101"/>
    <tableColumn id="26" xr3:uid="{B36989EC-2924-F344-AD2D-A47C818C52B5}" name="ACH/hr" dataDxfId="386" totalsRowDxfId="100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503EB58-D370-5D4A-8EA6-572E59865791}" name="AHU1_CAV_SCHEDULE4410" displayName="AHU1_CAV_SCHEDULE4410" ref="AC6:AS45" totalsRowCount="1" headerRowDxfId="385" dataDxfId="384" headerRowBorderDxfId="382" tableBorderDxfId="383" totalsRowBorderDxfId="381">
  <autoFilter ref="AC6:AS44" xr:uid="{2A2B6BA6-0EAB-2349-A085-FD569408EC9D}"/>
  <tableColumns count="17">
    <tableColumn id="1" xr3:uid="{EEFC3C92-82D3-AC4A-BB3A-93501A46EAB0}" name="ZONE" totalsRowLabel="Total" dataDxfId="379" totalsRowDxfId="380"/>
    <tableColumn id="2" xr3:uid="{C2A8D22A-BA75-404B-AC50-6D1ADCD1C334}" name="BASIS OF DESIGN _x000a_MANUFACTURER" dataDxfId="377" totalsRowDxfId="378"/>
    <tableColumn id="3" xr3:uid="{68D471CA-4289-6842-AB51-635B62668929}" name="DESCRIPTION" dataDxfId="375" totalsRowDxfId="376"/>
    <tableColumn id="4" xr3:uid="{C8B41A21-7585-4A49-944D-CDC23E5C5482}" name="CFM" dataDxfId="373" totalsRowDxfId="374">
      <calculatedColumnFormula>SUMIF($B$7:$B$78,AC7,$S$7:$S$78)</calculatedColumnFormula>
    </tableColumn>
    <tableColumn id="5" xr3:uid="{3C1468EC-4A92-AA4A-9321-D53D2319B56D}" name="CAV INLET SIZE" dataDxfId="371" totalsRowDxfId="372">
      <calculatedColumnFormula>IFERROR((VLOOKUP(AF7,'DO NOT TOUCH'!$P$9:$Q$14,2,TRUE)),"TBD")</calculatedColumnFormula>
    </tableColumn>
    <tableColumn id="6" xr3:uid="{993B3A45-D00B-834B-85C7-C2908F62361E}" name="MAX TOTAL CAV PD _x000a_(IN W.G.)" dataDxfId="369" totalsRowDxfId="370">
      <calculatedColumnFormula>AH6</calculatedColumnFormula>
    </tableColumn>
    <tableColumn id="7" xr3:uid="{901AF98A-14EC-354D-B8D2-3973A86001A4}" name="EWT" dataDxfId="367" totalsRowDxfId="368">
      <calculatedColumnFormula>INPUT_OUTPUTS!$C$13</calculatedColumnFormula>
    </tableColumn>
    <tableColumn id="8" xr3:uid="{549DF568-0CB5-6640-8AD6-079D83218E5C}" name="DESIGN _x000a_LWT" dataDxfId="365" totalsRowDxfId="366">
      <calculatedColumnFormula>INPUT_OUTPUTS!$C$14</calculatedColumnFormula>
    </tableColumn>
    <tableColumn id="9" xr3:uid="{31EAB872-AEC1-1341-BDCB-730C70E5C8CA}" name="EAT" dataDxfId="363" totalsRowDxfId="364">
      <calculatedColumnFormula>AK6</calculatedColumnFormula>
    </tableColumn>
    <tableColumn id="10" xr3:uid="{83306E3B-E84C-0446-ADA0-D821E753B187}" name="DESIGN _x000a_LAT" dataDxfId="361" totalsRowDxfId="362">
      <calculatedColumnFormula>AL6</calculatedColumnFormula>
    </tableColumn>
    <tableColumn id="11" xr3:uid="{720668D3-2E25-A24F-A99E-7D698E5D8731}" name="MIN MBH" totalsRowFunction="sum" dataDxfId="359" totalsRowDxfId="360">
      <calculatedColumnFormula>MROUND((1.08*(AL7-AK7)*AF7)/1000,0.1)</calculatedColumnFormula>
    </tableColumn>
    <tableColumn id="12" xr3:uid="{1E68673D-51FD-4843-B5D6-4B41B9023422}" name="AGPM" dataDxfId="357" totalsRowDxfId="358">
      <calculatedColumnFormula>(AM7*1000)/(500*(AI7-AJ7))</calculatedColumnFormula>
    </tableColumn>
    <tableColumn id="13" xr3:uid="{983372F6-D081-FE45-AAC0-ABD6B5552D18}" name="GPM" totalsRowFunction="sum" dataDxfId="355" totalsRowDxfId="356">
      <calculatedColumnFormula>IF(AN7&lt;0.5,0.5,AN7)</calculatedColumnFormula>
    </tableColumn>
    <tableColumn id="14" xr3:uid="{8EE3A796-A169-7340-8674-DEC8CBF8250A}" name="MAX WATER _x000a_PD (FT)" dataDxfId="353" totalsRowDxfId="354">
      <calculatedColumnFormula>AP6</calculatedColumnFormula>
    </tableColumn>
    <tableColumn id="15" xr3:uid="{564E1AA8-332E-8249-8D68-4AF58B39D4D8}" name="OPER _x000a_WEIGHT_x000a_(LBS)" dataDxfId="351" totalsRowDxfId="352">
      <calculatedColumnFormula>IFERROR((_xlfn.XLOOKUP(AG7,'DO NOT TOUCH'!$Q$9:$Q$14,'DO NOT TOUCH'!$R$9:$R$14,)),"TBD")</calculatedColumnFormula>
    </tableColumn>
    <tableColumn id="16" xr3:uid="{330565E5-40B7-4248-AB95-BDFBC0C87B65}" name="MTG _x000a_DETAIL" dataDxfId="349" totalsRowDxfId="350">
      <calculatedColumnFormula>INPUT_OUTPUTS!$C$16</calculatedColumnFormula>
    </tableColumn>
    <tableColumn id="17" xr3:uid="{30D75D1C-AEF6-7D47-AD3B-6359356AAF9C}" name="REMARKS" dataDxfId="347" totalsRowDxfId="348">
      <calculatedColumnFormula>AS6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2E9AA4A-FE17-4644-A52A-3000A8BBC84E}" name="AHU1_TABLE_4A436" displayName="AHU1_TABLE_4A436" ref="B6:Z79" totalsRowCount="1" headerRowDxfId="478" tableBorderDxfId="477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3464BB7E-701F-6546-80D8-2E9D273D0BC7}" name="Zone" dataDxfId="476" totalsRowDxfId="74"/>
    <tableColumn id="3" xr3:uid="{235C400D-9821-BF41-82AB-BE095CE90D05}" name="ROOM" dataDxfId="475" totalsRowDxfId="73"/>
    <tableColumn id="4" xr3:uid="{6083BBF5-B5D4-E54A-92C8-B5ABF706BB83}" name="ROOM #" dataDxfId="474" totalsRowDxfId="72"/>
    <tableColumn id="5" xr3:uid="{DC0BC048-3B94-2942-B9B1-F23A69E1DE15}" name="AREA (FT²)" totalsRowFunction="sum" dataDxfId="473" totalsRowDxfId="71"/>
    <tableColumn id="6" xr3:uid="{FA6FE59D-B94F-884D-A288-1C31F40D4F0D}" name="HG_x000a_(FT)" dataDxfId="472" totalsRowDxfId="70"/>
    <tableColumn id="7" xr3:uid="{72E52ED3-2422-CD4E-AAE2-181A6CBEBCB7}" name="TOTAL AC/HR" dataDxfId="471" totalsRowDxfId="69">
      <calculatedColumnFormula>VLOOKUP($M7,'UMC Table 4-A'!$A$10:$E$139,4,FALSE)</calculatedColumnFormula>
    </tableColumn>
    <tableColumn id="8" xr3:uid="{BC0B5A8C-541B-3243-A2A3-E14FE0BB8065}" name="100%_x000a_EA" dataDxfId="470" totalsRowDxfId="68">
      <calculatedColumnFormula>VLOOKUP($M7,'UMC Table 4-A'!$A$10:$E$139,5,FALSE)</calculatedColumnFormula>
    </tableColumn>
    <tableColumn id="9" xr3:uid="{C2E77006-5AEA-F248-A94E-AB20B15012E7}" name="CRICU_x000a_EA" dataDxfId="469" totalsRowDxfId="67">
      <calculatedColumnFormula>IF(H7="Yes",K7,"-")</calculatedColumnFormula>
    </tableColumn>
    <tableColumn id="10" xr3:uid="{39D1A6C7-63FD-1F4A-87BD-6AA0B280B6D8}" name="LOAD CFM" dataDxfId="468" totalsRowDxfId="66"/>
    <tableColumn id="11" xr3:uid="{DC253B79-B074-944E-928C-343CF463E23C}" name="AC/HR CFM" dataDxfId="467" totalsRowDxfId="65">
      <calculatedColumnFormula>IF(G7&lt;&gt;"NR",ROUNDUP((E7*F7*G7)/60,-1),0)</calculatedColumnFormula>
    </tableColumn>
    <tableColumn id="12" xr3:uid="{9BC91A54-F504-6F45-89D0-0AF7F4A14FCF}" name="1 CFM/SF" dataDxfId="466" totalsRowDxfId="64">
      <calculatedColumnFormula>E7</calculatedColumnFormula>
    </tableColumn>
    <tableColumn id="13" xr3:uid="{05E9141C-FB78-DB47-94AF-BB1265FEEF63}" name="4-A DESIGNATION" dataDxfId="465" totalsRowDxfId="63"/>
    <tableColumn id="14" xr3:uid="{0124B375-D25D-2E4E-9EF1-8469784BBB3A}" name="AIRBALANCE RELATIONSHIP" dataDxfId="464" totalsRowDxfId="62">
      <calculatedColumnFormula>VLOOKUP($M7,'UMC Table 4-A'!$A$10:$E$139,2,FALSE)</calculatedColumnFormula>
    </tableColumn>
    <tableColumn id="15" xr3:uid="{11177CE1-9251-7A4A-9976-97AE88A0076B}" name="MINIMUM OSA CHANGES PER HOUR" dataDxfId="463" totalsRowDxfId="61">
      <calculatedColumnFormula>VLOOKUP($M7,'UMC Table 4-A'!$A$10:$E$139,3,FALSE)</calculatedColumnFormula>
    </tableColumn>
    <tableColumn id="16" xr3:uid="{0122AAD7-4736-AC42-AE50-A780829A3205}" name="OSA CFM" totalsRowFunction="sum" dataDxfId="462" totalsRowDxfId="60">
      <calculatedColumnFormula>IF(O7&lt;&gt;"NR",ROUNDUP((E7*F7*O7)/60,-1),0)</calculatedColumnFormula>
    </tableColumn>
    <tableColumn id="17" xr3:uid="{8EFE591D-9CF7-804D-B141-1A88CA9672C8}" name="ALL AIR EXHAUSTED" dataDxfId="461" totalsRowDxfId="59">
      <calculatedColumnFormula>VLOOKUP($M7,'UMC Table 4-A'!$A$10:$E$139,5,FALSE)</calculatedColumnFormula>
    </tableColumn>
    <tableColumn id="18" xr3:uid="{6A9D89DC-2106-B841-87CB-4F5745C71CA0}" name="CALCULATED SA CFM" totalsRowFunction="sum" dataDxfId="460" totalsRowDxfId="58">
      <calculatedColumnFormula>IF(N7="Negative",IF(OR(M7="Toilet room",M7="Janitor's closet, housekeeping"),0,IF(0.1*U7&gt;50,220-0.1*U7,U7-50)),IF(Q7="Yes",0,CEILING(MAX(J7:L7),5)))</calculatedColumnFormula>
    </tableColumn>
    <tableColumn id="19" xr3:uid="{CAEDCCEA-7BD4-E34A-9831-363D3339D701}" name="DESIGN SA CFM" totalsRowFunction="sum" dataDxfId="459" totalsRowDxfId="57">
      <calculatedColumnFormula>R7</calculatedColumnFormula>
    </tableColumn>
    <tableColumn id="20" xr3:uid="{5F415513-5F8B-2241-B215-48E02B4230B7}" name="RA CFM" totalsRowFunction="sum" dataDxfId="458" totalsRowDxfId="56">
      <calculatedColumnFormula>IF(Q7="Yes",0,IF(N7="Positive",IF(0.1*R7&gt;50,R7-0.1*R7,R7-50),IF(N7="Negative",IF(0.1*R7&gt;50,R7+0.1*R7,R7+50),R7)))</calculatedColumnFormula>
    </tableColumn>
    <tableColumn id="21" xr3:uid="{A1709C06-D879-784C-A663-97D5144DCEAD}" name="EA CFM" totalsRowFunction="sum" dataDxfId="457" totalsRowDxfId="55">
      <calculatedColumnFormula>IF(Q7="Yes",I7,0)</calculatedColumnFormula>
    </tableColumn>
    <tableColumn id="22" xr3:uid="{BEF90F85-DE43-1C44-A530-ECD5944E41E8}" name="Transfer Air CFM" totalsRowFunction="sum" dataDxfId="456" totalsRowDxfId="54">
      <calculatedColumnFormula>S7-T7-U7</calculatedColumnFormula>
    </tableColumn>
    <tableColumn id="23" xr3:uid="{8A142DCB-545B-9B4F-BAD3-F47F749FDFB4}" name="Balance?" dataDxfId="455" totalsRowDxfId="53">
      <calculatedColumnFormula>IF(R7-T7-U7+V7=0,"Yes","No")</calculatedColumnFormula>
    </tableColumn>
    <tableColumn id="24" xr3:uid="{BC6A1211-67A1-AD48-8A0F-B5372B2528F2}" name="CFM/SF" dataDxfId="454" totalsRowDxfId="52">
      <calculatedColumnFormula>IFERROR(R7/E7,"-")</calculatedColumnFormula>
    </tableColumn>
    <tableColumn id="25" xr3:uid="{93740E1E-5DB4-C846-8EA8-AB085C38BCC6}" name="OSA PERCENT" dataDxfId="453" totalsRowDxfId="51"/>
    <tableColumn id="26" xr3:uid="{CE2EE88A-D9DD-0944-9C54-1FBAB3765A9E}" name="ACH/hr" dataDxfId="452" totalsRowDxfId="50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FDCAC-2CB7-6F47-AD33-CD0A2EF47F43}" name="AHU1_CAV_SCHEDULE447" displayName="AHU1_CAV_SCHEDULE447" ref="AC6:AS45" totalsRowCount="1" headerRowDxfId="451" dataDxfId="450" headerRowBorderDxfId="448" tableBorderDxfId="449" totalsRowBorderDxfId="447">
  <autoFilter ref="AC6:AS44" xr:uid="{2A2B6BA6-0EAB-2349-A085-FD569408EC9D}"/>
  <tableColumns count="17">
    <tableColumn id="1" xr3:uid="{932B2BED-4236-4E46-8646-ED0BE75EE168}" name="ZONE" totalsRowLabel="Total" dataDxfId="445" totalsRowDxfId="446"/>
    <tableColumn id="2" xr3:uid="{999ECE6E-795A-4A4E-B7E7-0A81946AD9AD}" name="BASIS OF DESIGN _x000a_MANUFACTURER" dataDxfId="443" totalsRowDxfId="444"/>
    <tableColumn id="3" xr3:uid="{6EFA1446-BAA2-2340-B77C-909CC0CAE4FC}" name="DESCRIPTION" dataDxfId="441" totalsRowDxfId="442"/>
    <tableColumn id="4" xr3:uid="{E5BA61E6-5057-E84C-83BC-95B09329BBFE}" name="CFM" dataDxfId="439" totalsRowDxfId="440">
      <calculatedColumnFormula>SUMIF($B$7:$B$78,AC7,$S$7:$S$78)</calculatedColumnFormula>
    </tableColumn>
    <tableColumn id="5" xr3:uid="{5DA65FB9-0459-BB40-9650-0FA37BFC868C}" name="CAV INLET SIZE" dataDxfId="437" totalsRowDxfId="438">
      <calculatedColumnFormula>IFERROR((VLOOKUP(AF7,'DO NOT TOUCH'!$P$9:$Q$14,2,TRUE)),"TBD")</calculatedColumnFormula>
    </tableColumn>
    <tableColumn id="6" xr3:uid="{687349EE-3096-1F49-973C-F144F2D57FAC}" name="MAX TOTAL CAV PD _x000a_(IN W.G.)" dataDxfId="435" totalsRowDxfId="436">
      <calculatedColumnFormula>AH6</calculatedColumnFormula>
    </tableColumn>
    <tableColumn id="7" xr3:uid="{888D2BFC-5E35-114C-B118-505937091E09}" name="EWT" dataDxfId="433" totalsRowDxfId="434">
      <calculatedColumnFormula>INPUT_OUTPUTS!$C$13</calculatedColumnFormula>
    </tableColumn>
    <tableColumn id="8" xr3:uid="{B61C10C7-DA55-4341-B702-C62B191CA1EB}" name="DESIGN _x000a_LWT" dataDxfId="431" totalsRowDxfId="432">
      <calculatedColumnFormula>INPUT_OUTPUTS!$C$14</calculatedColumnFormula>
    </tableColumn>
    <tableColumn id="9" xr3:uid="{6D9430B5-18C8-154E-9D0A-75CE594C2DD3}" name="EAT" dataDxfId="429" totalsRowDxfId="430">
      <calculatedColumnFormula>AK6</calculatedColumnFormula>
    </tableColumn>
    <tableColumn id="10" xr3:uid="{96FB2F7C-7B87-8F48-AE5A-E92C1222CC59}" name="DESIGN _x000a_LAT" dataDxfId="427" totalsRowDxfId="428">
      <calculatedColumnFormula>AL6</calculatedColumnFormula>
    </tableColumn>
    <tableColumn id="11" xr3:uid="{EF17BCE2-EB64-344B-A3DD-92E35C5F649F}" name="MIN MBH" totalsRowFunction="sum" dataDxfId="425" totalsRowDxfId="426">
      <calculatedColumnFormula>MROUND((1.08*(AL7-AK7)*AF7)/1000,0.1)</calculatedColumnFormula>
    </tableColumn>
    <tableColumn id="12" xr3:uid="{FF05C816-524F-F444-B589-8680F84CFD32}" name="AGPM" dataDxfId="423" totalsRowDxfId="424">
      <calculatedColumnFormula>(AM7*1000)/(500*(AI7-AJ7))</calculatedColumnFormula>
    </tableColumn>
    <tableColumn id="13" xr3:uid="{1CD0DFB1-5A93-9E48-8775-6E142C47BB5E}" name="GPM" totalsRowFunction="sum" dataDxfId="421" totalsRowDxfId="422">
      <calculatedColumnFormula>IF(AN7&lt;0.5,0.5,AN7)</calculatedColumnFormula>
    </tableColumn>
    <tableColumn id="14" xr3:uid="{BAB8E9AC-7C04-5440-86E9-440A6F19EC77}" name="MAX WATER _x000a_PD (FT)" dataDxfId="419" totalsRowDxfId="420">
      <calculatedColumnFormula>AP6</calculatedColumnFormula>
    </tableColumn>
    <tableColumn id="15" xr3:uid="{DD8AB954-64A0-0B42-B45D-D802F987A582}" name="OPER _x000a_WEIGHT_x000a_(LBS)" dataDxfId="417" totalsRowDxfId="418">
      <calculatedColumnFormula>IFERROR((_xlfn.XLOOKUP(AG7,'DO NOT TOUCH'!$Q$9:$Q$14,'DO NOT TOUCH'!$R$9:$R$14,)),"TBD")</calculatedColumnFormula>
    </tableColumn>
    <tableColumn id="16" xr3:uid="{376AEDB4-7466-4B4B-BDFC-B6E7F487D96C}" name="MTG _x000a_DETAIL" dataDxfId="415" totalsRowDxfId="416">
      <calculatedColumnFormula>INPUT_OUTPUTS!$C$16</calculatedColumnFormula>
    </tableColumn>
    <tableColumn id="17" xr3:uid="{C2B73714-10E7-DB45-B67A-6B5611056A43}" name="REMARKS" dataDxfId="413" totalsRowDxfId="414">
      <calculatedColumnFormula>AS6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AHU1_TABLE_4A43" displayName="AHU1_TABLE_4A43" ref="B6:Z79" totalsRowCount="1" headerRowDxfId="763" tableBorderDxfId="762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22C7799E-DFE7-0046-A424-0E41D791266C}" name="Zone" dataDxfId="761" totalsRowDxfId="760"/>
    <tableColumn id="3" xr3:uid="{62F86706-BFED-8849-B203-1462C07A11D1}" name="ROOM" dataDxfId="759" totalsRowDxfId="758"/>
    <tableColumn id="4" xr3:uid="{BA8CC09C-8989-7449-815E-02DA3EBCCE73}" name="ROOM #" dataDxfId="757" totalsRowDxfId="756"/>
    <tableColumn id="5" xr3:uid="{2A5847B7-C8C2-7D4C-9B9E-AF0D4F961528}" name="AREA (FT²)" totalsRowFunction="sum" dataDxfId="755" totalsRowDxfId="754"/>
    <tableColumn id="6" xr3:uid="{6F4863D2-E26C-4B4A-8A7E-6808FF9E98AF}" name="HG_x000a_(FT)" dataDxfId="753" totalsRowDxfId="752"/>
    <tableColumn id="7" xr3:uid="{D114EF5A-EB4D-E240-9D9D-BD8D88BBD5D0}" name="TOTAL AC/HR" dataDxfId="751" totalsRowDxfId="750">
      <calculatedColumnFormula>VLOOKUP($M7,'UMC Table 4-A'!$A$10:$E$139,4,FALSE)</calculatedColumnFormula>
    </tableColumn>
    <tableColumn id="8" xr3:uid="{C41C1A8A-07D2-F847-ADC4-523F6DA3A59A}" name="100%_x000a_EA" dataDxfId="749" totalsRowDxfId="748">
      <calculatedColumnFormula>VLOOKUP($M7,'UMC Table 4-A'!$A$10:$E$139,5,FALSE)</calculatedColumnFormula>
    </tableColumn>
    <tableColumn id="9" xr3:uid="{C2F85DE3-5208-7A42-B5B3-6BD44EDE360A}" name="CRICU_x000a_EA" dataDxfId="747" totalsRowDxfId="746">
      <calculatedColumnFormula>IF(H7="Yes",K7,"-")</calculatedColumnFormula>
    </tableColumn>
    <tableColumn id="10" xr3:uid="{DB9587E5-51D0-9E49-B476-3D1DEB286854}" name="LOAD CFM" dataDxfId="745" totalsRowDxfId="744"/>
    <tableColumn id="11" xr3:uid="{C2B72E76-A1B2-864A-8E40-94D30E0904B2}" name="AC/HR CFM" dataDxfId="743" totalsRowDxfId="742">
      <calculatedColumnFormula>IF(G7&lt;&gt;"NR",ROUNDUP((E7*F7*G7)/60,-1),0)</calculatedColumnFormula>
    </tableColumn>
    <tableColumn id="12" xr3:uid="{4166323B-03BF-624D-B936-3007427F886B}" name="1 CFM/SF" dataDxfId="741" totalsRowDxfId="740">
      <calculatedColumnFormula>E7</calculatedColumnFormula>
    </tableColumn>
    <tableColumn id="13" xr3:uid="{EF99C6F8-178D-B74B-9494-D87EECB93536}" name="4-A DESIGNATION" dataDxfId="739" totalsRowDxfId="738"/>
    <tableColumn id="14" xr3:uid="{58966974-3F49-C846-8C54-D89C6D09D35B}" name="AIRBALANCE RELATIONSHIP" dataDxfId="737" totalsRowDxfId="736">
      <calculatedColumnFormula>VLOOKUP($M7,'UMC Table 4-A'!$A$10:$E$139,2,FALSE)</calculatedColumnFormula>
    </tableColumn>
    <tableColumn id="15" xr3:uid="{5E77F12B-AF22-DE47-96B1-F2CCA63C5F3B}" name="MINIMUM OSA CHANGES PER HOUR" dataDxfId="735" totalsRowDxfId="734">
      <calculatedColumnFormula>VLOOKUP($M7,'UMC Table 4-A'!$A$10:$E$139,3,FALSE)</calculatedColumnFormula>
    </tableColumn>
    <tableColumn id="16" xr3:uid="{EB149268-2DAB-9145-9B3F-A075A9E0BB62}" name="OSA CFM" totalsRowFunction="sum" dataDxfId="733" totalsRowDxfId="732">
      <calculatedColumnFormula>IF(O7&lt;&gt;"NR",ROUNDUP((E7*F7*O7)/60,-1),0)</calculatedColumnFormula>
    </tableColumn>
    <tableColumn id="17" xr3:uid="{D7D5D4AD-5D2F-1947-A1EC-864FB51133D3}" name="ALL AIR EXHAUSTED" dataDxfId="731" totalsRowDxfId="730">
      <calculatedColumnFormula>VLOOKUP($M7,'UMC Table 4-A'!$A$10:$E$139,5,FALSE)</calculatedColumnFormula>
    </tableColumn>
    <tableColumn id="18" xr3:uid="{8E64C3DD-B984-C34D-950D-988E6756EC90}" name="CALCULATED SA CFM" totalsRowFunction="sum" dataDxfId="729" totalsRowDxfId="728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727" totalsRowDxfId="726">
      <calculatedColumnFormula>R7</calculatedColumnFormula>
    </tableColumn>
    <tableColumn id="20" xr3:uid="{DD8A54C1-53C5-BC42-BBC6-13ABBEB44ADF}" name="RA CFM" totalsRowFunction="sum" dataDxfId="725" totalsRowDxfId="724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723" totalsRowDxfId="722">
      <calculatedColumnFormula>IF(Q7="Yes",I7,0)</calculatedColumnFormula>
    </tableColumn>
    <tableColumn id="22" xr3:uid="{D9078ABF-02C8-5649-BF43-2635E4E43CD3}" name="Transfer Air CFM" totalsRowFunction="sum" dataDxfId="721" totalsRowDxfId="720">
      <calculatedColumnFormula>S7-T7-U7</calculatedColumnFormula>
    </tableColumn>
    <tableColumn id="23" xr3:uid="{420D3664-0F81-6346-9798-DAAD4438D382}" name="Balance?" dataDxfId="719" totalsRowDxfId="718">
      <calculatedColumnFormula>IF(R7-T7-U7+V7=0,"Yes","No")</calculatedColumnFormula>
    </tableColumn>
    <tableColumn id="24" xr3:uid="{2B06E20E-4173-5744-A06B-F45C3B6E4E06}" name="CFM/SF" dataDxfId="717" totalsRowDxfId="716">
      <calculatedColumnFormula>IFERROR(R7/E7,"-")</calculatedColumnFormula>
    </tableColumn>
    <tableColumn id="25" xr3:uid="{1CCCE25F-6BF2-294F-9C7E-94799BF60C61}" name="OSA PERCENT" dataDxfId="715" totalsRowDxfId="714"/>
    <tableColumn id="26" xr3:uid="{A9787315-1554-5F47-9583-71F6447BADE7}" name="ACH/hr" dataDxfId="713" totalsRowDxfId="712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711" dataDxfId="709" headerRowBorderDxfId="710" tableBorderDxfId="708" totalsRowBorderDxfId="707">
  <autoFilter ref="AC6:AS44" xr:uid="{2A2B6BA6-0EAB-2349-A085-FD569408EC9D}"/>
  <tableColumns count="17">
    <tableColumn id="1" xr3:uid="{C25C46EE-18B7-234F-90BC-9CFAECF0D77B}" name="ZONE" totalsRowLabel="Total" dataDxfId="706" totalsRowDxfId="705"/>
    <tableColumn id="2" xr3:uid="{FF1D057E-CF59-234B-BE6D-5179D70CBEFE}" name="BASIS OF DESIGN _x000a_MANUFACTURER" dataDxfId="704" totalsRowDxfId="703"/>
    <tableColumn id="3" xr3:uid="{76C3F628-FC7A-644D-A84B-B7D2DF32CB78}" name="DESCRIPTION" dataDxfId="702" totalsRowDxfId="701"/>
    <tableColumn id="4" xr3:uid="{648F5A5B-AB00-7445-B77F-BC8AA4FAF8E5}" name="CFM" dataDxfId="700" totalsRowDxfId="699">
      <calculatedColumnFormula>SUMIF($B$7:$B$78,AC7,$S$7:$S$78)</calculatedColumnFormula>
    </tableColumn>
    <tableColumn id="5" xr3:uid="{B8C6F18E-27B7-5C47-A6AA-896E053D5DD5}" name="CAV INLET SIZE" dataDxfId="698" totalsRowDxfId="697">
      <calculatedColumnFormula>IFERROR((VLOOKUP(AF7,'DO NOT TOUCH'!$P$9:$Q$14,2,TRUE)),"TBD")</calculatedColumnFormula>
    </tableColumn>
    <tableColumn id="6" xr3:uid="{9B933B17-72C0-114F-B80C-4F0E9DEE45DA}" name="MAX TOTAL CAV PD _x000a_(IN W.G.)" dataDxfId="696" totalsRowDxfId="695">
      <calculatedColumnFormula>AH6</calculatedColumnFormula>
    </tableColumn>
    <tableColumn id="7" xr3:uid="{B18295A8-1F00-1048-BB1F-85CE741F6991}" name="EWT" dataDxfId="694" totalsRowDxfId="693">
      <calculatedColumnFormula>INPUT_OUTPUTS!$C$13</calculatedColumnFormula>
    </tableColumn>
    <tableColumn id="8" xr3:uid="{71AC2984-1F71-FE45-8BF4-5C296E523C25}" name="DESIGN _x000a_LWT" dataDxfId="692" totalsRowDxfId="691">
      <calculatedColumnFormula>INPUT_OUTPUTS!$C$14</calculatedColumnFormula>
    </tableColumn>
    <tableColumn id="9" xr3:uid="{ECBF8CE3-146D-7E4C-B125-10414FE35F41}" name="EAT" dataDxfId="690" totalsRowDxfId="689">
      <calculatedColumnFormula>AK6</calculatedColumnFormula>
    </tableColumn>
    <tableColumn id="10" xr3:uid="{15F58DEE-0A56-6E49-9C7C-E911663EA507}" name="DESIGN _x000a_LAT" dataDxfId="688" totalsRowDxfId="687">
      <calculatedColumnFormula>AL6</calculatedColumnFormula>
    </tableColumn>
    <tableColumn id="11" xr3:uid="{914895A5-B38D-0743-8A44-8F92020558DF}" name="MIN MBH" totalsRowFunction="sum" dataDxfId="686" totalsRowDxfId="685">
      <calculatedColumnFormula>MROUND((1.08*(AL7-AK7)*AF7)/1000,0.1)</calculatedColumnFormula>
    </tableColumn>
    <tableColumn id="12" xr3:uid="{CD0348BA-B462-F447-A201-4DC3F6D405EA}" name="AGPM" dataDxfId="684" totalsRowDxfId="683">
      <calculatedColumnFormula>(AM7*1000)/(500*(AI7-AJ7))</calculatedColumnFormula>
    </tableColumn>
    <tableColumn id="13" xr3:uid="{08FCAA37-BE69-A645-B7B4-97E57511637E}" name="GPM" totalsRowFunction="sum" dataDxfId="682" totalsRowDxfId="681">
      <calculatedColumnFormula>IF(AN7&lt;0.5,0.5,AN7)</calculatedColumnFormula>
    </tableColumn>
    <tableColumn id="14" xr3:uid="{36DECC85-96C7-1F40-8C0A-6358A371661E}" name="MAX WATER _x000a_PD (FT)" dataDxfId="680" totalsRowDxfId="679">
      <calculatedColumnFormula>AP6</calculatedColumnFormula>
    </tableColumn>
    <tableColumn id="15" xr3:uid="{40BE04EB-CA2B-BD46-A2A8-B5618F6EB628}" name="OPER _x000a_WEIGHT_x000a_(LBS)" dataDxfId="678" totalsRowDxfId="677">
      <calculatedColumnFormula>IFERROR((_xlfn.XLOOKUP(AG7,'DO NOT TOUCH'!$Q$9:$Q$14,'DO NOT TOUCH'!$R$9:$R$14,)),"TBD")</calculatedColumnFormula>
    </tableColumn>
    <tableColumn id="16" xr3:uid="{FCE60676-46C3-2C4E-9399-C8250EC74D56}" name="MTG _x000a_DETAIL" dataDxfId="676" totalsRowDxfId="675">
      <calculatedColumnFormula>INPUT_OUTPUTS!$C$16</calculatedColumnFormula>
    </tableColumn>
    <tableColumn id="17" xr3:uid="{F5AE1D75-89DB-1E44-A1ED-A1A5537714F6}" name="REMARKS" dataDxfId="674" totalsRowDxfId="673">
      <calculatedColumnFormula>AS6</calculatedColumnFormula>
    </tableColumn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F18" totalsRowCount="1" headerRowDxfId="540" dataDxfId="538" headerRowBorderDxfId="539" tableBorderDxfId="537">
  <autoFilter ref="A11:BF17" xr:uid="{E6D9D33A-2DE5-364A-B78C-5DD7A614D29B}"/>
  <tableColumns count="58">
    <tableColumn id="1" xr3:uid="{75084425-A44B-8E45-87AE-08AECD33E09D}" name="TAG" totalsRowLabel="Total" dataDxfId="536" totalsRowDxfId="207"/>
    <tableColumn id="2" xr3:uid="{C741F4EF-D022-3147-B8E2-8A68ED8EF0CC}" name="(CFM)" totalsRowFunction="sum" dataDxfId="535" totalsRowDxfId="206">
      <calculatedColumnFormula>'AHU 1'!AX2</calculatedColumnFormula>
    </tableColumn>
    <tableColumn id="3" xr3:uid="{C6A2D6A3-4809-A245-A511-1795421C653D}" name="SF ESP" dataDxfId="534" totalsRowDxfId="205"/>
    <tableColumn id="4" xr3:uid="{8F33E354-148B-E049-A9AB-2FEBF1D2ABCF}" name="(CFM)2" dataDxfId="533" totalsRowDxfId="204">
      <calculatedColumnFormula>'AHU 1'!AX2</calculatedColumnFormula>
    </tableColumn>
    <tableColumn id="5" xr3:uid="{484AF528-CB4D-ED45-8EAC-187579FFF5C8}" name="RF ESP" dataDxfId="532" totalsRowDxfId="203"/>
    <tableColumn id="6" xr3:uid="{44289BD7-7B7A-5040-A9C3-A81E708605BA}" name="(˚F db)" dataDxfId="531" totalsRowDxfId="202"/>
    <tableColumn id="7" xr3:uid="{A118C93B-9473-8340-A213-7536CC01FA69}" name="(˚F wb)" dataDxfId="530" totalsRowDxfId="201"/>
    <tableColumn id="8" xr3:uid="{BA4E1C0D-A98F-C94F-B5DE-2C36AC9D0BA3}" name="(CFM)3" dataDxfId="529" totalsRowDxfId="200">
      <calculatedColumnFormula>'AHU 1'!AY2</calculatedColumnFormula>
    </tableColumn>
    <tableColumn id="9" xr3:uid="{8E2A683D-7B4C-954E-A75A-56B4A8A15F0B}" name="(˚F db)4" dataDxfId="528" totalsRowDxfId="199">
      <calculatedColumnFormula>INPUT_OUTPUTS!$C$5</calculatedColumnFormula>
    </tableColumn>
    <tableColumn id="10" xr3:uid="{D83D5AD6-51F5-5E4B-BE3C-C238ECC50CFF}" name="(˚F wb)5" dataDxfId="527" totalsRowDxfId="198">
      <calculatedColumnFormula>INPUT_OUTPUTS!$C$6</calculatedColumnFormula>
    </tableColumn>
    <tableColumn id="11" xr3:uid="{58DDBF84-EFFA-734F-B069-FD929AE8505B}" name="(CFM)6" dataDxfId="526" totalsRowDxfId="197">
      <calculatedColumnFormula>Table7[[#This Row],[(CFM)3]]</calculatedColumnFormula>
    </tableColumn>
    <tableColumn id="12" xr3:uid="{7D7925B1-33E7-A84F-AAEC-67A01BBE986C}" name="(˚F db)7" dataDxfId="525" totalsRowDxfId="196">
      <calculatedColumnFormula>INPUT_OUTPUTS!$C$7</calculatedColumnFormula>
    </tableColumn>
    <tableColumn id="13" xr3:uid="{9E21E0BF-E9C5-C54C-9B8C-005C0935E109}" name="(˚F wb)8" dataDxfId="524" totalsRowDxfId="195">
      <calculatedColumnFormula>INPUT_OUTPUTS!$C$8</calculatedColumnFormula>
    </tableColumn>
    <tableColumn id="14" xr3:uid="{AC23D981-3B01-5147-97B6-3252A7FC953B}" name="(˚F db)9" dataDxfId="523" totalsRowDxfId="194">
      <calculatedColumnFormula>INPUT_OUTPUTS!$F$5</calculatedColumnFormula>
    </tableColumn>
    <tableColumn id="15" xr3:uid="{DB54E7DD-3A47-6447-A89B-94C85E52BE7D}" name="(CFM)10" dataDxfId="522" totalsRowDxfId="193">
      <calculatedColumnFormula>D12+H12-B12</calculatedColumnFormula>
    </tableColumn>
    <tableColumn id="16" xr3:uid="{4FEC2D7C-9758-744F-A9BF-FBA46547E062}" name="(˚F db)11" dataDxfId="521" totalsRowDxfId="192">
      <calculatedColumnFormula>F12*((D12-O12)/B12) + I12*(H12/B12)</calculatedColumnFormula>
    </tableColumn>
    <tableColumn id="17" xr3:uid="{B005BDD5-39CF-2B47-842F-C982BA9FC7E1}" name="(˚F wb)12" dataDxfId="520" totalsRowDxfId="191">
      <calculatedColumnFormula>TRUNC(G12*((D12-O12)/B12) + J12*(H12/B12),1)</calculatedColumnFormula>
    </tableColumn>
    <tableColumn id="18" xr3:uid="{5AC4E564-0F72-0E49-B041-B5DE3FD4DD18}" name="(h)" dataDxfId="519" totalsRowDxfId="190">
      <calculatedColumnFormula>VLOOKUP(FLOOR(Q12,1),'DO NOT TOUCH'!$A$7:$K$57,MATCH(ROUND((Q12-FLOOR(Q12,1)),1),'DO NOT TOUCH'!$A$6:$K$6,0),FALSE)</calculatedColumnFormula>
    </tableColumn>
    <tableColumn id="19" xr3:uid="{1CF6B834-F9E4-7943-9908-D52F6A59E930}" name="(˚F db)13" dataDxfId="518" totalsRowDxfId="189"/>
    <tableColumn id="20" xr3:uid="{069031AB-30B0-304F-BA24-44B4C6E6101C}" name="(˚F wb)14" dataDxfId="517" totalsRowDxfId="188"/>
    <tableColumn id="21" xr3:uid="{1EA24A2B-BE77-6945-9098-6C4501A9902F}" name="(h)15" dataDxfId="516" totalsRowDxfId="187">
      <calculatedColumnFormula>VLOOKUP(FLOOR(T12,1),'DO NOT TOUCH'!$A$7:$K$57,MATCH(ROUND((T12-FLOOR(T12,1)),1),'DO NOT TOUCH'!$A$6:$K$6,0),FALSE)</calculatedColumnFormula>
    </tableColumn>
    <tableColumn id="22" xr3:uid="{05796239-DA0D-E349-ADE3-8A1B87E96861}" name="(Btu/hr)" dataDxfId="515" totalsRowDxfId="186">
      <calculatedColumnFormula>B12*1.085*(P12-S12)</calculatedColumnFormula>
    </tableColumn>
    <tableColumn id="23" xr3:uid="{02C21CA2-732A-8C4C-93ED-640017544BD3}" name="(Btu/hr)16" dataDxfId="514" totalsRowDxfId="185">
      <calculatedColumnFormula>4.5*B12*(R12-U12)</calculatedColumnFormula>
    </tableColumn>
    <tableColumn id="24" xr3:uid="{80183150-6317-2C46-B9FB-5600693E1D79}" name="(Tons)" dataDxfId="513" totalsRowDxfId="184">
      <calculatedColumnFormula>W12/12000</calculatedColumnFormula>
    </tableColumn>
    <tableColumn id="25" xr3:uid="{8AF1DEDF-1446-A54C-A718-1F4A80DCED1F}" name="(˚F db)17" dataDxfId="512" totalsRowDxfId="183">
      <calculatedColumnFormula>INPUT_OUTPUTS!$C$11</calculatedColumnFormula>
    </tableColumn>
    <tableColumn id="26" xr3:uid="{30713AF6-10A7-A640-9A81-7C9C656F28C6}" name="(˚F db)18" dataDxfId="511" totalsRowDxfId="182">
      <calculatedColumnFormula>INPUT_OUTPUTS!$C$12</calculatedColumnFormula>
    </tableColumn>
    <tableColumn id="27" xr3:uid="{07E9B9A3-68BD-0040-B64A-445B4F7DB78B}" name="GPM" totalsRowFunction="sum" dataDxfId="510" totalsRowDxfId="181">
      <calculatedColumnFormula>W12/(500*(Z12-Y12))</calculatedColumnFormula>
    </tableColumn>
    <tableColumn id="28" xr3:uid="{63A1C04A-F0C1-344B-9C91-CDCBB09CC808}" name="(˚F db)19" dataDxfId="509" totalsRowDxfId="180">
      <calculatedColumnFormula>F12*((D12-O12)/B12) + L12*(H12/B12)</calculatedColumnFormula>
    </tableColumn>
    <tableColumn id="29" xr3:uid="{6B8C516D-DE70-BF40-8E5C-0B23062187E5}" name="(˚F wb)20" dataDxfId="508" totalsRowDxfId="179">
      <calculatedColumnFormula>G12*((D12-O12)/B12) + M12*(H12/B12)</calculatedColumnFormula>
    </tableColumn>
    <tableColumn id="30" xr3:uid="{045EE11E-9647-ED4C-9652-8752BBE74982}" name="(h)21" dataDxfId="507" totalsRowDxfId="178">
      <calculatedColumnFormula>VLOOKUP(FLOOR(AC12,1),'DO NOT TOUCH'!$A$7:$K$57,MATCH(ROUND((AC12-FLOOR(AC12,1)),1),'DO NOT TOUCH'!$A$6:$K$6,0),FALSE)</calculatedColumnFormula>
    </tableColumn>
    <tableColumn id="31" xr3:uid="{1C877888-78C7-FA4C-A946-1B9EDB031094}" name="(˚F db)22" dataDxfId="506" totalsRowDxfId="177">
      <calculatedColumnFormula>Table7[[#This Row],[(˚F db)13]]</calculatedColumnFormula>
    </tableColumn>
    <tableColumn id="32" xr3:uid="{5E7C32E8-28E9-554C-93A3-4ED479273F5C}" name="(˚F wb)23" dataDxfId="505" totalsRowDxfId="176">
      <calculatedColumnFormula>Table7[[#This Row],[(˚F wb)14]]</calculatedColumnFormula>
    </tableColumn>
    <tableColumn id="33" xr3:uid="{7EB81F19-A30A-5844-B465-95995C2169F1}" name="(h)24" dataDxfId="504" totalsRowDxfId="175">
      <calculatedColumnFormula>VLOOKUP(FLOOR(AF12,1),'DO NOT TOUCH'!$A$7:$K$57,MATCH(ROUND((AF12-FLOOR(AF12,1)),1),'DO NOT TOUCH'!$A$6:$K$6,0),FALSE)</calculatedColumnFormula>
    </tableColumn>
    <tableColumn id="34" xr3:uid="{B355558B-3486-9847-B0B8-723450137594}" name="(Btu/hr)25" dataDxfId="503" totalsRowDxfId="174"/>
    <tableColumn id="35" xr3:uid="{7A2C2E1E-1049-4241-8E5F-76BCC1035FE0}" name="(Btu/hr)26" dataDxfId="502" totalsRowDxfId="173"/>
    <tableColumn id="36" xr3:uid="{E80AE8D9-52CE-214F-8CAE-BBC7A25C1206}" name="(Btu/hr)27" dataDxfId="501" totalsRowDxfId="172">
      <calculatedColumnFormula>AI12+AH12</calculatedColumnFormula>
    </tableColumn>
    <tableColumn id="37" xr3:uid="{B86C10F8-CA05-8945-8F0F-F9E339D5FA04}" name="(Btu/hr)28" dataDxfId="500" totalsRowDxfId="171">
      <calculatedColumnFormula>B12*1.085*(AB12-AE12)</calculatedColumnFormula>
    </tableColumn>
    <tableColumn id="38" xr3:uid="{3C9101C2-66E5-5844-8571-55FD8B0FA8E4}" name="(Btu/hr)29" dataDxfId="499" totalsRowDxfId="170">
      <calculatedColumnFormula>4.5*B12*(AD12-AG12)</calculatedColumnFormula>
    </tableColumn>
    <tableColumn id="39" xr3:uid="{611DF507-C49C-8E40-9B22-204394B4D484}" name="(Tons)30" dataDxfId="498" totalsRowDxfId="169">
      <calculatedColumnFormula>AL12/12000</calculatedColumnFormula>
    </tableColumn>
    <tableColumn id="40" xr3:uid="{8D69DAB9-C665-1C40-8BEE-2F67013BDA9E}" name="(˚F db)31" dataDxfId="497" totalsRowDxfId="168">
      <calculatedColumnFormula>INPUT_OUTPUTS!$C$11</calculatedColumnFormula>
    </tableColumn>
    <tableColumn id="41" xr3:uid="{2C7A8B9E-09E2-C245-8AD4-9B511603B988}" name="(˚F db)32" dataDxfId="496" totalsRowDxfId="167">
      <calculatedColumnFormula>INPUT_OUTPUTS!$C$12</calculatedColumnFormula>
    </tableColumn>
    <tableColumn id="42" xr3:uid="{97B72D8E-BA89-4E4A-B5D1-F02C61433D68}" name="GPM33" totalsRowFunction="sum" dataDxfId="495" totalsRowDxfId="166">
      <calculatedColumnFormula>AL12/(500*(AO12-AN12))</calculatedColumnFormula>
    </tableColumn>
    <tableColumn id="43" xr3:uid="{EE7A438B-ECC2-DF4B-9129-EA55728EFC2E}" name="(Tons)34" totalsRowFunction="sum" dataDxfId="494" totalsRowDxfId="165">
      <calculatedColumnFormula>MAX(AM12,X12)</calculatedColumnFormula>
    </tableColumn>
    <tableColumn id="44" xr3:uid="{B68CC7E9-570D-A84E-8670-D3C2DEA54479}" name="(CFM)35" dataDxfId="493" totalsRowDxfId="164">
      <calculatedColumnFormula>B12/AM12</calculatedColumnFormula>
    </tableColumn>
    <tableColumn id="59" xr3:uid="{2F2BA6E3-EE55-BA45-94DB-4A9361068B22}" name="GPM MAX" totalsRowFunction="sum" dataDxfId="492" totalsRowDxfId="163">
      <calculatedColumnFormula>MAX(Table7[[#This Row],[GPM33]],Table7[[#This Row],[GPM]])</calculatedColumnFormula>
    </tableColumn>
    <tableColumn id="45" xr3:uid="{033D6B36-8B19-EB4B-A1E7-E7585C21489B}" name="(CFM)36" dataDxfId="491" totalsRowDxfId="162">
      <calculatedColumnFormula>B12</calculatedColumnFormula>
    </tableColumn>
    <tableColumn id="46" xr3:uid="{940C5796-789D-5B4A-9FCD-445173CBE38B}" name="(˚F db)37" dataDxfId="490" totalsRowDxfId="161">
      <calculatedColumnFormula>F12*((D12-O12)/B12) + N12*(H12/B12)</calculatedColumnFormula>
    </tableColumn>
    <tableColumn id="47" xr3:uid="{33252E21-E95C-E84B-AA5C-160823174238}" name="(˚F db)38" dataDxfId="489" totalsRowDxfId="160"/>
    <tableColumn id="48" xr3:uid="{F5FF0CC7-9CD6-DC4B-9AC8-6CF9532FE75F}" name="(MBH)" totalsRowFunction="sum" dataDxfId="488" totalsRowDxfId="159">
      <calculatedColumnFormula>AT12*1.085*(AV12-AU12)/1000</calculatedColumnFormula>
    </tableColumn>
    <tableColumn id="49" xr3:uid="{41191CD7-30B2-EE4D-850D-B2169746F6D6}" name="(˚F db)39" dataDxfId="487" totalsRowDxfId="158">
      <calculatedColumnFormula>INPUT_OUTPUTS!$C$13</calculatedColumnFormula>
    </tableColumn>
    <tableColumn id="50" xr3:uid="{4D3CE10E-9198-0E44-849F-6C7B4A36B8CE}" name="(˚F db)40" dataDxfId="486" totalsRowDxfId="157">
      <calculatedColumnFormula>INPUT_OUTPUTS!$C$14</calculatedColumnFormula>
    </tableColumn>
    <tableColumn id="51" xr3:uid="{01E8F924-565C-4D42-9E39-E87365245FFA}" name="GPM41" totalsRowFunction="sum" dataDxfId="485" totalsRowDxfId="156">
      <calculatedColumnFormula>(AW12*1000)/(500*(AX12-AY12))</calculatedColumnFormula>
    </tableColumn>
    <tableColumn id="52" xr3:uid="{682AB22E-7AB3-E544-B158-3A216817586F}" name="LBS/HR" dataDxfId="484" totalsRowDxfId="155"/>
    <tableColumn id="53" xr3:uid="{9FA51183-6547-7247-B2B7-FE2572F6FDB0}" name="LBS/HR42" dataDxfId="483" totalsRowDxfId="154">
      <calculatedColumnFormula>BA12*(K12/1000)</calculatedColumnFormula>
    </tableColumn>
    <tableColumn id="54" xr3:uid="{D0D7EAE6-3EA2-E244-8B8D-01899554629D}" name="(˚F db)43" dataDxfId="482" totalsRowDxfId="153"/>
    <tableColumn id="56" xr3:uid="{0D1DB506-119B-7043-BE7D-652B0413152C}" name="(˚F db)45" dataDxfId="481" totalsRowDxfId="152"/>
    <tableColumn id="60" xr3:uid="{3575FFB4-394C-DC4E-9487-884A377EB86A}" name="(˚F db)46" totalsRowFunction="sum" dataDxfId="480" totalsRowDxfId="151">
      <calculatedColumnFormula>AHU1_CAV_SCHEDULE[[#Totals],[GPM]]</calculatedColumnFormula>
    </tableColumn>
    <tableColumn id="57" xr3:uid="{C012C8FF-93AB-B94F-BC98-7474F441DD8E}" name="(mbh)46" totalsRowFunction="sum" dataDxfId="479" totalsRowDxfId="150">
      <calculatedColumnFormula>AHU1_CAV_SCHEDULE[[#Totals],[MIN MBH]]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DDBD82AE-C8F4-3D4C-9167-10A6463EA45D}">
    <text>Import zone from Revit</text>
  </threadedComment>
  <threadedComment ref="C6" dT="2023-01-20T01:59:19.81" personId="{4EB4B6F3-1969-DB48-B081-3832009A33BA}" id="{875D9AE4-27EA-7148-928B-1A52D5B56735}">
    <text>Import room from Revit</text>
  </threadedComment>
  <threadedComment ref="D6" dT="2023-01-20T01:59:37.35" personId="{4EB4B6F3-1969-DB48-B081-3832009A33BA}" id="{362B3BD9-EA2F-E048-A252-80575E4BA5C1}">
    <text>Import room number from Revit</text>
  </threadedComment>
  <threadedComment ref="E6" dT="2023-01-20T01:59:56.66" personId="{4EB4B6F3-1969-DB48-B081-3832009A33BA}" id="{D32447AF-E888-6D40-9EF5-6B3BE0554C91}">
    <text>Import Area from Revit</text>
  </threadedComment>
  <threadedComment ref="F6" dT="2023-01-20T02:00:11.73" personId="{4EB4B6F3-1969-DB48-B081-3832009A33BA}" id="{1932F005-E5DD-8949-B5C9-6FDEB8B88A22}">
    <text>Import height from Revit</text>
  </threadedComment>
  <threadedComment ref="S6" dT="2023-01-20T02:57:22.76" personId="{4EB4B6F3-1969-DB48-B081-3832009A33BA}" id="{A8F52013-F732-5E4E-9136-646B105AF9F9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0F7418DC-4934-974D-ADA3-005A9F18D45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3BB204D3-C328-AC4A-92B0-97B28C18BD87}">
    <text xml:space="preserve">Usually automatic, but check and edit as necessary. </text>
  </threadedComment>
  <threadedComment ref="Y6" dT="2023-01-20T02:57:47.98" personId="{4EB4B6F3-1969-DB48-B081-3832009A33BA}" id="{B3EC2ACE-3B1B-7349-B173-7A5A8D6D6450}">
    <text>All cells in this column must be green</text>
  </threadedComment>
  <threadedComment ref="AC6" dT="2023-01-20T03:02:14.75" personId="{4EB4B6F3-1969-DB48-B081-3832009A33BA}" id="{C933BE8F-67EB-5D4A-BED8-AE9377D2563D}">
    <text>Increase or decrease number of rows in this table to match the number of zones.</text>
  </threadedComment>
  <threadedComment ref="P80" dT="2023-01-20T02:10:44.44" personId="{4EB4B6F3-1969-DB48-B081-3832009A33BA}" id="{E6EB6E46-87C2-3842-82EC-7B6320B053BB}">
    <text xml:space="preserve">This is a manual number added here when the percent outside air needs to be increased. </text>
  </threadedComment>
  <threadedComment ref="V81" dT="2023-01-20T04:37:46.99" personId="{4EB4B6F3-1969-DB48-B081-3832009A33BA}" id="{24F18F4B-2CFB-7042-9BC8-9669104B5E07}">
    <text>This is how much the building is positive or negative.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FDC006C2-572A-9A4A-BECF-70EE873AB92F}">
    <text>Import zone from Revit</text>
  </threadedComment>
  <threadedComment ref="C6" dT="2023-01-20T01:59:19.81" personId="{4EB4B6F3-1969-DB48-B081-3832009A33BA}" id="{F73EAE09-E266-C146-AE12-4FE3D52D5264}">
    <text>Import room from Revit</text>
  </threadedComment>
  <threadedComment ref="D6" dT="2023-01-20T01:59:37.35" personId="{4EB4B6F3-1969-DB48-B081-3832009A33BA}" id="{D8E9BB69-ADEC-DE40-B9D0-2C45BBE11980}">
    <text>Import room number from Revit</text>
  </threadedComment>
  <threadedComment ref="E6" dT="2023-01-20T01:59:56.66" personId="{4EB4B6F3-1969-DB48-B081-3832009A33BA}" id="{13652258-8D47-2F45-944C-1BE34E2EFBAB}">
    <text>Import Area from Revit</text>
  </threadedComment>
  <threadedComment ref="F6" dT="2023-01-20T02:00:11.73" personId="{4EB4B6F3-1969-DB48-B081-3832009A33BA}" id="{F88E1B68-E5FC-8A43-AD2C-0DA1B4D61207}">
    <text>Import height from Revit</text>
  </threadedComment>
  <threadedComment ref="S6" dT="2023-01-20T02:57:22.76" personId="{4EB4B6F3-1969-DB48-B081-3832009A33BA}" id="{69F22033-AE0C-2448-B829-E8D728F9D3DD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B96FD918-2090-9C46-BE82-2A53D855965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0B2915EF-F940-F24D-BAB6-1D79BA0963D8}">
    <text xml:space="preserve">Usually automatic, but check and edit as necessary. </text>
  </threadedComment>
  <threadedComment ref="Y6" dT="2023-01-20T02:57:47.98" personId="{4EB4B6F3-1969-DB48-B081-3832009A33BA}" id="{94C3A7AD-2265-B344-B052-C5FECA2DD46C}">
    <text>All cells in this column must be green</text>
  </threadedComment>
  <threadedComment ref="AC6" dT="2023-01-20T03:02:14.75" personId="{4EB4B6F3-1969-DB48-B081-3832009A33BA}" id="{37B832F3-3F20-4B41-B6A6-9CE0491B53BB}">
    <text>Increase or decrease number of rows in this table to match the number of zones.</text>
  </threadedComment>
  <threadedComment ref="P80" dT="2023-01-20T02:10:44.44" personId="{4EB4B6F3-1969-DB48-B081-3832009A33BA}" id="{D32E6257-936E-D748-98B9-62D94B975F96}">
    <text xml:space="preserve">This is a manual number added here when the percent outside air needs to be increased. </text>
  </threadedComment>
  <threadedComment ref="V81" dT="2023-01-20T04:37:46.99" personId="{4EB4B6F3-1969-DB48-B081-3832009A33BA}" id="{C0819507-112C-584A-806B-785D603EB79B}">
    <text>This is how much the building is positive or negative.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820D7AB9-7C62-DF4D-B9AD-B325BCB0A0C3}">
    <text>Import zone from Revit</text>
  </threadedComment>
  <threadedComment ref="C6" dT="2023-01-20T01:59:19.81" personId="{4EB4B6F3-1969-DB48-B081-3832009A33BA}" id="{411A101D-427A-A541-8506-FD67AB396CB7}">
    <text>Import room from Revit</text>
  </threadedComment>
  <threadedComment ref="D6" dT="2023-01-20T01:59:37.35" personId="{4EB4B6F3-1969-DB48-B081-3832009A33BA}" id="{52606D34-FFBA-1041-8656-7B0F24736199}">
    <text>Import room number from Revit</text>
  </threadedComment>
  <threadedComment ref="E6" dT="2023-01-20T01:59:56.66" personId="{4EB4B6F3-1969-DB48-B081-3832009A33BA}" id="{9ACD77D5-9D46-404F-B6A0-FF4BB665D13D}">
    <text>Import Area from Revit</text>
  </threadedComment>
  <threadedComment ref="F6" dT="2023-01-20T02:00:11.73" personId="{4EB4B6F3-1969-DB48-B081-3832009A33BA}" id="{F2D3686E-C7DD-794C-91E4-4012D05DA153}">
    <text>Import height from Revit</text>
  </threadedComment>
  <threadedComment ref="S6" dT="2023-01-20T02:57:22.76" personId="{4EB4B6F3-1969-DB48-B081-3832009A33BA}" id="{BDA592C7-4941-534F-9A5B-B77F6301146D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8C7ABB0E-B73A-B04F-8B23-815314C5D476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6568FBD8-2FEB-2C4F-80FA-464E8BF37BAC}">
    <text xml:space="preserve">Usually automatic, but check and edit as necessary. </text>
  </threadedComment>
  <threadedComment ref="Y6" dT="2023-01-20T02:57:47.98" personId="{4EB4B6F3-1969-DB48-B081-3832009A33BA}" id="{4BE22496-2E9E-744D-A86B-E8D46148E169}">
    <text>All cells in this column must be green</text>
  </threadedComment>
  <threadedComment ref="AC6" dT="2023-01-20T03:02:14.75" personId="{4EB4B6F3-1969-DB48-B081-3832009A33BA}" id="{C595C093-986F-2B49-8EF9-E8E4A18CE8E6}">
    <text>Increase or decrease number of rows in this table to match the number of zones.</text>
  </threadedComment>
  <threadedComment ref="P80" dT="2023-01-20T02:10:44.44" personId="{4EB4B6F3-1969-DB48-B081-3832009A33BA}" id="{DA73F27D-6383-1149-AF24-6F3F3E144784}">
    <text xml:space="preserve">This is a manual number added here when the percent outside air needs to be increased. </text>
  </threadedComment>
  <threadedComment ref="V81" dT="2023-01-20T04:37:46.99" personId="{4EB4B6F3-1969-DB48-B081-3832009A33BA}" id="{15D8C2A1-00CD-1849-9566-D07DEE0ADC70}">
    <text>This is how much the building is positive or negative.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1D1DD6DD-C4F7-044A-B27B-6BD479B43714}">
    <text>Import zone from Revit</text>
  </threadedComment>
  <threadedComment ref="C6" dT="2023-01-20T01:59:19.81" personId="{4EB4B6F3-1969-DB48-B081-3832009A33BA}" id="{6FEC423F-2790-F247-AFCC-918FF0A36C5F}">
    <text>Import room from Revit</text>
  </threadedComment>
  <threadedComment ref="D6" dT="2023-01-20T01:59:37.35" personId="{4EB4B6F3-1969-DB48-B081-3832009A33BA}" id="{6F8B68B0-CBE6-0441-BE2F-3C7B029F72E6}">
    <text>Import room number from Revit</text>
  </threadedComment>
  <threadedComment ref="E6" dT="2023-01-20T01:59:56.66" personId="{4EB4B6F3-1969-DB48-B081-3832009A33BA}" id="{DAD17707-B1D0-1343-8BEF-E01F539AD5E7}">
    <text>Import Area from Revit</text>
  </threadedComment>
  <threadedComment ref="F6" dT="2023-01-20T02:00:11.73" personId="{4EB4B6F3-1969-DB48-B081-3832009A33BA}" id="{CB3BB370-A901-5841-A5F5-94DB2FE35514}">
    <text>Import height from Revit</text>
  </threadedComment>
  <threadedComment ref="S6" dT="2023-01-20T02:57:22.76" personId="{4EB4B6F3-1969-DB48-B081-3832009A33BA}" id="{17E7086A-1829-454A-AE77-AD84B9247BD7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3C654B64-6AA3-6B47-9922-D65C62938B6D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3A4C8EA3-66E5-5243-BA40-109E4A0D378C}">
    <text xml:space="preserve">Usually automatic, but check and edit as necessary. </text>
  </threadedComment>
  <threadedComment ref="Y6" dT="2023-01-20T02:57:47.98" personId="{4EB4B6F3-1969-DB48-B081-3832009A33BA}" id="{A1B50D6A-872C-E144-8816-44FEF62C6B8A}">
    <text>All cells in this column must be green</text>
  </threadedComment>
  <threadedComment ref="AC6" dT="2023-01-20T03:02:14.75" personId="{4EB4B6F3-1969-DB48-B081-3832009A33BA}" id="{E08D4891-3910-C243-AE04-EEBC90DD7213}">
    <text>Increase or decrease number of rows in this table to match the number of zones.</text>
  </threadedComment>
  <threadedComment ref="P80" dT="2023-01-20T02:10:44.44" personId="{4EB4B6F3-1969-DB48-B081-3832009A33BA}" id="{C0104D27-D377-F342-AA8D-4A3AE99F6BA7}">
    <text xml:space="preserve">This is a manual number added here when the percent outside air needs to be increased. </text>
  </threadedComment>
  <threadedComment ref="V81" dT="2023-01-20T04:37:46.99" personId="{4EB4B6F3-1969-DB48-B081-3832009A33BA}" id="{BE3EF7DE-5130-B344-877E-B0A4310B2A72}">
    <text>This is how much the building is positive or negative.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24B8E27E-851F-7648-A891-4A9A73C9A133}">
    <text>Import zone from Revit</text>
  </threadedComment>
  <threadedComment ref="C6" dT="2023-01-20T01:59:19.81" personId="{4EB4B6F3-1969-DB48-B081-3832009A33BA}" id="{2DEDD307-6F07-AA41-B451-34245F3FD5A4}">
    <text>Import room from Revit</text>
  </threadedComment>
  <threadedComment ref="D6" dT="2023-01-20T01:59:37.35" personId="{4EB4B6F3-1969-DB48-B081-3832009A33BA}" id="{F54F573E-CEC1-8D42-BCEB-29FB2D660F29}">
    <text>Import room number from Revit</text>
  </threadedComment>
  <threadedComment ref="E6" dT="2023-01-20T01:59:56.66" personId="{4EB4B6F3-1969-DB48-B081-3832009A33BA}" id="{A03F15D7-A93D-584F-A706-C2FC598158BC}">
    <text>Import Area from Revit</text>
  </threadedComment>
  <threadedComment ref="F6" dT="2023-01-20T02:00:11.73" personId="{4EB4B6F3-1969-DB48-B081-3832009A33BA}" id="{7427EA82-27B9-5A49-B337-2E8A242EEB92}">
    <text>Import height from Revit</text>
  </threadedComment>
  <threadedComment ref="S6" dT="2023-01-20T02:57:22.76" personId="{4EB4B6F3-1969-DB48-B081-3832009A33BA}" id="{CD868D3D-DC67-A443-9F92-788B0853B713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8C47B0BF-151F-1040-AA3E-76AB4B6A753F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AE6B90B0-991F-3D48-8B86-9EFAC05C1381}">
    <text xml:space="preserve">Usually automatic, but check and edit as necessary. </text>
  </threadedComment>
  <threadedComment ref="Y6" dT="2023-01-20T02:57:47.98" personId="{4EB4B6F3-1969-DB48-B081-3832009A33BA}" id="{640DA661-4425-624B-955A-1FD710C15FD4}">
    <text>All cells in this column must be green</text>
  </threadedComment>
  <threadedComment ref="AC6" dT="2023-01-20T03:02:14.75" personId="{4EB4B6F3-1969-DB48-B081-3832009A33BA}" id="{C616BAD9-7AFC-034E-88DA-02E8A6FFBE14}">
    <text>Increase or decrease number of rows in this table to match the number of zones.</text>
  </threadedComment>
  <threadedComment ref="P80" dT="2023-01-20T02:10:44.44" personId="{4EB4B6F3-1969-DB48-B081-3832009A33BA}" id="{50D019F3-C3DF-4E45-BB6B-8F8BA3DF75C5}">
    <text xml:space="preserve">This is a manual number added here when the percent outside air needs to be increased. </text>
  </threadedComment>
  <threadedComment ref="V81" dT="2023-01-20T04:37:46.99" personId="{4EB4B6F3-1969-DB48-B081-3832009A33BA}" id="{51BB8385-9878-1D41-8F2F-F3674A7FDA22}">
    <text>This is how much the building is positive or negative.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EFC3FBC4-B92A-9D4A-8B9E-EE8E23C1E4C1}">
    <text>Import zone from Revit</text>
  </threadedComment>
  <threadedComment ref="C6" dT="2023-01-20T01:59:19.81" personId="{4EB4B6F3-1969-DB48-B081-3832009A33BA}" id="{31F0BF9F-A85F-A74D-8A7C-F7817BA32C24}">
    <text>Import room from Revit</text>
  </threadedComment>
  <threadedComment ref="D6" dT="2023-01-20T01:59:37.35" personId="{4EB4B6F3-1969-DB48-B081-3832009A33BA}" id="{9BDE5D07-3B9D-1E47-B0D9-4129AE3A2C9D}">
    <text>Import room number from Revit</text>
  </threadedComment>
  <threadedComment ref="E6" dT="2023-01-20T01:59:56.66" personId="{4EB4B6F3-1969-DB48-B081-3832009A33BA}" id="{8E0DD624-C3A0-C447-A64A-CEA6891BF4FC}">
    <text>Import Area from Revit</text>
  </threadedComment>
  <threadedComment ref="F6" dT="2023-01-20T02:00:11.73" personId="{4EB4B6F3-1969-DB48-B081-3832009A33BA}" id="{31A1DF0B-6AB6-154D-8BA4-DD537385BAAD}">
    <text>Import height from Revit</text>
  </threadedComment>
  <threadedComment ref="S6" dT="2023-01-20T02:57:22.76" personId="{4EB4B6F3-1969-DB48-B081-3832009A33BA}" id="{CA65C9B6-C4C1-C547-89B1-782ECE26E600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F8F7EB67-EC7B-E949-9DCF-524BFDA3C0F4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876A3876-16E4-1A43-85B6-6C982D71D0D0}">
    <text xml:space="preserve">Usually automatic, but check and edit as necessary. </text>
  </threadedComment>
  <threadedComment ref="Y6" dT="2023-01-20T02:57:47.98" personId="{4EB4B6F3-1969-DB48-B081-3832009A33BA}" id="{B9C857D7-7FED-D14F-BAC5-F9893DCB7476}">
    <text>All cells in this column must be green</text>
  </threadedComment>
  <threadedComment ref="AC6" dT="2023-01-20T03:02:14.75" personId="{4EB4B6F3-1969-DB48-B081-3832009A33BA}" id="{8816C565-63A8-8A4C-A701-5BCB87D535DF}">
    <text>Increase or decrease number of rows in this table to match the number of zones.</text>
  </threadedComment>
  <threadedComment ref="P80" dT="2023-01-20T02:10:44.44" personId="{4EB4B6F3-1969-DB48-B081-3832009A33BA}" id="{BAC273BE-0EFE-154D-88BB-BDF51F39726A}">
    <text xml:space="preserve">This is a manual number added here when the percent outside air needs to be increased. </text>
  </threadedComment>
  <threadedComment ref="V81" dT="2023-01-20T04:37:46.99" personId="{4EB4B6F3-1969-DB48-B081-3832009A33BA}" id="{02E290C1-8966-F64B-8155-4CFF6F2C6B1C}">
    <text>This is how much the building is positive or negative.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  <threadedComment ref="P80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V81" dT="2023-01-20T04:37:46.99" personId="{4EB4B6F3-1969-DB48-B081-3832009A33BA}" id="{5053F419-E298-2841-9E46-452F68294ACC}">
    <text>This is how much the building is positive or negative.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  <threadedComment ref="BA12" dT="2022-09-20T22:32:15.58" personId="{F37BE4D7-C0F5-405A-A860-1164F50E938E}" id="{F2D31235-4F3A-43BA-8D0F-AFF518BEBF36}">
    <text>BASED ON WINTER OA AT 50% AND INDOOR AT 40% HUMIDITY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5.xml"/><Relationship Id="rId4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6.xml"/><Relationship Id="rId4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7.xml"/><Relationship Id="rId4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Relationship Id="rId6" Type="http://schemas.microsoft.com/office/2017/10/relationships/threadedComment" Target="../threadedComments/threadedComment7.xml"/><Relationship Id="rId5" Type="http://schemas.openxmlformats.org/officeDocument/2006/relationships/comments" Target="../comments8.xml"/><Relationship Id="rId4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microsoft.com/office/2017/10/relationships/threadedComment" Target="../threadedComments/threadedComment8.xml"/><Relationship Id="rId4" Type="http://schemas.openxmlformats.org/officeDocument/2006/relationships/ctrlProp" Target="../ctrlProps/ctrlProp2.xml"/><Relationship Id="rId9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/>
  <dimension ref="B1:L16"/>
  <sheetViews>
    <sheetView tabSelected="1" zoomScale="177" workbookViewId="0">
      <selection activeCell="H22" sqref="H22"/>
    </sheetView>
  </sheetViews>
  <sheetFormatPr baseColWidth="10" defaultColWidth="8.83203125" defaultRowHeight="13"/>
  <cols>
    <col min="2" max="2" width="14.33203125" bestFit="1" customWidth="1"/>
    <col min="3" max="3" width="8.6640625" bestFit="1" customWidth="1"/>
    <col min="4" max="4" width="6.5" bestFit="1" customWidth="1"/>
    <col min="5" max="5" width="15.6640625" bestFit="1" customWidth="1"/>
    <col min="6" max="6" width="5" bestFit="1" customWidth="1"/>
    <col min="7" max="7" width="6.5" bestFit="1" customWidth="1"/>
    <col min="10" max="10" width="11" bestFit="1" customWidth="1"/>
  </cols>
  <sheetData>
    <row r="1" spans="2:12">
      <c r="B1" s="216" t="s">
        <v>376</v>
      </c>
      <c r="C1" s="216"/>
      <c r="D1" s="216"/>
      <c r="J1" s="216" t="s">
        <v>378</v>
      </c>
      <c r="K1" s="216"/>
      <c r="L1" s="216"/>
    </row>
    <row r="2" spans="2:12">
      <c r="B2" s="217" t="s">
        <v>307</v>
      </c>
      <c r="C2" s="217"/>
      <c r="D2" s="217"/>
      <c r="E2" s="217"/>
      <c r="F2" s="217"/>
      <c r="G2" s="217"/>
    </row>
    <row r="3" spans="2:12">
      <c r="B3" s="14"/>
      <c r="D3" s="17"/>
      <c r="E3" s="17"/>
      <c r="F3" s="14"/>
    </row>
    <row r="4" spans="2:12">
      <c r="B4" s="216" t="s">
        <v>66</v>
      </c>
      <c r="C4" s="216"/>
      <c r="D4" s="216"/>
      <c r="E4" s="216" t="s">
        <v>67</v>
      </c>
      <c r="F4" s="216"/>
      <c r="G4" s="216"/>
      <c r="J4" s="171" t="s">
        <v>379</v>
      </c>
      <c r="K4" s="173">
        <f>Table7[[#Totals],[(Tons)34]]</f>
        <v>1958.9437500000004</v>
      </c>
      <c r="L4" s="171" t="s">
        <v>380</v>
      </c>
    </row>
    <row r="5" spans="2:12">
      <c r="B5" s="218" t="s">
        <v>68</v>
      </c>
      <c r="C5" s="169">
        <v>93.1</v>
      </c>
      <c r="D5" s="168" t="s">
        <v>9</v>
      </c>
      <c r="E5" s="218" t="s">
        <v>54</v>
      </c>
      <c r="F5" s="219">
        <v>38.9</v>
      </c>
      <c r="G5" s="218" t="s">
        <v>69</v>
      </c>
      <c r="J5" s="171" t="s">
        <v>383</v>
      </c>
      <c r="K5" s="173">
        <f>Table7[[#Totals],[GPM MAX]]</f>
        <v>3358.1892857142857</v>
      </c>
      <c r="L5" s="171" t="s">
        <v>384</v>
      </c>
    </row>
    <row r="6" spans="2:12">
      <c r="B6" s="218"/>
      <c r="C6" s="169">
        <v>71</v>
      </c>
      <c r="D6" s="168" t="s">
        <v>32</v>
      </c>
      <c r="E6" s="218"/>
      <c r="F6" s="220"/>
      <c r="G6" s="218"/>
      <c r="J6" s="171" t="s">
        <v>381</v>
      </c>
      <c r="K6" s="172">
        <f>Table7[[#Totals],[(mbh)46]]</f>
        <v>0</v>
      </c>
      <c r="L6" s="171" t="s">
        <v>382</v>
      </c>
    </row>
    <row r="7" spans="2:12">
      <c r="B7" s="218" t="s">
        <v>389</v>
      </c>
      <c r="C7" s="170">
        <v>80.400000000000006</v>
      </c>
      <c r="D7" s="168" t="s">
        <v>69</v>
      </c>
      <c r="E7" s="218" t="s">
        <v>91</v>
      </c>
      <c r="F7" s="169">
        <v>57.2</v>
      </c>
      <c r="G7" s="168" t="s">
        <v>69</v>
      </c>
      <c r="J7" s="171" t="s">
        <v>385</v>
      </c>
      <c r="K7" s="172">
        <f>Table7[[#Totals],[(˚F db)46]]</f>
        <v>114</v>
      </c>
      <c r="L7" s="171" t="s">
        <v>384</v>
      </c>
    </row>
    <row r="8" spans="2:12">
      <c r="B8" s="218"/>
      <c r="C8" s="170">
        <v>68.900000000000006</v>
      </c>
      <c r="D8" s="168" t="s">
        <v>32</v>
      </c>
      <c r="E8" s="218"/>
      <c r="F8" s="169">
        <v>12.7</v>
      </c>
      <c r="G8" s="168" t="s">
        <v>70</v>
      </c>
      <c r="J8" s="171"/>
      <c r="K8" s="171"/>
      <c r="L8" s="171"/>
    </row>
    <row r="9" spans="2:12">
      <c r="B9" s="14"/>
      <c r="D9" s="17"/>
      <c r="E9" s="17"/>
      <c r="J9" s="171"/>
      <c r="K9" s="171"/>
      <c r="L9" s="171"/>
    </row>
    <row r="10" spans="2:12">
      <c r="B10" s="216" t="s">
        <v>377</v>
      </c>
      <c r="C10" s="216"/>
      <c r="D10" s="216"/>
    </row>
    <row r="11" spans="2:12">
      <c r="B11" s="164" t="s">
        <v>308</v>
      </c>
      <c r="C11" s="165">
        <v>42</v>
      </c>
      <c r="D11" s="166" t="s">
        <v>309</v>
      </c>
    </row>
    <row r="12" spans="2:12">
      <c r="B12" s="164" t="s">
        <v>310</v>
      </c>
      <c r="C12" s="165">
        <v>56</v>
      </c>
      <c r="D12" s="166" t="s">
        <v>309</v>
      </c>
    </row>
    <row r="13" spans="2:12">
      <c r="B13" s="164" t="s">
        <v>311</v>
      </c>
      <c r="C13" s="165">
        <v>140</v>
      </c>
      <c r="D13" s="166" t="s">
        <v>309</v>
      </c>
    </row>
    <row r="14" spans="2:12">
      <c r="B14" s="164" t="s">
        <v>312</v>
      </c>
      <c r="C14" s="165">
        <v>100</v>
      </c>
      <c r="D14" s="166" t="s">
        <v>309</v>
      </c>
    </row>
    <row r="15" spans="2:12">
      <c r="B15" s="164" t="s">
        <v>313</v>
      </c>
      <c r="C15" s="167">
        <v>1.2</v>
      </c>
      <c r="D15" s="166" t="s">
        <v>314</v>
      </c>
    </row>
    <row r="16" spans="2:12">
      <c r="B16" s="164" t="s">
        <v>318</v>
      </c>
      <c r="C16" s="167" t="s">
        <v>319</v>
      </c>
      <c r="D16" s="166" t="s">
        <v>299</v>
      </c>
    </row>
  </sheetData>
  <sheetProtection sheet="1" objects="1" scenarios="1"/>
  <mergeCells count="12">
    <mergeCell ref="B1:D1"/>
    <mergeCell ref="B10:D10"/>
    <mergeCell ref="J1:L1"/>
    <mergeCell ref="B2:G2"/>
    <mergeCell ref="E4:G4"/>
    <mergeCell ref="B7:B8"/>
    <mergeCell ref="B4:D4"/>
    <mergeCell ref="B5:B6"/>
    <mergeCell ref="G5:G6"/>
    <mergeCell ref="E5:E6"/>
    <mergeCell ref="E7:E8"/>
    <mergeCell ref="F5:F6"/>
  </mergeCell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reate_paragraph">
                <anchor moveWithCells="1" sizeWithCells="1">
                  <from>
                    <xdr:col>9</xdr:col>
                    <xdr:colOff>406400</xdr:colOff>
                    <xdr:row>13</xdr:row>
                    <xdr:rowOff>12700</xdr:rowOff>
                  </from>
                  <to>
                    <xdr:col>11</xdr:col>
                    <xdr:colOff>419100</xdr:colOff>
                    <xdr:row>15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1:BB104"/>
  <sheetViews>
    <sheetView showGridLines="0" zoomScale="62" zoomScaleNormal="69" zoomScaleSheetLayoutView="50" zoomScalePageLayoutView="80" workbookViewId="0">
      <selection activeCell="J51" sqref="J51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3" bestFit="1" customWidth="1"/>
    <col min="5" max="5" width="16" style="15" bestFit="1" customWidth="1"/>
    <col min="6" max="6" width="9.83203125" style="15" bestFit="1" customWidth="1"/>
    <col min="7" max="7" width="12.6640625" bestFit="1" customWidth="1"/>
    <col min="8" max="8" width="11.5" style="18" bestFit="1" customWidth="1"/>
    <col min="9" max="10" width="7.6640625" customWidth="1"/>
    <col min="11" max="11" width="11.83203125" style="1" customWidth="1"/>
    <col min="12" max="12" width="12.6640625" customWidth="1"/>
    <col min="13" max="13" width="11.5" hidden="1" customWidth="1"/>
    <col min="14" max="14" width="64.33203125" style="1" bestFit="1" customWidth="1"/>
    <col min="15" max="15" width="25.5" style="1" bestFit="1" customWidth="1"/>
    <col min="16" max="16" width="12.83203125" customWidth="1"/>
    <col min="17" max="17" width="13" bestFit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67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396</v>
      </c>
      <c r="AX1" s="74" t="s">
        <v>397</v>
      </c>
      <c r="AY1" s="74" t="s">
        <v>398</v>
      </c>
      <c r="BA1" s="74" t="s">
        <v>45</v>
      </c>
      <c r="BB1" s="74" t="s">
        <v>399</v>
      </c>
    </row>
    <row r="2" spans="1:54" ht="17" thickBot="1">
      <c r="AW2" s="66">
        <f>ROUNDUP(S79*INPUT_OUTPUTS!$C$15,-2)</f>
        <v>114100</v>
      </c>
      <c r="AX2" s="66">
        <f>ROUNDUP(T79*INPUT_OUTPUTS!$C$15,-2)</f>
        <v>114100</v>
      </c>
      <c r="AY2" s="65">
        <f>ROUNDUP((P79*INPUT_OUTPUTS!C15)+P80,-2)</f>
        <v>41300</v>
      </c>
      <c r="BA2" s="76">
        <f>AHU1_CAV_SCHEDULE[[#Totals],[GPM]]</f>
        <v>19</v>
      </c>
      <c r="BB2" s="75">
        <f>AHU1_CAV_SCHEDULE[[#Totals],[MIN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05" t="s">
        <v>297</v>
      </c>
      <c r="E4" s="206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7"/>
      <c r="W4" s="69"/>
      <c r="Y4"/>
      <c r="Z4"/>
      <c r="AA4"/>
    </row>
    <row r="5" spans="1:54" ht="30">
      <c r="B5" s="86"/>
      <c r="C5" s="86"/>
      <c r="D5" s="208" t="s">
        <v>88</v>
      </c>
      <c r="E5" s="209"/>
      <c r="F5" s="209"/>
      <c r="G5" s="210"/>
      <c r="H5" s="211" t="s">
        <v>89</v>
      </c>
      <c r="I5" s="211"/>
      <c r="J5" s="211"/>
      <c r="K5" s="211"/>
      <c r="L5" s="211"/>
      <c r="M5" s="211"/>
      <c r="N5" s="211"/>
      <c r="O5" s="211"/>
      <c r="P5" s="211"/>
      <c r="Q5" s="211"/>
      <c r="R5" s="211"/>
      <c r="S5" s="208" t="s">
        <v>87</v>
      </c>
      <c r="T5" s="209"/>
      <c r="U5" s="209"/>
      <c r="V5" s="210"/>
      <c r="W5" s="86"/>
      <c r="X5" s="212" t="s">
        <v>86</v>
      </c>
      <c r="Y5" s="213"/>
      <c r="Z5" s="214"/>
      <c r="AC5" s="215" t="s">
        <v>124</v>
      </c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5"/>
    </row>
    <row r="6" spans="1:54" s="79" customFormat="1" ht="53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320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315</v>
      </c>
      <c r="C7" s="115" t="s">
        <v>315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38" si="0">IF(H7="Yes",K7,"-")</f>
        <v>-</v>
      </c>
      <c r="J7" s="116">
        <v>0</v>
      </c>
      <c r="K7" s="92">
        <f t="shared" ref="K7:K38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38" si="2">IF(O7&lt;&gt;"NR",ROUNDUP((E7*F7*O7)/60,-1),0)</f>
        <v>3340</v>
      </c>
      <c r="Q7" s="91" t="str">
        <f>VLOOKUP($M7,'UMC Table 4-A'!$A$10:$E$139,5,FALSE)</f>
        <v>NR</v>
      </c>
      <c r="R7" s="90">
        <f t="shared" ref="R7:R38" si="3">IF(N7="Negative",IF(OR(M7="Toilet room",M7="Janitor's closet, housekeeping"),0,IF(0.1*U7&gt;50,220-0.1*U7,U7-50)),IF(Q7="Yes",0,CEILING(MAX(J7:L7),5)))</f>
        <v>10000</v>
      </c>
      <c r="S7" s="119">
        <f t="shared" ref="S7:S38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38" si="6">IF(Q7="Yes",I7,0)</f>
        <v>0</v>
      </c>
      <c r="V7" s="70">
        <f t="shared" ref="V7:V38" si="7">S7-T7-U7</f>
        <v>0</v>
      </c>
      <c r="W7" s="29" t="str">
        <f t="shared" ref="W7:W38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INPUT_OUTPUTS!$C$13</f>
        <v>140</v>
      </c>
      <c r="AJ7" s="132">
        <f>INPUT_OUTPUTS!$C$14</f>
        <v>100</v>
      </c>
      <c r="AK7" s="132">
        <v>55</v>
      </c>
      <c r="AL7" s="132">
        <v>85</v>
      </c>
      <c r="AM7" s="132">
        <f t="shared" ref="AM7:AM44" si="12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INPUT_OUTPUTS!$C$16</f>
        <v>C1/M-501</v>
      </c>
      <c r="AS7" s="132" t="s">
        <v>123</v>
      </c>
    </row>
    <row r="8" spans="1:54" ht="15" customHeight="1">
      <c r="B8" s="115" t="s">
        <v>315</v>
      </c>
      <c r="C8" s="115" t="s">
        <v>315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3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INPUT_OUTPUTS!$C$13</f>
        <v>140</v>
      </c>
      <c r="AJ8" s="132">
        <f>INPUT_OUTPUTS!$C$14</f>
        <v>100</v>
      </c>
      <c r="AK8" s="132">
        <f t="shared" ref="AK8:AL8" si="14">AK7</f>
        <v>55</v>
      </c>
      <c r="AL8" s="132">
        <f t="shared" si="14"/>
        <v>85</v>
      </c>
      <c r="AM8" s="132">
        <f t="shared" si="12"/>
        <v>0</v>
      </c>
      <c r="AN8" s="133">
        <f>(AM8*1000)/(500*(AI8-AJ8))</f>
        <v>0</v>
      </c>
      <c r="AO8" s="133">
        <f t="shared" ref="AO8:AO43" si="15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INPUT_OUTPUTS!$C$16</f>
        <v>C1/M-501</v>
      </c>
      <c r="AS8" s="132" t="str">
        <f>AS7</f>
        <v>1, 2</v>
      </c>
    </row>
    <row r="9" spans="1:54" ht="15" customHeight="1">
      <c r="B9" s="115" t="s">
        <v>321</v>
      </c>
      <c r="C9" s="115" t="s">
        <v>315</v>
      </c>
      <c r="D9" s="115">
        <v>1234</v>
      </c>
      <c r="E9" s="115">
        <v>10000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6670</v>
      </c>
      <c r="L9" s="84">
        <f t="shared" si="13"/>
        <v>10000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3340</v>
      </c>
      <c r="Q9" s="81" t="str">
        <f>VLOOKUP($M9,'UMC Table 4-A'!$A$10:$E$139,5,FALSE)</f>
        <v>NR</v>
      </c>
      <c r="R9" s="82">
        <f t="shared" si="3"/>
        <v>10000</v>
      </c>
      <c r="S9" s="119">
        <f t="shared" si="4"/>
        <v>10000</v>
      </c>
      <c r="T9" s="119">
        <f t="shared" si="5"/>
        <v>10000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33.4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0</v>
      </c>
      <c r="AG9" s="132" t="str">
        <f>IFERROR((VLOOKUP(AF9,'DO NOT TOUCH'!$P$9:$Q$14,2,TRUE)),"TBD")</f>
        <v>TBD</v>
      </c>
      <c r="AH9" s="132">
        <f t="shared" ref="AH9:AH44" si="19">AH8</f>
        <v>0.5</v>
      </c>
      <c r="AI9" s="132">
        <f>INPUT_OUTPUTS!$C$13</f>
        <v>140</v>
      </c>
      <c r="AJ9" s="132">
        <f>INPUT_OUTPUTS!$C$14</f>
        <v>100</v>
      </c>
      <c r="AK9" s="132">
        <f t="shared" ref="AK9:AL9" si="20">AK8</f>
        <v>55</v>
      </c>
      <c r="AL9" s="132">
        <f t="shared" si="20"/>
        <v>85</v>
      </c>
      <c r="AM9" s="132">
        <f t="shared" si="12"/>
        <v>0</v>
      </c>
      <c r="AN9" s="133">
        <f t="shared" ref="AN9:AN43" si="21">(AM9*1000)/(500*(AI9-AJ9))</f>
        <v>0</v>
      </c>
      <c r="AO9" s="133">
        <f t="shared" si="15"/>
        <v>0.5</v>
      </c>
      <c r="AP9" s="133">
        <f t="shared" ref="AP9:AP44" si="22">AP8</f>
        <v>5</v>
      </c>
      <c r="AQ9" s="133" t="str">
        <f>IFERROR((_xlfn.XLOOKUP(AG9,'DO NOT TOUCH'!$Q$9:$Q$14,'DO NOT TOUCH'!$R$9:$R$14,)),"TBD")</f>
        <v>TBD</v>
      </c>
      <c r="AR9" s="133" t="str">
        <f>INPUT_OUTPUTS!$C$16</f>
        <v>C1/M-501</v>
      </c>
      <c r="AS9" s="132" t="str">
        <f t="shared" ref="AS9:AS44" si="23">AS8</f>
        <v>1, 2</v>
      </c>
    </row>
    <row r="10" spans="1:54" ht="15" customHeight="1">
      <c r="B10" s="115" t="s">
        <v>322</v>
      </c>
      <c r="C10" s="115" t="s">
        <v>315</v>
      </c>
      <c r="D10" s="115">
        <v>1234</v>
      </c>
      <c r="E10" s="115">
        <v>567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380</v>
      </c>
      <c r="L10" s="84">
        <f t="shared" si="13"/>
        <v>567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190</v>
      </c>
      <c r="Q10" s="81" t="str">
        <f>VLOOKUP($M10,'UMC Table 4-A'!$A$10:$E$139,5,FALSE)</f>
        <v>NR</v>
      </c>
      <c r="R10" s="82">
        <f t="shared" si="3"/>
        <v>570</v>
      </c>
      <c r="S10" s="119">
        <f t="shared" si="4"/>
        <v>570</v>
      </c>
      <c r="T10" s="119">
        <f t="shared" si="5"/>
        <v>570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1.0052910052910053</v>
      </c>
      <c r="Y10" s="56">
        <f t="shared" si="17"/>
        <v>33.333333333333329</v>
      </c>
      <c r="Z10" s="28">
        <f t="shared" si="18"/>
        <v>6.0317460317460325</v>
      </c>
      <c r="AC10" s="131" t="s">
        <v>262</v>
      </c>
      <c r="AD10" s="131" t="s">
        <v>122</v>
      </c>
      <c r="AE10" s="131" t="s">
        <v>128</v>
      </c>
      <c r="AF10" s="132">
        <f t="shared" si="11"/>
        <v>0</v>
      </c>
      <c r="AG10" s="132" t="str">
        <f>IFERROR((VLOOKUP(AF10,'DO NOT TOUCH'!$P$9:$Q$14,2,TRUE)),"TBD")</f>
        <v>TBD</v>
      </c>
      <c r="AH10" s="132">
        <f t="shared" si="19"/>
        <v>0.5</v>
      </c>
      <c r="AI10" s="132">
        <f>INPUT_OUTPUTS!$C$13</f>
        <v>140</v>
      </c>
      <c r="AJ10" s="132">
        <f>INPUT_OUTPUTS!$C$14</f>
        <v>100</v>
      </c>
      <c r="AK10" s="132">
        <f t="shared" ref="AK10:AL10" si="24">AK9</f>
        <v>55</v>
      </c>
      <c r="AL10" s="132">
        <f t="shared" si="24"/>
        <v>85</v>
      </c>
      <c r="AM10" s="132">
        <f t="shared" si="12"/>
        <v>0</v>
      </c>
      <c r="AN10" s="133">
        <f t="shared" si="21"/>
        <v>0</v>
      </c>
      <c r="AO10" s="133">
        <f t="shared" si="15"/>
        <v>0.5</v>
      </c>
      <c r="AP10" s="133">
        <f t="shared" si="22"/>
        <v>5</v>
      </c>
      <c r="AQ10" s="133" t="str">
        <f>IFERROR((_xlfn.XLOOKUP(AG10,'DO NOT TOUCH'!$Q$9:$Q$14,'DO NOT TOUCH'!$R$9:$R$14,)),"TBD")</f>
        <v>TBD</v>
      </c>
      <c r="AR10" s="133" t="str">
        <f>INPUT_OUTPUTS!$C$16</f>
        <v>C1/M-501</v>
      </c>
      <c r="AS10" s="132" t="str">
        <f t="shared" si="23"/>
        <v>1, 2</v>
      </c>
    </row>
    <row r="11" spans="1:54" ht="15" customHeight="1">
      <c r="B11" s="115" t="s">
        <v>323</v>
      </c>
      <c r="C11" s="115" t="s">
        <v>315</v>
      </c>
      <c r="D11" s="115">
        <v>1234</v>
      </c>
      <c r="E11" s="115">
        <v>10000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6670</v>
      </c>
      <c r="L11" s="84">
        <f t="shared" si="13"/>
        <v>10000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3340</v>
      </c>
      <c r="Q11" s="81" t="str">
        <f>VLOOKUP($M11,'UMC Table 4-A'!$A$10:$E$139,5,FALSE)</f>
        <v>NR</v>
      </c>
      <c r="R11" s="82">
        <f t="shared" si="3"/>
        <v>10000</v>
      </c>
      <c r="S11" s="119">
        <f t="shared" si="4"/>
        <v>10000</v>
      </c>
      <c r="T11" s="119">
        <f t="shared" si="5"/>
        <v>10000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33.4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0</v>
      </c>
      <c r="AG11" s="132" t="str">
        <f>IFERROR((VLOOKUP(AF11,'DO NOT TOUCH'!$P$9:$Q$14,2,TRUE)),"TBD")</f>
        <v>TBD</v>
      </c>
      <c r="AH11" s="132">
        <f t="shared" si="19"/>
        <v>0.5</v>
      </c>
      <c r="AI11" s="132">
        <f>INPUT_OUTPUTS!$C$13</f>
        <v>140</v>
      </c>
      <c r="AJ11" s="132">
        <f>INPUT_OUTPUTS!$C$14</f>
        <v>100</v>
      </c>
      <c r="AK11" s="132">
        <f t="shared" ref="AK11:AL11" si="25">AK10</f>
        <v>55</v>
      </c>
      <c r="AL11" s="132">
        <f t="shared" si="25"/>
        <v>85</v>
      </c>
      <c r="AM11" s="132">
        <f t="shared" si="12"/>
        <v>0</v>
      </c>
      <c r="AN11" s="133">
        <f t="shared" si="21"/>
        <v>0</v>
      </c>
      <c r="AO11" s="133">
        <f t="shared" si="15"/>
        <v>0.5</v>
      </c>
      <c r="AP11" s="133">
        <f t="shared" si="22"/>
        <v>5</v>
      </c>
      <c r="AQ11" s="133" t="str">
        <f>IFERROR((_xlfn.XLOOKUP(AG11,'DO NOT TOUCH'!$Q$9:$Q$14,'DO NOT TOUCH'!$R$9:$R$14,)),"TBD")</f>
        <v>TBD</v>
      </c>
      <c r="AR11" s="133" t="str">
        <f>INPUT_OUTPUTS!$C$16</f>
        <v>C1/M-501</v>
      </c>
      <c r="AS11" s="132" t="str">
        <f t="shared" si="23"/>
        <v>1, 2</v>
      </c>
    </row>
    <row r="12" spans="1:54" ht="15" customHeight="1">
      <c r="B12" s="115" t="s">
        <v>323</v>
      </c>
      <c r="C12" s="115" t="s">
        <v>315</v>
      </c>
      <c r="D12" s="115">
        <v>1234</v>
      </c>
      <c r="E12" s="115">
        <v>4444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2970</v>
      </c>
      <c r="L12" s="84">
        <f t="shared" si="13"/>
        <v>4444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1490</v>
      </c>
      <c r="Q12" s="81" t="str">
        <f>VLOOKUP($M12,'UMC Table 4-A'!$A$10:$E$139,5,FALSE)</f>
        <v>NR</v>
      </c>
      <c r="R12" s="82">
        <f t="shared" si="3"/>
        <v>4445</v>
      </c>
      <c r="S12" s="119">
        <f t="shared" si="4"/>
        <v>4445</v>
      </c>
      <c r="T12" s="119">
        <f t="shared" si="5"/>
        <v>4445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1.0002250225022502</v>
      </c>
      <c r="Y12" s="56">
        <f t="shared" si="17"/>
        <v>33.520809898762657</v>
      </c>
      <c r="Z12" s="28">
        <f t="shared" si="18"/>
        <v>6.0013501350135012</v>
      </c>
      <c r="AC12" s="131" t="s">
        <v>264</v>
      </c>
      <c r="AD12" s="131" t="s">
        <v>122</v>
      </c>
      <c r="AE12" s="131" t="s">
        <v>128</v>
      </c>
      <c r="AF12" s="132">
        <f t="shared" si="11"/>
        <v>0</v>
      </c>
      <c r="AG12" s="132" t="str">
        <f>IFERROR((VLOOKUP(AF12,'DO NOT TOUCH'!$P$9:$Q$14,2,TRUE)),"TBD")</f>
        <v>TBD</v>
      </c>
      <c r="AH12" s="132">
        <f t="shared" si="19"/>
        <v>0.5</v>
      </c>
      <c r="AI12" s="132">
        <f>INPUT_OUTPUTS!$C$13</f>
        <v>140</v>
      </c>
      <c r="AJ12" s="132">
        <f>INPUT_OUTPUTS!$C$14</f>
        <v>100</v>
      </c>
      <c r="AK12" s="132">
        <f t="shared" ref="AK12:AL12" si="26">AK11</f>
        <v>55</v>
      </c>
      <c r="AL12" s="132">
        <f t="shared" si="26"/>
        <v>85</v>
      </c>
      <c r="AM12" s="132">
        <f t="shared" si="12"/>
        <v>0</v>
      </c>
      <c r="AN12" s="133">
        <f t="shared" si="21"/>
        <v>0</v>
      </c>
      <c r="AO12" s="133">
        <f t="shared" si="15"/>
        <v>0.5</v>
      </c>
      <c r="AP12" s="133">
        <f t="shared" si="22"/>
        <v>5</v>
      </c>
      <c r="AQ12" s="133" t="str">
        <f>IFERROR((_xlfn.XLOOKUP(AG12,'DO NOT TOUCH'!$Q$9:$Q$14,'DO NOT TOUCH'!$R$9:$R$14,)),"TBD")</f>
        <v>TBD</v>
      </c>
      <c r="AR12" s="133" t="str">
        <f>INPUT_OUTPUTS!$C$16</f>
        <v>C1/M-501</v>
      </c>
      <c r="AS12" s="132" t="str">
        <f t="shared" si="23"/>
        <v>1, 2</v>
      </c>
    </row>
    <row r="13" spans="1:54" ht="15" customHeight="1">
      <c r="B13" s="115" t="s">
        <v>324</v>
      </c>
      <c r="C13" s="115" t="s">
        <v>315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3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f t="shared" si="5"/>
        <v>10000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33.4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0</v>
      </c>
      <c r="AG13" s="132" t="str">
        <f>IFERROR((VLOOKUP(AF13,'DO NOT TOUCH'!$P$9:$Q$14,2,TRUE)),"TBD")</f>
        <v>TBD</v>
      </c>
      <c r="AH13" s="132">
        <f t="shared" si="19"/>
        <v>0.5</v>
      </c>
      <c r="AI13" s="132">
        <f>INPUT_OUTPUTS!$C$13</f>
        <v>140</v>
      </c>
      <c r="AJ13" s="132">
        <f>INPUT_OUTPUTS!$C$14</f>
        <v>100</v>
      </c>
      <c r="AK13" s="132">
        <f t="shared" ref="AK13:AL13" si="27">AK12</f>
        <v>55</v>
      </c>
      <c r="AL13" s="132">
        <f t="shared" si="27"/>
        <v>85</v>
      </c>
      <c r="AM13" s="132">
        <f t="shared" si="12"/>
        <v>0</v>
      </c>
      <c r="AN13" s="133">
        <f t="shared" si="21"/>
        <v>0</v>
      </c>
      <c r="AO13" s="133">
        <f t="shared" si="15"/>
        <v>0.5</v>
      </c>
      <c r="AP13" s="133">
        <f t="shared" si="22"/>
        <v>5</v>
      </c>
      <c r="AQ13" s="133" t="str">
        <f>IFERROR((_xlfn.XLOOKUP(AG13,'DO NOT TOUCH'!$Q$9:$Q$14,'DO NOT TOUCH'!$R$9:$R$14,)),"TBD")</f>
        <v>TBD</v>
      </c>
      <c r="AR13" s="133" t="str">
        <f>INPUT_OUTPUTS!$C$16</f>
        <v>C1/M-501</v>
      </c>
      <c r="AS13" s="135" t="str">
        <f t="shared" si="23"/>
        <v>1, 2</v>
      </c>
    </row>
    <row r="14" spans="1:54" ht="15" customHeight="1">
      <c r="B14" s="115" t="s">
        <v>325</v>
      </c>
      <c r="C14" s="115" t="s">
        <v>315</v>
      </c>
      <c r="D14" s="115">
        <v>1234</v>
      </c>
      <c r="E14" s="115">
        <v>10000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3"/>
        <v>10000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f t="shared" si="5"/>
        <v>10000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33.4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0</v>
      </c>
      <c r="AG14" s="132" t="str">
        <f>IFERROR((VLOOKUP(AF14,'DO NOT TOUCH'!$P$9:$Q$14,2,TRUE)),"TBD")</f>
        <v>TBD</v>
      </c>
      <c r="AH14" s="132">
        <f t="shared" si="19"/>
        <v>0.5</v>
      </c>
      <c r="AI14" s="132">
        <f>INPUT_OUTPUTS!$C$13</f>
        <v>140</v>
      </c>
      <c r="AJ14" s="132">
        <f>INPUT_OUTPUTS!$C$14</f>
        <v>100</v>
      </c>
      <c r="AK14" s="132">
        <f t="shared" ref="AK14:AL14" si="28">AK13</f>
        <v>55</v>
      </c>
      <c r="AL14" s="132">
        <f t="shared" si="28"/>
        <v>85</v>
      </c>
      <c r="AM14" s="132">
        <f t="shared" si="12"/>
        <v>0</v>
      </c>
      <c r="AN14" s="133">
        <f t="shared" si="21"/>
        <v>0</v>
      </c>
      <c r="AO14" s="133">
        <f t="shared" si="15"/>
        <v>0.5</v>
      </c>
      <c r="AP14" s="133">
        <f t="shared" si="22"/>
        <v>5</v>
      </c>
      <c r="AQ14" s="133" t="str">
        <f>IFERROR((_xlfn.XLOOKUP(AG14,'DO NOT TOUCH'!$Q$9:$Q$14,'DO NOT TOUCH'!$R$9:$R$14,)),"TBD")</f>
        <v>TBD</v>
      </c>
      <c r="AR14" s="133" t="str">
        <f>INPUT_OUTPUTS!$C$16</f>
        <v>C1/M-501</v>
      </c>
      <c r="AS14" s="135" t="str">
        <f t="shared" si="23"/>
        <v>1, 2</v>
      </c>
    </row>
    <row r="15" spans="1:54" ht="15" customHeight="1">
      <c r="B15" s="115" t="s">
        <v>325</v>
      </c>
      <c r="C15" s="115" t="s">
        <v>315</v>
      </c>
      <c r="D15" s="115">
        <v>1234</v>
      </c>
      <c r="E15" s="115">
        <v>10000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3"/>
        <v>10000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f t="shared" si="5"/>
        <v>10000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33.4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0</v>
      </c>
      <c r="AG15" s="132" t="str">
        <f>IFERROR((VLOOKUP(AF15,'DO NOT TOUCH'!$P$9:$Q$14,2,TRUE)),"TBD")</f>
        <v>TBD</v>
      </c>
      <c r="AH15" s="132">
        <f t="shared" si="19"/>
        <v>0.5</v>
      </c>
      <c r="AI15" s="132">
        <f>INPUT_OUTPUTS!$C$13</f>
        <v>140</v>
      </c>
      <c r="AJ15" s="132">
        <f>INPUT_OUTPUTS!$C$14</f>
        <v>100</v>
      </c>
      <c r="AK15" s="132">
        <f t="shared" ref="AK15:AL15" si="29">AK14</f>
        <v>55</v>
      </c>
      <c r="AL15" s="132">
        <f t="shared" si="29"/>
        <v>85</v>
      </c>
      <c r="AM15" s="132">
        <f t="shared" si="12"/>
        <v>0</v>
      </c>
      <c r="AN15" s="133">
        <f t="shared" si="21"/>
        <v>0</v>
      </c>
      <c r="AO15" s="133">
        <f t="shared" si="15"/>
        <v>0.5</v>
      </c>
      <c r="AP15" s="133">
        <f t="shared" si="22"/>
        <v>5</v>
      </c>
      <c r="AQ15" s="133" t="str">
        <f>IFERROR((_xlfn.XLOOKUP(AG15,'DO NOT TOUCH'!$Q$9:$Q$14,'DO NOT TOUCH'!$R$9:$R$14,)),"TBD")</f>
        <v>TBD</v>
      </c>
      <c r="AR15" s="133" t="str">
        <f>INPUT_OUTPUTS!$C$16</f>
        <v>C1/M-501</v>
      </c>
      <c r="AS15" s="135" t="str">
        <f t="shared" si="23"/>
        <v>1, 2</v>
      </c>
    </row>
    <row r="16" spans="1:54" ht="15" customHeight="1">
      <c r="B16" s="115" t="s">
        <v>326</v>
      </c>
      <c r="C16" s="115" t="s">
        <v>315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3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33.4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0</v>
      </c>
      <c r="AG16" s="132" t="str">
        <f>IFERROR((VLOOKUP(AF16,'DO NOT TOUCH'!$P$9:$Q$14,2,TRUE)),"TBD")</f>
        <v>TBD</v>
      </c>
      <c r="AH16" s="132">
        <f t="shared" si="19"/>
        <v>0.5</v>
      </c>
      <c r="AI16" s="132">
        <f>INPUT_OUTPUTS!$C$13</f>
        <v>140</v>
      </c>
      <c r="AJ16" s="132">
        <f>INPUT_OUTPUTS!$C$14</f>
        <v>100</v>
      </c>
      <c r="AK16" s="132">
        <f t="shared" ref="AK16:AL16" si="30">AK15</f>
        <v>55</v>
      </c>
      <c r="AL16" s="132">
        <f t="shared" si="30"/>
        <v>85</v>
      </c>
      <c r="AM16" s="132">
        <f t="shared" si="12"/>
        <v>0</v>
      </c>
      <c r="AN16" s="133">
        <f t="shared" si="21"/>
        <v>0</v>
      </c>
      <c r="AO16" s="133">
        <f t="shared" si="15"/>
        <v>0.5</v>
      </c>
      <c r="AP16" s="133">
        <f t="shared" si="22"/>
        <v>5</v>
      </c>
      <c r="AQ16" s="133" t="str">
        <f>IFERROR((_xlfn.XLOOKUP(AG16,'DO NOT TOUCH'!$Q$9:$Q$14,'DO NOT TOUCH'!$R$9:$R$14,)),"TBD")</f>
        <v>TBD</v>
      </c>
      <c r="AR16" s="133" t="str">
        <f>INPUT_OUTPUTS!$C$16</f>
        <v>C1/M-501</v>
      </c>
      <c r="AS16" s="135" t="str">
        <f t="shared" si="23"/>
        <v>1, 2</v>
      </c>
    </row>
    <row r="17" spans="2:45" ht="15" customHeight="1">
      <c r="B17" s="115" t="s">
        <v>327</v>
      </c>
      <c r="C17" s="115" t="s">
        <v>315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0</v>
      </c>
      <c r="AG17" s="132" t="str">
        <f>IFERROR((VLOOKUP(AF17,'DO NOT TOUCH'!$P$9:$Q$14,2,TRUE)),"TBD")</f>
        <v>TBD</v>
      </c>
      <c r="AH17" s="132">
        <f t="shared" si="19"/>
        <v>0.5</v>
      </c>
      <c r="AI17" s="132">
        <f>INPUT_OUTPUTS!$C$13</f>
        <v>140</v>
      </c>
      <c r="AJ17" s="132">
        <f>INPUT_OUTPUTS!$C$14</f>
        <v>100</v>
      </c>
      <c r="AK17" s="132">
        <f t="shared" ref="AK17:AL17" si="31">AK16</f>
        <v>55</v>
      </c>
      <c r="AL17" s="132">
        <f t="shared" si="31"/>
        <v>85</v>
      </c>
      <c r="AM17" s="132">
        <f t="shared" si="12"/>
        <v>0</v>
      </c>
      <c r="AN17" s="133">
        <f t="shared" si="21"/>
        <v>0</v>
      </c>
      <c r="AO17" s="133">
        <f t="shared" si="15"/>
        <v>0.5</v>
      </c>
      <c r="AP17" s="133">
        <f t="shared" si="22"/>
        <v>5</v>
      </c>
      <c r="AQ17" s="133" t="str">
        <f>IFERROR((_xlfn.XLOOKUP(AG17,'DO NOT TOUCH'!$Q$9:$Q$14,'DO NOT TOUCH'!$R$9:$R$14,)),"TBD")</f>
        <v>TBD</v>
      </c>
      <c r="AR17" s="133" t="str">
        <f>INPUT_OUTPUTS!$C$16</f>
        <v>C1/M-501</v>
      </c>
      <c r="AS17" s="135" t="str">
        <f t="shared" si="23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INPUT_OUTPUTS!$C$13</f>
        <v>140</v>
      </c>
      <c r="AJ18" s="132">
        <f>INPUT_OUTPUTS!$C$14</f>
        <v>100</v>
      </c>
      <c r="AK18" s="132">
        <f t="shared" ref="AK18:AL18" si="32">AK17</f>
        <v>55</v>
      </c>
      <c r="AL18" s="132">
        <f t="shared" si="32"/>
        <v>85</v>
      </c>
      <c r="AM18" s="132">
        <f t="shared" si="12"/>
        <v>0</v>
      </c>
      <c r="AN18" s="133">
        <f t="shared" si="21"/>
        <v>0</v>
      </c>
      <c r="AO18" s="133">
        <f t="shared" si="15"/>
        <v>0.5</v>
      </c>
      <c r="AP18" s="133">
        <f t="shared" si="22"/>
        <v>5</v>
      </c>
      <c r="AQ18" s="133" t="str">
        <f>IFERROR((_xlfn.XLOOKUP(AG18,'DO NOT TOUCH'!$Q$9:$Q$14,'DO NOT TOUCH'!$R$9:$R$14,)),"TBD")</f>
        <v>TBD</v>
      </c>
      <c r="AR18" s="133" t="str">
        <f>INPUT_OUTPUTS!$C$16</f>
        <v>C1/M-501</v>
      </c>
      <c r="AS18" s="135" t="str">
        <f t="shared" si="23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INPUT_OUTPUTS!$C$13</f>
        <v>140</v>
      </c>
      <c r="AJ19" s="132">
        <f>INPUT_OUTPUTS!$C$14</f>
        <v>100</v>
      </c>
      <c r="AK19" s="132">
        <f t="shared" ref="AK19:AL19" si="33">AK18</f>
        <v>55</v>
      </c>
      <c r="AL19" s="132">
        <f t="shared" si="33"/>
        <v>85</v>
      </c>
      <c r="AM19" s="132">
        <f t="shared" si="12"/>
        <v>0</v>
      </c>
      <c r="AN19" s="133">
        <f t="shared" si="21"/>
        <v>0</v>
      </c>
      <c r="AO19" s="133">
        <f t="shared" si="15"/>
        <v>0.5</v>
      </c>
      <c r="AP19" s="133">
        <f t="shared" si="22"/>
        <v>5</v>
      </c>
      <c r="AQ19" s="133" t="str">
        <f>IFERROR((_xlfn.XLOOKUP(AG19,'DO NOT TOUCH'!$Q$9:$Q$14,'DO NOT TOUCH'!$R$9:$R$14,)),"TBD")</f>
        <v>TBD</v>
      </c>
      <c r="AR19" s="133" t="str">
        <f>INPUT_OUTPUTS!$C$16</f>
        <v>C1/M-501</v>
      </c>
      <c r="AS19" s="135" t="str">
        <f t="shared" si="23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INPUT_OUTPUTS!$C$13</f>
        <v>140</v>
      </c>
      <c r="AJ20" s="132">
        <f>INPUT_OUTPUTS!$C$14</f>
        <v>100</v>
      </c>
      <c r="AK20" s="132">
        <f t="shared" ref="AK20:AL20" si="34">AK19</f>
        <v>55</v>
      </c>
      <c r="AL20" s="132">
        <f t="shared" si="34"/>
        <v>85</v>
      </c>
      <c r="AM20" s="132">
        <f t="shared" si="12"/>
        <v>0</v>
      </c>
      <c r="AN20" s="133">
        <f t="shared" si="21"/>
        <v>0</v>
      </c>
      <c r="AO20" s="133">
        <f t="shared" si="15"/>
        <v>0.5</v>
      </c>
      <c r="AP20" s="133">
        <f t="shared" si="22"/>
        <v>5</v>
      </c>
      <c r="AQ20" s="133" t="str">
        <f>IFERROR((_xlfn.XLOOKUP(AG20,'DO NOT TOUCH'!$Q$9:$Q$14,'DO NOT TOUCH'!$R$9:$R$14,)),"TBD")</f>
        <v>TBD</v>
      </c>
      <c r="AR20" s="133" t="str">
        <f>INPUT_OUTPUTS!$C$16</f>
        <v>C1/M-501</v>
      </c>
      <c r="AS20" s="135" t="str">
        <f t="shared" si="23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INPUT_OUTPUTS!$C$13</f>
        <v>140</v>
      </c>
      <c r="AJ21" s="132">
        <f>INPUT_OUTPUTS!$C$14</f>
        <v>100</v>
      </c>
      <c r="AK21" s="132">
        <f t="shared" ref="AK21:AL21" si="35">AK20</f>
        <v>55</v>
      </c>
      <c r="AL21" s="132">
        <f t="shared" si="35"/>
        <v>85</v>
      </c>
      <c r="AM21" s="132">
        <f t="shared" si="12"/>
        <v>0</v>
      </c>
      <c r="AN21" s="133">
        <f t="shared" si="21"/>
        <v>0</v>
      </c>
      <c r="AO21" s="133">
        <f t="shared" si="15"/>
        <v>0.5</v>
      </c>
      <c r="AP21" s="133">
        <f t="shared" si="22"/>
        <v>5</v>
      </c>
      <c r="AQ21" s="133" t="str">
        <f>IFERROR((_xlfn.XLOOKUP(AG21,'DO NOT TOUCH'!$Q$9:$Q$14,'DO NOT TOUCH'!$R$9:$R$14,)),"TBD")</f>
        <v>TBD</v>
      </c>
      <c r="AR21" s="133" t="str">
        <f>INPUT_OUTPUTS!$C$16</f>
        <v>C1/M-501</v>
      </c>
      <c r="AS21" s="135" t="str">
        <f t="shared" si="23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INPUT_OUTPUTS!$C$13</f>
        <v>140</v>
      </c>
      <c r="AJ22" s="132">
        <f>INPUT_OUTPUTS!$C$14</f>
        <v>100</v>
      </c>
      <c r="AK22" s="132">
        <f t="shared" ref="AK22:AL22" si="36">AK21</f>
        <v>55</v>
      </c>
      <c r="AL22" s="132">
        <f t="shared" si="36"/>
        <v>85</v>
      </c>
      <c r="AM22" s="132">
        <f t="shared" si="12"/>
        <v>0</v>
      </c>
      <c r="AN22" s="133">
        <f t="shared" si="21"/>
        <v>0</v>
      </c>
      <c r="AO22" s="133">
        <f t="shared" si="15"/>
        <v>0.5</v>
      </c>
      <c r="AP22" s="133">
        <f t="shared" si="22"/>
        <v>5</v>
      </c>
      <c r="AQ22" s="133" t="str">
        <f>IFERROR((_xlfn.XLOOKUP(AG22,'DO NOT TOUCH'!$Q$9:$Q$14,'DO NOT TOUCH'!$R$9:$R$14,)),"TBD")</f>
        <v>TBD</v>
      </c>
      <c r="AR22" s="133" t="str">
        <f>INPUT_OUTPUTS!$C$16</f>
        <v>C1/M-501</v>
      </c>
      <c r="AS22" s="135" t="str">
        <f t="shared" si="23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INPUT_OUTPUTS!$C$13</f>
        <v>140</v>
      </c>
      <c r="AJ23" s="132">
        <f>INPUT_OUTPUTS!$C$14</f>
        <v>100</v>
      </c>
      <c r="AK23" s="132">
        <f t="shared" ref="AK23:AL23" si="37">AK22</f>
        <v>55</v>
      </c>
      <c r="AL23" s="132">
        <f t="shared" si="37"/>
        <v>85</v>
      </c>
      <c r="AM23" s="132">
        <f t="shared" si="12"/>
        <v>0</v>
      </c>
      <c r="AN23" s="133">
        <f t="shared" si="21"/>
        <v>0</v>
      </c>
      <c r="AO23" s="133">
        <f t="shared" si="15"/>
        <v>0.5</v>
      </c>
      <c r="AP23" s="133">
        <f t="shared" si="22"/>
        <v>5</v>
      </c>
      <c r="AQ23" s="133" t="str">
        <f>IFERROR((_xlfn.XLOOKUP(AG23,'DO NOT TOUCH'!$Q$9:$Q$14,'DO NOT TOUCH'!$R$9:$R$14,)),"TBD")</f>
        <v>TBD</v>
      </c>
      <c r="AR23" s="133" t="str">
        <f>INPUT_OUTPUTS!$C$16</f>
        <v>C1/M-501</v>
      </c>
      <c r="AS23" s="135" t="str">
        <f t="shared" si="23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INPUT_OUTPUTS!$C$13</f>
        <v>140</v>
      </c>
      <c r="AJ24" s="132">
        <f>INPUT_OUTPUTS!$C$14</f>
        <v>100</v>
      </c>
      <c r="AK24" s="132">
        <f t="shared" ref="AK24:AL24" si="38">AK23</f>
        <v>55</v>
      </c>
      <c r="AL24" s="132">
        <f t="shared" si="38"/>
        <v>85</v>
      </c>
      <c r="AM24" s="132">
        <f t="shared" si="12"/>
        <v>0</v>
      </c>
      <c r="AN24" s="133">
        <f t="shared" si="21"/>
        <v>0</v>
      </c>
      <c r="AO24" s="133">
        <f t="shared" si="15"/>
        <v>0.5</v>
      </c>
      <c r="AP24" s="133">
        <f t="shared" si="22"/>
        <v>5</v>
      </c>
      <c r="AQ24" s="133" t="str">
        <f>IFERROR((_xlfn.XLOOKUP(AG24,'DO NOT TOUCH'!$Q$9:$Q$14,'DO NOT TOUCH'!$R$9:$R$14,)),"TBD")</f>
        <v>TBD</v>
      </c>
      <c r="AR24" s="133" t="str">
        <f>INPUT_OUTPUTS!$C$16</f>
        <v>C1/M-501</v>
      </c>
      <c r="AS24" s="135" t="str">
        <f t="shared" si="23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INPUT_OUTPUTS!$C$13</f>
        <v>140</v>
      </c>
      <c r="AJ25" s="132">
        <f>INPUT_OUTPUTS!$C$14</f>
        <v>100</v>
      </c>
      <c r="AK25" s="132">
        <f t="shared" ref="AK25:AL25" si="39">AK24</f>
        <v>55</v>
      </c>
      <c r="AL25" s="132">
        <f t="shared" si="39"/>
        <v>85</v>
      </c>
      <c r="AM25" s="132">
        <f t="shared" si="12"/>
        <v>0</v>
      </c>
      <c r="AN25" s="133">
        <f t="shared" si="21"/>
        <v>0</v>
      </c>
      <c r="AO25" s="133">
        <f t="shared" si="15"/>
        <v>0.5</v>
      </c>
      <c r="AP25" s="133">
        <f t="shared" si="22"/>
        <v>5</v>
      </c>
      <c r="AQ25" s="133" t="str">
        <f>IFERROR((_xlfn.XLOOKUP(AG25,'DO NOT TOUCH'!$Q$9:$Q$14,'DO NOT TOUCH'!$R$9:$R$14,)),"TBD")</f>
        <v>TBD</v>
      </c>
      <c r="AR25" s="133" t="str">
        <f>INPUT_OUTPUTS!$C$16</f>
        <v>C1/M-501</v>
      </c>
      <c r="AS25" s="135" t="str">
        <f t="shared" si="23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INPUT_OUTPUTS!$C$13</f>
        <v>140</v>
      </c>
      <c r="AJ26" s="132">
        <f>INPUT_OUTPUTS!$C$14</f>
        <v>100</v>
      </c>
      <c r="AK26" s="132">
        <f t="shared" ref="AK26:AL26" si="40">AK25</f>
        <v>55</v>
      </c>
      <c r="AL26" s="132">
        <f t="shared" si="40"/>
        <v>85</v>
      </c>
      <c r="AM26" s="132">
        <f t="shared" si="12"/>
        <v>0</v>
      </c>
      <c r="AN26" s="133">
        <f t="shared" si="21"/>
        <v>0</v>
      </c>
      <c r="AO26" s="133">
        <f t="shared" si="15"/>
        <v>0.5</v>
      </c>
      <c r="AP26" s="133">
        <f t="shared" si="22"/>
        <v>5</v>
      </c>
      <c r="AQ26" s="133" t="str">
        <f>IFERROR((_xlfn.XLOOKUP(AG26,'DO NOT TOUCH'!$Q$9:$Q$14,'DO NOT TOUCH'!$R$9:$R$14,)),"TBD")</f>
        <v>TBD</v>
      </c>
      <c r="AR26" s="133" t="str">
        <f>INPUT_OUTPUTS!$C$16</f>
        <v>C1/M-501</v>
      </c>
      <c r="AS26" s="135" t="str">
        <f t="shared" si="23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INPUT_OUTPUTS!$C$13</f>
        <v>140</v>
      </c>
      <c r="AJ27" s="132">
        <f>INPUT_OUTPUTS!$C$14</f>
        <v>100</v>
      </c>
      <c r="AK27" s="132">
        <f t="shared" ref="AK27:AL27" si="41">AK26</f>
        <v>55</v>
      </c>
      <c r="AL27" s="132">
        <f t="shared" si="41"/>
        <v>85</v>
      </c>
      <c r="AM27" s="132">
        <f t="shared" si="12"/>
        <v>0</v>
      </c>
      <c r="AN27" s="133">
        <f t="shared" si="21"/>
        <v>0</v>
      </c>
      <c r="AO27" s="133">
        <f t="shared" si="15"/>
        <v>0.5</v>
      </c>
      <c r="AP27" s="133">
        <f t="shared" si="22"/>
        <v>5</v>
      </c>
      <c r="AQ27" s="133" t="str">
        <f>IFERROR((_xlfn.XLOOKUP(AG27,'DO NOT TOUCH'!$Q$9:$Q$14,'DO NOT TOUCH'!$R$9:$R$14,)),"TBD")</f>
        <v>TBD</v>
      </c>
      <c r="AR27" s="133" t="str">
        <f>INPUT_OUTPUTS!$C$16</f>
        <v>C1/M-501</v>
      </c>
      <c r="AS27" s="135" t="str">
        <f t="shared" si="23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INPUT_OUTPUTS!$C$13</f>
        <v>140</v>
      </c>
      <c r="AJ28" s="132">
        <f>INPUT_OUTPUTS!$C$14</f>
        <v>100</v>
      </c>
      <c r="AK28" s="132">
        <f t="shared" ref="AK28:AL28" si="42">AK27</f>
        <v>55</v>
      </c>
      <c r="AL28" s="132">
        <f t="shared" si="42"/>
        <v>85</v>
      </c>
      <c r="AM28" s="132">
        <f t="shared" si="12"/>
        <v>0</v>
      </c>
      <c r="AN28" s="133">
        <f t="shared" si="21"/>
        <v>0</v>
      </c>
      <c r="AO28" s="133">
        <f t="shared" si="15"/>
        <v>0.5</v>
      </c>
      <c r="AP28" s="133">
        <f t="shared" si="22"/>
        <v>5</v>
      </c>
      <c r="AQ28" s="133" t="str">
        <f>IFERROR((_xlfn.XLOOKUP(AG28,'DO NOT TOUCH'!$Q$9:$Q$14,'DO NOT TOUCH'!$R$9:$R$14,)),"TBD")</f>
        <v>TBD</v>
      </c>
      <c r="AR28" s="133" t="str">
        <f>INPUT_OUTPUTS!$C$16</f>
        <v>C1/M-501</v>
      </c>
      <c r="AS28" s="135" t="str">
        <f t="shared" si="23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INPUT_OUTPUTS!$C$13</f>
        <v>140</v>
      </c>
      <c r="AJ29" s="132">
        <f>INPUT_OUTPUTS!$C$14</f>
        <v>100</v>
      </c>
      <c r="AK29" s="132">
        <f t="shared" ref="AK29:AL29" si="43">AK28</f>
        <v>55</v>
      </c>
      <c r="AL29" s="132">
        <f t="shared" si="43"/>
        <v>85</v>
      </c>
      <c r="AM29" s="132">
        <f t="shared" si="12"/>
        <v>0</v>
      </c>
      <c r="AN29" s="133">
        <f t="shared" si="21"/>
        <v>0</v>
      </c>
      <c r="AO29" s="133">
        <f t="shared" si="15"/>
        <v>0.5</v>
      </c>
      <c r="AP29" s="133">
        <f t="shared" si="22"/>
        <v>5</v>
      </c>
      <c r="AQ29" s="133" t="str">
        <f>IFERROR((_xlfn.XLOOKUP(AG29,'DO NOT TOUCH'!$Q$9:$Q$14,'DO NOT TOUCH'!$R$9:$R$14,)),"TBD")</f>
        <v>TBD</v>
      </c>
      <c r="AR29" s="133" t="str">
        <f>INPUT_OUTPUTS!$C$16</f>
        <v>C1/M-501</v>
      </c>
      <c r="AS29" s="135" t="str">
        <f t="shared" si="23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INPUT_OUTPUTS!$C$13</f>
        <v>140</v>
      </c>
      <c r="AJ30" s="132">
        <f>INPUT_OUTPUTS!$C$14</f>
        <v>100</v>
      </c>
      <c r="AK30" s="132">
        <f t="shared" ref="AK30:AL30" si="44">AK29</f>
        <v>55</v>
      </c>
      <c r="AL30" s="132">
        <f t="shared" si="44"/>
        <v>85</v>
      </c>
      <c r="AM30" s="132">
        <f t="shared" si="12"/>
        <v>0</v>
      </c>
      <c r="AN30" s="133">
        <f t="shared" si="21"/>
        <v>0</v>
      </c>
      <c r="AO30" s="133">
        <f t="shared" si="15"/>
        <v>0.5</v>
      </c>
      <c r="AP30" s="133">
        <f t="shared" si="22"/>
        <v>5</v>
      </c>
      <c r="AQ30" s="133" t="str">
        <f>IFERROR((_xlfn.XLOOKUP(AG30,'DO NOT TOUCH'!$Q$9:$Q$14,'DO NOT TOUCH'!$R$9:$R$14,)),"TBD")</f>
        <v>TBD</v>
      </c>
      <c r="AR30" s="133" t="str">
        <f>INPUT_OUTPUTS!$C$16</f>
        <v>C1/M-501</v>
      </c>
      <c r="AS30" s="135" t="str">
        <f t="shared" si="23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INPUT_OUTPUTS!$C$13</f>
        <v>140</v>
      </c>
      <c r="AJ31" s="132">
        <f>INPUT_OUTPUTS!$C$14</f>
        <v>100</v>
      </c>
      <c r="AK31" s="132">
        <f t="shared" ref="AK31:AL31" si="45">AK30</f>
        <v>55</v>
      </c>
      <c r="AL31" s="132">
        <f t="shared" si="45"/>
        <v>85</v>
      </c>
      <c r="AM31" s="132">
        <f t="shared" si="12"/>
        <v>0</v>
      </c>
      <c r="AN31" s="133">
        <f t="shared" si="21"/>
        <v>0</v>
      </c>
      <c r="AO31" s="133">
        <f t="shared" si="15"/>
        <v>0.5</v>
      </c>
      <c r="AP31" s="133">
        <f t="shared" si="22"/>
        <v>5</v>
      </c>
      <c r="AQ31" s="133" t="str">
        <f>IFERROR((_xlfn.XLOOKUP(AG31,'DO NOT TOUCH'!$Q$9:$Q$14,'DO NOT TOUCH'!$R$9:$R$14,)),"TBD")</f>
        <v>TBD</v>
      </c>
      <c r="AR31" s="133" t="str">
        <f>INPUT_OUTPUTS!$C$16</f>
        <v>C1/M-501</v>
      </c>
      <c r="AS31" s="135" t="str">
        <f t="shared" si="23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INPUT_OUTPUTS!$C$13</f>
        <v>140</v>
      </c>
      <c r="AJ32" s="132">
        <f>INPUT_OUTPUTS!$C$14</f>
        <v>100</v>
      </c>
      <c r="AK32" s="132">
        <f t="shared" ref="AK32:AL32" si="46">AK31</f>
        <v>55</v>
      </c>
      <c r="AL32" s="132">
        <f t="shared" si="46"/>
        <v>85</v>
      </c>
      <c r="AM32" s="132">
        <f t="shared" si="12"/>
        <v>0</v>
      </c>
      <c r="AN32" s="133">
        <f t="shared" si="21"/>
        <v>0</v>
      </c>
      <c r="AO32" s="133">
        <f t="shared" si="15"/>
        <v>0.5</v>
      </c>
      <c r="AP32" s="133">
        <f t="shared" si="22"/>
        <v>5</v>
      </c>
      <c r="AQ32" s="133" t="str">
        <f>IFERROR((_xlfn.XLOOKUP(AG32,'DO NOT TOUCH'!$Q$9:$Q$14,'DO NOT TOUCH'!$R$9:$R$14,)),"TBD")</f>
        <v>TBD</v>
      </c>
      <c r="AR32" s="133" t="str">
        <f>INPUT_OUTPUTS!$C$16</f>
        <v>C1/M-501</v>
      </c>
      <c r="AS32" s="135" t="str">
        <f t="shared" si="23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INPUT_OUTPUTS!$C$13</f>
        <v>140</v>
      </c>
      <c r="AJ33" s="132">
        <f>INPUT_OUTPUTS!$C$14</f>
        <v>100</v>
      </c>
      <c r="AK33" s="132">
        <f t="shared" ref="AK33:AL33" si="47">AK32</f>
        <v>55</v>
      </c>
      <c r="AL33" s="132">
        <f t="shared" si="47"/>
        <v>85</v>
      </c>
      <c r="AM33" s="132">
        <f t="shared" si="12"/>
        <v>0</v>
      </c>
      <c r="AN33" s="133">
        <f t="shared" si="21"/>
        <v>0</v>
      </c>
      <c r="AO33" s="133">
        <f t="shared" si="15"/>
        <v>0.5</v>
      </c>
      <c r="AP33" s="133">
        <f t="shared" si="22"/>
        <v>5</v>
      </c>
      <c r="AQ33" s="133" t="str">
        <f>IFERROR((_xlfn.XLOOKUP(AG33,'DO NOT TOUCH'!$Q$9:$Q$14,'DO NOT TOUCH'!$R$9:$R$14,)),"TBD")</f>
        <v>TBD</v>
      </c>
      <c r="AR33" s="133" t="str">
        <f>INPUT_OUTPUTS!$C$16</f>
        <v>C1/M-501</v>
      </c>
      <c r="AS33" s="135" t="str">
        <f t="shared" si="23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INPUT_OUTPUTS!$C$13</f>
        <v>140</v>
      </c>
      <c r="AJ34" s="132">
        <f>INPUT_OUTPUTS!$C$14</f>
        <v>100</v>
      </c>
      <c r="AK34" s="132">
        <f t="shared" ref="AK34:AL34" si="48">AK33</f>
        <v>55</v>
      </c>
      <c r="AL34" s="132">
        <f t="shared" si="48"/>
        <v>85</v>
      </c>
      <c r="AM34" s="132">
        <f t="shared" si="12"/>
        <v>0</v>
      </c>
      <c r="AN34" s="133">
        <f t="shared" si="21"/>
        <v>0</v>
      </c>
      <c r="AO34" s="133">
        <f t="shared" si="15"/>
        <v>0.5</v>
      </c>
      <c r="AP34" s="133">
        <f t="shared" si="22"/>
        <v>5</v>
      </c>
      <c r="AQ34" s="133" t="str">
        <f>IFERROR((_xlfn.XLOOKUP(AG34,'DO NOT TOUCH'!$Q$9:$Q$14,'DO NOT TOUCH'!$R$9:$R$14,)),"TBD")</f>
        <v>TBD</v>
      </c>
      <c r="AR34" s="133" t="str">
        <f>INPUT_OUTPUTS!$C$16</f>
        <v>C1/M-501</v>
      </c>
      <c r="AS34" s="135" t="str">
        <f t="shared" si="23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INPUT_OUTPUTS!$C$13</f>
        <v>140</v>
      </c>
      <c r="AJ35" s="132">
        <f>INPUT_OUTPUTS!$C$14</f>
        <v>100</v>
      </c>
      <c r="AK35" s="132">
        <f t="shared" ref="AK35:AL35" si="49">AK34</f>
        <v>55</v>
      </c>
      <c r="AL35" s="132">
        <f t="shared" si="49"/>
        <v>85</v>
      </c>
      <c r="AM35" s="132">
        <f t="shared" si="12"/>
        <v>0</v>
      </c>
      <c r="AN35" s="133">
        <f t="shared" si="21"/>
        <v>0</v>
      </c>
      <c r="AO35" s="133">
        <f t="shared" si="15"/>
        <v>0.5</v>
      </c>
      <c r="AP35" s="133">
        <f t="shared" si="22"/>
        <v>5</v>
      </c>
      <c r="AQ35" s="133" t="str">
        <f>IFERROR((_xlfn.XLOOKUP(AG35,'DO NOT TOUCH'!$Q$9:$Q$14,'DO NOT TOUCH'!$R$9:$R$14,)),"TBD")</f>
        <v>TBD</v>
      </c>
      <c r="AR35" s="133" t="str">
        <f>INPUT_OUTPUTS!$C$16</f>
        <v>C1/M-501</v>
      </c>
      <c r="AS35" s="135" t="str">
        <f t="shared" si="23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INPUT_OUTPUTS!$C$13</f>
        <v>140</v>
      </c>
      <c r="AJ36" s="132">
        <f>INPUT_OUTPUTS!$C$14</f>
        <v>100</v>
      </c>
      <c r="AK36" s="132">
        <f t="shared" ref="AK36:AL36" si="50">AK35</f>
        <v>55</v>
      </c>
      <c r="AL36" s="132">
        <f t="shared" si="50"/>
        <v>85</v>
      </c>
      <c r="AM36" s="132">
        <f t="shared" si="12"/>
        <v>0</v>
      </c>
      <c r="AN36" s="133">
        <f t="shared" si="21"/>
        <v>0</v>
      </c>
      <c r="AO36" s="133">
        <f t="shared" si="15"/>
        <v>0.5</v>
      </c>
      <c r="AP36" s="133">
        <f t="shared" si="22"/>
        <v>5</v>
      </c>
      <c r="AQ36" s="133" t="str">
        <f>IFERROR((_xlfn.XLOOKUP(AG36,'DO NOT TOUCH'!$Q$9:$Q$14,'DO NOT TOUCH'!$R$9:$R$14,)),"TBD")</f>
        <v>TBD</v>
      </c>
      <c r="AR36" s="133" t="str">
        <f>INPUT_OUTPUTS!$C$16</f>
        <v>C1/M-501</v>
      </c>
      <c r="AS36" s="135" t="str">
        <f t="shared" si="23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INPUT_OUTPUTS!$C$13</f>
        <v>140</v>
      </c>
      <c r="AJ37" s="132">
        <f>INPUT_OUTPUTS!$C$14</f>
        <v>100</v>
      </c>
      <c r="AK37" s="132">
        <f t="shared" ref="AK37:AL37" si="51">AK36</f>
        <v>55</v>
      </c>
      <c r="AL37" s="132">
        <f t="shared" si="51"/>
        <v>85</v>
      </c>
      <c r="AM37" s="132">
        <f t="shared" si="12"/>
        <v>0</v>
      </c>
      <c r="AN37" s="133">
        <f t="shared" si="21"/>
        <v>0</v>
      </c>
      <c r="AO37" s="133">
        <f t="shared" si="15"/>
        <v>0.5</v>
      </c>
      <c r="AP37" s="133">
        <f t="shared" si="22"/>
        <v>5</v>
      </c>
      <c r="AQ37" s="133" t="str">
        <f>IFERROR((_xlfn.XLOOKUP(AG37,'DO NOT TOUCH'!$Q$9:$Q$14,'DO NOT TOUCH'!$R$9:$R$14,)),"TBD")</f>
        <v>TBD</v>
      </c>
      <c r="AR37" s="133" t="str">
        <f>INPUT_OUTPUTS!$C$16</f>
        <v>C1/M-501</v>
      </c>
      <c r="AS37" s="135" t="str">
        <f t="shared" si="23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INPUT_OUTPUTS!$C$13</f>
        <v>140</v>
      </c>
      <c r="AJ38" s="132">
        <f>INPUT_OUTPUTS!$C$14</f>
        <v>100</v>
      </c>
      <c r="AK38" s="132">
        <f t="shared" ref="AK38:AL38" si="52">AK37</f>
        <v>55</v>
      </c>
      <c r="AL38" s="132">
        <f t="shared" si="52"/>
        <v>85</v>
      </c>
      <c r="AM38" s="132">
        <f t="shared" si="12"/>
        <v>0</v>
      </c>
      <c r="AN38" s="133">
        <f t="shared" si="21"/>
        <v>0</v>
      </c>
      <c r="AO38" s="133">
        <f t="shared" si="15"/>
        <v>0.5</v>
      </c>
      <c r="AP38" s="133">
        <f t="shared" si="22"/>
        <v>5</v>
      </c>
      <c r="AQ38" s="133" t="str">
        <f>IFERROR((_xlfn.XLOOKUP(AG38,'DO NOT TOUCH'!$Q$9:$Q$14,'DO NOT TOUCH'!$R$9:$R$14,)),"TBD")</f>
        <v>TBD</v>
      </c>
      <c r="AR38" s="133" t="str">
        <f>INPUT_OUTPUTS!$C$16</f>
        <v>C1/M-501</v>
      </c>
      <c r="AS38" s="135" t="str">
        <f t="shared" si="23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ref="I39:I69" si="53">IF(H39="Yes",K39,"-")</f>
        <v>-</v>
      </c>
      <c r="J39" s="117">
        <v>0</v>
      </c>
      <c r="K39" s="93">
        <f t="shared" ref="K39:K69" si="54">IF(G39&lt;&gt;"NR",ROUNDUP((E39*F39*G39)/60,-1),0)</f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ref="P39:P69" si="55">IF(O39&lt;&gt;"NR",ROUNDUP((E39*F39*O39)/60,-1),0)</f>
        <v>0</v>
      </c>
      <c r="Q39" s="81" t="str">
        <f>VLOOKUP($M39,'UMC Table 4-A'!$A$10:$E$139,5,FALSE)</f>
        <v>NR</v>
      </c>
      <c r="R39" s="82">
        <f t="shared" ref="R39:R69" si="56">IF(N39="Negative",IF(OR(M39="Toilet room",M39="Janitor's closet, housekeeping"),0,IF(0.1*U39&gt;50,220-0.1*U39,U39-50)),IF(Q39="Yes",0,CEILING(MAX(J39:L39),5)))</f>
        <v>0</v>
      </c>
      <c r="S39" s="119">
        <f t="shared" ref="S39:S78" si="57">R39</f>
        <v>0</v>
      </c>
      <c r="T39" s="119">
        <f t="shared" si="5"/>
        <v>0</v>
      </c>
      <c r="U39" s="119">
        <f t="shared" ref="U39:U78" si="58">IF(Q39="Yes",I39,0)</f>
        <v>0</v>
      </c>
      <c r="V39" s="71">
        <f t="shared" ref="V39:V69" si="59">S39-T39-U39</f>
        <v>0</v>
      </c>
      <c r="W39" s="27" t="str">
        <f t="shared" ref="W39:W69" si="60">IF(R39-T39-U39+V39=0,"Yes","No")</f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INPUT_OUTPUTS!$C$13</f>
        <v>140</v>
      </c>
      <c r="AJ39" s="132">
        <f>INPUT_OUTPUTS!$C$14</f>
        <v>100</v>
      </c>
      <c r="AK39" s="132">
        <f t="shared" ref="AK39:AL39" si="61">AK38</f>
        <v>55</v>
      </c>
      <c r="AL39" s="132">
        <f t="shared" si="61"/>
        <v>85</v>
      </c>
      <c r="AM39" s="132">
        <f t="shared" si="12"/>
        <v>0</v>
      </c>
      <c r="AN39" s="133">
        <f t="shared" si="21"/>
        <v>0</v>
      </c>
      <c r="AO39" s="133">
        <f t="shared" si="15"/>
        <v>0.5</v>
      </c>
      <c r="AP39" s="133">
        <f t="shared" si="22"/>
        <v>5</v>
      </c>
      <c r="AQ39" s="133" t="str">
        <f>IFERROR((_xlfn.XLOOKUP(AG39,'DO NOT TOUCH'!$Q$9:$Q$14,'DO NOT TOUCH'!$R$9:$R$14,)),"TBD")</f>
        <v>TBD</v>
      </c>
      <c r="AR39" s="133" t="str">
        <f>INPUT_OUTPUTS!$C$16</f>
        <v>C1/M-501</v>
      </c>
      <c r="AS39" s="135" t="str">
        <f t="shared" si="23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53"/>
        <v>-</v>
      </c>
      <c r="J40" s="117">
        <v>0</v>
      </c>
      <c r="K40" s="93">
        <f t="shared" si="54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55"/>
        <v>0</v>
      </c>
      <c r="Q40" s="81" t="str">
        <f>VLOOKUP($M40,'UMC Table 4-A'!$A$10:$E$139,5,FALSE)</f>
        <v>NR</v>
      </c>
      <c r="R40" s="82">
        <f t="shared" si="56"/>
        <v>0</v>
      </c>
      <c r="S40" s="119">
        <f t="shared" si="57"/>
        <v>0</v>
      </c>
      <c r="T40" s="119">
        <f t="shared" si="5"/>
        <v>0</v>
      </c>
      <c r="U40" s="119">
        <f t="shared" si="58"/>
        <v>0</v>
      </c>
      <c r="V40" s="71">
        <f t="shared" si="59"/>
        <v>0</v>
      </c>
      <c r="W40" s="27" t="str">
        <f t="shared" si="60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INPUT_OUTPUTS!$C$13</f>
        <v>140</v>
      </c>
      <c r="AJ40" s="132">
        <f>INPUT_OUTPUTS!$C$14</f>
        <v>100</v>
      </c>
      <c r="AK40" s="132">
        <f t="shared" ref="AK40:AL40" si="62">AK39</f>
        <v>55</v>
      </c>
      <c r="AL40" s="132">
        <f t="shared" si="62"/>
        <v>85</v>
      </c>
      <c r="AM40" s="132">
        <f t="shared" si="12"/>
        <v>0</v>
      </c>
      <c r="AN40" s="133">
        <f t="shared" si="21"/>
        <v>0</v>
      </c>
      <c r="AO40" s="133">
        <f t="shared" si="15"/>
        <v>0.5</v>
      </c>
      <c r="AP40" s="133">
        <f t="shared" si="22"/>
        <v>5</v>
      </c>
      <c r="AQ40" s="133" t="str">
        <f>IFERROR((_xlfn.XLOOKUP(AG40,'DO NOT TOUCH'!$Q$9:$Q$14,'DO NOT TOUCH'!$R$9:$R$14,)),"TBD")</f>
        <v>TBD</v>
      </c>
      <c r="AR40" s="133" t="str">
        <f>INPUT_OUTPUTS!$C$16</f>
        <v>C1/M-501</v>
      </c>
      <c r="AS40" s="135" t="str">
        <f t="shared" si="23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53"/>
        <v>-</v>
      </c>
      <c r="J41" s="117">
        <v>0</v>
      </c>
      <c r="K41" s="93">
        <f t="shared" si="54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55"/>
        <v>0</v>
      </c>
      <c r="Q41" s="81" t="str">
        <f>VLOOKUP($M41,'UMC Table 4-A'!$A$10:$E$139,5,FALSE)</f>
        <v>NR</v>
      </c>
      <c r="R41" s="82">
        <f t="shared" si="56"/>
        <v>0</v>
      </c>
      <c r="S41" s="119">
        <f t="shared" si="57"/>
        <v>0</v>
      </c>
      <c r="T41" s="119">
        <f t="shared" si="5"/>
        <v>0</v>
      </c>
      <c r="U41" s="119">
        <f t="shared" si="58"/>
        <v>0</v>
      </c>
      <c r="V41" s="71">
        <f t="shared" si="59"/>
        <v>0</v>
      </c>
      <c r="W41" s="27" t="str">
        <f t="shared" si="60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INPUT_OUTPUTS!$C$13</f>
        <v>140</v>
      </c>
      <c r="AJ41" s="132">
        <f>INPUT_OUTPUTS!$C$14</f>
        <v>100</v>
      </c>
      <c r="AK41" s="132">
        <f t="shared" ref="AK41:AL41" si="63">AK40</f>
        <v>55</v>
      </c>
      <c r="AL41" s="132">
        <f t="shared" si="63"/>
        <v>85</v>
      </c>
      <c r="AM41" s="132">
        <f t="shared" si="12"/>
        <v>0</v>
      </c>
      <c r="AN41" s="133">
        <f t="shared" si="21"/>
        <v>0</v>
      </c>
      <c r="AO41" s="133">
        <f t="shared" si="15"/>
        <v>0.5</v>
      </c>
      <c r="AP41" s="133">
        <f t="shared" si="22"/>
        <v>5</v>
      </c>
      <c r="AQ41" s="133" t="str">
        <f>IFERROR((_xlfn.XLOOKUP(AG41,'DO NOT TOUCH'!$Q$9:$Q$14,'DO NOT TOUCH'!$R$9:$R$14,)),"TBD")</f>
        <v>TBD</v>
      </c>
      <c r="AR41" s="133" t="str">
        <f>INPUT_OUTPUTS!$C$16</f>
        <v>C1/M-501</v>
      </c>
      <c r="AS41" s="135" t="str">
        <f t="shared" si="23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53"/>
        <v>-</v>
      </c>
      <c r="J42" s="117">
        <v>0</v>
      </c>
      <c r="K42" s="93">
        <f t="shared" si="54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55"/>
        <v>0</v>
      </c>
      <c r="Q42" s="81" t="str">
        <f>VLOOKUP($M42,'UMC Table 4-A'!$A$10:$E$139,5,FALSE)</f>
        <v>NR</v>
      </c>
      <c r="R42" s="82">
        <f t="shared" si="56"/>
        <v>0</v>
      </c>
      <c r="S42" s="119">
        <f t="shared" si="57"/>
        <v>0</v>
      </c>
      <c r="T42" s="119">
        <f t="shared" si="5"/>
        <v>0</v>
      </c>
      <c r="U42" s="119">
        <f t="shared" si="58"/>
        <v>0</v>
      </c>
      <c r="V42" s="71">
        <f t="shared" si="59"/>
        <v>0</v>
      </c>
      <c r="W42" s="27" t="str">
        <f t="shared" si="60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INPUT_OUTPUTS!$C$13</f>
        <v>140</v>
      </c>
      <c r="AJ42" s="132">
        <f>INPUT_OUTPUTS!$C$14</f>
        <v>100</v>
      </c>
      <c r="AK42" s="132">
        <f t="shared" ref="AK42:AL42" si="64">AK41</f>
        <v>55</v>
      </c>
      <c r="AL42" s="132">
        <f t="shared" si="64"/>
        <v>85</v>
      </c>
      <c r="AM42" s="132">
        <f t="shared" si="12"/>
        <v>0</v>
      </c>
      <c r="AN42" s="133">
        <f t="shared" si="21"/>
        <v>0</v>
      </c>
      <c r="AO42" s="133">
        <f t="shared" si="15"/>
        <v>0.5</v>
      </c>
      <c r="AP42" s="133">
        <f t="shared" si="22"/>
        <v>5</v>
      </c>
      <c r="AQ42" s="133" t="str">
        <f>IFERROR((_xlfn.XLOOKUP(AG42,'DO NOT TOUCH'!$Q$9:$Q$14,'DO NOT TOUCH'!$R$9:$R$14,)),"TBD")</f>
        <v>TBD</v>
      </c>
      <c r="AR42" s="133" t="str">
        <f>INPUT_OUTPUTS!$C$16</f>
        <v>C1/M-501</v>
      </c>
      <c r="AS42" s="135" t="str">
        <f t="shared" si="23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53"/>
        <v>-</v>
      </c>
      <c r="J43" s="117">
        <v>0</v>
      </c>
      <c r="K43" s="93">
        <f t="shared" si="54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55"/>
        <v>0</v>
      </c>
      <c r="Q43" s="81" t="str">
        <f>VLOOKUP($M43,'UMC Table 4-A'!$A$10:$E$139,5,FALSE)</f>
        <v>NR</v>
      </c>
      <c r="R43" s="82">
        <f t="shared" si="56"/>
        <v>0</v>
      </c>
      <c r="S43" s="119">
        <f t="shared" si="57"/>
        <v>0</v>
      </c>
      <c r="T43" s="119">
        <f t="shared" si="5"/>
        <v>0</v>
      </c>
      <c r="U43" s="119">
        <f t="shared" si="58"/>
        <v>0</v>
      </c>
      <c r="V43" s="71">
        <f t="shared" si="59"/>
        <v>0</v>
      </c>
      <c r="W43" s="27" t="str">
        <f t="shared" si="60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INPUT_OUTPUTS!$C$13</f>
        <v>140</v>
      </c>
      <c r="AJ43" s="132">
        <f>INPUT_OUTPUTS!$C$14</f>
        <v>100</v>
      </c>
      <c r="AK43" s="132">
        <f t="shared" ref="AK43:AL44" si="65">AK42</f>
        <v>55</v>
      </c>
      <c r="AL43" s="132">
        <f t="shared" si="65"/>
        <v>85</v>
      </c>
      <c r="AM43" s="132">
        <f t="shared" si="12"/>
        <v>0</v>
      </c>
      <c r="AN43" s="133">
        <f t="shared" si="21"/>
        <v>0</v>
      </c>
      <c r="AO43" s="133">
        <f t="shared" si="15"/>
        <v>0.5</v>
      </c>
      <c r="AP43" s="133">
        <f t="shared" si="22"/>
        <v>5</v>
      </c>
      <c r="AQ43" s="133" t="str">
        <f>IFERROR((_xlfn.XLOOKUP(AG43,'DO NOT TOUCH'!$Q$9:$Q$14,'DO NOT TOUCH'!$R$9:$R$14,)),"TBD")</f>
        <v>TBD</v>
      </c>
      <c r="AR43" s="133" t="str">
        <f>INPUT_OUTPUTS!$C$16</f>
        <v>C1/M-501</v>
      </c>
      <c r="AS43" s="135" t="str">
        <f t="shared" si="23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53"/>
        <v>-</v>
      </c>
      <c r="J44" s="117">
        <v>0</v>
      </c>
      <c r="K44" s="93">
        <f t="shared" si="54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55"/>
        <v>0</v>
      </c>
      <c r="Q44" s="81" t="str">
        <f>VLOOKUP($M44,'UMC Table 4-A'!$A$10:$E$139,5,FALSE)</f>
        <v>NR</v>
      </c>
      <c r="R44" s="82">
        <f t="shared" si="56"/>
        <v>0</v>
      </c>
      <c r="S44" s="119">
        <f t="shared" si="57"/>
        <v>0</v>
      </c>
      <c r="T44" s="119">
        <f t="shared" si="5"/>
        <v>0</v>
      </c>
      <c r="U44" s="119">
        <f t="shared" si="58"/>
        <v>0</v>
      </c>
      <c r="V44" s="71">
        <f t="shared" si="59"/>
        <v>0</v>
      </c>
      <c r="W44" s="27" t="str">
        <f t="shared" si="60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INPUT_OUTPUTS!$C$13</f>
        <v>140</v>
      </c>
      <c r="AJ44" s="138">
        <f>INPUT_OUTPUTS!$C$14</f>
        <v>100</v>
      </c>
      <c r="AK44" s="138">
        <f t="shared" si="65"/>
        <v>55</v>
      </c>
      <c r="AL44" s="138">
        <f t="shared" si="65"/>
        <v>85</v>
      </c>
      <c r="AM44" s="138">
        <f t="shared" si="12"/>
        <v>0</v>
      </c>
      <c r="AN44" s="139">
        <f t="shared" ref="AN44" si="66">(AM44*1000)/(500*(AI44-AJ44))</f>
        <v>0</v>
      </c>
      <c r="AO44" s="139">
        <f t="shared" ref="AO44" si="67">IF(AN44&lt;0.5,0.5,AN44)</f>
        <v>0.5</v>
      </c>
      <c r="AP44" s="139">
        <f t="shared" si="22"/>
        <v>5</v>
      </c>
      <c r="AQ44" s="139" t="str">
        <f>IFERROR((_xlfn.XLOOKUP(AG44,'DO NOT TOUCH'!$Q$9:$Q$14,'DO NOT TOUCH'!$R$9:$R$14,)),"TBD")</f>
        <v>TBD</v>
      </c>
      <c r="AR44" s="133" t="str">
        <f>INPUT_OUTPUTS!$C$16</f>
        <v>C1/M-501</v>
      </c>
      <c r="AS44" s="140" t="str">
        <f t="shared" si="23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53"/>
        <v>-</v>
      </c>
      <c r="J45" s="117">
        <v>0</v>
      </c>
      <c r="K45" s="93">
        <f t="shared" si="54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55"/>
        <v>0</v>
      </c>
      <c r="Q45" s="81" t="str">
        <f>VLOOKUP($M45,'UMC Table 4-A'!$A$10:$E$139,5,FALSE)</f>
        <v>NR</v>
      </c>
      <c r="R45" s="82">
        <f t="shared" si="56"/>
        <v>0</v>
      </c>
      <c r="S45" s="119">
        <f t="shared" si="57"/>
        <v>0</v>
      </c>
      <c r="T45" s="119">
        <f t="shared" si="5"/>
        <v>0</v>
      </c>
      <c r="U45" s="119">
        <f t="shared" si="58"/>
        <v>0</v>
      </c>
      <c r="V45" s="71">
        <f t="shared" si="59"/>
        <v>0</v>
      </c>
      <c r="W45" s="27" t="str">
        <f t="shared" si="60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317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SUBTOTAL(109,AHU1_CAV_SCHEDULE[MIN MBH])</f>
        <v>0</v>
      </c>
      <c r="AN45" s="161"/>
      <c r="AO45" s="163">
        <f>SUBTOTAL(109,AHU1_CAV_SCHEDULE[GPM])</f>
        <v>19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53"/>
        <v>-</v>
      </c>
      <c r="J46" s="117">
        <v>0</v>
      </c>
      <c r="K46" s="93">
        <f t="shared" si="54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55"/>
        <v>0</v>
      </c>
      <c r="Q46" s="81" t="str">
        <f>VLOOKUP($M46,'UMC Table 4-A'!$A$10:$E$139,5,FALSE)</f>
        <v>NR</v>
      </c>
      <c r="R46" s="82">
        <f t="shared" si="56"/>
        <v>0</v>
      </c>
      <c r="S46" s="119">
        <f t="shared" si="57"/>
        <v>0</v>
      </c>
      <c r="T46" s="119">
        <f t="shared" si="5"/>
        <v>0</v>
      </c>
      <c r="U46" s="119">
        <f t="shared" si="58"/>
        <v>0</v>
      </c>
      <c r="V46" s="71">
        <f t="shared" si="59"/>
        <v>0</v>
      </c>
      <c r="W46" s="27" t="str">
        <f t="shared" si="60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196" t="s">
        <v>126</v>
      </c>
      <c r="AD46" s="197"/>
      <c r="AE46" s="197"/>
      <c r="AF46" s="197"/>
      <c r="AG46" s="197"/>
      <c r="AH46" s="197"/>
      <c r="AI46" s="197"/>
      <c r="AJ46" s="197"/>
      <c r="AK46" s="197"/>
      <c r="AL46" s="197"/>
      <c r="AM46" s="197"/>
      <c r="AN46" s="197"/>
      <c r="AO46" s="197"/>
      <c r="AP46" s="197"/>
      <c r="AQ46" s="197"/>
      <c r="AR46" s="197"/>
      <c r="AS46" s="198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53"/>
        <v>-</v>
      </c>
      <c r="J47" s="117">
        <v>0</v>
      </c>
      <c r="K47" s="93">
        <f t="shared" si="54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55"/>
        <v>0</v>
      </c>
      <c r="Q47" s="81" t="str">
        <f>VLOOKUP($M47,'UMC Table 4-A'!$A$10:$E$139,5,FALSE)</f>
        <v>NR</v>
      </c>
      <c r="R47" s="82">
        <f t="shared" si="56"/>
        <v>0</v>
      </c>
      <c r="S47" s="119">
        <f t="shared" si="57"/>
        <v>0</v>
      </c>
      <c r="T47" s="119">
        <f t="shared" si="5"/>
        <v>0</v>
      </c>
      <c r="U47" s="119">
        <f t="shared" si="58"/>
        <v>0</v>
      </c>
      <c r="V47" s="71">
        <f t="shared" si="59"/>
        <v>0</v>
      </c>
      <c r="W47" s="27" t="str">
        <f t="shared" si="60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199"/>
      <c r="AD47" s="200"/>
      <c r="AE47" s="200"/>
      <c r="AF47" s="200"/>
      <c r="AG47" s="200"/>
      <c r="AH47" s="200"/>
      <c r="AI47" s="200"/>
      <c r="AJ47" s="200"/>
      <c r="AK47" s="200"/>
      <c r="AL47" s="200"/>
      <c r="AM47" s="200"/>
      <c r="AN47" s="200"/>
      <c r="AO47" s="200"/>
      <c r="AP47" s="200"/>
      <c r="AQ47" s="200"/>
      <c r="AR47" s="200"/>
      <c r="AS47" s="201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53"/>
        <v>-</v>
      </c>
      <c r="J48" s="117">
        <v>0</v>
      </c>
      <c r="K48" s="93">
        <f t="shared" si="54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55"/>
        <v>0</v>
      </c>
      <c r="Q48" s="81" t="str">
        <f>VLOOKUP($M48,'UMC Table 4-A'!$A$10:$E$139,5,FALSE)</f>
        <v>NR</v>
      </c>
      <c r="R48" s="82">
        <f t="shared" si="56"/>
        <v>0</v>
      </c>
      <c r="S48" s="119">
        <f t="shared" si="57"/>
        <v>0</v>
      </c>
      <c r="T48" s="119">
        <f t="shared" si="5"/>
        <v>0</v>
      </c>
      <c r="U48" s="119">
        <f t="shared" si="58"/>
        <v>0</v>
      </c>
      <c r="V48" s="71">
        <f t="shared" si="59"/>
        <v>0</v>
      </c>
      <c r="W48" s="27" t="str">
        <f t="shared" si="60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199"/>
      <c r="AD48" s="200"/>
      <c r="AE48" s="200"/>
      <c r="AF48" s="200"/>
      <c r="AG48" s="200"/>
      <c r="AH48" s="200"/>
      <c r="AI48" s="200"/>
      <c r="AJ48" s="200"/>
      <c r="AK48" s="200"/>
      <c r="AL48" s="200"/>
      <c r="AM48" s="200"/>
      <c r="AN48" s="200"/>
      <c r="AO48" s="200"/>
      <c r="AP48" s="200"/>
      <c r="AQ48" s="200"/>
      <c r="AR48" s="200"/>
      <c r="AS48" s="201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53"/>
        <v>-</v>
      </c>
      <c r="J49" s="117">
        <v>0</v>
      </c>
      <c r="K49" s="93">
        <f t="shared" si="54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55"/>
        <v>0</v>
      </c>
      <c r="Q49" s="81" t="str">
        <f>VLOOKUP($M49,'UMC Table 4-A'!$A$10:$E$139,5,FALSE)</f>
        <v>NR</v>
      </c>
      <c r="R49" s="82">
        <f t="shared" si="56"/>
        <v>0</v>
      </c>
      <c r="S49" s="119">
        <f t="shared" si="57"/>
        <v>0</v>
      </c>
      <c r="T49" s="119">
        <f t="shared" si="5"/>
        <v>0</v>
      </c>
      <c r="U49" s="119">
        <f t="shared" si="58"/>
        <v>0</v>
      </c>
      <c r="V49" s="71">
        <f t="shared" si="59"/>
        <v>0</v>
      </c>
      <c r="W49" s="27" t="str">
        <f t="shared" si="60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02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4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53"/>
        <v>-</v>
      </c>
      <c r="J50" s="117">
        <v>0</v>
      </c>
      <c r="K50" s="93">
        <f t="shared" si="54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55"/>
        <v>0</v>
      </c>
      <c r="Q50" s="81" t="str">
        <f>VLOOKUP($M50,'UMC Table 4-A'!$A$10:$E$139,5,FALSE)</f>
        <v>NR</v>
      </c>
      <c r="R50" s="82">
        <f t="shared" si="56"/>
        <v>0</v>
      </c>
      <c r="S50" s="119">
        <f t="shared" si="57"/>
        <v>0</v>
      </c>
      <c r="T50" s="119">
        <f t="shared" si="5"/>
        <v>0</v>
      </c>
      <c r="U50" s="119">
        <f t="shared" si="58"/>
        <v>0</v>
      </c>
      <c r="V50" s="71">
        <f t="shared" si="59"/>
        <v>0</v>
      </c>
      <c r="W50" s="27" t="str">
        <f t="shared" si="60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53"/>
        <v>-</v>
      </c>
      <c r="J51" s="117">
        <v>0</v>
      </c>
      <c r="K51" s="93">
        <f t="shared" si="54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55"/>
        <v>0</v>
      </c>
      <c r="Q51" s="81" t="str">
        <f>VLOOKUP($M51,'UMC Table 4-A'!$A$10:$E$139,5,FALSE)</f>
        <v>NR</v>
      </c>
      <c r="R51" s="82">
        <f t="shared" si="56"/>
        <v>0</v>
      </c>
      <c r="S51" s="119">
        <f t="shared" si="57"/>
        <v>0</v>
      </c>
      <c r="T51" s="119">
        <f t="shared" si="5"/>
        <v>0</v>
      </c>
      <c r="U51" s="119">
        <f t="shared" si="58"/>
        <v>0</v>
      </c>
      <c r="V51" s="71">
        <f t="shared" si="59"/>
        <v>0</v>
      </c>
      <c r="W51" s="27" t="str">
        <f t="shared" si="60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53"/>
        <v>-</v>
      </c>
      <c r="J52" s="117">
        <v>0</v>
      </c>
      <c r="K52" s="93">
        <f t="shared" si="54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55"/>
        <v>0</v>
      </c>
      <c r="Q52" s="81" t="str">
        <f>VLOOKUP($M52,'UMC Table 4-A'!$A$10:$E$139,5,FALSE)</f>
        <v>NR</v>
      </c>
      <c r="R52" s="82">
        <f t="shared" si="56"/>
        <v>0</v>
      </c>
      <c r="S52" s="119">
        <f t="shared" si="57"/>
        <v>0</v>
      </c>
      <c r="T52" s="119">
        <f t="shared" si="5"/>
        <v>0</v>
      </c>
      <c r="U52" s="119">
        <f t="shared" si="58"/>
        <v>0</v>
      </c>
      <c r="V52" s="71">
        <f t="shared" si="59"/>
        <v>0</v>
      </c>
      <c r="W52" s="27" t="str">
        <f t="shared" si="60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53"/>
        <v>-</v>
      </c>
      <c r="J53" s="117">
        <v>0</v>
      </c>
      <c r="K53" s="93">
        <f t="shared" si="54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55"/>
        <v>0</v>
      </c>
      <c r="Q53" s="81" t="str">
        <f>VLOOKUP($M53,'UMC Table 4-A'!$A$10:$E$139,5,FALSE)</f>
        <v>NR</v>
      </c>
      <c r="R53" s="82">
        <f t="shared" si="56"/>
        <v>0</v>
      </c>
      <c r="S53" s="119">
        <f t="shared" si="57"/>
        <v>0</v>
      </c>
      <c r="T53" s="119">
        <f t="shared" si="5"/>
        <v>0</v>
      </c>
      <c r="U53" s="119">
        <f t="shared" si="58"/>
        <v>0</v>
      </c>
      <c r="V53" s="71">
        <f t="shared" si="59"/>
        <v>0</v>
      </c>
      <c r="W53" s="27" t="str">
        <f t="shared" si="60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53"/>
        <v>-</v>
      </c>
      <c r="J54" s="117">
        <v>0</v>
      </c>
      <c r="K54" s="93">
        <f t="shared" si="54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55"/>
        <v>0</v>
      </c>
      <c r="Q54" s="81" t="str">
        <f>VLOOKUP($M54,'UMC Table 4-A'!$A$10:$E$139,5,FALSE)</f>
        <v>NR</v>
      </c>
      <c r="R54" s="82">
        <f t="shared" si="56"/>
        <v>0</v>
      </c>
      <c r="S54" s="119">
        <f t="shared" si="57"/>
        <v>0</v>
      </c>
      <c r="T54" s="119">
        <f t="shared" si="5"/>
        <v>0</v>
      </c>
      <c r="U54" s="119">
        <f t="shared" si="58"/>
        <v>0</v>
      </c>
      <c r="V54" s="71">
        <f t="shared" si="59"/>
        <v>0</v>
      </c>
      <c r="W54" s="27" t="str">
        <f t="shared" si="60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53"/>
        <v>-</v>
      </c>
      <c r="J55" s="117">
        <v>0</v>
      </c>
      <c r="K55" s="93">
        <f t="shared" si="54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55"/>
        <v>0</v>
      </c>
      <c r="Q55" s="81" t="str">
        <f>VLOOKUP($M55,'UMC Table 4-A'!$A$10:$E$139,5,FALSE)</f>
        <v>NR</v>
      </c>
      <c r="R55" s="82">
        <f t="shared" si="56"/>
        <v>0</v>
      </c>
      <c r="S55" s="119">
        <f t="shared" si="57"/>
        <v>0</v>
      </c>
      <c r="T55" s="119">
        <f t="shared" si="5"/>
        <v>0</v>
      </c>
      <c r="U55" s="119">
        <f t="shared" si="58"/>
        <v>0</v>
      </c>
      <c r="V55" s="71">
        <f t="shared" si="59"/>
        <v>0</v>
      </c>
      <c r="W55" s="27" t="str">
        <f t="shared" si="60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53"/>
        <v>-</v>
      </c>
      <c r="J56" s="117">
        <v>0</v>
      </c>
      <c r="K56" s="93">
        <f t="shared" si="54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55"/>
        <v>0</v>
      </c>
      <c r="Q56" s="81" t="str">
        <f>VLOOKUP($M56,'UMC Table 4-A'!$A$10:$E$139,5,FALSE)</f>
        <v>NR</v>
      </c>
      <c r="R56" s="82">
        <f t="shared" si="56"/>
        <v>0</v>
      </c>
      <c r="S56" s="119">
        <f t="shared" si="57"/>
        <v>0</v>
      </c>
      <c r="T56" s="119">
        <f t="shared" si="5"/>
        <v>0</v>
      </c>
      <c r="U56" s="119">
        <f t="shared" si="58"/>
        <v>0</v>
      </c>
      <c r="V56" s="71">
        <f t="shared" si="59"/>
        <v>0</v>
      </c>
      <c r="W56" s="27" t="str">
        <f t="shared" si="60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53"/>
        <v>-</v>
      </c>
      <c r="J57" s="117">
        <v>0</v>
      </c>
      <c r="K57" s="93">
        <f t="shared" si="54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55"/>
        <v>0</v>
      </c>
      <c r="Q57" s="81" t="str">
        <f>VLOOKUP($M57,'UMC Table 4-A'!$A$10:$E$139,5,FALSE)</f>
        <v>NR</v>
      </c>
      <c r="R57" s="82">
        <f t="shared" si="56"/>
        <v>0</v>
      </c>
      <c r="S57" s="119">
        <f t="shared" si="57"/>
        <v>0</v>
      </c>
      <c r="T57" s="119">
        <f t="shared" si="5"/>
        <v>0</v>
      </c>
      <c r="U57" s="119">
        <f t="shared" si="58"/>
        <v>0</v>
      </c>
      <c r="V57" s="71">
        <f t="shared" si="59"/>
        <v>0</v>
      </c>
      <c r="W57" s="27" t="str">
        <f t="shared" si="60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53"/>
        <v>-</v>
      </c>
      <c r="J58" s="117">
        <v>0</v>
      </c>
      <c r="K58" s="93">
        <f t="shared" si="54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55"/>
        <v>0</v>
      </c>
      <c r="Q58" s="81" t="str">
        <f>VLOOKUP($M58,'UMC Table 4-A'!$A$10:$E$139,5,FALSE)</f>
        <v>NR</v>
      </c>
      <c r="R58" s="82">
        <f t="shared" si="56"/>
        <v>0</v>
      </c>
      <c r="S58" s="119">
        <f t="shared" si="57"/>
        <v>0</v>
      </c>
      <c r="T58" s="119">
        <f t="shared" si="5"/>
        <v>0</v>
      </c>
      <c r="U58" s="119">
        <f t="shared" si="58"/>
        <v>0</v>
      </c>
      <c r="V58" s="71">
        <f t="shared" si="59"/>
        <v>0</v>
      </c>
      <c r="W58" s="27" t="str">
        <f t="shared" si="60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53"/>
        <v>-</v>
      </c>
      <c r="J59" s="117">
        <v>0</v>
      </c>
      <c r="K59" s="93">
        <f t="shared" si="54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55"/>
        <v>0</v>
      </c>
      <c r="Q59" s="81" t="str">
        <f>VLOOKUP($M59,'UMC Table 4-A'!$A$10:$E$139,5,FALSE)</f>
        <v>NR</v>
      </c>
      <c r="R59" s="82">
        <f t="shared" si="56"/>
        <v>0</v>
      </c>
      <c r="S59" s="119">
        <f t="shared" si="57"/>
        <v>0</v>
      </c>
      <c r="T59" s="119">
        <f t="shared" si="5"/>
        <v>0</v>
      </c>
      <c r="U59" s="119">
        <f t="shared" si="58"/>
        <v>0</v>
      </c>
      <c r="V59" s="71">
        <f t="shared" si="59"/>
        <v>0</v>
      </c>
      <c r="W59" s="27" t="str">
        <f t="shared" si="60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53"/>
        <v>-</v>
      </c>
      <c r="J60" s="117">
        <v>0</v>
      </c>
      <c r="K60" s="93">
        <f t="shared" si="54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55"/>
        <v>0</v>
      </c>
      <c r="Q60" s="81" t="str">
        <f>VLOOKUP($M60,'UMC Table 4-A'!$A$10:$E$139,5,FALSE)</f>
        <v>NR</v>
      </c>
      <c r="R60" s="82">
        <f t="shared" si="56"/>
        <v>0</v>
      </c>
      <c r="S60" s="119">
        <f t="shared" si="57"/>
        <v>0</v>
      </c>
      <c r="T60" s="119">
        <f t="shared" si="5"/>
        <v>0</v>
      </c>
      <c r="U60" s="119">
        <f t="shared" si="58"/>
        <v>0</v>
      </c>
      <c r="V60" s="71">
        <f t="shared" si="59"/>
        <v>0</v>
      </c>
      <c r="W60" s="27" t="str">
        <f t="shared" si="60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53"/>
        <v>-</v>
      </c>
      <c r="J61" s="117">
        <v>0</v>
      </c>
      <c r="K61" s="93">
        <f t="shared" si="54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55"/>
        <v>0</v>
      </c>
      <c r="Q61" s="81" t="str">
        <f>VLOOKUP($M61,'UMC Table 4-A'!$A$10:$E$139,5,FALSE)</f>
        <v>NR</v>
      </c>
      <c r="R61" s="82">
        <f t="shared" si="56"/>
        <v>0</v>
      </c>
      <c r="S61" s="119">
        <f t="shared" si="57"/>
        <v>0</v>
      </c>
      <c r="T61" s="119">
        <f t="shared" si="5"/>
        <v>0</v>
      </c>
      <c r="U61" s="119">
        <f t="shared" si="58"/>
        <v>0</v>
      </c>
      <c r="V61" s="71">
        <f t="shared" si="59"/>
        <v>0</v>
      </c>
      <c r="W61" s="27" t="str">
        <f t="shared" si="60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53"/>
        <v>-</v>
      </c>
      <c r="J62" s="117">
        <v>0</v>
      </c>
      <c r="K62" s="93">
        <f t="shared" si="54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55"/>
        <v>0</v>
      </c>
      <c r="Q62" s="81" t="str">
        <f>VLOOKUP($M62,'UMC Table 4-A'!$A$10:$E$139,5,FALSE)</f>
        <v>NR</v>
      </c>
      <c r="R62" s="82">
        <f t="shared" si="56"/>
        <v>0</v>
      </c>
      <c r="S62" s="119">
        <f t="shared" si="57"/>
        <v>0</v>
      </c>
      <c r="T62" s="119">
        <f t="shared" si="5"/>
        <v>0</v>
      </c>
      <c r="U62" s="119">
        <f t="shared" si="58"/>
        <v>0</v>
      </c>
      <c r="V62" s="71">
        <f t="shared" si="59"/>
        <v>0</v>
      </c>
      <c r="W62" s="27" t="str">
        <f t="shared" si="60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53"/>
        <v>-</v>
      </c>
      <c r="J63" s="117">
        <v>0</v>
      </c>
      <c r="K63" s="93">
        <f t="shared" si="54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55"/>
        <v>0</v>
      </c>
      <c r="Q63" s="81" t="str">
        <f>VLOOKUP($M63,'UMC Table 4-A'!$A$10:$E$139,5,FALSE)</f>
        <v>NR</v>
      </c>
      <c r="R63" s="82">
        <f t="shared" si="56"/>
        <v>0</v>
      </c>
      <c r="S63" s="119">
        <f t="shared" si="57"/>
        <v>0</v>
      </c>
      <c r="T63" s="119">
        <f t="shared" si="5"/>
        <v>0</v>
      </c>
      <c r="U63" s="119">
        <f t="shared" si="58"/>
        <v>0</v>
      </c>
      <c r="V63" s="71">
        <f t="shared" si="59"/>
        <v>0</v>
      </c>
      <c r="W63" s="27" t="str">
        <f t="shared" si="60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53"/>
        <v>-</v>
      </c>
      <c r="J64" s="117">
        <v>0</v>
      </c>
      <c r="K64" s="93">
        <f t="shared" si="54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55"/>
        <v>0</v>
      </c>
      <c r="Q64" s="81" t="str">
        <f>VLOOKUP($M64,'UMC Table 4-A'!$A$10:$E$139,5,FALSE)</f>
        <v>NR</v>
      </c>
      <c r="R64" s="82">
        <f t="shared" si="56"/>
        <v>0</v>
      </c>
      <c r="S64" s="119">
        <f t="shared" si="57"/>
        <v>0</v>
      </c>
      <c r="T64" s="119">
        <f t="shared" si="5"/>
        <v>0</v>
      </c>
      <c r="U64" s="119">
        <f t="shared" si="58"/>
        <v>0</v>
      </c>
      <c r="V64" s="71">
        <f t="shared" si="59"/>
        <v>0</v>
      </c>
      <c r="W64" s="27" t="str">
        <f t="shared" si="60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53"/>
        <v>-</v>
      </c>
      <c r="J65" s="117">
        <v>0</v>
      </c>
      <c r="K65" s="93">
        <f t="shared" si="54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55"/>
        <v>0</v>
      </c>
      <c r="Q65" s="81" t="str">
        <f>VLOOKUP($M65,'UMC Table 4-A'!$A$10:$E$139,5,FALSE)</f>
        <v>NR</v>
      </c>
      <c r="R65" s="82">
        <f t="shared" si="56"/>
        <v>0</v>
      </c>
      <c r="S65" s="119">
        <f t="shared" si="57"/>
        <v>0</v>
      </c>
      <c r="T65" s="119">
        <f t="shared" si="5"/>
        <v>0</v>
      </c>
      <c r="U65" s="119">
        <f t="shared" si="58"/>
        <v>0</v>
      </c>
      <c r="V65" s="71">
        <f t="shared" si="59"/>
        <v>0</v>
      </c>
      <c r="W65" s="27" t="str">
        <f t="shared" si="60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53"/>
        <v>-</v>
      </c>
      <c r="J66" s="117">
        <v>0</v>
      </c>
      <c r="K66" s="93">
        <f t="shared" si="54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55"/>
        <v>0</v>
      </c>
      <c r="Q66" s="81" t="str">
        <f>VLOOKUP($M66,'UMC Table 4-A'!$A$10:$E$139,5,FALSE)</f>
        <v>NR</v>
      </c>
      <c r="R66" s="82">
        <f t="shared" si="56"/>
        <v>0</v>
      </c>
      <c r="S66" s="119">
        <f t="shared" si="57"/>
        <v>0</v>
      </c>
      <c r="T66" s="119">
        <f t="shared" si="5"/>
        <v>0</v>
      </c>
      <c r="U66" s="119">
        <f t="shared" si="58"/>
        <v>0</v>
      </c>
      <c r="V66" s="71">
        <f t="shared" si="59"/>
        <v>0</v>
      </c>
      <c r="W66" s="27" t="str">
        <f t="shared" si="60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53"/>
        <v>-</v>
      </c>
      <c r="J67" s="117">
        <v>0</v>
      </c>
      <c r="K67" s="93">
        <f t="shared" si="54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55"/>
        <v>0</v>
      </c>
      <c r="Q67" s="81" t="str">
        <f>VLOOKUP($M67,'UMC Table 4-A'!$A$10:$E$139,5,FALSE)</f>
        <v>NR</v>
      </c>
      <c r="R67" s="82">
        <f t="shared" si="56"/>
        <v>0</v>
      </c>
      <c r="S67" s="119">
        <f t="shared" si="57"/>
        <v>0</v>
      </c>
      <c r="T67" s="119">
        <f t="shared" si="5"/>
        <v>0</v>
      </c>
      <c r="U67" s="119">
        <f t="shared" si="58"/>
        <v>0</v>
      </c>
      <c r="V67" s="71">
        <f t="shared" si="59"/>
        <v>0</v>
      </c>
      <c r="W67" s="27" t="str">
        <f t="shared" si="60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53"/>
        <v>-</v>
      </c>
      <c r="J68" s="117">
        <v>0</v>
      </c>
      <c r="K68" s="93">
        <f t="shared" si="54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55"/>
        <v>0</v>
      </c>
      <c r="Q68" s="81" t="str">
        <f>VLOOKUP($M68,'UMC Table 4-A'!$A$10:$E$139,5,FALSE)</f>
        <v>NR</v>
      </c>
      <c r="R68" s="82">
        <f t="shared" si="56"/>
        <v>0</v>
      </c>
      <c r="S68" s="119">
        <f t="shared" si="57"/>
        <v>0</v>
      </c>
      <c r="T68" s="119">
        <f t="shared" si="5"/>
        <v>0</v>
      </c>
      <c r="U68" s="119">
        <f t="shared" si="58"/>
        <v>0</v>
      </c>
      <c r="V68" s="71">
        <f t="shared" si="59"/>
        <v>0</v>
      </c>
      <c r="W68" s="27" t="str">
        <f t="shared" si="60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53"/>
        <v>-</v>
      </c>
      <c r="J69" s="117">
        <v>0</v>
      </c>
      <c r="K69" s="93">
        <f t="shared" si="54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55"/>
        <v>0</v>
      </c>
      <c r="Q69" s="81" t="str">
        <f>VLOOKUP($M69,'UMC Table 4-A'!$A$10:$E$139,5,FALSE)</f>
        <v>NR</v>
      </c>
      <c r="R69" s="82">
        <f t="shared" si="56"/>
        <v>0</v>
      </c>
      <c r="S69" s="119">
        <f t="shared" si="57"/>
        <v>0</v>
      </c>
      <c r="T69" s="119">
        <f t="shared" si="5"/>
        <v>0</v>
      </c>
      <c r="U69" s="119">
        <f t="shared" si="58"/>
        <v>0</v>
      </c>
      <c r="V69" s="71">
        <f t="shared" si="59"/>
        <v>0</v>
      </c>
      <c r="W69" s="27" t="str">
        <f t="shared" si="60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ref="I70:I78" si="68">IF(H70="Yes",K70,"-")</f>
        <v>-</v>
      </c>
      <c r="J70" s="117">
        <v>0</v>
      </c>
      <c r="K70" s="93">
        <f t="shared" ref="K70:K78" si="69">IF(G70&lt;&gt;"NR",ROUNDUP((E70*F70*G70)/60,-1),0)</f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ref="P70:P78" si="70">IF(O70&lt;&gt;"NR",ROUNDUP((E70*F70*O70)/60,-1),0)</f>
        <v>0</v>
      </c>
      <c r="Q70" s="81" t="str">
        <f>VLOOKUP($M70,'UMC Table 4-A'!$A$10:$E$139,5,FALSE)</f>
        <v>NR</v>
      </c>
      <c r="R70" s="82">
        <f t="shared" ref="R70:R78" si="71">IF(N70="Negative",IF(OR(M70="Toilet room",M70="Janitor's closet, housekeeping"),0,IF(0.1*U70&gt;50,220-0.1*U70,U70-50)),IF(Q70="Yes",0,CEILING(MAX(J70:L70),5)))</f>
        <v>0</v>
      </c>
      <c r="S70" s="119">
        <f t="shared" si="57"/>
        <v>0</v>
      </c>
      <c r="T70" s="119">
        <f t="shared" si="5"/>
        <v>0</v>
      </c>
      <c r="U70" s="119">
        <f t="shared" si="58"/>
        <v>0</v>
      </c>
      <c r="V70" s="71">
        <f t="shared" ref="V70:V78" si="72">S70-T70-U70</f>
        <v>0</v>
      </c>
      <c r="W70" s="27" t="str">
        <f t="shared" ref="W70:W78" si="73">IF(R70-T70-U70+V70=0,"Yes","No")</f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si="68"/>
        <v>-</v>
      </c>
      <c r="J71" s="117">
        <v>0</v>
      </c>
      <c r="K71" s="93">
        <f t="shared" si="69"/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si="70"/>
        <v>0</v>
      </c>
      <c r="Q71" s="81" t="str">
        <f>VLOOKUP($M71,'UMC Table 4-A'!$A$10:$E$139,5,FALSE)</f>
        <v>NR</v>
      </c>
      <c r="R71" s="82">
        <f t="shared" si="71"/>
        <v>0</v>
      </c>
      <c r="S71" s="119">
        <f t="shared" si="57"/>
        <v>0</v>
      </c>
      <c r="T71" s="119">
        <f t="shared" ref="T71:T78" si="74">IF(Q71="Yes",0,IF(N71="Positive",IF(0.1*R71&gt;50,R71-0.1*R71,R71-50),IF(N71="Negative",IF(0.1*R71&gt;50,R71+0.1*R71,R71+50),R71)))</f>
        <v>0</v>
      </c>
      <c r="U71" s="119">
        <f t="shared" si="58"/>
        <v>0</v>
      </c>
      <c r="V71" s="71">
        <f t="shared" si="72"/>
        <v>0</v>
      </c>
      <c r="W71" s="27" t="str">
        <f t="shared" si="73"/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68"/>
        <v>-</v>
      </c>
      <c r="J72" s="117">
        <v>0</v>
      </c>
      <c r="K72" s="93">
        <f t="shared" si="69"/>
        <v>0</v>
      </c>
      <c r="L72" s="84">
        <f t="shared" ref="L72:L78" si="75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70"/>
        <v>0</v>
      </c>
      <c r="Q72" s="81" t="str">
        <f>VLOOKUP($M72,'UMC Table 4-A'!$A$10:$E$139,5,FALSE)</f>
        <v>NR</v>
      </c>
      <c r="R72" s="82">
        <f t="shared" si="71"/>
        <v>0</v>
      </c>
      <c r="S72" s="119">
        <f t="shared" si="57"/>
        <v>0</v>
      </c>
      <c r="T72" s="119">
        <f t="shared" si="74"/>
        <v>0</v>
      </c>
      <c r="U72" s="119">
        <f t="shared" si="58"/>
        <v>0</v>
      </c>
      <c r="V72" s="71">
        <f t="shared" si="72"/>
        <v>0</v>
      </c>
      <c r="W72" s="27" t="str">
        <f t="shared" si="7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68"/>
        <v>-</v>
      </c>
      <c r="J73" s="117">
        <v>0</v>
      </c>
      <c r="K73" s="93">
        <f t="shared" si="69"/>
        <v>0</v>
      </c>
      <c r="L73" s="84">
        <f t="shared" si="75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70"/>
        <v>0</v>
      </c>
      <c r="Q73" s="81" t="str">
        <f>VLOOKUP($M73,'UMC Table 4-A'!$A$10:$E$139,5,FALSE)</f>
        <v>NR</v>
      </c>
      <c r="R73" s="82">
        <f t="shared" si="71"/>
        <v>0</v>
      </c>
      <c r="S73" s="119">
        <f t="shared" si="57"/>
        <v>0</v>
      </c>
      <c r="T73" s="119">
        <f t="shared" si="74"/>
        <v>0</v>
      </c>
      <c r="U73" s="119">
        <f t="shared" si="58"/>
        <v>0</v>
      </c>
      <c r="V73" s="71">
        <f t="shared" si="72"/>
        <v>0</v>
      </c>
      <c r="W73" s="27" t="str">
        <f t="shared" si="73"/>
        <v>Yes</v>
      </c>
      <c r="X73" s="28" t="str">
        <f t="shared" ref="X73:X78" si="76">IFERROR(R73/E73,"-")</f>
        <v>-</v>
      </c>
      <c r="Y73" s="56" t="str">
        <f t="shared" ref="Y73:Y78" si="77">IFERROR(((P73/S73)*100),"-")</f>
        <v>-</v>
      </c>
      <c r="Z73" s="28" t="str">
        <f t="shared" ref="Z73:Z78" si="78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68"/>
        <v>-</v>
      </c>
      <c r="J74" s="117">
        <v>0</v>
      </c>
      <c r="K74" s="93">
        <f t="shared" si="69"/>
        <v>0</v>
      </c>
      <c r="L74" s="84">
        <f t="shared" si="75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70"/>
        <v>0</v>
      </c>
      <c r="Q74" s="81" t="str">
        <f>VLOOKUP($M74,'UMC Table 4-A'!$A$10:$E$139,5,FALSE)</f>
        <v>NR</v>
      </c>
      <c r="R74" s="82">
        <f t="shared" si="71"/>
        <v>0</v>
      </c>
      <c r="S74" s="119">
        <f t="shared" si="57"/>
        <v>0</v>
      </c>
      <c r="T74" s="119">
        <f t="shared" si="74"/>
        <v>0</v>
      </c>
      <c r="U74" s="119">
        <f t="shared" si="58"/>
        <v>0</v>
      </c>
      <c r="V74" s="71">
        <f t="shared" si="72"/>
        <v>0</v>
      </c>
      <c r="W74" s="27" t="str">
        <f t="shared" si="73"/>
        <v>Yes</v>
      </c>
      <c r="X74" s="28" t="str">
        <f t="shared" si="76"/>
        <v>-</v>
      </c>
      <c r="Y74" s="56" t="str">
        <f t="shared" si="77"/>
        <v>-</v>
      </c>
      <c r="Z74" s="28" t="str">
        <f t="shared" si="78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68"/>
        <v>-</v>
      </c>
      <c r="J75" s="117">
        <v>0</v>
      </c>
      <c r="K75" s="93">
        <f t="shared" si="69"/>
        <v>0</v>
      </c>
      <c r="L75" s="84">
        <f t="shared" si="75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70"/>
        <v>0</v>
      </c>
      <c r="Q75" s="81" t="str">
        <f>VLOOKUP($M75,'UMC Table 4-A'!$A$10:$E$139,5,FALSE)</f>
        <v>NR</v>
      </c>
      <c r="R75" s="82">
        <f t="shared" si="71"/>
        <v>0</v>
      </c>
      <c r="S75" s="119">
        <f t="shared" si="57"/>
        <v>0</v>
      </c>
      <c r="T75" s="119">
        <f t="shared" si="74"/>
        <v>0</v>
      </c>
      <c r="U75" s="119">
        <f t="shared" si="58"/>
        <v>0</v>
      </c>
      <c r="V75" s="71">
        <f t="shared" si="72"/>
        <v>0</v>
      </c>
      <c r="W75" s="27" t="str">
        <f t="shared" si="73"/>
        <v>Yes</v>
      </c>
      <c r="X75" s="28" t="str">
        <f t="shared" si="76"/>
        <v>-</v>
      </c>
      <c r="Y75" s="56" t="str">
        <f t="shared" si="77"/>
        <v>-</v>
      </c>
      <c r="Z75" s="28" t="str">
        <f t="shared" si="78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68"/>
        <v>-</v>
      </c>
      <c r="J76" s="117">
        <v>0</v>
      </c>
      <c r="K76" s="93">
        <f t="shared" si="69"/>
        <v>0</v>
      </c>
      <c r="L76" s="84">
        <f t="shared" si="75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70"/>
        <v>0</v>
      </c>
      <c r="Q76" s="81" t="str">
        <f>VLOOKUP($M76,'UMC Table 4-A'!$A$10:$E$139,5,FALSE)</f>
        <v>NR</v>
      </c>
      <c r="R76" s="82">
        <f t="shared" si="71"/>
        <v>0</v>
      </c>
      <c r="S76" s="119">
        <f t="shared" si="57"/>
        <v>0</v>
      </c>
      <c r="T76" s="119">
        <f t="shared" si="74"/>
        <v>0</v>
      </c>
      <c r="U76" s="119">
        <f t="shared" si="58"/>
        <v>0</v>
      </c>
      <c r="V76" s="71">
        <f t="shared" si="72"/>
        <v>0</v>
      </c>
      <c r="W76" s="27" t="str">
        <f t="shared" si="73"/>
        <v>Yes</v>
      </c>
      <c r="X76" s="28" t="str">
        <f t="shared" si="76"/>
        <v>-</v>
      </c>
      <c r="Y76" s="56" t="str">
        <f t="shared" si="77"/>
        <v>-</v>
      </c>
      <c r="Z76" s="28" t="str">
        <f t="shared" si="78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68"/>
        <v>-</v>
      </c>
      <c r="J77" s="117">
        <v>0</v>
      </c>
      <c r="K77" s="93">
        <f t="shared" si="69"/>
        <v>0</v>
      </c>
      <c r="L77" s="84">
        <f t="shared" si="75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70"/>
        <v>0</v>
      </c>
      <c r="Q77" s="81" t="str">
        <f>VLOOKUP($M77,'UMC Table 4-A'!$A$10:$E$139,5,FALSE)</f>
        <v>NR</v>
      </c>
      <c r="R77" s="82">
        <f t="shared" si="71"/>
        <v>0</v>
      </c>
      <c r="S77" s="119">
        <f t="shared" si="57"/>
        <v>0</v>
      </c>
      <c r="T77" s="119">
        <f t="shared" si="74"/>
        <v>0</v>
      </c>
      <c r="U77" s="119">
        <f t="shared" si="58"/>
        <v>0</v>
      </c>
      <c r="V77" s="71">
        <f t="shared" si="72"/>
        <v>0</v>
      </c>
      <c r="W77" s="27" t="str">
        <f t="shared" si="73"/>
        <v>Yes</v>
      </c>
      <c r="X77" s="28" t="str">
        <f t="shared" si="76"/>
        <v>-</v>
      </c>
      <c r="Y77" s="56" t="str">
        <f t="shared" si="77"/>
        <v>-</v>
      </c>
      <c r="Z77" s="28" t="str">
        <f t="shared" si="78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68"/>
        <v>-</v>
      </c>
      <c r="J78" s="117">
        <v>0</v>
      </c>
      <c r="K78" s="93">
        <f t="shared" si="69"/>
        <v>0</v>
      </c>
      <c r="L78" s="84">
        <f t="shared" si="75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70"/>
        <v>0</v>
      </c>
      <c r="Q78" s="81" t="str">
        <f>VLOOKUP($M78,'UMC Table 4-A'!$A$10:$E$139,5,FALSE)</f>
        <v>NR</v>
      </c>
      <c r="R78" s="82">
        <f t="shared" si="71"/>
        <v>0</v>
      </c>
      <c r="S78" s="119">
        <f t="shared" si="57"/>
        <v>0</v>
      </c>
      <c r="T78" s="119">
        <f t="shared" si="74"/>
        <v>0</v>
      </c>
      <c r="U78" s="119">
        <f t="shared" si="58"/>
        <v>0</v>
      </c>
      <c r="V78" s="71">
        <f t="shared" si="72"/>
        <v>0</v>
      </c>
      <c r="W78" s="27" t="str">
        <f t="shared" si="73"/>
        <v>Yes</v>
      </c>
      <c r="X78" s="28" t="str">
        <f t="shared" si="76"/>
        <v>-</v>
      </c>
      <c r="Y78" s="56" t="str">
        <f t="shared" si="77"/>
        <v>-</v>
      </c>
      <c r="Z78" s="28" t="str">
        <f t="shared" si="78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SUBTOTAL(109,AHU1_TABLE_4A[AREA (FT²)])</f>
        <v>95011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87">
        <f>SUBTOTAL(109,AHU1_TABLE_4A[OSA CFM])</f>
        <v>31740</v>
      </c>
      <c r="Q79" s="123"/>
      <c r="R79" s="128">
        <f>SUBTOTAL(109,AHU1_TABLE_4A[CALCULATED SA CFM])</f>
        <v>95015</v>
      </c>
      <c r="S79" s="188">
        <f>SUBTOTAL(109,AHU1_TABLE_4A[DESIGN SA CFM])</f>
        <v>95015</v>
      </c>
      <c r="T79" s="188">
        <f>SUBTOTAL(109,AHU1_TABLE_4A[RA CFM])</f>
        <v>95015</v>
      </c>
      <c r="U79" s="189">
        <f>SUBTOTAL(109,AHU1_TABLE_4A[EA CFM])</f>
        <v>0</v>
      </c>
      <c r="V79" s="190">
        <f>SUBTOTAL(109,AHU1_TABLE_4A[Transfer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9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328</v>
      </c>
      <c r="U81" s="66">
        <f>ROUNDUP(U79*INPUT_OUTPUTS!C15,-2)</f>
        <v>0</v>
      </c>
      <c r="V81" s="66">
        <f>ROUNDUP(V79*INPUT_OUTPUTS!C15,-2)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36.196319018404907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H5:R5"/>
    <mergeCell ref="D5:G5"/>
    <mergeCell ref="S5:V5"/>
    <mergeCell ref="X5:Z5"/>
    <mergeCell ref="AC5:AS5"/>
  </mergeCells>
  <phoneticPr fontId="17" type="noConversion"/>
  <conditionalFormatting sqref="Y7:Y78">
    <cfRule type="cellIs" dxfId="209" priority="325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7:U78" unlockedFormula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Title" prompt="Input message" xr:uid="{EC6434B1-75D5-4F39-B2B0-242E6B2E3865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E65CB-1CB6-A546-9F2D-42EA75AC6A0C}">
  <sheetPr codeName="Sheet8">
    <tabColor indexed="43"/>
    <pageSetUpPr fitToPage="1"/>
  </sheetPr>
  <dimension ref="A1:BB104"/>
  <sheetViews>
    <sheetView showGridLines="0" zoomScale="35" zoomScaleNormal="69" zoomScaleSheetLayoutView="50" zoomScalePageLayoutView="80" workbookViewId="0">
      <selection activeCell="E23" sqref="E23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3" bestFit="1" customWidth="1"/>
    <col min="5" max="5" width="16" style="15" bestFit="1" customWidth="1"/>
    <col min="6" max="6" width="9.83203125" style="15" bestFit="1" customWidth="1"/>
    <col min="7" max="7" width="12.6640625" bestFit="1" customWidth="1"/>
    <col min="8" max="8" width="11.5" style="18" bestFit="1" customWidth="1"/>
    <col min="9" max="10" width="7.6640625" customWidth="1"/>
    <col min="11" max="11" width="11.83203125" style="1" customWidth="1"/>
    <col min="12" max="12" width="12.6640625" customWidth="1"/>
    <col min="13" max="13" width="11.5" hidden="1" customWidth="1"/>
    <col min="14" max="14" width="64.33203125" style="1" bestFit="1" customWidth="1"/>
    <col min="15" max="15" width="25.5" style="1" bestFit="1" customWidth="1"/>
    <col min="16" max="16" width="12.83203125" customWidth="1"/>
    <col min="17" max="17" width="13" bestFit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67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396</v>
      </c>
      <c r="AX1" s="74" t="s">
        <v>397</v>
      </c>
      <c r="AY1" s="74" t="s">
        <v>398</v>
      </c>
      <c r="BA1" s="74" t="s">
        <v>45</v>
      </c>
      <c r="BB1" s="74" t="s">
        <v>399</v>
      </c>
    </row>
    <row r="2" spans="1:54" ht="17" thickBot="1">
      <c r="AW2" s="66">
        <f>ROUNDUP(S79*INPUT_OUTPUTS!$C$15,-2)</f>
        <v>120100</v>
      </c>
      <c r="AX2" s="66">
        <f>ROUNDUP(T79*INPUT_OUTPUTS!$C$15,-2)</f>
        <v>120100</v>
      </c>
      <c r="AY2" s="65">
        <f>ROUNDUP((P79*INPUT_OUTPUTS!C15)+P80,-2)</f>
        <v>43400</v>
      </c>
      <c r="BA2" s="76">
        <f>AHU1_CAV_SCHEDULE4450[[#Totals],[GPM]]</f>
        <v>19</v>
      </c>
      <c r="BB2" s="75">
        <f>AHU1_CAV_SCHEDULE4450[[#Totals],[MIN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05" t="s">
        <v>297</v>
      </c>
      <c r="E4" s="206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7"/>
      <c r="W4" s="69"/>
      <c r="Y4"/>
      <c r="Z4"/>
      <c r="AA4"/>
    </row>
    <row r="5" spans="1:54" ht="30">
      <c r="B5" s="86"/>
      <c r="C5" s="86"/>
      <c r="D5" s="208" t="s">
        <v>88</v>
      </c>
      <c r="E5" s="209"/>
      <c r="F5" s="209"/>
      <c r="G5" s="210"/>
      <c r="H5" s="211" t="s">
        <v>89</v>
      </c>
      <c r="I5" s="211"/>
      <c r="J5" s="211"/>
      <c r="K5" s="211"/>
      <c r="L5" s="211"/>
      <c r="M5" s="211"/>
      <c r="N5" s="211"/>
      <c r="O5" s="211"/>
      <c r="P5" s="211"/>
      <c r="Q5" s="211"/>
      <c r="R5" s="211"/>
      <c r="S5" s="208" t="s">
        <v>87</v>
      </c>
      <c r="T5" s="209"/>
      <c r="U5" s="209"/>
      <c r="V5" s="210"/>
      <c r="W5" s="86"/>
      <c r="X5" s="212" t="s">
        <v>86</v>
      </c>
      <c r="Y5" s="213"/>
      <c r="Z5" s="214"/>
      <c r="AC5" s="215" t="s">
        <v>124</v>
      </c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5"/>
    </row>
    <row r="6" spans="1:54" s="79" customFormat="1" ht="53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320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315</v>
      </c>
      <c r="C7" s="115" t="s">
        <v>315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INPUT_OUTPUTS!$C$13</f>
        <v>140</v>
      </c>
      <c r="AJ7" s="132">
        <f>INPUT_OUTPUTS!$C$14</f>
        <v>100</v>
      </c>
      <c r="AK7" s="132">
        <v>55</v>
      </c>
      <c r="AL7" s="132">
        <v>85</v>
      </c>
      <c r="AM7" s="132">
        <f t="shared" ref="AM7:AM44" si="12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INPUT_OUTPUTS!$C$16</f>
        <v>C1/M-501</v>
      </c>
      <c r="AS7" s="132" t="s">
        <v>123</v>
      </c>
    </row>
    <row r="8" spans="1:54" ht="15" customHeight="1">
      <c r="B8" s="115" t="s">
        <v>315</v>
      </c>
      <c r="C8" s="115" t="s">
        <v>315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3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INPUT_OUTPUTS!$C$13</f>
        <v>140</v>
      </c>
      <c r="AJ8" s="132">
        <f>INPUT_OUTPUTS!$C$14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0</v>
      </c>
      <c r="AN8" s="133">
        <f>(AM8*1000)/(500*(AI8-AJ8))</f>
        <v>0</v>
      </c>
      <c r="AO8" s="133">
        <f t="shared" ref="AO8:AO44" si="15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INPUT_OUTPUTS!$C$16</f>
        <v>C1/M-501</v>
      </c>
      <c r="AS8" s="132" t="str">
        <f>AS7</f>
        <v>1, 2</v>
      </c>
    </row>
    <row r="9" spans="1:54" ht="15" customHeight="1">
      <c r="B9" s="115" t="s">
        <v>321</v>
      </c>
      <c r="C9" s="115" t="s">
        <v>315</v>
      </c>
      <c r="D9" s="115">
        <v>1234</v>
      </c>
      <c r="E9" s="115">
        <v>10000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6670</v>
      </c>
      <c r="L9" s="84">
        <f t="shared" si="13"/>
        <v>10000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3340</v>
      </c>
      <c r="Q9" s="81" t="str">
        <f>VLOOKUP($M9,'UMC Table 4-A'!$A$10:$E$139,5,FALSE)</f>
        <v>NR</v>
      </c>
      <c r="R9" s="82">
        <f t="shared" si="3"/>
        <v>10000</v>
      </c>
      <c r="S9" s="119">
        <f t="shared" si="4"/>
        <v>10000</v>
      </c>
      <c r="T9" s="119">
        <f t="shared" si="5"/>
        <v>10000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33.4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0</v>
      </c>
      <c r="AG9" s="132" t="str">
        <f>IFERROR((VLOOKUP(AF9,'DO NOT TOUCH'!$P$9:$Q$14,2,TRUE)),"TBD")</f>
        <v>TBD</v>
      </c>
      <c r="AH9" s="132">
        <f t="shared" ref="AH9:AH44" si="19">AH8</f>
        <v>0.5</v>
      </c>
      <c r="AI9" s="132">
        <f>INPUT_OUTPUTS!$C$13</f>
        <v>140</v>
      </c>
      <c r="AJ9" s="132">
        <f>INPUT_OUTPUTS!$C$14</f>
        <v>100</v>
      </c>
      <c r="AK9" s="132">
        <f t="shared" si="14"/>
        <v>55</v>
      </c>
      <c r="AL9" s="132">
        <f t="shared" si="14"/>
        <v>85</v>
      </c>
      <c r="AM9" s="132">
        <f t="shared" si="12"/>
        <v>0</v>
      </c>
      <c r="AN9" s="133">
        <f t="shared" ref="AN9:AN44" si="20">(AM9*1000)/(500*(AI9-AJ9))</f>
        <v>0</v>
      </c>
      <c r="AO9" s="133">
        <f t="shared" si="15"/>
        <v>0.5</v>
      </c>
      <c r="AP9" s="133">
        <f t="shared" ref="AP9:AP44" si="21">AP8</f>
        <v>5</v>
      </c>
      <c r="AQ9" s="133" t="str">
        <f>IFERROR((_xlfn.XLOOKUP(AG9,'DO NOT TOUCH'!$Q$9:$Q$14,'DO NOT TOUCH'!$R$9:$R$14,)),"TBD")</f>
        <v>TBD</v>
      </c>
      <c r="AR9" s="133" t="str">
        <f>INPUT_OUTPUTS!$C$16</f>
        <v>C1/M-501</v>
      </c>
      <c r="AS9" s="132" t="str">
        <f t="shared" ref="AS9:AS44" si="22">AS8</f>
        <v>1, 2</v>
      </c>
    </row>
    <row r="10" spans="1:54" ht="15" customHeight="1">
      <c r="B10" s="115" t="s">
        <v>322</v>
      </c>
      <c r="C10" s="115" t="s">
        <v>315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3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f t="shared" si="5"/>
        <v>10000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</v>
      </c>
      <c r="Y10" s="56">
        <f t="shared" si="17"/>
        <v>33.4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0</v>
      </c>
      <c r="AG10" s="132" t="str">
        <f>IFERROR((VLOOKUP(AF10,'DO NOT TOUCH'!$P$9:$Q$14,2,TRUE)),"TBD")</f>
        <v>TBD</v>
      </c>
      <c r="AH10" s="132">
        <f t="shared" si="19"/>
        <v>0.5</v>
      </c>
      <c r="AI10" s="132">
        <f>INPUT_OUTPUTS!$C$13</f>
        <v>140</v>
      </c>
      <c r="AJ10" s="132">
        <f>INPUT_OUTPUTS!$C$14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0</v>
      </c>
      <c r="AN10" s="133">
        <f t="shared" si="20"/>
        <v>0</v>
      </c>
      <c r="AO10" s="133">
        <f t="shared" si="15"/>
        <v>0.5</v>
      </c>
      <c r="AP10" s="133">
        <f t="shared" si="21"/>
        <v>5</v>
      </c>
      <c r="AQ10" s="133" t="str">
        <f>IFERROR((_xlfn.XLOOKUP(AG10,'DO NOT TOUCH'!$Q$9:$Q$14,'DO NOT TOUCH'!$R$9:$R$14,)),"TBD")</f>
        <v>TBD</v>
      </c>
      <c r="AR10" s="133" t="str">
        <f>INPUT_OUTPUTS!$C$16</f>
        <v>C1/M-501</v>
      </c>
      <c r="AS10" s="132" t="str">
        <f t="shared" si="22"/>
        <v>1, 2</v>
      </c>
    </row>
    <row r="11" spans="1:54" ht="15" customHeight="1">
      <c r="B11" s="115" t="s">
        <v>323</v>
      </c>
      <c r="C11" s="115" t="s">
        <v>315</v>
      </c>
      <c r="D11" s="115">
        <v>1234</v>
      </c>
      <c r="E11" s="115">
        <v>10000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6670</v>
      </c>
      <c r="L11" s="84">
        <f t="shared" si="13"/>
        <v>10000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3340</v>
      </c>
      <c r="Q11" s="81" t="str">
        <f>VLOOKUP($M11,'UMC Table 4-A'!$A$10:$E$139,5,FALSE)</f>
        <v>NR</v>
      </c>
      <c r="R11" s="82">
        <f t="shared" si="3"/>
        <v>10000</v>
      </c>
      <c r="S11" s="119">
        <f t="shared" si="4"/>
        <v>10000</v>
      </c>
      <c r="T11" s="119">
        <f t="shared" si="5"/>
        <v>10000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33.4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0</v>
      </c>
      <c r="AG11" s="132" t="str">
        <f>IFERROR((VLOOKUP(AF11,'DO NOT TOUCH'!$P$9:$Q$14,2,TRUE)),"TBD")</f>
        <v>TBD</v>
      </c>
      <c r="AH11" s="132">
        <f t="shared" si="19"/>
        <v>0.5</v>
      </c>
      <c r="AI11" s="132">
        <f>INPUT_OUTPUTS!$C$13</f>
        <v>140</v>
      </c>
      <c r="AJ11" s="132">
        <f>INPUT_OUTPUTS!$C$14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0</v>
      </c>
      <c r="AN11" s="133">
        <f t="shared" si="20"/>
        <v>0</v>
      </c>
      <c r="AO11" s="133">
        <f t="shared" si="15"/>
        <v>0.5</v>
      </c>
      <c r="AP11" s="133">
        <f t="shared" si="21"/>
        <v>5</v>
      </c>
      <c r="AQ11" s="133" t="str">
        <f>IFERROR((_xlfn.XLOOKUP(AG11,'DO NOT TOUCH'!$Q$9:$Q$14,'DO NOT TOUCH'!$R$9:$R$14,)),"TBD")</f>
        <v>TBD</v>
      </c>
      <c r="AR11" s="133" t="str">
        <f>INPUT_OUTPUTS!$C$16</f>
        <v>C1/M-501</v>
      </c>
      <c r="AS11" s="132" t="str">
        <f t="shared" si="22"/>
        <v>1, 2</v>
      </c>
    </row>
    <row r="12" spans="1:54" ht="15" customHeight="1">
      <c r="B12" s="115" t="s">
        <v>323</v>
      </c>
      <c r="C12" s="115" t="s">
        <v>315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3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33.4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0</v>
      </c>
      <c r="AG12" s="132" t="str">
        <f>IFERROR((VLOOKUP(AF12,'DO NOT TOUCH'!$P$9:$Q$14,2,TRUE)),"TBD")</f>
        <v>TBD</v>
      </c>
      <c r="AH12" s="132">
        <f t="shared" si="19"/>
        <v>0.5</v>
      </c>
      <c r="AI12" s="132">
        <f>INPUT_OUTPUTS!$C$13</f>
        <v>140</v>
      </c>
      <c r="AJ12" s="132">
        <f>INPUT_OUTPUTS!$C$14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0</v>
      </c>
      <c r="AN12" s="133">
        <f t="shared" si="20"/>
        <v>0</v>
      </c>
      <c r="AO12" s="133">
        <f t="shared" si="15"/>
        <v>0.5</v>
      </c>
      <c r="AP12" s="133">
        <f t="shared" si="21"/>
        <v>5</v>
      </c>
      <c r="AQ12" s="133" t="str">
        <f>IFERROR((_xlfn.XLOOKUP(AG12,'DO NOT TOUCH'!$Q$9:$Q$14,'DO NOT TOUCH'!$R$9:$R$14,)),"TBD")</f>
        <v>TBD</v>
      </c>
      <c r="AR12" s="133" t="str">
        <f>INPUT_OUTPUTS!$C$16</f>
        <v>C1/M-501</v>
      </c>
      <c r="AS12" s="132" t="str">
        <f t="shared" si="22"/>
        <v>1, 2</v>
      </c>
    </row>
    <row r="13" spans="1:54" ht="15" customHeight="1">
      <c r="B13" s="115" t="s">
        <v>324</v>
      </c>
      <c r="C13" s="115" t="s">
        <v>315</v>
      </c>
      <c r="D13" s="115">
        <v>1234</v>
      </c>
      <c r="E13" s="115">
        <v>43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30</v>
      </c>
      <c r="L13" s="84">
        <f t="shared" si="13"/>
        <v>43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20</v>
      </c>
      <c r="Q13" s="81" t="str">
        <f>VLOOKUP($M13,'UMC Table 4-A'!$A$10:$E$139,5,FALSE)</f>
        <v>NR</v>
      </c>
      <c r="R13" s="82">
        <f t="shared" si="3"/>
        <v>45</v>
      </c>
      <c r="S13" s="119">
        <f t="shared" si="4"/>
        <v>45</v>
      </c>
      <c r="T13" s="119">
        <f t="shared" si="5"/>
        <v>45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1.0465116279069768</v>
      </c>
      <c r="Y13" s="56">
        <f t="shared" si="17"/>
        <v>44.444444444444443</v>
      </c>
      <c r="Z13" s="28">
        <f t="shared" si="18"/>
        <v>6.279069767441861</v>
      </c>
      <c r="AC13" s="134" t="s">
        <v>265</v>
      </c>
      <c r="AD13" s="131" t="s">
        <v>122</v>
      </c>
      <c r="AE13" s="131" t="s">
        <v>128</v>
      </c>
      <c r="AF13" s="132">
        <f t="shared" si="11"/>
        <v>0</v>
      </c>
      <c r="AG13" s="132" t="str">
        <f>IFERROR((VLOOKUP(AF13,'DO NOT TOUCH'!$P$9:$Q$14,2,TRUE)),"TBD")</f>
        <v>TBD</v>
      </c>
      <c r="AH13" s="132">
        <f t="shared" si="19"/>
        <v>0.5</v>
      </c>
      <c r="AI13" s="132">
        <f>INPUT_OUTPUTS!$C$13</f>
        <v>140</v>
      </c>
      <c r="AJ13" s="132">
        <f>INPUT_OUTPUTS!$C$14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0</v>
      </c>
      <c r="AN13" s="133">
        <f t="shared" si="20"/>
        <v>0</v>
      </c>
      <c r="AO13" s="133">
        <f t="shared" si="15"/>
        <v>0.5</v>
      </c>
      <c r="AP13" s="133">
        <f t="shared" si="21"/>
        <v>5</v>
      </c>
      <c r="AQ13" s="133" t="str">
        <f>IFERROR((_xlfn.XLOOKUP(AG13,'DO NOT TOUCH'!$Q$9:$Q$14,'DO NOT TOUCH'!$R$9:$R$14,)),"TBD")</f>
        <v>TBD</v>
      </c>
      <c r="AR13" s="133" t="str">
        <f>INPUT_OUTPUTS!$C$16</f>
        <v>C1/M-501</v>
      </c>
      <c r="AS13" s="135" t="str">
        <f t="shared" si="22"/>
        <v>1, 2</v>
      </c>
    </row>
    <row r="14" spans="1:54" ht="15" customHeight="1">
      <c r="B14" s="115" t="s">
        <v>325</v>
      </c>
      <c r="C14" s="115" t="s">
        <v>315</v>
      </c>
      <c r="D14" s="115">
        <v>1234</v>
      </c>
      <c r="E14" s="115">
        <v>10000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3"/>
        <v>10000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f t="shared" si="5"/>
        <v>10000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33.4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0</v>
      </c>
      <c r="AG14" s="132" t="str">
        <f>IFERROR((VLOOKUP(AF14,'DO NOT TOUCH'!$P$9:$Q$14,2,TRUE)),"TBD")</f>
        <v>TBD</v>
      </c>
      <c r="AH14" s="132">
        <f t="shared" si="19"/>
        <v>0.5</v>
      </c>
      <c r="AI14" s="132">
        <f>INPUT_OUTPUTS!$C$13</f>
        <v>140</v>
      </c>
      <c r="AJ14" s="132">
        <f>INPUT_OUTPUTS!$C$14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0</v>
      </c>
      <c r="AN14" s="133">
        <f t="shared" si="20"/>
        <v>0</v>
      </c>
      <c r="AO14" s="133">
        <f t="shared" si="15"/>
        <v>0.5</v>
      </c>
      <c r="AP14" s="133">
        <f t="shared" si="21"/>
        <v>5</v>
      </c>
      <c r="AQ14" s="133" t="str">
        <f>IFERROR((_xlfn.XLOOKUP(AG14,'DO NOT TOUCH'!$Q$9:$Q$14,'DO NOT TOUCH'!$R$9:$R$14,)),"TBD")</f>
        <v>TBD</v>
      </c>
      <c r="AR14" s="133" t="str">
        <f>INPUT_OUTPUTS!$C$16</f>
        <v>C1/M-501</v>
      </c>
      <c r="AS14" s="135" t="str">
        <f t="shared" si="22"/>
        <v>1, 2</v>
      </c>
    </row>
    <row r="15" spans="1:54" ht="15" customHeight="1">
      <c r="B15" s="115" t="s">
        <v>325</v>
      </c>
      <c r="C15" s="115" t="s">
        <v>315</v>
      </c>
      <c r="D15" s="115">
        <v>1234</v>
      </c>
      <c r="E15" s="115">
        <v>10000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3"/>
        <v>10000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f t="shared" si="5"/>
        <v>10000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33.4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0</v>
      </c>
      <c r="AG15" s="132" t="str">
        <f>IFERROR((VLOOKUP(AF15,'DO NOT TOUCH'!$P$9:$Q$14,2,TRUE)),"TBD")</f>
        <v>TBD</v>
      </c>
      <c r="AH15" s="132">
        <f t="shared" si="19"/>
        <v>0.5</v>
      </c>
      <c r="AI15" s="132">
        <f>INPUT_OUTPUTS!$C$13</f>
        <v>140</v>
      </c>
      <c r="AJ15" s="132">
        <f>INPUT_OUTPUTS!$C$14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0</v>
      </c>
      <c r="AN15" s="133">
        <f t="shared" si="20"/>
        <v>0</v>
      </c>
      <c r="AO15" s="133">
        <f t="shared" si="15"/>
        <v>0.5</v>
      </c>
      <c r="AP15" s="133">
        <f t="shared" si="21"/>
        <v>5</v>
      </c>
      <c r="AQ15" s="133" t="str">
        <f>IFERROR((_xlfn.XLOOKUP(AG15,'DO NOT TOUCH'!$Q$9:$Q$14,'DO NOT TOUCH'!$R$9:$R$14,)),"TBD")</f>
        <v>TBD</v>
      </c>
      <c r="AR15" s="133" t="str">
        <f>INPUT_OUTPUTS!$C$16</f>
        <v>C1/M-501</v>
      </c>
      <c r="AS15" s="135" t="str">
        <f t="shared" si="22"/>
        <v>1, 2</v>
      </c>
    </row>
    <row r="16" spans="1:54" ht="15" customHeight="1">
      <c r="B16" s="115" t="s">
        <v>326</v>
      </c>
      <c r="C16" s="115" t="s">
        <v>315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3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33.4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0</v>
      </c>
      <c r="AG16" s="132" t="str">
        <f>IFERROR((VLOOKUP(AF16,'DO NOT TOUCH'!$P$9:$Q$14,2,TRUE)),"TBD")</f>
        <v>TBD</v>
      </c>
      <c r="AH16" s="132">
        <f t="shared" si="19"/>
        <v>0.5</v>
      </c>
      <c r="AI16" s="132">
        <f>INPUT_OUTPUTS!$C$13</f>
        <v>140</v>
      </c>
      <c r="AJ16" s="132">
        <f>INPUT_OUTPUTS!$C$14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0</v>
      </c>
      <c r="AN16" s="133">
        <f t="shared" si="20"/>
        <v>0</v>
      </c>
      <c r="AO16" s="133">
        <f t="shared" si="15"/>
        <v>0.5</v>
      </c>
      <c r="AP16" s="133">
        <f t="shared" si="21"/>
        <v>5</v>
      </c>
      <c r="AQ16" s="133" t="str">
        <f>IFERROR((_xlfn.XLOOKUP(AG16,'DO NOT TOUCH'!$Q$9:$Q$14,'DO NOT TOUCH'!$R$9:$R$14,)),"TBD")</f>
        <v>TBD</v>
      </c>
      <c r="AR16" s="133" t="str">
        <f>INPUT_OUTPUTS!$C$16</f>
        <v>C1/M-501</v>
      </c>
      <c r="AS16" s="135" t="str">
        <f t="shared" si="22"/>
        <v>1, 2</v>
      </c>
    </row>
    <row r="17" spans="2:45" ht="15" customHeight="1">
      <c r="B17" s="115" t="s">
        <v>327</v>
      </c>
      <c r="C17" s="115" t="s">
        <v>315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0</v>
      </c>
      <c r="AG17" s="132" t="str">
        <f>IFERROR((VLOOKUP(AF17,'DO NOT TOUCH'!$P$9:$Q$14,2,TRUE)),"TBD")</f>
        <v>TBD</v>
      </c>
      <c r="AH17" s="132">
        <f t="shared" si="19"/>
        <v>0.5</v>
      </c>
      <c r="AI17" s="132">
        <f>INPUT_OUTPUTS!$C$13</f>
        <v>140</v>
      </c>
      <c r="AJ17" s="132">
        <f>INPUT_OUTPUTS!$C$14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0</v>
      </c>
      <c r="AN17" s="133">
        <f t="shared" si="20"/>
        <v>0</v>
      </c>
      <c r="AO17" s="133">
        <f t="shared" si="15"/>
        <v>0.5</v>
      </c>
      <c r="AP17" s="133">
        <f t="shared" si="21"/>
        <v>5</v>
      </c>
      <c r="AQ17" s="133" t="str">
        <f>IFERROR((_xlfn.XLOOKUP(AG17,'DO NOT TOUCH'!$Q$9:$Q$14,'DO NOT TOUCH'!$R$9:$R$14,)),"TBD")</f>
        <v>TBD</v>
      </c>
      <c r="AR17" s="133" t="str">
        <f>INPUT_OUTPUTS!$C$16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INPUT_OUTPUTS!$C$13</f>
        <v>140</v>
      </c>
      <c r="AJ18" s="132">
        <f>INPUT_OUTPUTS!$C$14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INPUT_OUTPUTS!$C$16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INPUT_OUTPUTS!$C$13</f>
        <v>140</v>
      </c>
      <c r="AJ19" s="132">
        <f>INPUT_OUTPUTS!$C$14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INPUT_OUTPUTS!$C$16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INPUT_OUTPUTS!$C$13</f>
        <v>140</v>
      </c>
      <c r="AJ20" s="132">
        <f>INPUT_OUTPUTS!$C$14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INPUT_OUTPUTS!$C$16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INPUT_OUTPUTS!$C$13</f>
        <v>140</v>
      </c>
      <c r="AJ21" s="132">
        <f>INPUT_OUTPUTS!$C$14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INPUT_OUTPUTS!$C$16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INPUT_OUTPUTS!$C$13</f>
        <v>140</v>
      </c>
      <c r="AJ22" s="132">
        <f>INPUT_OUTPUTS!$C$14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INPUT_OUTPUTS!$C$16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INPUT_OUTPUTS!$C$13</f>
        <v>140</v>
      </c>
      <c r="AJ23" s="132">
        <f>INPUT_OUTPUTS!$C$14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INPUT_OUTPUTS!$C$16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INPUT_OUTPUTS!$C$13</f>
        <v>140</v>
      </c>
      <c r="AJ24" s="132">
        <f>INPUT_OUTPUTS!$C$14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INPUT_OUTPUTS!$C$16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INPUT_OUTPUTS!$C$13</f>
        <v>140</v>
      </c>
      <c r="AJ25" s="132">
        <f>INPUT_OUTPUTS!$C$14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INPUT_OUTPUTS!$C$16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INPUT_OUTPUTS!$C$13</f>
        <v>140</v>
      </c>
      <c r="AJ26" s="132">
        <f>INPUT_OUTPUTS!$C$14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INPUT_OUTPUTS!$C$16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INPUT_OUTPUTS!$C$13</f>
        <v>140</v>
      </c>
      <c r="AJ27" s="132">
        <f>INPUT_OUTPUTS!$C$14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INPUT_OUTPUTS!$C$16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INPUT_OUTPUTS!$C$13</f>
        <v>140</v>
      </c>
      <c r="AJ28" s="132">
        <f>INPUT_OUTPUTS!$C$14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INPUT_OUTPUTS!$C$16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INPUT_OUTPUTS!$C$13</f>
        <v>140</v>
      </c>
      <c r="AJ29" s="132">
        <f>INPUT_OUTPUTS!$C$14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INPUT_OUTPUTS!$C$16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INPUT_OUTPUTS!$C$13</f>
        <v>140</v>
      </c>
      <c r="AJ30" s="132">
        <f>INPUT_OUTPUTS!$C$14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INPUT_OUTPUTS!$C$16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INPUT_OUTPUTS!$C$13</f>
        <v>140</v>
      </c>
      <c r="AJ31" s="132">
        <f>INPUT_OUTPUTS!$C$14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INPUT_OUTPUTS!$C$16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INPUT_OUTPUTS!$C$13</f>
        <v>140</v>
      </c>
      <c r="AJ32" s="132">
        <f>INPUT_OUTPUTS!$C$14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INPUT_OUTPUTS!$C$16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INPUT_OUTPUTS!$C$13</f>
        <v>140</v>
      </c>
      <c r="AJ33" s="132">
        <f>INPUT_OUTPUTS!$C$14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INPUT_OUTPUTS!$C$16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INPUT_OUTPUTS!$C$13</f>
        <v>140</v>
      </c>
      <c r="AJ34" s="132">
        <f>INPUT_OUTPUTS!$C$14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INPUT_OUTPUTS!$C$16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INPUT_OUTPUTS!$C$13</f>
        <v>140</v>
      </c>
      <c r="AJ35" s="132">
        <f>INPUT_OUTPUTS!$C$14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INPUT_OUTPUTS!$C$16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INPUT_OUTPUTS!$C$13</f>
        <v>140</v>
      </c>
      <c r="AJ36" s="132">
        <f>INPUT_OUTPUTS!$C$14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INPUT_OUTPUTS!$C$16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INPUT_OUTPUTS!$C$13</f>
        <v>140</v>
      </c>
      <c r="AJ37" s="132">
        <f>INPUT_OUTPUTS!$C$14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INPUT_OUTPUTS!$C$16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INPUT_OUTPUTS!$C$13</f>
        <v>140</v>
      </c>
      <c r="AJ38" s="132">
        <f>INPUT_OUTPUTS!$C$14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INPUT_OUTPUTS!$C$16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INPUT_OUTPUTS!$C$13</f>
        <v>140</v>
      </c>
      <c r="AJ39" s="132">
        <f>INPUT_OUTPUTS!$C$14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INPUT_OUTPUTS!$C$16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INPUT_OUTPUTS!$C$13</f>
        <v>140</v>
      </c>
      <c r="AJ40" s="132">
        <f>INPUT_OUTPUTS!$C$14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INPUT_OUTPUTS!$C$16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INPUT_OUTPUTS!$C$13</f>
        <v>140</v>
      </c>
      <c r="AJ41" s="132">
        <f>INPUT_OUTPUTS!$C$14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INPUT_OUTPUTS!$C$16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INPUT_OUTPUTS!$C$13</f>
        <v>140</v>
      </c>
      <c r="AJ42" s="132">
        <f>INPUT_OUTPUTS!$C$14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INPUT_OUTPUTS!$C$16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INPUT_OUTPUTS!$C$13</f>
        <v>140</v>
      </c>
      <c r="AJ43" s="132">
        <f>INPUT_OUTPUTS!$C$14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INPUT_OUTPUTS!$C$16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INPUT_OUTPUTS!$C$13</f>
        <v>140</v>
      </c>
      <c r="AJ44" s="138">
        <f>INPUT_OUTPUTS!$C$14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INPUT_OUTPUTS!$C$16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317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SUBTOTAL(109,AHU1_CAV_SCHEDULE4450[MIN MBH])</f>
        <v>0</v>
      </c>
      <c r="AN45" s="161"/>
      <c r="AO45" s="163">
        <f>SUBTOTAL(109,AHU1_CAV_SCHEDULE4450[GPM])</f>
        <v>19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196" t="s">
        <v>126</v>
      </c>
      <c r="AD46" s="197"/>
      <c r="AE46" s="197"/>
      <c r="AF46" s="197"/>
      <c r="AG46" s="197"/>
      <c r="AH46" s="197"/>
      <c r="AI46" s="197"/>
      <c r="AJ46" s="197"/>
      <c r="AK46" s="197"/>
      <c r="AL46" s="197"/>
      <c r="AM46" s="197"/>
      <c r="AN46" s="197"/>
      <c r="AO46" s="197"/>
      <c r="AP46" s="197"/>
      <c r="AQ46" s="197"/>
      <c r="AR46" s="197"/>
      <c r="AS46" s="198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199"/>
      <c r="AD47" s="200"/>
      <c r="AE47" s="200"/>
      <c r="AF47" s="200"/>
      <c r="AG47" s="200"/>
      <c r="AH47" s="200"/>
      <c r="AI47" s="200"/>
      <c r="AJ47" s="200"/>
      <c r="AK47" s="200"/>
      <c r="AL47" s="200"/>
      <c r="AM47" s="200"/>
      <c r="AN47" s="200"/>
      <c r="AO47" s="200"/>
      <c r="AP47" s="200"/>
      <c r="AQ47" s="200"/>
      <c r="AR47" s="200"/>
      <c r="AS47" s="201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199"/>
      <c r="AD48" s="200"/>
      <c r="AE48" s="200"/>
      <c r="AF48" s="200"/>
      <c r="AG48" s="200"/>
      <c r="AH48" s="200"/>
      <c r="AI48" s="200"/>
      <c r="AJ48" s="200"/>
      <c r="AK48" s="200"/>
      <c r="AL48" s="200"/>
      <c r="AM48" s="200"/>
      <c r="AN48" s="200"/>
      <c r="AO48" s="200"/>
      <c r="AP48" s="200"/>
      <c r="AQ48" s="200"/>
      <c r="AR48" s="200"/>
      <c r="AS48" s="201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02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4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SUBTOTAL(109,AHU1_TABLE_4A4349[AREA (FT²)])</f>
        <v>100043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87">
        <f>SUBTOTAL(109,AHU1_TABLE_4A4349[OSA CFM])</f>
        <v>33420</v>
      </c>
      <c r="Q79" s="123"/>
      <c r="R79" s="128">
        <f>SUBTOTAL(109,AHU1_TABLE_4A4349[CALCULATED SA CFM])</f>
        <v>100045</v>
      </c>
      <c r="S79" s="188">
        <f>SUBTOTAL(109,AHU1_TABLE_4A4349[DESIGN SA CFM])</f>
        <v>100045</v>
      </c>
      <c r="T79" s="188">
        <f>SUBTOTAL(109,AHU1_TABLE_4A4349[RA CFM])</f>
        <v>100045</v>
      </c>
      <c r="U79" s="189">
        <f>SUBTOTAL(109,AHU1_TABLE_4A4349[EA CFM])</f>
        <v>0</v>
      </c>
      <c r="V79" s="190">
        <f>SUBTOTAL(109,AHU1_TABLE_4A4349[Transfer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9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328</v>
      </c>
      <c r="U81" s="66">
        <f>ROUNDUP(U79*INPUT_OUTPUTS!C15,-2)</f>
        <v>0</v>
      </c>
      <c r="V81" s="66">
        <f>ROUNDUP(V79*INPUT_OUTPUTS!C15,-2)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36.13655287260616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208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729800A2-5D54-E443-BB37-0C5E38665373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7C732-6545-C942-8429-6530BBF6E447}">
  <sheetPr codeName="Sheet13">
    <tabColor indexed="43"/>
    <pageSetUpPr fitToPage="1"/>
  </sheetPr>
  <dimension ref="A1:BB104"/>
  <sheetViews>
    <sheetView showGridLines="0" topLeftCell="P1" zoomScale="112" zoomScaleNormal="69" zoomScaleSheetLayoutView="50" zoomScalePageLayoutView="80" workbookViewId="0">
      <selection activeCell="T12" sqref="T12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3" bestFit="1" customWidth="1"/>
    <col min="5" max="5" width="16" style="15" bestFit="1" customWidth="1"/>
    <col min="6" max="6" width="9.83203125" style="15" bestFit="1" customWidth="1"/>
    <col min="7" max="7" width="12.6640625" bestFit="1" customWidth="1"/>
    <col min="8" max="8" width="11.5" style="18" bestFit="1" customWidth="1"/>
    <col min="9" max="10" width="7.6640625" customWidth="1"/>
    <col min="11" max="11" width="11.83203125" style="1" customWidth="1"/>
    <col min="12" max="12" width="12.6640625" customWidth="1"/>
    <col min="13" max="13" width="11.5" hidden="1" customWidth="1"/>
    <col min="14" max="14" width="64.33203125" style="1" bestFit="1" customWidth="1"/>
    <col min="15" max="15" width="25.5" style="1" bestFit="1" customWidth="1"/>
    <col min="16" max="16" width="12.83203125" customWidth="1"/>
    <col min="17" max="17" width="13" bestFit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67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396</v>
      </c>
      <c r="AX1" s="74" t="s">
        <v>397</v>
      </c>
      <c r="AY1" s="74" t="s">
        <v>398</v>
      </c>
      <c r="BA1" s="74" t="s">
        <v>45</v>
      </c>
      <c r="BB1" s="74" t="s">
        <v>399</v>
      </c>
    </row>
    <row r="2" spans="1:54" ht="17" thickBot="1">
      <c r="AW2" s="66">
        <f>ROUNDUP(S79*INPUT_OUTPUTS!$C$15,-2)</f>
        <v>96200</v>
      </c>
      <c r="AX2" s="66">
        <f>ROUNDUP(T79*INPUT_OUTPUTS!$C$15,-2)</f>
        <v>72900</v>
      </c>
      <c r="AY2" s="65">
        <f>ROUNDUP((P79*INPUT_OUTPUTS!C15)+P80,-2)</f>
        <v>35400</v>
      </c>
      <c r="BA2" s="76">
        <f>AHU1_CAV_SCHEDULE4414[[#Totals],[GPM]]</f>
        <v>19</v>
      </c>
      <c r="BB2" s="75">
        <f>AHU1_CAV_SCHEDULE4414[[#Totals],[MIN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05" t="s">
        <v>297</v>
      </c>
      <c r="E4" s="206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7"/>
      <c r="W4" s="69"/>
      <c r="Y4"/>
      <c r="Z4"/>
      <c r="AA4"/>
    </row>
    <row r="5" spans="1:54" ht="30">
      <c r="B5" s="86"/>
      <c r="C5" s="86"/>
      <c r="D5" s="208" t="s">
        <v>88</v>
      </c>
      <c r="E5" s="209"/>
      <c r="F5" s="209"/>
      <c r="G5" s="210"/>
      <c r="H5" s="211" t="s">
        <v>89</v>
      </c>
      <c r="I5" s="211"/>
      <c r="J5" s="211"/>
      <c r="K5" s="211"/>
      <c r="L5" s="211"/>
      <c r="M5" s="211"/>
      <c r="N5" s="211"/>
      <c r="O5" s="211"/>
      <c r="P5" s="211"/>
      <c r="Q5" s="211"/>
      <c r="R5" s="211"/>
      <c r="S5" s="208" t="s">
        <v>87</v>
      </c>
      <c r="T5" s="209"/>
      <c r="U5" s="209"/>
      <c r="V5" s="210"/>
      <c r="W5" s="86"/>
      <c r="X5" s="212" t="s">
        <v>86</v>
      </c>
      <c r="Y5" s="213"/>
      <c r="Z5" s="214"/>
      <c r="AC5" s="215" t="s">
        <v>124</v>
      </c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5"/>
    </row>
    <row r="6" spans="1:54" s="79" customFormat="1" ht="53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320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315</v>
      </c>
      <c r="C7" s="115" t="s">
        <v>315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INPUT_OUTPUTS!$C$13</f>
        <v>140</v>
      </c>
      <c r="AJ7" s="132">
        <f>INPUT_OUTPUTS!$C$14</f>
        <v>100</v>
      </c>
      <c r="AK7" s="132">
        <v>55</v>
      </c>
      <c r="AL7" s="132">
        <v>85</v>
      </c>
      <c r="AM7" s="132">
        <f t="shared" ref="AM7:AM44" si="12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INPUT_OUTPUTS!$C$16</f>
        <v>C1/M-501</v>
      </c>
      <c r="AS7" s="132" t="s">
        <v>123</v>
      </c>
    </row>
    <row r="8" spans="1:54" ht="15" customHeight="1">
      <c r="B8" s="115" t="s">
        <v>315</v>
      </c>
      <c r="C8" s="115" t="s">
        <v>315</v>
      </c>
      <c r="D8" s="115">
        <v>1234</v>
      </c>
      <c r="E8" s="115">
        <v>33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30</v>
      </c>
      <c r="L8" s="84">
        <f t="shared" ref="L8:L71" si="13">E8</f>
        <v>33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20</v>
      </c>
      <c r="Q8" s="81" t="str">
        <f>VLOOKUP($M8,'UMC Table 4-A'!$A$10:$E$139,5,FALSE)</f>
        <v>NR</v>
      </c>
      <c r="R8" s="82">
        <f t="shared" si="3"/>
        <v>35</v>
      </c>
      <c r="S8" s="119">
        <f t="shared" si="4"/>
        <v>35</v>
      </c>
      <c r="T8" s="119">
        <f t="shared" si="5"/>
        <v>35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1.0606060606060606</v>
      </c>
      <c r="Y8" s="56">
        <f>IFERROR(((P8/S8)*100),"-")</f>
        <v>57.142857142857139</v>
      </c>
      <c r="Z8" s="28">
        <f>IFERROR((R8/E8/F8*60),"-")</f>
        <v>6.3636363636363633</v>
      </c>
      <c r="AC8" s="131" t="s">
        <v>260</v>
      </c>
      <c r="AD8" s="131" t="s">
        <v>122</v>
      </c>
      <c r="AE8" s="131" t="s">
        <v>128</v>
      </c>
      <c r="AF8" s="132">
        <f t="shared" si="11"/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INPUT_OUTPUTS!$C$13</f>
        <v>140</v>
      </c>
      <c r="AJ8" s="132">
        <f>INPUT_OUTPUTS!$C$14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0</v>
      </c>
      <c r="AN8" s="133">
        <f>(AM8*1000)/(500*(AI8-AJ8))</f>
        <v>0</v>
      </c>
      <c r="AO8" s="133">
        <f t="shared" ref="AO8:AO44" si="15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INPUT_OUTPUTS!$C$16</f>
        <v>C1/M-501</v>
      </c>
      <c r="AS8" s="132" t="str">
        <f>AS7</f>
        <v>1, 2</v>
      </c>
    </row>
    <row r="9" spans="1:54" ht="15" customHeight="1">
      <c r="B9" s="115" t="s">
        <v>321</v>
      </c>
      <c r="C9" s="115" t="s">
        <v>315</v>
      </c>
      <c r="D9" s="115">
        <v>1234</v>
      </c>
      <c r="E9" s="115">
        <v>10000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6670</v>
      </c>
      <c r="L9" s="84">
        <f t="shared" si="13"/>
        <v>10000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3340</v>
      </c>
      <c r="Q9" s="81" t="str">
        <f>VLOOKUP($M9,'UMC Table 4-A'!$A$10:$E$139,5,FALSE)</f>
        <v>NR</v>
      </c>
      <c r="R9" s="82">
        <f t="shared" si="3"/>
        <v>10000</v>
      </c>
      <c r="S9" s="119">
        <f t="shared" si="4"/>
        <v>10000</v>
      </c>
      <c r="T9" s="119">
        <v>44</v>
      </c>
      <c r="U9" s="119">
        <f t="shared" si="6"/>
        <v>0</v>
      </c>
      <c r="V9" s="71">
        <f t="shared" si="7"/>
        <v>9956</v>
      </c>
      <c r="W9" s="27" t="str">
        <f t="shared" si="8"/>
        <v>No</v>
      </c>
      <c r="X9" s="28">
        <f t="shared" ref="X9:X72" si="16">IFERROR(R9/E9,"-")</f>
        <v>1</v>
      </c>
      <c r="Y9" s="56">
        <f t="shared" ref="Y9:Y72" si="17">IFERROR(((P9/S9)*100),"-")</f>
        <v>33.4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0</v>
      </c>
      <c r="AG9" s="132" t="str">
        <f>IFERROR((VLOOKUP(AF9,'DO NOT TOUCH'!$P$9:$Q$14,2,TRUE)),"TBD")</f>
        <v>TBD</v>
      </c>
      <c r="AH9" s="132">
        <f t="shared" ref="AH9:AH44" si="19">AH8</f>
        <v>0.5</v>
      </c>
      <c r="AI9" s="132">
        <f>INPUT_OUTPUTS!$C$13</f>
        <v>140</v>
      </c>
      <c r="AJ9" s="132">
        <f>INPUT_OUTPUTS!$C$14</f>
        <v>100</v>
      </c>
      <c r="AK9" s="132">
        <f t="shared" si="14"/>
        <v>55</v>
      </c>
      <c r="AL9" s="132">
        <f t="shared" si="14"/>
        <v>85</v>
      </c>
      <c r="AM9" s="132">
        <f t="shared" si="12"/>
        <v>0</v>
      </c>
      <c r="AN9" s="133">
        <f t="shared" ref="AN9:AN44" si="20">(AM9*1000)/(500*(AI9-AJ9))</f>
        <v>0</v>
      </c>
      <c r="AO9" s="133">
        <f t="shared" si="15"/>
        <v>0.5</v>
      </c>
      <c r="AP9" s="133">
        <f t="shared" ref="AP9:AP44" si="21">AP8</f>
        <v>5</v>
      </c>
      <c r="AQ9" s="133" t="str">
        <f>IFERROR((_xlfn.XLOOKUP(AG9,'DO NOT TOUCH'!$Q$9:$Q$14,'DO NOT TOUCH'!$R$9:$R$14,)),"TBD")</f>
        <v>TBD</v>
      </c>
      <c r="AR9" s="133" t="str">
        <f>INPUT_OUTPUTS!$C$16</f>
        <v>C1/M-501</v>
      </c>
      <c r="AS9" s="132" t="str">
        <f t="shared" ref="AS9:AS44" si="22">AS8</f>
        <v>1, 2</v>
      </c>
    </row>
    <row r="10" spans="1:54" ht="15" customHeight="1">
      <c r="B10" s="115" t="s">
        <v>322</v>
      </c>
      <c r="C10" s="115" t="s">
        <v>315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3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f t="shared" si="5"/>
        <v>10000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</v>
      </c>
      <c r="Y10" s="56">
        <f t="shared" si="17"/>
        <v>33.4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0</v>
      </c>
      <c r="AG10" s="132" t="str">
        <f>IFERROR((VLOOKUP(AF10,'DO NOT TOUCH'!$P$9:$Q$14,2,TRUE)),"TBD")</f>
        <v>TBD</v>
      </c>
      <c r="AH10" s="132">
        <f t="shared" si="19"/>
        <v>0.5</v>
      </c>
      <c r="AI10" s="132">
        <f>INPUT_OUTPUTS!$C$13</f>
        <v>140</v>
      </c>
      <c r="AJ10" s="132">
        <f>INPUT_OUTPUTS!$C$14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0</v>
      </c>
      <c r="AN10" s="133">
        <f t="shared" si="20"/>
        <v>0</v>
      </c>
      <c r="AO10" s="133">
        <f t="shared" si="15"/>
        <v>0.5</v>
      </c>
      <c r="AP10" s="133">
        <f t="shared" si="21"/>
        <v>5</v>
      </c>
      <c r="AQ10" s="133" t="str">
        <f>IFERROR((_xlfn.XLOOKUP(AG10,'DO NOT TOUCH'!$Q$9:$Q$14,'DO NOT TOUCH'!$R$9:$R$14,)),"TBD")</f>
        <v>TBD</v>
      </c>
      <c r="AR10" s="133" t="str">
        <f>INPUT_OUTPUTS!$C$16</f>
        <v>C1/M-501</v>
      </c>
      <c r="AS10" s="132" t="str">
        <f t="shared" si="22"/>
        <v>1, 2</v>
      </c>
    </row>
    <row r="11" spans="1:54" ht="15" customHeight="1">
      <c r="B11" s="115" t="s">
        <v>323</v>
      </c>
      <c r="C11" s="115" t="s">
        <v>315</v>
      </c>
      <c r="D11" s="115">
        <v>1234</v>
      </c>
      <c r="E11" s="115">
        <v>44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30</v>
      </c>
      <c r="L11" s="84">
        <f t="shared" si="13"/>
        <v>44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20</v>
      </c>
      <c r="Q11" s="81" t="str">
        <f>VLOOKUP($M11,'UMC Table 4-A'!$A$10:$E$139,5,FALSE)</f>
        <v>NR</v>
      </c>
      <c r="R11" s="82">
        <f t="shared" si="3"/>
        <v>45</v>
      </c>
      <c r="S11" s="119">
        <f t="shared" si="4"/>
        <v>45</v>
      </c>
      <c r="T11" s="119">
        <f t="shared" si="5"/>
        <v>45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1.0227272727272727</v>
      </c>
      <c r="Y11" s="56">
        <f t="shared" si="17"/>
        <v>44.444444444444443</v>
      </c>
      <c r="Z11" s="28">
        <f t="shared" si="18"/>
        <v>6.1363636363636358</v>
      </c>
      <c r="AC11" s="131" t="s">
        <v>263</v>
      </c>
      <c r="AD11" s="131" t="s">
        <v>122</v>
      </c>
      <c r="AE11" s="131" t="s">
        <v>128</v>
      </c>
      <c r="AF11" s="132">
        <f t="shared" si="11"/>
        <v>0</v>
      </c>
      <c r="AG11" s="132" t="str">
        <f>IFERROR((VLOOKUP(AF11,'DO NOT TOUCH'!$P$9:$Q$14,2,TRUE)),"TBD")</f>
        <v>TBD</v>
      </c>
      <c r="AH11" s="132">
        <f t="shared" si="19"/>
        <v>0.5</v>
      </c>
      <c r="AI11" s="132">
        <f>INPUT_OUTPUTS!$C$13</f>
        <v>140</v>
      </c>
      <c r="AJ11" s="132">
        <f>INPUT_OUTPUTS!$C$14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0</v>
      </c>
      <c r="AN11" s="133">
        <f t="shared" si="20"/>
        <v>0</v>
      </c>
      <c r="AO11" s="133">
        <f t="shared" si="15"/>
        <v>0.5</v>
      </c>
      <c r="AP11" s="133">
        <f t="shared" si="21"/>
        <v>5</v>
      </c>
      <c r="AQ11" s="133" t="str">
        <f>IFERROR((_xlfn.XLOOKUP(AG11,'DO NOT TOUCH'!$Q$9:$Q$14,'DO NOT TOUCH'!$R$9:$R$14,)),"TBD")</f>
        <v>TBD</v>
      </c>
      <c r="AR11" s="133" t="str">
        <f>INPUT_OUTPUTS!$C$16</f>
        <v>C1/M-501</v>
      </c>
      <c r="AS11" s="132" t="str">
        <f t="shared" si="22"/>
        <v>1, 2</v>
      </c>
    </row>
    <row r="12" spans="1:54" ht="15" customHeight="1">
      <c r="B12" s="115" t="s">
        <v>323</v>
      </c>
      <c r="C12" s="115" t="s">
        <v>315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3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33.4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0</v>
      </c>
      <c r="AG12" s="132" t="str">
        <f>IFERROR((VLOOKUP(AF12,'DO NOT TOUCH'!$P$9:$Q$14,2,TRUE)),"TBD")</f>
        <v>TBD</v>
      </c>
      <c r="AH12" s="132">
        <f t="shared" si="19"/>
        <v>0.5</v>
      </c>
      <c r="AI12" s="132">
        <f>INPUT_OUTPUTS!$C$13</f>
        <v>140</v>
      </c>
      <c r="AJ12" s="132">
        <f>INPUT_OUTPUTS!$C$14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0</v>
      </c>
      <c r="AN12" s="133">
        <f t="shared" si="20"/>
        <v>0</v>
      </c>
      <c r="AO12" s="133">
        <f t="shared" si="15"/>
        <v>0.5</v>
      </c>
      <c r="AP12" s="133">
        <f t="shared" si="21"/>
        <v>5</v>
      </c>
      <c r="AQ12" s="133" t="str">
        <f>IFERROR((_xlfn.XLOOKUP(AG12,'DO NOT TOUCH'!$Q$9:$Q$14,'DO NOT TOUCH'!$R$9:$R$14,)),"TBD")</f>
        <v>TBD</v>
      </c>
      <c r="AR12" s="133" t="str">
        <f>INPUT_OUTPUTS!$C$16</f>
        <v>C1/M-501</v>
      </c>
      <c r="AS12" s="132" t="str">
        <f t="shared" si="22"/>
        <v>1, 2</v>
      </c>
    </row>
    <row r="13" spans="1:54" ht="15" customHeight="1">
      <c r="B13" s="115" t="s">
        <v>324</v>
      </c>
      <c r="C13" s="115" t="s">
        <v>315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3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v>555</v>
      </c>
      <c r="U13" s="119">
        <f t="shared" si="6"/>
        <v>0</v>
      </c>
      <c r="V13" s="71">
        <f t="shared" si="7"/>
        <v>9445</v>
      </c>
      <c r="W13" s="27" t="str">
        <f t="shared" si="8"/>
        <v>No</v>
      </c>
      <c r="X13" s="28">
        <f t="shared" si="16"/>
        <v>1</v>
      </c>
      <c r="Y13" s="56">
        <f t="shared" si="17"/>
        <v>33.4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0</v>
      </c>
      <c r="AG13" s="132" t="str">
        <f>IFERROR((VLOOKUP(AF13,'DO NOT TOUCH'!$P$9:$Q$14,2,TRUE)),"TBD")</f>
        <v>TBD</v>
      </c>
      <c r="AH13" s="132">
        <f t="shared" si="19"/>
        <v>0.5</v>
      </c>
      <c r="AI13" s="132">
        <f>INPUT_OUTPUTS!$C$13</f>
        <v>140</v>
      </c>
      <c r="AJ13" s="132">
        <f>INPUT_OUTPUTS!$C$14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0</v>
      </c>
      <c r="AN13" s="133">
        <f t="shared" si="20"/>
        <v>0</v>
      </c>
      <c r="AO13" s="133">
        <f t="shared" si="15"/>
        <v>0.5</v>
      </c>
      <c r="AP13" s="133">
        <f t="shared" si="21"/>
        <v>5</v>
      </c>
      <c r="AQ13" s="133" t="str">
        <f>IFERROR((_xlfn.XLOOKUP(AG13,'DO NOT TOUCH'!$Q$9:$Q$14,'DO NOT TOUCH'!$R$9:$R$14,)),"TBD")</f>
        <v>TBD</v>
      </c>
      <c r="AR13" s="133" t="str">
        <f>INPUT_OUTPUTS!$C$16</f>
        <v>C1/M-501</v>
      </c>
      <c r="AS13" s="135" t="str">
        <f t="shared" si="22"/>
        <v>1, 2</v>
      </c>
    </row>
    <row r="14" spans="1:54" ht="15" customHeight="1">
      <c r="B14" s="115" t="s">
        <v>325</v>
      </c>
      <c r="C14" s="115" t="s">
        <v>315</v>
      </c>
      <c r="D14" s="115">
        <v>1234</v>
      </c>
      <c r="E14" s="115">
        <v>10000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3"/>
        <v>10000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f t="shared" si="5"/>
        <v>10000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33.4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0</v>
      </c>
      <c r="AG14" s="132" t="str">
        <f>IFERROR((VLOOKUP(AF14,'DO NOT TOUCH'!$P$9:$Q$14,2,TRUE)),"TBD")</f>
        <v>TBD</v>
      </c>
      <c r="AH14" s="132">
        <f t="shared" si="19"/>
        <v>0.5</v>
      </c>
      <c r="AI14" s="132">
        <f>INPUT_OUTPUTS!$C$13</f>
        <v>140</v>
      </c>
      <c r="AJ14" s="132">
        <f>INPUT_OUTPUTS!$C$14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0</v>
      </c>
      <c r="AN14" s="133">
        <f t="shared" si="20"/>
        <v>0</v>
      </c>
      <c r="AO14" s="133">
        <f t="shared" si="15"/>
        <v>0.5</v>
      </c>
      <c r="AP14" s="133">
        <f t="shared" si="21"/>
        <v>5</v>
      </c>
      <c r="AQ14" s="133" t="str">
        <f>IFERROR((_xlfn.XLOOKUP(AG14,'DO NOT TOUCH'!$Q$9:$Q$14,'DO NOT TOUCH'!$R$9:$R$14,)),"TBD")</f>
        <v>TBD</v>
      </c>
      <c r="AR14" s="133" t="str">
        <f>INPUT_OUTPUTS!$C$16</f>
        <v>C1/M-501</v>
      </c>
      <c r="AS14" s="135" t="str">
        <f t="shared" si="22"/>
        <v>1, 2</v>
      </c>
    </row>
    <row r="15" spans="1:54" ht="15" customHeight="1">
      <c r="B15" s="115" t="s">
        <v>325</v>
      </c>
      <c r="C15" s="115" t="s">
        <v>315</v>
      </c>
      <c r="D15" s="115">
        <v>1234</v>
      </c>
      <c r="E15" s="115">
        <v>10000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3"/>
        <v>10000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f t="shared" si="5"/>
        <v>10000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33.4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0</v>
      </c>
      <c r="AG15" s="132" t="str">
        <f>IFERROR((VLOOKUP(AF15,'DO NOT TOUCH'!$P$9:$Q$14,2,TRUE)),"TBD")</f>
        <v>TBD</v>
      </c>
      <c r="AH15" s="132">
        <f t="shared" si="19"/>
        <v>0.5</v>
      </c>
      <c r="AI15" s="132">
        <f>INPUT_OUTPUTS!$C$13</f>
        <v>140</v>
      </c>
      <c r="AJ15" s="132">
        <f>INPUT_OUTPUTS!$C$14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0</v>
      </c>
      <c r="AN15" s="133">
        <f t="shared" si="20"/>
        <v>0</v>
      </c>
      <c r="AO15" s="133">
        <f t="shared" si="15"/>
        <v>0.5</v>
      </c>
      <c r="AP15" s="133">
        <f t="shared" si="21"/>
        <v>5</v>
      </c>
      <c r="AQ15" s="133" t="str">
        <f>IFERROR((_xlfn.XLOOKUP(AG15,'DO NOT TOUCH'!$Q$9:$Q$14,'DO NOT TOUCH'!$R$9:$R$14,)),"TBD")</f>
        <v>TBD</v>
      </c>
      <c r="AR15" s="133" t="str">
        <f>INPUT_OUTPUTS!$C$16</f>
        <v>C1/M-501</v>
      </c>
      <c r="AS15" s="135" t="str">
        <f t="shared" si="22"/>
        <v>1, 2</v>
      </c>
    </row>
    <row r="16" spans="1:54" ht="15" customHeight="1">
      <c r="B16" s="115" t="s">
        <v>326</v>
      </c>
      <c r="C16" s="115" t="s">
        <v>315</v>
      </c>
      <c r="D16" s="115">
        <v>1234</v>
      </c>
      <c r="E16" s="115">
        <v>55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40</v>
      </c>
      <c r="L16" s="84">
        <f t="shared" si="13"/>
        <v>55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20</v>
      </c>
      <c r="Q16" s="81" t="str">
        <f>VLOOKUP($M16,'UMC Table 4-A'!$A$10:$E$139,5,FALSE)</f>
        <v>NR</v>
      </c>
      <c r="R16" s="82">
        <f t="shared" si="3"/>
        <v>55</v>
      </c>
      <c r="S16" s="119">
        <f t="shared" si="4"/>
        <v>55</v>
      </c>
      <c r="T16" s="119">
        <f t="shared" si="5"/>
        <v>55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36.363636363636367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0</v>
      </c>
      <c r="AG16" s="132" t="str">
        <f>IFERROR((VLOOKUP(AF16,'DO NOT TOUCH'!$P$9:$Q$14,2,TRUE)),"TBD")</f>
        <v>TBD</v>
      </c>
      <c r="AH16" s="132">
        <f t="shared" si="19"/>
        <v>0.5</v>
      </c>
      <c r="AI16" s="132">
        <f>INPUT_OUTPUTS!$C$13</f>
        <v>140</v>
      </c>
      <c r="AJ16" s="132">
        <f>INPUT_OUTPUTS!$C$14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0</v>
      </c>
      <c r="AN16" s="133">
        <f t="shared" si="20"/>
        <v>0</v>
      </c>
      <c r="AO16" s="133">
        <f t="shared" si="15"/>
        <v>0.5</v>
      </c>
      <c r="AP16" s="133">
        <f t="shared" si="21"/>
        <v>5</v>
      </c>
      <c r="AQ16" s="133" t="str">
        <f>IFERROR((_xlfn.XLOOKUP(AG16,'DO NOT TOUCH'!$Q$9:$Q$14,'DO NOT TOUCH'!$R$9:$R$14,)),"TBD")</f>
        <v>TBD</v>
      </c>
      <c r="AR16" s="133" t="str">
        <f>INPUT_OUTPUTS!$C$16</f>
        <v>C1/M-501</v>
      </c>
      <c r="AS16" s="135" t="str">
        <f t="shared" si="22"/>
        <v>1, 2</v>
      </c>
    </row>
    <row r="17" spans="2:45" ht="15" customHeight="1">
      <c r="B17" s="115" t="s">
        <v>327</v>
      </c>
      <c r="C17" s="115" t="s">
        <v>315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0</v>
      </c>
      <c r="AG17" s="132" t="str">
        <f>IFERROR((VLOOKUP(AF17,'DO NOT TOUCH'!$P$9:$Q$14,2,TRUE)),"TBD")</f>
        <v>TBD</v>
      </c>
      <c r="AH17" s="132">
        <f t="shared" si="19"/>
        <v>0.5</v>
      </c>
      <c r="AI17" s="132">
        <f>INPUT_OUTPUTS!$C$13</f>
        <v>140</v>
      </c>
      <c r="AJ17" s="132">
        <f>INPUT_OUTPUTS!$C$14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0</v>
      </c>
      <c r="AN17" s="133">
        <f t="shared" si="20"/>
        <v>0</v>
      </c>
      <c r="AO17" s="133">
        <f t="shared" si="15"/>
        <v>0.5</v>
      </c>
      <c r="AP17" s="133">
        <f t="shared" si="21"/>
        <v>5</v>
      </c>
      <c r="AQ17" s="133" t="str">
        <f>IFERROR((_xlfn.XLOOKUP(AG17,'DO NOT TOUCH'!$Q$9:$Q$14,'DO NOT TOUCH'!$R$9:$R$14,)),"TBD")</f>
        <v>TBD</v>
      </c>
      <c r="AR17" s="133" t="str">
        <f>INPUT_OUTPUTS!$C$16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INPUT_OUTPUTS!$C$13</f>
        <v>140</v>
      </c>
      <c r="AJ18" s="132">
        <f>INPUT_OUTPUTS!$C$14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INPUT_OUTPUTS!$C$16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INPUT_OUTPUTS!$C$13</f>
        <v>140</v>
      </c>
      <c r="AJ19" s="132">
        <f>INPUT_OUTPUTS!$C$14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INPUT_OUTPUTS!$C$16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INPUT_OUTPUTS!$C$13</f>
        <v>140</v>
      </c>
      <c r="AJ20" s="132">
        <f>INPUT_OUTPUTS!$C$14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INPUT_OUTPUTS!$C$16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INPUT_OUTPUTS!$C$13</f>
        <v>140</v>
      </c>
      <c r="AJ21" s="132">
        <f>INPUT_OUTPUTS!$C$14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INPUT_OUTPUTS!$C$16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INPUT_OUTPUTS!$C$13</f>
        <v>140</v>
      </c>
      <c r="AJ22" s="132">
        <f>INPUT_OUTPUTS!$C$14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INPUT_OUTPUTS!$C$16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INPUT_OUTPUTS!$C$13</f>
        <v>140</v>
      </c>
      <c r="AJ23" s="132">
        <f>INPUT_OUTPUTS!$C$14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INPUT_OUTPUTS!$C$16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INPUT_OUTPUTS!$C$13</f>
        <v>140</v>
      </c>
      <c r="AJ24" s="132">
        <f>INPUT_OUTPUTS!$C$14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INPUT_OUTPUTS!$C$16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INPUT_OUTPUTS!$C$13</f>
        <v>140</v>
      </c>
      <c r="AJ25" s="132">
        <f>INPUT_OUTPUTS!$C$14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INPUT_OUTPUTS!$C$16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INPUT_OUTPUTS!$C$13</f>
        <v>140</v>
      </c>
      <c r="AJ26" s="132">
        <f>INPUT_OUTPUTS!$C$14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INPUT_OUTPUTS!$C$16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INPUT_OUTPUTS!$C$13</f>
        <v>140</v>
      </c>
      <c r="AJ27" s="132">
        <f>INPUT_OUTPUTS!$C$14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INPUT_OUTPUTS!$C$16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INPUT_OUTPUTS!$C$13</f>
        <v>140</v>
      </c>
      <c r="AJ28" s="132">
        <f>INPUT_OUTPUTS!$C$14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INPUT_OUTPUTS!$C$16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INPUT_OUTPUTS!$C$13</f>
        <v>140</v>
      </c>
      <c r="AJ29" s="132">
        <f>INPUT_OUTPUTS!$C$14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INPUT_OUTPUTS!$C$16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INPUT_OUTPUTS!$C$13</f>
        <v>140</v>
      </c>
      <c r="AJ30" s="132">
        <f>INPUT_OUTPUTS!$C$14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INPUT_OUTPUTS!$C$16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INPUT_OUTPUTS!$C$13</f>
        <v>140</v>
      </c>
      <c r="AJ31" s="132">
        <f>INPUT_OUTPUTS!$C$14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INPUT_OUTPUTS!$C$16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INPUT_OUTPUTS!$C$13</f>
        <v>140</v>
      </c>
      <c r="AJ32" s="132">
        <f>INPUT_OUTPUTS!$C$14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INPUT_OUTPUTS!$C$16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INPUT_OUTPUTS!$C$13</f>
        <v>140</v>
      </c>
      <c r="AJ33" s="132">
        <f>INPUT_OUTPUTS!$C$14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INPUT_OUTPUTS!$C$16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INPUT_OUTPUTS!$C$13</f>
        <v>140</v>
      </c>
      <c r="AJ34" s="132">
        <f>INPUT_OUTPUTS!$C$14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INPUT_OUTPUTS!$C$16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INPUT_OUTPUTS!$C$13</f>
        <v>140</v>
      </c>
      <c r="AJ35" s="132">
        <f>INPUT_OUTPUTS!$C$14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INPUT_OUTPUTS!$C$16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INPUT_OUTPUTS!$C$13</f>
        <v>140</v>
      </c>
      <c r="AJ36" s="132">
        <f>INPUT_OUTPUTS!$C$14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INPUT_OUTPUTS!$C$16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INPUT_OUTPUTS!$C$13</f>
        <v>140</v>
      </c>
      <c r="AJ37" s="132">
        <f>INPUT_OUTPUTS!$C$14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INPUT_OUTPUTS!$C$16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INPUT_OUTPUTS!$C$13</f>
        <v>140</v>
      </c>
      <c r="AJ38" s="132">
        <f>INPUT_OUTPUTS!$C$14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INPUT_OUTPUTS!$C$16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INPUT_OUTPUTS!$C$13</f>
        <v>140</v>
      </c>
      <c r="AJ39" s="132">
        <f>INPUT_OUTPUTS!$C$14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INPUT_OUTPUTS!$C$16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INPUT_OUTPUTS!$C$13</f>
        <v>140</v>
      </c>
      <c r="AJ40" s="132">
        <f>INPUT_OUTPUTS!$C$14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INPUT_OUTPUTS!$C$16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INPUT_OUTPUTS!$C$13</f>
        <v>140</v>
      </c>
      <c r="AJ41" s="132">
        <f>INPUT_OUTPUTS!$C$14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INPUT_OUTPUTS!$C$16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INPUT_OUTPUTS!$C$13</f>
        <v>140</v>
      </c>
      <c r="AJ42" s="132">
        <f>INPUT_OUTPUTS!$C$14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INPUT_OUTPUTS!$C$16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INPUT_OUTPUTS!$C$13</f>
        <v>140</v>
      </c>
      <c r="AJ43" s="132">
        <f>INPUT_OUTPUTS!$C$14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INPUT_OUTPUTS!$C$16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INPUT_OUTPUTS!$C$13</f>
        <v>140</v>
      </c>
      <c r="AJ44" s="138">
        <f>INPUT_OUTPUTS!$C$14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INPUT_OUTPUTS!$C$16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317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SUBTOTAL(109,AHU1_CAV_SCHEDULE4414[MIN MBH])</f>
        <v>0</v>
      </c>
      <c r="AN45" s="161"/>
      <c r="AO45" s="163">
        <f>SUBTOTAL(109,AHU1_CAV_SCHEDULE4414[GPM])</f>
        <v>19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196" t="s">
        <v>126</v>
      </c>
      <c r="AD46" s="197"/>
      <c r="AE46" s="197"/>
      <c r="AF46" s="197"/>
      <c r="AG46" s="197"/>
      <c r="AH46" s="197"/>
      <c r="AI46" s="197"/>
      <c r="AJ46" s="197"/>
      <c r="AK46" s="197"/>
      <c r="AL46" s="197"/>
      <c r="AM46" s="197"/>
      <c r="AN46" s="197"/>
      <c r="AO46" s="197"/>
      <c r="AP46" s="197"/>
      <c r="AQ46" s="197"/>
      <c r="AR46" s="197"/>
      <c r="AS46" s="198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199"/>
      <c r="AD47" s="200"/>
      <c r="AE47" s="200"/>
      <c r="AF47" s="200"/>
      <c r="AG47" s="200"/>
      <c r="AH47" s="200"/>
      <c r="AI47" s="200"/>
      <c r="AJ47" s="200"/>
      <c r="AK47" s="200"/>
      <c r="AL47" s="200"/>
      <c r="AM47" s="200"/>
      <c r="AN47" s="200"/>
      <c r="AO47" s="200"/>
      <c r="AP47" s="200"/>
      <c r="AQ47" s="200"/>
      <c r="AR47" s="200"/>
      <c r="AS47" s="201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199"/>
      <c r="AD48" s="200"/>
      <c r="AE48" s="200"/>
      <c r="AF48" s="200"/>
      <c r="AG48" s="200"/>
      <c r="AH48" s="200"/>
      <c r="AI48" s="200"/>
      <c r="AJ48" s="200"/>
      <c r="AK48" s="200"/>
      <c r="AL48" s="200"/>
      <c r="AM48" s="200"/>
      <c r="AN48" s="200"/>
      <c r="AO48" s="200"/>
      <c r="AP48" s="200"/>
      <c r="AQ48" s="200"/>
      <c r="AR48" s="200"/>
      <c r="AS48" s="201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02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4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SUBTOTAL(109,AHU1_TABLE_4A4313[AREA (FT²)])</f>
        <v>80132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87">
        <f>SUBTOTAL(109,AHU1_TABLE_4A4313[OSA CFM])</f>
        <v>26780</v>
      </c>
      <c r="Q79" s="123"/>
      <c r="R79" s="128">
        <f>SUBTOTAL(109,AHU1_TABLE_4A4313[CALCULATED SA CFM])</f>
        <v>80135</v>
      </c>
      <c r="S79" s="188">
        <f>SUBTOTAL(109,AHU1_TABLE_4A4313[DESIGN SA CFM])</f>
        <v>80135</v>
      </c>
      <c r="T79" s="188">
        <f>SUBTOTAL(109,AHU1_TABLE_4A4313[RA CFM])</f>
        <v>60734</v>
      </c>
      <c r="U79" s="189">
        <f>SUBTOTAL(109,AHU1_TABLE_4A4313[EA CFM])</f>
        <v>0</v>
      </c>
      <c r="V79" s="190">
        <f>SUBTOTAL(109,AHU1_TABLE_4A4313[Transfer Air CFM])</f>
        <v>19401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9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328</v>
      </c>
      <c r="U81" s="66">
        <f>ROUNDUP(U79*INPUT_OUTPUTS!C15,-2)</f>
        <v>0</v>
      </c>
      <c r="V81" s="66">
        <f>ROUNDUP(V79*INPUT_OUTPUTS!C15,-2)</f>
        <v>23300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48.559670781893004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214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3D60CA50-B0F4-7F43-8FAD-E68B873A3AD9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1915A-7168-6D4B-966C-F11814725B87}">
  <sheetPr codeName="Sheet12">
    <tabColor indexed="43"/>
    <pageSetUpPr fitToPage="1"/>
  </sheetPr>
  <dimension ref="A1:BB104"/>
  <sheetViews>
    <sheetView showGridLines="0" topLeftCell="P1" zoomScale="119" zoomScaleNormal="69" zoomScaleSheetLayoutView="50" zoomScalePageLayoutView="80" workbookViewId="0">
      <selection activeCell="T16" sqref="T16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3" bestFit="1" customWidth="1"/>
    <col min="5" max="5" width="16" style="15" bestFit="1" customWidth="1"/>
    <col min="6" max="6" width="9.83203125" style="15" bestFit="1" customWidth="1"/>
    <col min="7" max="7" width="12.6640625" bestFit="1" customWidth="1"/>
    <col min="8" max="8" width="11.5" style="18" bestFit="1" customWidth="1"/>
    <col min="9" max="10" width="7.6640625" customWidth="1"/>
    <col min="11" max="11" width="11.83203125" style="1" customWidth="1"/>
    <col min="12" max="12" width="12.6640625" customWidth="1"/>
    <col min="13" max="13" width="11.5" hidden="1" customWidth="1"/>
    <col min="14" max="14" width="64.33203125" style="1" bestFit="1" customWidth="1"/>
    <col min="15" max="15" width="25.5" style="1" bestFit="1" customWidth="1"/>
    <col min="16" max="16" width="12.83203125" customWidth="1"/>
    <col min="17" max="17" width="13" bestFit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67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396</v>
      </c>
      <c r="AX1" s="74" t="s">
        <v>397</v>
      </c>
      <c r="AY1" s="74" t="s">
        <v>398</v>
      </c>
      <c r="BA1" s="74" t="s">
        <v>45</v>
      </c>
      <c r="BB1" s="74" t="s">
        <v>399</v>
      </c>
    </row>
    <row r="2" spans="1:54" ht="17" thickBot="1">
      <c r="AW2" s="66">
        <f>ROUNDUP(S79*INPUT_OUTPUTS!$C$15,-2)</f>
        <v>71700</v>
      </c>
      <c r="AX2" s="66">
        <f>ROUNDUP(T79*INPUT_OUTPUTS!$C$15,-2)</f>
        <v>64700</v>
      </c>
      <c r="AY2" s="65">
        <f>ROUNDUP((P79*INPUT_OUTPUTS!C15)+P80,-2)</f>
        <v>27200</v>
      </c>
      <c r="BA2" s="76">
        <f>AHU1_CAV_SCHEDULE4412[[#Totals],[GPM]]</f>
        <v>19</v>
      </c>
      <c r="BB2" s="75">
        <f>AHU1_CAV_SCHEDULE4412[[#Totals],[MIN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05" t="s">
        <v>297</v>
      </c>
      <c r="E4" s="206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7"/>
      <c r="W4" s="69"/>
      <c r="Y4"/>
      <c r="Z4"/>
      <c r="AA4"/>
    </row>
    <row r="5" spans="1:54" ht="30">
      <c r="B5" s="86"/>
      <c r="C5" s="86"/>
      <c r="D5" s="208" t="s">
        <v>88</v>
      </c>
      <c r="E5" s="209"/>
      <c r="F5" s="209"/>
      <c r="G5" s="210"/>
      <c r="H5" s="211" t="s">
        <v>89</v>
      </c>
      <c r="I5" s="211"/>
      <c r="J5" s="211"/>
      <c r="K5" s="211"/>
      <c r="L5" s="211"/>
      <c r="M5" s="211"/>
      <c r="N5" s="211"/>
      <c r="O5" s="211"/>
      <c r="P5" s="211"/>
      <c r="Q5" s="211"/>
      <c r="R5" s="211"/>
      <c r="S5" s="208" t="s">
        <v>87</v>
      </c>
      <c r="T5" s="209"/>
      <c r="U5" s="209"/>
      <c r="V5" s="210"/>
      <c r="W5" s="86"/>
      <c r="X5" s="212" t="s">
        <v>86</v>
      </c>
      <c r="Y5" s="213"/>
      <c r="Z5" s="214"/>
      <c r="AC5" s="215" t="s">
        <v>124</v>
      </c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5"/>
    </row>
    <row r="6" spans="1:54" s="79" customFormat="1" ht="53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320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315</v>
      </c>
      <c r="C7" s="115" t="s">
        <v>315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INPUT_OUTPUTS!$C$13</f>
        <v>140</v>
      </c>
      <c r="AJ7" s="132">
        <f>INPUT_OUTPUTS!$C$14</f>
        <v>100</v>
      </c>
      <c r="AK7" s="132">
        <v>55</v>
      </c>
      <c r="AL7" s="132">
        <v>85</v>
      </c>
      <c r="AM7" s="132">
        <f t="shared" ref="AM7:AM44" si="12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INPUT_OUTPUTS!$C$16</f>
        <v>C1/M-501</v>
      </c>
      <c r="AS7" s="132" t="s">
        <v>123</v>
      </c>
    </row>
    <row r="8" spans="1:54" ht="15" customHeight="1">
      <c r="B8" s="115" t="s">
        <v>315</v>
      </c>
      <c r="C8" s="115" t="s">
        <v>315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3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INPUT_OUTPUTS!$C$13</f>
        <v>140</v>
      </c>
      <c r="AJ8" s="132">
        <f>INPUT_OUTPUTS!$C$14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0</v>
      </c>
      <c r="AN8" s="133">
        <f>(AM8*1000)/(500*(AI8-AJ8))</f>
        <v>0</v>
      </c>
      <c r="AO8" s="133">
        <f t="shared" ref="AO8:AO44" si="15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INPUT_OUTPUTS!$C$16</f>
        <v>C1/M-501</v>
      </c>
      <c r="AS8" s="132" t="str">
        <f>AS7</f>
        <v>1, 2</v>
      </c>
    </row>
    <row r="9" spans="1:54" ht="15" customHeight="1">
      <c r="B9" s="115" t="s">
        <v>321</v>
      </c>
      <c r="C9" s="115" t="s">
        <v>315</v>
      </c>
      <c r="D9" s="115">
        <v>1234</v>
      </c>
      <c r="E9" s="115">
        <v>66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50</v>
      </c>
      <c r="L9" s="84">
        <f t="shared" si="13"/>
        <v>66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30</v>
      </c>
      <c r="Q9" s="81" t="str">
        <f>VLOOKUP($M9,'UMC Table 4-A'!$A$10:$E$139,5,FALSE)</f>
        <v>NR</v>
      </c>
      <c r="R9" s="82">
        <f t="shared" si="3"/>
        <v>70</v>
      </c>
      <c r="S9" s="119">
        <f t="shared" si="4"/>
        <v>70</v>
      </c>
      <c r="T9" s="119">
        <f t="shared" si="5"/>
        <v>70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1.0606060606060606</v>
      </c>
      <c r="Y9" s="56">
        <f t="shared" ref="Y9:Y72" si="17">IFERROR(((P9/S9)*100),"-")</f>
        <v>42.857142857142854</v>
      </c>
      <c r="Z9" s="28">
        <f t="shared" ref="Z9:Z72" si="18">IFERROR((R9/E9/F9*60),"-")</f>
        <v>6.3636363636363633</v>
      </c>
      <c r="AC9" s="131" t="s">
        <v>261</v>
      </c>
      <c r="AD9" s="131" t="s">
        <v>122</v>
      </c>
      <c r="AE9" s="131" t="s">
        <v>128</v>
      </c>
      <c r="AF9" s="132">
        <f t="shared" si="11"/>
        <v>0</v>
      </c>
      <c r="AG9" s="132" t="str">
        <f>IFERROR((VLOOKUP(AF9,'DO NOT TOUCH'!$P$9:$Q$14,2,TRUE)),"TBD")</f>
        <v>TBD</v>
      </c>
      <c r="AH9" s="132">
        <f t="shared" ref="AH9:AH44" si="19">AH8</f>
        <v>0.5</v>
      </c>
      <c r="AI9" s="132">
        <f>INPUT_OUTPUTS!$C$13</f>
        <v>140</v>
      </c>
      <c r="AJ9" s="132">
        <f>INPUT_OUTPUTS!$C$14</f>
        <v>100</v>
      </c>
      <c r="AK9" s="132">
        <f t="shared" si="14"/>
        <v>55</v>
      </c>
      <c r="AL9" s="132">
        <f t="shared" si="14"/>
        <v>85</v>
      </c>
      <c r="AM9" s="132">
        <f t="shared" si="12"/>
        <v>0</v>
      </c>
      <c r="AN9" s="133">
        <f t="shared" ref="AN9:AN44" si="20">(AM9*1000)/(500*(AI9-AJ9))</f>
        <v>0</v>
      </c>
      <c r="AO9" s="133">
        <f t="shared" si="15"/>
        <v>0.5</v>
      </c>
      <c r="AP9" s="133">
        <f t="shared" ref="AP9:AP44" si="21">AP8</f>
        <v>5</v>
      </c>
      <c r="AQ9" s="133" t="str">
        <f>IFERROR((_xlfn.XLOOKUP(AG9,'DO NOT TOUCH'!$Q$9:$Q$14,'DO NOT TOUCH'!$R$9:$R$14,)),"TBD")</f>
        <v>TBD</v>
      </c>
      <c r="AR9" s="133" t="str">
        <f>INPUT_OUTPUTS!$C$16</f>
        <v>C1/M-501</v>
      </c>
      <c r="AS9" s="132" t="str">
        <f t="shared" ref="AS9:AS44" si="22">AS8</f>
        <v>1, 2</v>
      </c>
    </row>
    <row r="10" spans="1:54" ht="15" customHeight="1">
      <c r="B10" s="115" t="s">
        <v>322</v>
      </c>
      <c r="C10" s="115" t="s">
        <v>315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3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f t="shared" si="5"/>
        <v>10000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</v>
      </c>
      <c r="Y10" s="56">
        <f t="shared" si="17"/>
        <v>33.4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0</v>
      </c>
      <c r="AG10" s="132" t="str">
        <f>IFERROR((VLOOKUP(AF10,'DO NOT TOUCH'!$P$9:$Q$14,2,TRUE)),"TBD")</f>
        <v>TBD</v>
      </c>
      <c r="AH10" s="132">
        <f t="shared" si="19"/>
        <v>0.5</v>
      </c>
      <c r="AI10" s="132">
        <f>INPUT_OUTPUTS!$C$13</f>
        <v>140</v>
      </c>
      <c r="AJ10" s="132">
        <f>INPUT_OUTPUTS!$C$14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0</v>
      </c>
      <c r="AN10" s="133">
        <f t="shared" si="20"/>
        <v>0</v>
      </c>
      <c r="AO10" s="133">
        <f t="shared" si="15"/>
        <v>0.5</v>
      </c>
      <c r="AP10" s="133">
        <f t="shared" si="21"/>
        <v>5</v>
      </c>
      <c r="AQ10" s="133" t="str">
        <f>IFERROR((_xlfn.XLOOKUP(AG10,'DO NOT TOUCH'!$Q$9:$Q$14,'DO NOT TOUCH'!$R$9:$R$14,)),"TBD")</f>
        <v>TBD</v>
      </c>
      <c r="AR10" s="133" t="str">
        <f>INPUT_OUTPUTS!$C$16</f>
        <v>C1/M-501</v>
      </c>
      <c r="AS10" s="132" t="str">
        <f t="shared" si="22"/>
        <v>1, 2</v>
      </c>
    </row>
    <row r="11" spans="1:54" ht="15" customHeight="1">
      <c r="B11" s="115" t="s">
        <v>323</v>
      </c>
      <c r="C11" s="115" t="s">
        <v>315</v>
      </c>
      <c r="D11" s="115">
        <v>1234</v>
      </c>
      <c r="E11" s="115">
        <v>555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370</v>
      </c>
      <c r="L11" s="84">
        <f t="shared" si="13"/>
        <v>555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190</v>
      </c>
      <c r="Q11" s="81" t="str">
        <f>VLOOKUP($M11,'UMC Table 4-A'!$A$10:$E$139,5,FALSE)</f>
        <v>NR</v>
      </c>
      <c r="R11" s="82">
        <f t="shared" si="3"/>
        <v>555</v>
      </c>
      <c r="S11" s="119">
        <f t="shared" si="4"/>
        <v>555</v>
      </c>
      <c r="T11" s="119">
        <f t="shared" si="5"/>
        <v>555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34.234234234234236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0</v>
      </c>
      <c r="AG11" s="132" t="str">
        <f>IFERROR((VLOOKUP(AF11,'DO NOT TOUCH'!$P$9:$Q$14,2,TRUE)),"TBD")</f>
        <v>TBD</v>
      </c>
      <c r="AH11" s="132">
        <f t="shared" si="19"/>
        <v>0.5</v>
      </c>
      <c r="AI11" s="132">
        <f>INPUT_OUTPUTS!$C$13</f>
        <v>140</v>
      </c>
      <c r="AJ11" s="132">
        <f>INPUT_OUTPUTS!$C$14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0</v>
      </c>
      <c r="AN11" s="133">
        <f t="shared" si="20"/>
        <v>0</v>
      </c>
      <c r="AO11" s="133">
        <f t="shared" si="15"/>
        <v>0.5</v>
      </c>
      <c r="AP11" s="133">
        <f t="shared" si="21"/>
        <v>5</v>
      </c>
      <c r="AQ11" s="133" t="str">
        <f>IFERROR((_xlfn.XLOOKUP(AG11,'DO NOT TOUCH'!$Q$9:$Q$14,'DO NOT TOUCH'!$R$9:$R$14,)),"TBD")</f>
        <v>TBD</v>
      </c>
      <c r="AR11" s="133" t="str">
        <f>INPUT_OUTPUTS!$C$16</f>
        <v>C1/M-501</v>
      </c>
      <c r="AS11" s="132" t="str">
        <f t="shared" si="22"/>
        <v>1, 2</v>
      </c>
    </row>
    <row r="12" spans="1:54" ht="15" customHeight="1">
      <c r="B12" s="115" t="s">
        <v>323</v>
      </c>
      <c r="C12" s="115" t="s">
        <v>315</v>
      </c>
      <c r="D12" s="115">
        <v>1234</v>
      </c>
      <c r="E12" s="115">
        <v>34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30</v>
      </c>
      <c r="L12" s="84">
        <f t="shared" si="13"/>
        <v>34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20</v>
      </c>
      <c r="Q12" s="81" t="str">
        <f>VLOOKUP($M12,'UMC Table 4-A'!$A$10:$E$139,5,FALSE)</f>
        <v>NR</v>
      </c>
      <c r="R12" s="82">
        <f t="shared" si="3"/>
        <v>35</v>
      </c>
      <c r="S12" s="119">
        <f t="shared" si="4"/>
        <v>35</v>
      </c>
      <c r="T12" s="119">
        <v>34</v>
      </c>
      <c r="U12" s="119">
        <f t="shared" si="6"/>
        <v>0</v>
      </c>
      <c r="V12" s="71">
        <f t="shared" si="7"/>
        <v>1</v>
      </c>
      <c r="W12" s="27" t="str">
        <f t="shared" si="8"/>
        <v>No</v>
      </c>
      <c r="X12" s="28">
        <f t="shared" si="16"/>
        <v>1.0294117647058822</v>
      </c>
      <c r="Y12" s="56">
        <f t="shared" si="17"/>
        <v>57.142857142857139</v>
      </c>
      <c r="Z12" s="28">
        <f t="shared" si="18"/>
        <v>6.1764705882352935</v>
      </c>
      <c r="AC12" s="131" t="s">
        <v>264</v>
      </c>
      <c r="AD12" s="131" t="s">
        <v>122</v>
      </c>
      <c r="AE12" s="131" t="s">
        <v>128</v>
      </c>
      <c r="AF12" s="132">
        <f t="shared" si="11"/>
        <v>0</v>
      </c>
      <c r="AG12" s="132" t="str">
        <f>IFERROR((VLOOKUP(AF12,'DO NOT TOUCH'!$P$9:$Q$14,2,TRUE)),"TBD")</f>
        <v>TBD</v>
      </c>
      <c r="AH12" s="132">
        <f t="shared" si="19"/>
        <v>0.5</v>
      </c>
      <c r="AI12" s="132">
        <f>INPUT_OUTPUTS!$C$13</f>
        <v>140</v>
      </c>
      <c r="AJ12" s="132">
        <f>INPUT_OUTPUTS!$C$14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0</v>
      </c>
      <c r="AN12" s="133">
        <f t="shared" si="20"/>
        <v>0</v>
      </c>
      <c r="AO12" s="133">
        <f t="shared" si="15"/>
        <v>0.5</v>
      </c>
      <c r="AP12" s="133">
        <f t="shared" si="21"/>
        <v>5</v>
      </c>
      <c r="AQ12" s="133" t="str">
        <f>IFERROR((_xlfn.XLOOKUP(AG12,'DO NOT TOUCH'!$Q$9:$Q$14,'DO NOT TOUCH'!$R$9:$R$14,)),"TBD")</f>
        <v>TBD</v>
      </c>
      <c r="AR12" s="133" t="str">
        <f>INPUT_OUTPUTS!$C$16</f>
        <v>C1/M-501</v>
      </c>
      <c r="AS12" s="132" t="str">
        <f t="shared" si="22"/>
        <v>1, 2</v>
      </c>
    </row>
    <row r="13" spans="1:54" ht="15" customHeight="1">
      <c r="B13" s="115" t="s">
        <v>324</v>
      </c>
      <c r="C13" s="115" t="s">
        <v>315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3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v>5454</v>
      </c>
      <c r="U13" s="119">
        <f t="shared" si="6"/>
        <v>0</v>
      </c>
      <c r="V13" s="71">
        <f t="shared" si="7"/>
        <v>4546</v>
      </c>
      <c r="W13" s="27" t="str">
        <f t="shared" si="8"/>
        <v>No</v>
      </c>
      <c r="X13" s="28">
        <f t="shared" si="16"/>
        <v>1</v>
      </c>
      <c r="Y13" s="56">
        <f t="shared" si="17"/>
        <v>33.4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0</v>
      </c>
      <c r="AG13" s="132" t="str">
        <f>IFERROR((VLOOKUP(AF13,'DO NOT TOUCH'!$P$9:$Q$14,2,TRUE)),"TBD")</f>
        <v>TBD</v>
      </c>
      <c r="AH13" s="132">
        <f t="shared" si="19"/>
        <v>0.5</v>
      </c>
      <c r="AI13" s="132">
        <f>INPUT_OUTPUTS!$C$13</f>
        <v>140</v>
      </c>
      <c r="AJ13" s="132">
        <f>INPUT_OUTPUTS!$C$14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0</v>
      </c>
      <c r="AN13" s="133">
        <f t="shared" si="20"/>
        <v>0</v>
      </c>
      <c r="AO13" s="133">
        <f t="shared" si="15"/>
        <v>0.5</v>
      </c>
      <c r="AP13" s="133">
        <f t="shared" si="21"/>
        <v>5</v>
      </c>
      <c r="AQ13" s="133" t="str">
        <f>IFERROR((_xlfn.XLOOKUP(AG13,'DO NOT TOUCH'!$Q$9:$Q$14,'DO NOT TOUCH'!$R$9:$R$14,)),"TBD")</f>
        <v>TBD</v>
      </c>
      <c r="AR13" s="133" t="str">
        <f>INPUT_OUTPUTS!$C$16</f>
        <v>C1/M-501</v>
      </c>
      <c r="AS13" s="135" t="str">
        <f t="shared" si="22"/>
        <v>1, 2</v>
      </c>
    </row>
    <row r="14" spans="1:54" ht="15" customHeight="1">
      <c r="B14" s="115" t="s">
        <v>325</v>
      </c>
      <c r="C14" s="115" t="s">
        <v>315</v>
      </c>
      <c r="D14" s="115">
        <v>1234</v>
      </c>
      <c r="E14" s="115">
        <v>77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60</v>
      </c>
      <c r="L14" s="84">
        <f t="shared" si="13"/>
        <v>77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30</v>
      </c>
      <c r="Q14" s="81" t="str">
        <f>VLOOKUP($M14,'UMC Table 4-A'!$A$10:$E$139,5,FALSE)</f>
        <v>NR</v>
      </c>
      <c r="R14" s="82">
        <f t="shared" si="3"/>
        <v>80</v>
      </c>
      <c r="S14" s="119">
        <f t="shared" si="4"/>
        <v>80</v>
      </c>
      <c r="T14" s="119">
        <v>6</v>
      </c>
      <c r="U14" s="119">
        <f t="shared" si="6"/>
        <v>0</v>
      </c>
      <c r="V14" s="71">
        <f t="shared" si="7"/>
        <v>74</v>
      </c>
      <c r="W14" s="27" t="str">
        <f t="shared" si="8"/>
        <v>No</v>
      </c>
      <c r="X14" s="28">
        <f t="shared" si="16"/>
        <v>1.0389610389610389</v>
      </c>
      <c r="Y14" s="56">
        <f t="shared" si="17"/>
        <v>37.5</v>
      </c>
      <c r="Z14" s="28">
        <f t="shared" si="18"/>
        <v>6.2337662337662332</v>
      </c>
      <c r="AC14" s="134" t="s">
        <v>266</v>
      </c>
      <c r="AD14" s="131" t="s">
        <v>122</v>
      </c>
      <c r="AE14" s="131" t="s">
        <v>128</v>
      </c>
      <c r="AF14" s="132">
        <f t="shared" si="11"/>
        <v>0</v>
      </c>
      <c r="AG14" s="132" t="str">
        <f>IFERROR((VLOOKUP(AF14,'DO NOT TOUCH'!$P$9:$Q$14,2,TRUE)),"TBD")</f>
        <v>TBD</v>
      </c>
      <c r="AH14" s="132">
        <f t="shared" si="19"/>
        <v>0.5</v>
      </c>
      <c r="AI14" s="132">
        <f>INPUT_OUTPUTS!$C$13</f>
        <v>140</v>
      </c>
      <c r="AJ14" s="132">
        <f>INPUT_OUTPUTS!$C$14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0</v>
      </c>
      <c r="AN14" s="133">
        <f t="shared" si="20"/>
        <v>0</v>
      </c>
      <c r="AO14" s="133">
        <f t="shared" si="15"/>
        <v>0.5</v>
      </c>
      <c r="AP14" s="133">
        <f t="shared" si="21"/>
        <v>5</v>
      </c>
      <c r="AQ14" s="133" t="str">
        <f>IFERROR((_xlfn.XLOOKUP(AG14,'DO NOT TOUCH'!$Q$9:$Q$14,'DO NOT TOUCH'!$R$9:$R$14,)),"TBD")</f>
        <v>TBD</v>
      </c>
      <c r="AR14" s="133" t="str">
        <f>INPUT_OUTPUTS!$C$16</f>
        <v>C1/M-501</v>
      </c>
      <c r="AS14" s="135" t="str">
        <f t="shared" si="22"/>
        <v>1, 2</v>
      </c>
    </row>
    <row r="15" spans="1:54" ht="15" customHeight="1">
      <c r="B15" s="115" t="s">
        <v>325</v>
      </c>
      <c r="C15" s="115" t="s">
        <v>315</v>
      </c>
      <c r="D15" s="115">
        <v>1234</v>
      </c>
      <c r="E15" s="115">
        <v>8888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5930</v>
      </c>
      <c r="L15" s="84">
        <f t="shared" si="13"/>
        <v>8888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2970</v>
      </c>
      <c r="Q15" s="81" t="str">
        <f>VLOOKUP($M15,'UMC Table 4-A'!$A$10:$E$139,5,FALSE)</f>
        <v>NR</v>
      </c>
      <c r="R15" s="82">
        <f t="shared" si="3"/>
        <v>8890</v>
      </c>
      <c r="S15" s="119">
        <f t="shared" si="4"/>
        <v>8890</v>
      </c>
      <c r="T15" s="119">
        <v>7676</v>
      </c>
      <c r="U15" s="119">
        <f t="shared" si="6"/>
        <v>0</v>
      </c>
      <c r="V15" s="71">
        <f t="shared" si="7"/>
        <v>1214</v>
      </c>
      <c r="W15" s="27" t="str">
        <f t="shared" si="8"/>
        <v>No</v>
      </c>
      <c r="X15" s="28">
        <f t="shared" si="16"/>
        <v>1.0002250225022502</v>
      </c>
      <c r="Y15" s="56">
        <f t="shared" si="17"/>
        <v>33.408323959505061</v>
      </c>
      <c r="Z15" s="28">
        <f t="shared" si="18"/>
        <v>6.0013501350135012</v>
      </c>
      <c r="AC15" s="134" t="s">
        <v>267</v>
      </c>
      <c r="AD15" s="131" t="s">
        <v>122</v>
      </c>
      <c r="AE15" s="131" t="s">
        <v>128</v>
      </c>
      <c r="AF15" s="132">
        <f t="shared" si="11"/>
        <v>0</v>
      </c>
      <c r="AG15" s="132" t="str">
        <f>IFERROR((VLOOKUP(AF15,'DO NOT TOUCH'!$P$9:$Q$14,2,TRUE)),"TBD")</f>
        <v>TBD</v>
      </c>
      <c r="AH15" s="132">
        <f t="shared" si="19"/>
        <v>0.5</v>
      </c>
      <c r="AI15" s="132">
        <f>INPUT_OUTPUTS!$C$13</f>
        <v>140</v>
      </c>
      <c r="AJ15" s="132">
        <f>INPUT_OUTPUTS!$C$14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0</v>
      </c>
      <c r="AN15" s="133">
        <f t="shared" si="20"/>
        <v>0</v>
      </c>
      <c r="AO15" s="133">
        <f t="shared" si="15"/>
        <v>0.5</v>
      </c>
      <c r="AP15" s="133">
        <f t="shared" si="21"/>
        <v>5</v>
      </c>
      <c r="AQ15" s="133" t="str">
        <f>IFERROR((_xlfn.XLOOKUP(AG15,'DO NOT TOUCH'!$Q$9:$Q$14,'DO NOT TOUCH'!$R$9:$R$14,)),"TBD")</f>
        <v>TBD</v>
      </c>
      <c r="AR15" s="133" t="str">
        <f>INPUT_OUTPUTS!$C$16</f>
        <v>C1/M-501</v>
      </c>
      <c r="AS15" s="135" t="str">
        <f t="shared" si="22"/>
        <v>1, 2</v>
      </c>
    </row>
    <row r="16" spans="1:54" ht="15" customHeight="1">
      <c r="B16" s="115" t="s">
        <v>326</v>
      </c>
      <c r="C16" s="115" t="s">
        <v>315</v>
      </c>
      <c r="D16" s="115">
        <v>1234</v>
      </c>
      <c r="E16" s="115">
        <v>99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70</v>
      </c>
      <c r="L16" s="84">
        <f t="shared" si="13"/>
        <v>99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40</v>
      </c>
      <c r="Q16" s="81" t="str">
        <f>VLOOKUP($M16,'UMC Table 4-A'!$A$10:$E$139,5,FALSE)</f>
        <v>NR</v>
      </c>
      <c r="R16" s="82">
        <f t="shared" si="3"/>
        <v>100</v>
      </c>
      <c r="S16" s="119">
        <f t="shared" si="4"/>
        <v>100</v>
      </c>
      <c r="T16" s="119">
        <f t="shared" si="5"/>
        <v>100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1.0101010101010102</v>
      </c>
      <c r="Y16" s="56">
        <f t="shared" si="17"/>
        <v>40</v>
      </c>
      <c r="Z16" s="28">
        <f t="shared" si="18"/>
        <v>6.0606060606060614</v>
      </c>
      <c r="AC16" s="134" t="s">
        <v>268</v>
      </c>
      <c r="AD16" s="131" t="s">
        <v>122</v>
      </c>
      <c r="AE16" s="131" t="s">
        <v>128</v>
      </c>
      <c r="AF16" s="132">
        <f t="shared" si="11"/>
        <v>0</v>
      </c>
      <c r="AG16" s="132" t="str">
        <f>IFERROR((VLOOKUP(AF16,'DO NOT TOUCH'!$P$9:$Q$14,2,TRUE)),"TBD")</f>
        <v>TBD</v>
      </c>
      <c r="AH16" s="132">
        <f t="shared" si="19"/>
        <v>0.5</v>
      </c>
      <c r="AI16" s="132">
        <f>INPUT_OUTPUTS!$C$13</f>
        <v>140</v>
      </c>
      <c r="AJ16" s="132">
        <f>INPUT_OUTPUTS!$C$14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0</v>
      </c>
      <c r="AN16" s="133">
        <f t="shared" si="20"/>
        <v>0</v>
      </c>
      <c r="AO16" s="133">
        <f t="shared" si="15"/>
        <v>0.5</v>
      </c>
      <c r="AP16" s="133">
        <f t="shared" si="21"/>
        <v>5</v>
      </c>
      <c r="AQ16" s="133" t="str">
        <f>IFERROR((_xlfn.XLOOKUP(AG16,'DO NOT TOUCH'!$Q$9:$Q$14,'DO NOT TOUCH'!$R$9:$R$14,)),"TBD")</f>
        <v>TBD</v>
      </c>
      <c r="AR16" s="133" t="str">
        <f>INPUT_OUTPUTS!$C$16</f>
        <v>C1/M-501</v>
      </c>
      <c r="AS16" s="135" t="str">
        <f t="shared" si="22"/>
        <v>1, 2</v>
      </c>
    </row>
    <row r="17" spans="2:45" ht="15" customHeight="1">
      <c r="B17" s="115" t="s">
        <v>327</v>
      </c>
      <c r="C17" s="115" t="s">
        <v>315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0</v>
      </c>
      <c r="AG17" s="132" t="str">
        <f>IFERROR((VLOOKUP(AF17,'DO NOT TOUCH'!$P$9:$Q$14,2,TRUE)),"TBD")</f>
        <v>TBD</v>
      </c>
      <c r="AH17" s="132">
        <f t="shared" si="19"/>
        <v>0.5</v>
      </c>
      <c r="AI17" s="132">
        <f>INPUT_OUTPUTS!$C$13</f>
        <v>140</v>
      </c>
      <c r="AJ17" s="132">
        <f>INPUT_OUTPUTS!$C$14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0</v>
      </c>
      <c r="AN17" s="133">
        <f t="shared" si="20"/>
        <v>0</v>
      </c>
      <c r="AO17" s="133">
        <f t="shared" si="15"/>
        <v>0.5</v>
      </c>
      <c r="AP17" s="133">
        <f t="shared" si="21"/>
        <v>5</v>
      </c>
      <c r="AQ17" s="133" t="str">
        <f>IFERROR((_xlfn.XLOOKUP(AG17,'DO NOT TOUCH'!$Q$9:$Q$14,'DO NOT TOUCH'!$R$9:$R$14,)),"TBD")</f>
        <v>TBD</v>
      </c>
      <c r="AR17" s="133" t="str">
        <f>INPUT_OUTPUTS!$C$16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INPUT_OUTPUTS!$C$13</f>
        <v>140</v>
      </c>
      <c r="AJ18" s="132">
        <f>INPUT_OUTPUTS!$C$14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INPUT_OUTPUTS!$C$16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INPUT_OUTPUTS!$C$13</f>
        <v>140</v>
      </c>
      <c r="AJ19" s="132">
        <f>INPUT_OUTPUTS!$C$14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INPUT_OUTPUTS!$C$16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INPUT_OUTPUTS!$C$13</f>
        <v>140</v>
      </c>
      <c r="AJ20" s="132">
        <f>INPUT_OUTPUTS!$C$14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INPUT_OUTPUTS!$C$16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INPUT_OUTPUTS!$C$13</f>
        <v>140</v>
      </c>
      <c r="AJ21" s="132">
        <f>INPUT_OUTPUTS!$C$14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INPUT_OUTPUTS!$C$16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INPUT_OUTPUTS!$C$13</f>
        <v>140</v>
      </c>
      <c r="AJ22" s="132">
        <f>INPUT_OUTPUTS!$C$14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INPUT_OUTPUTS!$C$16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INPUT_OUTPUTS!$C$13</f>
        <v>140</v>
      </c>
      <c r="AJ23" s="132">
        <f>INPUT_OUTPUTS!$C$14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INPUT_OUTPUTS!$C$16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INPUT_OUTPUTS!$C$13</f>
        <v>140</v>
      </c>
      <c r="AJ24" s="132">
        <f>INPUT_OUTPUTS!$C$14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INPUT_OUTPUTS!$C$16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INPUT_OUTPUTS!$C$13</f>
        <v>140</v>
      </c>
      <c r="AJ25" s="132">
        <f>INPUT_OUTPUTS!$C$14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INPUT_OUTPUTS!$C$16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INPUT_OUTPUTS!$C$13</f>
        <v>140</v>
      </c>
      <c r="AJ26" s="132">
        <f>INPUT_OUTPUTS!$C$14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INPUT_OUTPUTS!$C$16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INPUT_OUTPUTS!$C$13</f>
        <v>140</v>
      </c>
      <c r="AJ27" s="132">
        <f>INPUT_OUTPUTS!$C$14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INPUT_OUTPUTS!$C$16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INPUT_OUTPUTS!$C$13</f>
        <v>140</v>
      </c>
      <c r="AJ28" s="132">
        <f>INPUT_OUTPUTS!$C$14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INPUT_OUTPUTS!$C$16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INPUT_OUTPUTS!$C$13</f>
        <v>140</v>
      </c>
      <c r="AJ29" s="132">
        <f>INPUT_OUTPUTS!$C$14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INPUT_OUTPUTS!$C$16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INPUT_OUTPUTS!$C$13</f>
        <v>140</v>
      </c>
      <c r="AJ30" s="132">
        <f>INPUT_OUTPUTS!$C$14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INPUT_OUTPUTS!$C$16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INPUT_OUTPUTS!$C$13</f>
        <v>140</v>
      </c>
      <c r="AJ31" s="132">
        <f>INPUT_OUTPUTS!$C$14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INPUT_OUTPUTS!$C$16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INPUT_OUTPUTS!$C$13</f>
        <v>140</v>
      </c>
      <c r="AJ32" s="132">
        <f>INPUT_OUTPUTS!$C$14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INPUT_OUTPUTS!$C$16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INPUT_OUTPUTS!$C$13</f>
        <v>140</v>
      </c>
      <c r="AJ33" s="132">
        <f>INPUT_OUTPUTS!$C$14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INPUT_OUTPUTS!$C$16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INPUT_OUTPUTS!$C$13</f>
        <v>140</v>
      </c>
      <c r="AJ34" s="132">
        <f>INPUT_OUTPUTS!$C$14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INPUT_OUTPUTS!$C$16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INPUT_OUTPUTS!$C$13</f>
        <v>140</v>
      </c>
      <c r="AJ35" s="132">
        <f>INPUT_OUTPUTS!$C$14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INPUT_OUTPUTS!$C$16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INPUT_OUTPUTS!$C$13</f>
        <v>140</v>
      </c>
      <c r="AJ36" s="132">
        <f>INPUT_OUTPUTS!$C$14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INPUT_OUTPUTS!$C$16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INPUT_OUTPUTS!$C$13</f>
        <v>140</v>
      </c>
      <c r="AJ37" s="132">
        <f>INPUT_OUTPUTS!$C$14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INPUT_OUTPUTS!$C$16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INPUT_OUTPUTS!$C$13</f>
        <v>140</v>
      </c>
      <c r="AJ38" s="132">
        <f>INPUT_OUTPUTS!$C$14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INPUT_OUTPUTS!$C$16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INPUT_OUTPUTS!$C$13</f>
        <v>140</v>
      </c>
      <c r="AJ39" s="132">
        <f>INPUT_OUTPUTS!$C$14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INPUT_OUTPUTS!$C$16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INPUT_OUTPUTS!$C$13</f>
        <v>140</v>
      </c>
      <c r="AJ40" s="132">
        <f>INPUT_OUTPUTS!$C$14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INPUT_OUTPUTS!$C$16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INPUT_OUTPUTS!$C$13</f>
        <v>140</v>
      </c>
      <c r="AJ41" s="132">
        <f>INPUT_OUTPUTS!$C$14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INPUT_OUTPUTS!$C$16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INPUT_OUTPUTS!$C$13</f>
        <v>140</v>
      </c>
      <c r="AJ42" s="132">
        <f>INPUT_OUTPUTS!$C$14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INPUT_OUTPUTS!$C$16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INPUT_OUTPUTS!$C$13</f>
        <v>140</v>
      </c>
      <c r="AJ43" s="132">
        <f>INPUT_OUTPUTS!$C$14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INPUT_OUTPUTS!$C$16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INPUT_OUTPUTS!$C$13</f>
        <v>140</v>
      </c>
      <c r="AJ44" s="138">
        <f>INPUT_OUTPUTS!$C$14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INPUT_OUTPUTS!$C$16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317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SUBTOTAL(109,AHU1_CAV_SCHEDULE4412[MIN MBH])</f>
        <v>0</v>
      </c>
      <c r="AN45" s="161"/>
      <c r="AO45" s="163">
        <f>SUBTOTAL(109,AHU1_CAV_SCHEDULE4412[GPM])</f>
        <v>19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196" t="s">
        <v>126</v>
      </c>
      <c r="AD46" s="197"/>
      <c r="AE46" s="197"/>
      <c r="AF46" s="197"/>
      <c r="AG46" s="197"/>
      <c r="AH46" s="197"/>
      <c r="AI46" s="197"/>
      <c r="AJ46" s="197"/>
      <c r="AK46" s="197"/>
      <c r="AL46" s="197"/>
      <c r="AM46" s="197"/>
      <c r="AN46" s="197"/>
      <c r="AO46" s="197"/>
      <c r="AP46" s="197"/>
      <c r="AQ46" s="197"/>
      <c r="AR46" s="197"/>
      <c r="AS46" s="198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199"/>
      <c r="AD47" s="200"/>
      <c r="AE47" s="200"/>
      <c r="AF47" s="200"/>
      <c r="AG47" s="200"/>
      <c r="AH47" s="200"/>
      <c r="AI47" s="200"/>
      <c r="AJ47" s="200"/>
      <c r="AK47" s="200"/>
      <c r="AL47" s="200"/>
      <c r="AM47" s="200"/>
      <c r="AN47" s="200"/>
      <c r="AO47" s="200"/>
      <c r="AP47" s="200"/>
      <c r="AQ47" s="200"/>
      <c r="AR47" s="200"/>
      <c r="AS47" s="201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199"/>
      <c r="AD48" s="200"/>
      <c r="AE48" s="200"/>
      <c r="AF48" s="200"/>
      <c r="AG48" s="200"/>
      <c r="AH48" s="200"/>
      <c r="AI48" s="200"/>
      <c r="AJ48" s="200"/>
      <c r="AK48" s="200"/>
      <c r="AL48" s="200"/>
      <c r="AM48" s="200"/>
      <c r="AN48" s="200"/>
      <c r="AO48" s="200"/>
      <c r="AP48" s="200"/>
      <c r="AQ48" s="200"/>
      <c r="AR48" s="200"/>
      <c r="AS48" s="201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02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4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SUBTOTAL(109,AHU1_TABLE_4A4311[AREA (FT²)])</f>
        <v>59719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87">
        <f>SUBTOTAL(109,AHU1_TABLE_4A4311[OSA CFM])</f>
        <v>19980</v>
      </c>
      <c r="Q79" s="123"/>
      <c r="R79" s="128">
        <f>SUBTOTAL(109,AHU1_TABLE_4A4311[CALCULATED SA CFM])</f>
        <v>59730</v>
      </c>
      <c r="S79" s="188">
        <f>SUBTOTAL(109,AHU1_TABLE_4A4311[DESIGN SA CFM])</f>
        <v>59730</v>
      </c>
      <c r="T79" s="188">
        <f>SUBTOTAL(109,AHU1_TABLE_4A4311[RA CFM])</f>
        <v>53895</v>
      </c>
      <c r="U79" s="189">
        <f>SUBTOTAL(109,AHU1_TABLE_4A4311[EA CFM])</f>
        <v>0</v>
      </c>
      <c r="V79" s="190">
        <f>SUBTOTAL(109,AHU1_TABLE_4A4311[Transfer Air CFM])</f>
        <v>5835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9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328</v>
      </c>
      <c r="U81" s="66">
        <f>ROUNDUP(U79*INPUT_OUTPUTS!C15,-2)</f>
        <v>0</v>
      </c>
      <c r="V81" s="66">
        <f>ROUNDUP(V79*INPUT_OUTPUTS!C15,-2)</f>
        <v>7100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42.040185471406495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213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CDF6CE20-7BD8-8740-8EDC-6A96B0353D3D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F143C-46AC-B94D-AC2C-306CAE6B7D2C}">
  <sheetPr codeName="Sheet11">
    <tabColor indexed="43"/>
    <pageSetUpPr fitToPage="1"/>
  </sheetPr>
  <dimension ref="A1:BB104"/>
  <sheetViews>
    <sheetView showGridLines="0" zoomScaleNormal="69" zoomScaleSheetLayoutView="50" zoomScalePageLayoutView="80" workbookViewId="0">
      <selection activeCell="T15" sqref="T15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3" bestFit="1" customWidth="1"/>
    <col min="5" max="5" width="16" style="15" bestFit="1" customWidth="1"/>
    <col min="6" max="6" width="9.83203125" style="15" bestFit="1" customWidth="1"/>
    <col min="7" max="7" width="12.6640625" bestFit="1" customWidth="1"/>
    <col min="8" max="8" width="11.5" style="18" bestFit="1" customWidth="1"/>
    <col min="9" max="10" width="7.6640625" customWidth="1"/>
    <col min="11" max="11" width="11.83203125" style="1" customWidth="1"/>
    <col min="12" max="12" width="12.6640625" customWidth="1"/>
    <col min="13" max="13" width="11.5" hidden="1" customWidth="1"/>
    <col min="14" max="14" width="64.33203125" style="1" bestFit="1" customWidth="1"/>
    <col min="15" max="15" width="25.5" style="1" bestFit="1" customWidth="1"/>
    <col min="16" max="16" width="12.83203125" customWidth="1"/>
    <col min="17" max="17" width="13" bestFit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67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396</v>
      </c>
      <c r="AX1" s="74" t="s">
        <v>397</v>
      </c>
      <c r="AY1" s="74" t="s">
        <v>398</v>
      </c>
      <c r="BA1" s="74" t="s">
        <v>45</v>
      </c>
      <c r="BB1" s="74" t="s">
        <v>399</v>
      </c>
    </row>
    <row r="2" spans="1:54" ht="17" thickBot="1">
      <c r="AW2" s="66">
        <f>ROUNDUP(S79*INPUT_OUTPUTS!$C$15,-2)</f>
        <v>91300</v>
      </c>
      <c r="AX2" s="66">
        <f>ROUNDUP(T79*INPUT_OUTPUTS!$C$15,-2)</f>
        <v>44900</v>
      </c>
      <c r="AY2" s="65">
        <f>ROUNDUP((P79*INPUT_OUTPUTS!C15)+P80,-2)</f>
        <v>33700</v>
      </c>
      <c r="BA2" s="76">
        <f>AHU1_CAV_SCHEDULE4410[[#Totals],[GPM]]</f>
        <v>19</v>
      </c>
      <c r="BB2" s="75">
        <f>AHU1_CAV_SCHEDULE4410[[#Totals],[MIN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05" t="s">
        <v>297</v>
      </c>
      <c r="E4" s="206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7"/>
      <c r="W4" s="69"/>
      <c r="Y4"/>
      <c r="Z4"/>
      <c r="AA4"/>
    </row>
    <row r="5" spans="1:54" ht="30">
      <c r="B5" s="86"/>
      <c r="C5" s="86"/>
      <c r="D5" s="208" t="s">
        <v>88</v>
      </c>
      <c r="E5" s="209"/>
      <c r="F5" s="209"/>
      <c r="G5" s="210"/>
      <c r="H5" s="211" t="s">
        <v>89</v>
      </c>
      <c r="I5" s="211"/>
      <c r="J5" s="211"/>
      <c r="K5" s="211"/>
      <c r="L5" s="211"/>
      <c r="M5" s="211"/>
      <c r="N5" s="211"/>
      <c r="O5" s="211"/>
      <c r="P5" s="211"/>
      <c r="Q5" s="211"/>
      <c r="R5" s="211"/>
      <c r="S5" s="208" t="s">
        <v>87</v>
      </c>
      <c r="T5" s="209"/>
      <c r="U5" s="209"/>
      <c r="V5" s="210"/>
      <c r="W5" s="86"/>
      <c r="X5" s="212" t="s">
        <v>86</v>
      </c>
      <c r="Y5" s="213"/>
      <c r="Z5" s="214"/>
      <c r="AC5" s="215" t="s">
        <v>124</v>
      </c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5"/>
    </row>
    <row r="6" spans="1:54" s="79" customFormat="1" ht="53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320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315</v>
      </c>
      <c r="C7" s="115" t="s">
        <v>315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INPUT_OUTPUTS!$C$13</f>
        <v>140</v>
      </c>
      <c r="AJ7" s="132">
        <f>INPUT_OUTPUTS!$C$14</f>
        <v>100</v>
      </c>
      <c r="AK7" s="132">
        <v>55</v>
      </c>
      <c r="AL7" s="132">
        <v>85</v>
      </c>
      <c r="AM7" s="132">
        <f t="shared" ref="AM7:AM44" si="12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INPUT_OUTPUTS!$C$16</f>
        <v>C1/M-501</v>
      </c>
      <c r="AS7" s="132" t="s">
        <v>123</v>
      </c>
    </row>
    <row r="8" spans="1:54" ht="15" customHeight="1">
      <c r="B8" s="115" t="s">
        <v>315</v>
      </c>
      <c r="C8" s="115" t="s">
        <v>315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3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v>44</v>
      </c>
      <c r="U8" s="119">
        <f t="shared" si="6"/>
        <v>0</v>
      </c>
      <c r="V8" s="71">
        <f t="shared" si="7"/>
        <v>9956</v>
      </c>
      <c r="W8" s="27" t="str">
        <f t="shared" si="8"/>
        <v>No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INPUT_OUTPUTS!$C$13</f>
        <v>140</v>
      </c>
      <c r="AJ8" s="132">
        <f>INPUT_OUTPUTS!$C$14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0</v>
      </c>
      <c r="AN8" s="133">
        <f>(AM8*1000)/(500*(AI8-AJ8))</f>
        <v>0</v>
      </c>
      <c r="AO8" s="133">
        <f t="shared" ref="AO8:AO44" si="15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INPUT_OUTPUTS!$C$16</f>
        <v>C1/M-501</v>
      </c>
      <c r="AS8" s="132" t="str">
        <f>AS7</f>
        <v>1, 2</v>
      </c>
    </row>
    <row r="9" spans="1:54" ht="15" customHeight="1">
      <c r="B9" s="115" t="s">
        <v>321</v>
      </c>
      <c r="C9" s="115" t="s">
        <v>315</v>
      </c>
      <c r="D9" s="115">
        <v>1234</v>
      </c>
      <c r="E9" s="115">
        <v>10000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6670</v>
      </c>
      <c r="L9" s="84">
        <f t="shared" si="13"/>
        <v>10000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3340</v>
      </c>
      <c r="Q9" s="81" t="str">
        <f>VLOOKUP($M9,'UMC Table 4-A'!$A$10:$E$139,5,FALSE)</f>
        <v>NR</v>
      </c>
      <c r="R9" s="82">
        <f t="shared" si="3"/>
        <v>10000</v>
      </c>
      <c r="S9" s="119">
        <f t="shared" si="4"/>
        <v>10000</v>
      </c>
      <c r="T9" s="119">
        <f t="shared" si="5"/>
        <v>10000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33.4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0</v>
      </c>
      <c r="AG9" s="132" t="str">
        <f>IFERROR((VLOOKUP(AF9,'DO NOT TOUCH'!$P$9:$Q$14,2,TRUE)),"TBD")</f>
        <v>TBD</v>
      </c>
      <c r="AH9" s="132">
        <f t="shared" ref="AH9:AH44" si="19">AH8</f>
        <v>0.5</v>
      </c>
      <c r="AI9" s="132">
        <f>INPUT_OUTPUTS!$C$13</f>
        <v>140</v>
      </c>
      <c r="AJ9" s="132">
        <f>INPUT_OUTPUTS!$C$14</f>
        <v>100</v>
      </c>
      <c r="AK9" s="132">
        <f t="shared" si="14"/>
        <v>55</v>
      </c>
      <c r="AL9" s="132">
        <f t="shared" si="14"/>
        <v>85</v>
      </c>
      <c r="AM9" s="132">
        <f t="shared" si="12"/>
        <v>0</v>
      </c>
      <c r="AN9" s="133">
        <f t="shared" ref="AN9:AN44" si="20">(AM9*1000)/(500*(AI9-AJ9))</f>
        <v>0</v>
      </c>
      <c r="AO9" s="133">
        <f t="shared" si="15"/>
        <v>0.5</v>
      </c>
      <c r="AP9" s="133">
        <f t="shared" ref="AP9:AP44" si="21">AP8</f>
        <v>5</v>
      </c>
      <c r="AQ9" s="133" t="str">
        <f>IFERROR((_xlfn.XLOOKUP(AG9,'DO NOT TOUCH'!$Q$9:$Q$14,'DO NOT TOUCH'!$R$9:$R$14,)),"TBD")</f>
        <v>TBD</v>
      </c>
      <c r="AR9" s="133" t="str">
        <f>INPUT_OUTPUTS!$C$16</f>
        <v>C1/M-501</v>
      </c>
      <c r="AS9" s="132" t="str">
        <f t="shared" ref="AS9:AS44" si="22">AS8</f>
        <v>1, 2</v>
      </c>
    </row>
    <row r="10" spans="1:54" ht="15" customHeight="1">
      <c r="B10" s="115" t="s">
        <v>322</v>
      </c>
      <c r="C10" s="115" t="s">
        <v>315</v>
      </c>
      <c r="D10" s="115">
        <v>1234</v>
      </c>
      <c r="E10" s="115">
        <v>443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300</v>
      </c>
      <c r="L10" s="84">
        <f t="shared" si="13"/>
        <v>443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150</v>
      </c>
      <c r="Q10" s="81" t="str">
        <f>VLOOKUP($M10,'UMC Table 4-A'!$A$10:$E$139,5,FALSE)</f>
        <v>NR</v>
      </c>
      <c r="R10" s="82">
        <f t="shared" si="3"/>
        <v>445</v>
      </c>
      <c r="S10" s="119">
        <f t="shared" si="4"/>
        <v>445</v>
      </c>
      <c r="T10" s="119">
        <f t="shared" si="5"/>
        <v>445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1.0045146726862302</v>
      </c>
      <c r="Y10" s="56">
        <f t="shared" si="17"/>
        <v>33.707865168539328</v>
      </c>
      <c r="Z10" s="28">
        <f t="shared" si="18"/>
        <v>6.0270880361173811</v>
      </c>
      <c r="AC10" s="131" t="s">
        <v>262</v>
      </c>
      <c r="AD10" s="131" t="s">
        <v>122</v>
      </c>
      <c r="AE10" s="131" t="s">
        <v>128</v>
      </c>
      <c r="AF10" s="132">
        <f t="shared" si="11"/>
        <v>0</v>
      </c>
      <c r="AG10" s="132" t="str">
        <f>IFERROR((VLOOKUP(AF10,'DO NOT TOUCH'!$P$9:$Q$14,2,TRUE)),"TBD")</f>
        <v>TBD</v>
      </c>
      <c r="AH10" s="132">
        <f t="shared" si="19"/>
        <v>0.5</v>
      </c>
      <c r="AI10" s="132">
        <f>INPUT_OUTPUTS!$C$13</f>
        <v>140</v>
      </c>
      <c r="AJ10" s="132">
        <f>INPUT_OUTPUTS!$C$14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0</v>
      </c>
      <c r="AN10" s="133">
        <f t="shared" si="20"/>
        <v>0</v>
      </c>
      <c r="AO10" s="133">
        <f t="shared" si="15"/>
        <v>0.5</v>
      </c>
      <c r="AP10" s="133">
        <f t="shared" si="21"/>
        <v>5</v>
      </c>
      <c r="AQ10" s="133" t="str">
        <f>IFERROR((_xlfn.XLOOKUP(AG10,'DO NOT TOUCH'!$Q$9:$Q$14,'DO NOT TOUCH'!$R$9:$R$14,)),"TBD")</f>
        <v>TBD</v>
      </c>
      <c r="AR10" s="133" t="str">
        <f>INPUT_OUTPUTS!$C$16</f>
        <v>C1/M-501</v>
      </c>
      <c r="AS10" s="132" t="str">
        <f t="shared" si="22"/>
        <v>1, 2</v>
      </c>
    </row>
    <row r="11" spans="1:54" ht="15" customHeight="1">
      <c r="B11" s="115" t="s">
        <v>323</v>
      </c>
      <c r="C11" s="115" t="s">
        <v>315</v>
      </c>
      <c r="D11" s="115">
        <v>1234</v>
      </c>
      <c r="E11" s="115">
        <v>10000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6670</v>
      </c>
      <c r="L11" s="84">
        <f t="shared" si="13"/>
        <v>10000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3340</v>
      </c>
      <c r="Q11" s="81" t="str">
        <f>VLOOKUP($M11,'UMC Table 4-A'!$A$10:$E$139,5,FALSE)</f>
        <v>NR</v>
      </c>
      <c r="R11" s="82">
        <f t="shared" si="3"/>
        <v>10000</v>
      </c>
      <c r="S11" s="119">
        <f t="shared" si="4"/>
        <v>10000</v>
      </c>
      <c r="T11" s="119">
        <v>333</v>
      </c>
      <c r="U11" s="119">
        <f t="shared" si="6"/>
        <v>0</v>
      </c>
      <c r="V11" s="71">
        <f t="shared" si="7"/>
        <v>9667</v>
      </c>
      <c r="W11" s="27" t="str">
        <f t="shared" si="8"/>
        <v>No</v>
      </c>
      <c r="X11" s="28">
        <f t="shared" si="16"/>
        <v>1</v>
      </c>
      <c r="Y11" s="56">
        <f t="shared" si="17"/>
        <v>33.4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0</v>
      </c>
      <c r="AG11" s="132" t="str">
        <f>IFERROR((VLOOKUP(AF11,'DO NOT TOUCH'!$P$9:$Q$14,2,TRUE)),"TBD")</f>
        <v>TBD</v>
      </c>
      <c r="AH11" s="132">
        <f t="shared" si="19"/>
        <v>0.5</v>
      </c>
      <c r="AI11" s="132">
        <f>INPUT_OUTPUTS!$C$13</f>
        <v>140</v>
      </c>
      <c r="AJ11" s="132">
        <f>INPUT_OUTPUTS!$C$14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0</v>
      </c>
      <c r="AN11" s="133">
        <f t="shared" si="20"/>
        <v>0</v>
      </c>
      <c r="AO11" s="133">
        <f t="shared" si="15"/>
        <v>0.5</v>
      </c>
      <c r="AP11" s="133">
        <f t="shared" si="21"/>
        <v>5</v>
      </c>
      <c r="AQ11" s="133" t="str">
        <f>IFERROR((_xlfn.XLOOKUP(AG11,'DO NOT TOUCH'!$Q$9:$Q$14,'DO NOT TOUCH'!$R$9:$R$14,)),"TBD")</f>
        <v>TBD</v>
      </c>
      <c r="AR11" s="133" t="str">
        <f>INPUT_OUTPUTS!$C$16</f>
        <v>C1/M-501</v>
      </c>
      <c r="AS11" s="132" t="str">
        <f t="shared" si="22"/>
        <v>1, 2</v>
      </c>
    </row>
    <row r="12" spans="1:54" ht="15" customHeight="1">
      <c r="B12" s="115" t="s">
        <v>323</v>
      </c>
      <c r="C12" s="115" t="s">
        <v>315</v>
      </c>
      <c r="D12" s="115">
        <v>1234</v>
      </c>
      <c r="E12" s="115">
        <v>555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370</v>
      </c>
      <c r="L12" s="84">
        <f t="shared" si="13"/>
        <v>555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190</v>
      </c>
      <c r="Q12" s="81" t="str">
        <f>VLOOKUP($M12,'UMC Table 4-A'!$A$10:$E$139,5,FALSE)</f>
        <v>NR</v>
      </c>
      <c r="R12" s="82">
        <f t="shared" si="3"/>
        <v>555</v>
      </c>
      <c r="S12" s="119">
        <f t="shared" si="4"/>
        <v>555</v>
      </c>
      <c r="T12" s="119">
        <f t="shared" si="5"/>
        <v>555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34.234234234234236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0</v>
      </c>
      <c r="AG12" s="132" t="str">
        <f>IFERROR((VLOOKUP(AF12,'DO NOT TOUCH'!$P$9:$Q$14,2,TRUE)),"TBD")</f>
        <v>TBD</v>
      </c>
      <c r="AH12" s="132">
        <f t="shared" si="19"/>
        <v>0.5</v>
      </c>
      <c r="AI12" s="132">
        <f>INPUT_OUTPUTS!$C$13</f>
        <v>140</v>
      </c>
      <c r="AJ12" s="132">
        <f>INPUT_OUTPUTS!$C$14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0</v>
      </c>
      <c r="AN12" s="133">
        <f t="shared" si="20"/>
        <v>0</v>
      </c>
      <c r="AO12" s="133">
        <f t="shared" si="15"/>
        <v>0.5</v>
      </c>
      <c r="AP12" s="133">
        <f t="shared" si="21"/>
        <v>5</v>
      </c>
      <c r="AQ12" s="133" t="str">
        <f>IFERROR((_xlfn.XLOOKUP(AG12,'DO NOT TOUCH'!$Q$9:$Q$14,'DO NOT TOUCH'!$R$9:$R$14,)),"TBD")</f>
        <v>TBD</v>
      </c>
      <c r="AR12" s="133" t="str">
        <f>INPUT_OUTPUTS!$C$16</f>
        <v>C1/M-501</v>
      </c>
      <c r="AS12" s="132" t="str">
        <f t="shared" si="22"/>
        <v>1, 2</v>
      </c>
    </row>
    <row r="13" spans="1:54" ht="15" customHeight="1">
      <c r="B13" s="115" t="s">
        <v>324</v>
      </c>
      <c r="C13" s="115" t="s">
        <v>315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3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f t="shared" si="5"/>
        <v>10000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33.4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0</v>
      </c>
      <c r="AG13" s="132" t="str">
        <f>IFERROR((VLOOKUP(AF13,'DO NOT TOUCH'!$P$9:$Q$14,2,TRUE)),"TBD")</f>
        <v>TBD</v>
      </c>
      <c r="AH13" s="132">
        <f t="shared" si="19"/>
        <v>0.5</v>
      </c>
      <c r="AI13" s="132">
        <f>INPUT_OUTPUTS!$C$13</f>
        <v>140</v>
      </c>
      <c r="AJ13" s="132">
        <f>INPUT_OUTPUTS!$C$14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0</v>
      </c>
      <c r="AN13" s="133">
        <f t="shared" si="20"/>
        <v>0</v>
      </c>
      <c r="AO13" s="133">
        <f t="shared" si="15"/>
        <v>0.5</v>
      </c>
      <c r="AP13" s="133">
        <f t="shared" si="21"/>
        <v>5</v>
      </c>
      <c r="AQ13" s="133" t="str">
        <f>IFERROR((_xlfn.XLOOKUP(AG13,'DO NOT TOUCH'!$Q$9:$Q$14,'DO NOT TOUCH'!$R$9:$R$14,)),"TBD")</f>
        <v>TBD</v>
      </c>
      <c r="AR13" s="133" t="str">
        <f>INPUT_OUTPUTS!$C$16</f>
        <v>C1/M-501</v>
      </c>
      <c r="AS13" s="135" t="str">
        <f t="shared" si="22"/>
        <v>1, 2</v>
      </c>
    </row>
    <row r="14" spans="1:54" ht="15" customHeight="1">
      <c r="B14" s="115" t="s">
        <v>325</v>
      </c>
      <c r="C14" s="115" t="s">
        <v>315</v>
      </c>
      <c r="D14" s="115">
        <v>1234</v>
      </c>
      <c r="E14" s="115">
        <v>10000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3"/>
        <v>10000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v>444</v>
      </c>
      <c r="U14" s="119">
        <f t="shared" si="6"/>
        <v>0</v>
      </c>
      <c r="V14" s="71">
        <f t="shared" si="7"/>
        <v>9556</v>
      </c>
      <c r="W14" s="27" t="str">
        <f t="shared" si="8"/>
        <v>No</v>
      </c>
      <c r="X14" s="28">
        <f t="shared" si="16"/>
        <v>1</v>
      </c>
      <c r="Y14" s="56">
        <f t="shared" si="17"/>
        <v>33.4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0</v>
      </c>
      <c r="AG14" s="132" t="str">
        <f>IFERROR((VLOOKUP(AF14,'DO NOT TOUCH'!$P$9:$Q$14,2,TRUE)),"TBD")</f>
        <v>TBD</v>
      </c>
      <c r="AH14" s="132">
        <f t="shared" si="19"/>
        <v>0.5</v>
      </c>
      <c r="AI14" s="132">
        <f>INPUT_OUTPUTS!$C$13</f>
        <v>140</v>
      </c>
      <c r="AJ14" s="132">
        <f>INPUT_OUTPUTS!$C$14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0</v>
      </c>
      <c r="AN14" s="133">
        <f t="shared" si="20"/>
        <v>0</v>
      </c>
      <c r="AO14" s="133">
        <f t="shared" si="15"/>
        <v>0.5</v>
      </c>
      <c r="AP14" s="133">
        <f t="shared" si="21"/>
        <v>5</v>
      </c>
      <c r="AQ14" s="133" t="str">
        <f>IFERROR((_xlfn.XLOOKUP(AG14,'DO NOT TOUCH'!$Q$9:$Q$14,'DO NOT TOUCH'!$R$9:$R$14,)),"TBD")</f>
        <v>TBD</v>
      </c>
      <c r="AR14" s="133" t="str">
        <f>INPUT_OUTPUTS!$C$16</f>
        <v>C1/M-501</v>
      </c>
      <c r="AS14" s="135" t="str">
        <f t="shared" si="22"/>
        <v>1, 2</v>
      </c>
    </row>
    <row r="15" spans="1:54" ht="15" customHeight="1">
      <c r="B15" s="115" t="s">
        <v>325</v>
      </c>
      <c r="C15" s="115" t="s">
        <v>315</v>
      </c>
      <c r="D15" s="115">
        <v>1234</v>
      </c>
      <c r="E15" s="115">
        <v>4343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2900</v>
      </c>
      <c r="L15" s="84">
        <f t="shared" si="13"/>
        <v>4343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1450</v>
      </c>
      <c r="Q15" s="81" t="str">
        <f>VLOOKUP($M15,'UMC Table 4-A'!$A$10:$E$139,5,FALSE)</f>
        <v>NR</v>
      </c>
      <c r="R15" s="82">
        <f t="shared" si="3"/>
        <v>4345</v>
      </c>
      <c r="S15" s="119">
        <f t="shared" si="4"/>
        <v>4345</v>
      </c>
      <c r="T15" s="119">
        <f t="shared" si="5"/>
        <v>4345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1.0004605111673959</v>
      </c>
      <c r="Y15" s="56">
        <f t="shared" si="17"/>
        <v>33.371691599539702</v>
      </c>
      <c r="Z15" s="28">
        <f t="shared" si="18"/>
        <v>6.0027630670043752</v>
      </c>
      <c r="AC15" s="134" t="s">
        <v>267</v>
      </c>
      <c r="AD15" s="131" t="s">
        <v>122</v>
      </c>
      <c r="AE15" s="131" t="s">
        <v>128</v>
      </c>
      <c r="AF15" s="132">
        <f t="shared" si="11"/>
        <v>0</v>
      </c>
      <c r="AG15" s="132" t="str">
        <f>IFERROR((VLOOKUP(AF15,'DO NOT TOUCH'!$P$9:$Q$14,2,TRUE)),"TBD")</f>
        <v>TBD</v>
      </c>
      <c r="AH15" s="132">
        <f t="shared" si="19"/>
        <v>0.5</v>
      </c>
      <c r="AI15" s="132">
        <f>INPUT_OUTPUTS!$C$13</f>
        <v>140</v>
      </c>
      <c r="AJ15" s="132">
        <f>INPUT_OUTPUTS!$C$14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0</v>
      </c>
      <c r="AN15" s="133">
        <f t="shared" si="20"/>
        <v>0</v>
      </c>
      <c r="AO15" s="133">
        <f t="shared" si="15"/>
        <v>0.5</v>
      </c>
      <c r="AP15" s="133">
        <f t="shared" si="21"/>
        <v>5</v>
      </c>
      <c r="AQ15" s="133" t="str">
        <f>IFERROR((_xlfn.XLOOKUP(AG15,'DO NOT TOUCH'!$Q$9:$Q$14,'DO NOT TOUCH'!$R$9:$R$14,)),"TBD")</f>
        <v>TBD</v>
      </c>
      <c r="AR15" s="133" t="str">
        <f>INPUT_OUTPUTS!$C$16</f>
        <v>C1/M-501</v>
      </c>
      <c r="AS15" s="135" t="str">
        <f t="shared" si="22"/>
        <v>1, 2</v>
      </c>
    </row>
    <row r="16" spans="1:54" ht="15" customHeight="1">
      <c r="B16" s="115" t="s">
        <v>326</v>
      </c>
      <c r="C16" s="115" t="s">
        <v>315</v>
      </c>
      <c r="D16" s="115">
        <v>1234</v>
      </c>
      <c r="E16" s="115">
        <v>666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450</v>
      </c>
      <c r="L16" s="84">
        <f t="shared" si="13"/>
        <v>666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230</v>
      </c>
      <c r="Q16" s="81" t="str">
        <f>VLOOKUP($M16,'UMC Table 4-A'!$A$10:$E$139,5,FALSE)</f>
        <v>NR</v>
      </c>
      <c r="R16" s="82">
        <f t="shared" si="3"/>
        <v>670</v>
      </c>
      <c r="S16" s="119">
        <f t="shared" si="4"/>
        <v>670</v>
      </c>
      <c r="T16" s="119">
        <f t="shared" si="5"/>
        <v>670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1.0060060060060061</v>
      </c>
      <c r="Y16" s="56">
        <f t="shared" si="17"/>
        <v>34.328358208955223</v>
      </c>
      <c r="Z16" s="28">
        <f t="shared" si="18"/>
        <v>6.0360360360360366</v>
      </c>
      <c r="AC16" s="134" t="s">
        <v>268</v>
      </c>
      <c r="AD16" s="131" t="s">
        <v>122</v>
      </c>
      <c r="AE16" s="131" t="s">
        <v>128</v>
      </c>
      <c r="AF16" s="132">
        <f t="shared" si="11"/>
        <v>0</v>
      </c>
      <c r="AG16" s="132" t="str">
        <f>IFERROR((VLOOKUP(AF16,'DO NOT TOUCH'!$P$9:$Q$14,2,TRUE)),"TBD")</f>
        <v>TBD</v>
      </c>
      <c r="AH16" s="132">
        <f t="shared" si="19"/>
        <v>0.5</v>
      </c>
      <c r="AI16" s="132">
        <f>INPUT_OUTPUTS!$C$13</f>
        <v>140</v>
      </c>
      <c r="AJ16" s="132">
        <f>INPUT_OUTPUTS!$C$14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0</v>
      </c>
      <c r="AN16" s="133">
        <f t="shared" si="20"/>
        <v>0</v>
      </c>
      <c r="AO16" s="133">
        <f t="shared" si="15"/>
        <v>0.5</v>
      </c>
      <c r="AP16" s="133">
        <f t="shared" si="21"/>
        <v>5</v>
      </c>
      <c r="AQ16" s="133" t="str">
        <f>IFERROR((_xlfn.XLOOKUP(AG16,'DO NOT TOUCH'!$Q$9:$Q$14,'DO NOT TOUCH'!$R$9:$R$14,)),"TBD")</f>
        <v>TBD</v>
      </c>
      <c r="AR16" s="133" t="str">
        <f>INPUT_OUTPUTS!$C$16</f>
        <v>C1/M-501</v>
      </c>
      <c r="AS16" s="135" t="str">
        <f t="shared" si="22"/>
        <v>1, 2</v>
      </c>
    </row>
    <row r="17" spans="2:45" ht="15" customHeight="1">
      <c r="B17" s="115" t="s">
        <v>327</v>
      </c>
      <c r="C17" s="115" t="s">
        <v>315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v>555</v>
      </c>
      <c r="U17" s="119">
        <f t="shared" si="6"/>
        <v>0</v>
      </c>
      <c r="V17" s="71">
        <f t="shared" si="7"/>
        <v>9445</v>
      </c>
      <c r="W17" s="27" t="str">
        <f t="shared" si="8"/>
        <v>No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0</v>
      </c>
      <c r="AG17" s="132" t="str">
        <f>IFERROR((VLOOKUP(AF17,'DO NOT TOUCH'!$P$9:$Q$14,2,TRUE)),"TBD")</f>
        <v>TBD</v>
      </c>
      <c r="AH17" s="132">
        <f t="shared" si="19"/>
        <v>0.5</v>
      </c>
      <c r="AI17" s="132">
        <f>INPUT_OUTPUTS!$C$13</f>
        <v>140</v>
      </c>
      <c r="AJ17" s="132">
        <f>INPUT_OUTPUTS!$C$14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0</v>
      </c>
      <c r="AN17" s="133">
        <f t="shared" si="20"/>
        <v>0</v>
      </c>
      <c r="AO17" s="133">
        <f t="shared" si="15"/>
        <v>0.5</v>
      </c>
      <c r="AP17" s="133">
        <f t="shared" si="21"/>
        <v>5</v>
      </c>
      <c r="AQ17" s="133" t="str">
        <f>IFERROR((_xlfn.XLOOKUP(AG17,'DO NOT TOUCH'!$Q$9:$Q$14,'DO NOT TOUCH'!$R$9:$R$14,)),"TBD")</f>
        <v>TBD</v>
      </c>
      <c r="AR17" s="133" t="str">
        <f>INPUT_OUTPUTS!$C$16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INPUT_OUTPUTS!$C$13</f>
        <v>140</v>
      </c>
      <c r="AJ18" s="132">
        <f>INPUT_OUTPUTS!$C$14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INPUT_OUTPUTS!$C$16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INPUT_OUTPUTS!$C$13</f>
        <v>140</v>
      </c>
      <c r="AJ19" s="132">
        <f>INPUT_OUTPUTS!$C$14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INPUT_OUTPUTS!$C$16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INPUT_OUTPUTS!$C$13</f>
        <v>140</v>
      </c>
      <c r="AJ20" s="132">
        <f>INPUT_OUTPUTS!$C$14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INPUT_OUTPUTS!$C$16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INPUT_OUTPUTS!$C$13</f>
        <v>140</v>
      </c>
      <c r="AJ21" s="132">
        <f>INPUT_OUTPUTS!$C$14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INPUT_OUTPUTS!$C$16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INPUT_OUTPUTS!$C$13</f>
        <v>140</v>
      </c>
      <c r="AJ22" s="132">
        <f>INPUT_OUTPUTS!$C$14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INPUT_OUTPUTS!$C$16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INPUT_OUTPUTS!$C$13</f>
        <v>140</v>
      </c>
      <c r="AJ23" s="132">
        <f>INPUT_OUTPUTS!$C$14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INPUT_OUTPUTS!$C$16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INPUT_OUTPUTS!$C$13</f>
        <v>140</v>
      </c>
      <c r="AJ24" s="132">
        <f>INPUT_OUTPUTS!$C$14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INPUT_OUTPUTS!$C$16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INPUT_OUTPUTS!$C$13</f>
        <v>140</v>
      </c>
      <c r="AJ25" s="132">
        <f>INPUT_OUTPUTS!$C$14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INPUT_OUTPUTS!$C$16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INPUT_OUTPUTS!$C$13</f>
        <v>140</v>
      </c>
      <c r="AJ26" s="132">
        <f>INPUT_OUTPUTS!$C$14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INPUT_OUTPUTS!$C$16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INPUT_OUTPUTS!$C$13</f>
        <v>140</v>
      </c>
      <c r="AJ27" s="132">
        <f>INPUT_OUTPUTS!$C$14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INPUT_OUTPUTS!$C$16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INPUT_OUTPUTS!$C$13</f>
        <v>140</v>
      </c>
      <c r="AJ28" s="132">
        <f>INPUT_OUTPUTS!$C$14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INPUT_OUTPUTS!$C$16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INPUT_OUTPUTS!$C$13</f>
        <v>140</v>
      </c>
      <c r="AJ29" s="132">
        <f>INPUT_OUTPUTS!$C$14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INPUT_OUTPUTS!$C$16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INPUT_OUTPUTS!$C$13</f>
        <v>140</v>
      </c>
      <c r="AJ30" s="132">
        <f>INPUT_OUTPUTS!$C$14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INPUT_OUTPUTS!$C$16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INPUT_OUTPUTS!$C$13</f>
        <v>140</v>
      </c>
      <c r="AJ31" s="132">
        <f>INPUT_OUTPUTS!$C$14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INPUT_OUTPUTS!$C$16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INPUT_OUTPUTS!$C$13</f>
        <v>140</v>
      </c>
      <c r="AJ32" s="132">
        <f>INPUT_OUTPUTS!$C$14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INPUT_OUTPUTS!$C$16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INPUT_OUTPUTS!$C$13</f>
        <v>140</v>
      </c>
      <c r="AJ33" s="132">
        <f>INPUT_OUTPUTS!$C$14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INPUT_OUTPUTS!$C$16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INPUT_OUTPUTS!$C$13</f>
        <v>140</v>
      </c>
      <c r="AJ34" s="132">
        <f>INPUT_OUTPUTS!$C$14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INPUT_OUTPUTS!$C$16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INPUT_OUTPUTS!$C$13</f>
        <v>140</v>
      </c>
      <c r="AJ35" s="132">
        <f>INPUT_OUTPUTS!$C$14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INPUT_OUTPUTS!$C$16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INPUT_OUTPUTS!$C$13</f>
        <v>140</v>
      </c>
      <c r="AJ36" s="132">
        <f>INPUT_OUTPUTS!$C$14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INPUT_OUTPUTS!$C$16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INPUT_OUTPUTS!$C$13</f>
        <v>140</v>
      </c>
      <c r="AJ37" s="132">
        <f>INPUT_OUTPUTS!$C$14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INPUT_OUTPUTS!$C$16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INPUT_OUTPUTS!$C$13</f>
        <v>140</v>
      </c>
      <c r="AJ38" s="132">
        <f>INPUT_OUTPUTS!$C$14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INPUT_OUTPUTS!$C$16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INPUT_OUTPUTS!$C$13</f>
        <v>140</v>
      </c>
      <c r="AJ39" s="132">
        <f>INPUT_OUTPUTS!$C$14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INPUT_OUTPUTS!$C$16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INPUT_OUTPUTS!$C$13</f>
        <v>140</v>
      </c>
      <c r="AJ40" s="132">
        <f>INPUT_OUTPUTS!$C$14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INPUT_OUTPUTS!$C$16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INPUT_OUTPUTS!$C$13</f>
        <v>140</v>
      </c>
      <c r="AJ41" s="132">
        <f>INPUT_OUTPUTS!$C$14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INPUT_OUTPUTS!$C$16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INPUT_OUTPUTS!$C$13</f>
        <v>140</v>
      </c>
      <c r="AJ42" s="132">
        <f>INPUT_OUTPUTS!$C$14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INPUT_OUTPUTS!$C$16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INPUT_OUTPUTS!$C$13</f>
        <v>140</v>
      </c>
      <c r="AJ43" s="132">
        <f>INPUT_OUTPUTS!$C$14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INPUT_OUTPUTS!$C$16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INPUT_OUTPUTS!$C$13</f>
        <v>140</v>
      </c>
      <c r="AJ44" s="138">
        <f>INPUT_OUTPUTS!$C$14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INPUT_OUTPUTS!$C$16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317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SUBTOTAL(109,AHU1_CAV_SCHEDULE4410[MIN MBH])</f>
        <v>0</v>
      </c>
      <c r="AN45" s="161"/>
      <c r="AO45" s="163">
        <f>SUBTOTAL(109,AHU1_CAV_SCHEDULE4410[GPM])</f>
        <v>19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196" t="s">
        <v>126</v>
      </c>
      <c r="AD46" s="197"/>
      <c r="AE46" s="197"/>
      <c r="AF46" s="197"/>
      <c r="AG46" s="197"/>
      <c r="AH46" s="197"/>
      <c r="AI46" s="197"/>
      <c r="AJ46" s="197"/>
      <c r="AK46" s="197"/>
      <c r="AL46" s="197"/>
      <c r="AM46" s="197"/>
      <c r="AN46" s="197"/>
      <c r="AO46" s="197"/>
      <c r="AP46" s="197"/>
      <c r="AQ46" s="197"/>
      <c r="AR46" s="197"/>
      <c r="AS46" s="198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199"/>
      <c r="AD47" s="200"/>
      <c r="AE47" s="200"/>
      <c r="AF47" s="200"/>
      <c r="AG47" s="200"/>
      <c r="AH47" s="200"/>
      <c r="AI47" s="200"/>
      <c r="AJ47" s="200"/>
      <c r="AK47" s="200"/>
      <c r="AL47" s="200"/>
      <c r="AM47" s="200"/>
      <c r="AN47" s="200"/>
      <c r="AO47" s="200"/>
      <c r="AP47" s="200"/>
      <c r="AQ47" s="200"/>
      <c r="AR47" s="200"/>
      <c r="AS47" s="201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199"/>
      <c r="AD48" s="200"/>
      <c r="AE48" s="200"/>
      <c r="AF48" s="200"/>
      <c r="AG48" s="200"/>
      <c r="AH48" s="200"/>
      <c r="AI48" s="200"/>
      <c r="AJ48" s="200"/>
      <c r="AK48" s="200"/>
      <c r="AL48" s="200"/>
      <c r="AM48" s="200"/>
      <c r="AN48" s="200"/>
      <c r="AO48" s="200"/>
      <c r="AP48" s="200"/>
      <c r="AQ48" s="200"/>
      <c r="AR48" s="200"/>
      <c r="AS48" s="201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02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4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SUBTOTAL(109,AHU1_TABLE_4A439[AREA (FT²)])</f>
        <v>76007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87">
        <f>SUBTOTAL(109,AHU1_TABLE_4A439[OSA CFM])</f>
        <v>25400</v>
      </c>
      <c r="Q79" s="123"/>
      <c r="R79" s="128">
        <f>SUBTOTAL(109,AHU1_TABLE_4A439[CALCULATED SA CFM])</f>
        <v>76015</v>
      </c>
      <c r="S79" s="188">
        <f>SUBTOTAL(109,AHU1_TABLE_4A439[DESIGN SA CFM])</f>
        <v>76015</v>
      </c>
      <c r="T79" s="188">
        <f>SUBTOTAL(109,AHU1_TABLE_4A439[RA CFM])</f>
        <v>37391</v>
      </c>
      <c r="U79" s="189">
        <f>SUBTOTAL(109,AHU1_TABLE_4A439[EA CFM])</f>
        <v>0</v>
      </c>
      <c r="V79" s="190">
        <f>SUBTOTAL(109,AHU1_TABLE_4A439[Transfer Air CFM])</f>
        <v>38624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9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328</v>
      </c>
      <c r="U81" s="66">
        <f>ROUNDUP(U79*INPUT_OUTPUTS!C15,-2)</f>
        <v>0</v>
      </c>
      <c r="V81" s="66">
        <f>ROUNDUP(V79*INPUT_OUTPUTS!C15,-2)</f>
        <v>46400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75.055679287305125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212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D6C30910-7E6A-F54A-B59D-1393A253293F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55B5C-24C0-614D-A877-55E00C0145E9}">
  <sheetPr codeName="Sheet9">
    <tabColor indexed="43"/>
    <pageSetUpPr fitToPage="1"/>
  </sheetPr>
  <dimension ref="A1:BB104"/>
  <sheetViews>
    <sheetView showGridLines="0" topLeftCell="R5" zoomScale="181" zoomScaleNormal="69" zoomScaleSheetLayoutView="50" zoomScalePageLayoutView="80" workbookViewId="0">
      <selection activeCell="T13" sqref="T13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3" bestFit="1" customWidth="1"/>
    <col min="5" max="5" width="16" style="15" bestFit="1" customWidth="1"/>
    <col min="6" max="6" width="9.83203125" style="15" bestFit="1" customWidth="1"/>
    <col min="7" max="7" width="12.6640625" bestFit="1" customWidth="1"/>
    <col min="8" max="8" width="11.5" style="18" bestFit="1" customWidth="1"/>
    <col min="9" max="10" width="7.6640625" customWidth="1"/>
    <col min="11" max="11" width="11.83203125" style="1" customWidth="1"/>
    <col min="12" max="12" width="12.6640625" customWidth="1"/>
    <col min="13" max="13" width="11.5" hidden="1" customWidth="1"/>
    <col min="14" max="14" width="64.33203125" style="1" bestFit="1" customWidth="1"/>
    <col min="15" max="15" width="25.5" style="1" bestFit="1" customWidth="1"/>
    <col min="16" max="16" width="12.83203125" customWidth="1"/>
    <col min="17" max="17" width="13" bestFit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67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396</v>
      </c>
      <c r="AX1" s="74" t="s">
        <v>397</v>
      </c>
      <c r="AY1" s="74" t="s">
        <v>398</v>
      </c>
      <c r="BA1" s="74" t="s">
        <v>45</v>
      </c>
      <c r="BB1" s="74" t="s">
        <v>399</v>
      </c>
    </row>
    <row r="2" spans="1:54" ht="17" thickBot="1">
      <c r="AW2" s="66">
        <f>ROUNDUP(S79*INPUT_OUTPUTS!$C$15,-2)</f>
        <v>106200</v>
      </c>
      <c r="AX2" s="66">
        <f>ROUNDUP(T79*INPUT_OUTPUTS!$C$15,-2)</f>
        <v>83000</v>
      </c>
      <c r="AY2" s="65">
        <f>ROUNDUP((P79*INPUT_OUTPUTS!C15)+P80,-2)</f>
        <v>38700</v>
      </c>
      <c r="BA2" s="76">
        <f>AHU1_CAV_SCHEDULE447[[#Totals],[GPM]]</f>
        <v>19</v>
      </c>
      <c r="BB2" s="75">
        <f>AHU1_CAV_SCHEDULE447[[#Totals],[MIN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05" t="s">
        <v>297</v>
      </c>
      <c r="E4" s="206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7"/>
      <c r="W4" s="69"/>
      <c r="Y4"/>
      <c r="Z4"/>
      <c r="AA4"/>
    </row>
    <row r="5" spans="1:54" ht="30">
      <c r="B5" s="86"/>
      <c r="C5" s="86"/>
      <c r="D5" s="208" t="s">
        <v>88</v>
      </c>
      <c r="E5" s="209"/>
      <c r="F5" s="209"/>
      <c r="G5" s="210"/>
      <c r="H5" s="211" t="s">
        <v>89</v>
      </c>
      <c r="I5" s="211"/>
      <c r="J5" s="211"/>
      <c r="K5" s="211"/>
      <c r="L5" s="211"/>
      <c r="M5" s="211"/>
      <c r="N5" s="211"/>
      <c r="O5" s="211"/>
      <c r="P5" s="211"/>
      <c r="Q5" s="211"/>
      <c r="R5" s="211"/>
      <c r="S5" s="208" t="s">
        <v>87</v>
      </c>
      <c r="T5" s="209"/>
      <c r="U5" s="209"/>
      <c r="V5" s="210"/>
      <c r="W5" s="86"/>
      <c r="X5" s="212" t="s">
        <v>86</v>
      </c>
      <c r="Y5" s="213"/>
      <c r="Z5" s="214"/>
      <c r="AC5" s="215" t="s">
        <v>124</v>
      </c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5"/>
    </row>
    <row r="6" spans="1:54" s="79" customFormat="1" ht="53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320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315</v>
      </c>
      <c r="C7" s="115" t="s">
        <v>315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INPUT_OUTPUTS!$C$13</f>
        <v>140</v>
      </c>
      <c r="AJ7" s="132">
        <f>INPUT_OUTPUTS!$C$14</f>
        <v>100</v>
      </c>
      <c r="AK7" s="132">
        <v>55</v>
      </c>
      <c r="AL7" s="132">
        <v>85</v>
      </c>
      <c r="AM7" s="132">
        <f t="shared" ref="AM7:AM44" si="12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INPUT_OUTPUTS!$C$16</f>
        <v>C1/M-501</v>
      </c>
      <c r="AS7" s="132" t="s">
        <v>123</v>
      </c>
    </row>
    <row r="8" spans="1:54" ht="15" customHeight="1">
      <c r="B8" s="115" t="s">
        <v>315</v>
      </c>
      <c r="C8" s="115" t="s">
        <v>315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3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INPUT_OUTPUTS!$C$13</f>
        <v>140</v>
      </c>
      <c r="AJ8" s="132">
        <f>INPUT_OUTPUTS!$C$14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0</v>
      </c>
      <c r="AN8" s="133">
        <f>(AM8*1000)/(500*(AI8-AJ8))</f>
        <v>0</v>
      </c>
      <c r="AO8" s="133">
        <f t="shared" ref="AO8:AO44" si="15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INPUT_OUTPUTS!$C$16</f>
        <v>C1/M-501</v>
      </c>
      <c r="AS8" s="132" t="str">
        <f>AS7</f>
        <v>1, 2</v>
      </c>
    </row>
    <row r="9" spans="1:54" ht="15" customHeight="1">
      <c r="B9" s="115" t="s">
        <v>321</v>
      </c>
      <c r="C9" s="115" t="s">
        <v>315</v>
      </c>
      <c r="D9" s="115">
        <v>1234</v>
      </c>
      <c r="E9" s="115">
        <v>7778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5190</v>
      </c>
      <c r="L9" s="84">
        <f t="shared" si="13"/>
        <v>7778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2600</v>
      </c>
      <c r="Q9" s="81" t="str">
        <f>VLOOKUP($M9,'UMC Table 4-A'!$A$10:$E$139,5,FALSE)</f>
        <v>NR</v>
      </c>
      <c r="R9" s="82">
        <f t="shared" si="3"/>
        <v>7780</v>
      </c>
      <c r="S9" s="119">
        <f t="shared" si="4"/>
        <v>7780</v>
      </c>
      <c r="T9" s="119">
        <f t="shared" si="5"/>
        <v>7780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1.000257135510414</v>
      </c>
      <c r="Y9" s="56">
        <f t="shared" ref="Y9:Y72" si="17">IFERROR(((P9/S9)*100),"-")</f>
        <v>33.419023136246793</v>
      </c>
      <c r="Z9" s="28">
        <f t="shared" ref="Z9:Z72" si="18">IFERROR((R9/E9/F9*60),"-")</f>
        <v>6.0015428130624837</v>
      </c>
      <c r="AC9" s="131" t="s">
        <v>261</v>
      </c>
      <c r="AD9" s="131" t="s">
        <v>122</v>
      </c>
      <c r="AE9" s="131" t="s">
        <v>128</v>
      </c>
      <c r="AF9" s="132">
        <f t="shared" si="11"/>
        <v>0</v>
      </c>
      <c r="AG9" s="132" t="str">
        <f>IFERROR((VLOOKUP(AF9,'DO NOT TOUCH'!$P$9:$Q$14,2,TRUE)),"TBD")</f>
        <v>TBD</v>
      </c>
      <c r="AH9" s="132">
        <f t="shared" ref="AH9:AH44" si="19">AH8</f>
        <v>0.5</v>
      </c>
      <c r="AI9" s="132">
        <f>INPUT_OUTPUTS!$C$13</f>
        <v>140</v>
      </c>
      <c r="AJ9" s="132">
        <f>INPUT_OUTPUTS!$C$14</f>
        <v>100</v>
      </c>
      <c r="AK9" s="132">
        <f t="shared" si="14"/>
        <v>55</v>
      </c>
      <c r="AL9" s="132">
        <f t="shared" si="14"/>
        <v>85</v>
      </c>
      <c r="AM9" s="132">
        <f t="shared" si="12"/>
        <v>0</v>
      </c>
      <c r="AN9" s="133">
        <f t="shared" ref="AN9:AN44" si="20">(AM9*1000)/(500*(AI9-AJ9))</f>
        <v>0</v>
      </c>
      <c r="AO9" s="133">
        <f t="shared" si="15"/>
        <v>0.5</v>
      </c>
      <c r="AP9" s="133">
        <f t="shared" ref="AP9:AP44" si="21">AP8</f>
        <v>5</v>
      </c>
      <c r="AQ9" s="133" t="str">
        <f>IFERROR((_xlfn.XLOOKUP(AG9,'DO NOT TOUCH'!$Q$9:$Q$14,'DO NOT TOUCH'!$R$9:$R$14,)),"TBD")</f>
        <v>TBD</v>
      </c>
      <c r="AR9" s="133" t="str">
        <f>INPUT_OUTPUTS!$C$16</f>
        <v>C1/M-501</v>
      </c>
      <c r="AS9" s="132" t="str">
        <f t="shared" ref="AS9:AS44" si="22">AS8</f>
        <v>1, 2</v>
      </c>
    </row>
    <row r="10" spans="1:54" ht="15" customHeight="1">
      <c r="B10" s="115" t="s">
        <v>322</v>
      </c>
      <c r="C10" s="115" t="s">
        <v>315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3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v>45</v>
      </c>
      <c r="U10" s="119">
        <f t="shared" si="6"/>
        <v>0</v>
      </c>
      <c r="V10" s="71">
        <f t="shared" si="7"/>
        <v>9955</v>
      </c>
      <c r="W10" s="27" t="str">
        <f t="shared" si="8"/>
        <v>No</v>
      </c>
      <c r="X10" s="28">
        <f t="shared" si="16"/>
        <v>1</v>
      </c>
      <c r="Y10" s="56">
        <f t="shared" si="17"/>
        <v>33.4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0</v>
      </c>
      <c r="AG10" s="132" t="str">
        <f>IFERROR((VLOOKUP(AF10,'DO NOT TOUCH'!$P$9:$Q$14,2,TRUE)),"TBD")</f>
        <v>TBD</v>
      </c>
      <c r="AH10" s="132">
        <f t="shared" si="19"/>
        <v>0.5</v>
      </c>
      <c r="AI10" s="132">
        <f>INPUT_OUTPUTS!$C$13</f>
        <v>140</v>
      </c>
      <c r="AJ10" s="132">
        <f>INPUT_OUTPUTS!$C$14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0</v>
      </c>
      <c r="AN10" s="133">
        <f t="shared" si="20"/>
        <v>0</v>
      </c>
      <c r="AO10" s="133">
        <f t="shared" si="15"/>
        <v>0.5</v>
      </c>
      <c r="AP10" s="133">
        <f t="shared" si="21"/>
        <v>5</v>
      </c>
      <c r="AQ10" s="133" t="str">
        <f>IFERROR((_xlfn.XLOOKUP(AG10,'DO NOT TOUCH'!$Q$9:$Q$14,'DO NOT TOUCH'!$R$9:$R$14,)),"TBD")</f>
        <v>TBD</v>
      </c>
      <c r="AR10" s="133" t="str">
        <f>INPUT_OUTPUTS!$C$16</f>
        <v>C1/M-501</v>
      </c>
      <c r="AS10" s="132" t="str">
        <f t="shared" si="22"/>
        <v>1, 2</v>
      </c>
    </row>
    <row r="11" spans="1:54" ht="15" customHeight="1">
      <c r="B11" s="115" t="s">
        <v>323</v>
      </c>
      <c r="C11" s="115" t="s">
        <v>315</v>
      </c>
      <c r="D11" s="115">
        <v>1234</v>
      </c>
      <c r="E11" s="115">
        <v>567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380</v>
      </c>
      <c r="L11" s="84">
        <f t="shared" si="13"/>
        <v>567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190</v>
      </c>
      <c r="Q11" s="81" t="str">
        <f>VLOOKUP($M11,'UMC Table 4-A'!$A$10:$E$139,5,FALSE)</f>
        <v>NR</v>
      </c>
      <c r="R11" s="82">
        <f t="shared" si="3"/>
        <v>570</v>
      </c>
      <c r="S11" s="119">
        <f t="shared" si="4"/>
        <v>570</v>
      </c>
      <c r="T11" s="119">
        <f t="shared" si="5"/>
        <v>570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1.0052910052910053</v>
      </c>
      <c r="Y11" s="56">
        <f t="shared" si="17"/>
        <v>33.333333333333329</v>
      </c>
      <c r="Z11" s="28">
        <f t="shared" si="18"/>
        <v>6.0317460317460325</v>
      </c>
      <c r="AC11" s="131" t="s">
        <v>263</v>
      </c>
      <c r="AD11" s="131" t="s">
        <v>122</v>
      </c>
      <c r="AE11" s="131" t="s">
        <v>128</v>
      </c>
      <c r="AF11" s="132">
        <f t="shared" si="11"/>
        <v>0</v>
      </c>
      <c r="AG11" s="132" t="str">
        <f>IFERROR((VLOOKUP(AF11,'DO NOT TOUCH'!$P$9:$Q$14,2,TRUE)),"TBD")</f>
        <v>TBD</v>
      </c>
      <c r="AH11" s="132">
        <f t="shared" si="19"/>
        <v>0.5</v>
      </c>
      <c r="AI11" s="132">
        <f>INPUT_OUTPUTS!$C$13</f>
        <v>140</v>
      </c>
      <c r="AJ11" s="132">
        <f>INPUT_OUTPUTS!$C$14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0</v>
      </c>
      <c r="AN11" s="133">
        <f t="shared" si="20"/>
        <v>0</v>
      </c>
      <c r="AO11" s="133">
        <f t="shared" si="15"/>
        <v>0.5</v>
      </c>
      <c r="AP11" s="133">
        <f t="shared" si="21"/>
        <v>5</v>
      </c>
      <c r="AQ11" s="133" t="str">
        <f>IFERROR((_xlfn.XLOOKUP(AG11,'DO NOT TOUCH'!$Q$9:$Q$14,'DO NOT TOUCH'!$R$9:$R$14,)),"TBD")</f>
        <v>TBD</v>
      </c>
      <c r="AR11" s="133" t="str">
        <f>INPUT_OUTPUTS!$C$16</f>
        <v>C1/M-501</v>
      </c>
      <c r="AS11" s="132" t="str">
        <f t="shared" si="22"/>
        <v>1, 2</v>
      </c>
    </row>
    <row r="12" spans="1:54" ht="15" customHeight="1">
      <c r="B12" s="115" t="s">
        <v>323</v>
      </c>
      <c r="C12" s="115" t="s">
        <v>315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3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33.4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0</v>
      </c>
      <c r="AG12" s="132" t="str">
        <f>IFERROR((VLOOKUP(AF12,'DO NOT TOUCH'!$P$9:$Q$14,2,TRUE)),"TBD")</f>
        <v>TBD</v>
      </c>
      <c r="AH12" s="132">
        <f t="shared" si="19"/>
        <v>0.5</v>
      </c>
      <c r="AI12" s="132">
        <f>INPUT_OUTPUTS!$C$13</f>
        <v>140</v>
      </c>
      <c r="AJ12" s="132">
        <f>INPUT_OUTPUTS!$C$14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0</v>
      </c>
      <c r="AN12" s="133">
        <f t="shared" si="20"/>
        <v>0</v>
      </c>
      <c r="AO12" s="133">
        <f t="shared" si="15"/>
        <v>0.5</v>
      </c>
      <c r="AP12" s="133">
        <f t="shared" si="21"/>
        <v>5</v>
      </c>
      <c r="AQ12" s="133" t="str">
        <f>IFERROR((_xlfn.XLOOKUP(AG12,'DO NOT TOUCH'!$Q$9:$Q$14,'DO NOT TOUCH'!$R$9:$R$14,)),"TBD")</f>
        <v>TBD</v>
      </c>
      <c r="AR12" s="133" t="str">
        <f>INPUT_OUTPUTS!$C$16</f>
        <v>C1/M-501</v>
      </c>
      <c r="AS12" s="132" t="str">
        <f t="shared" si="22"/>
        <v>1, 2</v>
      </c>
    </row>
    <row r="13" spans="1:54" ht="15" customHeight="1">
      <c r="B13" s="115" t="s">
        <v>324</v>
      </c>
      <c r="C13" s="115" t="s">
        <v>315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3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f t="shared" si="5"/>
        <v>10000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33.4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0</v>
      </c>
      <c r="AG13" s="132" t="str">
        <f>IFERROR((VLOOKUP(AF13,'DO NOT TOUCH'!$P$9:$Q$14,2,TRUE)),"TBD")</f>
        <v>TBD</v>
      </c>
      <c r="AH13" s="132">
        <f t="shared" si="19"/>
        <v>0.5</v>
      </c>
      <c r="AI13" s="132">
        <f>INPUT_OUTPUTS!$C$13</f>
        <v>140</v>
      </c>
      <c r="AJ13" s="132">
        <f>INPUT_OUTPUTS!$C$14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0</v>
      </c>
      <c r="AN13" s="133">
        <f t="shared" si="20"/>
        <v>0</v>
      </c>
      <c r="AO13" s="133">
        <f t="shared" si="15"/>
        <v>0.5</v>
      </c>
      <c r="AP13" s="133">
        <f t="shared" si="21"/>
        <v>5</v>
      </c>
      <c r="AQ13" s="133" t="str">
        <f>IFERROR((_xlfn.XLOOKUP(AG13,'DO NOT TOUCH'!$Q$9:$Q$14,'DO NOT TOUCH'!$R$9:$R$14,)),"TBD")</f>
        <v>TBD</v>
      </c>
      <c r="AR13" s="133" t="str">
        <f>INPUT_OUTPUTS!$C$16</f>
        <v>C1/M-501</v>
      </c>
      <c r="AS13" s="135" t="str">
        <f t="shared" si="22"/>
        <v>1, 2</v>
      </c>
    </row>
    <row r="14" spans="1:54" ht="15" customHeight="1">
      <c r="B14" s="115" t="s">
        <v>325</v>
      </c>
      <c r="C14" s="115" t="s">
        <v>315</v>
      </c>
      <c r="D14" s="115">
        <v>1234</v>
      </c>
      <c r="E14" s="115">
        <v>99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70</v>
      </c>
      <c r="L14" s="84">
        <f t="shared" si="13"/>
        <v>99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40</v>
      </c>
      <c r="Q14" s="81" t="str">
        <f>VLOOKUP($M14,'UMC Table 4-A'!$A$10:$E$139,5,FALSE)</f>
        <v>NR</v>
      </c>
      <c r="R14" s="82">
        <f t="shared" si="3"/>
        <v>100</v>
      </c>
      <c r="S14" s="119">
        <f t="shared" si="4"/>
        <v>100</v>
      </c>
      <c r="T14" s="119">
        <f t="shared" si="5"/>
        <v>100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1.0101010101010102</v>
      </c>
      <c r="Y14" s="56">
        <f t="shared" si="17"/>
        <v>40</v>
      </c>
      <c r="Z14" s="28">
        <f t="shared" si="18"/>
        <v>6.0606060606060614</v>
      </c>
      <c r="AC14" s="134" t="s">
        <v>266</v>
      </c>
      <c r="AD14" s="131" t="s">
        <v>122</v>
      </c>
      <c r="AE14" s="131" t="s">
        <v>128</v>
      </c>
      <c r="AF14" s="132">
        <f t="shared" si="11"/>
        <v>0</v>
      </c>
      <c r="AG14" s="132" t="str">
        <f>IFERROR((VLOOKUP(AF14,'DO NOT TOUCH'!$P$9:$Q$14,2,TRUE)),"TBD")</f>
        <v>TBD</v>
      </c>
      <c r="AH14" s="132">
        <f t="shared" si="19"/>
        <v>0.5</v>
      </c>
      <c r="AI14" s="132">
        <f>INPUT_OUTPUTS!$C$13</f>
        <v>140</v>
      </c>
      <c r="AJ14" s="132">
        <f>INPUT_OUTPUTS!$C$14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0</v>
      </c>
      <c r="AN14" s="133">
        <f t="shared" si="20"/>
        <v>0</v>
      </c>
      <c r="AO14" s="133">
        <f t="shared" si="15"/>
        <v>0.5</v>
      </c>
      <c r="AP14" s="133">
        <f t="shared" si="21"/>
        <v>5</v>
      </c>
      <c r="AQ14" s="133" t="str">
        <f>IFERROR((_xlfn.XLOOKUP(AG14,'DO NOT TOUCH'!$Q$9:$Q$14,'DO NOT TOUCH'!$R$9:$R$14,)),"TBD")</f>
        <v>TBD</v>
      </c>
      <c r="AR14" s="133" t="str">
        <f>INPUT_OUTPUTS!$C$16</f>
        <v>C1/M-501</v>
      </c>
      <c r="AS14" s="135" t="str">
        <f t="shared" si="22"/>
        <v>1, 2</v>
      </c>
    </row>
    <row r="15" spans="1:54" ht="15" customHeight="1">
      <c r="B15" s="115" t="s">
        <v>325</v>
      </c>
      <c r="C15" s="115" t="s">
        <v>315</v>
      </c>
      <c r="D15" s="115">
        <v>1234</v>
      </c>
      <c r="E15" s="115">
        <v>10000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3"/>
        <v>10000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v>666</v>
      </c>
      <c r="U15" s="119">
        <f t="shared" si="6"/>
        <v>0</v>
      </c>
      <c r="V15" s="71">
        <f t="shared" si="7"/>
        <v>9334</v>
      </c>
      <c r="W15" s="27" t="str">
        <f t="shared" si="8"/>
        <v>No</v>
      </c>
      <c r="X15" s="28">
        <f t="shared" si="16"/>
        <v>1</v>
      </c>
      <c r="Y15" s="56">
        <f t="shared" si="17"/>
        <v>33.4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0</v>
      </c>
      <c r="AG15" s="132" t="str">
        <f>IFERROR((VLOOKUP(AF15,'DO NOT TOUCH'!$P$9:$Q$14,2,TRUE)),"TBD")</f>
        <v>TBD</v>
      </c>
      <c r="AH15" s="132">
        <f t="shared" si="19"/>
        <v>0.5</v>
      </c>
      <c r="AI15" s="132">
        <f>INPUT_OUTPUTS!$C$13</f>
        <v>140</v>
      </c>
      <c r="AJ15" s="132">
        <f>INPUT_OUTPUTS!$C$14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0</v>
      </c>
      <c r="AN15" s="133">
        <f t="shared" si="20"/>
        <v>0</v>
      </c>
      <c r="AO15" s="133">
        <f t="shared" si="15"/>
        <v>0.5</v>
      </c>
      <c r="AP15" s="133">
        <f t="shared" si="21"/>
        <v>5</v>
      </c>
      <c r="AQ15" s="133" t="str">
        <f>IFERROR((_xlfn.XLOOKUP(AG15,'DO NOT TOUCH'!$Q$9:$Q$14,'DO NOT TOUCH'!$R$9:$R$14,)),"TBD")</f>
        <v>TBD</v>
      </c>
      <c r="AR15" s="133" t="str">
        <f>INPUT_OUTPUTS!$C$16</f>
        <v>C1/M-501</v>
      </c>
      <c r="AS15" s="135" t="str">
        <f t="shared" si="22"/>
        <v>1, 2</v>
      </c>
    </row>
    <row r="16" spans="1:54" ht="15" customHeight="1">
      <c r="B16" s="115" t="s">
        <v>326</v>
      </c>
      <c r="C16" s="115" t="s">
        <v>315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3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33.4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0</v>
      </c>
      <c r="AG16" s="132" t="str">
        <f>IFERROR((VLOOKUP(AF16,'DO NOT TOUCH'!$P$9:$Q$14,2,TRUE)),"TBD")</f>
        <v>TBD</v>
      </c>
      <c r="AH16" s="132">
        <f t="shared" si="19"/>
        <v>0.5</v>
      </c>
      <c r="AI16" s="132">
        <f>INPUT_OUTPUTS!$C$13</f>
        <v>140</v>
      </c>
      <c r="AJ16" s="132">
        <f>INPUT_OUTPUTS!$C$14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0</v>
      </c>
      <c r="AN16" s="133">
        <f t="shared" si="20"/>
        <v>0</v>
      </c>
      <c r="AO16" s="133">
        <f t="shared" si="15"/>
        <v>0.5</v>
      </c>
      <c r="AP16" s="133">
        <f t="shared" si="21"/>
        <v>5</v>
      </c>
      <c r="AQ16" s="133" t="str">
        <f>IFERROR((_xlfn.XLOOKUP(AG16,'DO NOT TOUCH'!$Q$9:$Q$14,'DO NOT TOUCH'!$R$9:$R$14,)),"TBD")</f>
        <v>TBD</v>
      </c>
      <c r="AR16" s="133" t="str">
        <f>INPUT_OUTPUTS!$C$16</f>
        <v>C1/M-501</v>
      </c>
      <c r="AS16" s="135" t="str">
        <f t="shared" si="22"/>
        <v>1, 2</v>
      </c>
    </row>
    <row r="17" spans="2:45" ht="15" customHeight="1">
      <c r="B17" s="115" t="s">
        <v>327</v>
      </c>
      <c r="C17" s="115" t="s">
        <v>315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0</v>
      </c>
      <c r="AG17" s="132" t="str">
        <f>IFERROR((VLOOKUP(AF17,'DO NOT TOUCH'!$P$9:$Q$14,2,TRUE)),"TBD")</f>
        <v>TBD</v>
      </c>
      <c r="AH17" s="132">
        <f t="shared" si="19"/>
        <v>0.5</v>
      </c>
      <c r="AI17" s="132">
        <f>INPUT_OUTPUTS!$C$13</f>
        <v>140</v>
      </c>
      <c r="AJ17" s="132">
        <f>INPUT_OUTPUTS!$C$14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0</v>
      </c>
      <c r="AN17" s="133">
        <f t="shared" si="20"/>
        <v>0</v>
      </c>
      <c r="AO17" s="133">
        <f t="shared" si="15"/>
        <v>0.5</v>
      </c>
      <c r="AP17" s="133">
        <f t="shared" si="21"/>
        <v>5</v>
      </c>
      <c r="AQ17" s="133" t="str">
        <f>IFERROR((_xlfn.XLOOKUP(AG17,'DO NOT TOUCH'!$Q$9:$Q$14,'DO NOT TOUCH'!$R$9:$R$14,)),"TBD")</f>
        <v>TBD</v>
      </c>
      <c r="AR17" s="133" t="str">
        <f>INPUT_OUTPUTS!$C$16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INPUT_OUTPUTS!$C$13</f>
        <v>140</v>
      </c>
      <c r="AJ18" s="132">
        <f>INPUT_OUTPUTS!$C$14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INPUT_OUTPUTS!$C$16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INPUT_OUTPUTS!$C$13</f>
        <v>140</v>
      </c>
      <c r="AJ19" s="132">
        <f>INPUT_OUTPUTS!$C$14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INPUT_OUTPUTS!$C$16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INPUT_OUTPUTS!$C$13</f>
        <v>140</v>
      </c>
      <c r="AJ20" s="132">
        <f>INPUT_OUTPUTS!$C$14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INPUT_OUTPUTS!$C$16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INPUT_OUTPUTS!$C$13</f>
        <v>140</v>
      </c>
      <c r="AJ21" s="132">
        <f>INPUT_OUTPUTS!$C$14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INPUT_OUTPUTS!$C$16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INPUT_OUTPUTS!$C$13</f>
        <v>140</v>
      </c>
      <c r="AJ22" s="132">
        <f>INPUT_OUTPUTS!$C$14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INPUT_OUTPUTS!$C$16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INPUT_OUTPUTS!$C$13</f>
        <v>140</v>
      </c>
      <c r="AJ23" s="132">
        <f>INPUT_OUTPUTS!$C$14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INPUT_OUTPUTS!$C$16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INPUT_OUTPUTS!$C$13</f>
        <v>140</v>
      </c>
      <c r="AJ24" s="132">
        <f>INPUT_OUTPUTS!$C$14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INPUT_OUTPUTS!$C$16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INPUT_OUTPUTS!$C$13</f>
        <v>140</v>
      </c>
      <c r="AJ25" s="132">
        <f>INPUT_OUTPUTS!$C$14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INPUT_OUTPUTS!$C$16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INPUT_OUTPUTS!$C$13</f>
        <v>140</v>
      </c>
      <c r="AJ26" s="132">
        <f>INPUT_OUTPUTS!$C$14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INPUT_OUTPUTS!$C$16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INPUT_OUTPUTS!$C$13</f>
        <v>140</v>
      </c>
      <c r="AJ27" s="132">
        <f>INPUT_OUTPUTS!$C$14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INPUT_OUTPUTS!$C$16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INPUT_OUTPUTS!$C$13</f>
        <v>140</v>
      </c>
      <c r="AJ28" s="132">
        <f>INPUT_OUTPUTS!$C$14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INPUT_OUTPUTS!$C$16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INPUT_OUTPUTS!$C$13</f>
        <v>140</v>
      </c>
      <c r="AJ29" s="132">
        <f>INPUT_OUTPUTS!$C$14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INPUT_OUTPUTS!$C$16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INPUT_OUTPUTS!$C$13</f>
        <v>140</v>
      </c>
      <c r="AJ30" s="132">
        <f>INPUT_OUTPUTS!$C$14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INPUT_OUTPUTS!$C$16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INPUT_OUTPUTS!$C$13</f>
        <v>140</v>
      </c>
      <c r="AJ31" s="132">
        <f>INPUT_OUTPUTS!$C$14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INPUT_OUTPUTS!$C$16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INPUT_OUTPUTS!$C$13</f>
        <v>140</v>
      </c>
      <c r="AJ32" s="132">
        <f>INPUT_OUTPUTS!$C$14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INPUT_OUTPUTS!$C$16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INPUT_OUTPUTS!$C$13</f>
        <v>140</v>
      </c>
      <c r="AJ33" s="132">
        <f>INPUT_OUTPUTS!$C$14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INPUT_OUTPUTS!$C$16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INPUT_OUTPUTS!$C$13</f>
        <v>140</v>
      </c>
      <c r="AJ34" s="132">
        <f>INPUT_OUTPUTS!$C$14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INPUT_OUTPUTS!$C$16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INPUT_OUTPUTS!$C$13</f>
        <v>140</v>
      </c>
      <c r="AJ35" s="132">
        <f>INPUT_OUTPUTS!$C$14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INPUT_OUTPUTS!$C$16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INPUT_OUTPUTS!$C$13</f>
        <v>140</v>
      </c>
      <c r="AJ36" s="132">
        <f>INPUT_OUTPUTS!$C$14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INPUT_OUTPUTS!$C$16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INPUT_OUTPUTS!$C$13</f>
        <v>140</v>
      </c>
      <c r="AJ37" s="132">
        <f>INPUT_OUTPUTS!$C$14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INPUT_OUTPUTS!$C$16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INPUT_OUTPUTS!$C$13</f>
        <v>140</v>
      </c>
      <c r="AJ38" s="132">
        <f>INPUT_OUTPUTS!$C$14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INPUT_OUTPUTS!$C$16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INPUT_OUTPUTS!$C$13</f>
        <v>140</v>
      </c>
      <c r="AJ39" s="132">
        <f>INPUT_OUTPUTS!$C$14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INPUT_OUTPUTS!$C$16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INPUT_OUTPUTS!$C$13</f>
        <v>140</v>
      </c>
      <c r="AJ40" s="132">
        <f>INPUT_OUTPUTS!$C$14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INPUT_OUTPUTS!$C$16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INPUT_OUTPUTS!$C$13</f>
        <v>140</v>
      </c>
      <c r="AJ41" s="132">
        <f>INPUT_OUTPUTS!$C$14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INPUT_OUTPUTS!$C$16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INPUT_OUTPUTS!$C$13</f>
        <v>140</v>
      </c>
      <c r="AJ42" s="132">
        <f>INPUT_OUTPUTS!$C$14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INPUT_OUTPUTS!$C$16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INPUT_OUTPUTS!$C$13</f>
        <v>140</v>
      </c>
      <c r="AJ43" s="132">
        <f>INPUT_OUTPUTS!$C$14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INPUT_OUTPUTS!$C$16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INPUT_OUTPUTS!$C$13</f>
        <v>140</v>
      </c>
      <c r="AJ44" s="138">
        <f>INPUT_OUTPUTS!$C$14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INPUT_OUTPUTS!$C$16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317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SUBTOTAL(109,AHU1_CAV_SCHEDULE447[MIN MBH])</f>
        <v>0</v>
      </c>
      <c r="AN45" s="161"/>
      <c r="AO45" s="163">
        <f>SUBTOTAL(109,AHU1_CAV_SCHEDULE447[GPM])</f>
        <v>19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196" t="s">
        <v>126</v>
      </c>
      <c r="AD46" s="197"/>
      <c r="AE46" s="197"/>
      <c r="AF46" s="197"/>
      <c r="AG46" s="197"/>
      <c r="AH46" s="197"/>
      <c r="AI46" s="197"/>
      <c r="AJ46" s="197"/>
      <c r="AK46" s="197"/>
      <c r="AL46" s="197"/>
      <c r="AM46" s="197"/>
      <c r="AN46" s="197"/>
      <c r="AO46" s="197"/>
      <c r="AP46" s="197"/>
      <c r="AQ46" s="197"/>
      <c r="AR46" s="197"/>
      <c r="AS46" s="198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199"/>
      <c r="AD47" s="200"/>
      <c r="AE47" s="200"/>
      <c r="AF47" s="200"/>
      <c r="AG47" s="200"/>
      <c r="AH47" s="200"/>
      <c r="AI47" s="200"/>
      <c r="AJ47" s="200"/>
      <c r="AK47" s="200"/>
      <c r="AL47" s="200"/>
      <c r="AM47" s="200"/>
      <c r="AN47" s="200"/>
      <c r="AO47" s="200"/>
      <c r="AP47" s="200"/>
      <c r="AQ47" s="200"/>
      <c r="AR47" s="200"/>
      <c r="AS47" s="201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199"/>
      <c r="AD48" s="200"/>
      <c r="AE48" s="200"/>
      <c r="AF48" s="200"/>
      <c r="AG48" s="200"/>
      <c r="AH48" s="200"/>
      <c r="AI48" s="200"/>
      <c r="AJ48" s="200"/>
      <c r="AK48" s="200"/>
      <c r="AL48" s="200"/>
      <c r="AM48" s="200"/>
      <c r="AN48" s="200"/>
      <c r="AO48" s="200"/>
      <c r="AP48" s="200"/>
      <c r="AQ48" s="200"/>
      <c r="AR48" s="200"/>
      <c r="AS48" s="201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02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4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SUBTOTAL(109,AHU1_TABLE_4A436[AREA (FT²)])</f>
        <v>88444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87">
        <f>SUBTOTAL(109,AHU1_TABLE_4A436[OSA CFM])</f>
        <v>29550</v>
      </c>
      <c r="Q79" s="123"/>
      <c r="R79" s="128">
        <f>SUBTOTAL(109,AHU1_TABLE_4A436[CALCULATED SA CFM])</f>
        <v>88450</v>
      </c>
      <c r="S79" s="188">
        <f>SUBTOTAL(109,AHU1_TABLE_4A436[DESIGN SA CFM])</f>
        <v>88450</v>
      </c>
      <c r="T79" s="188">
        <f>SUBTOTAL(109,AHU1_TABLE_4A436[RA CFM])</f>
        <v>69161</v>
      </c>
      <c r="U79" s="189">
        <f>SUBTOTAL(109,AHU1_TABLE_4A436[EA CFM])</f>
        <v>0</v>
      </c>
      <c r="V79" s="190">
        <f>SUBTOTAL(109,AHU1_TABLE_4A436[Transfer Air CFM])</f>
        <v>19289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9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328</v>
      </c>
      <c r="U81" s="66">
        <f>ROUNDUP(U79*INPUT_OUTPUTS!C15,-2)</f>
        <v>0</v>
      </c>
      <c r="V81" s="66">
        <f>ROUNDUP(V79*INPUT_OUTPUTS!C15,-2)</f>
        <v>23200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46.626506024096386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211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6B71A13E-4E9F-D34A-BD6E-B94C571FC030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zoomScale="35" zoomScaleNormal="69" zoomScaleSheetLayoutView="50" zoomScalePageLayoutView="80" workbookViewId="0">
      <selection activeCell="AO65" sqref="AO65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3" bestFit="1" customWidth="1"/>
    <col min="5" max="5" width="16" style="15" bestFit="1" customWidth="1"/>
    <col min="6" max="6" width="9.83203125" style="15" bestFit="1" customWidth="1"/>
    <col min="7" max="7" width="12.6640625" bestFit="1" customWidth="1"/>
    <col min="8" max="8" width="11.5" style="18" bestFit="1" customWidth="1"/>
    <col min="9" max="10" width="7.6640625" customWidth="1"/>
    <col min="11" max="11" width="11.83203125" style="1" customWidth="1"/>
    <col min="12" max="12" width="12.6640625" customWidth="1"/>
    <col min="13" max="13" width="11.5" hidden="1" customWidth="1"/>
    <col min="14" max="14" width="64.33203125" style="1" bestFit="1" customWidth="1"/>
    <col min="15" max="15" width="25.5" style="1" bestFit="1" customWidth="1"/>
    <col min="16" max="16" width="12.83203125" customWidth="1"/>
    <col min="17" max="17" width="13" bestFit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67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396</v>
      </c>
      <c r="AX1" s="74" t="s">
        <v>397</v>
      </c>
      <c r="AY1" s="74" t="s">
        <v>398</v>
      </c>
      <c r="BA1" s="74" t="s">
        <v>45</v>
      </c>
      <c r="BB1" s="74" t="s">
        <v>399</v>
      </c>
    </row>
    <row r="2" spans="1:54" ht="17" thickBot="1">
      <c r="AW2" s="66">
        <f>ROUNDUP(S79*INPUT_OUTPUTS!$C$15,-2)</f>
        <v>132000</v>
      </c>
      <c r="AX2" s="66">
        <f>ROUNDUP(T79*INPUT_OUTPUTS!$C$15,-2)</f>
        <v>132000</v>
      </c>
      <c r="AY2" s="65">
        <f>ROUNDUP((P79*INPUT_OUTPUTS!C15)+P80,-2)</f>
        <v>47300</v>
      </c>
      <c r="BA2" s="76">
        <f>AHU1_CAV_SCHEDULE44[[#Totals],[GPM]]</f>
        <v>19</v>
      </c>
      <c r="BB2" s="75">
        <f>AHU1_CAV_SCHEDULE44[[#Totals],[MIN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05" t="s">
        <v>297</v>
      </c>
      <c r="E4" s="206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7"/>
      <c r="W4" s="69"/>
      <c r="Y4"/>
      <c r="Z4"/>
      <c r="AA4"/>
    </row>
    <row r="5" spans="1:54" ht="30">
      <c r="B5" s="86"/>
      <c r="C5" s="86"/>
      <c r="D5" s="208" t="s">
        <v>88</v>
      </c>
      <c r="E5" s="209"/>
      <c r="F5" s="209"/>
      <c r="G5" s="210"/>
      <c r="H5" s="211" t="s">
        <v>89</v>
      </c>
      <c r="I5" s="211"/>
      <c r="J5" s="211"/>
      <c r="K5" s="211"/>
      <c r="L5" s="211"/>
      <c r="M5" s="211"/>
      <c r="N5" s="211"/>
      <c r="O5" s="211"/>
      <c r="P5" s="211"/>
      <c r="Q5" s="211"/>
      <c r="R5" s="211"/>
      <c r="S5" s="208" t="s">
        <v>87</v>
      </c>
      <c r="T5" s="209"/>
      <c r="U5" s="209"/>
      <c r="V5" s="210"/>
      <c r="W5" s="86"/>
      <c r="X5" s="212" t="s">
        <v>86</v>
      </c>
      <c r="Y5" s="213"/>
      <c r="Z5" s="214"/>
      <c r="AC5" s="215" t="s">
        <v>124</v>
      </c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5"/>
    </row>
    <row r="6" spans="1:54" s="79" customFormat="1" ht="53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320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315</v>
      </c>
      <c r="C7" s="115" t="s">
        <v>315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INPUT_OUTPUTS!$C$13</f>
        <v>140</v>
      </c>
      <c r="AJ7" s="132">
        <f>INPUT_OUTPUTS!$C$14</f>
        <v>100</v>
      </c>
      <c r="AK7" s="132">
        <v>55</v>
      </c>
      <c r="AL7" s="132">
        <v>85</v>
      </c>
      <c r="AM7" s="132">
        <f t="shared" ref="AM7:AM44" si="12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INPUT_OUTPUTS!$C$16</f>
        <v>C1/M-501</v>
      </c>
      <c r="AS7" s="132" t="s">
        <v>123</v>
      </c>
    </row>
    <row r="8" spans="1:54" ht="15" customHeight="1">
      <c r="B8" s="115" t="s">
        <v>315</v>
      </c>
      <c r="C8" s="115" t="s">
        <v>315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3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INPUT_OUTPUTS!$C$13</f>
        <v>140</v>
      </c>
      <c r="AJ8" s="132">
        <f>INPUT_OUTPUTS!$C$14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0</v>
      </c>
      <c r="AN8" s="133">
        <f>(AM8*1000)/(500*(AI8-AJ8))</f>
        <v>0</v>
      </c>
      <c r="AO8" s="133">
        <f t="shared" ref="AO8:AO44" si="15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INPUT_OUTPUTS!$C$16</f>
        <v>C1/M-501</v>
      </c>
      <c r="AS8" s="132" t="str">
        <f>AS7</f>
        <v>1, 2</v>
      </c>
    </row>
    <row r="9" spans="1:54" ht="15" customHeight="1">
      <c r="B9" s="115" t="s">
        <v>321</v>
      </c>
      <c r="C9" s="115" t="s">
        <v>315</v>
      </c>
      <c r="D9" s="115">
        <v>1234</v>
      </c>
      <c r="E9" s="115">
        <v>10000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6670</v>
      </c>
      <c r="L9" s="84">
        <f t="shared" si="13"/>
        <v>10000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3340</v>
      </c>
      <c r="Q9" s="81" t="str">
        <f>VLOOKUP($M9,'UMC Table 4-A'!$A$10:$E$139,5,FALSE)</f>
        <v>NR</v>
      </c>
      <c r="R9" s="82">
        <f t="shared" si="3"/>
        <v>10000</v>
      </c>
      <c r="S9" s="119">
        <f t="shared" si="4"/>
        <v>10000</v>
      </c>
      <c r="T9" s="119">
        <f t="shared" si="5"/>
        <v>10000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33.4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0</v>
      </c>
      <c r="AG9" s="132" t="str">
        <f>IFERROR((VLOOKUP(AF9,'DO NOT TOUCH'!$P$9:$Q$14,2,TRUE)),"TBD")</f>
        <v>TBD</v>
      </c>
      <c r="AH9" s="132">
        <f t="shared" ref="AH9:AH44" si="19">AH8</f>
        <v>0.5</v>
      </c>
      <c r="AI9" s="132">
        <f>INPUT_OUTPUTS!$C$13</f>
        <v>140</v>
      </c>
      <c r="AJ9" s="132">
        <f>INPUT_OUTPUTS!$C$14</f>
        <v>100</v>
      </c>
      <c r="AK9" s="132">
        <f t="shared" si="14"/>
        <v>55</v>
      </c>
      <c r="AL9" s="132">
        <f t="shared" si="14"/>
        <v>85</v>
      </c>
      <c r="AM9" s="132">
        <f t="shared" si="12"/>
        <v>0</v>
      </c>
      <c r="AN9" s="133">
        <f t="shared" ref="AN9:AN44" si="20">(AM9*1000)/(500*(AI9-AJ9))</f>
        <v>0</v>
      </c>
      <c r="AO9" s="133">
        <f t="shared" si="15"/>
        <v>0.5</v>
      </c>
      <c r="AP9" s="133">
        <f t="shared" ref="AP9:AP44" si="21">AP8</f>
        <v>5</v>
      </c>
      <c r="AQ9" s="133" t="str">
        <f>IFERROR((_xlfn.XLOOKUP(AG9,'DO NOT TOUCH'!$Q$9:$Q$14,'DO NOT TOUCH'!$R$9:$R$14,)),"TBD")</f>
        <v>TBD</v>
      </c>
      <c r="AR9" s="133" t="str">
        <f>INPUT_OUTPUTS!$C$16</f>
        <v>C1/M-501</v>
      </c>
      <c r="AS9" s="132" t="str">
        <f t="shared" ref="AS9:AS44" si="22">AS8</f>
        <v>1, 2</v>
      </c>
    </row>
    <row r="10" spans="1:54" ht="15" customHeight="1">
      <c r="B10" s="115" t="s">
        <v>322</v>
      </c>
      <c r="C10" s="115" t="s">
        <v>315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3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f t="shared" si="5"/>
        <v>10000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</v>
      </c>
      <c r="Y10" s="56">
        <f t="shared" si="17"/>
        <v>33.4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0</v>
      </c>
      <c r="AG10" s="132" t="str">
        <f>IFERROR((VLOOKUP(AF10,'DO NOT TOUCH'!$P$9:$Q$14,2,TRUE)),"TBD")</f>
        <v>TBD</v>
      </c>
      <c r="AH10" s="132">
        <f t="shared" si="19"/>
        <v>0.5</v>
      </c>
      <c r="AI10" s="132">
        <f>INPUT_OUTPUTS!$C$13</f>
        <v>140</v>
      </c>
      <c r="AJ10" s="132">
        <f>INPUT_OUTPUTS!$C$14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0</v>
      </c>
      <c r="AN10" s="133">
        <f t="shared" si="20"/>
        <v>0</v>
      </c>
      <c r="AO10" s="133">
        <f t="shared" si="15"/>
        <v>0.5</v>
      </c>
      <c r="AP10" s="133">
        <f t="shared" si="21"/>
        <v>5</v>
      </c>
      <c r="AQ10" s="133" t="str">
        <f>IFERROR((_xlfn.XLOOKUP(AG10,'DO NOT TOUCH'!$Q$9:$Q$14,'DO NOT TOUCH'!$R$9:$R$14,)),"TBD")</f>
        <v>TBD</v>
      </c>
      <c r="AR10" s="133" t="str">
        <f>INPUT_OUTPUTS!$C$16</f>
        <v>C1/M-501</v>
      </c>
      <c r="AS10" s="132" t="str">
        <f t="shared" si="22"/>
        <v>1, 2</v>
      </c>
    </row>
    <row r="11" spans="1:54" ht="15" customHeight="1">
      <c r="B11" s="115" t="s">
        <v>323</v>
      </c>
      <c r="C11" s="115" t="s">
        <v>315</v>
      </c>
      <c r="D11" s="115">
        <v>1234</v>
      </c>
      <c r="E11" s="115">
        <v>10000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6670</v>
      </c>
      <c r="L11" s="84">
        <f t="shared" si="13"/>
        <v>10000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3340</v>
      </c>
      <c r="Q11" s="81" t="str">
        <f>VLOOKUP($M11,'UMC Table 4-A'!$A$10:$E$139,5,FALSE)</f>
        <v>NR</v>
      </c>
      <c r="R11" s="82">
        <f t="shared" si="3"/>
        <v>10000</v>
      </c>
      <c r="S11" s="119">
        <f t="shared" si="4"/>
        <v>10000</v>
      </c>
      <c r="T11" s="119">
        <f t="shared" si="5"/>
        <v>10000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33.4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0</v>
      </c>
      <c r="AG11" s="132" t="str">
        <f>IFERROR((VLOOKUP(AF11,'DO NOT TOUCH'!$P$9:$Q$14,2,TRUE)),"TBD")</f>
        <v>TBD</v>
      </c>
      <c r="AH11" s="132">
        <f t="shared" si="19"/>
        <v>0.5</v>
      </c>
      <c r="AI11" s="132">
        <f>INPUT_OUTPUTS!$C$13</f>
        <v>140</v>
      </c>
      <c r="AJ11" s="132">
        <f>INPUT_OUTPUTS!$C$14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0</v>
      </c>
      <c r="AN11" s="133">
        <f t="shared" si="20"/>
        <v>0</v>
      </c>
      <c r="AO11" s="133">
        <f t="shared" si="15"/>
        <v>0.5</v>
      </c>
      <c r="AP11" s="133">
        <f t="shared" si="21"/>
        <v>5</v>
      </c>
      <c r="AQ11" s="133" t="str">
        <f>IFERROR((_xlfn.XLOOKUP(AG11,'DO NOT TOUCH'!$Q$9:$Q$14,'DO NOT TOUCH'!$R$9:$R$14,)),"TBD")</f>
        <v>TBD</v>
      </c>
      <c r="AR11" s="133" t="str">
        <f>INPUT_OUTPUTS!$C$16</f>
        <v>C1/M-501</v>
      </c>
      <c r="AS11" s="132" t="str">
        <f t="shared" si="22"/>
        <v>1, 2</v>
      </c>
    </row>
    <row r="12" spans="1:54" ht="15" customHeight="1">
      <c r="B12" s="115" t="s">
        <v>323</v>
      </c>
      <c r="C12" s="115" t="s">
        <v>315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3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33.4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0</v>
      </c>
      <c r="AG12" s="132" t="str">
        <f>IFERROR((VLOOKUP(AF12,'DO NOT TOUCH'!$P$9:$Q$14,2,TRUE)),"TBD")</f>
        <v>TBD</v>
      </c>
      <c r="AH12" s="132">
        <f t="shared" si="19"/>
        <v>0.5</v>
      </c>
      <c r="AI12" s="132">
        <f>INPUT_OUTPUTS!$C$13</f>
        <v>140</v>
      </c>
      <c r="AJ12" s="132">
        <f>INPUT_OUTPUTS!$C$14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0</v>
      </c>
      <c r="AN12" s="133">
        <f t="shared" si="20"/>
        <v>0</v>
      </c>
      <c r="AO12" s="133">
        <f t="shared" si="15"/>
        <v>0.5</v>
      </c>
      <c r="AP12" s="133">
        <f t="shared" si="21"/>
        <v>5</v>
      </c>
      <c r="AQ12" s="133" t="str">
        <f>IFERROR((_xlfn.XLOOKUP(AG12,'DO NOT TOUCH'!$Q$9:$Q$14,'DO NOT TOUCH'!$R$9:$R$14,)),"TBD")</f>
        <v>TBD</v>
      </c>
      <c r="AR12" s="133" t="str">
        <f>INPUT_OUTPUTS!$C$16</f>
        <v>C1/M-501</v>
      </c>
      <c r="AS12" s="132" t="str">
        <f t="shared" si="22"/>
        <v>1, 2</v>
      </c>
    </row>
    <row r="13" spans="1:54" ht="15" customHeight="1">
      <c r="B13" s="115" t="s">
        <v>324</v>
      </c>
      <c r="C13" s="115" t="s">
        <v>315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3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f t="shared" si="5"/>
        <v>10000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33.4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0</v>
      </c>
      <c r="AG13" s="132" t="str">
        <f>IFERROR((VLOOKUP(AF13,'DO NOT TOUCH'!$P$9:$Q$14,2,TRUE)),"TBD")</f>
        <v>TBD</v>
      </c>
      <c r="AH13" s="132">
        <f t="shared" si="19"/>
        <v>0.5</v>
      </c>
      <c r="AI13" s="132">
        <f>INPUT_OUTPUTS!$C$13</f>
        <v>140</v>
      </c>
      <c r="AJ13" s="132">
        <f>INPUT_OUTPUTS!$C$14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0</v>
      </c>
      <c r="AN13" s="133">
        <f t="shared" si="20"/>
        <v>0</v>
      </c>
      <c r="AO13" s="133">
        <f t="shared" si="15"/>
        <v>0.5</v>
      </c>
      <c r="AP13" s="133">
        <f t="shared" si="21"/>
        <v>5</v>
      </c>
      <c r="AQ13" s="133" t="str">
        <f>IFERROR((_xlfn.XLOOKUP(AG13,'DO NOT TOUCH'!$Q$9:$Q$14,'DO NOT TOUCH'!$R$9:$R$14,)),"TBD")</f>
        <v>TBD</v>
      </c>
      <c r="AR13" s="133" t="str">
        <f>INPUT_OUTPUTS!$C$16</f>
        <v>C1/M-501</v>
      </c>
      <c r="AS13" s="135" t="str">
        <f t="shared" si="22"/>
        <v>1, 2</v>
      </c>
    </row>
    <row r="14" spans="1:54" ht="15" customHeight="1">
      <c r="B14" s="115" t="s">
        <v>325</v>
      </c>
      <c r="C14" s="115" t="s">
        <v>315</v>
      </c>
      <c r="D14" s="115">
        <v>1234</v>
      </c>
      <c r="E14" s="115">
        <v>10000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3"/>
        <v>10000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f t="shared" si="5"/>
        <v>10000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33.4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0</v>
      </c>
      <c r="AG14" s="132" t="str">
        <f>IFERROR((VLOOKUP(AF14,'DO NOT TOUCH'!$P$9:$Q$14,2,TRUE)),"TBD")</f>
        <v>TBD</v>
      </c>
      <c r="AH14" s="132">
        <f t="shared" si="19"/>
        <v>0.5</v>
      </c>
      <c r="AI14" s="132">
        <f>INPUT_OUTPUTS!$C$13</f>
        <v>140</v>
      </c>
      <c r="AJ14" s="132">
        <f>INPUT_OUTPUTS!$C$14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0</v>
      </c>
      <c r="AN14" s="133">
        <f t="shared" si="20"/>
        <v>0</v>
      </c>
      <c r="AO14" s="133">
        <f t="shared" si="15"/>
        <v>0.5</v>
      </c>
      <c r="AP14" s="133">
        <f t="shared" si="21"/>
        <v>5</v>
      </c>
      <c r="AQ14" s="133" t="str">
        <f>IFERROR((_xlfn.XLOOKUP(AG14,'DO NOT TOUCH'!$Q$9:$Q$14,'DO NOT TOUCH'!$R$9:$R$14,)),"TBD")</f>
        <v>TBD</v>
      </c>
      <c r="AR14" s="133" t="str">
        <f>INPUT_OUTPUTS!$C$16</f>
        <v>C1/M-501</v>
      </c>
      <c r="AS14" s="135" t="str">
        <f t="shared" si="22"/>
        <v>1, 2</v>
      </c>
    </row>
    <row r="15" spans="1:54" ht="15" customHeight="1">
      <c r="B15" s="115" t="s">
        <v>325</v>
      </c>
      <c r="C15" s="115" t="s">
        <v>315</v>
      </c>
      <c r="D15" s="115">
        <v>1234</v>
      </c>
      <c r="E15" s="115">
        <v>10000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3"/>
        <v>10000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f t="shared" si="5"/>
        <v>10000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33.4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0</v>
      </c>
      <c r="AG15" s="132" t="str">
        <f>IFERROR((VLOOKUP(AF15,'DO NOT TOUCH'!$P$9:$Q$14,2,TRUE)),"TBD")</f>
        <v>TBD</v>
      </c>
      <c r="AH15" s="132">
        <f t="shared" si="19"/>
        <v>0.5</v>
      </c>
      <c r="AI15" s="132">
        <f>INPUT_OUTPUTS!$C$13</f>
        <v>140</v>
      </c>
      <c r="AJ15" s="132">
        <f>INPUT_OUTPUTS!$C$14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0</v>
      </c>
      <c r="AN15" s="133">
        <f t="shared" si="20"/>
        <v>0</v>
      </c>
      <c r="AO15" s="133">
        <f t="shared" si="15"/>
        <v>0.5</v>
      </c>
      <c r="AP15" s="133">
        <f t="shared" si="21"/>
        <v>5</v>
      </c>
      <c r="AQ15" s="133" t="str">
        <f>IFERROR((_xlfn.XLOOKUP(AG15,'DO NOT TOUCH'!$Q$9:$Q$14,'DO NOT TOUCH'!$R$9:$R$14,)),"TBD")</f>
        <v>TBD</v>
      </c>
      <c r="AR15" s="133" t="str">
        <f>INPUT_OUTPUTS!$C$16</f>
        <v>C1/M-501</v>
      </c>
      <c r="AS15" s="135" t="str">
        <f t="shared" si="22"/>
        <v>1, 2</v>
      </c>
    </row>
    <row r="16" spans="1:54" ht="15" customHeight="1">
      <c r="B16" s="115" t="s">
        <v>326</v>
      </c>
      <c r="C16" s="115" t="s">
        <v>315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3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33.4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0</v>
      </c>
      <c r="AG16" s="132" t="str">
        <f>IFERROR((VLOOKUP(AF16,'DO NOT TOUCH'!$P$9:$Q$14,2,TRUE)),"TBD")</f>
        <v>TBD</v>
      </c>
      <c r="AH16" s="132">
        <f t="shared" si="19"/>
        <v>0.5</v>
      </c>
      <c r="AI16" s="132">
        <f>INPUT_OUTPUTS!$C$13</f>
        <v>140</v>
      </c>
      <c r="AJ16" s="132">
        <f>INPUT_OUTPUTS!$C$14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0</v>
      </c>
      <c r="AN16" s="133">
        <f t="shared" si="20"/>
        <v>0</v>
      </c>
      <c r="AO16" s="133">
        <f t="shared" si="15"/>
        <v>0.5</v>
      </c>
      <c r="AP16" s="133">
        <f t="shared" si="21"/>
        <v>5</v>
      </c>
      <c r="AQ16" s="133" t="str">
        <f>IFERROR((_xlfn.XLOOKUP(AG16,'DO NOT TOUCH'!$Q$9:$Q$14,'DO NOT TOUCH'!$R$9:$R$14,)),"TBD")</f>
        <v>TBD</v>
      </c>
      <c r="AR16" s="133" t="str">
        <f>INPUT_OUTPUTS!$C$16</f>
        <v>C1/M-501</v>
      </c>
      <c r="AS16" s="135" t="str">
        <f t="shared" si="22"/>
        <v>1, 2</v>
      </c>
    </row>
    <row r="17" spans="2:45" ht="15" customHeight="1">
      <c r="B17" s="115" t="s">
        <v>327</v>
      </c>
      <c r="C17" s="115" t="s">
        <v>315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0</v>
      </c>
      <c r="AG17" s="132" t="str">
        <f>IFERROR((VLOOKUP(AF17,'DO NOT TOUCH'!$P$9:$Q$14,2,TRUE)),"TBD")</f>
        <v>TBD</v>
      </c>
      <c r="AH17" s="132">
        <f t="shared" si="19"/>
        <v>0.5</v>
      </c>
      <c r="AI17" s="132">
        <f>INPUT_OUTPUTS!$C$13</f>
        <v>140</v>
      </c>
      <c r="AJ17" s="132">
        <f>INPUT_OUTPUTS!$C$14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0</v>
      </c>
      <c r="AN17" s="133">
        <f t="shared" si="20"/>
        <v>0</v>
      </c>
      <c r="AO17" s="133">
        <f t="shared" si="15"/>
        <v>0.5</v>
      </c>
      <c r="AP17" s="133">
        <f t="shared" si="21"/>
        <v>5</v>
      </c>
      <c r="AQ17" s="133" t="str">
        <f>IFERROR((_xlfn.XLOOKUP(AG17,'DO NOT TOUCH'!$Q$9:$Q$14,'DO NOT TOUCH'!$R$9:$R$14,)),"TBD")</f>
        <v>TBD</v>
      </c>
      <c r="AR17" s="133" t="str">
        <f>INPUT_OUTPUTS!$C$16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INPUT_OUTPUTS!$C$13</f>
        <v>140</v>
      </c>
      <c r="AJ18" s="132">
        <f>INPUT_OUTPUTS!$C$14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INPUT_OUTPUTS!$C$16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INPUT_OUTPUTS!$C$13</f>
        <v>140</v>
      </c>
      <c r="AJ19" s="132">
        <f>INPUT_OUTPUTS!$C$14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INPUT_OUTPUTS!$C$16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INPUT_OUTPUTS!$C$13</f>
        <v>140</v>
      </c>
      <c r="AJ20" s="132">
        <f>INPUT_OUTPUTS!$C$14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INPUT_OUTPUTS!$C$16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INPUT_OUTPUTS!$C$13</f>
        <v>140</v>
      </c>
      <c r="AJ21" s="132">
        <f>INPUT_OUTPUTS!$C$14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INPUT_OUTPUTS!$C$16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INPUT_OUTPUTS!$C$13</f>
        <v>140</v>
      </c>
      <c r="AJ22" s="132">
        <f>INPUT_OUTPUTS!$C$14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INPUT_OUTPUTS!$C$16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INPUT_OUTPUTS!$C$13</f>
        <v>140</v>
      </c>
      <c r="AJ23" s="132">
        <f>INPUT_OUTPUTS!$C$14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INPUT_OUTPUTS!$C$16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INPUT_OUTPUTS!$C$13</f>
        <v>140</v>
      </c>
      <c r="AJ24" s="132">
        <f>INPUT_OUTPUTS!$C$14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INPUT_OUTPUTS!$C$16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INPUT_OUTPUTS!$C$13</f>
        <v>140</v>
      </c>
      <c r="AJ25" s="132">
        <f>INPUT_OUTPUTS!$C$14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INPUT_OUTPUTS!$C$16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INPUT_OUTPUTS!$C$13</f>
        <v>140</v>
      </c>
      <c r="AJ26" s="132">
        <f>INPUT_OUTPUTS!$C$14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INPUT_OUTPUTS!$C$16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INPUT_OUTPUTS!$C$13</f>
        <v>140</v>
      </c>
      <c r="AJ27" s="132">
        <f>INPUT_OUTPUTS!$C$14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INPUT_OUTPUTS!$C$16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INPUT_OUTPUTS!$C$13</f>
        <v>140</v>
      </c>
      <c r="AJ28" s="132">
        <f>INPUT_OUTPUTS!$C$14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INPUT_OUTPUTS!$C$16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INPUT_OUTPUTS!$C$13</f>
        <v>140</v>
      </c>
      <c r="AJ29" s="132">
        <f>INPUT_OUTPUTS!$C$14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INPUT_OUTPUTS!$C$16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INPUT_OUTPUTS!$C$13</f>
        <v>140</v>
      </c>
      <c r="AJ30" s="132">
        <f>INPUT_OUTPUTS!$C$14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INPUT_OUTPUTS!$C$16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INPUT_OUTPUTS!$C$13</f>
        <v>140</v>
      </c>
      <c r="AJ31" s="132">
        <f>INPUT_OUTPUTS!$C$14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INPUT_OUTPUTS!$C$16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INPUT_OUTPUTS!$C$13</f>
        <v>140</v>
      </c>
      <c r="AJ32" s="132">
        <f>INPUT_OUTPUTS!$C$14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INPUT_OUTPUTS!$C$16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INPUT_OUTPUTS!$C$13</f>
        <v>140</v>
      </c>
      <c r="AJ33" s="132">
        <f>INPUT_OUTPUTS!$C$14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INPUT_OUTPUTS!$C$16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INPUT_OUTPUTS!$C$13</f>
        <v>140</v>
      </c>
      <c r="AJ34" s="132">
        <f>INPUT_OUTPUTS!$C$14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INPUT_OUTPUTS!$C$16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INPUT_OUTPUTS!$C$13</f>
        <v>140</v>
      </c>
      <c r="AJ35" s="132">
        <f>INPUT_OUTPUTS!$C$14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INPUT_OUTPUTS!$C$16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INPUT_OUTPUTS!$C$13</f>
        <v>140</v>
      </c>
      <c r="AJ36" s="132">
        <f>INPUT_OUTPUTS!$C$14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INPUT_OUTPUTS!$C$16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INPUT_OUTPUTS!$C$13</f>
        <v>140</v>
      </c>
      <c r="AJ37" s="132">
        <f>INPUT_OUTPUTS!$C$14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INPUT_OUTPUTS!$C$16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INPUT_OUTPUTS!$C$13</f>
        <v>140</v>
      </c>
      <c r="AJ38" s="132">
        <f>INPUT_OUTPUTS!$C$14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INPUT_OUTPUTS!$C$16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INPUT_OUTPUTS!$C$13</f>
        <v>140</v>
      </c>
      <c r="AJ39" s="132">
        <f>INPUT_OUTPUTS!$C$14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INPUT_OUTPUTS!$C$16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INPUT_OUTPUTS!$C$13</f>
        <v>140</v>
      </c>
      <c r="AJ40" s="132">
        <f>INPUT_OUTPUTS!$C$14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INPUT_OUTPUTS!$C$16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INPUT_OUTPUTS!$C$13</f>
        <v>140</v>
      </c>
      <c r="AJ41" s="132">
        <f>INPUT_OUTPUTS!$C$14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INPUT_OUTPUTS!$C$16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INPUT_OUTPUTS!$C$13</f>
        <v>140</v>
      </c>
      <c r="AJ42" s="132">
        <f>INPUT_OUTPUTS!$C$14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INPUT_OUTPUTS!$C$16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INPUT_OUTPUTS!$C$13</f>
        <v>140</v>
      </c>
      <c r="AJ43" s="132">
        <f>INPUT_OUTPUTS!$C$14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INPUT_OUTPUTS!$C$16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INPUT_OUTPUTS!$C$13</f>
        <v>140</v>
      </c>
      <c r="AJ44" s="138">
        <f>INPUT_OUTPUTS!$C$14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INPUT_OUTPUTS!$C$16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317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SUBTOTAL(109,AHU1_CAV_SCHEDULE44[MIN MBH])</f>
        <v>0</v>
      </c>
      <c r="AN45" s="161"/>
      <c r="AO45" s="163">
        <f>SUBTOTAL(109,AHU1_CAV_SCHEDULE44[GPM])</f>
        <v>19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196" t="s">
        <v>126</v>
      </c>
      <c r="AD46" s="197"/>
      <c r="AE46" s="197"/>
      <c r="AF46" s="197"/>
      <c r="AG46" s="197"/>
      <c r="AH46" s="197"/>
      <c r="AI46" s="197"/>
      <c r="AJ46" s="197"/>
      <c r="AK46" s="197"/>
      <c r="AL46" s="197"/>
      <c r="AM46" s="197"/>
      <c r="AN46" s="197"/>
      <c r="AO46" s="197"/>
      <c r="AP46" s="197"/>
      <c r="AQ46" s="197"/>
      <c r="AR46" s="197"/>
      <c r="AS46" s="198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199"/>
      <c r="AD47" s="200"/>
      <c r="AE47" s="200"/>
      <c r="AF47" s="200"/>
      <c r="AG47" s="200"/>
      <c r="AH47" s="200"/>
      <c r="AI47" s="200"/>
      <c r="AJ47" s="200"/>
      <c r="AK47" s="200"/>
      <c r="AL47" s="200"/>
      <c r="AM47" s="200"/>
      <c r="AN47" s="200"/>
      <c r="AO47" s="200"/>
      <c r="AP47" s="200"/>
      <c r="AQ47" s="200"/>
      <c r="AR47" s="200"/>
      <c r="AS47" s="201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199"/>
      <c r="AD48" s="200"/>
      <c r="AE48" s="200"/>
      <c r="AF48" s="200"/>
      <c r="AG48" s="200"/>
      <c r="AH48" s="200"/>
      <c r="AI48" s="200"/>
      <c r="AJ48" s="200"/>
      <c r="AK48" s="200"/>
      <c r="AL48" s="200"/>
      <c r="AM48" s="200"/>
      <c r="AN48" s="200"/>
      <c r="AO48" s="200"/>
      <c r="AP48" s="200"/>
      <c r="AQ48" s="200"/>
      <c r="AR48" s="200"/>
      <c r="AS48" s="201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02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4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SUBTOTAL(109,AHU1_TABLE_4A43[AREA (FT²)])</f>
        <v>110000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87">
        <f>SUBTOTAL(109,AHU1_TABLE_4A43[OSA CFM])</f>
        <v>36740</v>
      </c>
      <c r="Q79" s="123"/>
      <c r="R79" s="128">
        <f>SUBTOTAL(109,AHU1_TABLE_4A43[CALCULATED SA CFM])</f>
        <v>110000</v>
      </c>
      <c r="S79" s="188">
        <f>SUBTOTAL(109,AHU1_TABLE_4A43[DESIGN SA CFM])</f>
        <v>110000</v>
      </c>
      <c r="T79" s="188">
        <f>SUBTOTAL(109,AHU1_TABLE_4A43[RA CFM])</f>
        <v>110000</v>
      </c>
      <c r="U79" s="189">
        <f>SUBTOTAL(109,AHU1_TABLE_4A43[EA CFM])</f>
        <v>0</v>
      </c>
      <c r="V79" s="190">
        <f>SUBTOTAL(109,AHU1_TABLE_4A43[Transfer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9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328</v>
      </c>
      <c r="U81" s="66">
        <f>ROUNDUP(U79*INPUT_OUTPUTS!C15,-2)</f>
        <v>0</v>
      </c>
      <c r="V81" s="66">
        <f>ROUNDUP(V79*INPUT_OUTPUTS!C15,-2)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35.833333333333336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210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3315F8CC-E640-E44F-8FD0-662DFDADC281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pageSetUpPr fitToPage="1"/>
  </sheetPr>
  <dimension ref="A2:BF39"/>
  <sheetViews>
    <sheetView zoomScale="131"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5" sqref="A5"/>
    </sheetView>
  </sheetViews>
  <sheetFormatPr baseColWidth="10" defaultColWidth="8.83203125" defaultRowHeight="13" outlineLevelCol="2"/>
  <cols>
    <col min="1" max="1" width="14.83203125" bestFit="1" customWidth="1"/>
    <col min="2" max="2" width="13.1640625" bestFit="1" customWidth="1"/>
    <col min="3" max="3" width="11.5" hidden="1" customWidth="1"/>
    <col min="4" max="4" width="11.83203125" bestFit="1" customWidth="1"/>
    <col min="5" max="5" width="15.6640625" hidden="1" customWidth="1"/>
    <col min="6" max="6" width="15.6640625" bestFit="1" customWidth="1"/>
    <col min="7" max="7" width="9.33203125" customWidth="1"/>
    <col min="8" max="8" width="9.1640625" customWidth="1"/>
    <col min="9" max="9" width="9.1640625" hidden="1" customWidth="1"/>
    <col min="10" max="10" width="10" hidden="1" customWidth="1"/>
    <col min="11" max="14" width="9.1640625" hidden="1" customWidth="1"/>
    <col min="15" max="15" width="9.6640625" hidden="1" customWidth="1"/>
    <col min="16" max="16" width="9.33203125" customWidth="1"/>
    <col min="17" max="17" width="9.6640625" customWidth="1"/>
    <col min="18" max="18" width="9.1640625" customWidth="1"/>
    <col min="19" max="19" width="9.33203125" customWidth="1"/>
    <col min="20" max="20" width="9.6640625" customWidth="1"/>
    <col min="21" max="21" width="9.1640625" customWidth="1"/>
    <col min="22" max="23" width="10" customWidth="1"/>
    <col min="24" max="24" width="9.5" customWidth="1"/>
    <col min="25" max="26" width="9.5" hidden="1" customWidth="1"/>
    <col min="27" max="27" width="10" bestFit="1" customWidth="1"/>
    <col min="28" max="28" width="9.33203125" customWidth="1"/>
    <col min="29" max="29" width="9.6640625" customWidth="1"/>
    <col min="30" max="30" width="9.1640625" customWidth="1"/>
    <col min="31" max="31" width="9.33203125" customWidth="1"/>
    <col min="32" max="32" width="9.6640625" customWidth="1"/>
    <col min="33" max="33" width="9.1640625" customWidth="1"/>
    <col min="34" max="36" width="9.1640625" hidden="1" customWidth="1"/>
    <col min="37" max="37" width="10" customWidth="1"/>
    <col min="38" max="38" width="14.6640625" customWidth="1"/>
    <col min="39" max="39" width="9.33203125" customWidth="1"/>
    <col min="40" max="41" width="9.5" hidden="1" customWidth="1"/>
    <col min="42" max="42" width="12" bestFit="1" customWidth="1"/>
    <col min="43" max="43" width="13.6640625" bestFit="1" customWidth="1"/>
    <col min="44" max="44" width="9.1640625" customWidth="1"/>
    <col min="45" max="45" width="14.1640625" customWidth="1"/>
    <col min="46" max="46" width="9.1640625" hidden="1" customWidth="1" outlineLevel="1"/>
    <col min="47" max="47" width="9.33203125" hidden="1" customWidth="1" outlineLevel="1"/>
    <col min="48" max="48" width="26" hidden="1" customWidth="1" outlineLevel="1"/>
    <col min="49" max="49" width="17" hidden="1" customWidth="1" outlineLevel="1"/>
    <col min="50" max="51" width="9.5" hidden="1" customWidth="1" outlineLevel="1"/>
    <col min="52" max="52" width="8.33203125" hidden="1" customWidth="1" outlineLevel="1" collapsed="1"/>
    <col min="53" max="53" width="9.6640625" customWidth="1" outlineLevel="2"/>
    <col min="54" max="54" width="10.1640625" customWidth="1" outlineLevel="2" collapsed="1"/>
    <col min="55" max="55" width="9.33203125" customWidth="1"/>
    <col min="56" max="57" width="22.5" customWidth="1"/>
    <col min="58" max="58" width="10.6640625" bestFit="1" customWidth="1"/>
  </cols>
  <sheetData>
    <row r="2" spans="1:58">
      <c r="B2" s="192"/>
      <c r="D2" s="192"/>
    </row>
    <row r="8" spans="1:58" s="174" customFormat="1" ht="13" customHeight="1">
      <c r="A8" s="222"/>
      <c r="B8" s="223" t="s">
        <v>50</v>
      </c>
      <c r="C8" s="223"/>
      <c r="D8" s="223"/>
      <c r="E8" s="223"/>
      <c r="F8" s="223"/>
      <c r="G8" s="223"/>
      <c r="H8" s="223"/>
      <c r="I8" s="223"/>
      <c r="J8" s="223"/>
      <c r="K8" s="223"/>
      <c r="L8" s="223"/>
      <c r="M8" s="223"/>
      <c r="N8" s="223"/>
      <c r="O8" s="223"/>
      <c r="P8" s="223" t="s">
        <v>51</v>
      </c>
      <c r="Q8" s="223"/>
      <c r="R8" s="223"/>
      <c r="S8" s="223"/>
      <c r="T8" s="223"/>
      <c r="U8" s="223"/>
      <c r="V8" s="223"/>
      <c r="W8" s="223"/>
      <c r="X8" s="223"/>
      <c r="Y8" s="223"/>
      <c r="Z8" s="223"/>
      <c r="AA8" s="223"/>
      <c r="AB8" s="223" t="s">
        <v>52</v>
      </c>
      <c r="AC8" s="223"/>
      <c r="AD8" s="223"/>
      <c r="AE8" s="223"/>
      <c r="AF8" s="223"/>
      <c r="AG8" s="223"/>
      <c r="AH8" s="223"/>
      <c r="AI8" s="223"/>
      <c r="AJ8" s="223"/>
      <c r="AK8" s="223"/>
      <c r="AL8" s="223"/>
      <c r="AM8" s="223"/>
      <c r="AN8" s="223"/>
      <c r="AO8" s="223"/>
      <c r="AP8" s="223"/>
      <c r="AQ8" s="223" t="s">
        <v>53</v>
      </c>
      <c r="AR8" s="223"/>
      <c r="AS8" s="223"/>
      <c r="AT8" s="223" t="s">
        <v>107</v>
      </c>
      <c r="AU8" s="223"/>
      <c r="AV8" s="223"/>
      <c r="AW8" s="223"/>
      <c r="AX8" s="223"/>
      <c r="AY8" s="223"/>
      <c r="AZ8" s="223"/>
      <c r="BA8" s="223" t="s">
        <v>91</v>
      </c>
      <c r="BB8" s="223"/>
      <c r="BC8" s="223" t="s">
        <v>55</v>
      </c>
      <c r="BD8" s="223"/>
      <c r="BE8" s="223"/>
      <c r="BF8" s="223"/>
    </row>
    <row r="9" spans="1:58" s="74" customFormat="1" ht="32.25" customHeight="1">
      <c r="A9" s="222"/>
      <c r="B9" s="221" t="s">
        <v>19</v>
      </c>
      <c r="C9" s="221"/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221"/>
      <c r="O9" s="222" t="s">
        <v>56</v>
      </c>
      <c r="P9" s="221" t="s">
        <v>57</v>
      </c>
      <c r="Q9" s="221"/>
      <c r="R9" s="221"/>
      <c r="S9" s="221"/>
      <c r="T9" s="221"/>
      <c r="U9" s="221"/>
      <c r="V9" s="224" t="s">
        <v>59</v>
      </c>
      <c r="W9" s="224"/>
      <c r="X9" s="225" t="s">
        <v>392</v>
      </c>
      <c r="Y9" s="222" t="s">
        <v>391</v>
      </c>
      <c r="Z9" s="222"/>
      <c r="AA9" s="222"/>
      <c r="AB9" s="221" t="s">
        <v>57</v>
      </c>
      <c r="AC9" s="221"/>
      <c r="AD9" s="221"/>
      <c r="AE9" s="221"/>
      <c r="AF9" s="221"/>
      <c r="AG9" s="221"/>
      <c r="AH9" s="221" t="s">
        <v>58</v>
      </c>
      <c r="AI9" s="221"/>
      <c r="AJ9" s="221"/>
      <c r="AK9" s="224" t="s">
        <v>60</v>
      </c>
      <c r="AL9" s="224"/>
      <c r="AM9" s="225" t="s">
        <v>392</v>
      </c>
      <c r="AN9" s="222" t="s">
        <v>255</v>
      </c>
      <c r="AO9" s="222"/>
      <c r="AP9" s="222"/>
      <c r="AQ9" s="225" t="s">
        <v>393</v>
      </c>
      <c r="AR9" s="221" t="s">
        <v>33</v>
      </c>
      <c r="AS9" s="221" t="s">
        <v>375</v>
      </c>
      <c r="AT9" s="94"/>
      <c r="AU9" s="221" t="s">
        <v>36</v>
      </c>
      <c r="AV9" s="221"/>
      <c r="AW9" s="94" t="s">
        <v>20</v>
      </c>
      <c r="AX9" s="222" t="s">
        <v>258</v>
      </c>
      <c r="AY9" s="222"/>
      <c r="AZ9" s="222"/>
      <c r="BA9" s="224" t="s">
        <v>94</v>
      </c>
      <c r="BB9" s="221" t="s">
        <v>93</v>
      </c>
      <c r="BC9" s="94"/>
      <c r="BD9" s="94"/>
      <c r="BE9" s="94"/>
      <c r="BF9" s="52"/>
    </row>
    <row r="10" spans="1:58" s="74" customFormat="1" ht="28">
      <c r="A10" s="222"/>
      <c r="B10" s="108" t="s">
        <v>21</v>
      </c>
      <c r="C10" s="108"/>
      <c r="D10" s="222" t="s">
        <v>61</v>
      </c>
      <c r="E10" s="222"/>
      <c r="F10" s="222"/>
      <c r="G10" s="222"/>
      <c r="H10" s="222" t="s">
        <v>390</v>
      </c>
      <c r="I10" s="222"/>
      <c r="J10" s="222"/>
      <c r="K10" s="222" t="s">
        <v>62</v>
      </c>
      <c r="L10" s="222"/>
      <c r="M10" s="222"/>
      <c r="N10" s="108" t="s">
        <v>63</v>
      </c>
      <c r="O10" s="222"/>
      <c r="P10" s="222" t="s">
        <v>22</v>
      </c>
      <c r="Q10" s="222"/>
      <c r="R10" s="222"/>
      <c r="S10" s="222" t="s">
        <v>23</v>
      </c>
      <c r="T10" s="222"/>
      <c r="U10" s="222"/>
      <c r="V10" s="108" t="s">
        <v>24</v>
      </c>
      <c r="W10" s="108" t="s">
        <v>25</v>
      </c>
      <c r="X10" s="225"/>
      <c r="Y10" s="222"/>
      <c r="Z10" s="222"/>
      <c r="AA10" s="222"/>
      <c r="AB10" s="222" t="s">
        <v>22</v>
      </c>
      <c r="AC10" s="222"/>
      <c r="AD10" s="222"/>
      <c r="AE10" s="222" t="s">
        <v>23</v>
      </c>
      <c r="AF10" s="222"/>
      <c r="AG10" s="222"/>
      <c r="AH10" s="108" t="s">
        <v>24</v>
      </c>
      <c r="AI10" s="108" t="s">
        <v>64</v>
      </c>
      <c r="AJ10" s="108" t="s">
        <v>25</v>
      </c>
      <c r="AK10" s="108" t="s">
        <v>24</v>
      </c>
      <c r="AL10" s="108" t="s">
        <v>25</v>
      </c>
      <c r="AM10" s="225"/>
      <c r="AN10" s="55" t="s">
        <v>46</v>
      </c>
      <c r="AO10" s="55" t="s">
        <v>256</v>
      </c>
      <c r="AP10" s="108" t="s">
        <v>257</v>
      </c>
      <c r="AQ10" s="225"/>
      <c r="AR10" s="221"/>
      <c r="AS10" s="221"/>
      <c r="AT10" s="108" t="s">
        <v>21</v>
      </c>
      <c r="AU10" s="108" t="s">
        <v>22</v>
      </c>
      <c r="AV10" s="108" t="s">
        <v>23</v>
      </c>
      <c r="AW10" s="108" t="s">
        <v>24</v>
      </c>
      <c r="AX10" s="55" t="s">
        <v>46</v>
      </c>
      <c r="AY10" s="55" t="s">
        <v>256</v>
      </c>
      <c r="AZ10" s="108" t="s">
        <v>257</v>
      </c>
      <c r="BA10" s="224"/>
      <c r="BB10" s="221"/>
      <c r="BC10" s="108" t="s">
        <v>22</v>
      </c>
      <c r="BD10" s="108" t="s">
        <v>23</v>
      </c>
      <c r="BE10" s="108" t="s">
        <v>387</v>
      </c>
      <c r="BF10" s="108" t="s">
        <v>24</v>
      </c>
    </row>
    <row r="11" spans="1:58" s="69" customFormat="1" ht="15">
      <c r="A11" s="175" t="s">
        <v>329</v>
      </c>
      <c r="B11" s="176" t="s">
        <v>26</v>
      </c>
      <c r="C11" s="176" t="s">
        <v>104</v>
      </c>
      <c r="D11" s="176" t="s">
        <v>330</v>
      </c>
      <c r="E11" s="176" t="s">
        <v>105</v>
      </c>
      <c r="F11" s="177" t="s">
        <v>27</v>
      </c>
      <c r="G11" s="177" t="s">
        <v>28</v>
      </c>
      <c r="H11" s="176" t="s">
        <v>331</v>
      </c>
      <c r="I11" s="178" t="s">
        <v>332</v>
      </c>
      <c r="J11" s="178" t="s">
        <v>333</v>
      </c>
      <c r="K11" s="176" t="s">
        <v>334</v>
      </c>
      <c r="L11" s="178" t="s">
        <v>335</v>
      </c>
      <c r="M11" s="178" t="s">
        <v>336</v>
      </c>
      <c r="N11" s="178" t="s">
        <v>337</v>
      </c>
      <c r="O11" s="176" t="s">
        <v>338</v>
      </c>
      <c r="P11" s="178" t="s">
        <v>339</v>
      </c>
      <c r="Q11" s="178" t="s">
        <v>340</v>
      </c>
      <c r="R11" s="178" t="s">
        <v>29</v>
      </c>
      <c r="S11" s="177" t="s">
        <v>341</v>
      </c>
      <c r="T11" s="177" t="s">
        <v>342</v>
      </c>
      <c r="U11" s="178" t="s">
        <v>343</v>
      </c>
      <c r="V11" s="176" t="s">
        <v>30</v>
      </c>
      <c r="W11" s="176" t="s">
        <v>344</v>
      </c>
      <c r="X11" s="179" t="s">
        <v>31</v>
      </c>
      <c r="Y11" s="179" t="s">
        <v>345</v>
      </c>
      <c r="Z11" s="179" t="s">
        <v>346</v>
      </c>
      <c r="AA11" s="179" t="s">
        <v>45</v>
      </c>
      <c r="AB11" s="178" t="s">
        <v>347</v>
      </c>
      <c r="AC11" s="178" t="s">
        <v>348</v>
      </c>
      <c r="AD11" s="178" t="s">
        <v>349</v>
      </c>
      <c r="AE11" s="178" t="s">
        <v>350</v>
      </c>
      <c r="AF11" s="178" t="s">
        <v>351</v>
      </c>
      <c r="AG11" s="178" t="s">
        <v>352</v>
      </c>
      <c r="AH11" s="176" t="s">
        <v>353</v>
      </c>
      <c r="AI11" s="176" t="s">
        <v>354</v>
      </c>
      <c r="AJ11" s="176" t="s">
        <v>355</v>
      </c>
      <c r="AK11" s="176" t="s">
        <v>356</v>
      </c>
      <c r="AL11" s="176" t="s">
        <v>357</v>
      </c>
      <c r="AM11" s="176" t="s">
        <v>358</v>
      </c>
      <c r="AN11" s="179" t="s">
        <v>359</v>
      </c>
      <c r="AO11" s="179" t="s">
        <v>360</v>
      </c>
      <c r="AP11" s="179" t="s">
        <v>361</v>
      </c>
      <c r="AQ11" s="176" t="s">
        <v>362</v>
      </c>
      <c r="AR11" s="180" t="s">
        <v>363</v>
      </c>
      <c r="AS11" s="180" t="s">
        <v>374</v>
      </c>
      <c r="AT11" s="176" t="s">
        <v>364</v>
      </c>
      <c r="AU11" s="178" t="s">
        <v>365</v>
      </c>
      <c r="AV11" s="178" t="s">
        <v>366</v>
      </c>
      <c r="AW11" s="176" t="s">
        <v>65</v>
      </c>
      <c r="AX11" s="179" t="s">
        <v>367</v>
      </c>
      <c r="AY11" s="179" t="s">
        <v>368</v>
      </c>
      <c r="AZ11" s="179" t="s">
        <v>369</v>
      </c>
      <c r="BA11" s="176" t="s">
        <v>92</v>
      </c>
      <c r="BB11" s="176" t="s">
        <v>370</v>
      </c>
      <c r="BC11" s="178" t="s">
        <v>371</v>
      </c>
      <c r="BD11" s="178" t="s">
        <v>372</v>
      </c>
      <c r="BE11" s="178" t="s">
        <v>386</v>
      </c>
      <c r="BF11" s="176" t="s">
        <v>373</v>
      </c>
    </row>
    <row r="12" spans="1:58" s="74" customFormat="1" ht="15">
      <c r="A12" s="54" t="s">
        <v>394</v>
      </c>
      <c r="B12" s="109">
        <f>'AHU 1'!AX2</f>
        <v>114100</v>
      </c>
      <c r="C12" s="110"/>
      <c r="D12" s="109">
        <f>'AHU 1'!AX2</f>
        <v>114100</v>
      </c>
      <c r="E12" s="52"/>
      <c r="F12" s="156">
        <v>72</v>
      </c>
      <c r="G12" s="156">
        <v>60</v>
      </c>
      <c r="H12" s="109">
        <f>'AHU 1'!AY2</f>
        <v>41300</v>
      </c>
      <c r="I12" s="52">
        <f>INPUT_OUTPUTS!$C$5</f>
        <v>93.1</v>
      </c>
      <c r="J12" s="52">
        <f>INPUT_OUTPUTS!$C$6</f>
        <v>71</v>
      </c>
      <c r="K12" s="109">
        <f>Table7[[#This Row],[(CFM)3]]</f>
        <v>41300</v>
      </c>
      <c r="L12" s="52">
        <f>INPUT_OUTPUTS!$C$7</f>
        <v>80.400000000000006</v>
      </c>
      <c r="M12" s="52">
        <f>INPUT_OUTPUTS!$C$8</f>
        <v>68.900000000000006</v>
      </c>
      <c r="N12" s="52">
        <f>INPUT_OUTPUTS!$F$5</f>
        <v>38.9</v>
      </c>
      <c r="O12" s="109">
        <f>D12+H12-B12</f>
        <v>41300</v>
      </c>
      <c r="P12" s="52">
        <f>F12*((D12-O12)/B12) + I12*(H12/B12)</f>
        <v>79.637423312883442</v>
      </c>
      <c r="Q12" s="52">
        <f>TRUNC(G12*((D12-O12)/B12) + J12*(H12/B12),1)</f>
        <v>63.9</v>
      </c>
      <c r="R12" s="107">
        <f>VLOOKUP(FLOOR(Q12,1),'DO NOT TOUCH'!$A$7:$K$57,MATCH(ROUND((Q12-FLOOR(Q12,1)),1),'DO NOT TOUCH'!$A$6:$K$6,0),FALSE)</f>
        <v>29.24</v>
      </c>
      <c r="S12" s="177">
        <v>53</v>
      </c>
      <c r="T12" s="177">
        <v>50.5</v>
      </c>
      <c r="U12" s="52">
        <f>VLOOKUP(FLOOR(T12,1),'DO NOT TOUCH'!$A$7:$K$57,MATCH(ROUND((T12-FLOOR(T12,1)),1),'DO NOT TOUCH'!$A$6:$K$6,0),FALSE)</f>
        <v>20.58</v>
      </c>
      <c r="V12" s="55">
        <f>B12*1.085*(P12-S12)</f>
        <v>3297673.0500000007</v>
      </c>
      <c r="W12" s="55">
        <f>4.5*B12*(R12-U12)</f>
        <v>4446477</v>
      </c>
      <c r="X12" s="55">
        <f>W12/12000</f>
        <v>370.53975000000003</v>
      </c>
      <c r="Y12" s="55">
        <f>INPUT_OUTPUTS!$C$11</f>
        <v>42</v>
      </c>
      <c r="Z12" s="55">
        <f>INPUT_OUTPUTS!$C$12</f>
        <v>56</v>
      </c>
      <c r="AA12" s="157">
        <f t="shared" ref="AA12" si="0">W12/(500*(Z12-Y12))</f>
        <v>635.21100000000001</v>
      </c>
      <c r="AB12" s="52">
        <f>F12*((D12-O12)/B12) + L12*(H12/B12)</f>
        <v>75.040490797546013</v>
      </c>
      <c r="AC12" s="52">
        <f>G12*((D12-O12)/B12) + M12*(H12/B12)</f>
        <v>63.221472392638034</v>
      </c>
      <c r="AD12" s="52">
        <f>VLOOKUP(FLOOR(AC12,1),'DO NOT TOUCH'!$A$7:$K$57,MATCH(ROUND((AC12-FLOOR(AC12,1)),1),'DO NOT TOUCH'!$A$6:$K$6,0),FALSE)</f>
        <v>28.72</v>
      </c>
      <c r="AE12" s="52">
        <f>Table7[[#This Row],[(˚F db)13]]</f>
        <v>53</v>
      </c>
      <c r="AF12" s="52">
        <f>Table7[[#This Row],[(˚F wb)14]]</f>
        <v>50.5</v>
      </c>
      <c r="AG12" s="52">
        <f>VLOOKUP(FLOOR(AF12,1),'DO NOT TOUCH'!$A$7:$K$57,MATCH(ROUND((AF12-FLOOR(AF12,1)),1),'DO NOT TOUCH'!$A$6:$K$6,0),FALSE)</f>
        <v>20.58</v>
      </c>
      <c r="AH12" s="53">
        <v>0</v>
      </c>
      <c r="AI12" s="53">
        <v>0</v>
      </c>
      <c r="AJ12" s="54">
        <f>AI12+AH12</f>
        <v>0</v>
      </c>
      <c r="AK12" s="55">
        <f>B12*1.085*(AB12-AE12)</f>
        <v>2728579.7</v>
      </c>
      <c r="AL12" s="55">
        <f>4.5*B12*(AD12-AG12)</f>
        <v>4179483.0000000005</v>
      </c>
      <c r="AM12" s="52">
        <f>AL12/12000</f>
        <v>348.29025000000001</v>
      </c>
      <c r="AN12" s="55">
        <f>INPUT_OUTPUTS!$C$11</f>
        <v>42</v>
      </c>
      <c r="AO12" s="55">
        <f>INPUT_OUTPUTS!$C$12</f>
        <v>56</v>
      </c>
      <c r="AP12" s="157">
        <f>AL12/(500*(AO12-AN12))</f>
        <v>597.06900000000007</v>
      </c>
      <c r="AQ12" s="52">
        <f>MAX(AM12,X12)</f>
        <v>370.53975000000003</v>
      </c>
      <c r="AR12" s="158">
        <f>B12/AM12</f>
        <v>327.6003276003276</v>
      </c>
      <c r="AS12" s="158">
        <f>MAX(Table7[[#This Row],[GPM33]],Table7[[#This Row],[GPM]])</f>
        <v>635.21100000000001</v>
      </c>
      <c r="AT12" s="109">
        <f>B12</f>
        <v>114100</v>
      </c>
      <c r="AU12" s="52">
        <f>F12*((D12-O12)/B12) + N12*(H12/B12)</f>
        <v>60.019018404907975</v>
      </c>
      <c r="AV12" s="52">
        <v>65</v>
      </c>
      <c r="AW12" s="55">
        <f>AT12*1.085*(AV12-AU12)/1000</f>
        <v>616.63805000000002</v>
      </c>
      <c r="AX12" s="55">
        <f>INPUT_OUTPUTS!$C$13</f>
        <v>140</v>
      </c>
      <c r="AY12" s="55">
        <f>INPUT_OUTPUTS!$C$14</f>
        <v>100</v>
      </c>
      <c r="AZ12" s="157">
        <f>(AW12*1000)/(500*(AX12-AY12))</f>
        <v>30.831902500000002</v>
      </c>
      <c r="BA12" s="111"/>
      <c r="BB12" s="55">
        <f>BA12*(K12/1000)</f>
        <v>0</v>
      </c>
      <c r="BC12" s="177">
        <v>55</v>
      </c>
      <c r="BD12" s="52" t="s">
        <v>296</v>
      </c>
      <c r="BE12" s="52">
        <f>'AHU 1'!BA2</f>
        <v>19</v>
      </c>
      <c r="BF12" s="52">
        <f>'AHU 1'!BB2</f>
        <v>0</v>
      </c>
    </row>
    <row r="13" spans="1:58" ht="15">
      <c r="A13" s="193" t="s">
        <v>395</v>
      </c>
      <c r="B13" s="109">
        <f>'AHU 2'!$AW$2</f>
        <v>120100</v>
      </c>
      <c r="C13" s="110"/>
      <c r="D13" s="109">
        <f>'AHU 2'!$AX$2</f>
        <v>120100</v>
      </c>
      <c r="E13" s="52"/>
      <c r="F13" s="156">
        <v>72</v>
      </c>
      <c r="G13" s="156">
        <v>60</v>
      </c>
      <c r="H13" s="109">
        <f>'AHU 2'!$AY$2</f>
        <v>43400</v>
      </c>
      <c r="I13" s="52">
        <f>INPUT_OUTPUTS!$C$5</f>
        <v>93.1</v>
      </c>
      <c r="J13" s="52">
        <f>INPUT_OUTPUTS!$C$6</f>
        <v>71</v>
      </c>
      <c r="K13" s="109">
        <f>Table7[[#This Row],[(CFM)3]]</f>
        <v>43400</v>
      </c>
      <c r="L13" s="52">
        <f>INPUT_OUTPUTS!$C$7</f>
        <v>80.400000000000006</v>
      </c>
      <c r="M13" s="52">
        <f>INPUT_OUTPUTS!$C$8</f>
        <v>68.900000000000006</v>
      </c>
      <c r="N13" s="52">
        <f>INPUT_OUTPUTS!$F$5</f>
        <v>38.9</v>
      </c>
      <c r="O13" s="109">
        <f>D13+H13-B13</f>
        <v>43400</v>
      </c>
      <c r="P13" s="52">
        <f>F13*((D13-O13)/B13) + I13*(H13/B13)</f>
        <v>79.6248126561199</v>
      </c>
      <c r="Q13" s="52">
        <f>TRUNC(G13*((D13-O13)/B13) + J13*(H13/B13),1)</f>
        <v>63.9</v>
      </c>
      <c r="R13" s="107">
        <f>VLOOKUP(FLOOR(Q13,1),'DO NOT TOUCH'!$A$7:$K$57,MATCH(ROUND((Q13-FLOOR(Q13,1)),1),'DO NOT TOUCH'!$A$6:$K$6,0),FALSE)</f>
        <v>29.24</v>
      </c>
      <c r="S13" s="194">
        <v>53</v>
      </c>
      <c r="T13" s="194">
        <v>50.5</v>
      </c>
      <c r="U13" s="52">
        <f>VLOOKUP(FLOOR(T13,1),'DO NOT TOUCH'!$A$7:$K$57,MATCH(ROUND((T13-FLOOR(T13,1)),1),'DO NOT TOUCH'!$A$6:$K$6,0),FALSE)</f>
        <v>20.58</v>
      </c>
      <c r="V13" s="55">
        <f>B13*1.085*(P13-S13)</f>
        <v>3469439.4</v>
      </c>
      <c r="W13" s="55">
        <f>4.5*B13*(R13-U13)</f>
        <v>4680297</v>
      </c>
      <c r="X13" s="55">
        <f>W13/12000</f>
        <v>390.02474999999998</v>
      </c>
      <c r="Y13" s="55">
        <f>INPUT_OUTPUTS!$C$11</f>
        <v>42</v>
      </c>
      <c r="Z13" s="55">
        <f>INPUT_OUTPUTS!$C$12</f>
        <v>56</v>
      </c>
      <c r="AA13" s="157">
        <f>W13/(500*(Z13-Y13))</f>
        <v>668.61385714285711</v>
      </c>
      <c r="AB13" s="52">
        <f>F13*((D13-O13)/B13) + L13*(H13/B13)</f>
        <v>75.035470441298912</v>
      </c>
      <c r="AC13" s="52">
        <f>G13*((D13-O13)/B13) + M13*(H13/B13)</f>
        <v>63.216153205661946</v>
      </c>
      <c r="AD13" s="52">
        <f>VLOOKUP(FLOOR(AC13,1),'DO NOT TOUCH'!$A$7:$K$57,MATCH(ROUND((AC13-FLOOR(AC13,1)),1),'DO NOT TOUCH'!$A$6:$K$6,0),FALSE)</f>
        <v>28.72</v>
      </c>
      <c r="AE13" s="52">
        <f>Table7[[#This Row],[(˚F db)13]]</f>
        <v>53</v>
      </c>
      <c r="AF13" s="52">
        <f>Table7[[#This Row],[(˚F wb)14]]</f>
        <v>50.5</v>
      </c>
      <c r="AG13" s="52">
        <f>VLOOKUP(FLOOR(AF13,1),'DO NOT TOUCH'!$A$7:$K$57,MATCH(ROUND((AF13-FLOOR(AF13,1)),1),'DO NOT TOUCH'!$A$6:$K$6,0),FALSE)</f>
        <v>20.58</v>
      </c>
      <c r="AH13" s="53"/>
      <c r="AI13" s="53"/>
      <c r="AJ13" s="54">
        <f>AI13+AH13</f>
        <v>0</v>
      </c>
      <c r="AK13" s="55">
        <f>B13*1.085*(AB13-AE13)</f>
        <v>2871409.0999999992</v>
      </c>
      <c r="AL13" s="55">
        <f>4.5*B13*(AD13-AG13)</f>
        <v>4399263</v>
      </c>
      <c r="AM13" s="52">
        <f>AL13/12000</f>
        <v>366.60525000000001</v>
      </c>
      <c r="AN13" s="55">
        <f>INPUT_OUTPUTS!$C$11</f>
        <v>42</v>
      </c>
      <c r="AO13" s="55">
        <f>INPUT_OUTPUTS!$C$12</f>
        <v>56</v>
      </c>
      <c r="AP13" s="157">
        <f>AL13/(500*(AO13-AN13))</f>
        <v>628.46614285714281</v>
      </c>
      <c r="AQ13" s="52">
        <f>MAX(AM13,X13)</f>
        <v>390.02474999999998</v>
      </c>
      <c r="AR13" s="158">
        <f>B13/AM13</f>
        <v>327.6003276003276</v>
      </c>
      <c r="AS13" s="158">
        <f>MAX(Table7[[#This Row],[GPM33]],Table7[[#This Row],[GPM]])</f>
        <v>668.61385714285711</v>
      </c>
      <c r="AT13" s="109">
        <f>B13</f>
        <v>120100</v>
      </c>
      <c r="AU13" s="52">
        <f>F13*((D13-O13)/B13) + N13*(H13/B13)</f>
        <v>60.038800999167357</v>
      </c>
      <c r="AV13" s="52"/>
      <c r="AW13" s="55">
        <f>AT13*1.085*(AV13-AU13)/1000</f>
        <v>-7823.5661</v>
      </c>
      <c r="AX13" s="55">
        <f>INPUT_OUTPUTS!$C$13</f>
        <v>140</v>
      </c>
      <c r="AY13" s="55">
        <f>INPUT_OUTPUTS!$C$14</f>
        <v>100</v>
      </c>
      <c r="AZ13" s="157">
        <f>(AW13*1000)/(500*(AX13-AY13))</f>
        <v>-391.17830499999997</v>
      </c>
      <c r="BA13" s="111"/>
      <c r="BB13" s="55">
        <f>BA13*(K13/1000)</f>
        <v>0</v>
      </c>
      <c r="BC13" s="194">
        <v>55</v>
      </c>
      <c r="BD13" s="52" t="s">
        <v>296</v>
      </c>
      <c r="BE13" s="52">
        <f>'AHU 2'!$BA$2</f>
        <v>19</v>
      </c>
      <c r="BF13" s="195">
        <f>'AHU 2'!$BB$2</f>
        <v>0</v>
      </c>
    </row>
    <row r="14" spans="1:58" ht="15">
      <c r="A14" s="193" t="s">
        <v>400</v>
      </c>
      <c r="B14" s="109">
        <f>'AHU 3'!$AW$2</f>
        <v>106200</v>
      </c>
      <c r="C14" s="110"/>
      <c r="D14" s="109">
        <f>'AHU 3'!$AX$2</f>
        <v>83000</v>
      </c>
      <c r="E14" s="52"/>
      <c r="F14" s="156">
        <v>72</v>
      </c>
      <c r="G14" s="156">
        <v>60</v>
      </c>
      <c r="H14" s="109">
        <f>'AHU 3'!$AY$2</f>
        <v>38700</v>
      </c>
      <c r="I14" s="52">
        <f>INPUT_OUTPUTS!$C$5</f>
        <v>93.1</v>
      </c>
      <c r="J14" s="52">
        <f>INPUT_OUTPUTS!$C$6</f>
        <v>71</v>
      </c>
      <c r="K14" s="109">
        <f>Table7[[#This Row],[(CFM)3]]</f>
        <v>38700</v>
      </c>
      <c r="L14" s="52">
        <f>INPUT_OUTPUTS!$C$7</f>
        <v>80.400000000000006</v>
      </c>
      <c r="M14" s="52">
        <f>INPUT_OUTPUTS!$C$8</f>
        <v>68.900000000000006</v>
      </c>
      <c r="N14" s="52">
        <f>INPUT_OUTPUTS!$F$5</f>
        <v>38.9</v>
      </c>
      <c r="O14" s="109">
        <f>D14+H14-B14</f>
        <v>15500</v>
      </c>
      <c r="P14" s="52">
        <f>F14*((D14-O14)/B14) + I14*(H14/B14)</f>
        <v>79.68898305084744</v>
      </c>
      <c r="Q14" s="52">
        <f>TRUNC(G14*((D14-O14)/B14) + J14*(H14/B14),1)</f>
        <v>64</v>
      </c>
      <c r="R14" s="107">
        <f>VLOOKUP(FLOOR(Q14,1),'DO NOT TOUCH'!$A$7:$K$57,MATCH(ROUND((Q14-FLOOR(Q14,1)),1),'DO NOT TOUCH'!$A$6:$K$6,0),FALSE)</f>
        <v>29.31</v>
      </c>
      <c r="S14" s="194">
        <v>53</v>
      </c>
      <c r="T14" s="194">
        <v>50.5</v>
      </c>
      <c r="U14" s="52">
        <f>VLOOKUP(FLOOR(T14,1),'DO NOT TOUCH'!$A$7:$K$57,MATCH(ROUND((T14-FLOOR(T14,1)),1),'DO NOT TOUCH'!$A$6:$K$6,0),FALSE)</f>
        <v>20.58</v>
      </c>
      <c r="V14" s="55">
        <f>B14*1.085*(P14-S14)</f>
        <v>3075291.4499999979</v>
      </c>
      <c r="W14" s="55">
        <f>4.5*B14*(R14-U14)</f>
        <v>4172067</v>
      </c>
      <c r="X14" s="55">
        <f>W14/12000</f>
        <v>347.67225000000002</v>
      </c>
      <c r="Y14" s="55">
        <f>INPUT_OUTPUTS!$C$11</f>
        <v>42</v>
      </c>
      <c r="Z14" s="55">
        <f>INPUT_OUTPUTS!$C$12</f>
        <v>56</v>
      </c>
      <c r="AA14" s="157">
        <f>W14/(500*(Z14-Y14))</f>
        <v>596.00957142857146</v>
      </c>
      <c r="AB14" s="52">
        <f>F14*((D14-O14)/B14) + L14*(H14/B14)</f>
        <v>75.061016949152531</v>
      </c>
      <c r="AC14" s="52">
        <f>G14*((D14-O14)/B14) + M14*(H14/B14)</f>
        <v>63.243220338983051</v>
      </c>
      <c r="AD14" s="52">
        <f>VLOOKUP(FLOOR(AC14,1),'DO NOT TOUCH'!$A$7:$K$57,MATCH(ROUND((AC14-FLOOR(AC14,1)),1),'DO NOT TOUCH'!$A$6:$K$6,0),FALSE)</f>
        <v>28.72</v>
      </c>
      <c r="AE14" s="246">
        <f>Table7[[#This Row],[(˚F db)13]]</f>
        <v>53</v>
      </c>
      <c r="AF14" s="246">
        <f>Table7[[#This Row],[(˚F wb)14]]</f>
        <v>50.5</v>
      </c>
      <c r="AG14" s="52">
        <f>VLOOKUP(FLOOR(AF14,1),'DO NOT TOUCH'!$A$7:$K$57,MATCH(ROUND((AF14-FLOOR(AF14,1)),1),'DO NOT TOUCH'!$A$6:$K$6,0),FALSE)</f>
        <v>20.58</v>
      </c>
      <c r="AH14" s="53"/>
      <c r="AI14" s="53"/>
      <c r="AJ14" s="54">
        <f>AI14+AH14</f>
        <v>0</v>
      </c>
      <c r="AK14" s="55">
        <f>B14*1.085*(AB14-AE14)</f>
        <v>2542024.7999999989</v>
      </c>
      <c r="AL14" s="55">
        <f>4.5*B14*(AD14-AG14)</f>
        <v>3890106.0000000005</v>
      </c>
      <c r="AM14" s="52">
        <f>AL14/12000</f>
        <v>324.17550000000006</v>
      </c>
      <c r="AN14" s="55">
        <f>INPUT_OUTPUTS!$C$11</f>
        <v>42</v>
      </c>
      <c r="AO14" s="55">
        <f>INPUT_OUTPUTS!$C$12</f>
        <v>56</v>
      </c>
      <c r="AP14" s="157">
        <f>AL14/(500*(AO14-AN14))</f>
        <v>555.72942857142868</v>
      </c>
      <c r="AQ14" s="52">
        <f>MAX(AM14,X14)</f>
        <v>347.67225000000002</v>
      </c>
      <c r="AR14" s="158">
        <f>B14/AM14</f>
        <v>327.60032760032755</v>
      </c>
      <c r="AS14" s="158">
        <f>MAX(Table7[[#This Row],[GPM33]],Table7[[#This Row],[GPM]])</f>
        <v>596.00957142857146</v>
      </c>
      <c r="AT14" s="109">
        <f>B14</f>
        <v>106200</v>
      </c>
      <c r="AU14" s="52">
        <f>F14*((D14-O14)/B14) + N14*(H14/B14)</f>
        <v>59.938135593220331</v>
      </c>
      <c r="AV14" s="52"/>
      <c r="AW14" s="55">
        <f>AT14*1.085*(AV14-AU14)/1000</f>
        <v>-6906.4915499999988</v>
      </c>
      <c r="AX14" s="55">
        <f>INPUT_OUTPUTS!$C$13</f>
        <v>140</v>
      </c>
      <c r="AY14" s="55">
        <f>INPUT_OUTPUTS!$C$14</f>
        <v>100</v>
      </c>
      <c r="AZ14" s="157">
        <f>(AW14*1000)/(500*(AX14-AY14))</f>
        <v>-345.32457749999992</v>
      </c>
      <c r="BA14" s="111"/>
      <c r="BB14" s="55">
        <f>BA14*(K14/1000)</f>
        <v>0</v>
      </c>
      <c r="BC14" s="194">
        <v>55</v>
      </c>
      <c r="BD14" s="52" t="s">
        <v>296</v>
      </c>
      <c r="BE14" s="52">
        <f>'AHU 3'!$BA$2</f>
        <v>19</v>
      </c>
      <c r="BF14" s="195">
        <f>'AHU 3'!$BB$2</f>
        <v>0</v>
      </c>
    </row>
    <row r="15" spans="1:58" ht="15">
      <c r="A15" s="193" t="s">
        <v>401</v>
      </c>
      <c r="B15" s="109">
        <f>'AHU 4'!$AW$2</f>
        <v>91300</v>
      </c>
      <c r="C15" s="110"/>
      <c r="D15" s="109">
        <f>'AHU 4'!$AX$2</f>
        <v>44900</v>
      </c>
      <c r="E15" s="52"/>
      <c r="F15" s="156">
        <v>72</v>
      </c>
      <c r="G15" s="156">
        <v>60</v>
      </c>
      <c r="H15" s="109">
        <f>'AHU 4'!$AY$2</f>
        <v>33700</v>
      </c>
      <c r="I15" s="52">
        <f>INPUT_OUTPUTS!$C$5</f>
        <v>93.1</v>
      </c>
      <c r="J15" s="52">
        <f>INPUT_OUTPUTS!$C$6</f>
        <v>71</v>
      </c>
      <c r="K15" s="109">
        <f>Table7[[#This Row],[(CFM)3]]</f>
        <v>33700</v>
      </c>
      <c r="L15" s="52">
        <f>INPUT_OUTPUTS!$C$7</f>
        <v>80.400000000000006</v>
      </c>
      <c r="M15" s="52">
        <f>INPUT_OUTPUTS!$C$8</f>
        <v>68.900000000000006</v>
      </c>
      <c r="N15" s="52">
        <f>INPUT_OUTPUTS!$F$5</f>
        <v>38.9</v>
      </c>
      <c r="O15" s="109">
        <f>D15+H15-B15</f>
        <v>-12700</v>
      </c>
      <c r="P15" s="52">
        <f>F15*((D15-O15)/B15) + I15*(H15/B15)</f>
        <v>79.788280394304493</v>
      </c>
      <c r="Q15" s="52">
        <f>TRUNC(G15*((D15-O15)/B15) + J15*(H15/B15),1)</f>
        <v>64</v>
      </c>
      <c r="R15" s="107">
        <f>VLOOKUP(FLOOR(Q15,1),'DO NOT TOUCH'!$A$7:$K$57,MATCH(ROUND((Q15-FLOOR(Q15,1)),1),'DO NOT TOUCH'!$A$6:$K$6,0),FALSE)</f>
        <v>29.31</v>
      </c>
      <c r="S15" s="194">
        <v>53</v>
      </c>
      <c r="T15" s="194">
        <v>50.5</v>
      </c>
      <c r="U15" s="52">
        <f>VLOOKUP(FLOOR(T15,1),'DO NOT TOUCH'!$A$7:$K$57,MATCH(ROUND((T15-FLOOR(T15,1)),1),'DO NOT TOUCH'!$A$6:$K$6,0),FALSE)</f>
        <v>20.58</v>
      </c>
      <c r="V15" s="55">
        <f>B15*1.085*(P15-S15)</f>
        <v>2653660.4500000002</v>
      </c>
      <c r="W15" s="55">
        <f>4.5*B15*(R15-U15)</f>
        <v>3586720.5</v>
      </c>
      <c r="X15" s="55">
        <f>W15/12000</f>
        <v>298.89337499999999</v>
      </c>
      <c r="Y15" s="55">
        <f>INPUT_OUTPUTS!$C$11</f>
        <v>42</v>
      </c>
      <c r="Z15" s="55">
        <f>INPUT_OUTPUTS!$C$12</f>
        <v>56</v>
      </c>
      <c r="AA15" s="157">
        <f>W15/(500*(Z15-Y15))</f>
        <v>512.38864285714283</v>
      </c>
      <c r="AB15" s="52">
        <f>F15*((D15-O15)/B15) + L15*(H15/B15)</f>
        <v>75.100547645125971</v>
      </c>
      <c r="AC15" s="52">
        <f>G15*((D15-O15)/B15) + M15*(H15/B15)</f>
        <v>63.285104052573942</v>
      </c>
      <c r="AD15" s="52">
        <f>VLOOKUP(FLOOR(AC15,1),'DO NOT TOUCH'!$A$7:$K$57,MATCH(ROUND((AC15-FLOOR(AC15,1)),1),'DO NOT TOUCH'!$A$6:$K$6,0),FALSE)</f>
        <v>28.79</v>
      </c>
      <c r="AE15" s="246">
        <f>Table7[[#This Row],[(˚F db)13]]</f>
        <v>53</v>
      </c>
      <c r="AF15" s="246">
        <f>Table7[[#This Row],[(˚F wb)14]]</f>
        <v>50.5</v>
      </c>
      <c r="AG15" s="52">
        <f>VLOOKUP(FLOOR(AF15,1),'DO NOT TOUCH'!$A$7:$K$57,MATCH(ROUND((AF15-FLOOR(AF15,1)),1),'DO NOT TOUCH'!$A$6:$K$6,0),FALSE)</f>
        <v>20.58</v>
      </c>
      <c r="AH15" s="53"/>
      <c r="AI15" s="53"/>
      <c r="AJ15" s="54">
        <f>AI15+AH15</f>
        <v>0</v>
      </c>
      <c r="AK15" s="55">
        <f>B15*1.085*(AB15-AE15)</f>
        <v>2189291.3000000012</v>
      </c>
      <c r="AL15" s="55">
        <f>4.5*B15*(AD15-AG15)</f>
        <v>3373078.5000000005</v>
      </c>
      <c r="AM15" s="52">
        <f>AL15/12000</f>
        <v>281.08987500000006</v>
      </c>
      <c r="AN15" s="55">
        <f>INPUT_OUTPUTS!$C$11</f>
        <v>42</v>
      </c>
      <c r="AO15" s="55">
        <f>INPUT_OUTPUTS!$C$12</f>
        <v>56</v>
      </c>
      <c r="AP15" s="157">
        <f>AL15/(500*(AO15-AN15))</f>
        <v>481.86835714285723</v>
      </c>
      <c r="AQ15" s="52">
        <f>MAX(AM15,X15)</f>
        <v>298.89337499999999</v>
      </c>
      <c r="AR15" s="158">
        <f>B15/AM15</f>
        <v>324.80714575720657</v>
      </c>
      <c r="AS15" s="158">
        <f>MAX(Table7[[#This Row],[GPM33]],Table7[[#This Row],[GPM]])</f>
        <v>512.38864285714283</v>
      </c>
      <c r="AT15" s="109">
        <f>B15</f>
        <v>91300</v>
      </c>
      <c r="AU15" s="52">
        <f>F15*((D15-O15)/B15) + N15*(H15/B15)</f>
        <v>59.782365826944144</v>
      </c>
      <c r="AV15" s="52"/>
      <c r="AW15" s="55">
        <f>AT15*1.085*(AV15-AU15)/1000</f>
        <v>-5922.0710500000005</v>
      </c>
      <c r="AX15" s="55">
        <f>INPUT_OUTPUTS!$C$13</f>
        <v>140</v>
      </c>
      <c r="AY15" s="55">
        <f>INPUT_OUTPUTS!$C$14</f>
        <v>100</v>
      </c>
      <c r="AZ15" s="157">
        <f>(AW15*1000)/(500*(AX15-AY15))</f>
        <v>-296.10355250000003</v>
      </c>
      <c r="BA15" s="111"/>
      <c r="BB15" s="55">
        <f>BA15*(K15/1000)</f>
        <v>0</v>
      </c>
      <c r="BC15" s="194">
        <v>55</v>
      </c>
      <c r="BD15" s="52" t="s">
        <v>296</v>
      </c>
      <c r="BE15" s="52">
        <f>'AHU 4'!$BA$2</f>
        <v>19</v>
      </c>
      <c r="BF15" s="195">
        <f>'AHU 4'!$BB$2</f>
        <v>0</v>
      </c>
    </row>
    <row r="16" spans="1:58" ht="15">
      <c r="A16" s="193" t="s">
        <v>402</v>
      </c>
      <c r="B16" s="109">
        <f>'AHU 5'!$AW$2</f>
        <v>71700</v>
      </c>
      <c r="C16" s="110"/>
      <c r="D16" s="109">
        <f>'AHU 5'!$AX$2</f>
        <v>64700</v>
      </c>
      <c r="E16" s="52"/>
      <c r="F16" s="156">
        <v>72</v>
      </c>
      <c r="G16" s="156">
        <v>60</v>
      </c>
      <c r="H16" s="109">
        <f>'AHU 5'!$AY$2</f>
        <v>27200</v>
      </c>
      <c r="I16" s="52">
        <f>INPUT_OUTPUTS!$C$5</f>
        <v>93.1</v>
      </c>
      <c r="J16" s="52">
        <f>INPUT_OUTPUTS!$C$6</f>
        <v>71</v>
      </c>
      <c r="K16" s="109">
        <f>Table7[[#This Row],[(CFM)3]]</f>
        <v>27200</v>
      </c>
      <c r="L16" s="52">
        <f>INPUT_OUTPUTS!$C$7</f>
        <v>80.400000000000006</v>
      </c>
      <c r="M16" s="52">
        <f>INPUT_OUTPUTS!$C$8</f>
        <v>68.900000000000006</v>
      </c>
      <c r="N16" s="52">
        <f>INPUT_OUTPUTS!$F$5</f>
        <v>38.9</v>
      </c>
      <c r="O16" s="109">
        <f>D16+H16-B16</f>
        <v>20200</v>
      </c>
      <c r="P16" s="52">
        <f>F16*((D16-O16)/B16) + I16*(H16/B16)</f>
        <v>80.004463040446296</v>
      </c>
      <c r="Q16" s="52">
        <f>TRUNC(G16*((D16-O16)/B16) + J16*(H16/B16),1)</f>
        <v>64.099999999999994</v>
      </c>
      <c r="R16" s="107">
        <f>VLOOKUP(FLOOR(Q16,1),'DO NOT TOUCH'!$A$7:$K$57,MATCH(ROUND((Q16-FLOOR(Q16,1)),1),'DO NOT TOUCH'!$A$6:$K$6,0),FALSE)</f>
        <v>29.39</v>
      </c>
      <c r="S16" s="194">
        <v>53</v>
      </c>
      <c r="T16" s="194">
        <v>50.5</v>
      </c>
      <c r="U16" s="52">
        <f>VLOOKUP(FLOOR(T16,1),'DO NOT TOUCH'!$A$7:$K$57,MATCH(ROUND((T16-FLOOR(T16,1)),1),'DO NOT TOUCH'!$A$6:$K$6,0),FALSE)</f>
        <v>20.58</v>
      </c>
      <c r="V16" s="55">
        <f>B16*1.085*(P16-S16)</f>
        <v>2100798.6999999993</v>
      </c>
      <c r="W16" s="55">
        <f>4.5*B16*(R16-U16)</f>
        <v>2842546.5000000009</v>
      </c>
      <c r="X16" s="55">
        <f>W16/12000</f>
        <v>236.87887500000008</v>
      </c>
      <c r="Y16" s="55">
        <f>INPUT_OUTPUTS!$C$11</f>
        <v>42</v>
      </c>
      <c r="Z16" s="55">
        <f>INPUT_OUTPUTS!$C$12</f>
        <v>56</v>
      </c>
      <c r="AA16" s="157">
        <f>W16/(500*(Z16-Y16))</f>
        <v>406.07807142857155</v>
      </c>
      <c r="AB16" s="52">
        <f>F16*((D16-O16)/B16) + L16*(H16/B16)</f>
        <v>75.186610878661085</v>
      </c>
      <c r="AC16" s="52">
        <f>G16*((D16-O16)/B16) + M16*(H16/B16)</f>
        <v>63.37629009762901</v>
      </c>
      <c r="AD16" s="52">
        <f>VLOOKUP(FLOOR(AC16,1),'DO NOT TOUCH'!$A$7:$K$57,MATCH(ROUND((AC16-FLOOR(AC16,1)),1),'DO NOT TOUCH'!$A$6:$K$6,0),FALSE)</f>
        <v>28.87</v>
      </c>
      <c r="AE16" s="246">
        <f>Table7[[#This Row],[(˚F db)13]]</f>
        <v>53</v>
      </c>
      <c r="AF16" s="246">
        <f>Table7[[#This Row],[(˚F wb)14]]</f>
        <v>50.5</v>
      </c>
      <c r="AG16" s="52">
        <f>VLOOKUP(FLOOR(AF16,1),'DO NOT TOUCH'!$A$7:$K$57,MATCH(ROUND((AF16-FLOOR(AF16,1)),1),'DO NOT TOUCH'!$A$6:$K$6,0),FALSE)</f>
        <v>20.58</v>
      </c>
      <c r="AH16" s="53"/>
      <c r="AI16" s="53"/>
      <c r="AJ16" s="54">
        <f>AI16+AH16</f>
        <v>0</v>
      </c>
      <c r="AK16" s="55">
        <f>B16*1.085*(AB16-AE16)</f>
        <v>1725996.2999999998</v>
      </c>
      <c r="AL16" s="55">
        <f>4.5*B16*(AD16-AG16)</f>
        <v>2674768.5000000009</v>
      </c>
      <c r="AM16" s="52">
        <f>AL16/12000</f>
        <v>222.89737500000007</v>
      </c>
      <c r="AN16" s="55">
        <f>INPUT_OUTPUTS!$C$11</f>
        <v>42</v>
      </c>
      <c r="AO16" s="55">
        <f>INPUT_OUTPUTS!$C$12</f>
        <v>56</v>
      </c>
      <c r="AP16" s="157">
        <f>AL16/(500*(AO16-AN16))</f>
        <v>382.10978571428586</v>
      </c>
      <c r="AQ16" s="52">
        <f>MAX(AM16,X16)</f>
        <v>236.87887500000008</v>
      </c>
      <c r="AR16" s="158">
        <f>B16/AM16</f>
        <v>321.6726980297546</v>
      </c>
      <c r="AS16" s="158">
        <f>MAX(Table7[[#This Row],[GPM33]],Table7[[#This Row],[GPM]])</f>
        <v>406.07807142857155</v>
      </c>
      <c r="AT16" s="109">
        <f>B16</f>
        <v>71700</v>
      </c>
      <c r="AU16" s="52">
        <f>F16*((D16-O16)/B16) + N16*(H16/B16)</f>
        <v>59.44323570432357</v>
      </c>
      <c r="AV16" s="52"/>
      <c r="AW16" s="55">
        <f>AT16*1.085*(AV16-AU16)/1000</f>
        <v>-4624.3567999999996</v>
      </c>
      <c r="AX16" s="55">
        <f>INPUT_OUTPUTS!$C$13</f>
        <v>140</v>
      </c>
      <c r="AY16" s="55">
        <f>INPUT_OUTPUTS!$C$14</f>
        <v>100</v>
      </c>
      <c r="AZ16" s="157">
        <f>(AW16*1000)/(500*(AX16-AY16))</f>
        <v>-231.21784</v>
      </c>
      <c r="BA16" s="111"/>
      <c r="BB16" s="55">
        <f>BA16*(K16/1000)</f>
        <v>0</v>
      </c>
      <c r="BC16" s="194">
        <v>55</v>
      </c>
      <c r="BD16" s="52" t="s">
        <v>296</v>
      </c>
      <c r="BE16" s="52">
        <f>'AHU 5'!$BA$2</f>
        <v>19</v>
      </c>
      <c r="BF16" s="195">
        <f>'AHU 5'!$BB$2</f>
        <v>0</v>
      </c>
    </row>
    <row r="17" spans="1:58" ht="15">
      <c r="A17" s="193" t="s">
        <v>403</v>
      </c>
      <c r="B17" s="109">
        <f>'AHU 6'!$AW$2</f>
        <v>96200</v>
      </c>
      <c r="C17" s="110"/>
      <c r="D17" s="109">
        <f>'AHU 6'!$AX$2</f>
        <v>72900</v>
      </c>
      <c r="E17" s="52"/>
      <c r="F17" s="156">
        <v>72</v>
      </c>
      <c r="G17" s="156">
        <v>60</v>
      </c>
      <c r="H17" s="109">
        <f>'AHU 6'!$AY$2</f>
        <v>35400</v>
      </c>
      <c r="I17" s="52">
        <f>INPUT_OUTPUTS!$C$5</f>
        <v>93.1</v>
      </c>
      <c r="J17" s="52">
        <f>INPUT_OUTPUTS!$C$6</f>
        <v>71</v>
      </c>
      <c r="K17" s="109">
        <f>Table7[[#This Row],[(CFM)3]]</f>
        <v>35400</v>
      </c>
      <c r="L17" s="52">
        <f>INPUT_OUTPUTS!$C$7</f>
        <v>80.400000000000006</v>
      </c>
      <c r="M17" s="52">
        <f>INPUT_OUTPUTS!$C$8</f>
        <v>68.900000000000006</v>
      </c>
      <c r="N17" s="52">
        <f>INPUT_OUTPUTS!$F$5</f>
        <v>38.9</v>
      </c>
      <c r="O17" s="109">
        <f>D17+H17-B17</f>
        <v>12100</v>
      </c>
      <c r="P17" s="52">
        <f>F17*((D17-O17)/B17) + I17*(H17/B17)</f>
        <v>79.764449064449067</v>
      </c>
      <c r="Q17" s="52">
        <f>TRUNC(G17*((D17-O17)/B17) + J17*(H17/B17),1)</f>
        <v>64</v>
      </c>
      <c r="R17" s="107">
        <f>VLOOKUP(FLOOR(Q17,1),'DO NOT TOUCH'!$A$7:$K$57,MATCH(ROUND((Q17-FLOOR(Q17,1)),1),'DO NOT TOUCH'!$A$6:$K$6,0),FALSE)</f>
        <v>29.31</v>
      </c>
      <c r="S17" s="194">
        <v>53</v>
      </c>
      <c r="T17" s="194">
        <v>50.5</v>
      </c>
      <c r="U17" s="52">
        <f>VLOOKUP(FLOOR(T17,1),'DO NOT TOUCH'!$A$7:$K$57,MATCH(ROUND((T17-FLOOR(T17,1)),1),'DO NOT TOUCH'!$A$6:$K$6,0),FALSE)</f>
        <v>20.58</v>
      </c>
      <c r="V17" s="55">
        <f>B17*1.085*(P17-S17)</f>
        <v>2793592.9000000004</v>
      </c>
      <c r="W17" s="55">
        <f>4.5*B17*(R17-U17)</f>
        <v>3779217</v>
      </c>
      <c r="X17" s="55">
        <f>W17/12000</f>
        <v>314.93475000000001</v>
      </c>
      <c r="Y17" s="55">
        <f>INPUT_OUTPUTS!$C$11</f>
        <v>42</v>
      </c>
      <c r="Z17" s="55">
        <f>INPUT_OUTPUTS!$C$12</f>
        <v>56</v>
      </c>
      <c r="AA17" s="157">
        <f>W17/(500*(Z17-Y17))</f>
        <v>539.88814285714284</v>
      </c>
      <c r="AB17" s="52">
        <f>F17*((D17-O17)/B17) + L17*(H17/B17)</f>
        <v>75.091060291060302</v>
      </c>
      <c r="AC17" s="52">
        <f>G17*((D17-O17)/B17) + M17*(H17/B17)</f>
        <v>63.27505197505198</v>
      </c>
      <c r="AD17" s="52">
        <f>VLOOKUP(FLOOR(AC17,1),'DO NOT TOUCH'!$A$7:$K$57,MATCH(ROUND((AC17-FLOOR(AC17,1)),1),'DO NOT TOUCH'!$A$6:$K$6,0),FALSE)</f>
        <v>28.79</v>
      </c>
      <c r="AE17" s="246">
        <f>Table7[[#This Row],[(˚F db)13]]</f>
        <v>53</v>
      </c>
      <c r="AF17" s="246">
        <f>Table7[[#This Row],[(˚F wb)14]]</f>
        <v>50.5</v>
      </c>
      <c r="AG17" s="52">
        <f>VLOOKUP(FLOOR(AF17,1),'DO NOT TOUCH'!$A$7:$K$57,MATCH(ROUND((AF17-FLOOR(AF17,1)),1),'DO NOT TOUCH'!$A$6:$K$6,0),FALSE)</f>
        <v>20.58</v>
      </c>
      <c r="AH17" s="53"/>
      <c r="AI17" s="53"/>
      <c r="AJ17" s="54">
        <f>AI17+AH17</f>
        <v>0</v>
      </c>
      <c r="AK17" s="55">
        <f>B17*1.085*(AB17-AE17)</f>
        <v>2305798.600000001</v>
      </c>
      <c r="AL17" s="55">
        <f>4.5*B17*(AD17-AG17)</f>
        <v>3554109.0000000005</v>
      </c>
      <c r="AM17" s="52">
        <f>AL17/12000</f>
        <v>296.17575000000005</v>
      </c>
      <c r="AN17" s="55">
        <f>INPUT_OUTPUTS!$C$11</f>
        <v>42</v>
      </c>
      <c r="AO17" s="55">
        <f>INPUT_OUTPUTS!$C$12</f>
        <v>56</v>
      </c>
      <c r="AP17" s="157">
        <f>AL17/(500*(AO17-AN17))</f>
        <v>507.72985714285721</v>
      </c>
      <c r="AQ17" s="52">
        <f>MAX(AM17,X17)</f>
        <v>314.93475000000001</v>
      </c>
      <c r="AR17" s="158">
        <f>B17/AM17</f>
        <v>324.80714575720663</v>
      </c>
      <c r="AS17" s="158">
        <f>MAX(Table7[[#This Row],[GPM33]],Table7[[#This Row],[GPM]])</f>
        <v>539.88814285714284</v>
      </c>
      <c r="AT17" s="109">
        <f>B17</f>
        <v>96200</v>
      </c>
      <c r="AU17" s="52">
        <f>F17*((D17-O17)/B17) + N17*(H17/B17)</f>
        <v>59.819750519750521</v>
      </c>
      <c r="AV17" s="52"/>
      <c r="AW17" s="55">
        <f>AT17*1.085*(AV17-AU17)/1000</f>
        <v>-6243.8061000000007</v>
      </c>
      <c r="AX17" s="55">
        <f>INPUT_OUTPUTS!$C$13</f>
        <v>140</v>
      </c>
      <c r="AY17" s="55">
        <f>INPUT_OUTPUTS!$C$14</f>
        <v>100</v>
      </c>
      <c r="AZ17" s="157">
        <f>(AW17*1000)/(500*(AX17-AY17))</f>
        <v>-312.19030500000002</v>
      </c>
      <c r="BA17" s="111"/>
      <c r="BB17" s="55">
        <f>BA17*(K17/1000)</f>
        <v>0</v>
      </c>
      <c r="BC17" s="194">
        <v>55</v>
      </c>
      <c r="BD17" s="52" t="s">
        <v>296</v>
      </c>
      <c r="BE17" s="52">
        <f>'AHU 6'!$BA$2</f>
        <v>19</v>
      </c>
      <c r="BF17" s="195">
        <f>'AHU 6'!$BB$2</f>
        <v>0</v>
      </c>
    </row>
    <row r="18" spans="1:58" ht="17" thickBot="1">
      <c r="A18" s="181" t="s">
        <v>317</v>
      </c>
      <c r="B18" s="182">
        <f>SUBTOTAL(109,Table7[(CFM)])</f>
        <v>599600</v>
      </c>
      <c r="C18" s="181"/>
      <c r="D18" s="181"/>
      <c r="E18" s="181"/>
      <c r="F18" s="183"/>
      <c r="G18" s="183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181"/>
      <c r="AA18" s="184">
        <f>SUBTOTAL(109,Table7[GPM])</f>
        <v>3358.1892857142857</v>
      </c>
      <c r="AB18" s="181"/>
      <c r="AC18" s="181"/>
      <c r="AD18" s="181"/>
      <c r="AE18" s="183"/>
      <c r="AF18" s="183"/>
      <c r="AG18" s="181"/>
      <c r="AH18" s="185"/>
      <c r="AI18" s="185"/>
      <c r="AJ18" s="181"/>
      <c r="AK18" s="181"/>
      <c r="AL18" s="181"/>
      <c r="AM18" s="181"/>
      <c r="AN18" s="181"/>
      <c r="AO18" s="181"/>
      <c r="AP18" s="184">
        <f>SUBTOTAL(109,Table7[GPM33])</f>
        <v>3152.9725714285723</v>
      </c>
      <c r="AQ18" s="184">
        <f>SUBTOTAL(109,Table7[(Tons)34])</f>
        <v>1958.9437500000004</v>
      </c>
      <c r="AR18" s="181"/>
      <c r="AS18" s="186">
        <f>SUBTOTAL(109,Table7[GPM MAX])</f>
        <v>3358.1892857142857</v>
      </c>
      <c r="AT18" s="181"/>
      <c r="AU18" s="181"/>
      <c r="AV18" s="181"/>
      <c r="AW18" s="186">
        <f>SUBTOTAL(109,Table7[(MBH)])</f>
        <v>-30903.653550000003</v>
      </c>
      <c r="AX18" s="181"/>
      <c r="AY18" s="181"/>
      <c r="AZ18" s="184">
        <f>SUBTOTAL(109,Table7[GPM41])</f>
        <v>-1545.1826775</v>
      </c>
      <c r="BA18" s="183"/>
      <c r="BB18" s="181"/>
      <c r="BC18" s="181"/>
      <c r="BD18" s="181"/>
      <c r="BE18" s="184">
        <f>SUBTOTAL(109,Table7[(˚F db)46])</f>
        <v>114</v>
      </c>
      <c r="BF18" s="184">
        <f>SUBTOTAL(109,Table7[(mbh)46])</f>
        <v>0</v>
      </c>
    </row>
    <row r="19" spans="1:58" ht="16" thickTop="1">
      <c r="AL19" s="114"/>
    </row>
    <row r="20" spans="1:58" ht="15">
      <c r="T20" s="113"/>
      <c r="U20" s="113"/>
      <c r="AA20" s="153"/>
      <c r="AF20" s="113"/>
      <c r="AG20" s="113"/>
      <c r="AH20" s="112"/>
      <c r="AM20" s="153"/>
      <c r="AP20" s="153"/>
      <c r="AQ20" s="153"/>
      <c r="AZ20" s="153"/>
    </row>
    <row r="21" spans="1:58" ht="15">
      <c r="T21" s="113"/>
      <c r="U21" s="113"/>
      <c r="AA21" s="153"/>
      <c r="AF21" s="113"/>
      <c r="AG21" s="113"/>
      <c r="AH21" s="112"/>
      <c r="AM21" s="153"/>
      <c r="AP21" s="153"/>
      <c r="AQ21" s="153"/>
      <c r="AZ21" s="153"/>
    </row>
    <row r="25" spans="1:58">
      <c r="O25" s="153"/>
    </row>
    <row r="28" spans="1:58">
      <c r="G28" s="191"/>
    </row>
    <row r="35" spans="1:58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</row>
    <row r="36" spans="1:58">
      <c r="A36" s="154"/>
      <c r="B36" s="154"/>
      <c r="E36" s="155"/>
    </row>
    <row r="37" spans="1:58">
      <c r="A37" s="154"/>
      <c r="B37" s="153"/>
      <c r="E37" s="155"/>
    </row>
    <row r="38" spans="1:58">
      <c r="A38" s="154"/>
      <c r="E38" s="155"/>
    </row>
    <row r="39" spans="1:58">
      <c r="E39" s="155"/>
    </row>
  </sheetData>
  <mergeCells count="33">
    <mergeCell ref="A8:A10"/>
    <mergeCell ref="AS9:AS10"/>
    <mergeCell ref="AQ8:AS8"/>
    <mergeCell ref="B8:O8"/>
    <mergeCell ref="P8:AA8"/>
    <mergeCell ref="AN9:AP9"/>
    <mergeCell ref="AM9:AM10"/>
    <mergeCell ref="AE10:AG10"/>
    <mergeCell ref="D10:G10"/>
    <mergeCell ref="H10:J10"/>
    <mergeCell ref="K10:M10"/>
    <mergeCell ref="X9:X10"/>
    <mergeCell ref="AB8:AP8"/>
    <mergeCell ref="AQ9:AQ10"/>
    <mergeCell ref="AR9:AR10"/>
    <mergeCell ref="P10:R10"/>
    <mergeCell ref="S10:U10"/>
    <mergeCell ref="B9:N9"/>
    <mergeCell ref="O9:O10"/>
    <mergeCell ref="P9:U9"/>
    <mergeCell ref="V9:W9"/>
    <mergeCell ref="AB9:AG9"/>
    <mergeCell ref="AB10:AD10"/>
    <mergeCell ref="Y9:AA10"/>
    <mergeCell ref="BC8:BF8"/>
    <mergeCell ref="AH9:AJ9"/>
    <mergeCell ref="AK9:AL9"/>
    <mergeCell ref="BB9:BB10"/>
    <mergeCell ref="AX9:AZ9"/>
    <mergeCell ref="BA8:BB8"/>
    <mergeCell ref="BA9:BA10"/>
    <mergeCell ref="AT8:AZ8"/>
    <mergeCell ref="AU9:AV9"/>
  </mergeCells>
  <phoneticPr fontId="23" type="noConversion"/>
  <pageMargins left="0.25" right="0.25" top="0.75" bottom="0.75" header="0.3" footer="0.3"/>
  <pageSetup paperSize="119" scale="27" fitToHeight="0" orientation="landscape" r:id="rId1"/>
  <ignoredErrors>
    <ignoredError sqref="BF12 BE1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GroupAndHideColumns" altText="HUMIDIFICATION">
                <anchor moveWithCells="1" sizeWithCells="1">
                  <from>
                    <xdr:col>0</xdr:col>
                    <xdr:colOff>12700</xdr:colOff>
                    <xdr:row>1</xdr:row>
                    <xdr:rowOff>12700</xdr:rowOff>
                  </from>
                  <to>
                    <xdr:col>1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GroupAndHidepreheat" altText="HUMIDIFICATION">
                <anchor moveWithCells="1" sizeWithCells="1">
                  <from>
                    <xdr:col>1</xdr:col>
                    <xdr:colOff>63500</xdr:colOff>
                    <xdr:row>1</xdr:row>
                    <xdr:rowOff>12700</xdr:rowOff>
                  </from>
                  <to>
                    <xdr:col>3</xdr:col>
                    <xdr:colOff>241300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" name="Button 65">
              <controlPr defaultSize="0" print="0" autoFill="0" autoPict="0" macro="[0]!ahuadd" altText="HUMIDIFICATION">
                <anchor moveWithCells="1" sizeWithCells="1">
                  <from>
                    <xdr:col>5</xdr:col>
                    <xdr:colOff>12700</xdr:colOff>
                    <xdr:row>1</xdr:row>
                    <xdr:rowOff>12700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7" name="Button 66">
              <controlPr defaultSize="0" print="0" autoFill="0" autoPict="0" macro="[0]!ahuremove">
                <anchor moveWithCells="1" sizeWithCells="1">
                  <from>
                    <xdr:col>6</xdr:col>
                    <xdr:colOff>673100</xdr:colOff>
                    <xdr:row>0</xdr:row>
                    <xdr:rowOff>139700</xdr:rowOff>
                  </from>
                  <to>
                    <xdr:col>16</xdr:col>
                    <xdr:colOff>76200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40"/>
  <sheetViews>
    <sheetView showGridLines="0" zoomScale="130" zoomScaleNormal="130" zoomScaleSheetLayoutView="145" workbookViewId="0">
      <pane xSplit="2" ySplit="9" topLeftCell="C77" activePane="bottomRight" state="frozen"/>
      <selection activeCell="N143" sqref="N143"/>
      <selection pane="topRight" activeCell="N143" sqref="N143"/>
      <selection pane="bottomLeft" activeCell="N143" sqref="N143"/>
      <selection pane="bottomRight" activeCell="I91" sqref="I91"/>
    </sheetView>
  </sheetViews>
  <sheetFormatPr baseColWidth="10" defaultColWidth="9.1640625" defaultRowHeight="11"/>
  <cols>
    <col min="1" max="1" width="43.33203125" style="2" customWidth="1"/>
    <col min="2" max="2" width="47.1640625" style="2" customWidth="1"/>
    <col min="3" max="5" width="9.83203125" style="2" customWidth="1"/>
    <col min="6" max="6" width="3" style="2" customWidth="1"/>
    <col min="7" max="12" width="9.1640625" style="2"/>
    <col min="13" max="13" width="34" style="2" bestFit="1" customWidth="1"/>
    <col min="14" max="16384" width="9.1640625" style="2"/>
  </cols>
  <sheetData>
    <row r="1" spans="1:13" ht="16">
      <c r="A1" s="232" t="s">
        <v>1</v>
      </c>
      <c r="B1" s="232"/>
      <c r="C1" s="22"/>
      <c r="D1" s="22"/>
      <c r="F1" s="23" t="s">
        <v>2</v>
      </c>
    </row>
    <row r="2" spans="1:13" ht="16">
      <c r="A2" s="232"/>
      <c r="B2" s="232"/>
      <c r="C2" s="22"/>
      <c r="D2" s="22"/>
      <c r="F2" s="24" t="s">
        <v>49</v>
      </c>
    </row>
    <row r="3" spans="1:13">
      <c r="A3" s="233" t="s">
        <v>11</v>
      </c>
      <c r="B3" s="233"/>
      <c r="C3" s="233"/>
      <c r="D3" s="233"/>
      <c r="E3" s="233"/>
      <c r="F3" s="234"/>
    </row>
    <row r="4" spans="1:13">
      <c r="B4" s="2" t="s">
        <v>37</v>
      </c>
      <c r="F4" s="25"/>
    </row>
    <row r="5" spans="1:13">
      <c r="A5" s="34">
        <v>1</v>
      </c>
      <c r="B5" s="3">
        <v>2</v>
      </c>
      <c r="C5" s="3">
        <v>3</v>
      </c>
      <c r="D5" s="3">
        <v>4</v>
      </c>
      <c r="E5" s="35">
        <v>5</v>
      </c>
    </row>
    <row r="6" spans="1:13">
      <c r="A6" s="228" t="s">
        <v>3</v>
      </c>
      <c r="B6" s="226" t="s">
        <v>4</v>
      </c>
      <c r="C6" s="235" t="s">
        <v>5</v>
      </c>
      <c r="D6" s="235"/>
      <c r="E6" s="236" t="s">
        <v>6</v>
      </c>
    </row>
    <row r="7" spans="1:13">
      <c r="A7" s="229"/>
      <c r="B7" s="226"/>
      <c r="C7" s="226" t="s">
        <v>7</v>
      </c>
      <c r="D7" s="226" t="s">
        <v>8</v>
      </c>
      <c r="E7" s="236"/>
    </row>
    <row r="8" spans="1:13">
      <c r="A8" s="230"/>
      <c r="B8" s="226"/>
      <c r="C8" s="226"/>
      <c r="D8" s="226"/>
      <c r="E8" s="236"/>
    </row>
    <row r="9" spans="1:13">
      <c r="A9" s="231"/>
      <c r="B9" s="227"/>
      <c r="C9" s="227"/>
      <c r="D9" s="227"/>
      <c r="E9" s="237"/>
    </row>
    <row r="10" spans="1:13">
      <c r="A10" s="36" t="s">
        <v>113</v>
      </c>
      <c r="B10" s="4" t="s">
        <v>129</v>
      </c>
      <c r="C10" s="4" t="s">
        <v>38</v>
      </c>
      <c r="D10" s="4">
        <v>10</v>
      </c>
      <c r="E10" s="20" t="s">
        <v>242</v>
      </c>
      <c r="M10" s="85" t="str">
        <f>UPPER(B10)</f>
        <v>(E)</v>
      </c>
    </row>
    <row r="11" spans="1:13">
      <c r="A11" s="36" t="s">
        <v>112</v>
      </c>
      <c r="B11" s="4" t="s">
        <v>130</v>
      </c>
      <c r="C11" s="4">
        <v>2</v>
      </c>
      <c r="D11" s="4">
        <v>12</v>
      </c>
      <c r="E11" s="20" t="s">
        <v>242</v>
      </c>
      <c r="M11" s="85"/>
    </row>
    <row r="12" spans="1:13">
      <c r="A12" s="37" t="s">
        <v>132</v>
      </c>
      <c r="B12" s="4" t="s">
        <v>82</v>
      </c>
      <c r="C12" s="5">
        <v>2</v>
      </c>
      <c r="D12" s="5">
        <v>12</v>
      </c>
      <c r="E12" s="20" t="s">
        <v>242</v>
      </c>
      <c r="M12" s="85"/>
    </row>
    <row r="13" spans="1:13">
      <c r="A13" s="37" t="s">
        <v>133</v>
      </c>
      <c r="B13" s="4" t="s">
        <v>85</v>
      </c>
      <c r="C13" s="5">
        <v>3</v>
      </c>
      <c r="D13" s="5">
        <v>15</v>
      </c>
      <c r="E13" s="20" t="s">
        <v>38</v>
      </c>
      <c r="M13" s="85"/>
    </row>
    <row r="14" spans="1:13">
      <c r="A14" s="37" t="s">
        <v>134</v>
      </c>
      <c r="B14" s="4" t="s">
        <v>82</v>
      </c>
      <c r="C14" s="5" t="s">
        <v>38</v>
      </c>
      <c r="D14" s="5">
        <v>10</v>
      </c>
      <c r="E14" s="20" t="s">
        <v>242</v>
      </c>
      <c r="M14" s="85"/>
    </row>
    <row r="15" spans="1:13">
      <c r="A15" s="37" t="s">
        <v>135</v>
      </c>
      <c r="B15" s="4" t="s">
        <v>82</v>
      </c>
      <c r="C15" s="8" t="s">
        <v>38</v>
      </c>
      <c r="D15" s="6">
        <v>12</v>
      </c>
      <c r="E15" s="7" t="s">
        <v>242</v>
      </c>
      <c r="G15" s="2" t="s">
        <v>39</v>
      </c>
      <c r="M15" s="85"/>
    </row>
    <row r="16" spans="1:13">
      <c r="A16" s="37" t="s">
        <v>136</v>
      </c>
      <c r="B16" s="4" t="s">
        <v>82</v>
      </c>
      <c r="C16" s="8" t="s">
        <v>38</v>
      </c>
      <c r="D16" s="6">
        <v>12</v>
      </c>
      <c r="E16" s="20" t="s">
        <v>242</v>
      </c>
      <c r="G16" s="2" t="s">
        <v>39</v>
      </c>
      <c r="M16" s="85"/>
    </row>
    <row r="17" spans="1:13">
      <c r="A17" s="37" t="s">
        <v>137</v>
      </c>
      <c r="B17" s="4" t="s">
        <v>81</v>
      </c>
      <c r="C17" s="5">
        <v>2</v>
      </c>
      <c r="D17" s="5">
        <v>6</v>
      </c>
      <c r="E17" s="20" t="s">
        <v>38</v>
      </c>
      <c r="M17" s="85"/>
    </row>
    <row r="18" spans="1:13">
      <c r="A18" s="37" t="s">
        <v>138</v>
      </c>
      <c r="B18" s="5" t="s">
        <v>81</v>
      </c>
      <c r="C18" s="5">
        <v>2</v>
      </c>
      <c r="D18" s="5">
        <v>6</v>
      </c>
      <c r="E18" s="20" t="s">
        <v>38</v>
      </c>
      <c r="M18" s="85"/>
    </row>
    <row r="19" spans="1:13">
      <c r="A19" s="37" t="s">
        <v>139</v>
      </c>
      <c r="B19" s="4" t="s">
        <v>82</v>
      </c>
      <c r="C19" s="5">
        <v>2</v>
      </c>
      <c r="D19" s="5">
        <v>12</v>
      </c>
      <c r="E19" s="20" t="s">
        <v>242</v>
      </c>
      <c r="M19" s="85"/>
    </row>
    <row r="20" spans="1:13">
      <c r="A20" s="37" t="s">
        <v>140</v>
      </c>
      <c r="B20" s="4" t="s">
        <v>85</v>
      </c>
      <c r="C20" s="5">
        <v>3</v>
      </c>
      <c r="D20" s="5">
        <v>15</v>
      </c>
      <c r="E20" s="20" t="s">
        <v>38</v>
      </c>
      <c r="G20" s="2" t="s">
        <v>43</v>
      </c>
      <c r="M20" s="85"/>
    </row>
    <row r="21" spans="1:13">
      <c r="A21" s="37" t="s">
        <v>106</v>
      </c>
      <c r="B21" s="4" t="s">
        <v>85</v>
      </c>
      <c r="C21" s="5" t="s">
        <v>38</v>
      </c>
      <c r="D21" s="5">
        <v>2</v>
      </c>
      <c r="E21" s="20" t="s">
        <v>38</v>
      </c>
      <c r="M21" s="85"/>
    </row>
    <row r="22" spans="1:13">
      <c r="A22" s="37" t="s">
        <v>141</v>
      </c>
      <c r="B22" s="4" t="s">
        <v>85</v>
      </c>
      <c r="C22" s="5">
        <v>2</v>
      </c>
      <c r="D22" s="5">
        <v>4</v>
      </c>
      <c r="E22" s="20" t="s">
        <v>38</v>
      </c>
      <c r="M22" s="85"/>
    </row>
    <row r="23" spans="1:13">
      <c r="A23" s="37" t="s">
        <v>108</v>
      </c>
      <c r="B23" s="4" t="s">
        <v>85</v>
      </c>
      <c r="C23" s="5">
        <v>2</v>
      </c>
      <c r="D23" s="5">
        <v>4</v>
      </c>
      <c r="E23" s="20" t="s">
        <v>38</v>
      </c>
      <c r="M23" s="85"/>
    </row>
    <row r="24" spans="1:13">
      <c r="A24" s="37" t="s">
        <v>142</v>
      </c>
      <c r="B24" s="4" t="s">
        <v>81</v>
      </c>
      <c r="C24" s="5">
        <v>2</v>
      </c>
      <c r="D24" s="5">
        <v>6</v>
      </c>
      <c r="E24" s="20" t="s">
        <v>38</v>
      </c>
      <c r="M24" s="85"/>
    </row>
    <row r="25" spans="1:13">
      <c r="A25" s="37" t="s">
        <v>143</v>
      </c>
      <c r="B25" s="4" t="s">
        <v>81</v>
      </c>
      <c r="C25" s="5">
        <v>2</v>
      </c>
      <c r="D25" s="5">
        <v>6</v>
      </c>
      <c r="E25" s="20" t="s">
        <v>38</v>
      </c>
      <c r="M25" s="85"/>
    </row>
    <row r="26" spans="1:13">
      <c r="A26" s="37" t="s">
        <v>144</v>
      </c>
      <c r="B26" s="4" t="s">
        <v>82</v>
      </c>
      <c r="C26" s="5">
        <v>2</v>
      </c>
      <c r="D26" s="5">
        <v>10</v>
      </c>
      <c r="E26" s="20" t="s">
        <v>242</v>
      </c>
      <c r="M26" s="85"/>
    </row>
    <row r="27" spans="1:13">
      <c r="A27" s="37" t="s">
        <v>145</v>
      </c>
      <c r="B27" s="5" t="s">
        <v>85</v>
      </c>
      <c r="C27" s="5">
        <v>4</v>
      </c>
      <c r="D27" s="5">
        <v>20</v>
      </c>
      <c r="E27" s="20" t="s">
        <v>38</v>
      </c>
      <c r="M27" s="85"/>
    </row>
    <row r="28" spans="1:13">
      <c r="A28" s="37" t="s">
        <v>146</v>
      </c>
      <c r="B28" s="5" t="s">
        <v>81</v>
      </c>
      <c r="C28" s="5">
        <v>2</v>
      </c>
      <c r="D28" s="5">
        <v>6</v>
      </c>
      <c r="E28" s="20" t="s">
        <v>38</v>
      </c>
      <c r="M28" s="85"/>
    </row>
    <row r="29" spans="1:13">
      <c r="A29" s="37" t="s">
        <v>147</v>
      </c>
      <c r="B29" s="4" t="s">
        <v>82</v>
      </c>
      <c r="C29" s="5" t="s">
        <v>38</v>
      </c>
      <c r="D29" s="5">
        <v>10</v>
      </c>
      <c r="E29" s="21" t="s">
        <v>242</v>
      </c>
      <c r="M29" s="85"/>
    </row>
    <row r="30" spans="1:13">
      <c r="A30" s="37" t="s">
        <v>148</v>
      </c>
      <c r="B30" s="4" t="s">
        <v>81</v>
      </c>
      <c r="C30" s="8" t="s">
        <v>38</v>
      </c>
      <c r="D30" s="5">
        <v>2</v>
      </c>
      <c r="E30" s="20" t="s">
        <v>38</v>
      </c>
      <c r="M30" s="85"/>
    </row>
    <row r="31" spans="1:13">
      <c r="A31" s="37" t="s">
        <v>149</v>
      </c>
      <c r="B31" s="4" t="s">
        <v>42</v>
      </c>
      <c r="C31" s="5">
        <v>3</v>
      </c>
      <c r="D31" s="5">
        <v>15</v>
      </c>
      <c r="E31" s="20" t="s">
        <v>38</v>
      </c>
      <c r="M31" s="85"/>
    </row>
    <row r="32" spans="1:13">
      <c r="A32" s="37" t="s">
        <v>150</v>
      </c>
      <c r="B32" s="5" t="s">
        <v>81</v>
      </c>
      <c r="C32" s="5">
        <v>2</v>
      </c>
      <c r="D32" s="5">
        <v>6</v>
      </c>
      <c r="E32" s="20" t="s">
        <v>38</v>
      </c>
      <c r="M32" s="85"/>
    </row>
    <row r="33" spans="1:13">
      <c r="A33" s="37" t="s">
        <v>151</v>
      </c>
      <c r="B33" s="5" t="s">
        <v>82</v>
      </c>
      <c r="C33" s="5">
        <v>2</v>
      </c>
      <c r="D33" s="5">
        <v>10</v>
      </c>
      <c r="E33" s="7" t="s">
        <v>242</v>
      </c>
      <c r="M33" s="85"/>
    </row>
    <row r="34" spans="1:13">
      <c r="A34" s="37" t="s">
        <v>152</v>
      </c>
      <c r="B34" s="5" t="s">
        <v>82</v>
      </c>
      <c r="C34" s="5">
        <v>2</v>
      </c>
      <c r="D34" s="5">
        <v>12</v>
      </c>
      <c r="E34" s="7" t="s">
        <v>242</v>
      </c>
      <c r="M34" s="85"/>
    </row>
    <row r="35" spans="1:13">
      <c r="A35" s="37" t="s">
        <v>153</v>
      </c>
      <c r="B35" s="5" t="s">
        <v>82</v>
      </c>
      <c r="C35" s="5">
        <v>2</v>
      </c>
      <c r="D35" s="5">
        <v>12</v>
      </c>
      <c r="E35" s="7" t="s">
        <v>243</v>
      </c>
      <c r="M35" s="85"/>
    </row>
    <row r="36" spans="1:13">
      <c r="A36" s="37" t="s">
        <v>111</v>
      </c>
      <c r="B36" s="5" t="s">
        <v>81</v>
      </c>
      <c r="C36" s="5">
        <v>2</v>
      </c>
      <c r="D36" s="5">
        <v>6</v>
      </c>
      <c r="E36" s="20" t="s">
        <v>38</v>
      </c>
      <c r="M36" s="85"/>
    </row>
    <row r="37" spans="1:13">
      <c r="A37" s="37" t="s">
        <v>154</v>
      </c>
      <c r="B37" s="5" t="s">
        <v>81</v>
      </c>
      <c r="C37" s="5">
        <v>2</v>
      </c>
      <c r="D37" s="5">
        <v>6</v>
      </c>
      <c r="E37" s="20" t="s">
        <v>38</v>
      </c>
      <c r="M37" s="85"/>
    </row>
    <row r="38" spans="1:13">
      <c r="A38" s="37" t="s">
        <v>155</v>
      </c>
      <c r="B38" s="5" t="s">
        <v>82</v>
      </c>
      <c r="C38" s="5">
        <v>2</v>
      </c>
      <c r="D38" s="5">
        <v>6</v>
      </c>
      <c r="E38" s="7" t="s">
        <v>242</v>
      </c>
      <c r="M38" s="85"/>
    </row>
    <row r="39" spans="1:13">
      <c r="A39" s="37" t="s">
        <v>156</v>
      </c>
      <c r="B39" s="5" t="s">
        <v>81</v>
      </c>
      <c r="C39" s="5">
        <v>2</v>
      </c>
      <c r="D39" s="5">
        <v>10</v>
      </c>
      <c r="E39" s="20" t="s">
        <v>38</v>
      </c>
      <c r="M39" s="85"/>
    </row>
    <row r="40" spans="1:13">
      <c r="A40" s="37" t="s">
        <v>157</v>
      </c>
      <c r="B40" s="5" t="s">
        <v>81</v>
      </c>
      <c r="C40" s="5">
        <v>2</v>
      </c>
      <c r="D40" s="5">
        <v>6</v>
      </c>
      <c r="E40" s="20" t="s">
        <v>38</v>
      </c>
      <c r="M40" s="85"/>
    </row>
    <row r="41" spans="1:13">
      <c r="A41" s="37" t="s">
        <v>158</v>
      </c>
      <c r="B41" s="5" t="s">
        <v>81</v>
      </c>
      <c r="C41" s="5">
        <v>2</v>
      </c>
      <c r="D41" s="5">
        <v>6</v>
      </c>
      <c r="E41" s="20" t="s">
        <v>38</v>
      </c>
      <c r="M41" s="85"/>
    </row>
    <row r="42" spans="1:13">
      <c r="A42" s="37" t="s">
        <v>159</v>
      </c>
      <c r="B42" s="5" t="s">
        <v>82</v>
      </c>
      <c r="C42" s="5">
        <v>2</v>
      </c>
      <c r="D42" s="5">
        <v>10</v>
      </c>
      <c r="E42" s="7" t="s">
        <v>242</v>
      </c>
      <c r="M42" s="85"/>
    </row>
    <row r="43" spans="1:13">
      <c r="A43" s="37" t="s">
        <v>160</v>
      </c>
      <c r="B43" s="5" t="s">
        <v>82</v>
      </c>
      <c r="C43" s="5">
        <v>2</v>
      </c>
      <c r="D43" s="5">
        <v>6</v>
      </c>
      <c r="E43" s="20" t="s">
        <v>38</v>
      </c>
      <c r="M43" s="85"/>
    </row>
    <row r="44" spans="1:13">
      <c r="A44" s="37" t="s">
        <v>161</v>
      </c>
      <c r="B44" s="5" t="s">
        <v>85</v>
      </c>
      <c r="C44" s="5">
        <v>2</v>
      </c>
      <c r="D44" s="5">
        <v>6</v>
      </c>
      <c r="E44" s="20" t="s">
        <v>38</v>
      </c>
      <c r="M44" s="85"/>
    </row>
    <row r="45" spans="1:13">
      <c r="A45" s="37" t="s">
        <v>162</v>
      </c>
      <c r="B45" s="5" t="s">
        <v>81</v>
      </c>
      <c r="C45" s="26">
        <v>2</v>
      </c>
      <c r="D45" s="5">
        <v>6</v>
      </c>
      <c r="E45" s="20" t="s">
        <v>38</v>
      </c>
      <c r="M45" s="85"/>
    </row>
    <row r="46" spans="1:13">
      <c r="A46" s="37" t="s">
        <v>163</v>
      </c>
      <c r="B46" s="5" t="s">
        <v>85</v>
      </c>
      <c r="C46" s="26">
        <v>5</v>
      </c>
      <c r="D46" s="5">
        <v>15</v>
      </c>
      <c r="E46" s="20" t="s">
        <v>38</v>
      </c>
      <c r="M46" s="85"/>
    </row>
    <row r="47" spans="1:13">
      <c r="A47" s="37" t="s">
        <v>164</v>
      </c>
      <c r="B47" s="5" t="s">
        <v>85</v>
      </c>
      <c r="C47" s="5">
        <v>2</v>
      </c>
      <c r="D47" s="5">
        <v>6</v>
      </c>
      <c r="E47" s="20" t="s">
        <v>38</v>
      </c>
      <c r="M47" s="85"/>
    </row>
    <row r="48" spans="1:13">
      <c r="A48" s="37" t="s">
        <v>165</v>
      </c>
      <c r="B48" s="5" t="s">
        <v>82</v>
      </c>
      <c r="C48" s="8" t="s">
        <v>38</v>
      </c>
      <c r="D48" s="5">
        <v>10</v>
      </c>
      <c r="E48" s="20" t="s">
        <v>242</v>
      </c>
      <c r="M48" s="85"/>
    </row>
    <row r="49" spans="1:13">
      <c r="A49" s="37" t="s">
        <v>166</v>
      </c>
      <c r="B49" s="5" t="s">
        <v>81</v>
      </c>
      <c r="C49" s="5">
        <v>2</v>
      </c>
      <c r="D49" s="5">
        <v>6</v>
      </c>
      <c r="E49" s="20" t="s">
        <v>38</v>
      </c>
      <c r="M49" s="85"/>
    </row>
    <row r="50" spans="1:13">
      <c r="A50" s="37" t="s">
        <v>167</v>
      </c>
      <c r="B50" s="5" t="s">
        <v>81</v>
      </c>
      <c r="C50" s="5">
        <v>2</v>
      </c>
      <c r="D50" s="5">
        <v>6</v>
      </c>
      <c r="E50" s="20" t="s">
        <v>38</v>
      </c>
      <c r="M50" s="85"/>
    </row>
    <row r="51" spans="1:13">
      <c r="A51" s="37" t="s">
        <v>168</v>
      </c>
      <c r="B51" s="5" t="s">
        <v>82</v>
      </c>
      <c r="C51" s="5">
        <v>2</v>
      </c>
      <c r="D51" s="5">
        <v>6</v>
      </c>
      <c r="E51" s="20" t="s">
        <v>242</v>
      </c>
      <c r="M51" s="85"/>
    </row>
    <row r="52" spans="1:13">
      <c r="A52" s="37" t="s">
        <v>169</v>
      </c>
      <c r="B52" s="5" t="s">
        <v>82</v>
      </c>
      <c r="C52" s="5">
        <v>2</v>
      </c>
      <c r="D52" s="5">
        <v>6</v>
      </c>
      <c r="E52" s="20" t="s">
        <v>242</v>
      </c>
      <c r="M52" s="85"/>
    </row>
    <row r="53" spans="1:13">
      <c r="A53" s="37" t="s">
        <v>170</v>
      </c>
      <c r="B53" s="5" t="s">
        <v>82</v>
      </c>
      <c r="C53" s="5">
        <v>2</v>
      </c>
      <c r="D53" s="5">
        <v>6</v>
      </c>
      <c r="E53" s="7" t="s">
        <v>242</v>
      </c>
      <c r="M53" s="85"/>
    </row>
    <row r="54" spans="1:13">
      <c r="A54" s="37" t="s">
        <v>171</v>
      </c>
      <c r="B54" s="5" t="s">
        <v>82</v>
      </c>
      <c r="C54" s="5">
        <v>2</v>
      </c>
      <c r="D54" s="5">
        <v>6</v>
      </c>
      <c r="E54" s="20" t="s">
        <v>38</v>
      </c>
      <c r="M54" s="85"/>
    </row>
    <row r="55" spans="1:13">
      <c r="A55" s="37" t="s">
        <v>172</v>
      </c>
      <c r="B55" s="5" t="s">
        <v>82</v>
      </c>
      <c r="C55" s="5">
        <v>2</v>
      </c>
      <c r="D55" s="5">
        <v>10</v>
      </c>
      <c r="E55" s="20" t="s">
        <v>242</v>
      </c>
      <c r="M55" s="85"/>
    </row>
    <row r="56" spans="1:13">
      <c r="A56" s="37" t="s">
        <v>173</v>
      </c>
      <c r="B56" s="5" t="s">
        <v>82</v>
      </c>
      <c r="C56" s="5">
        <v>2</v>
      </c>
      <c r="D56" s="5">
        <v>6</v>
      </c>
      <c r="E56" s="7" t="s">
        <v>242</v>
      </c>
      <c r="M56" s="85"/>
    </row>
    <row r="57" spans="1:13">
      <c r="A57" s="37" t="s">
        <v>174</v>
      </c>
      <c r="B57" s="5" t="s">
        <v>82</v>
      </c>
      <c r="C57" s="5">
        <v>2</v>
      </c>
      <c r="D57" s="5">
        <v>6</v>
      </c>
      <c r="E57" s="7" t="s">
        <v>242</v>
      </c>
      <c r="M57" s="85"/>
    </row>
    <row r="58" spans="1:13">
      <c r="A58" s="37" t="s">
        <v>175</v>
      </c>
      <c r="B58" s="5" t="s">
        <v>85</v>
      </c>
      <c r="C58" s="5">
        <v>2</v>
      </c>
      <c r="D58" s="5">
        <v>4</v>
      </c>
      <c r="E58" s="20" t="s">
        <v>38</v>
      </c>
      <c r="M58" s="85"/>
    </row>
    <row r="59" spans="1:13">
      <c r="A59" s="37" t="s">
        <v>176</v>
      </c>
      <c r="B59" s="5" t="s">
        <v>82</v>
      </c>
      <c r="C59" s="5">
        <v>2</v>
      </c>
      <c r="D59" s="5">
        <v>6</v>
      </c>
      <c r="E59" s="7" t="s">
        <v>242</v>
      </c>
      <c r="M59" s="85"/>
    </row>
    <row r="60" spans="1:13">
      <c r="A60" s="37" t="s">
        <v>177</v>
      </c>
      <c r="B60" s="5" t="s">
        <v>82</v>
      </c>
      <c r="C60" s="5">
        <v>2</v>
      </c>
      <c r="D60" s="5">
        <v>6</v>
      </c>
      <c r="E60" s="7" t="s">
        <v>242</v>
      </c>
      <c r="M60" s="85"/>
    </row>
    <row r="61" spans="1:13">
      <c r="A61" s="37" t="s">
        <v>178</v>
      </c>
      <c r="B61" s="5" t="s">
        <v>82</v>
      </c>
      <c r="C61" s="5">
        <v>2</v>
      </c>
      <c r="D61" s="5">
        <v>6</v>
      </c>
      <c r="E61" s="7" t="s">
        <v>242</v>
      </c>
      <c r="M61" s="85"/>
    </row>
    <row r="62" spans="1:13">
      <c r="A62" s="37" t="s">
        <v>179</v>
      </c>
      <c r="B62" s="5" t="s">
        <v>82</v>
      </c>
      <c r="C62" s="5">
        <v>2</v>
      </c>
      <c r="D62" s="5">
        <v>6</v>
      </c>
      <c r="E62" s="7" t="s">
        <v>242</v>
      </c>
      <c r="M62" s="85"/>
    </row>
    <row r="63" spans="1:13">
      <c r="A63" s="37" t="s">
        <v>180</v>
      </c>
      <c r="B63" s="5" t="s">
        <v>82</v>
      </c>
      <c r="C63" s="5">
        <v>2</v>
      </c>
      <c r="D63" s="5">
        <v>10</v>
      </c>
      <c r="E63" s="7" t="s">
        <v>242</v>
      </c>
      <c r="M63" s="85"/>
    </row>
    <row r="64" spans="1:13">
      <c r="A64" s="37" t="s">
        <v>75</v>
      </c>
      <c r="B64" s="5" t="s">
        <v>81</v>
      </c>
      <c r="C64" s="5">
        <v>2</v>
      </c>
      <c r="D64" s="5">
        <v>6</v>
      </c>
      <c r="E64" s="20" t="s">
        <v>38</v>
      </c>
      <c r="M64" s="85"/>
    </row>
    <row r="65" spans="1:13">
      <c r="A65" s="37" t="s">
        <v>181</v>
      </c>
      <c r="B65" s="5" t="s">
        <v>85</v>
      </c>
      <c r="C65" s="5">
        <v>3</v>
      </c>
      <c r="D65" s="5">
        <v>15</v>
      </c>
      <c r="E65" s="20" t="s">
        <v>38</v>
      </c>
      <c r="M65" s="85"/>
    </row>
    <row r="66" spans="1:13">
      <c r="A66" s="37" t="s">
        <v>114</v>
      </c>
      <c r="B66" s="5" t="s">
        <v>82</v>
      </c>
      <c r="C66" s="5">
        <v>2</v>
      </c>
      <c r="D66" s="5">
        <v>10</v>
      </c>
      <c r="E66" s="7" t="s">
        <v>242</v>
      </c>
      <c r="M66" s="85"/>
    </row>
    <row r="67" spans="1:13">
      <c r="A67" s="37" t="s">
        <v>182</v>
      </c>
      <c r="B67" s="5" t="s">
        <v>82</v>
      </c>
      <c r="C67" s="8" t="s">
        <v>38</v>
      </c>
      <c r="D67" s="5">
        <v>10</v>
      </c>
      <c r="E67" s="20" t="s">
        <v>242</v>
      </c>
      <c r="M67" s="85"/>
    </row>
    <row r="68" spans="1:13">
      <c r="A68" s="37" t="s">
        <v>183</v>
      </c>
      <c r="B68" s="5" t="s">
        <v>82</v>
      </c>
      <c r="C68" s="8" t="s">
        <v>38</v>
      </c>
      <c r="D68" s="5">
        <v>8</v>
      </c>
      <c r="E68" s="20" t="s">
        <v>242</v>
      </c>
      <c r="M68" s="85"/>
    </row>
    <row r="69" spans="1:13">
      <c r="A69" s="37" t="s">
        <v>96</v>
      </c>
      <c r="B69" s="5" t="s">
        <v>81</v>
      </c>
      <c r="C69" s="8">
        <v>2</v>
      </c>
      <c r="D69" s="5">
        <v>4</v>
      </c>
      <c r="E69" s="20" t="s">
        <v>38</v>
      </c>
      <c r="M69" s="85"/>
    </row>
    <row r="70" spans="1:13">
      <c r="A70" s="37" t="s">
        <v>184</v>
      </c>
      <c r="B70" s="5" t="s">
        <v>82</v>
      </c>
      <c r="C70" s="5">
        <v>2</v>
      </c>
      <c r="D70" s="5">
        <v>12</v>
      </c>
      <c r="E70" s="7" t="s">
        <v>242</v>
      </c>
      <c r="M70" s="85"/>
    </row>
    <row r="71" spans="1:13">
      <c r="A71" s="37" t="s">
        <v>185</v>
      </c>
      <c r="B71" s="5" t="s">
        <v>81</v>
      </c>
      <c r="C71" s="5">
        <v>2</v>
      </c>
      <c r="D71" s="5">
        <v>6</v>
      </c>
      <c r="E71" s="20" t="s">
        <v>38</v>
      </c>
      <c r="M71" s="85"/>
    </row>
    <row r="72" spans="1:13">
      <c r="A72" s="37" t="s">
        <v>186</v>
      </c>
      <c r="B72" s="5" t="s">
        <v>82</v>
      </c>
      <c r="C72" s="5">
        <v>2</v>
      </c>
      <c r="D72" s="5">
        <v>12</v>
      </c>
      <c r="E72" s="7" t="s">
        <v>242</v>
      </c>
      <c r="M72" s="85"/>
    </row>
    <row r="73" spans="1:13">
      <c r="A73" s="37" t="s">
        <v>187</v>
      </c>
      <c r="B73" s="5" t="s">
        <v>85</v>
      </c>
      <c r="C73" s="5">
        <v>2</v>
      </c>
      <c r="D73" s="5">
        <v>6</v>
      </c>
      <c r="E73" s="20" t="s">
        <v>38</v>
      </c>
      <c r="M73" s="85"/>
    </row>
    <row r="74" spans="1:13">
      <c r="A74" s="37" t="s">
        <v>188</v>
      </c>
      <c r="B74" s="5" t="s">
        <v>42</v>
      </c>
      <c r="C74" s="5">
        <v>2</v>
      </c>
      <c r="D74" s="5">
        <v>10</v>
      </c>
      <c r="E74" s="20" t="s">
        <v>38</v>
      </c>
      <c r="M74" s="85"/>
    </row>
    <row r="75" spans="1:13">
      <c r="A75" s="37" t="s">
        <v>189</v>
      </c>
      <c r="B75" s="5" t="s">
        <v>81</v>
      </c>
      <c r="C75" s="5">
        <v>2</v>
      </c>
      <c r="D75" s="5">
        <v>6</v>
      </c>
      <c r="E75" s="20" t="s">
        <v>38</v>
      </c>
      <c r="M75" s="85"/>
    </row>
    <row r="76" spans="1:13">
      <c r="A76" s="37" t="s">
        <v>190</v>
      </c>
      <c r="B76" s="5" t="s">
        <v>82</v>
      </c>
      <c r="C76" s="5" t="s">
        <v>38</v>
      </c>
      <c r="D76" s="5">
        <v>10</v>
      </c>
      <c r="E76" s="7" t="s">
        <v>242</v>
      </c>
      <c r="M76" s="85"/>
    </row>
    <row r="77" spans="1:13">
      <c r="A77" s="37" t="s">
        <v>77</v>
      </c>
      <c r="B77" s="5" t="s">
        <v>81</v>
      </c>
      <c r="C77" s="5" t="s">
        <v>38</v>
      </c>
      <c r="D77" s="5">
        <v>2</v>
      </c>
      <c r="E77" s="20" t="s">
        <v>38</v>
      </c>
      <c r="M77" s="85"/>
    </row>
    <row r="78" spans="1:13">
      <c r="A78" s="37" t="s">
        <v>191</v>
      </c>
      <c r="B78" s="5" t="s">
        <v>82</v>
      </c>
      <c r="C78" s="5">
        <v>2</v>
      </c>
      <c r="D78" s="5">
        <v>6</v>
      </c>
      <c r="E78" s="7" t="s">
        <v>242</v>
      </c>
      <c r="M78" s="85"/>
    </row>
    <row r="79" spans="1:13">
      <c r="A79" s="37" t="s">
        <v>192</v>
      </c>
      <c r="B79" s="5" t="s">
        <v>82</v>
      </c>
      <c r="C79" s="5" t="s">
        <v>38</v>
      </c>
      <c r="D79" s="5">
        <v>6</v>
      </c>
      <c r="E79" s="7" t="s">
        <v>242</v>
      </c>
      <c r="M79" s="85"/>
    </row>
    <row r="80" spans="1:13">
      <c r="A80" s="37" t="s">
        <v>193</v>
      </c>
      <c r="B80" s="5" t="s">
        <v>82</v>
      </c>
      <c r="C80" s="5">
        <v>2</v>
      </c>
      <c r="D80" s="5">
        <v>6</v>
      </c>
      <c r="E80" s="7" t="s">
        <v>242</v>
      </c>
      <c r="M80" s="85"/>
    </row>
    <row r="81" spans="1:13">
      <c r="A81" s="37" t="s">
        <v>109</v>
      </c>
      <c r="B81" s="5" t="s">
        <v>131</v>
      </c>
      <c r="C81" s="5">
        <v>2</v>
      </c>
      <c r="D81" s="5">
        <v>2</v>
      </c>
      <c r="E81" s="7" t="s">
        <v>131</v>
      </c>
      <c r="G81" s="2" t="s">
        <v>44</v>
      </c>
      <c r="M81" s="85"/>
    </row>
    <row r="82" spans="1:13">
      <c r="A82" s="37" t="s">
        <v>194</v>
      </c>
      <c r="B82" s="5" t="s">
        <v>81</v>
      </c>
      <c r="C82" s="5">
        <v>2</v>
      </c>
      <c r="D82" s="5">
        <v>6</v>
      </c>
      <c r="E82" s="20" t="s">
        <v>38</v>
      </c>
      <c r="M82" s="85"/>
    </row>
    <row r="83" spans="1:13">
      <c r="A83" s="37" t="s">
        <v>195</v>
      </c>
      <c r="B83" s="5" t="s">
        <v>81</v>
      </c>
      <c r="C83" s="5">
        <v>2</v>
      </c>
      <c r="D83" s="5">
        <v>6</v>
      </c>
      <c r="E83" s="20" t="s">
        <v>38</v>
      </c>
      <c r="M83" s="85"/>
    </row>
    <row r="84" spans="1:13">
      <c r="A84" s="37" t="s">
        <v>196</v>
      </c>
      <c r="B84" s="5" t="s">
        <v>85</v>
      </c>
      <c r="C84" s="5">
        <v>4</v>
      </c>
      <c r="D84" s="5">
        <v>20</v>
      </c>
      <c r="E84" s="20" t="s">
        <v>38</v>
      </c>
      <c r="M84" s="85"/>
    </row>
    <row r="85" spans="1:13">
      <c r="A85" s="37" t="s">
        <v>197</v>
      </c>
      <c r="B85" s="5" t="s">
        <v>85</v>
      </c>
      <c r="C85" s="5">
        <v>4</v>
      </c>
      <c r="D85" s="5">
        <v>20</v>
      </c>
      <c r="E85" s="20" t="s">
        <v>38</v>
      </c>
      <c r="M85" s="85"/>
    </row>
    <row r="86" spans="1:13">
      <c r="A86" s="37" t="s">
        <v>95</v>
      </c>
      <c r="B86" s="5" t="s">
        <v>81</v>
      </c>
      <c r="C86" s="5" t="s">
        <v>38</v>
      </c>
      <c r="D86" s="5">
        <v>2</v>
      </c>
      <c r="E86" s="20" t="s">
        <v>38</v>
      </c>
      <c r="M86" s="85"/>
    </row>
    <row r="87" spans="1:13">
      <c r="A87" s="37" t="s">
        <v>198</v>
      </c>
      <c r="B87" s="5" t="s">
        <v>81</v>
      </c>
      <c r="C87" s="5">
        <v>2</v>
      </c>
      <c r="D87" s="5">
        <v>6</v>
      </c>
      <c r="E87" s="20" t="s">
        <v>38</v>
      </c>
      <c r="M87" s="85"/>
    </row>
    <row r="88" spans="1:13">
      <c r="A88" s="37" t="s">
        <v>103</v>
      </c>
      <c r="B88" s="5" t="s">
        <v>81</v>
      </c>
      <c r="C88" s="5">
        <v>2</v>
      </c>
      <c r="D88" s="5">
        <v>4</v>
      </c>
      <c r="E88" s="20" t="s">
        <v>38</v>
      </c>
      <c r="M88" s="85"/>
    </row>
    <row r="89" spans="1:13">
      <c r="A89" s="37" t="s">
        <v>199</v>
      </c>
      <c r="B89" s="5" t="s">
        <v>81</v>
      </c>
      <c r="C89" s="5">
        <v>2</v>
      </c>
      <c r="D89" s="5">
        <v>6</v>
      </c>
      <c r="E89" s="20" t="s">
        <v>38</v>
      </c>
      <c r="M89" s="85"/>
    </row>
    <row r="90" spans="1:13">
      <c r="A90" s="37" t="s">
        <v>97</v>
      </c>
      <c r="B90" s="5" t="s">
        <v>85</v>
      </c>
      <c r="C90" s="5">
        <v>2</v>
      </c>
      <c r="D90" s="5">
        <v>4</v>
      </c>
      <c r="E90" s="20" t="s">
        <v>38</v>
      </c>
      <c r="M90" s="85"/>
    </row>
    <row r="91" spans="1:13">
      <c r="A91" s="37" t="s">
        <v>200</v>
      </c>
      <c r="B91" s="5" t="s">
        <v>81</v>
      </c>
      <c r="C91" s="5">
        <v>2</v>
      </c>
      <c r="D91" s="5">
        <v>4</v>
      </c>
      <c r="E91" s="21" t="s">
        <v>38</v>
      </c>
      <c r="M91" s="85"/>
    </row>
    <row r="92" spans="1:13">
      <c r="A92" s="37" t="s">
        <v>201</v>
      </c>
      <c r="B92" s="5" t="s">
        <v>85</v>
      </c>
      <c r="C92" s="5" t="s">
        <v>38</v>
      </c>
      <c r="D92" s="5" t="s">
        <v>38</v>
      </c>
      <c r="E92" s="21" t="s">
        <v>38</v>
      </c>
      <c r="M92" s="85"/>
    </row>
    <row r="93" spans="1:13">
      <c r="A93" s="37" t="s">
        <v>202</v>
      </c>
      <c r="B93" s="5" t="s">
        <v>82</v>
      </c>
      <c r="C93" s="5" t="s">
        <v>38</v>
      </c>
      <c r="D93" s="5">
        <v>30</v>
      </c>
      <c r="E93" s="21" t="s">
        <v>242</v>
      </c>
      <c r="M93" s="85"/>
    </row>
    <row r="94" spans="1:13">
      <c r="A94" s="37" t="s">
        <v>203</v>
      </c>
      <c r="B94" s="5" t="s">
        <v>82</v>
      </c>
      <c r="C94" s="5" t="s">
        <v>38</v>
      </c>
      <c r="D94" s="5">
        <v>12</v>
      </c>
      <c r="E94" s="21" t="s">
        <v>242</v>
      </c>
      <c r="M94" s="85"/>
    </row>
    <row r="95" spans="1:13">
      <c r="A95" s="37" t="s">
        <v>204</v>
      </c>
      <c r="B95" s="5" t="s">
        <v>82</v>
      </c>
      <c r="C95" s="5" t="s">
        <v>38</v>
      </c>
      <c r="D95" s="5">
        <v>12</v>
      </c>
      <c r="E95" s="21" t="s">
        <v>242</v>
      </c>
      <c r="M95" s="85"/>
    </row>
    <row r="96" spans="1:13">
      <c r="A96" s="37" t="s">
        <v>99</v>
      </c>
      <c r="B96" s="5" t="s">
        <v>85</v>
      </c>
      <c r="C96" s="5" t="s">
        <v>38</v>
      </c>
      <c r="D96" s="5">
        <v>20</v>
      </c>
      <c r="E96" s="21" t="s">
        <v>38</v>
      </c>
      <c r="M96" s="85"/>
    </row>
    <row r="97" spans="1:13">
      <c r="A97" s="37" t="s">
        <v>205</v>
      </c>
      <c r="B97" s="5" t="s">
        <v>85</v>
      </c>
      <c r="C97" s="5" t="s">
        <v>38</v>
      </c>
      <c r="D97" s="5">
        <v>30</v>
      </c>
      <c r="E97" s="21" t="s">
        <v>38</v>
      </c>
      <c r="M97" s="85"/>
    </row>
    <row r="98" spans="1:13">
      <c r="A98" s="37" t="s">
        <v>206</v>
      </c>
      <c r="B98" s="5" t="s">
        <v>85</v>
      </c>
      <c r="C98" s="5" t="s">
        <v>38</v>
      </c>
      <c r="D98" s="5">
        <v>30</v>
      </c>
      <c r="E98" s="21" t="s">
        <v>38</v>
      </c>
      <c r="M98" s="85"/>
    </row>
    <row r="99" spans="1:13">
      <c r="A99" s="37" t="s">
        <v>207</v>
      </c>
      <c r="B99" s="5" t="s">
        <v>81</v>
      </c>
      <c r="C99" s="5" t="s">
        <v>38</v>
      </c>
      <c r="D99" s="5" t="s">
        <v>38</v>
      </c>
      <c r="E99" s="21" t="s">
        <v>38</v>
      </c>
      <c r="M99" s="85"/>
    </row>
    <row r="100" spans="1:13">
      <c r="A100" s="37" t="s">
        <v>208</v>
      </c>
      <c r="B100" s="5" t="s">
        <v>82</v>
      </c>
      <c r="C100" s="5">
        <v>2</v>
      </c>
      <c r="D100" s="5">
        <v>6</v>
      </c>
      <c r="E100" s="20" t="s">
        <v>38</v>
      </c>
      <c r="M100" s="85"/>
    </row>
    <row r="101" spans="1:13">
      <c r="A101" s="37" t="s">
        <v>209</v>
      </c>
      <c r="B101" s="5" t="s">
        <v>82</v>
      </c>
      <c r="C101" s="5">
        <v>2</v>
      </c>
      <c r="D101" s="5">
        <v>6</v>
      </c>
      <c r="E101" s="20" t="s">
        <v>38</v>
      </c>
      <c r="M101" s="85"/>
    </row>
    <row r="102" spans="1:13">
      <c r="A102" s="37" t="s">
        <v>210</v>
      </c>
      <c r="B102" s="5" t="s">
        <v>81</v>
      </c>
      <c r="C102" s="5">
        <v>2</v>
      </c>
      <c r="D102" s="5">
        <v>6</v>
      </c>
      <c r="E102" s="21" t="s">
        <v>242</v>
      </c>
      <c r="M102" s="85"/>
    </row>
    <row r="103" spans="1:13">
      <c r="A103" s="37" t="s">
        <v>211</v>
      </c>
      <c r="B103" s="5" t="s">
        <v>82</v>
      </c>
      <c r="C103" s="5">
        <v>2</v>
      </c>
      <c r="D103" s="5">
        <v>12</v>
      </c>
      <c r="E103" s="21" t="s">
        <v>243</v>
      </c>
      <c r="M103" s="85"/>
    </row>
    <row r="104" spans="1:13">
      <c r="A104" s="37" t="s">
        <v>212</v>
      </c>
      <c r="B104" s="5" t="s">
        <v>85</v>
      </c>
      <c r="C104" s="5">
        <v>3</v>
      </c>
      <c r="D104" s="5">
        <v>15</v>
      </c>
      <c r="E104" s="20" t="s">
        <v>38</v>
      </c>
      <c r="M104" s="85"/>
    </row>
    <row r="105" spans="1:13">
      <c r="A105" s="37" t="s">
        <v>213</v>
      </c>
      <c r="B105" s="5" t="s">
        <v>129</v>
      </c>
      <c r="C105" s="5" t="s">
        <v>38</v>
      </c>
      <c r="D105" s="5">
        <v>10</v>
      </c>
      <c r="E105" s="21" t="s">
        <v>38</v>
      </c>
      <c r="M105" s="85"/>
    </row>
    <row r="106" spans="1:13">
      <c r="A106" s="37" t="s">
        <v>214</v>
      </c>
      <c r="B106" s="5" t="s">
        <v>85</v>
      </c>
      <c r="C106" s="5">
        <v>2</v>
      </c>
      <c r="D106" s="5">
        <v>12</v>
      </c>
      <c r="E106" s="20" t="s">
        <v>38</v>
      </c>
      <c r="M106" s="85"/>
    </row>
    <row r="107" spans="1:13">
      <c r="A107" s="37" t="s">
        <v>215</v>
      </c>
      <c r="B107" s="5" t="s">
        <v>82</v>
      </c>
      <c r="C107" s="5">
        <v>2</v>
      </c>
      <c r="D107" s="5">
        <v>12</v>
      </c>
      <c r="E107" s="20" t="s">
        <v>244</v>
      </c>
      <c r="M107" s="85"/>
    </row>
    <row r="108" spans="1:13">
      <c r="A108" s="37" t="s">
        <v>216</v>
      </c>
      <c r="B108" s="5" t="s">
        <v>81</v>
      </c>
      <c r="C108" s="5">
        <v>2</v>
      </c>
      <c r="D108" s="5">
        <v>6</v>
      </c>
      <c r="E108" s="20" t="s">
        <v>38</v>
      </c>
      <c r="M108" s="85"/>
    </row>
    <row r="109" spans="1:13">
      <c r="A109" s="37" t="s">
        <v>217</v>
      </c>
      <c r="B109" s="5" t="s">
        <v>81</v>
      </c>
      <c r="C109" s="5">
        <v>2</v>
      </c>
      <c r="D109" s="5">
        <v>6</v>
      </c>
      <c r="E109" s="20" t="s">
        <v>38</v>
      </c>
      <c r="M109" s="85"/>
    </row>
    <row r="110" spans="1:13">
      <c r="A110" s="37" t="s">
        <v>218</v>
      </c>
      <c r="B110" s="5" t="s">
        <v>81</v>
      </c>
      <c r="C110" s="5">
        <v>4</v>
      </c>
      <c r="D110" s="5">
        <v>4</v>
      </c>
      <c r="E110" s="20" t="s">
        <v>38</v>
      </c>
      <c r="M110" s="85"/>
    </row>
    <row r="111" spans="1:13">
      <c r="A111" s="37" t="s">
        <v>219</v>
      </c>
      <c r="B111" s="5" t="s">
        <v>81</v>
      </c>
      <c r="C111" s="5">
        <v>2</v>
      </c>
      <c r="D111" s="5">
        <v>2</v>
      </c>
      <c r="E111" s="20" t="s">
        <v>38</v>
      </c>
      <c r="M111" s="85"/>
    </row>
    <row r="112" spans="1:13">
      <c r="A112" s="37" t="s">
        <v>220</v>
      </c>
      <c r="B112" s="5" t="s">
        <v>81</v>
      </c>
      <c r="C112" s="38" t="s">
        <v>38</v>
      </c>
      <c r="D112" s="5">
        <v>4</v>
      </c>
      <c r="E112" s="20" t="s">
        <v>38</v>
      </c>
      <c r="M112" s="85"/>
    </row>
    <row r="113" spans="1:13">
      <c r="A113" s="37" t="s">
        <v>110</v>
      </c>
      <c r="B113" s="5" t="s">
        <v>81</v>
      </c>
      <c r="C113" s="38">
        <v>2</v>
      </c>
      <c r="D113" s="5">
        <v>6</v>
      </c>
      <c r="E113" s="20" t="s">
        <v>38</v>
      </c>
      <c r="M113" s="85"/>
    </row>
    <row r="114" spans="1:13">
      <c r="A114" s="37" t="s">
        <v>221</v>
      </c>
      <c r="B114" s="5" t="s">
        <v>81</v>
      </c>
      <c r="C114" s="5">
        <v>2</v>
      </c>
      <c r="D114" s="5">
        <v>4</v>
      </c>
      <c r="E114" s="20" t="s">
        <v>38</v>
      </c>
      <c r="M114" s="85"/>
    </row>
    <row r="115" spans="1:13">
      <c r="A115" s="39" t="s">
        <v>222</v>
      </c>
      <c r="B115" s="31" t="s">
        <v>82</v>
      </c>
      <c r="C115" s="38" t="s">
        <v>38</v>
      </c>
      <c r="D115" s="31">
        <v>10</v>
      </c>
      <c r="E115" s="20" t="s">
        <v>242</v>
      </c>
      <c r="M115" s="85"/>
    </row>
    <row r="116" spans="1:13">
      <c r="A116" s="39" t="s">
        <v>80</v>
      </c>
      <c r="B116" s="5" t="s">
        <v>82</v>
      </c>
      <c r="C116" s="38" t="s">
        <v>38</v>
      </c>
      <c r="D116" s="31">
        <v>10</v>
      </c>
      <c r="E116" s="7" t="s">
        <v>242</v>
      </c>
      <c r="M116" s="85"/>
    </row>
    <row r="117" spans="1:13">
      <c r="A117" s="39" t="s">
        <v>78</v>
      </c>
      <c r="B117" s="5" t="s">
        <v>82</v>
      </c>
      <c r="C117" s="38">
        <v>2</v>
      </c>
      <c r="D117" s="31">
        <v>6</v>
      </c>
      <c r="E117" s="7" t="s">
        <v>242</v>
      </c>
      <c r="M117" s="85"/>
    </row>
    <row r="118" spans="1:13">
      <c r="A118" s="39" t="s">
        <v>223</v>
      </c>
      <c r="B118" s="31" t="s">
        <v>82</v>
      </c>
      <c r="C118" s="31">
        <v>2</v>
      </c>
      <c r="D118" s="31">
        <v>10</v>
      </c>
      <c r="E118" s="20" t="s">
        <v>242</v>
      </c>
      <c r="M118" s="85"/>
    </row>
    <row r="119" spans="1:13">
      <c r="A119" s="39" t="s">
        <v>224</v>
      </c>
      <c r="B119" s="31" t="s">
        <v>81</v>
      </c>
      <c r="C119" s="31">
        <v>2</v>
      </c>
      <c r="D119" s="31">
        <v>6</v>
      </c>
      <c r="E119" s="20" t="s">
        <v>242</v>
      </c>
      <c r="M119" s="85"/>
    </row>
    <row r="120" spans="1:13">
      <c r="A120" s="39" t="s">
        <v>225</v>
      </c>
      <c r="B120" s="31" t="s">
        <v>81</v>
      </c>
      <c r="C120" s="31">
        <v>2</v>
      </c>
      <c r="D120" s="31">
        <v>6</v>
      </c>
      <c r="E120" s="20" t="s">
        <v>38</v>
      </c>
      <c r="M120" s="85"/>
    </row>
    <row r="121" spans="1:13">
      <c r="A121" s="39" t="s">
        <v>226</v>
      </c>
      <c r="B121" s="31" t="s">
        <v>85</v>
      </c>
      <c r="C121" s="31">
        <v>2</v>
      </c>
      <c r="D121" s="31">
        <v>4</v>
      </c>
      <c r="E121" s="20" t="s">
        <v>38</v>
      </c>
      <c r="M121" s="85"/>
    </row>
    <row r="122" spans="1:13">
      <c r="A122" s="39" t="s">
        <v>227</v>
      </c>
      <c r="B122" s="31" t="s">
        <v>82</v>
      </c>
      <c r="C122" s="38" t="s">
        <v>38</v>
      </c>
      <c r="D122" s="31">
        <v>10</v>
      </c>
      <c r="E122" s="20" t="s">
        <v>242</v>
      </c>
      <c r="M122" s="85"/>
    </row>
    <row r="123" spans="1:13">
      <c r="A123" s="39" t="s">
        <v>228</v>
      </c>
      <c r="B123" s="31" t="s">
        <v>81</v>
      </c>
      <c r="C123" s="31">
        <v>2</v>
      </c>
      <c r="D123" s="31">
        <v>6</v>
      </c>
      <c r="E123" s="20" t="s">
        <v>38</v>
      </c>
      <c r="M123" s="85"/>
    </row>
    <row r="124" spans="1:13">
      <c r="A124" s="39" t="s">
        <v>98</v>
      </c>
      <c r="B124" s="31" t="s">
        <v>85</v>
      </c>
      <c r="C124" s="38">
        <v>2</v>
      </c>
      <c r="D124" s="31">
        <v>30</v>
      </c>
      <c r="E124" s="7" t="s">
        <v>38</v>
      </c>
      <c r="M124" s="85"/>
    </row>
    <row r="125" spans="1:13">
      <c r="A125" s="39" t="s">
        <v>79</v>
      </c>
      <c r="B125" s="31" t="s">
        <v>82</v>
      </c>
      <c r="C125" s="38" t="s">
        <v>38</v>
      </c>
      <c r="D125" s="31">
        <v>10</v>
      </c>
      <c r="E125" s="20" t="s">
        <v>242</v>
      </c>
      <c r="M125" s="85"/>
    </row>
    <row r="126" spans="1:13">
      <c r="A126" s="39" t="s">
        <v>229</v>
      </c>
      <c r="B126" s="31" t="s">
        <v>85</v>
      </c>
      <c r="C126" s="38">
        <v>3</v>
      </c>
      <c r="D126" s="31">
        <v>15</v>
      </c>
      <c r="E126" s="20" t="s">
        <v>38</v>
      </c>
      <c r="M126" s="85"/>
    </row>
    <row r="127" spans="1:13">
      <c r="A127" s="39" t="s">
        <v>230</v>
      </c>
      <c r="B127" s="31" t="s">
        <v>81</v>
      </c>
      <c r="C127" s="38">
        <v>2</v>
      </c>
      <c r="D127" s="31">
        <v>6</v>
      </c>
      <c r="E127" s="20" t="s">
        <v>38</v>
      </c>
      <c r="M127" s="85"/>
    </row>
    <row r="128" spans="1:13">
      <c r="A128" s="39" t="s">
        <v>231</v>
      </c>
      <c r="B128" s="5" t="s">
        <v>81</v>
      </c>
      <c r="C128" s="31">
        <v>2</v>
      </c>
      <c r="D128" s="31">
        <v>6</v>
      </c>
      <c r="E128" s="20" t="s">
        <v>38</v>
      </c>
      <c r="M128" s="85"/>
    </row>
    <row r="129" spans="1:13">
      <c r="A129" s="39" t="s">
        <v>232</v>
      </c>
      <c r="B129" s="31" t="s">
        <v>82</v>
      </c>
      <c r="C129" s="31">
        <v>2</v>
      </c>
      <c r="D129" s="31">
        <v>12</v>
      </c>
      <c r="E129" s="21" t="s">
        <v>243</v>
      </c>
      <c r="M129" s="85"/>
    </row>
    <row r="130" spans="1:13">
      <c r="A130" s="39" t="s">
        <v>233</v>
      </c>
      <c r="B130" s="31" t="s">
        <v>81</v>
      </c>
      <c r="C130" s="31">
        <v>2</v>
      </c>
      <c r="D130" s="31">
        <v>6</v>
      </c>
      <c r="E130" s="20" t="s">
        <v>38</v>
      </c>
      <c r="M130" s="85"/>
    </row>
    <row r="131" spans="1:13">
      <c r="A131" s="39" t="s">
        <v>234</v>
      </c>
      <c r="B131" s="31" t="s">
        <v>81</v>
      </c>
      <c r="C131" s="31">
        <v>2</v>
      </c>
      <c r="D131" s="31">
        <v>2</v>
      </c>
      <c r="E131" s="20" t="s">
        <v>38</v>
      </c>
      <c r="M131" s="85"/>
    </row>
    <row r="132" spans="1:13">
      <c r="A132" s="40" t="s">
        <v>235</v>
      </c>
      <c r="B132" s="31" t="s">
        <v>82</v>
      </c>
      <c r="C132" s="31">
        <v>2</v>
      </c>
      <c r="D132" s="31">
        <v>12</v>
      </c>
      <c r="E132" s="20" t="s">
        <v>242</v>
      </c>
      <c r="M132" s="85"/>
    </row>
    <row r="133" spans="1:13">
      <c r="A133" s="39" t="s">
        <v>236</v>
      </c>
      <c r="B133" s="31" t="s">
        <v>82</v>
      </c>
      <c r="C133" s="31">
        <v>2</v>
      </c>
      <c r="D133" s="31">
        <v>10</v>
      </c>
      <c r="E133" s="21" t="s">
        <v>243</v>
      </c>
      <c r="M133" s="85"/>
    </row>
    <row r="134" spans="1:13">
      <c r="A134" s="39" t="s">
        <v>237</v>
      </c>
      <c r="B134" s="31" t="s">
        <v>82</v>
      </c>
      <c r="C134" s="38" t="s">
        <v>38</v>
      </c>
      <c r="D134" s="31">
        <v>10</v>
      </c>
      <c r="E134" s="20" t="s">
        <v>242</v>
      </c>
      <c r="M134" s="85"/>
    </row>
    <row r="135" spans="1:13">
      <c r="A135" s="39" t="s">
        <v>238</v>
      </c>
      <c r="B135" s="31" t="s">
        <v>81</v>
      </c>
      <c r="C135" s="31">
        <v>2</v>
      </c>
      <c r="D135" s="31">
        <v>6</v>
      </c>
      <c r="E135" s="20" t="s">
        <v>38</v>
      </c>
      <c r="M135" s="85"/>
    </row>
    <row r="136" spans="1:13">
      <c r="A136" s="39" t="s">
        <v>239</v>
      </c>
      <c r="B136" s="31" t="s">
        <v>81</v>
      </c>
      <c r="C136" s="31">
        <v>2</v>
      </c>
      <c r="D136" s="32">
        <v>6</v>
      </c>
      <c r="E136" s="20" t="s">
        <v>38</v>
      </c>
      <c r="M136" s="85"/>
    </row>
    <row r="137" spans="1:13">
      <c r="A137" s="39" t="s">
        <v>240</v>
      </c>
      <c r="B137" s="31" t="s">
        <v>85</v>
      </c>
      <c r="C137" s="31">
        <v>3</v>
      </c>
      <c r="D137" s="32">
        <v>15</v>
      </c>
      <c r="E137" s="20" t="s">
        <v>38</v>
      </c>
      <c r="M137" s="85"/>
    </row>
    <row r="138" spans="1:13">
      <c r="A138" s="41" t="s">
        <v>76</v>
      </c>
      <c r="B138" s="9" t="s">
        <v>81</v>
      </c>
      <c r="C138" s="31">
        <v>2</v>
      </c>
      <c r="D138" s="32">
        <v>6</v>
      </c>
      <c r="E138" s="20" t="s">
        <v>38</v>
      </c>
      <c r="M138" s="85"/>
    </row>
    <row r="139" spans="1:13">
      <c r="A139" s="41" t="s">
        <v>241</v>
      </c>
      <c r="B139" s="9" t="s">
        <v>81</v>
      </c>
      <c r="C139" s="42" t="s">
        <v>38</v>
      </c>
      <c r="D139" s="42">
        <v>6</v>
      </c>
      <c r="E139" s="43" t="s">
        <v>38</v>
      </c>
      <c r="M139" s="85"/>
    </row>
    <row r="140" spans="1:13">
      <c r="A140" s="33"/>
    </row>
  </sheetData>
  <sortState xmlns:xlrd2="http://schemas.microsoft.com/office/spreadsheetml/2017/richdata2" ref="A10:I139">
    <sortCondition ref="A10:A139"/>
  </sortState>
  <mergeCells count="8">
    <mergeCell ref="B6:B9"/>
    <mergeCell ref="A6:A9"/>
    <mergeCell ref="C7:C9"/>
    <mergeCell ref="A1:B2"/>
    <mergeCell ref="A3:F3"/>
    <mergeCell ref="C6:D6"/>
    <mergeCell ref="E6:E9"/>
    <mergeCell ref="D7:D9"/>
  </mergeCells>
  <phoneticPr fontId="0" type="noConversion"/>
  <printOptions verticalCentered="1"/>
  <pageMargins left="0.97" right="0.47" top="0.62" bottom="0.51" header="0.41" footer="0.32"/>
  <pageSetup paperSize="3" scale="94" orientation="landscape" r:id="rId1"/>
  <headerFooter alignWithMargins="0">
    <oddFooter>&amp;L&amp;"Arial Narrow,Regular"&amp;6* Refer to UMC Table 4-A for exact information&amp;R&amp;"Arial Narrow,Regular"&amp;8&amp;D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topLeftCell="A4" zoomScale="174" workbookViewId="0">
      <selection activeCell="A20" sqref="A20"/>
    </sheetView>
  </sheetViews>
  <sheetFormatPr baseColWidth="10" defaultColWidth="8.83203125" defaultRowHeight="13"/>
  <cols>
    <col min="13" max="13" width="14.6640625" bestFit="1" customWidth="1"/>
    <col min="14" max="14" width="12" bestFit="1" customWidth="1"/>
  </cols>
  <sheetData>
    <row r="4" spans="1:18">
      <c r="A4" s="95" t="s">
        <v>300</v>
      </c>
      <c r="B4" s="96"/>
      <c r="C4" s="96"/>
      <c r="D4" s="96"/>
      <c r="E4" s="96"/>
      <c r="F4" s="96"/>
      <c r="G4" s="96"/>
      <c r="H4" s="96"/>
      <c r="I4" s="96"/>
      <c r="J4" s="96"/>
      <c r="K4" s="96"/>
    </row>
    <row r="5" spans="1:18">
      <c r="A5" s="238" t="s">
        <v>301</v>
      </c>
      <c r="B5" s="240" t="s">
        <v>302</v>
      </c>
      <c r="C5" s="241"/>
      <c r="D5" s="241"/>
      <c r="E5" s="241"/>
      <c r="F5" s="241"/>
      <c r="G5" s="241"/>
      <c r="H5" s="241"/>
      <c r="I5" s="241"/>
      <c r="J5" s="241"/>
      <c r="K5" s="242"/>
      <c r="P5" s="74" t="s">
        <v>316</v>
      </c>
    </row>
    <row r="6" spans="1:18">
      <c r="A6" s="239"/>
      <c r="B6" s="106">
        <v>0</v>
      </c>
      <c r="C6" s="97">
        <v>0.1</v>
      </c>
      <c r="D6" s="97">
        <v>0.2</v>
      </c>
      <c r="E6" s="97">
        <v>0.3</v>
      </c>
      <c r="F6" s="97">
        <v>0.4</v>
      </c>
      <c r="G6" s="97">
        <v>0.5</v>
      </c>
      <c r="H6" s="97">
        <v>0.6</v>
      </c>
      <c r="I6" s="97">
        <v>0.7</v>
      </c>
      <c r="J6" s="97">
        <v>0.8</v>
      </c>
      <c r="K6" s="97">
        <v>0.9</v>
      </c>
      <c r="M6" t="s">
        <v>306</v>
      </c>
    </row>
    <row r="7" spans="1:18" ht="15">
      <c r="A7" s="98">
        <v>35</v>
      </c>
      <c r="B7" s="99">
        <v>13.01</v>
      </c>
      <c r="C7" s="99">
        <v>13.05</v>
      </c>
      <c r="D7" s="99">
        <v>13.1</v>
      </c>
      <c r="E7" s="99">
        <v>13.14</v>
      </c>
      <c r="F7" s="99">
        <v>13.18</v>
      </c>
      <c r="G7" s="99">
        <v>13.23</v>
      </c>
      <c r="H7" s="99">
        <v>13.27</v>
      </c>
      <c r="I7" s="99">
        <v>13.31</v>
      </c>
      <c r="J7" s="99">
        <v>13.35</v>
      </c>
      <c r="K7" s="99">
        <v>13.4</v>
      </c>
      <c r="M7" t="s">
        <v>304</v>
      </c>
      <c r="N7">
        <f>FLOOR(Psych!Q12,1)</f>
        <v>63</v>
      </c>
      <c r="P7" s="243" t="s">
        <v>73</v>
      </c>
      <c r="Q7" s="244"/>
      <c r="R7" s="245"/>
    </row>
    <row r="8" spans="1:18" ht="15">
      <c r="A8" s="100">
        <v>36</v>
      </c>
      <c r="B8" s="101">
        <v>13.44</v>
      </c>
      <c r="C8" s="101">
        <v>13.48</v>
      </c>
      <c r="D8" s="101">
        <v>13.53</v>
      </c>
      <c r="E8" s="101">
        <v>13.57</v>
      </c>
      <c r="F8" s="101">
        <v>13.61</v>
      </c>
      <c r="G8" s="101">
        <v>13.66</v>
      </c>
      <c r="H8" s="101">
        <v>13.7</v>
      </c>
      <c r="I8" s="101">
        <v>13.75</v>
      </c>
      <c r="J8" s="101">
        <v>13.79</v>
      </c>
      <c r="K8" s="101">
        <v>13.83</v>
      </c>
      <c r="M8" t="s">
        <v>305</v>
      </c>
      <c r="N8" s="105">
        <f>ROUND(Psych!Q12 - N7,1)</f>
        <v>0.9</v>
      </c>
      <c r="P8" s="57" t="s">
        <v>48</v>
      </c>
      <c r="Q8" s="58" t="s">
        <v>74</v>
      </c>
      <c r="R8" s="58" t="s">
        <v>121</v>
      </c>
    </row>
    <row r="9" spans="1:18">
      <c r="A9" s="100">
        <v>37</v>
      </c>
      <c r="B9" s="101">
        <v>13.87</v>
      </c>
      <c r="C9" s="101">
        <v>13.91</v>
      </c>
      <c r="D9" s="101">
        <v>13.96</v>
      </c>
      <c r="E9" s="101">
        <v>14</v>
      </c>
      <c r="F9" s="101">
        <v>14.05</v>
      </c>
      <c r="G9" s="101">
        <v>14.09</v>
      </c>
      <c r="H9" s="101">
        <v>14.14</v>
      </c>
      <c r="I9" s="101">
        <v>14.18</v>
      </c>
      <c r="J9" s="101">
        <v>14.23</v>
      </c>
      <c r="K9" s="101">
        <v>14.27</v>
      </c>
      <c r="P9" s="50">
        <v>1</v>
      </c>
      <c r="Q9" s="59">
        <v>6</v>
      </c>
      <c r="R9" s="59">
        <v>30</v>
      </c>
    </row>
    <row r="10" spans="1:18">
      <c r="A10" s="100">
        <v>38</v>
      </c>
      <c r="B10" s="101">
        <v>14.32</v>
      </c>
      <c r="C10" s="101">
        <v>14.37</v>
      </c>
      <c r="D10" s="101">
        <v>14.41</v>
      </c>
      <c r="E10" s="101">
        <v>14.46</v>
      </c>
      <c r="F10" s="101">
        <v>14.5</v>
      </c>
      <c r="G10" s="101">
        <v>14.55</v>
      </c>
      <c r="H10" s="101">
        <v>14.59</v>
      </c>
      <c r="I10" s="101">
        <v>14.64</v>
      </c>
      <c r="J10" s="101">
        <v>14.68</v>
      </c>
      <c r="K10" s="101">
        <v>14.73</v>
      </c>
      <c r="P10" s="50">
        <v>400</v>
      </c>
      <c r="Q10" s="59">
        <v>8</v>
      </c>
      <c r="R10" s="59">
        <v>30</v>
      </c>
    </row>
    <row r="11" spans="1:18">
      <c r="A11" s="102">
        <v>39</v>
      </c>
      <c r="B11" s="103">
        <v>14.77</v>
      </c>
      <c r="C11" s="103">
        <v>14.82</v>
      </c>
      <c r="D11" s="103">
        <v>14.86</v>
      </c>
      <c r="E11" s="103">
        <v>14.91</v>
      </c>
      <c r="F11" s="103">
        <v>14.95</v>
      </c>
      <c r="G11" s="103">
        <v>15</v>
      </c>
      <c r="H11" s="103">
        <v>15.05</v>
      </c>
      <c r="I11" s="103">
        <v>15.09</v>
      </c>
      <c r="J11" s="103">
        <v>15.14</v>
      </c>
      <c r="K11" s="103">
        <v>15.18</v>
      </c>
      <c r="P11" s="50">
        <v>700</v>
      </c>
      <c r="Q11" s="59">
        <v>10</v>
      </c>
      <c r="R11" s="59">
        <v>35</v>
      </c>
    </row>
    <row r="12" spans="1:18">
      <c r="A12" s="98">
        <v>40</v>
      </c>
      <c r="B12" s="99">
        <v>15.23</v>
      </c>
      <c r="C12" s="99">
        <v>15.28</v>
      </c>
      <c r="D12" s="99">
        <v>15.32</v>
      </c>
      <c r="E12" s="99">
        <v>15.37</v>
      </c>
      <c r="F12" s="99">
        <v>15.42</v>
      </c>
      <c r="G12" s="99">
        <v>15.46</v>
      </c>
      <c r="H12" s="99">
        <v>15.51</v>
      </c>
      <c r="I12" s="99">
        <v>15.56</v>
      </c>
      <c r="J12" s="99">
        <v>15.6</v>
      </c>
      <c r="K12" s="99">
        <v>15.65</v>
      </c>
      <c r="P12" s="50">
        <v>1000</v>
      </c>
      <c r="Q12" s="59">
        <v>12</v>
      </c>
      <c r="R12" s="59">
        <v>45</v>
      </c>
    </row>
    <row r="13" spans="1:18">
      <c r="A13" s="100">
        <v>41</v>
      </c>
      <c r="B13" s="101">
        <v>15.7</v>
      </c>
      <c r="C13" s="101">
        <v>15.75</v>
      </c>
      <c r="D13" s="101">
        <v>15.8</v>
      </c>
      <c r="E13" s="101">
        <v>15.84</v>
      </c>
      <c r="F13" s="101">
        <v>15.89</v>
      </c>
      <c r="G13" s="101">
        <v>15.94</v>
      </c>
      <c r="H13" s="101">
        <v>15.99</v>
      </c>
      <c r="I13" s="101">
        <v>16.03</v>
      </c>
      <c r="J13" s="101">
        <v>16.079999999999998</v>
      </c>
      <c r="K13" s="101">
        <v>16.13</v>
      </c>
      <c r="P13" s="50">
        <v>1500</v>
      </c>
      <c r="Q13" s="59">
        <v>14</v>
      </c>
      <c r="R13" s="59">
        <v>55</v>
      </c>
    </row>
    <row r="14" spans="1:18" ht="14" thickBot="1">
      <c r="A14" s="100">
        <v>42</v>
      </c>
      <c r="B14" s="101">
        <v>16.170000000000002</v>
      </c>
      <c r="C14" s="101">
        <v>16.22</v>
      </c>
      <c r="D14" s="101">
        <v>16.27</v>
      </c>
      <c r="E14" s="101">
        <v>16.32</v>
      </c>
      <c r="F14" s="101">
        <v>16.36</v>
      </c>
      <c r="G14" s="101">
        <v>16.41</v>
      </c>
      <c r="H14" s="101">
        <v>16.46</v>
      </c>
      <c r="I14" s="101">
        <v>16.510000000000002</v>
      </c>
      <c r="J14" s="101">
        <v>16.559999999999999</v>
      </c>
      <c r="K14" s="101">
        <v>16.61</v>
      </c>
      <c r="P14" s="60">
        <v>2100</v>
      </c>
      <c r="Q14" s="61">
        <v>16</v>
      </c>
      <c r="R14" s="61">
        <v>60</v>
      </c>
    </row>
    <row r="15" spans="1:18">
      <c r="A15" s="100">
        <v>43</v>
      </c>
      <c r="B15" s="101">
        <v>16.66</v>
      </c>
      <c r="C15" s="101">
        <v>16.71</v>
      </c>
      <c r="D15" s="101">
        <v>16.760000000000002</v>
      </c>
      <c r="E15" s="101">
        <v>16.809999999999999</v>
      </c>
      <c r="F15" s="101">
        <v>16.86</v>
      </c>
      <c r="G15" s="101">
        <v>16.91</v>
      </c>
      <c r="H15" s="101">
        <v>16.96</v>
      </c>
      <c r="I15" s="101">
        <v>17</v>
      </c>
      <c r="J15" s="101">
        <v>17.05</v>
      </c>
      <c r="K15" s="101">
        <v>17.100000000000001</v>
      </c>
    </row>
    <row r="16" spans="1:18">
      <c r="A16" s="102">
        <v>44</v>
      </c>
      <c r="B16" s="103">
        <v>17.149999999999999</v>
      </c>
      <c r="C16" s="103">
        <v>17.2</v>
      </c>
      <c r="D16" s="103">
        <v>17.25</v>
      </c>
      <c r="E16" s="103">
        <v>17.3</v>
      </c>
      <c r="F16" s="103">
        <v>17.350000000000001</v>
      </c>
      <c r="G16" s="103">
        <v>17.399999999999999</v>
      </c>
      <c r="H16" s="103">
        <v>17.45</v>
      </c>
      <c r="I16" s="103">
        <v>17.5</v>
      </c>
      <c r="J16" s="103">
        <v>17.55</v>
      </c>
      <c r="K16" s="103">
        <v>17.600000000000001</v>
      </c>
    </row>
    <row r="17" spans="1:16">
      <c r="A17" s="98">
        <v>45</v>
      </c>
      <c r="B17" s="99">
        <v>17.649999999999999</v>
      </c>
      <c r="C17" s="99">
        <v>17.7</v>
      </c>
      <c r="D17" s="99">
        <v>17.75</v>
      </c>
      <c r="E17" s="99">
        <v>17.8</v>
      </c>
      <c r="F17" s="99">
        <v>17.850000000000001</v>
      </c>
      <c r="G17" s="99">
        <v>17.91</v>
      </c>
      <c r="H17" s="99">
        <v>17.96</v>
      </c>
      <c r="I17" s="99">
        <v>18.010000000000002</v>
      </c>
      <c r="J17" s="99">
        <v>18.059999999999999</v>
      </c>
      <c r="K17" s="99">
        <v>18.11</v>
      </c>
    </row>
    <row r="18" spans="1:16">
      <c r="A18" s="100">
        <v>46</v>
      </c>
      <c r="B18" s="101">
        <v>18.16</v>
      </c>
      <c r="C18" s="101">
        <v>18.21</v>
      </c>
      <c r="D18" s="101">
        <v>18.260000000000002</v>
      </c>
      <c r="E18" s="101">
        <v>18.32</v>
      </c>
      <c r="F18" s="101">
        <v>18.37</v>
      </c>
      <c r="G18" s="101">
        <v>18.420000000000002</v>
      </c>
      <c r="H18" s="101">
        <v>18.47</v>
      </c>
      <c r="I18" s="101">
        <v>18.52</v>
      </c>
      <c r="J18" s="101">
        <v>18.579999999999998</v>
      </c>
      <c r="K18" s="101">
        <v>18.63</v>
      </c>
      <c r="P18" s="74" t="s">
        <v>388</v>
      </c>
    </row>
    <row r="19" spans="1:16">
      <c r="A19" s="100">
        <v>47</v>
      </c>
      <c r="B19" s="101">
        <v>18.68</v>
      </c>
      <c r="C19" s="101">
        <v>18.73</v>
      </c>
      <c r="D19" s="101">
        <v>18.79</v>
      </c>
      <c r="E19" s="101">
        <v>18.84</v>
      </c>
      <c r="F19" s="101">
        <v>18.89</v>
      </c>
      <c r="G19" s="101">
        <v>18.95</v>
      </c>
      <c r="H19" s="101">
        <v>19</v>
      </c>
      <c r="I19" s="101">
        <v>19.05</v>
      </c>
      <c r="J19" s="101">
        <v>19.100000000000001</v>
      </c>
      <c r="K19" s="101">
        <v>19.16</v>
      </c>
    </row>
    <row r="20" spans="1:16">
      <c r="A20" s="100">
        <v>48</v>
      </c>
      <c r="B20" s="101">
        <v>19.21</v>
      </c>
      <c r="C20" s="101">
        <v>19.260000000000002</v>
      </c>
      <c r="D20" s="101">
        <v>19.32</v>
      </c>
      <c r="E20" s="101">
        <v>19.37</v>
      </c>
      <c r="F20" s="101">
        <v>19.43</v>
      </c>
      <c r="G20" s="101">
        <v>19.48</v>
      </c>
      <c r="H20" s="101">
        <v>19.53</v>
      </c>
      <c r="I20" s="101">
        <v>16.59</v>
      </c>
      <c r="J20" s="101">
        <v>19.64</v>
      </c>
      <c r="K20" s="101">
        <v>19.7</v>
      </c>
    </row>
    <row r="21" spans="1:16">
      <c r="A21" s="102">
        <v>49</v>
      </c>
      <c r="B21" s="103">
        <v>19.75</v>
      </c>
      <c r="C21" s="103">
        <v>19.809999999999999</v>
      </c>
      <c r="D21" s="103">
        <v>19.86</v>
      </c>
      <c r="E21" s="103">
        <v>19.920000000000002</v>
      </c>
      <c r="F21" s="103">
        <v>19.97</v>
      </c>
      <c r="G21" s="103">
        <v>20.03</v>
      </c>
      <c r="H21" s="103">
        <v>20.079999999999998</v>
      </c>
      <c r="I21" s="103">
        <v>20.14</v>
      </c>
      <c r="J21" s="103">
        <v>20.190000000000001</v>
      </c>
      <c r="K21" s="103">
        <v>20.25</v>
      </c>
    </row>
    <row r="22" spans="1:16">
      <c r="A22" s="98">
        <v>50</v>
      </c>
      <c r="B22" s="99">
        <v>20.3</v>
      </c>
      <c r="C22" s="99">
        <v>20.36</v>
      </c>
      <c r="D22" s="99">
        <v>20.41</v>
      </c>
      <c r="E22" s="99">
        <v>20.47</v>
      </c>
      <c r="F22" s="99">
        <v>20.52</v>
      </c>
      <c r="G22" s="99">
        <v>20.58</v>
      </c>
      <c r="H22" s="99">
        <v>20.64</v>
      </c>
      <c r="I22" s="99">
        <v>20.69</v>
      </c>
      <c r="J22" s="99">
        <v>20.75</v>
      </c>
      <c r="K22" s="99">
        <v>20.8</v>
      </c>
    </row>
    <row r="23" spans="1:16">
      <c r="A23" s="100">
        <v>51</v>
      </c>
      <c r="B23" s="101">
        <v>20.86</v>
      </c>
      <c r="C23" s="101">
        <v>20.92</v>
      </c>
      <c r="D23" s="101">
        <v>20.97</v>
      </c>
      <c r="E23" s="101">
        <v>21.03</v>
      </c>
      <c r="F23" s="101">
        <v>21.09</v>
      </c>
      <c r="G23" s="101">
        <v>21.15</v>
      </c>
      <c r="H23" s="101">
        <v>21.2</v>
      </c>
      <c r="I23" s="101">
        <v>21.26</v>
      </c>
      <c r="J23" s="101">
        <v>21.32</v>
      </c>
      <c r="K23" s="101">
        <v>21.38</v>
      </c>
    </row>
    <row r="24" spans="1:16">
      <c r="A24" s="100">
        <v>52</v>
      </c>
      <c r="B24" s="101">
        <v>21.44</v>
      </c>
      <c r="C24" s="101">
        <v>21.5</v>
      </c>
      <c r="D24" s="101">
        <v>21.56</v>
      </c>
      <c r="E24" s="101">
        <v>21.62</v>
      </c>
      <c r="F24" s="101">
        <v>21.67</v>
      </c>
      <c r="G24" s="101">
        <v>21.73</v>
      </c>
      <c r="H24" s="101">
        <v>21.79</v>
      </c>
      <c r="I24" s="101">
        <v>21.85</v>
      </c>
      <c r="J24" s="101">
        <v>21.91</v>
      </c>
      <c r="K24" s="101">
        <v>21.97</v>
      </c>
    </row>
    <row r="25" spans="1:16">
      <c r="A25" s="100">
        <v>53</v>
      </c>
      <c r="B25" s="101">
        <v>22.02</v>
      </c>
      <c r="C25" s="101">
        <v>22.08</v>
      </c>
      <c r="D25" s="101">
        <v>22.14</v>
      </c>
      <c r="E25" s="101">
        <v>22.2</v>
      </c>
      <c r="F25" s="101">
        <v>22.26</v>
      </c>
      <c r="G25" s="101">
        <v>22.32</v>
      </c>
      <c r="H25" s="101">
        <v>22.38</v>
      </c>
      <c r="I25" s="101">
        <v>22.44</v>
      </c>
      <c r="J25" s="101">
        <v>22.5</v>
      </c>
      <c r="K25" s="101">
        <v>22.56</v>
      </c>
    </row>
    <row r="26" spans="1:16">
      <c r="A26" s="102">
        <v>54</v>
      </c>
      <c r="B26" s="103">
        <v>22.62</v>
      </c>
      <c r="C26" s="103">
        <v>22.68</v>
      </c>
      <c r="D26" s="103">
        <v>22.74</v>
      </c>
      <c r="E26" s="103">
        <v>22.8</v>
      </c>
      <c r="F26" s="103">
        <v>22.86</v>
      </c>
      <c r="G26" s="103">
        <v>22.92</v>
      </c>
      <c r="H26" s="103">
        <v>22.98</v>
      </c>
      <c r="I26" s="103">
        <v>23.04</v>
      </c>
      <c r="J26" s="103">
        <v>23.1</v>
      </c>
      <c r="K26" s="103">
        <v>23.16</v>
      </c>
    </row>
    <row r="27" spans="1:16">
      <c r="A27" s="98">
        <v>55</v>
      </c>
      <c r="B27" s="99">
        <v>23.22</v>
      </c>
      <c r="C27" s="99">
        <v>23.28</v>
      </c>
      <c r="D27" s="99">
        <v>23.34</v>
      </c>
      <c r="E27" s="99">
        <v>23.41</v>
      </c>
      <c r="F27" s="99">
        <v>23.47</v>
      </c>
      <c r="G27" s="99">
        <v>23.53</v>
      </c>
      <c r="H27" s="99">
        <v>23.59</v>
      </c>
      <c r="I27" s="99">
        <v>23.65</v>
      </c>
      <c r="J27" s="99">
        <v>23.72</v>
      </c>
      <c r="K27" s="99">
        <v>23.78</v>
      </c>
    </row>
    <row r="28" spans="1:16">
      <c r="A28" s="100">
        <v>56</v>
      </c>
      <c r="B28" s="101">
        <v>23.84</v>
      </c>
      <c r="C28" s="101">
        <v>23.9</v>
      </c>
      <c r="D28" s="101">
        <v>23.97</v>
      </c>
      <c r="E28" s="101">
        <v>24.03</v>
      </c>
      <c r="F28" s="101">
        <v>24.1</v>
      </c>
      <c r="G28" s="101">
        <v>24.16</v>
      </c>
      <c r="H28" s="101">
        <v>24.22</v>
      </c>
      <c r="I28" s="101">
        <v>24.29</v>
      </c>
      <c r="J28" s="101">
        <v>24.35</v>
      </c>
      <c r="K28" s="101">
        <v>24.42</v>
      </c>
    </row>
    <row r="29" spans="1:16">
      <c r="A29" s="100">
        <v>57</v>
      </c>
      <c r="B29" s="101">
        <v>24.48</v>
      </c>
      <c r="C29" s="101">
        <v>24.54</v>
      </c>
      <c r="D29" s="101">
        <v>24.61</v>
      </c>
      <c r="E29" s="101">
        <v>24.67</v>
      </c>
      <c r="F29" s="101">
        <v>24.74</v>
      </c>
      <c r="G29" s="101">
        <v>24.8</v>
      </c>
      <c r="H29" s="101">
        <v>24.86</v>
      </c>
      <c r="I29" s="101">
        <v>24.93</v>
      </c>
      <c r="J29" s="101">
        <v>24.99</v>
      </c>
      <c r="K29" s="101">
        <v>25.06</v>
      </c>
    </row>
    <row r="30" spans="1:16">
      <c r="A30" s="100">
        <v>58</v>
      </c>
      <c r="B30" s="101">
        <v>25.12</v>
      </c>
      <c r="C30" s="101">
        <v>25.19</v>
      </c>
      <c r="D30" s="101">
        <v>25.25</v>
      </c>
      <c r="E30" s="101">
        <v>25.32</v>
      </c>
      <c r="F30" s="101">
        <v>25.38</v>
      </c>
      <c r="G30" s="101">
        <v>25.45</v>
      </c>
      <c r="H30" s="101">
        <v>25.52</v>
      </c>
      <c r="I30" s="101">
        <v>25.58</v>
      </c>
      <c r="J30" s="101">
        <v>25.65</v>
      </c>
      <c r="K30" s="101">
        <v>25.71</v>
      </c>
    </row>
    <row r="31" spans="1:16">
      <c r="A31" s="102">
        <v>59</v>
      </c>
      <c r="B31" s="103">
        <v>25.78</v>
      </c>
      <c r="C31" s="103">
        <v>25.85</v>
      </c>
      <c r="D31" s="103">
        <v>25.92</v>
      </c>
      <c r="E31" s="103">
        <v>25.98</v>
      </c>
      <c r="F31" s="103">
        <v>26.05</v>
      </c>
      <c r="G31" s="103">
        <v>26.12</v>
      </c>
      <c r="H31" s="103">
        <v>26.19</v>
      </c>
      <c r="I31" s="103">
        <v>26.26</v>
      </c>
      <c r="J31" s="103">
        <v>26.32</v>
      </c>
      <c r="K31" s="103">
        <v>26.39</v>
      </c>
    </row>
    <row r="32" spans="1:16">
      <c r="A32" s="98">
        <v>60</v>
      </c>
      <c r="B32" s="99">
        <v>26.46</v>
      </c>
      <c r="C32" s="99">
        <v>26.53</v>
      </c>
      <c r="D32" s="99">
        <v>26.6</v>
      </c>
      <c r="E32" s="99">
        <v>26.67</v>
      </c>
      <c r="F32" s="99">
        <v>26.74</v>
      </c>
      <c r="G32" s="99">
        <v>26.81</v>
      </c>
      <c r="H32" s="99">
        <v>26.87</v>
      </c>
      <c r="I32" s="99">
        <v>26.94</v>
      </c>
      <c r="J32" s="99">
        <v>27.01</v>
      </c>
      <c r="K32" s="99">
        <v>27.08</v>
      </c>
    </row>
    <row r="33" spans="1:11">
      <c r="A33" s="100">
        <v>61</v>
      </c>
      <c r="B33" s="101">
        <v>27.15</v>
      </c>
      <c r="C33" s="101">
        <v>27.22</v>
      </c>
      <c r="D33" s="101">
        <v>27.29</v>
      </c>
      <c r="E33" s="101">
        <v>27.36</v>
      </c>
      <c r="F33" s="101">
        <v>27.43</v>
      </c>
      <c r="G33" s="101">
        <v>27.5</v>
      </c>
      <c r="H33" s="101">
        <v>27.57</v>
      </c>
      <c r="I33" s="101">
        <v>27.64</v>
      </c>
      <c r="J33" s="101">
        <v>27.71</v>
      </c>
      <c r="K33" s="101">
        <v>27.78</v>
      </c>
    </row>
    <row r="34" spans="1:11">
      <c r="A34" s="100">
        <v>62</v>
      </c>
      <c r="B34" s="101">
        <v>27.85</v>
      </c>
      <c r="C34" s="101">
        <v>27.92</v>
      </c>
      <c r="D34" s="101">
        <v>27.99</v>
      </c>
      <c r="E34" s="101">
        <v>28.07</v>
      </c>
      <c r="F34" s="101">
        <v>28.14</v>
      </c>
      <c r="G34" s="101">
        <v>28.21</v>
      </c>
      <c r="H34" s="101">
        <v>28.28</v>
      </c>
      <c r="I34" s="101">
        <v>28.35</v>
      </c>
      <c r="J34" s="101">
        <v>28.43</v>
      </c>
      <c r="K34" s="101">
        <v>28.5</v>
      </c>
    </row>
    <row r="35" spans="1:11">
      <c r="A35" s="100">
        <v>63</v>
      </c>
      <c r="B35" s="101">
        <v>28.57</v>
      </c>
      <c r="C35" s="101">
        <v>28.64</v>
      </c>
      <c r="D35" s="101">
        <v>28.72</v>
      </c>
      <c r="E35" s="101">
        <v>28.79</v>
      </c>
      <c r="F35" s="101">
        <v>28.87</v>
      </c>
      <c r="G35" s="101">
        <v>28.94</v>
      </c>
      <c r="H35" s="101">
        <v>29.01</v>
      </c>
      <c r="I35" s="101">
        <v>29.09</v>
      </c>
      <c r="J35" s="101">
        <v>29.16</v>
      </c>
      <c r="K35" s="101">
        <v>29.24</v>
      </c>
    </row>
    <row r="36" spans="1:11">
      <c r="A36" s="102">
        <v>64</v>
      </c>
      <c r="B36" s="103">
        <v>29.31</v>
      </c>
      <c r="C36" s="103">
        <v>29.39</v>
      </c>
      <c r="D36" s="103">
        <v>29.46</v>
      </c>
      <c r="E36" s="103">
        <v>29.54</v>
      </c>
      <c r="F36" s="103">
        <v>29.61</v>
      </c>
      <c r="G36" s="103">
        <v>29.69</v>
      </c>
      <c r="H36" s="103">
        <v>29.76</v>
      </c>
      <c r="I36" s="103">
        <v>29.84</v>
      </c>
      <c r="J36" s="103">
        <v>29.91</v>
      </c>
      <c r="K36" s="103">
        <v>29.99</v>
      </c>
    </row>
    <row r="37" spans="1:11">
      <c r="A37" s="98">
        <v>65</v>
      </c>
      <c r="B37" s="99">
        <v>30.06</v>
      </c>
      <c r="C37" s="99">
        <v>30.14</v>
      </c>
      <c r="D37" s="99">
        <v>30.21</v>
      </c>
      <c r="E37" s="99">
        <v>30.29</v>
      </c>
      <c r="F37" s="99">
        <v>30.37</v>
      </c>
      <c r="G37" s="99">
        <v>30.45</v>
      </c>
      <c r="H37" s="99">
        <v>30.52</v>
      </c>
      <c r="I37" s="99">
        <v>30.6</v>
      </c>
      <c r="J37" s="99">
        <v>30.68</v>
      </c>
      <c r="K37" s="99">
        <v>30.75</v>
      </c>
    </row>
    <row r="38" spans="1:11">
      <c r="A38" s="100">
        <v>66</v>
      </c>
      <c r="B38" s="101">
        <v>30.83</v>
      </c>
      <c r="C38" s="101">
        <v>30.91</v>
      </c>
      <c r="D38" s="101">
        <v>30.99</v>
      </c>
      <c r="E38" s="101">
        <v>31.07</v>
      </c>
      <c r="F38" s="101">
        <v>31.15</v>
      </c>
      <c r="G38" s="101">
        <v>31.23</v>
      </c>
      <c r="H38" s="101">
        <v>31.3</v>
      </c>
      <c r="I38" s="101">
        <v>31.38</v>
      </c>
      <c r="J38" s="101">
        <v>31.46</v>
      </c>
      <c r="K38" s="101">
        <v>31.54</v>
      </c>
    </row>
    <row r="39" spans="1:11">
      <c r="A39" s="100">
        <v>67</v>
      </c>
      <c r="B39" s="101">
        <v>31.62</v>
      </c>
      <c r="C39" s="101">
        <v>31.7</v>
      </c>
      <c r="D39" s="101">
        <v>31.78</v>
      </c>
      <c r="E39" s="101">
        <v>31.86</v>
      </c>
      <c r="F39" s="101">
        <v>31.94</v>
      </c>
      <c r="G39" s="101">
        <v>32.020000000000003</v>
      </c>
      <c r="H39" s="101">
        <v>32.1</v>
      </c>
      <c r="I39" s="101">
        <v>32.18</v>
      </c>
      <c r="J39" s="101">
        <v>32.26</v>
      </c>
      <c r="K39" s="101">
        <v>32.340000000000003</v>
      </c>
    </row>
    <row r="40" spans="1:11">
      <c r="A40" s="100">
        <v>68</v>
      </c>
      <c r="B40" s="101">
        <v>32.42</v>
      </c>
      <c r="C40" s="101">
        <v>32.5</v>
      </c>
      <c r="D40" s="101">
        <v>32.590000000000003</v>
      </c>
      <c r="E40" s="101">
        <v>32.67</v>
      </c>
      <c r="F40" s="101">
        <v>32.75</v>
      </c>
      <c r="G40" s="101">
        <v>32.840000000000003</v>
      </c>
      <c r="H40" s="101">
        <v>32.92</v>
      </c>
      <c r="I40" s="101">
        <v>33</v>
      </c>
      <c r="J40" s="101">
        <v>33.08</v>
      </c>
      <c r="K40" s="101">
        <v>33.17</v>
      </c>
    </row>
    <row r="41" spans="1:11">
      <c r="A41" s="102">
        <v>69</v>
      </c>
      <c r="B41" s="103">
        <v>33.25</v>
      </c>
      <c r="C41" s="103">
        <v>33.33</v>
      </c>
      <c r="D41" s="103">
        <v>33.42</v>
      </c>
      <c r="E41" s="103">
        <v>33.5</v>
      </c>
      <c r="F41" s="103">
        <v>33.590000000000003</v>
      </c>
      <c r="G41" s="103">
        <v>33.67</v>
      </c>
      <c r="H41" s="103">
        <v>33.75</v>
      </c>
      <c r="I41" s="103">
        <v>33.840000000000003</v>
      </c>
      <c r="J41" s="103">
        <v>33.92</v>
      </c>
      <c r="K41" s="103">
        <v>34.01</v>
      </c>
    </row>
    <row r="42" spans="1:11">
      <c r="A42" s="98">
        <v>70</v>
      </c>
      <c r="B42" s="99">
        <v>34.090000000000003</v>
      </c>
      <c r="C42" s="99">
        <v>34.18</v>
      </c>
      <c r="D42" s="99">
        <v>34.26</v>
      </c>
      <c r="E42" s="99">
        <v>34.35</v>
      </c>
      <c r="F42" s="99">
        <v>34.43</v>
      </c>
      <c r="G42" s="99">
        <v>34.520000000000003</v>
      </c>
      <c r="H42" s="99">
        <v>34.61</v>
      </c>
      <c r="I42" s="99">
        <v>34.69</v>
      </c>
      <c r="J42" s="99">
        <v>34.78</v>
      </c>
      <c r="K42" s="99">
        <v>34.86</v>
      </c>
    </row>
    <row r="43" spans="1:11">
      <c r="A43" s="100">
        <v>71</v>
      </c>
      <c r="B43" s="101">
        <v>34.950000000000003</v>
      </c>
      <c r="C43" s="101">
        <v>35.04</v>
      </c>
      <c r="D43" s="101">
        <v>35.130000000000003</v>
      </c>
      <c r="E43" s="101">
        <v>35.21</v>
      </c>
      <c r="F43" s="101">
        <v>35.299999999999997</v>
      </c>
      <c r="G43" s="101">
        <v>35.39</v>
      </c>
      <c r="H43" s="101">
        <v>35.479999999999997</v>
      </c>
      <c r="I43" s="101">
        <v>35.57</v>
      </c>
      <c r="J43" s="101">
        <v>35.65</v>
      </c>
      <c r="K43" s="101">
        <v>35.74</v>
      </c>
    </row>
    <row r="44" spans="1:11">
      <c r="A44" s="100">
        <v>72</v>
      </c>
      <c r="B44" s="101">
        <v>35.83</v>
      </c>
      <c r="C44" s="101">
        <v>35.92</v>
      </c>
      <c r="D44" s="101">
        <v>36.01</v>
      </c>
      <c r="E44" s="101">
        <v>36.1</v>
      </c>
      <c r="F44" s="101">
        <v>36.19</v>
      </c>
      <c r="G44" s="101">
        <v>36.29</v>
      </c>
      <c r="H44" s="101">
        <v>36.380000000000003</v>
      </c>
      <c r="I44" s="101">
        <v>36.47</v>
      </c>
      <c r="J44" s="101">
        <v>36.56</v>
      </c>
      <c r="K44" s="101">
        <v>36.65</v>
      </c>
    </row>
    <row r="45" spans="1:11">
      <c r="A45" s="100">
        <v>73</v>
      </c>
      <c r="B45" s="101">
        <v>36.74</v>
      </c>
      <c r="C45" s="101">
        <v>36.83</v>
      </c>
      <c r="D45" s="101">
        <v>36.92</v>
      </c>
      <c r="E45" s="101">
        <v>37.020000000000003</v>
      </c>
      <c r="F45" s="101">
        <v>37.11</v>
      </c>
      <c r="G45" s="101">
        <v>37.200000000000003</v>
      </c>
      <c r="H45" s="101">
        <v>37.29</v>
      </c>
      <c r="I45" s="101">
        <v>37.380000000000003</v>
      </c>
      <c r="J45" s="101">
        <v>37.479999999999997</v>
      </c>
      <c r="K45" s="101">
        <v>37.57</v>
      </c>
    </row>
    <row r="46" spans="1:11">
      <c r="A46" s="102">
        <v>74</v>
      </c>
      <c r="B46" s="103">
        <v>37.659999999999997</v>
      </c>
      <c r="C46" s="103">
        <v>37.76</v>
      </c>
      <c r="D46" s="103">
        <v>37.85</v>
      </c>
      <c r="E46" s="103">
        <v>37.950000000000003</v>
      </c>
      <c r="F46" s="103">
        <v>38.04</v>
      </c>
      <c r="G46" s="103">
        <v>38.14</v>
      </c>
      <c r="H46" s="103">
        <v>38.229999999999997</v>
      </c>
      <c r="I46" s="103">
        <v>38.33</v>
      </c>
      <c r="J46" s="103">
        <v>38.42</v>
      </c>
      <c r="K46" s="103">
        <v>38.520000000000003</v>
      </c>
    </row>
    <row r="47" spans="1:11">
      <c r="A47" s="98">
        <v>75</v>
      </c>
      <c r="B47" s="99">
        <v>38.61</v>
      </c>
      <c r="C47" s="99">
        <v>38.71</v>
      </c>
      <c r="D47" s="99">
        <v>38.799999999999997</v>
      </c>
      <c r="E47" s="99">
        <v>38.9</v>
      </c>
      <c r="F47" s="99">
        <v>38.99</v>
      </c>
      <c r="G47" s="99">
        <v>39.090000000000003</v>
      </c>
      <c r="H47" s="99">
        <v>39.19</v>
      </c>
      <c r="I47" s="99">
        <v>39.28</v>
      </c>
      <c r="J47" s="99">
        <v>39.380000000000003</v>
      </c>
      <c r="K47" s="99">
        <v>39.47</v>
      </c>
    </row>
    <row r="48" spans="1:11">
      <c r="A48" s="100">
        <v>76</v>
      </c>
      <c r="B48" s="101">
        <v>39.57</v>
      </c>
      <c r="C48" s="101">
        <v>39.67</v>
      </c>
      <c r="D48" s="101">
        <v>39.770000000000003</v>
      </c>
      <c r="E48" s="101">
        <v>39.869999999999997</v>
      </c>
      <c r="F48" s="101">
        <v>39.97</v>
      </c>
      <c r="G48" s="101">
        <v>40.07</v>
      </c>
      <c r="H48" s="101">
        <v>40.17</v>
      </c>
      <c r="I48" s="101">
        <v>40.270000000000003</v>
      </c>
      <c r="J48" s="101">
        <v>40.369999999999997</v>
      </c>
      <c r="K48" s="101">
        <v>40.47</v>
      </c>
    </row>
    <row r="49" spans="1:11">
      <c r="A49" s="100">
        <v>77</v>
      </c>
      <c r="B49" s="101">
        <v>40.57</v>
      </c>
      <c r="C49" s="101">
        <v>40.67</v>
      </c>
      <c r="D49" s="101">
        <v>40.770000000000003</v>
      </c>
      <c r="E49" s="101">
        <v>40.869999999999997</v>
      </c>
      <c r="F49" s="101">
        <v>40.97</v>
      </c>
      <c r="G49" s="101">
        <v>41.08</v>
      </c>
      <c r="H49" s="101">
        <v>41.18</v>
      </c>
      <c r="I49" s="101">
        <v>41.28</v>
      </c>
      <c r="J49" s="101">
        <v>41.38</v>
      </c>
      <c r="K49" s="101">
        <v>41.48</v>
      </c>
    </row>
    <row r="50" spans="1:11">
      <c r="A50" s="100">
        <v>78</v>
      </c>
      <c r="B50" s="101">
        <v>41.58</v>
      </c>
      <c r="C50" s="101">
        <v>41.68</v>
      </c>
      <c r="D50" s="101">
        <v>41.79</v>
      </c>
      <c r="E50" s="101">
        <v>41.89</v>
      </c>
      <c r="F50" s="101">
        <v>42</v>
      </c>
      <c r="G50" s="101">
        <v>42.1</v>
      </c>
      <c r="H50" s="101">
        <v>42.2</v>
      </c>
      <c r="I50" s="101">
        <v>42.31</v>
      </c>
      <c r="J50" s="101">
        <v>42.41</v>
      </c>
      <c r="K50" s="101">
        <v>42.52</v>
      </c>
    </row>
    <row r="51" spans="1:11">
      <c r="A51" s="102">
        <v>79</v>
      </c>
      <c r="B51" s="103">
        <v>42.62</v>
      </c>
      <c r="C51" s="103">
        <v>42.73</v>
      </c>
      <c r="D51" s="103">
        <v>42.83</v>
      </c>
      <c r="E51" s="103">
        <v>42.94</v>
      </c>
      <c r="F51" s="103">
        <v>43.05</v>
      </c>
      <c r="G51" s="103">
        <v>43.16</v>
      </c>
      <c r="H51" s="103">
        <v>43.26</v>
      </c>
      <c r="I51" s="103">
        <v>43.37</v>
      </c>
      <c r="J51" s="103">
        <v>43.48</v>
      </c>
      <c r="K51" s="103">
        <v>43.58</v>
      </c>
    </row>
    <row r="52" spans="1:11">
      <c r="A52" s="98">
        <v>80</v>
      </c>
      <c r="B52" s="99">
        <v>43.69</v>
      </c>
      <c r="C52" s="99">
        <v>43.8</v>
      </c>
      <c r="D52" s="99">
        <v>43.91</v>
      </c>
      <c r="E52" s="99">
        <v>44.02</v>
      </c>
      <c r="F52" s="99">
        <v>44.13</v>
      </c>
      <c r="G52" s="99">
        <v>44.24</v>
      </c>
      <c r="H52" s="99">
        <v>44.34</v>
      </c>
      <c r="I52" s="99">
        <v>44.45</v>
      </c>
      <c r="J52" s="99">
        <v>44.56</v>
      </c>
      <c r="K52" s="99">
        <v>44.67</v>
      </c>
    </row>
    <row r="53" spans="1:11">
      <c r="A53" s="100">
        <v>81</v>
      </c>
      <c r="B53" s="101">
        <v>44.78</v>
      </c>
      <c r="C53" s="101">
        <v>44.89</v>
      </c>
      <c r="D53" s="101">
        <v>45</v>
      </c>
      <c r="E53" s="101">
        <v>45.12</v>
      </c>
      <c r="F53" s="101">
        <v>45.23</v>
      </c>
      <c r="G53" s="101">
        <v>45.34</v>
      </c>
      <c r="H53" s="101">
        <v>45.45</v>
      </c>
      <c r="I53" s="101">
        <v>45.56</v>
      </c>
      <c r="J53" s="101">
        <v>45.68</v>
      </c>
      <c r="K53" s="101">
        <v>45.79</v>
      </c>
    </row>
    <row r="54" spans="1:11">
      <c r="A54" s="100">
        <v>82</v>
      </c>
      <c r="B54" s="101">
        <v>45.9</v>
      </c>
      <c r="C54" s="101">
        <v>46.01</v>
      </c>
      <c r="D54" s="101">
        <v>46.13</v>
      </c>
      <c r="E54" s="101">
        <v>46.24</v>
      </c>
      <c r="F54" s="101">
        <v>46.36</v>
      </c>
      <c r="G54" s="101">
        <v>46.47</v>
      </c>
      <c r="H54" s="101">
        <v>46.58</v>
      </c>
      <c r="I54" s="101">
        <v>46.7</v>
      </c>
      <c r="J54" s="101">
        <v>46.81</v>
      </c>
      <c r="K54" s="101">
        <v>46.93</v>
      </c>
    </row>
    <row r="55" spans="1:11">
      <c r="A55" s="100">
        <v>83</v>
      </c>
      <c r="B55" s="101">
        <v>47.04</v>
      </c>
      <c r="C55" s="101">
        <v>47.16</v>
      </c>
      <c r="D55" s="101">
        <v>47.28</v>
      </c>
      <c r="E55" s="101">
        <v>47.39</v>
      </c>
      <c r="F55" s="101">
        <v>47.51</v>
      </c>
      <c r="G55" s="101">
        <v>47.63</v>
      </c>
      <c r="H55" s="101">
        <v>47.75</v>
      </c>
      <c r="I55" s="101">
        <v>47.87</v>
      </c>
      <c r="J55" s="101">
        <v>47.98</v>
      </c>
      <c r="K55" s="101">
        <v>48.1</v>
      </c>
    </row>
    <row r="56" spans="1:11">
      <c r="A56" s="100">
        <v>84</v>
      </c>
      <c r="B56" s="101">
        <v>48.22</v>
      </c>
      <c r="C56" s="101">
        <v>48.34</v>
      </c>
      <c r="D56" s="101">
        <v>48.46</v>
      </c>
      <c r="E56" s="101">
        <v>48.58</v>
      </c>
      <c r="F56" s="101">
        <v>48.7</v>
      </c>
      <c r="G56" s="101">
        <v>48.83</v>
      </c>
      <c r="H56" s="101">
        <v>48.95</v>
      </c>
      <c r="I56" s="101">
        <v>49.07</v>
      </c>
      <c r="J56" s="101">
        <v>49.19</v>
      </c>
      <c r="K56" s="101">
        <v>49.31</v>
      </c>
    </row>
    <row r="57" spans="1:11">
      <c r="A57" s="102">
        <v>85</v>
      </c>
      <c r="B57" s="103">
        <v>49.43</v>
      </c>
      <c r="C57" s="103">
        <v>49.55</v>
      </c>
      <c r="D57" s="103">
        <v>49.68</v>
      </c>
      <c r="E57" s="103">
        <v>49.8</v>
      </c>
      <c r="F57" s="103">
        <v>49.92</v>
      </c>
      <c r="G57" s="103">
        <v>50.05</v>
      </c>
      <c r="H57" s="103">
        <v>50.17</v>
      </c>
      <c r="I57" s="103">
        <v>50.29</v>
      </c>
      <c r="J57" s="103">
        <v>50.41</v>
      </c>
      <c r="K57" s="103">
        <v>50.54</v>
      </c>
    </row>
    <row r="58" spans="1:11">
      <c r="A58" s="104" t="s">
        <v>303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39</vt:i4>
      </vt:variant>
    </vt:vector>
  </HeadingPairs>
  <TitlesOfParts>
    <vt:vector size="50" baseType="lpstr">
      <vt:lpstr>INPUT_OUTPUTS</vt:lpstr>
      <vt:lpstr>AHU 1</vt:lpstr>
      <vt:lpstr>AHU 2</vt:lpstr>
      <vt:lpstr>AHU 6</vt:lpstr>
      <vt:lpstr>AHU 5</vt:lpstr>
      <vt:lpstr>AHU 4</vt:lpstr>
      <vt:lpstr>AHU 3</vt:lpstr>
      <vt:lpstr>Generic</vt:lpstr>
      <vt:lpstr>Psych</vt:lpstr>
      <vt:lpstr>UMC Table 4-A</vt:lpstr>
      <vt:lpstr>DO NOT TOUCH</vt:lpstr>
      <vt:lpstr>'AHU 2'!_CAV1.</vt:lpstr>
      <vt:lpstr>'AHU 3'!_CAV1.</vt:lpstr>
      <vt:lpstr>'AHU 4'!_CAV1.</vt:lpstr>
      <vt:lpstr>'AHU 5'!_CAV1.</vt:lpstr>
      <vt:lpstr>'AHU 6'!_CAV1.</vt:lpstr>
      <vt:lpstr>Generic!_CAV1.</vt:lpstr>
      <vt:lpstr>_CAV1.</vt:lpstr>
      <vt:lpstr>'AHU 2'!AHU_1AC_AV</vt:lpstr>
      <vt:lpstr>'AHU 3'!AHU_1AC_AV</vt:lpstr>
      <vt:lpstr>'AHU 4'!AHU_1AC_AV</vt:lpstr>
      <vt:lpstr>'AHU 5'!AHU_1AC_AV</vt:lpstr>
      <vt:lpstr>'AHU 6'!AHU_1AC_AV</vt:lpstr>
      <vt:lpstr>Generic!AHU_1AC_AV</vt:lpstr>
      <vt:lpstr>AHU_1AC_AV</vt:lpstr>
      <vt:lpstr>'AHU 2'!CAV_1A_SCHEDULE</vt:lpstr>
      <vt:lpstr>'AHU 3'!CAV_1A_SCHEDULE</vt:lpstr>
      <vt:lpstr>'AHU 4'!CAV_1A_SCHEDULE</vt:lpstr>
      <vt:lpstr>'AHU 5'!CAV_1A_SCHEDULE</vt:lpstr>
      <vt:lpstr>'AHU 6'!CAV_1A_SCHEDULE</vt:lpstr>
      <vt:lpstr>Generic!CAV_1A_SCHEDULE</vt:lpstr>
      <vt:lpstr>CAV_1A_SCHEDULE</vt:lpstr>
      <vt:lpstr>'AHU 1'!Print_Area</vt:lpstr>
      <vt:lpstr>'AHU 2'!Print_Area</vt:lpstr>
      <vt:lpstr>'AHU 3'!Print_Area</vt:lpstr>
      <vt:lpstr>'AHU 4'!Print_Area</vt:lpstr>
      <vt:lpstr>'AHU 5'!Print_Area</vt:lpstr>
      <vt:lpstr>'AHU 6'!Print_Area</vt:lpstr>
      <vt:lpstr>Generic!Print_Area</vt:lpstr>
      <vt:lpstr>Psych!Print_Area</vt:lpstr>
      <vt:lpstr>'UMC Table 4-A'!Print_Area</vt:lpstr>
      <vt:lpstr>'AHU 1'!Print_Titles</vt:lpstr>
      <vt:lpstr>'AHU 2'!Print_Titles</vt:lpstr>
      <vt:lpstr>'AHU 3'!Print_Titles</vt:lpstr>
      <vt:lpstr>'AHU 4'!Print_Titles</vt:lpstr>
      <vt:lpstr>'AHU 5'!Print_Titles</vt:lpstr>
      <vt:lpstr>'AHU 6'!Print_Titles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Shraddha Patil</cp:lastModifiedBy>
  <cp:lastPrinted>2023-01-21T17:53:48Z</cp:lastPrinted>
  <dcterms:created xsi:type="dcterms:W3CDTF">2001-05-17T15:02:58Z</dcterms:created>
  <dcterms:modified xsi:type="dcterms:W3CDTF">2023-01-22T08:11:15Z</dcterms:modified>
  <cp:category/>
</cp:coreProperties>
</file>