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Misc/PsychroCalc/"/>
    </mc:Choice>
  </mc:AlternateContent>
  <xr:revisionPtr revIDLastSave="75" documentId="13_ncr:1_{A16A6295-E876-4470-BC39-22FDB07C6A6B}" xr6:coauthVersionLast="47" xr6:coauthVersionMax="47" xr10:uidLastSave="{E99C8645-ADEA-42FC-8530-C9733FD34DB9}"/>
  <bookViews>
    <workbookView xWindow="-120" yWindow="-120" windowWidth="29040" windowHeight="15840" activeTab="4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07" r:id="rId4"/>
    <sheet name="Psych" sheetId="45" r:id="rId5"/>
    <sheet name="UMC Table 4-A" sheetId="37" state="hidden" r:id="rId6"/>
    <sheet name="DO NOT TOUCH" sheetId="63" state="hidden" r:id="rId7"/>
  </sheets>
  <definedNames>
    <definedName name="_CAV1">#REF!</definedName>
    <definedName name="_CAV1." localSheetId="3">'AHU 2'!$AD$5:$AT$48</definedName>
    <definedName name="_CAV1." localSheetId="2">Generic!$AD$5:$AT$48</definedName>
    <definedName name="_CAV1.">'AHU 1'!$AD$5:$AT$48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2">Generic!$AC$7:$AO$43</definedName>
    <definedName name="AHU_1AC_AV">'AHU 1'!$AC$7:$AO$43</definedName>
    <definedName name="AHUs" localSheetId="4">Table7[TAG]</definedName>
    <definedName name="AHUs">Table7[TAG]</definedName>
    <definedName name="CAV_1A_SCHEDULE" localSheetId="3">'AHU 2'!$AD$5:$AT$48</definedName>
    <definedName name="CAV_1A_SCHEDULE" localSheetId="2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3">'AHU 2'!$D$4:$V$78</definedName>
    <definedName name="_xlnm.Print_Area" localSheetId="2">Generic!$D$4:$V$78</definedName>
    <definedName name="_xlnm.Print_Area" localSheetId="4">Psych!$A$8:$BF$14</definedName>
    <definedName name="_xlnm.Print_Area" localSheetId="5">'UMC Table 4-A'!$A$5:$E$139</definedName>
    <definedName name="_xlnm.Print_Titles" localSheetId="1">'AHU 1'!$3:$6</definedName>
    <definedName name="_xlnm.Print_Titles" localSheetId="3">'AHU 2'!$3:$6</definedName>
    <definedName name="_xlnm.Print_Titles" localSheetId="2">Generic!$3:$6</definedName>
    <definedName name="_xlnm.Print_Titles" localSheetId="5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5" l="1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07"/>
  <c r="Q78" i="107"/>
  <c r="U78" i="107" s="1"/>
  <c r="O78" i="107"/>
  <c r="P78" i="107" s="1"/>
  <c r="N78" i="107"/>
  <c r="L78" i="107"/>
  <c r="H78" i="107"/>
  <c r="I78" i="107" s="1"/>
  <c r="G78" i="107"/>
  <c r="K78" i="107" s="1"/>
  <c r="Q77" i="107"/>
  <c r="U77" i="107" s="1"/>
  <c r="P77" i="107"/>
  <c r="O77" i="107"/>
  <c r="N77" i="107"/>
  <c r="L77" i="107"/>
  <c r="I77" i="107"/>
  <c r="H77" i="107"/>
  <c r="G77" i="107"/>
  <c r="K77" i="107" s="1"/>
  <c r="Q76" i="107"/>
  <c r="U76" i="107" s="1"/>
  <c r="O76" i="107"/>
  <c r="P76" i="107" s="1"/>
  <c r="N76" i="107"/>
  <c r="L76" i="107"/>
  <c r="H76" i="107"/>
  <c r="I76" i="107" s="1"/>
  <c r="G76" i="107"/>
  <c r="K76" i="107" s="1"/>
  <c r="Q75" i="107"/>
  <c r="U75" i="107" s="1"/>
  <c r="O75" i="107"/>
  <c r="P75" i="107" s="1"/>
  <c r="N75" i="107"/>
  <c r="R75" i="107" s="1"/>
  <c r="Z75" i="107" s="1"/>
  <c r="L75" i="107"/>
  <c r="H75" i="107"/>
  <c r="I75" i="107" s="1"/>
  <c r="G75" i="107"/>
  <c r="K75" i="107" s="1"/>
  <c r="U74" i="107"/>
  <c r="Q74" i="107"/>
  <c r="O74" i="107"/>
  <c r="P74" i="107" s="1"/>
  <c r="N74" i="107"/>
  <c r="L74" i="107"/>
  <c r="H74" i="107"/>
  <c r="I74" i="107" s="1"/>
  <c r="G74" i="107"/>
  <c r="K74" i="107" s="1"/>
  <c r="Q73" i="107"/>
  <c r="T73" i="107" s="1"/>
  <c r="P73" i="107"/>
  <c r="O73" i="107"/>
  <c r="N73" i="107"/>
  <c r="R73" i="107" s="1"/>
  <c r="Z73" i="107" s="1"/>
  <c r="L73" i="107"/>
  <c r="I73" i="107"/>
  <c r="H73" i="107"/>
  <c r="G73" i="107"/>
  <c r="K73" i="107" s="1"/>
  <c r="Q72" i="107"/>
  <c r="U72" i="107" s="1"/>
  <c r="O72" i="107"/>
  <c r="P72" i="107" s="1"/>
  <c r="N72" i="107"/>
  <c r="L72" i="107"/>
  <c r="H72" i="107"/>
  <c r="I72" i="107" s="1"/>
  <c r="G72" i="107"/>
  <c r="K72" i="107" s="1"/>
  <c r="T71" i="107"/>
  <c r="Q71" i="107"/>
  <c r="U71" i="107" s="1"/>
  <c r="P71" i="107"/>
  <c r="O71" i="107"/>
  <c r="N71" i="107"/>
  <c r="R71" i="107" s="1"/>
  <c r="Z71" i="107" s="1"/>
  <c r="L71" i="107"/>
  <c r="I71" i="107"/>
  <c r="H71" i="107"/>
  <c r="G71" i="107"/>
  <c r="K71" i="107" s="1"/>
  <c r="U70" i="107"/>
  <c r="Q70" i="107"/>
  <c r="O70" i="107"/>
  <c r="P70" i="107" s="1"/>
  <c r="N70" i="107"/>
  <c r="L70" i="107"/>
  <c r="H70" i="107"/>
  <c r="I70" i="107" s="1"/>
  <c r="G70" i="107"/>
  <c r="K70" i="107" s="1"/>
  <c r="Q69" i="107"/>
  <c r="U69" i="107" s="1"/>
  <c r="P69" i="107"/>
  <c r="O69" i="107"/>
  <c r="N69" i="107"/>
  <c r="L69" i="107"/>
  <c r="I69" i="107"/>
  <c r="H69" i="107"/>
  <c r="G69" i="107"/>
  <c r="K69" i="107" s="1"/>
  <c r="Q68" i="107"/>
  <c r="U68" i="107" s="1"/>
  <c r="O68" i="107"/>
  <c r="P68" i="107" s="1"/>
  <c r="N68" i="107"/>
  <c r="L68" i="107"/>
  <c r="H68" i="107"/>
  <c r="I68" i="107" s="1"/>
  <c r="G68" i="107"/>
  <c r="K68" i="107" s="1"/>
  <c r="U67" i="107"/>
  <c r="Q67" i="107"/>
  <c r="P67" i="107"/>
  <c r="O67" i="107"/>
  <c r="N67" i="107"/>
  <c r="L67" i="107"/>
  <c r="H67" i="107"/>
  <c r="I67" i="107" s="1"/>
  <c r="G67" i="107"/>
  <c r="K67" i="107" s="1"/>
  <c r="U66" i="107"/>
  <c r="Q66" i="107"/>
  <c r="O66" i="107"/>
  <c r="P66" i="107" s="1"/>
  <c r="N66" i="107"/>
  <c r="L66" i="107"/>
  <c r="H66" i="107"/>
  <c r="I66" i="107" s="1"/>
  <c r="G66" i="107"/>
  <c r="K66" i="107" s="1"/>
  <c r="U65" i="107"/>
  <c r="Q65" i="107"/>
  <c r="P65" i="107"/>
  <c r="O65" i="107"/>
  <c r="N65" i="107"/>
  <c r="L65" i="107"/>
  <c r="I65" i="107"/>
  <c r="H65" i="107"/>
  <c r="G65" i="107"/>
  <c r="K65" i="107" s="1"/>
  <c r="Q64" i="107"/>
  <c r="U64" i="107" s="1"/>
  <c r="O64" i="107"/>
  <c r="P64" i="107" s="1"/>
  <c r="N64" i="107"/>
  <c r="L64" i="107"/>
  <c r="H64" i="107"/>
  <c r="I64" i="107" s="1"/>
  <c r="G64" i="107"/>
  <c r="K64" i="107" s="1"/>
  <c r="Q63" i="107"/>
  <c r="U63" i="107" s="1"/>
  <c r="O63" i="107"/>
  <c r="P63" i="107" s="1"/>
  <c r="N63" i="107"/>
  <c r="R63" i="107" s="1"/>
  <c r="Z63" i="107" s="1"/>
  <c r="L63" i="107"/>
  <c r="I63" i="107"/>
  <c r="H63" i="107"/>
  <c r="G63" i="107"/>
  <c r="K63" i="107" s="1"/>
  <c r="U62" i="107"/>
  <c r="Q62" i="107"/>
  <c r="O62" i="107"/>
  <c r="P62" i="107" s="1"/>
  <c r="N62" i="107"/>
  <c r="L62" i="107"/>
  <c r="H62" i="107"/>
  <c r="I62" i="107" s="1"/>
  <c r="G62" i="107"/>
  <c r="K62" i="107" s="1"/>
  <c r="Q61" i="107"/>
  <c r="T61" i="107" s="1"/>
  <c r="P61" i="107"/>
  <c r="O61" i="107"/>
  <c r="N61" i="107"/>
  <c r="R61" i="107" s="1"/>
  <c r="Z61" i="107" s="1"/>
  <c r="L61" i="107"/>
  <c r="I61" i="107"/>
  <c r="H61" i="107"/>
  <c r="G61" i="107"/>
  <c r="K61" i="107" s="1"/>
  <c r="Q60" i="107"/>
  <c r="U60" i="107" s="1"/>
  <c r="O60" i="107"/>
  <c r="P60" i="107" s="1"/>
  <c r="N60" i="107"/>
  <c r="L60" i="107"/>
  <c r="H60" i="107"/>
  <c r="I60" i="107" s="1"/>
  <c r="G60" i="107"/>
  <c r="K60" i="107" s="1"/>
  <c r="U59" i="107"/>
  <c r="T59" i="107"/>
  <c r="Q59" i="107"/>
  <c r="P59" i="107"/>
  <c r="O59" i="107"/>
  <c r="N59" i="107"/>
  <c r="R59" i="107" s="1"/>
  <c r="Z59" i="107" s="1"/>
  <c r="L59" i="107"/>
  <c r="I59" i="107"/>
  <c r="H59" i="107"/>
  <c r="G59" i="107"/>
  <c r="K59" i="107" s="1"/>
  <c r="Q58" i="107"/>
  <c r="U58" i="107" s="1"/>
  <c r="O58" i="107"/>
  <c r="P58" i="107" s="1"/>
  <c r="N58" i="107"/>
  <c r="L58" i="107"/>
  <c r="H58" i="107"/>
  <c r="I58" i="107" s="1"/>
  <c r="G58" i="107"/>
  <c r="K58" i="107" s="1"/>
  <c r="T57" i="107"/>
  <c r="Q57" i="107"/>
  <c r="U57" i="107" s="1"/>
  <c r="P57" i="107"/>
  <c r="O57" i="107"/>
  <c r="N57" i="107"/>
  <c r="R57" i="107" s="1"/>
  <c r="L57" i="107"/>
  <c r="I57" i="107"/>
  <c r="H57" i="107"/>
  <c r="G57" i="107"/>
  <c r="K57" i="107" s="1"/>
  <c r="Q56" i="107"/>
  <c r="U56" i="107" s="1"/>
  <c r="O56" i="107"/>
  <c r="P56" i="107" s="1"/>
  <c r="N56" i="107"/>
  <c r="L56" i="107"/>
  <c r="H56" i="107"/>
  <c r="I56" i="107" s="1"/>
  <c r="G56" i="107"/>
  <c r="K56" i="107" s="1"/>
  <c r="Q55" i="107"/>
  <c r="U55" i="107" s="1"/>
  <c r="P55" i="107"/>
  <c r="O55" i="107"/>
  <c r="N55" i="107"/>
  <c r="L55" i="107"/>
  <c r="H55" i="107"/>
  <c r="I55" i="107" s="1"/>
  <c r="G55" i="107"/>
  <c r="K55" i="107" s="1"/>
  <c r="Q54" i="107"/>
  <c r="U54" i="107" s="1"/>
  <c r="O54" i="107"/>
  <c r="P54" i="107" s="1"/>
  <c r="N54" i="107"/>
  <c r="L54" i="107"/>
  <c r="H54" i="107"/>
  <c r="I54" i="107" s="1"/>
  <c r="G54" i="107"/>
  <c r="K54" i="107" s="1"/>
  <c r="U53" i="107"/>
  <c r="Q53" i="107"/>
  <c r="P53" i="107"/>
  <c r="O53" i="107"/>
  <c r="N53" i="107"/>
  <c r="L53" i="107"/>
  <c r="I53" i="107"/>
  <c r="H53" i="107"/>
  <c r="G53" i="107"/>
  <c r="K53" i="107" s="1"/>
  <c r="U52" i="107"/>
  <c r="Q52" i="107"/>
  <c r="O52" i="107"/>
  <c r="P52" i="107" s="1"/>
  <c r="N52" i="107"/>
  <c r="L52" i="107"/>
  <c r="H52" i="107"/>
  <c r="I52" i="107" s="1"/>
  <c r="G52" i="107"/>
  <c r="K52" i="107" s="1"/>
  <c r="Q51" i="107"/>
  <c r="U51" i="107" s="1"/>
  <c r="O51" i="107"/>
  <c r="P51" i="107" s="1"/>
  <c r="N51" i="107"/>
  <c r="R51" i="107" s="1"/>
  <c r="Z51" i="107" s="1"/>
  <c r="L51" i="107"/>
  <c r="I51" i="107"/>
  <c r="H51" i="107"/>
  <c r="G51" i="107"/>
  <c r="K51" i="107" s="1"/>
  <c r="U50" i="107"/>
  <c r="Q50" i="107"/>
  <c r="O50" i="107"/>
  <c r="P50" i="107" s="1"/>
  <c r="N50" i="107"/>
  <c r="L50" i="107"/>
  <c r="H50" i="107"/>
  <c r="I50" i="107" s="1"/>
  <c r="G50" i="107"/>
  <c r="K50" i="107" s="1"/>
  <c r="Q49" i="107"/>
  <c r="T49" i="107" s="1"/>
  <c r="P49" i="107"/>
  <c r="O49" i="107"/>
  <c r="N49" i="107"/>
  <c r="R49" i="107" s="1"/>
  <c r="Z49" i="107" s="1"/>
  <c r="L49" i="107"/>
  <c r="I49" i="107"/>
  <c r="H49" i="107"/>
  <c r="G49" i="107"/>
  <c r="K49" i="107" s="1"/>
  <c r="Q48" i="107"/>
  <c r="U48" i="107" s="1"/>
  <c r="O48" i="107"/>
  <c r="P48" i="107" s="1"/>
  <c r="N48" i="107"/>
  <c r="L48" i="107"/>
  <c r="H48" i="107"/>
  <c r="I48" i="107" s="1"/>
  <c r="G48" i="107"/>
  <c r="K48" i="107" s="1"/>
  <c r="U47" i="107"/>
  <c r="T47" i="107"/>
  <c r="Q47" i="107"/>
  <c r="P47" i="107"/>
  <c r="O47" i="107"/>
  <c r="N47" i="107"/>
  <c r="R47" i="107" s="1"/>
  <c r="Z47" i="107" s="1"/>
  <c r="L47" i="107"/>
  <c r="I47" i="107"/>
  <c r="H47" i="107"/>
  <c r="G47" i="107"/>
  <c r="K47" i="107" s="1"/>
  <c r="Q46" i="107"/>
  <c r="U46" i="107" s="1"/>
  <c r="O46" i="107"/>
  <c r="P46" i="107" s="1"/>
  <c r="N46" i="107"/>
  <c r="L46" i="107"/>
  <c r="H46" i="107"/>
  <c r="I46" i="107" s="1"/>
  <c r="G46" i="107"/>
  <c r="K46" i="107" s="1"/>
  <c r="R45" i="107"/>
  <c r="Z45" i="107" s="1"/>
  <c r="Q45" i="107"/>
  <c r="P45" i="107"/>
  <c r="O45" i="107"/>
  <c r="N45" i="107"/>
  <c r="L45" i="107"/>
  <c r="K45" i="107"/>
  <c r="H45" i="107"/>
  <c r="I45" i="107" s="1"/>
  <c r="G45" i="107"/>
  <c r="AR44" i="107"/>
  <c r="AJ44" i="107"/>
  <c r="AI44" i="107"/>
  <c r="AF44" i="107"/>
  <c r="AG44" i="107" s="1"/>
  <c r="AQ44" i="107" s="1"/>
  <c r="U44" i="107"/>
  <c r="Q44" i="107"/>
  <c r="O44" i="107"/>
  <c r="P44" i="107" s="1"/>
  <c r="N44" i="107"/>
  <c r="L44" i="107"/>
  <c r="H44" i="107"/>
  <c r="I44" i="107" s="1"/>
  <c r="G44" i="107"/>
  <c r="K44" i="107" s="1"/>
  <c r="AR43" i="107"/>
  <c r="AJ43" i="107"/>
  <c r="AI43" i="107"/>
  <c r="AF43" i="107"/>
  <c r="AG43" i="107" s="1"/>
  <c r="AQ43" i="107" s="1"/>
  <c r="R43" i="107"/>
  <c r="X43" i="107" s="1"/>
  <c r="Q43" i="107"/>
  <c r="U43" i="107" s="1"/>
  <c r="O43" i="107"/>
  <c r="P43" i="107" s="1"/>
  <c r="N43" i="107"/>
  <c r="L43" i="107"/>
  <c r="H43" i="107"/>
  <c r="I43" i="107" s="1"/>
  <c r="G43" i="107"/>
  <c r="K43" i="107" s="1"/>
  <c r="AR42" i="107"/>
  <c r="AJ42" i="107"/>
  <c r="AI42" i="107"/>
  <c r="AF42" i="107"/>
  <c r="AG42" i="107" s="1"/>
  <c r="AQ42" i="107" s="1"/>
  <c r="U42" i="107"/>
  <c r="Q42" i="107"/>
  <c r="P42" i="107"/>
  <c r="O42" i="107"/>
  <c r="N42" i="107"/>
  <c r="R42" i="107" s="1"/>
  <c r="L42" i="107"/>
  <c r="K42" i="107"/>
  <c r="I42" i="107"/>
  <c r="H42" i="107"/>
  <c r="G42" i="107"/>
  <c r="AR41" i="107"/>
  <c r="AQ41" i="107"/>
  <c r="AJ41" i="107"/>
  <c r="AI41" i="107"/>
  <c r="AF41" i="107"/>
  <c r="AG41" i="107" s="1"/>
  <c r="Q41" i="107"/>
  <c r="U41" i="107" s="1"/>
  <c r="O41" i="107"/>
  <c r="P41" i="107" s="1"/>
  <c r="N41" i="107"/>
  <c r="L41" i="107"/>
  <c r="K41" i="107"/>
  <c r="H41" i="107"/>
  <c r="I41" i="107" s="1"/>
  <c r="G41" i="107"/>
  <c r="AR40" i="107"/>
  <c r="AJ40" i="107"/>
  <c r="AI40" i="107"/>
  <c r="AF40" i="107"/>
  <c r="AG40" i="107" s="1"/>
  <c r="AQ40" i="107" s="1"/>
  <c r="U40" i="107"/>
  <c r="Q40" i="107"/>
  <c r="P40" i="107"/>
  <c r="O40" i="107"/>
  <c r="N40" i="107"/>
  <c r="L40" i="107"/>
  <c r="H40" i="107"/>
  <c r="I40" i="107" s="1"/>
  <c r="G40" i="107"/>
  <c r="K40" i="107" s="1"/>
  <c r="R40" i="107" s="1"/>
  <c r="AR39" i="107"/>
  <c r="AJ39" i="107"/>
  <c r="AI39" i="107"/>
  <c r="AG39" i="107"/>
  <c r="AQ39" i="107" s="1"/>
  <c r="AF39" i="107"/>
  <c r="X39" i="107"/>
  <c r="U39" i="107"/>
  <c r="Q39" i="107"/>
  <c r="O39" i="107"/>
  <c r="P39" i="107" s="1"/>
  <c r="N39" i="107"/>
  <c r="L39" i="107"/>
  <c r="I39" i="107"/>
  <c r="H39" i="107"/>
  <c r="G39" i="107"/>
  <c r="K39" i="107" s="1"/>
  <c r="R39" i="107" s="1"/>
  <c r="AR38" i="107"/>
  <c r="AJ38" i="107"/>
  <c r="AI38" i="107"/>
  <c r="AF38" i="107"/>
  <c r="AG38" i="107" s="1"/>
  <c r="AQ38" i="107" s="1"/>
  <c r="Q38" i="107"/>
  <c r="O38" i="107"/>
  <c r="P38" i="107" s="1"/>
  <c r="N38" i="107"/>
  <c r="L38" i="107"/>
  <c r="K38" i="107"/>
  <c r="I38" i="107"/>
  <c r="H38" i="107"/>
  <c r="G38" i="107"/>
  <c r="AR37" i="107"/>
  <c r="AJ37" i="107"/>
  <c r="AI37" i="107"/>
  <c r="AF37" i="107"/>
  <c r="AG37" i="107" s="1"/>
  <c r="AQ37" i="107" s="1"/>
  <c r="Q37" i="107"/>
  <c r="U37" i="107" s="1"/>
  <c r="O37" i="107"/>
  <c r="P37" i="107" s="1"/>
  <c r="N37" i="107"/>
  <c r="L37" i="107"/>
  <c r="I37" i="107"/>
  <c r="H37" i="107"/>
  <c r="G37" i="107"/>
  <c r="K37" i="107" s="1"/>
  <c r="AR36" i="107"/>
  <c r="AJ36" i="107"/>
  <c r="AI36" i="107"/>
  <c r="AF36" i="107"/>
  <c r="AG36" i="107" s="1"/>
  <c r="AQ36" i="107" s="1"/>
  <c r="Q36" i="107"/>
  <c r="O36" i="107"/>
  <c r="P36" i="107" s="1"/>
  <c r="N36" i="107"/>
  <c r="R36" i="107" s="1"/>
  <c r="L36" i="107"/>
  <c r="K36" i="107"/>
  <c r="H36" i="107"/>
  <c r="I36" i="107" s="1"/>
  <c r="G36" i="107"/>
  <c r="AR35" i="107"/>
  <c r="AJ35" i="107"/>
  <c r="AI35" i="107"/>
  <c r="AF35" i="107"/>
  <c r="AG35" i="107" s="1"/>
  <c r="AQ35" i="107" s="1"/>
  <c r="U35" i="107"/>
  <c r="Q35" i="107"/>
  <c r="O35" i="107"/>
  <c r="P35" i="107" s="1"/>
  <c r="N35" i="107"/>
  <c r="L35" i="107"/>
  <c r="K35" i="107"/>
  <c r="H35" i="107"/>
  <c r="I35" i="107" s="1"/>
  <c r="G35" i="107"/>
  <c r="AR34" i="107"/>
  <c r="AJ34" i="107"/>
  <c r="AI34" i="107"/>
  <c r="AF34" i="107"/>
  <c r="AG34" i="107" s="1"/>
  <c r="AQ34" i="107" s="1"/>
  <c r="U34" i="107"/>
  <c r="Q34" i="107"/>
  <c r="P34" i="107"/>
  <c r="O34" i="107"/>
  <c r="N34" i="107"/>
  <c r="R34" i="107" s="1"/>
  <c r="L34" i="107"/>
  <c r="I34" i="107"/>
  <c r="H34" i="107"/>
  <c r="G34" i="107"/>
  <c r="K34" i="107" s="1"/>
  <c r="AR33" i="107"/>
  <c r="AJ33" i="107"/>
  <c r="AI33" i="107"/>
  <c r="AF33" i="107"/>
  <c r="AG33" i="107" s="1"/>
  <c r="AQ33" i="107" s="1"/>
  <c r="Q33" i="107"/>
  <c r="O33" i="107"/>
  <c r="P33" i="107" s="1"/>
  <c r="N33" i="107"/>
  <c r="R33" i="107" s="1"/>
  <c r="L33" i="107"/>
  <c r="I33" i="107"/>
  <c r="H33" i="107"/>
  <c r="G33" i="107"/>
  <c r="K33" i="107" s="1"/>
  <c r="AR32" i="107"/>
  <c r="AJ32" i="107"/>
  <c r="AI32" i="107"/>
  <c r="AG32" i="107"/>
  <c r="AQ32" i="107" s="1"/>
  <c r="AF32" i="107"/>
  <c r="U32" i="107"/>
  <c r="Q32" i="107"/>
  <c r="P32" i="107"/>
  <c r="O32" i="107"/>
  <c r="N32" i="107"/>
  <c r="L32" i="107"/>
  <c r="H32" i="107"/>
  <c r="I32" i="107" s="1"/>
  <c r="G32" i="107"/>
  <c r="K32" i="107" s="1"/>
  <c r="R32" i="107" s="1"/>
  <c r="AR31" i="107"/>
  <c r="AJ31" i="107"/>
  <c r="AI31" i="107"/>
  <c r="AF31" i="107"/>
  <c r="AG31" i="107" s="1"/>
  <c r="AQ31" i="107" s="1"/>
  <c r="Q31" i="107"/>
  <c r="U31" i="107" s="1"/>
  <c r="O31" i="107"/>
  <c r="P31" i="107" s="1"/>
  <c r="N31" i="107"/>
  <c r="L31" i="107"/>
  <c r="K31" i="107"/>
  <c r="H31" i="107"/>
  <c r="I31" i="107" s="1"/>
  <c r="G31" i="107"/>
  <c r="AR30" i="107"/>
  <c r="AJ30" i="107"/>
  <c r="AI30" i="107"/>
  <c r="AF30" i="107"/>
  <c r="AG30" i="107" s="1"/>
  <c r="AQ30" i="107" s="1"/>
  <c r="Q30" i="107"/>
  <c r="U30" i="107" s="1"/>
  <c r="P30" i="107"/>
  <c r="O30" i="107"/>
  <c r="N30" i="107"/>
  <c r="L30" i="107"/>
  <c r="H30" i="107"/>
  <c r="I30" i="107" s="1"/>
  <c r="G30" i="107"/>
  <c r="K30" i="107" s="1"/>
  <c r="AR29" i="107"/>
  <c r="AJ29" i="107"/>
  <c r="AI29" i="107"/>
  <c r="AF29" i="107"/>
  <c r="AG29" i="107" s="1"/>
  <c r="AQ29" i="107" s="1"/>
  <c r="Q29" i="107"/>
  <c r="P29" i="107"/>
  <c r="O29" i="107"/>
  <c r="N29" i="107"/>
  <c r="L29" i="107"/>
  <c r="H29" i="107"/>
  <c r="I29" i="107" s="1"/>
  <c r="G29" i="107"/>
  <c r="K29" i="107" s="1"/>
  <c r="AR28" i="107"/>
  <c r="AJ28" i="107"/>
  <c r="AI28" i="107"/>
  <c r="AF28" i="107"/>
  <c r="AG28" i="107" s="1"/>
  <c r="AQ28" i="107" s="1"/>
  <c r="U28" i="107"/>
  <c r="Q28" i="107"/>
  <c r="O28" i="107"/>
  <c r="P28" i="107" s="1"/>
  <c r="N28" i="107"/>
  <c r="L28" i="107"/>
  <c r="K28" i="107"/>
  <c r="H28" i="107"/>
  <c r="I28" i="107" s="1"/>
  <c r="G28" i="107"/>
  <c r="AR27" i="107"/>
  <c r="AJ27" i="107"/>
  <c r="AI27" i="107"/>
  <c r="AF27" i="107"/>
  <c r="AG27" i="107" s="1"/>
  <c r="AQ27" i="107" s="1"/>
  <c r="Q27" i="107"/>
  <c r="U27" i="107" s="1"/>
  <c r="P27" i="107"/>
  <c r="O27" i="107"/>
  <c r="N27" i="107"/>
  <c r="L27" i="107"/>
  <c r="H27" i="107"/>
  <c r="I27" i="107" s="1"/>
  <c r="G27" i="107"/>
  <c r="K27" i="107" s="1"/>
  <c r="AR26" i="107"/>
  <c r="AJ26" i="107"/>
  <c r="AI26" i="107"/>
  <c r="AF26" i="107"/>
  <c r="AG26" i="107" s="1"/>
  <c r="AQ26" i="107" s="1"/>
  <c r="Q26" i="107"/>
  <c r="O26" i="107"/>
  <c r="P26" i="107" s="1"/>
  <c r="N26" i="107"/>
  <c r="R26" i="107" s="1"/>
  <c r="L26" i="107"/>
  <c r="H26" i="107"/>
  <c r="I26" i="107" s="1"/>
  <c r="G26" i="107"/>
  <c r="K26" i="107" s="1"/>
  <c r="AR25" i="107"/>
  <c r="AJ25" i="107"/>
  <c r="AI25" i="107"/>
  <c r="AF25" i="107"/>
  <c r="AG25" i="107" s="1"/>
  <c r="AQ25" i="107" s="1"/>
  <c r="Q25" i="107"/>
  <c r="U25" i="107" s="1"/>
  <c r="O25" i="107"/>
  <c r="P25" i="107" s="1"/>
  <c r="N25" i="107"/>
  <c r="L25" i="107"/>
  <c r="K25" i="107"/>
  <c r="H25" i="107"/>
  <c r="I25" i="107" s="1"/>
  <c r="G25" i="107"/>
  <c r="AR24" i="107"/>
  <c r="AJ24" i="107"/>
  <c r="AI24" i="107"/>
  <c r="AF24" i="107"/>
  <c r="AG24" i="107" s="1"/>
  <c r="AQ24" i="107" s="1"/>
  <c r="Q24" i="107"/>
  <c r="U24" i="107" s="1"/>
  <c r="P24" i="107"/>
  <c r="O24" i="107"/>
  <c r="N24" i="107"/>
  <c r="R24" i="107" s="1"/>
  <c r="L24" i="107"/>
  <c r="H24" i="107"/>
  <c r="I24" i="107" s="1"/>
  <c r="G24" i="107"/>
  <c r="K24" i="107" s="1"/>
  <c r="AR23" i="107"/>
  <c r="AJ23" i="107"/>
  <c r="AI23" i="107"/>
  <c r="AF23" i="107"/>
  <c r="AG23" i="107" s="1"/>
  <c r="AQ23" i="107" s="1"/>
  <c r="Q23" i="107"/>
  <c r="O23" i="107"/>
  <c r="P23" i="107" s="1"/>
  <c r="N23" i="107"/>
  <c r="L23" i="107"/>
  <c r="H23" i="107"/>
  <c r="I23" i="107" s="1"/>
  <c r="G23" i="107"/>
  <c r="K23" i="107" s="1"/>
  <c r="AR22" i="107"/>
  <c r="AJ22" i="107"/>
  <c r="AI22" i="107"/>
  <c r="AF22" i="107"/>
  <c r="AG22" i="107" s="1"/>
  <c r="AQ22" i="107" s="1"/>
  <c r="Q22" i="107"/>
  <c r="U22" i="107" s="1"/>
  <c r="O22" i="107"/>
  <c r="P22" i="107" s="1"/>
  <c r="N22" i="107"/>
  <c r="L22" i="107"/>
  <c r="K22" i="107"/>
  <c r="H22" i="107"/>
  <c r="I22" i="107" s="1"/>
  <c r="G22" i="107"/>
  <c r="AR21" i="107"/>
  <c r="AJ21" i="107"/>
  <c r="AI21" i="107"/>
  <c r="AF21" i="107"/>
  <c r="AG21" i="107" s="1"/>
  <c r="AQ21" i="107" s="1"/>
  <c r="Q21" i="107"/>
  <c r="U21" i="107" s="1"/>
  <c r="P21" i="107"/>
  <c r="O21" i="107"/>
  <c r="N21" i="107"/>
  <c r="R21" i="107" s="1"/>
  <c r="L21" i="107"/>
  <c r="H21" i="107"/>
  <c r="I21" i="107" s="1"/>
  <c r="G21" i="107"/>
  <c r="K21" i="107" s="1"/>
  <c r="AR20" i="107"/>
  <c r="AJ20" i="107"/>
  <c r="AI20" i="107"/>
  <c r="AF20" i="107"/>
  <c r="AG20" i="107" s="1"/>
  <c r="AQ20" i="107" s="1"/>
  <c r="Q20" i="107"/>
  <c r="O20" i="107"/>
  <c r="P20" i="107" s="1"/>
  <c r="N20" i="107"/>
  <c r="R20" i="107" s="1"/>
  <c r="L20" i="107"/>
  <c r="K20" i="107"/>
  <c r="H20" i="107"/>
  <c r="I20" i="107" s="1"/>
  <c r="G20" i="107"/>
  <c r="AR19" i="107"/>
  <c r="AJ19" i="107"/>
  <c r="AI19" i="107"/>
  <c r="AF19" i="107"/>
  <c r="AG19" i="107" s="1"/>
  <c r="AQ19" i="107" s="1"/>
  <c r="U19" i="107"/>
  <c r="Q19" i="107"/>
  <c r="O19" i="107"/>
  <c r="P19" i="107" s="1"/>
  <c r="N19" i="107"/>
  <c r="L19" i="107"/>
  <c r="K19" i="107"/>
  <c r="H19" i="107"/>
  <c r="I19" i="107" s="1"/>
  <c r="G19" i="107"/>
  <c r="AR18" i="107"/>
  <c r="AJ18" i="107"/>
  <c r="AI18" i="107"/>
  <c r="AF18" i="107"/>
  <c r="AG18" i="107" s="1"/>
  <c r="AQ18" i="107" s="1"/>
  <c r="U18" i="107"/>
  <c r="Q18" i="107"/>
  <c r="O18" i="107"/>
  <c r="P18" i="107" s="1"/>
  <c r="N18" i="107"/>
  <c r="L18" i="107"/>
  <c r="H18" i="107"/>
  <c r="I18" i="107" s="1"/>
  <c r="G18" i="107"/>
  <c r="K18" i="107" s="1"/>
  <c r="AR17" i="107"/>
  <c r="AJ17" i="107"/>
  <c r="AI17" i="107"/>
  <c r="AF17" i="107"/>
  <c r="AG17" i="107" s="1"/>
  <c r="AQ17" i="107" s="1"/>
  <c r="U17" i="107"/>
  <c r="Q17" i="107"/>
  <c r="P17" i="107"/>
  <c r="O17" i="107"/>
  <c r="N17" i="107"/>
  <c r="R17" i="107" s="1"/>
  <c r="L17" i="107"/>
  <c r="I17" i="107"/>
  <c r="H17" i="107"/>
  <c r="G17" i="107"/>
  <c r="K17" i="107" s="1"/>
  <c r="AR16" i="107"/>
  <c r="AJ16" i="107"/>
  <c r="AI16" i="107"/>
  <c r="AF16" i="107"/>
  <c r="AG16" i="107" s="1"/>
  <c r="AQ16" i="107" s="1"/>
  <c r="Q16" i="107"/>
  <c r="O16" i="107"/>
  <c r="P16" i="107" s="1"/>
  <c r="N16" i="107"/>
  <c r="R16" i="107" s="1"/>
  <c r="L16" i="107"/>
  <c r="K16" i="107"/>
  <c r="I16" i="107"/>
  <c r="H16" i="107"/>
  <c r="G16" i="107"/>
  <c r="AR15" i="107"/>
  <c r="AJ15" i="107"/>
  <c r="AI15" i="107"/>
  <c r="U15" i="107"/>
  <c r="Q15" i="107"/>
  <c r="P15" i="107"/>
  <c r="O15" i="107"/>
  <c r="N15" i="107"/>
  <c r="L15" i="107"/>
  <c r="I15" i="107"/>
  <c r="H15" i="107"/>
  <c r="G15" i="107"/>
  <c r="K15" i="107" s="1"/>
  <c r="AR14" i="107"/>
  <c r="AJ14" i="107"/>
  <c r="AI14" i="107"/>
  <c r="AF14" i="107"/>
  <c r="AG14" i="107" s="1"/>
  <c r="AQ14" i="107" s="1"/>
  <c r="U14" i="107"/>
  <c r="Q14" i="107"/>
  <c r="O14" i="107"/>
  <c r="P14" i="107" s="1"/>
  <c r="N14" i="107"/>
  <c r="R14" i="107" s="1"/>
  <c r="L14" i="107"/>
  <c r="H14" i="107"/>
  <c r="I14" i="107" s="1"/>
  <c r="G14" i="107"/>
  <c r="K14" i="107" s="1"/>
  <c r="AR13" i="107"/>
  <c r="AJ13" i="107"/>
  <c r="AI13" i="107"/>
  <c r="Q13" i="107"/>
  <c r="R13" i="107" s="1"/>
  <c r="O13" i="107"/>
  <c r="P13" i="107" s="1"/>
  <c r="N13" i="107"/>
  <c r="L13" i="107"/>
  <c r="K13" i="107"/>
  <c r="I13" i="107"/>
  <c r="H13" i="107"/>
  <c r="G13" i="107"/>
  <c r="AR12" i="107"/>
  <c r="AJ12" i="107"/>
  <c r="AI12" i="107"/>
  <c r="AF12" i="107"/>
  <c r="AG12" i="107" s="1"/>
  <c r="AQ12" i="107" s="1"/>
  <c r="U12" i="107"/>
  <c r="Q12" i="107"/>
  <c r="P12" i="107"/>
  <c r="O12" i="107"/>
  <c r="N12" i="107"/>
  <c r="L12" i="107"/>
  <c r="I12" i="107"/>
  <c r="H12" i="107"/>
  <c r="G12" i="107"/>
  <c r="K12" i="107" s="1"/>
  <c r="AR11" i="107"/>
  <c r="AJ11" i="107"/>
  <c r="AI11" i="107"/>
  <c r="U11" i="107"/>
  <c r="Q11" i="107"/>
  <c r="O11" i="107"/>
  <c r="P11" i="107" s="1"/>
  <c r="N11" i="107"/>
  <c r="L11" i="107"/>
  <c r="H11" i="107"/>
  <c r="I11" i="107" s="1"/>
  <c r="G11" i="107"/>
  <c r="K11" i="107" s="1"/>
  <c r="AR10" i="107"/>
  <c r="AK10" i="107"/>
  <c r="AK11" i="107" s="1"/>
  <c r="AK12" i="107" s="1"/>
  <c r="AK13" i="107" s="1"/>
  <c r="AK14" i="107" s="1"/>
  <c r="AK15" i="107" s="1"/>
  <c r="AK16" i="107" s="1"/>
  <c r="AK17" i="107" s="1"/>
  <c r="AK18" i="107" s="1"/>
  <c r="AK19" i="107" s="1"/>
  <c r="AK20" i="107" s="1"/>
  <c r="AK21" i="107" s="1"/>
  <c r="AK22" i="107" s="1"/>
  <c r="AK23" i="107" s="1"/>
  <c r="AK24" i="107" s="1"/>
  <c r="AK25" i="107" s="1"/>
  <c r="AK26" i="107" s="1"/>
  <c r="AK27" i="107" s="1"/>
  <c r="AK28" i="107" s="1"/>
  <c r="AK29" i="107" s="1"/>
  <c r="AK30" i="107" s="1"/>
  <c r="AK31" i="107" s="1"/>
  <c r="AK32" i="107" s="1"/>
  <c r="AK33" i="107" s="1"/>
  <c r="AK34" i="107" s="1"/>
  <c r="AK35" i="107" s="1"/>
  <c r="AK36" i="107" s="1"/>
  <c r="AK37" i="107" s="1"/>
  <c r="AK38" i="107" s="1"/>
  <c r="AK39" i="107" s="1"/>
  <c r="AK40" i="107" s="1"/>
  <c r="AK41" i="107" s="1"/>
  <c r="AK42" i="107" s="1"/>
  <c r="AK43" i="107" s="1"/>
  <c r="AK44" i="107" s="1"/>
  <c r="AJ10" i="107"/>
  <c r="AI10" i="107"/>
  <c r="AF10" i="107"/>
  <c r="AG10" i="107" s="1"/>
  <c r="AQ10" i="107" s="1"/>
  <c r="Q10" i="107"/>
  <c r="R10" i="107" s="1"/>
  <c r="O10" i="107"/>
  <c r="P10" i="107" s="1"/>
  <c r="N10" i="107"/>
  <c r="L10" i="107"/>
  <c r="K10" i="107"/>
  <c r="I10" i="107"/>
  <c r="H10" i="107"/>
  <c r="G10" i="107"/>
  <c r="AS9" i="107"/>
  <c r="AS10" i="107" s="1"/>
  <c r="AS11" i="107" s="1"/>
  <c r="AS12" i="107" s="1"/>
  <c r="AS13" i="107" s="1"/>
  <c r="AS14" i="107" s="1"/>
  <c r="AS15" i="107" s="1"/>
  <c r="AS16" i="107" s="1"/>
  <c r="AS17" i="107" s="1"/>
  <c r="AS18" i="107" s="1"/>
  <c r="AS19" i="107" s="1"/>
  <c r="AS20" i="107" s="1"/>
  <c r="AS21" i="107" s="1"/>
  <c r="AS22" i="107" s="1"/>
  <c r="AS23" i="107" s="1"/>
  <c r="AS24" i="107" s="1"/>
  <c r="AS25" i="107" s="1"/>
  <c r="AS26" i="107" s="1"/>
  <c r="AS27" i="107" s="1"/>
  <c r="AS28" i="107" s="1"/>
  <c r="AS29" i="107" s="1"/>
  <c r="AS30" i="107" s="1"/>
  <c r="AS31" i="107" s="1"/>
  <c r="AS32" i="107" s="1"/>
  <c r="AS33" i="107" s="1"/>
  <c r="AS34" i="107" s="1"/>
  <c r="AS35" i="107" s="1"/>
  <c r="AS36" i="107" s="1"/>
  <c r="AS37" i="107" s="1"/>
  <c r="AS38" i="107" s="1"/>
  <c r="AS39" i="107" s="1"/>
  <c r="AS40" i="107" s="1"/>
  <c r="AS41" i="107" s="1"/>
  <c r="AS42" i="107" s="1"/>
  <c r="AS43" i="107" s="1"/>
  <c r="AS44" i="107" s="1"/>
  <c r="AR9" i="107"/>
  <c r="AP9" i="107"/>
  <c r="AP10" i="107" s="1"/>
  <c r="AP11" i="107" s="1"/>
  <c r="AP12" i="107" s="1"/>
  <c r="AP13" i="107" s="1"/>
  <c r="AP14" i="107" s="1"/>
  <c r="AP15" i="107" s="1"/>
  <c r="AP16" i="107" s="1"/>
  <c r="AP17" i="107" s="1"/>
  <c r="AP18" i="107" s="1"/>
  <c r="AP19" i="107" s="1"/>
  <c r="AP20" i="107" s="1"/>
  <c r="AP21" i="107" s="1"/>
  <c r="AP22" i="107" s="1"/>
  <c r="AP23" i="107" s="1"/>
  <c r="AP24" i="107" s="1"/>
  <c r="AP25" i="107" s="1"/>
  <c r="AP26" i="107" s="1"/>
  <c r="AP27" i="107" s="1"/>
  <c r="AP28" i="107" s="1"/>
  <c r="AP29" i="107" s="1"/>
  <c r="AP30" i="107" s="1"/>
  <c r="AP31" i="107" s="1"/>
  <c r="AP32" i="107" s="1"/>
  <c r="AP33" i="107" s="1"/>
  <c r="AP34" i="107" s="1"/>
  <c r="AP35" i="107" s="1"/>
  <c r="AP36" i="107" s="1"/>
  <c r="AP37" i="107" s="1"/>
  <c r="AP38" i="107" s="1"/>
  <c r="AP39" i="107" s="1"/>
  <c r="AP40" i="107" s="1"/>
  <c r="AP41" i="107" s="1"/>
  <c r="AP42" i="107" s="1"/>
  <c r="AP43" i="107" s="1"/>
  <c r="AP44" i="107" s="1"/>
  <c r="AK9" i="107"/>
  <c r="AJ9" i="107"/>
  <c r="AI9" i="107"/>
  <c r="U9" i="107"/>
  <c r="Q9" i="107"/>
  <c r="P9" i="107"/>
  <c r="O9" i="107"/>
  <c r="N9" i="107"/>
  <c r="L9" i="107"/>
  <c r="I9" i="107"/>
  <c r="H9" i="107"/>
  <c r="G9" i="107"/>
  <c r="K9" i="107" s="1"/>
  <c r="AS8" i="107"/>
  <c r="AR8" i="107"/>
  <c r="AP8" i="107"/>
  <c r="AL8" i="107"/>
  <c r="AL9" i="107" s="1"/>
  <c r="AK8" i="107"/>
  <c r="AJ8" i="107"/>
  <c r="AI8" i="107"/>
  <c r="AH8" i="107"/>
  <c r="AH9" i="107" s="1"/>
  <c r="AH10" i="107" s="1"/>
  <c r="AH11" i="107" s="1"/>
  <c r="AH12" i="107" s="1"/>
  <c r="AH13" i="107" s="1"/>
  <c r="AH14" i="107" s="1"/>
  <c r="AH15" i="107" s="1"/>
  <c r="AH16" i="107" s="1"/>
  <c r="AH17" i="107" s="1"/>
  <c r="AH18" i="107" s="1"/>
  <c r="AH19" i="107" s="1"/>
  <c r="AH20" i="107" s="1"/>
  <c r="AH21" i="107" s="1"/>
  <c r="AH22" i="107" s="1"/>
  <c r="AH23" i="107" s="1"/>
  <c r="AH24" i="107" s="1"/>
  <c r="AH25" i="107" s="1"/>
  <c r="AH26" i="107" s="1"/>
  <c r="AH27" i="107" s="1"/>
  <c r="AH28" i="107" s="1"/>
  <c r="AH29" i="107" s="1"/>
  <c r="AH30" i="107" s="1"/>
  <c r="AH31" i="107" s="1"/>
  <c r="AH32" i="107" s="1"/>
  <c r="AH33" i="107" s="1"/>
  <c r="AH34" i="107" s="1"/>
  <c r="AH35" i="107" s="1"/>
  <c r="AH36" i="107" s="1"/>
  <c r="AH37" i="107" s="1"/>
  <c r="AH38" i="107" s="1"/>
  <c r="AH39" i="107" s="1"/>
  <c r="AH40" i="107" s="1"/>
  <c r="AH41" i="107" s="1"/>
  <c r="AH42" i="107" s="1"/>
  <c r="AH43" i="107" s="1"/>
  <c r="AH44" i="107" s="1"/>
  <c r="AF8" i="107"/>
  <c r="AG8" i="107" s="1"/>
  <c r="AQ8" i="107" s="1"/>
  <c r="U8" i="107"/>
  <c r="Q8" i="107"/>
  <c r="O8" i="107"/>
  <c r="P8" i="107" s="1"/>
  <c r="N8" i="107"/>
  <c r="L8" i="107"/>
  <c r="H8" i="107"/>
  <c r="I8" i="107" s="1"/>
  <c r="G8" i="107"/>
  <c r="K8" i="107" s="1"/>
  <c r="AR7" i="107"/>
  <c r="AJ7" i="107"/>
  <c r="AI7" i="107"/>
  <c r="AF7" i="107"/>
  <c r="AM7" i="107" s="1"/>
  <c r="R7" i="107"/>
  <c r="Z7" i="107" s="1"/>
  <c r="Q7" i="107"/>
  <c r="U7" i="107" s="1"/>
  <c r="O7" i="107"/>
  <c r="P7" i="107" s="1"/>
  <c r="N7" i="107"/>
  <c r="L7" i="107"/>
  <c r="K7" i="107"/>
  <c r="H7" i="107"/>
  <c r="I7" i="107" s="1"/>
  <c r="G7" i="107"/>
  <c r="AE12" i="45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AN7" i="107" l="1"/>
  <c r="AO7" i="107" s="1"/>
  <c r="R11" i="107"/>
  <c r="T11" i="107" s="1"/>
  <c r="S14" i="107"/>
  <c r="Z14" i="107"/>
  <c r="X14" i="107"/>
  <c r="X24" i="107"/>
  <c r="Z24" i="107"/>
  <c r="S24" i="107"/>
  <c r="S26" i="107"/>
  <c r="Z26" i="107"/>
  <c r="X26" i="107"/>
  <c r="X40" i="107"/>
  <c r="T40" i="107"/>
  <c r="S40" i="107"/>
  <c r="Z40" i="107"/>
  <c r="P79" i="107"/>
  <c r="AY2" i="107" s="1"/>
  <c r="H13" i="45" s="1"/>
  <c r="K13" i="45" s="1"/>
  <c r="BB13" i="45" s="1"/>
  <c r="Z10" i="107"/>
  <c r="X10" i="107"/>
  <c r="S10" i="107"/>
  <c r="X34" i="107"/>
  <c r="S34" i="107"/>
  <c r="Z34" i="107"/>
  <c r="T14" i="107"/>
  <c r="X21" i="107"/>
  <c r="Z21" i="107"/>
  <c r="S21" i="107"/>
  <c r="R23" i="107"/>
  <c r="Y24" i="107"/>
  <c r="S16" i="107"/>
  <c r="Z16" i="107"/>
  <c r="X16" i="107"/>
  <c r="Z17" i="107"/>
  <c r="X17" i="107"/>
  <c r="S17" i="107"/>
  <c r="S20" i="107"/>
  <c r="Z20" i="107"/>
  <c r="X20" i="107"/>
  <c r="Z13" i="107"/>
  <c r="X13" i="107"/>
  <c r="S13" i="107"/>
  <c r="Y20" i="107"/>
  <c r="Y21" i="107"/>
  <c r="T16" i="107"/>
  <c r="Y17" i="107"/>
  <c r="AL10" i="107"/>
  <c r="S32" i="107"/>
  <c r="Z32" i="107"/>
  <c r="X32" i="107"/>
  <c r="AM8" i="107"/>
  <c r="AN8" i="107" s="1"/>
  <c r="AO8" i="107" s="1"/>
  <c r="U16" i="107"/>
  <c r="R27" i="107"/>
  <c r="R28" i="107"/>
  <c r="Y34" i="107"/>
  <c r="T10" i="107"/>
  <c r="T13" i="107"/>
  <c r="R19" i="107"/>
  <c r="T34" i="107"/>
  <c r="X7" i="107"/>
  <c r="AG7" i="107"/>
  <c r="AQ7" i="107" s="1"/>
  <c r="U10" i="107"/>
  <c r="U79" i="107" s="1"/>
  <c r="U81" i="107" s="1"/>
  <c r="U13" i="107"/>
  <c r="T17" i="107"/>
  <c r="T21" i="107"/>
  <c r="T24" i="107"/>
  <c r="T27" i="107"/>
  <c r="U38" i="107"/>
  <c r="R9" i="107"/>
  <c r="T9" i="107" s="1"/>
  <c r="R12" i="107"/>
  <c r="R15" i="107"/>
  <c r="T28" i="107"/>
  <c r="R35" i="107"/>
  <c r="Z33" i="107"/>
  <c r="Y40" i="107"/>
  <c r="S7" i="107"/>
  <c r="R22" i="107"/>
  <c r="R25" i="107"/>
  <c r="T29" i="107"/>
  <c r="R30" i="107"/>
  <c r="T7" i="107"/>
  <c r="T20" i="107"/>
  <c r="T25" i="107"/>
  <c r="R29" i="107"/>
  <c r="T30" i="107"/>
  <c r="T33" i="107"/>
  <c r="Z36" i="107"/>
  <c r="X36" i="107"/>
  <c r="R41" i="107"/>
  <c r="R8" i="107"/>
  <c r="U29" i="107"/>
  <c r="S33" i="107"/>
  <c r="Y36" i="107"/>
  <c r="R44" i="107"/>
  <c r="R18" i="107"/>
  <c r="T23" i="107"/>
  <c r="T26" i="107"/>
  <c r="R37" i="107"/>
  <c r="T37" i="107" s="1"/>
  <c r="Z39" i="107"/>
  <c r="S39" i="107"/>
  <c r="V39" i="107" s="1"/>
  <c r="X42" i="107"/>
  <c r="S42" i="107"/>
  <c r="V42" i="107" s="1"/>
  <c r="Z42" i="107"/>
  <c r="U20" i="107"/>
  <c r="X33" i="107"/>
  <c r="S36" i="107"/>
  <c r="Y45" i="107"/>
  <c r="Y32" i="107"/>
  <c r="U23" i="107"/>
  <c r="U26" i="107"/>
  <c r="R31" i="107"/>
  <c r="T32" i="107"/>
  <c r="R38" i="107"/>
  <c r="T39" i="107"/>
  <c r="W39" i="107" s="1"/>
  <c r="T43" i="107"/>
  <c r="W43" i="107" s="1"/>
  <c r="U49" i="107"/>
  <c r="R54" i="107"/>
  <c r="U61" i="107"/>
  <c r="R66" i="107"/>
  <c r="U73" i="107"/>
  <c r="T41" i="107"/>
  <c r="T51" i="107"/>
  <c r="R55" i="107"/>
  <c r="T63" i="107"/>
  <c r="R67" i="107"/>
  <c r="T75" i="107"/>
  <c r="W75" i="107" s="1"/>
  <c r="R56" i="107"/>
  <c r="W61" i="107"/>
  <c r="T64" i="107"/>
  <c r="R68" i="107"/>
  <c r="T76" i="107"/>
  <c r="X57" i="107"/>
  <c r="S57" i="107"/>
  <c r="V57" i="107" s="1"/>
  <c r="R69" i="107"/>
  <c r="T42" i="107"/>
  <c r="W42" i="107" s="1"/>
  <c r="T45" i="107"/>
  <c r="U45" i="107"/>
  <c r="R46" i="107"/>
  <c r="T54" i="107"/>
  <c r="R58" i="107"/>
  <c r="R70" i="107"/>
  <c r="T70" i="107" s="1"/>
  <c r="Z43" i="107"/>
  <c r="X47" i="107"/>
  <c r="S47" i="107"/>
  <c r="V47" i="107" s="1"/>
  <c r="W47" i="107" s="1"/>
  <c r="Y57" i="107"/>
  <c r="X59" i="107"/>
  <c r="S59" i="107"/>
  <c r="V59" i="107" s="1"/>
  <c r="W59" i="107" s="1"/>
  <c r="X71" i="107"/>
  <c r="S71" i="107"/>
  <c r="V71" i="107" s="1"/>
  <c r="W71" i="107" s="1"/>
  <c r="S45" i="107"/>
  <c r="R48" i="107"/>
  <c r="R60" i="107"/>
  <c r="T68" i="107"/>
  <c r="R72" i="107"/>
  <c r="U33" i="107"/>
  <c r="Y47" i="107"/>
  <c r="X49" i="107"/>
  <c r="S49" i="107"/>
  <c r="V49" i="107" s="1"/>
  <c r="W49" i="107" s="1"/>
  <c r="X61" i="107"/>
  <c r="S61" i="107"/>
  <c r="V61" i="107" s="1"/>
  <c r="X73" i="107"/>
  <c r="S73" i="107"/>
  <c r="V73" i="107" s="1"/>
  <c r="W73" i="107" s="1"/>
  <c r="T36" i="107"/>
  <c r="T46" i="107"/>
  <c r="R50" i="107"/>
  <c r="T58" i="107"/>
  <c r="R62" i="107"/>
  <c r="T62" i="107" s="1"/>
  <c r="R74" i="107"/>
  <c r="R78" i="107"/>
  <c r="T78" i="107" s="1"/>
  <c r="X45" i="107"/>
  <c r="X51" i="107"/>
  <c r="S51" i="107"/>
  <c r="V51" i="107" s="1"/>
  <c r="W51" i="107" s="1"/>
  <c r="Y61" i="107"/>
  <c r="X63" i="107"/>
  <c r="S63" i="107"/>
  <c r="V63" i="107" s="1"/>
  <c r="W63" i="107" s="1"/>
  <c r="X75" i="107"/>
  <c r="S75" i="107"/>
  <c r="V75" i="107" s="1"/>
  <c r="T48" i="107"/>
  <c r="R52" i="107"/>
  <c r="W57" i="107"/>
  <c r="R64" i="107"/>
  <c r="T72" i="107"/>
  <c r="R76" i="107"/>
  <c r="U36" i="107"/>
  <c r="S43" i="107"/>
  <c r="V43" i="107" s="1"/>
  <c r="R53" i="107"/>
  <c r="Z57" i="107"/>
  <c r="R65" i="107"/>
  <c r="R77" i="107"/>
  <c r="AN8" i="99"/>
  <c r="AO8" i="99" s="1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R79" i="107" l="1"/>
  <c r="Y13" i="107"/>
  <c r="AF13" i="107"/>
  <c r="AG13" i="107" s="1"/>
  <c r="AQ13" i="107" s="1"/>
  <c r="W45" i="107"/>
  <c r="W32" i="107"/>
  <c r="W40" i="107"/>
  <c r="W33" i="107"/>
  <c r="X52" i="107"/>
  <c r="S52" i="107"/>
  <c r="Z52" i="107"/>
  <c r="V45" i="107"/>
  <c r="X67" i="107"/>
  <c r="S67" i="107"/>
  <c r="Z67" i="107"/>
  <c r="T67" i="107"/>
  <c r="X54" i="107"/>
  <c r="S54" i="107"/>
  <c r="Z54" i="107"/>
  <c r="Y63" i="107"/>
  <c r="X18" i="107"/>
  <c r="S18" i="107"/>
  <c r="Z18" i="107"/>
  <c r="S30" i="107"/>
  <c r="Z30" i="107"/>
  <c r="X30" i="107"/>
  <c r="Z19" i="107"/>
  <c r="X19" i="107"/>
  <c r="S19" i="107"/>
  <c r="V17" i="107"/>
  <c r="W17" i="107" s="1"/>
  <c r="V10" i="107"/>
  <c r="W10" i="107" s="1"/>
  <c r="Z77" i="107"/>
  <c r="X77" i="107"/>
  <c r="S77" i="107"/>
  <c r="T77" i="107"/>
  <c r="X78" i="107"/>
  <c r="S78" i="107"/>
  <c r="Z78" i="107"/>
  <c r="X58" i="107"/>
  <c r="S58" i="107"/>
  <c r="Z58" i="107"/>
  <c r="Z35" i="107"/>
  <c r="X35" i="107"/>
  <c r="T35" i="107"/>
  <c r="S35" i="107"/>
  <c r="X60" i="107"/>
  <c r="S60" i="107"/>
  <c r="Z60" i="107"/>
  <c r="X65" i="107"/>
  <c r="S65" i="107"/>
  <c r="Z65" i="107"/>
  <c r="T65" i="107"/>
  <c r="X74" i="107"/>
  <c r="S74" i="107"/>
  <c r="Z74" i="107"/>
  <c r="Y59" i="107"/>
  <c r="Y42" i="107"/>
  <c r="T74" i="107"/>
  <c r="S25" i="107"/>
  <c r="X25" i="107"/>
  <c r="Z25" i="107"/>
  <c r="X62" i="107"/>
  <c r="S62" i="107"/>
  <c r="Z62" i="107"/>
  <c r="X55" i="107"/>
  <c r="S55" i="107"/>
  <c r="Z55" i="107"/>
  <c r="T55" i="107"/>
  <c r="S22" i="107"/>
  <c r="X22" i="107"/>
  <c r="Z22" i="107"/>
  <c r="Z15" i="107"/>
  <c r="X15" i="107"/>
  <c r="S15" i="107"/>
  <c r="AF15" i="107" s="1"/>
  <c r="AG15" i="107" s="1"/>
  <c r="AQ15" i="107" s="1"/>
  <c r="V32" i="107"/>
  <c r="V14" i="107"/>
  <c r="W14" i="107" s="1"/>
  <c r="X53" i="107"/>
  <c r="S53" i="107"/>
  <c r="Z53" i="107"/>
  <c r="T53" i="107"/>
  <c r="X46" i="107"/>
  <c r="S46" i="107"/>
  <c r="Z46" i="107"/>
  <c r="Z44" i="107"/>
  <c r="X44" i="107"/>
  <c r="T44" i="107"/>
  <c r="S44" i="107"/>
  <c r="V7" i="107"/>
  <c r="Z12" i="107"/>
  <c r="X12" i="107"/>
  <c r="S12" i="107"/>
  <c r="AL11" i="107"/>
  <c r="AM10" i="107"/>
  <c r="AN10" i="107" s="1"/>
  <c r="AO10" i="107" s="1"/>
  <c r="T8" i="107"/>
  <c r="Y73" i="107"/>
  <c r="X50" i="107"/>
  <c r="S50" i="107"/>
  <c r="Z50" i="107"/>
  <c r="X68" i="107"/>
  <c r="S68" i="107"/>
  <c r="Z68" i="107"/>
  <c r="T50" i="107"/>
  <c r="Y43" i="107"/>
  <c r="S29" i="107"/>
  <c r="Z29" i="107"/>
  <c r="X29" i="107"/>
  <c r="Z9" i="107"/>
  <c r="X9" i="107"/>
  <c r="S9" i="107"/>
  <c r="AF9" i="107" s="1"/>
  <c r="Y7" i="107"/>
  <c r="V26" i="107"/>
  <c r="W26" i="107" s="1"/>
  <c r="Y10" i="107"/>
  <c r="S38" i="107"/>
  <c r="Z38" i="107"/>
  <c r="X38" i="107"/>
  <c r="V33" i="107"/>
  <c r="Y75" i="107"/>
  <c r="X76" i="107"/>
  <c r="S76" i="107"/>
  <c r="Z76" i="107"/>
  <c r="X72" i="107"/>
  <c r="S72" i="107"/>
  <c r="Z72" i="107"/>
  <c r="V36" i="107"/>
  <c r="W36" i="107" s="1"/>
  <c r="T22" i="107"/>
  <c r="Y16" i="107"/>
  <c r="V16" i="107"/>
  <c r="W16" i="107" s="1"/>
  <c r="V24" i="107"/>
  <c r="W24" i="107" s="1"/>
  <c r="X56" i="107"/>
  <c r="S56" i="107"/>
  <c r="Z56" i="107"/>
  <c r="S31" i="107"/>
  <c r="Z31" i="107"/>
  <c r="X31" i="107"/>
  <c r="S8" i="107"/>
  <c r="Z8" i="107"/>
  <c r="X8" i="107"/>
  <c r="T31" i="107"/>
  <c r="T52" i="107"/>
  <c r="S28" i="107"/>
  <c r="Z28" i="107"/>
  <c r="X28" i="107"/>
  <c r="V20" i="107"/>
  <c r="W20" i="107" s="1"/>
  <c r="V34" i="107"/>
  <c r="W34" i="107" s="1"/>
  <c r="V40" i="107"/>
  <c r="S11" i="107"/>
  <c r="AF11" i="107" s="1"/>
  <c r="AG11" i="107" s="1"/>
  <c r="AQ11" i="107" s="1"/>
  <c r="Z11" i="107"/>
  <c r="X11" i="107"/>
  <c r="X69" i="107"/>
  <c r="S69" i="107"/>
  <c r="Z69" i="107"/>
  <c r="T69" i="107"/>
  <c r="X66" i="107"/>
  <c r="S66" i="107"/>
  <c r="Z66" i="107"/>
  <c r="X37" i="107"/>
  <c r="Z37" i="107"/>
  <c r="S37" i="107"/>
  <c r="Y39" i="107"/>
  <c r="Z27" i="107"/>
  <c r="X27" i="107"/>
  <c r="S27" i="107"/>
  <c r="X64" i="107"/>
  <c r="S64" i="107"/>
  <c r="Z64" i="107"/>
  <c r="T60" i="107"/>
  <c r="T56" i="107"/>
  <c r="W7" i="107"/>
  <c r="Y51" i="107"/>
  <c r="T38" i="107"/>
  <c r="T19" i="107"/>
  <c r="S23" i="107"/>
  <c r="Z23" i="107"/>
  <c r="X23" i="107"/>
  <c r="Y26" i="107"/>
  <c r="Y49" i="107"/>
  <c r="Y71" i="107"/>
  <c r="X48" i="107"/>
  <c r="S48" i="107"/>
  <c r="Z48" i="107"/>
  <c r="X70" i="107"/>
  <c r="S70" i="107"/>
  <c r="Z70" i="107"/>
  <c r="T66" i="107"/>
  <c r="Z41" i="107"/>
  <c r="X41" i="107"/>
  <c r="S41" i="107"/>
  <c r="Y33" i="107"/>
  <c r="V13" i="107"/>
  <c r="W13" i="107" s="1"/>
  <c r="T18" i="107"/>
  <c r="V21" i="107"/>
  <c r="W21" i="107" s="1"/>
  <c r="Y14" i="107"/>
  <c r="T15" i="107"/>
  <c r="T79" i="107" s="1"/>
  <c r="AX2" i="107" s="1"/>
  <c r="T12" i="107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P82" i="107" l="1"/>
  <c r="D13" i="45"/>
  <c r="AG9" i="107"/>
  <c r="AQ9" i="107" s="1"/>
  <c r="AM9" i="107"/>
  <c r="AN9" i="107" s="1"/>
  <c r="AO9" i="107" s="1"/>
  <c r="W35" i="107"/>
  <c r="W38" i="107"/>
  <c r="V48" i="107"/>
  <c r="W48" i="107" s="1"/>
  <c r="Y48" i="107"/>
  <c r="V72" i="107"/>
  <c r="W72" i="107" s="1"/>
  <c r="Y72" i="107"/>
  <c r="V38" i="107"/>
  <c r="Y38" i="107"/>
  <c r="V15" i="107"/>
  <c r="W15" i="107" s="1"/>
  <c r="Y15" i="107"/>
  <c r="V54" i="107"/>
  <c r="W54" i="107" s="1"/>
  <c r="Y54" i="107"/>
  <c r="AM11" i="107"/>
  <c r="AL12" i="107"/>
  <c r="V35" i="107"/>
  <c r="Y35" i="107"/>
  <c r="V69" i="107"/>
  <c r="W69" i="107" s="1"/>
  <c r="Y69" i="107"/>
  <c r="V28" i="107"/>
  <c r="W28" i="107" s="1"/>
  <c r="Y28" i="107"/>
  <c r="Y12" i="107"/>
  <c r="V12" i="107"/>
  <c r="W12" i="107" s="1"/>
  <c r="V74" i="107"/>
  <c r="W74" i="107" s="1"/>
  <c r="Y74" i="107"/>
  <c r="V37" i="107"/>
  <c r="W37" i="107" s="1"/>
  <c r="Y37" i="107"/>
  <c r="V56" i="107"/>
  <c r="W56" i="107" s="1"/>
  <c r="Y56" i="107"/>
  <c r="V46" i="107"/>
  <c r="W46" i="107" s="1"/>
  <c r="Y46" i="107"/>
  <c r="V62" i="107"/>
  <c r="W62" i="107" s="1"/>
  <c r="Y62" i="107"/>
  <c r="Y30" i="107"/>
  <c r="V30" i="107"/>
  <c r="W30" i="107" s="1"/>
  <c r="V76" i="107"/>
  <c r="W76" i="107" s="1"/>
  <c r="Y76" i="107"/>
  <c r="Y9" i="107"/>
  <c r="V9" i="107"/>
  <c r="W9" i="107" s="1"/>
  <c r="V68" i="107"/>
  <c r="W68" i="107" s="1"/>
  <c r="Y68" i="107"/>
  <c r="V77" i="107"/>
  <c r="W77" i="107" s="1"/>
  <c r="Y77" i="107"/>
  <c r="V67" i="107"/>
  <c r="W67" i="107" s="1"/>
  <c r="Y67" i="107"/>
  <c r="V41" i="107"/>
  <c r="W41" i="107" s="1"/>
  <c r="Y41" i="107"/>
  <c r="V11" i="107"/>
  <c r="W11" i="107" s="1"/>
  <c r="Y11" i="107"/>
  <c r="S79" i="107"/>
  <c r="AW2" i="107" s="1"/>
  <c r="B13" i="45" s="1"/>
  <c r="Y22" i="107"/>
  <c r="V22" i="107"/>
  <c r="W22" i="107" s="1"/>
  <c r="V65" i="107"/>
  <c r="W65" i="107" s="1"/>
  <c r="Y65" i="107"/>
  <c r="V18" i="107"/>
  <c r="W18" i="107" s="1"/>
  <c r="Y18" i="107"/>
  <c r="V64" i="107"/>
  <c r="W64" i="107" s="1"/>
  <c r="Y64" i="107"/>
  <c r="V70" i="107"/>
  <c r="W70" i="107" s="1"/>
  <c r="Y70" i="107"/>
  <c r="V23" i="107"/>
  <c r="W23" i="107" s="1"/>
  <c r="Y23" i="107"/>
  <c r="V8" i="107"/>
  <c r="W8" i="107" s="1"/>
  <c r="Y8" i="107"/>
  <c r="V50" i="107"/>
  <c r="W50" i="107" s="1"/>
  <c r="Y50" i="107"/>
  <c r="Y44" i="107"/>
  <c r="V44" i="107"/>
  <c r="W44" i="107" s="1"/>
  <c r="V53" i="107"/>
  <c r="W53" i="107" s="1"/>
  <c r="Y53" i="107"/>
  <c r="Y25" i="107"/>
  <c r="V25" i="107"/>
  <c r="W25" i="107" s="1"/>
  <c r="V58" i="107"/>
  <c r="W58" i="107" s="1"/>
  <c r="Y58" i="107"/>
  <c r="V27" i="107"/>
  <c r="W27" i="107" s="1"/>
  <c r="Y27" i="107"/>
  <c r="V66" i="107"/>
  <c r="W66" i="107" s="1"/>
  <c r="Y66" i="107"/>
  <c r="Y19" i="107"/>
  <c r="V19" i="107"/>
  <c r="W19" i="107" s="1"/>
  <c r="V52" i="107"/>
  <c r="W52" i="107" s="1"/>
  <c r="Y52" i="107"/>
  <c r="V31" i="107"/>
  <c r="W31" i="107" s="1"/>
  <c r="Y31" i="107"/>
  <c r="V29" i="107"/>
  <c r="W29" i="107" s="1"/>
  <c r="Y29" i="107"/>
  <c r="V55" i="107"/>
  <c r="W55" i="107" s="1"/>
  <c r="Y55" i="107"/>
  <c r="V60" i="107"/>
  <c r="W60" i="107" s="1"/>
  <c r="Y60" i="107"/>
  <c r="V78" i="107"/>
  <c r="W78" i="107" s="1"/>
  <c r="Y78" i="107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AT13" i="45" l="1"/>
  <c r="O13" i="45"/>
  <c r="AB13" i="45" s="1"/>
  <c r="AK13" i="45" s="1"/>
  <c r="AN11" i="107"/>
  <c r="AO11" i="107" s="1"/>
  <c r="V79" i="107"/>
  <c r="V81" i="107" s="1"/>
  <c r="AM12" i="107"/>
  <c r="AN12" i="107" s="1"/>
  <c r="AO12" i="107" s="1"/>
  <c r="AL13" i="107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P13" i="45" l="1"/>
  <c r="V13" i="45" s="1"/>
  <c r="AC13" i="45"/>
  <c r="AD13" i="45" s="1"/>
  <c r="AL13" i="45" s="1"/>
  <c r="AM13" i="45" s="1"/>
  <c r="AU13" i="45"/>
  <c r="Q13" i="45"/>
  <c r="R13" i="45" s="1"/>
  <c r="W13" i="45" s="1"/>
  <c r="X13" i="45" s="1"/>
  <c r="AW13" i="45"/>
  <c r="AZ13" i="45" s="1"/>
  <c r="AL14" i="107"/>
  <c r="AM13" i="107"/>
  <c r="AN13" i="107" s="1"/>
  <c r="AO13" i="107" s="1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AP13" i="45" l="1"/>
  <c r="AA13" i="45"/>
  <c r="AS13" i="45"/>
  <c r="AQ13" i="45"/>
  <c r="AR13" i="45"/>
  <c r="AM14" i="107"/>
  <c r="AL15" i="107"/>
  <c r="AM14" i="99"/>
  <c r="AL15" i="99"/>
  <c r="P79" i="48"/>
  <c r="AY2" i="48" s="1"/>
  <c r="H12" i="45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L16" i="107" l="1"/>
  <c r="AM15" i="107"/>
  <c r="AN15" i="107" s="1"/>
  <c r="AO15" i="107" s="1"/>
  <c r="AN14" i="107"/>
  <c r="AO14" i="107" s="1"/>
  <c r="AF15" i="48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L17" i="107" l="1"/>
  <c r="AM16" i="107"/>
  <c r="AN16" i="107" s="1"/>
  <c r="AO16" i="107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B12" i="45" s="1"/>
  <c r="T79" i="48"/>
  <c r="AX2" i="48" s="1"/>
  <c r="D12" i="45" s="1"/>
  <c r="AG31" i="48"/>
  <c r="AQ31" i="48" s="1"/>
  <c r="AG26" i="48"/>
  <c r="AQ26" i="48" s="1"/>
  <c r="AG22" i="48"/>
  <c r="AQ22" i="48" s="1"/>
  <c r="AG25" i="48"/>
  <c r="AQ25" i="48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L18" i="107" l="1"/>
  <c r="AM17" i="107"/>
  <c r="AN17" i="107" s="1"/>
  <c r="AO17" i="107" s="1"/>
  <c r="AM7" i="48"/>
  <c r="AN7" i="48" s="1"/>
  <c r="AO7" i="48" s="1"/>
  <c r="AL18" i="99"/>
  <c r="AM17" i="99"/>
  <c r="AN17" i="99" s="1"/>
  <c r="AO17" i="99" s="1"/>
  <c r="B14" i="45"/>
  <c r="W7" i="48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M18" i="107" l="1"/>
  <c r="AN18" i="107" s="1"/>
  <c r="AO18" i="107" s="1"/>
  <c r="AL19" i="107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L20" i="107" l="1"/>
  <c r="AM19" i="107"/>
  <c r="AN19" i="107" s="1"/>
  <c r="AO19" i="107" s="1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M12" i="45" s="1"/>
  <c r="AB12" i="45"/>
  <c r="AK12" i="45" s="1"/>
  <c r="P12" i="45"/>
  <c r="V12" i="45" s="1"/>
  <c r="X12" i="45" s="1"/>
  <c r="AU12" i="45"/>
  <c r="N7" i="63"/>
  <c r="AM20" i="107" l="1"/>
  <c r="AN20" i="107" s="1"/>
  <c r="AO20" i="107" s="1"/>
  <c r="AL21" i="107"/>
  <c r="AM20" i="99"/>
  <c r="AN20" i="99" s="1"/>
  <c r="AO20" i="99" s="1"/>
  <c r="AL21" i="99"/>
  <c r="AA14" i="45"/>
  <c r="N8" i="63"/>
  <c r="AK20" i="48"/>
  <c r="AM19" i="48"/>
  <c r="AN19" i="48" s="1"/>
  <c r="AO19" i="48" s="1"/>
  <c r="AL23" i="48"/>
  <c r="AR12" i="45"/>
  <c r="AP12" i="45"/>
  <c r="AW12" i="45"/>
  <c r="AW14" i="45" s="1"/>
  <c r="AL22" i="107" l="1"/>
  <c r="AM21" i="107"/>
  <c r="AN21" i="107" s="1"/>
  <c r="AO21" i="107" s="1"/>
  <c r="AL22" i="99"/>
  <c r="AM21" i="99"/>
  <c r="AN21" i="99" s="1"/>
  <c r="AO21" i="99" s="1"/>
  <c r="AP14" i="45"/>
  <c r="AS12" i="45"/>
  <c r="AS14" i="45" s="1"/>
  <c r="K8" i="64" s="1"/>
  <c r="AL24" i="48"/>
  <c r="AK21" i="48"/>
  <c r="AM20" i="48"/>
  <c r="AN20" i="48" s="1"/>
  <c r="AO20" i="48" s="1"/>
  <c r="AQ12" i="45"/>
  <c r="AQ14" i="45" s="1"/>
  <c r="K7" i="64" s="1"/>
  <c r="AZ12" i="45"/>
  <c r="AZ14" i="45" s="1"/>
  <c r="AL23" i="107" l="1"/>
  <c r="AM22" i="107"/>
  <c r="AN22" i="107" s="1"/>
  <c r="AO22" i="107" s="1"/>
  <c r="AM22" i="99"/>
  <c r="AN22" i="99" s="1"/>
  <c r="AO22" i="99" s="1"/>
  <c r="AL23" i="99"/>
  <c r="AK22" i="48"/>
  <c r="AM21" i="48"/>
  <c r="AN21" i="48" s="1"/>
  <c r="AO21" i="48" s="1"/>
  <c r="AL25" i="48"/>
  <c r="AM23" i="107" l="1"/>
  <c r="AN23" i="107" s="1"/>
  <c r="AO23" i="107" s="1"/>
  <c r="AL24" i="107"/>
  <c r="AL24" i="99"/>
  <c r="AM23" i="99"/>
  <c r="AN23" i="99" s="1"/>
  <c r="AO23" i="99" s="1"/>
  <c r="AL26" i="48"/>
  <c r="AK23" i="48"/>
  <c r="AM22" i="48"/>
  <c r="AN22" i="48" s="1"/>
  <c r="AO22" i="48" s="1"/>
  <c r="AL25" i="107" l="1"/>
  <c r="AM24" i="107"/>
  <c r="AN24" i="107" s="1"/>
  <c r="AO24" i="107" s="1"/>
  <c r="AM24" i="99"/>
  <c r="AN24" i="99" s="1"/>
  <c r="AO24" i="99" s="1"/>
  <c r="AL25" i="99"/>
  <c r="AK24" i="48"/>
  <c r="AM23" i="48"/>
  <c r="AN23" i="48" s="1"/>
  <c r="AO23" i="48" s="1"/>
  <c r="AL27" i="48"/>
  <c r="AL26" i="107" l="1"/>
  <c r="AM25" i="107"/>
  <c r="AN25" i="107" s="1"/>
  <c r="AO25" i="107" s="1"/>
  <c r="AL26" i="99"/>
  <c r="AM25" i="99"/>
  <c r="AN25" i="99" s="1"/>
  <c r="AO25" i="99" s="1"/>
  <c r="AL28" i="48"/>
  <c r="AK25" i="48"/>
  <c r="AM24" i="48"/>
  <c r="AN24" i="48" s="1"/>
  <c r="AO24" i="48" s="1"/>
  <c r="AM26" i="107" l="1"/>
  <c r="AN26" i="107" s="1"/>
  <c r="AO26" i="107" s="1"/>
  <c r="AL27" i="107"/>
  <c r="AL27" i="99"/>
  <c r="AM26" i="99"/>
  <c r="AN26" i="99" s="1"/>
  <c r="AO26" i="99" s="1"/>
  <c r="AK26" i="48"/>
  <c r="AM25" i="48"/>
  <c r="AN25" i="48" s="1"/>
  <c r="AO25" i="48" s="1"/>
  <c r="AL29" i="48"/>
  <c r="AL28" i="107" l="1"/>
  <c r="AM27" i="107"/>
  <c r="AN27" i="107" s="1"/>
  <c r="AO27" i="107" s="1"/>
  <c r="AL28" i="99"/>
  <c r="AM27" i="99"/>
  <c r="AN27" i="99" s="1"/>
  <c r="AO27" i="99" s="1"/>
  <c r="AL30" i="48"/>
  <c r="AK27" i="48"/>
  <c r="AM26" i="48"/>
  <c r="AN26" i="48" s="1"/>
  <c r="AO26" i="48" s="1"/>
  <c r="AL29" i="107" l="1"/>
  <c r="AM28" i="107"/>
  <c r="AN28" i="107" s="1"/>
  <c r="AO28" i="107" s="1"/>
  <c r="AL29" i="99"/>
  <c r="AM28" i="99"/>
  <c r="AN28" i="99" s="1"/>
  <c r="AO28" i="99" s="1"/>
  <c r="AK28" i="48"/>
  <c r="AM27" i="48"/>
  <c r="AN27" i="48" s="1"/>
  <c r="AO27" i="48" s="1"/>
  <c r="AL31" i="48"/>
  <c r="AL30" i="107" l="1"/>
  <c r="AM29" i="107"/>
  <c r="AN29" i="107" s="1"/>
  <c r="AO29" i="107" s="1"/>
  <c r="AL30" i="99"/>
  <c r="AM29" i="99"/>
  <c r="AN29" i="99" s="1"/>
  <c r="AO29" i="99" s="1"/>
  <c r="AL32" i="48"/>
  <c r="AK29" i="48"/>
  <c r="AM28" i="48"/>
  <c r="AN28" i="48" s="1"/>
  <c r="AO28" i="48" s="1"/>
  <c r="AL31" i="107" l="1"/>
  <c r="AM30" i="107"/>
  <c r="AN30" i="107" s="1"/>
  <c r="AO30" i="107" s="1"/>
  <c r="AL31" i="99"/>
  <c r="AM30" i="99"/>
  <c r="AN30" i="99" s="1"/>
  <c r="AO30" i="99" s="1"/>
  <c r="AK30" i="48"/>
  <c r="AM29" i="48"/>
  <c r="AN29" i="48" s="1"/>
  <c r="AO29" i="48" s="1"/>
  <c r="AL33" i="48"/>
  <c r="AL32" i="107" l="1"/>
  <c r="AM31" i="107"/>
  <c r="AN31" i="107" s="1"/>
  <c r="AO31" i="107" s="1"/>
  <c r="AL32" i="99"/>
  <c r="AM31" i="99"/>
  <c r="AN31" i="99" s="1"/>
  <c r="AO31" i="99" s="1"/>
  <c r="AL34" i="48"/>
  <c r="AK31" i="48"/>
  <c r="AM30" i="48"/>
  <c r="AN30" i="48" s="1"/>
  <c r="AO30" i="48" s="1"/>
  <c r="AM32" i="107" l="1"/>
  <c r="AN32" i="107" s="1"/>
  <c r="AO32" i="107" s="1"/>
  <c r="AL33" i="107"/>
  <c r="AM32" i="99"/>
  <c r="AN32" i="99" s="1"/>
  <c r="AO32" i="99" s="1"/>
  <c r="AL33" i="99"/>
  <c r="AK32" i="48"/>
  <c r="AM31" i="48"/>
  <c r="AN31" i="48" s="1"/>
  <c r="AO31" i="48" s="1"/>
  <c r="AL35" i="48"/>
  <c r="AM33" i="107" l="1"/>
  <c r="AN33" i="107" s="1"/>
  <c r="AO33" i="107" s="1"/>
  <c r="AL34" i="107"/>
  <c r="AL34" i="99"/>
  <c r="AM33" i="99"/>
  <c r="AN33" i="99" s="1"/>
  <c r="AO33" i="99" s="1"/>
  <c r="AL36" i="48"/>
  <c r="AK33" i="48"/>
  <c r="AM32" i="48"/>
  <c r="AN32" i="48" s="1"/>
  <c r="AO32" i="48" s="1"/>
  <c r="AL35" i="107" l="1"/>
  <c r="AM34" i="107"/>
  <c r="AN34" i="107" s="1"/>
  <c r="AO34" i="107" s="1"/>
  <c r="AL35" i="99"/>
  <c r="AM34" i="99"/>
  <c r="AN34" i="99" s="1"/>
  <c r="AO34" i="99" s="1"/>
  <c r="AK34" i="48"/>
  <c r="AM33" i="48"/>
  <c r="AN33" i="48" s="1"/>
  <c r="AO33" i="48" s="1"/>
  <c r="AL37" i="48"/>
  <c r="AM35" i="107" l="1"/>
  <c r="AN35" i="107" s="1"/>
  <c r="AO35" i="107" s="1"/>
  <c r="AL36" i="107"/>
  <c r="AL36" i="99"/>
  <c r="AM35" i="99"/>
  <c r="AN35" i="99" s="1"/>
  <c r="AO35" i="99" s="1"/>
  <c r="AL38" i="48"/>
  <c r="AK35" i="48"/>
  <c r="AM34" i="48"/>
  <c r="AN34" i="48" s="1"/>
  <c r="AO34" i="48" s="1"/>
  <c r="AM36" i="107" l="1"/>
  <c r="AN36" i="107" s="1"/>
  <c r="AO36" i="107" s="1"/>
  <c r="AL37" i="107"/>
  <c r="AL37" i="99"/>
  <c r="AM36" i="99"/>
  <c r="AN36" i="99" s="1"/>
  <c r="AO36" i="99" s="1"/>
  <c r="AK36" i="48"/>
  <c r="AM35" i="48"/>
  <c r="AN35" i="48" s="1"/>
  <c r="AO35" i="48" s="1"/>
  <c r="AL39" i="48"/>
  <c r="AL38" i="107" l="1"/>
  <c r="AM37" i="107"/>
  <c r="AN37" i="107" s="1"/>
  <c r="AO37" i="107" s="1"/>
  <c r="AM37" i="99"/>
  <c r="AN37" i="99" s="1"/>
  <c r="AO37" i="99" s="1"/>
  <c r="AL38" i="99"/>
  <c r="AL40" i="48"/>
  <c r="AK37" i="48"/>
  <c r="AM36" i="48"/>
  <c r="AN36" i="48" s="1"/>
  <c r="AO36" i="48" s="1"/>
  <c r="AL39" i="107" l="1"/>
  <c r="AM38" i="107"/>
  <c r="AN38" i="107" s="1"/>
  <c r="AO38" i="107" s="1"/>
  <c r="AM38" i="99"/>
  <c r="AN38" i="99" s="1"/>
  <c r="AO38" i="99" s="1"/>
  <c r="AL39" i="99"/>
  <c r="AK38" i="48"/>
  <c r="AM37" i="48"/>
  <c r="AN37" i="48" s="1"/>
  <c r="AO37" i="48" s="1"/>
  <c r="AL41" i="48"/>
  <c r="AL40" i="107" l="1"/>
  <c r="AM39" i="107"/>
  <c r="AN39" i="107" s="1"/>
  <c r="AO39" i="107" s="1"/>
  <c r="AM39" i="99"/>
  <c r="AN39" i="99" s="1"/>
  <c r="AO39" i="99" s="1"/>
  <c r="AL40" i="99"/>
  <c r="AL42" i="48"/>
  <c r="AK39" i="48"/>
  <c r="AM38" i="48"/>
  <c r="AN38" i="48" s="1"/>
  <c r="AO38" i="48" s="1"/>
  <c r="AM40" i="107" l="1"/>
  <c r="AN40" i="107" s="1"/>
  <c r="AO40" i="107" s="1"/>
  <c r="AL41" i="107"/>
  <c r="AM40" i="99"/>
  <c r="AN40" i="99" s="1"/>
  <c r="AO40" i="99" s="1"/>
  <c r="AL41" i="99"/>
  <c r="AK40" i="48"/>
  <c r="AM39" i="48"/>
  <c r="AN39" i="48" s="1"/>
  <c r="AO39" i="48" s="1"/>
  <c r="AL43" i="48"/>
  <c r="AL44" i="48" s="1"/>
  <c r="AL42" i="107" l="1"/>
  <c r="AM41" i="107"/>
  <c r="AN41" i="107" s="1"/>
  <c r="AO41" i="107" s="1"/>
  <c r="AM41" i="99"/>
  <c r="AN41" i="99" s="1"/>
  <c r="AO41" i="99" s="1"/>
  <c r="AL42" i="99"/>
  <c r="AK41" i="48"/>
  <c r="AM40" i="48"/>
  <c r="AN40" i="48" s="1"/>
  <c r="AO40" i="48" s="1"/>
  <c r="AM42" i="107" l="1"/>
  <c r="AN42" i="107" s="1"/>
  <c r="AO42" i="107" s="1"/>
  <c r="AL43" i="107"/>
  <c r="AM42" i="99"/>
  <c r="AN42" i="99" s="1"/>
  <c r="AO42" i="99" s="1"/>
  <c r="AL43" i="99"/>
  <c r="AK42" i="48"/>
  <c r="AM41" i="48"/>
  <c r="AN41" i="48" s="1"/>
  <c r="AO41" i="48" s="1"/>
  <c r="AL44" i="107" l="1"/>
  <c r="AM44" i="107" s="1"/>
  <c r="AM43" i="107"/>
  <c r="AN43" i="107" s="1"/>
  <c r="AO43" i="107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N44" i="107" l="1"/>
  <c r="AO44" i="107" s="1"/>
  <c r="AO45" i="107" s="1"/>
  <c r="BA2" i="107" s="1"/>
  <c r="BE13" i="45" s="1"/>
  <c r="AM45" i="107"/>
  <c r="BB2" i="107" s="1"/>
  <c r="BF13" i="45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3" i="48" l="1"/>
  <c r="AO43" i="48" s="1"/>
  <c r="AO45" i="48" s="1"/>
  <c r="BA2" i="48" s="1"/>
  <c r="BE12" i="45" s="1"/>
  <c r="BF14" i="45" l="1"/>
  <c r="K9" i="64" s="1"/>
  <c r="BE14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Shraddha Patil</author>
  </authors>
  <commentList>
    <comment ref="E10" authorId="0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tc={19E0EDB6-B63D-4552-8AA0-D180FCB06AF3}</author>
    <author>tc={9E420FC0-A0DE-4D93-87CC-B4E19A4A0928}</author>
    <author>tc={4B85DC00-EA81-4E2D-9CDE-2F3CF267A858}</author>
    <author>tc={78C4D16D-BD75-4E45-95C1-18B5D6D65359}</author>
    <author>tc={EFA37538-9664-4D9F-8A78-538CD5B160A8}</author>
    <author>tc={E984CDE3-0EA9-4305-9B39-CE272795A27F}</author>
    <author>tc={AA033CCF-C16A-41C0-803E-A1526413E8FD}</author>
    <author>tc={4FC97401-AEFE-49FE-BB94-B75A5DC281B0}</author>
    <author>tc={EF08EC3C-9264-45FA-8813-743884E436A7}</author>
    <author>tc={D6E836D9-CBEB-464E-9B9F-511ADA1FEAC0}</author>
    <author>tc={1C25423E-B324-4A64-AB7E-A065E95D29C1}</author>
    <author>tc={BF3722D8-0248-4DE1-A4B5-2BDBEF78CFAC}</author>
  </authors>
  <commentList>
    <comment ref="B6" authorId="0" shapeId="0" xr:uid="{19E0EDB6-B63D-4552-8AA0-D180FCB06AF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9E420FC0-A0DE-4D93-87CC-B4E19A4A092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4B85DC00-EA81-4E2D-9CDE-2F3CF267A85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78C4D16D-BD75-4E45-95C1-18B5D6D6535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EFA37538-9664-4D9F-8A78-538CD5B160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E984CDE3-0EA9-4305-9B39-CE272795A27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AA033CCF-C16A-41C0-803E-A1526413E8FD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4FC97401-AEFE-49FE-BB94-B75A5DC281B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EF08EC3C-9264-45FA-8813-743884E436A7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6E836D9-CBEB-464E-9B9F-511ADA1FEAC0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1C25423E-B324-4A64-AB7E-A065E95D29C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BF3722D8-0248-4DE1-A4B5-2BDBEF78CF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sharedStrings.xml><?xml version="1.0" encoding="utf-8"?>
<sst xmlns="http://schemas.openxmlformats.org/spreadsheetml/2006/main" count="1423" uniqueCount="415">
  <si>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</si>
  <si>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</si>
  <si>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</si>
  <si>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</si>
  <si>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</si>
  <si>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</si>
  <si>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</si>
  <si>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</si>
  <si>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</si>
  <si>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</si>
  <si>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</si>
  <si>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</si>
  <si>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</si>
  <si>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</si>
  <si>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</si>
  <si>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</si>
  <si>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</si>
  <si>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</si>
  <si>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</si>
  <si>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</si>
  <si>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</si>
  <si>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</si>
  <si>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</si>
  <si>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</si>
  <si>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</si>
  <si>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</si>
  <si>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</si>
  <si>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</si>
  <si>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</si>
  <si>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</si>
  <si>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</si>
  <si>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</si>
  <si>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</si>
  <si>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</si>
  <si>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</si>
  <si>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</si>
  <si>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</si>
  <si>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</si>
  <si>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</si>
  <si>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</si>
  <si>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</si>
  <si>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</si>
  <si>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</si>
  <si>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</si>
  <si>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</si>
  <si>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</si>
  <si>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</si>
  <si>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</si>
  <si>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</si>
  <si>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</si>
  <si>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</si>
  <si>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</si>
  <si>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</si>
  <si>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</si>
  <si>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</si>
  <si>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</si>
  <si>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</si>
  <si>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</si>
  <si>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</si>
  <si>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</si>
  <si>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</si>
  <si>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</si>
  <si>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</si>
  <si>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</si>
  <si>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</si>
  <si>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</si>
  <si>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</si>
  <si>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</si>
  <si>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</si>
  <si>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</si>
  <si>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</si>
  <si>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</si>
  <si>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</si>
  <si>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</si>
  <si>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</si>
  <si>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</si>
  <si>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</si>
  <si>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</si>
  <si>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</si>
  <si>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</si>
  <si>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</si>
  <si>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</si>
  <si>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</si>
  <si>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</si>
  <si>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</si>
  <si>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</si>
  <si>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</si>
  <si>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</si>
  <si>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</si>
  <si>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</si>
  <si>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</si>
  <si>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</si>
  <si>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</si>
  <si>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</si>
  <si>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</si>
  <si>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</si>
  <si>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</si>
  <si>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</si>
  <si>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</si>
  <si>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</si>
  <si>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</si>
  <si>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</si>
  <si>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</si>
  <si>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</si>
  <si>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</si>
  <si>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</si>
  <si>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</si>
  <si>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</si>
  <si>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</si>
  <si>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</si>
  <si>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</si>
  <si>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</si>
  <si>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</si>
  <si>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</si>
  <si>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</si>
  <si>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</si>
  <si>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</si>
  <si>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</si>
  <si>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</si>
  <si>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</si>
  <si>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</si>
  <si>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</si>
  <si>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</si>
  <si>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</si>
  <si>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</si>
  <si>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</si>
  <si>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</si>
  <si>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</si>
  <si>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</si>
  <si>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</si>
  <si>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</si>
  <si>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</si>
  <si>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</si>
  <si>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</si>
  <si>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</si>
  <si>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</si>
  <si>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</si>
  <si>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</si>
  <si>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</si>
  <si>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</si>
  <si>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</si>
  <si>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</si>
  <si>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</si>
  <si>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</si>
  <si>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</si>
  <si>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</si>
  <si>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</si>
  <si>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</si>
  <si>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</si>
  <si>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</si>
  <si>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</si>
  <si>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</si>
  <si>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</si>
  <si>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</si>
  <si>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</si>
  <si>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</si>
  <si>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</si>
  <si>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</si>
  <si>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</si>
  <si>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</si>
  <si>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</si>
  <si>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</si>
  <si>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</si>
  <si>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</si>
  <si>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</si>
  <si>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</si>
  <si>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</si>
  <si>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</si>
  <si>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</si>
  <si>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</si>
  <si>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</si>
  <si>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</si>
  <si>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</si>
  <si>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</si>
  <si>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</si>
  <si>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</si>
  <si>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</si>
  <si>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</si>
  <si>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</si>
  <si>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</si>
  <si>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</si>
  <si>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</si>
  <si>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</si>
  <si>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</si>
  <si>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</si>
  <si>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</si>
  <si>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</si>
  <si>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</si>
  <si>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</si>
  <si>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</si>
  <si>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</si>
  <si>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</si>
  <si>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</si>
  <si>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</si>
  <si>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</si>
  <si>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</si>
  <si>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</si>
  <si>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</si>
  <si>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</si>
  <si>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</si>
  <si>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</si>
  <si>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</si>
  <si>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</si>
  <si>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</si>
  <si>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</si>
  <si>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</si>
  <si>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</si>
  <si>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</si>
  <si>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</si>
  <si>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</si>
  <si>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</si>
  <si>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</si>
  <si>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</si>
  <si>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</si>
  <si>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</si>
  <si>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</si>
  <si>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</si>
  <si>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</si>
  <si>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</si>
  <si>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</si>
  <si>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</si>
  <si>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</si>
  <si>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</si>
  <si>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</si>
  <si>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</si>
  <si>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</si>
  <si>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</si>
  <si>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</si>
  <si>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</si>
  <si>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</si>
  <si>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</si>
  <si>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</si>
  <si>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</si>
  <si>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</si>
  <si>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</si>
  <si>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</si>
  <si>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</si>
  <si>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</si>
  <si>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</si>
  <si>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</si>
  <si>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</si>
  <si>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</si>
  <si>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</si>
  <si>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</si>
  <si>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</si>
  <si>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</si>
  <si>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</si>
  <si>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</si>
  <si>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</si>
  <si>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</si>
  <si>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</si>
  <si>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</si>
  <si>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</si>
  <si>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</si>
  <si>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</si>
  <si>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</si>
  <si>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</si>
  <si>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</si>
  <si>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</si>
  <si>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</si>
  <si>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</si>
  <si>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</si>
  <si>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</si>
  <si>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</si>
  <si>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</si>
  <si>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</si>
  <si>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</si>
  <si>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</si>
  <si>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</si>
  <si>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</si>
  <si>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</si>
  <si>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</si>
  <si>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</si>
  <si>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</si>
  <si>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</si>
  <si>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</si>
  <si>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</si>
  <si>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</si>
  <si>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</si>
  <si>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</si>
  <si>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</si>
  <si>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</si>
  <si>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</si>
  <si>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</si>
  <si>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</si>
  <si>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</si>
  <si>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</si>
  <si>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</si>
  <si>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</si>
  <si>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</si>
  <si>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</si>
  <si>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</si>
  <si>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</si>
  <si>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</si>
  <si>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</si>
  <si>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</si>
  <si>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</si>
  <si>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</si>
  <si>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</si>
  <si>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</si>
  <si>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</si>
  <si>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</si>
  <si>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</si>
  <si>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</si>
  <si>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</si>
  <si>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</si>
  <si>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</si>
  <si>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</si>
  <si>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</si>
  <si>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</si>
  <si>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</si>
  <si>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</si>
  <si>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</si>
  <si>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</si>
  <si>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</si>
  <si>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</si>
  <si>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</si>
  <si>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</si>
  <si>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</si>
  <si>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</si>
  <si>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</si>
  <si>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</si>
  <si>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</si>
  <si>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</si>
  <si>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</si>
  <si>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</si>
  <si>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</si>
  <si>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</si>
  <si>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</si>
  <si>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</si>
  <si>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</si>
  <si>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</si>
  <si>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</si>
  <si>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</si>
  <si>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</si>
  <si>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</si>
  <si>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</si>
  <si>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</si>
  <si>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</si>
  <si>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</si>
  <si>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</si>
  <si>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</si>
  <si>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</si>
  <si>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</si>
  <si>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</si>
  <si>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</si>
  <si>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</si>
  <si>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</si>
  <si>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</si>
  <si>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</si>
  <si>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</si>
  <si>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</si>
  <si>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</si>
  <si>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</si>
  <si>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</si>
  <si>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</si>
  <si>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</si>
  <si>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</si>
  <si>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</si>
  <si>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</si>
  <si>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</si>
  <si>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</si>
  <si>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</si>
  <si>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</si>
  <si>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</si>
  <si>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</si>
  <si>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</si>
  <si>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</si>
  <si>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</si>
  <si>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</si>
  <si>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</si>
  <si>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</si>
  <si>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</si>
  <si>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</si>
  <si>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</si>
  <si>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</si>
  <si>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</si>
  <si>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</si>
  <si>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</si>
  <si>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</si>
  <si>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</si>
  <si>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</si>
  <si>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</si>
  <si>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</si>
  <si>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</si>
  <si>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</si>
  <si>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</si>
  <si>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</si>
  <si>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</si>
  <si>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</si>
  <si>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</si>
  <si>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</si>
  <si>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</si>
  <si>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</si>
  <si>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</si>
  <si>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</si>
  <si>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</si>
  <si>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</si>
  <si>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</si>
  <si>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</si>
  <si>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</si>
  <si>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</si>
  <si>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</si>
  <si>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</si>
  <si>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</si>
  <si>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AHU OPTIONS</t>
  </si>
  <si>
    <t>SUPPLY FAN VFD</t>
  </si>
  <si>
    <t>AHU NAME</t>
  </si>
  <si>
    <t>RETURN FAN</t>
  </si>
  <si>
    <t>RETURN FAN VFD</t>
  </si>
  <si>
    <t>Column1</t>
  </si>
  <si>
    <t>Column2</t>
  </si>
  <si>
    <t>Column3</t>
  </si>
  <si>
    <t>Column4</t>
  </si>
  <si>
    <t>Column5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</si>
</sst>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2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  <xf numFmtId="0" fontId="50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left"/>
    </xf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right"/>
    </xf>
    <xf numFmtId="167" fontId="12" fillId="0" borderId="22" xfId="0" applyNumberFormat="1" applyFont="1" applyBorder="1" applyAlignment="1">
      <alignment horizontal="center" vertical="center"/>
    </xf>
    <xf numFmtId="165" fontId="49" fillId="0" borderId="55" xfId="0" applyNumberFormat="1" applyFont="1" applyBorder="1" applyAlignment="1">
      <alignment horizontal="center" vertical="center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  <xf numFmtId="0" fontId="51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48" fillId="0" borderId="0" xfId="0" applyFont="1" applyAlignment="1" applyProtection="1">
      <alignment horizontal="left"/>
      <protection locked="0"/>
    </xf>
    <xf numFmtId="14" fontId="48" fillId="0" borderId="0" xfId="0" applyNumberFormat="1" applyFont="1" applyAlignment="1" applyProtection="1">
      <alignment horizontal="left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left"/>
    </xf>
    <xf numFmtId="0" fontId="16" fillId="0" borderId="13" xfId="0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40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1" fontId="12" fillId="0" borderId="13" xfId="0" applyNumberFormat="1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4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16</xdr:row>
          <xdr:rowOff>9525</xdr:rowOff>
        </xdr:from>
        <xdr:to>
          <xdr:col>11</xdr:col>
          <xdr:colOff>9525</xdr:colOff>
          <xdr:row>18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9525</xdr:rowOff>
        </xdr:from>
        <xdr:to>
          <xdr:col>6</xdr:col>
          <xdr:colOff>238125</xdr:colOff>
          <xdr:row>3</xdr:row>
          <xdr:rowOff>28575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9525</xdr:rowOff>
        </xdr:from>
        <xdr:to>
          <xdr:col>3</xdr:col>
          <xdr:colOff>533400</xdr:colOff>
          <xdr:row>3</xdr:row>
          <xdr:rowOff>28575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28575</xdr:colOff>
          <xdr:row>2</xdr:row>
          <xdr:rowOff>152400</xdr:rowOff>
        </xdr:to>
        <xdr:sp macro="" textlink="">
          <xdr:nvSpPr>
            <xdr:cNvPr id="2113" name="Button 65" descr="HUMIDIFICATION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4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1</xdr:row>
          <xdr:rowOff>28575</xdr:rowOff>
        </xdr:from>
        <xdr:to>
          <xdr:col>15</xdr:col>
          <xdr:colOff>647700</xdr:colOff>
          <xdr:row>3</xdr:row>
          <xdr:rowOff>28575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4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J28" totalsRowShown="0" headerRowDxfId="5" dataDxfId="4">
  <autoFilter ref="B25:J28" xr:uid="{917755F1-7D0D-48B8-9F51-548BD5F89DD0}"/>
  <tableColumns count="9">
    <tableColumn id="1" xr3:uid="{17E8A70B-31DB-4E62-8AE7-B7490EBADF0B}" name="AHU NAME" dataDxfId="0"/>
    <tableColumn id="2" xr3:uid="{A907651C-1565-4CA5-8395-FBF4A48F82DF}" name="SUPPLY FAN VFD" dataDxfId="13"/>
    <tableColumn id="3" xr3:uid="{A1BA734B-6B37-4C81-BB00-B96C74EABC9E}" name="RETURN FAN" dataDxfId="12"/>
    <tableColumn id="4" xr3:uid="{1A2A118E-5D50-4E1F-8178-C4EFA7C8AFB2}" name="RETURN FAN VFD" dataDxfId="11"/>
    <tableColumn id="5" xr3:uid="{9789DB90-BB58-4C9A-84AA-733010BD2ABF}" name="Column1" dataDxfId="10"/>
    <tableColumn id="6" xr3:uid="{7F342EF1-E9D4-4167-9F2C-FB7ECDD16AC5}" name="Column2" dataDxfId="9"/>
    <tableColumn id="7" xr3:uid="{26A7AB30-2773-4D3A-B047-D020B43C98AD}" name="Column3" dataDxfId="8"/>
    <tableColumn id="8" xr3:uid="{698E1BCF-A037-4D50-BC22-BF171E579A40}" name="Column4" dataDxfId="7"/>
    <tableColumn id="9" xr3:uid="{E1206B26-EAF7-482D-90C7-BD9B25AC7DF4}" name="Column5" dataDxfId="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406" tableBorderDxfId="405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404" totalsRowDxfId="403"/>
    <tableColumn id="3" xr3:uid="{49758621-BBD6-4E64-B5EB-30AAEEEAC7DB}" name="ROOM" dataDxfId="402" totalsRowDxfId="401"/>
    <tableColumn id="4" xr3:uid="{07AB65A5-3070-4259-B9E3-B3A0821D46DB}" name="ROOM #" dataDxfId="400" totalsRowDxfId="399"/>
    <tableColumn id="5" xr3:uid="{6BD4501F-F2C8-4DE6-94B2-70EECF81DC26}" name="AREA (FT²)" totalsRowFunction="sum" dataDxfId="398" totalsRowDxfId="397"/>
    <tableColumn id="6" xr3:uid="{0305DB12-480F-4DBE-B0BB-D944D44E3761}" name="HG_x000a_(FT)" dataDxfId="396" totalsRowDxfId="395"/>
    <tableColumn id="7" xr3:uid="{0E2CEBD9-8207-49B7-828E-FED991A3EF1B}" name="TOTAL AC/HR" dataDxfId="394" totalsRowDxfId="393"/>
    <tableColumn id="8" xr3:uid="{B39F50FE-C65C-4C16-996E-B6A311DB49BB}" name="100%_x000a_EA" dataDxfId="392" totalsRowDxfId="391"/>
    <tableColumn id="9" xr3:uid="{8D97FF71-56B9-4380-92A5-7F58032041F8}" name="CRICU_x000a_EA" dataDxfId="390" totalsRowDxfId="389"/>
    <tableColumn id="10" xr3:uid="{DF05C704-DE23-4E47-A5C6-4F757C38BE24}" name="LOAD CFM" dataDxfId="388" totalsRowDxfId="387"/>
    <tableColumn id="11" xr3:uid="{C013AEA1-36DC-4A80-866F-AF6BEEE8A018}" name="AC/HR CFM" dataDxfId="386" totalsRowDxfId="385"/>
    <tableColumn id="12" xr3:uid="{2DFD819A-C977-4FA7-9725-9D06ABE7E8E7}" name="1 CFM/SF" dataDxfId="384" totalsRowDxfId="383"/>
    <tableColumn id="13" xr3:uid="{A50C5E1C-6A55-44C9-8312-028575630C03}" name="4-A DESIGNATION" dataDxfId="382" totalsRowDxfId="381"/>
    <tableColumn id="14" xr3:uid="{7C4ABC5D-F6B9-4FFF-9A67-D601283681B7}" name="AIRBALANCE RELATIONSHIP" dataDxfId="380" totalsRowDxfId="379"/>
    <tableColumn id="15" xr3:uid="{D17D3851-5B53-4906-9ED4-998CD7BF6D54}" name="MINIMUM OSA CHANGES PER HOUR" dataDxfId="378" totalsRowDxfId="377"/>
    <tableColumn id="16" xr3:uid="{5712ECF0-F7FD-4E19-ABEA-95FC2E37BF38}" name="OSA CFM" totalsRowFunction="sum" dataDxfId="376" totalsRowDxfId="375"/>
    <tableColumn id="17" xr3:uid="{CCE3CBFF-D4D8-46EC-83F1-4E5A27EE107F}" name="ALL AIR EXHAUSTED" dataDxfId="374" totalsRowDxfId="373"/>
    <tableColumn id="18" xr3:uid="{AC02FE2F-24A9-4273-9C14-9BADDC50ABF2}" name="CALCULATED SA CFM" totalsRowFunction="sum" dataDxfId="372" totalsRowDxfId="371"/>
    <tableColumn id="19" xr3:uid="{D2E7ABF0-6C07-417C-B186-691CC143A6B0}" name="DESIGN SA CFM" totalsRowFunction="sum" dataDxfId="370" totalsRowDxfId="369"/>
    <tableColumn id="20" xr3:uid="{DF4B9159-EFFC-40F0-9FC4-33EA3C26F8BE}" name="RA CFM" totalsRowFunction="sum" dataDxfId="368" totalsRowDxfId="367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366" totalsRowDxfId="365"/>
    <tableColumn id="22" xr3:uid="{6B6AF6EB-931D-4C93-89A9-561F9C32BB12}" name="Transfer Air CFM" totalsRowFunction="sum" dataDxfId="364" totalsRowDxfId="363"/>
    <tableColumn id="23" xr3:uid="{39003D3E-BBD2-4F77-B42A-2E9AAC1B3F5F}" name="Balance?" dataDxfId="362" totalsRowDxfId="361"/>
    <tableColumn id="24" xr3:uid="{624F2EC9-EDEF-4331-8F08-3623018EE046}" name="CFM/SF" dataDxfId="360" totalsRowDxfId="359"/>
    <tableColumn id="25" xr3:uid="{224933E3-CC52-4D9F-904F-939C4C4561E9}" name="OSA PERCENT" dataDxfId="358" totalsRowDxfId="357"/>
    <tableColumn id="26" xr3:uid="{3F8BC55D-461B-40F9-A13B-0B2D7B2DEE28}" name="ACH/hr" dataDxfId="356" totalsRowDxfId="35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354" dataDxfId="352" headerRowBorderDxfId="353" tableBorderDxfId="351" totalsRowBorderDxfId="350">
  <autoFilter ref="AC6:AS44" xr:uid="{2A2B6BA6-0EAB-2349-A085-FD569408EC9D}"/>
  <tableColumns count="17">
    <tableColumn id="1" xr3:uid="{95D9C8F3-85BF-7348-B9D8-30B40B154BA0}" name="ZONE" totalsRowLabel="Total" dataDxfId="349" totalsRowDxfId="348"/>
    <tableColumn id="2" xr3:uid="{34C7498F-5EF8-014B-8B1C-DCBE6607BBC2}" name="BASIS OF DESIGN _x000a_MANUFACTURER" dataDxfId="347" totalsRowDxfId="346"/>
    <tableColumn id="3" xr3:uid="{8D44A577-B62E-C643-BDBD-7C71640AF7DD}" name="DESCRIPTION" dataDxfId="345" totalsRowDxfId="344"/>
    <tableColumn id="4" xr3:uid="{A85908E5-E973-6C41-AED9-F99DFF123237}" name="CFM" dataDxfId="343" totalsRowDxfId="342">
      <calculatedColumnFormula>SUMIF($B$7:$B$78,AC7,$S$7:$S$78)</calculatedColumnFormula>
    </tableColumn>
    <tableColumn id="5" xr3:uid="{C26D28ED-C133-154D-B0D2-6FAC49106BF4}" name="CAV INLET SIZE" dataDxfId="341" totalsRowDxfId="340">
      <calculatedColumnFormula>IFERROR((VLOOKUP(AF7,'DO NOT TOUCH'!$P$9:$Q$14,2,TRUE)),"TBD")</calculatedColumnFormula>
    </tableColumn>
    <tableColumn id="6" xr3:uid="{6ECDE356-225C-A24E-86F4-F7792C922A11}" name="MAX TOTAL CAV PD _x000a_(IN W.G.)" dataDxfId="339" totalsRowDxfId="338">
      <calculatedColumnFormula>AH6</calculatedColumnFormula>
    </tableColumn>
    <tableColumn id="7" xr3:uid="{6F655F52-D807-FF44-9E81-17EE8D10DF07}" name="EWT" dataDxfId="337" totalsRowDxfId="336">
      <calculatedColumnFormula>INPUT_OUTPUTS!$C$16</calculatedColumnFormula>
    </tableColumn>
    <tableColumn id="8" xr3:uid="{B969B290-D7B8-B049-BD43-F28721191F95}" name="DESIGN _x000a_LWT" dataDxfId="335" totalsRowDxfId="334">
      <calculatedColumnFormula>INPUT_OUTPUTS!$C$17</calculatedColumnFormula>
    </tableColumn>
    <tableColumn id="9" xr3:uid="{B1987597-E6E5-0645-B303-001D7440884A}" name="EAT" dataDxfId="333" totalsRowDxfId="332">
      <calculatedColumnFormula>AK6</calculatedColumnFormula>
    </tableColumn>
    <tableColumn id="10" xr3:uid="{23D60126-7A10-3A4F-A6F6-8D88FC3D7BF2}" name="DESIGN _x000a_LAT" dataDxfId="331" totalsRowDxfId="330">
      <calculatedColumnFormula>AL6</calculatedColumnFormula>
    </tableColumn>
    <tableColumn id="11" xr3:uid="{FCA3CDCB-EF7A-AF4E-A008-4CE5DE083146}" name="MIN MBH" totalsRowFunction="sum" dataDxfId="329" totalsRowDxfId="328">
      <calculatedColumnFormula>MROUND((1.08*(AL7-AK7)*AF7)/1000,0.1)</calculatedColumnFormula>
    </tableColumn>
    <tableColumn id="12" xr3:uid="{E12D8355-62CD-9A45-8AA8-A6C3960814AB}" name="AGPM" dataDxfId="327" totalsRowDxfId="326">
      <calculatedColumnFormula>(AM7*1000)/(500*(AI7-AJ7))</calculatedColumnFormula>
    </tableColumn>
    <tableColumn id="13" xr3:uid="{8B58FDB3-AB0C-084D-93CC-883797C9E61A}" name="GPM" totalsRowFunction="sum" dataDxfId="325" totalsRowDxfId="324">
      <calculatedColumnFormula>IF(AN7&lt;0.5,0.5,AN7)</calculatedColumnFormula>
    </tableColumn>
    <tableColumn id="14" xr3:uid="{16D8B3A9-2DD2-EA40-91A2-B427BDC9DA7F}" name="MAX WATER _x000a_PD (FT)" dataDxfId="323" totalsRowDxfId="322">
      <calculatedColumnFormula>AP6</calculatedColumnFormula>
    </tableColumn>
    <tableColumn id="15" xr3:uid="{12A7883C-5AA1-F34A-AF87-208908C77F47}" name="OPER _x000a_WEIGHT_x000a_(LBS)" dataDxfId="321" totalsRowDxfId="320">
      <calculatedColumnFormula>IFERROR((_xlfn.XLOOKUP(AG7,'DO NOT TOUCH'!$Q$9:$Q$14,'DO NOT TOUCH'!$R$9:$R$14,)),"TBD")</calculatedColumnFormula>
    </tableColumn>
    <tableColumn id="16" xr3:uid="{1DEE7EFC-9697-DF4F-9AB3-B7AA6F3AD8F6}" name="MTG _x000a_DETAIL" dataDxfId="319" totalsRowDxfId="318">
      <calculatedColumnFormula>INPUT_OUTPUTS!$C$19</calculatedColumnFormula>
    </tableColumn>
    <tableColumn id="17" xr3:uid="{4FFF90F0-EA71-194F-A327-10021D7AF629}" name="REMARKS" dataDxfId="317" totalsRowDxfId="316">
      <calculatedColumnFormula>AS6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315" tableBorderDxfId="314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313" totalsRowDxfId="312"/>
    <tableColumn id="3" xr3:uid="{62F86706-BFED-8849-B203-1462C07A11D1}" name="ROOM" dataDxfId="311" totalsRowDxfId="310"/>
    <tableColumn id="4" xr3:uid="{BA8CC09C-8989-7449-815E-02DA3EBCCE73}" name="ROOM #" dataDxfId="309" totalsRowDxfId="308"/>
    <tableColumn id="5" xr3:uid="{2A5847B7-C8C2-7D4C-9B9E-AF0D4F961528}" name="AREA (FT²)" totalsRowFunction="sum" dataDxfId="307" totalsRowDxfId="306"/>
    <tableColumn id="6" xr3:uid="{6F4863D2-E26C-4B4A-8A7E-6808FF9E98AF}" name="HG_x000a_(FT)" dataDxfId="305" totalsRowDxfId="304"/>
    <tableColumn id="7" xr3:uid="{D114EF5A-EB4D-E240-9D9D-BD8D88BBD5D0}" name="TOTAL AC/HR" dataDxfId="303" totalsRowDxfId="302">
      <calculatedColumnFormula>VLOOKUP($M7,'UMC Table 4-A'!$A$10:$E$139,4,FALSE)</calculatedColumnFormula>
    </tableColumn>
    <tableColumn id="8" xr3:uid="{C41C1A8A-07D2-F847-ADC4-523F6DA3A59A}" name="100%_x000a_EA" dataDxfId="301" totalsRowDxfId="300">
      <calculatedColumnFormula>VLOOKUP($M7,'UMC Table 4-A'!$A$10:$E$139,5,FALSE)</calculatedColumnFormula>
    </tableColumn>
    <tableColumn id="9" xr3:uid="{C2F85DE3-5208-7A42-B5B3-6BD44EDE360A}" name="CRICU_x000a_EA" dataDxfId="299" totalsRowDxfId="298">
      <calculatedColumnFormula>IF(H7="Yes",K7,"-")</calculatedColumnFormula>
    </tableColumn>
    <tableColumn id="10" xr3:uid="{DB9587E5-51D0-9E49-B476-3D1DEB286854}" name="LOAD CFM" dataDxfId="297" totalsRowDxfId="296"/>
    <tableColumn id="11" xr3:uid="{C2B72E76-A1B2-864A-8E40-94D30E0904B2}" name="AC/HR CFM" dataDxfId="295" totalsRowDxfId="294">
      <calculatedColumnFormula>IF(G7&lt;&gt;"NR",ROUNDUP((E7*F7*G7)/60,-1),0)</calculatedColumnFormula>
    </tableColumn>
    <tableColumn id="12" xr3:uid="{4166323B-03BF-624D-B936-3007427F886B}" name="1 CFM/SF" dataDxfId="293" totalsRowDxfId="292">
      <calculatedColumnFormula>E7</calculatedColumnFormula>
    </tableColumn>
    <tableColumn id="13" xr3:uid="{EF99C6F8-178D-B74B-9494-D87EECB93536}" name="4-A DESIGNATION" dataDxfId="291" totalsRowDxfId="290"/>
    <tableColumn id="14" xr3:uid="{58966974-3F49-C846-8C54-D89C6D09D35B}" name="AIRBALANCE RELATIONSHIP" dataDxfId="289" totalsRowDxfId="288">
      <calculatedColumnFormula>VLOOKUP($M7,'UMC Table 4-A'!$A$10:$E$139,2,FALSE)</calculatedColumnFormula>
    </tableColumn>
    <tableColumn id="15" xr3:uid="{5E77F12B-AF22-DE47-96B1-F2CCA63C5F3B}" name="MINIMUM OSA CHANGES PER HOUR" dataDxfId="287" totalsRowDxfId="286">
      <calculatedColumnFormula>VLOOKUP($M7,'UMC Table 4-A'!$A$10:$E$139,3,FALSE)</calculatedColumnFormula>
    </tableColumn>
    <tableColumn id="16" xr3:uid="{EB149268-2DAB-9145-9B3F-A075A9E0BB62}" name="OSA CFM" totalsRowFunction="sum" dataDxfId="285" totalsRowDxfId="284">
      <calculatedColumnFormula>IF(O7&lt;&gt;"NR",ROUNDUP((E7*F7*O7)/60,-1),0)</calculatedColumnFormula>
    </tableColumn>
    <tableColumn id="17" xr3:uid="{D7D5D4AD-5D2F-1947-A1EC-864FB51133D3}" name="ALL AIR EXHAUSTED" dataDxfId="283" totalsRowDxfId="282">
      <calculatedColumnFormula>VLOOKUP($M7,'UMC Table 4-A'!$A$10:$E$139,5,FALSE)</calculatedColumnFormula>
    </tableColumn>
    <tableColumn id="18" xr3:uid="{8E64C3DD-B984-C34D-950D-988E6756EC90}" name="CALCULATED SA CFM" totalsRowFunction="sum" dataDxfId="281" totalsRowDxfId="280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279" totalsRowDxfId="278">
      <calculatedColumnFormula>R7</calculatedColumnFormula>
    </tableColumn>
    <tableColumn id="20" xr3:uid="{DD8A54C1-53C5-BC42-BBC6-13ABBEB44ADF}" name="RA CFM" totalsRowFunction="sum" dataDxfId="277" totalsRowDxfId="276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275" totalsRowDxfId="274">
      <calculatedColumnFormula>IF(Q7="Yes",I7,0)</calculatedColumnFormula>
    </tableColumn>
    <tableColumn id="22" xr3:uid="{D9078ABF-02C8-5649-BF43-2635E4E43CD3}" name="Transfer Air CFM" totalsRowFunction="sum" dataDxfId="273" totalsRowDxfId="272">
      <calculatedColumnFormula>S7-T7-U7</calculatedColumnFormula>
    </tableColumn>
    <tableColumn id="23" xr3:uid="{420D3664-0F81-6346-9798-DAAD4438D382}" name="Balance?" dataDxfId="271" totalsRowDxfId="270">
      <calculatedColumnFormula>IF(R7-T7-U7+V7=0,"Yes","No")</calculatedColumnFormula>
    </tableColumn>
    <tableColumn id="24" xr3:uid="{2B06E20E-4173-5744-A06B-F45C3B6E4E06}" name="CFM/SF" dataDxfId="269" totalsRowDxfId="268">
      <calculatedColumnFormula>IFERROR(R7/E7,"-")</calculatedColumnFormula>
    </tableColumn>
    <tableColumn id="25" xr3:uid="{1CCCE25F-6BF2-294F-9C7E-94799BF60C61}" name="OSA PERCENT" dataDxfId="267" totalsRowDxfId="266"/>
    <tableColumn id="26" xr3:uid="{A9787315-1554-5F47-9583-71F6447BADE7}" name="ACH/hr" dataDxfId="265" totalsRowDxfId="26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63" dataDxfId="261" headerRowBorderDxfId="262" tableBorderDxfId="260" totalsRowBorderDxfId="259">
  <autoFilter ref="AC6:AS44" xr:uid="{2A2B6BA6-0EAB-2349-A085-FD569408EC9D}"/>
  <tableColumns count="17">
    <tableColumn id="1" xr3:uid="{C25C46EE-18B7-234F-90BC-9CFAECF0D77B}" name="ZONE" totalsRowLabel="Total" dataDxfId="258" totalsRowDxfId="257"/>
    <tableColumn id="2" xr3:uid="{FF1D057E-CF59-234B-BE6D-5179D70CBEFE}" name="BASIS OF DESIGN _x000a_MANUFACTURER" dataDxfId="256" totalsRowDxfId="255"/>
    <tableColumn id="3" xr3:uid="{76C3F628-FC7A-644D-A84B-B7D2DF32CB78}" name="DESCRIPTION" dataDxfId="254" totalsRowDxfId="253"/>
    <tableColumn id="4" xr3:uid="{648F5A5B-AB00-7445-B77F-BC8AA4FAF8E5}" name="CFM" dataDxfId="252" totalsRowDxfId="251">
      <calculatedColumnFormula>SUMIF($B$7:$B$78,AC7,$S$7:$S$78)</calculatedColumnFormula>
    </tableColumn>
    <tableColumn id="5" xr3:uid="{B8C6F18E-27B7-5C47-A6AA-896E053D5DD5}" name="CAV INLET SIZE" dataDxfId="250" totalsRowDxfId="249">
      <calculatedColumnFormula>IFERROR((VLOOKUP(AF7,'DO NOT TOUCH'!$P$9:$Q$14,2,TRUE)),"TBD")</calculatedColumnFormula>
    </tableColumn>
    <tableColumn id="6" xr3:uid="{9B933B17-72C0-114F-B80C-4F0E9DEE45DA}" name="MAX TOTAL CAV PD _x000a_(IN W.G.)" dataDxfId="248" totalsRowDxfId="247">
      <calculatedColumnFormula>AH6</calculatedColumnFormula>
    </tableColumn>
    <tableColumn id="7" xr3:uid="{B18295A8-1F00-1048-BB1F-85CE741F6991}" name="EWT" dataDxfId="246" totalsRowDxfId="245">
      <calculatedColumnFormula>INPUT_OUTPUTS!$C$16</calculatedColumnFormula>
    </tableColumn>
    <tableColumn id="8" xr3:uid="{71AC2984-1F71-FE45-8BF4-5C296E523C25}" name="DESIGN _x000a_LWT" dataDxfId="244" totalsRowDxfId="243">
      <calculatedColumnFormula>INPUT_OUTPUTS!$C$17</calculatedColumnFormula>
    </tableColumn>
    <tableColumn id="9" xr3:uid="{ECBF8CE3-146D-7E4C-B125-10414FE35F41}" name="EAT" dataDxfId="242" totalsRowDxfId="241">
      <calculatedColumnFormula>AK6</calculatedColumnFormula>
    </tableColumn>
    <tableColumn id="10" xr3:uid="{15F58DEE-0A56-6E49-9C7C-E911663EA507}" name="DESIGN _x000a_LAT" dataDxfId="240" totalsRowDxfId="239">
      <calculatedColumnFormula>AL6</calculatedColumnFormula>
    </tableColumn>
    <tableColumn id="11" xr3:uid="{914895A5-B38D-0743-8A44-8F92020558DF}" name="MIN MBH" totalsRowFunction="sum" dataDxfId="238" totalsRowDxfId="237">
      <calculatedColumnFormula>MROUND((1.08*(AL7-AK7)*AF7)/1000,0.1)</calculatedColumnFormula>
    </tableColumn>
    <tableColumn id="12" xr3:uid="{CD0348BA-B462-F447-A201-4DC3F6D405EA}" name="AGPM" dataDxfId="236" totalsRowDxfId="235">
      <calculatedColumnFormula>(AM7*1000)/(500*(AI7-AJ7))</calculatedColumnFormula>
    </tableColumn>
    <tableColumn id="13" xr3:uid="{08FCAA37-BE69-A645-B7B4-97E57511637E}" name="GPM" totalsRowFunction="sum" dataDxfId="234" totalsRowDxfId="233">
      <calculatedColumnFormula>IF(AN7&lt;0.5,0.5,AN7)</calculatedColumnFormula>
    </tableColumn>
    <tableColumn id="14" xr3:uid="{36DECC85-96C7-1F40-8C0A-6358A371661E}" name="MAX WATER _x000a_PD (FT)" dataDxfId="232" totalsRowDxfId="231">
      <calculatedColumnFormula>AP6</calculatedColumnFormula>
    </tableColumn>
    <tableColumn id="15" xr3:uid="{40BE04EB-CA2B-BD46-A2A8-B5618F6EB628}" name="OPER _x000a_WEIGHT_x000a_(LBS)" dataDxfId="230" totalsRowDxfId="229">
      <calculatedColumnFormula>IFERROR((_xlfn.XLOOKUP(AG7,'DO NOT TOUCH'!$Q$9:$Q$14,'DO NOT TOUCH'!$R$9:$R$14,)),"TBD")</calculatedColumnFormula>
    </tableColumn>
    <tableColumn id="16" xr3:uid="{FCE60676-46C3-2C4E-9399-C8250EC74D56}" name="MTG _x000a_DETAIL" dataDxfId="228" totalsRowDxfId="227">
      <calculatedColumnFormula>INPUT_OUTPUTS!$C$19</calculatedColumnFormula>
    </tableColumn>
    <tableColumn id="17" xr3:uid="{F5AE1D75-89DB-1E44-A1ED-A1A5537714F6}" name="REMARKS" dataDxfId="226" totalsRowDxfId="225">
      <calculatedColumnFormula>AS6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F1778C-BEAC-4234-ACA4-14CCBBCA93C6}" name="AHU1_TABLE_4A434" displayName="AHU1_TABLE_4A434" ref="B6:Z79" totalsRowCount="1" headerRowDxfId="224" tableBorderDxfId="223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C84C492A-5F44-4CEB-9A71-EAA620D1ACD3}" name="Zone" dataDxfId="222" totalsRowDxfId="221"/>
    <tableColumn id="3" xr3:uid="{DACF4033-795F-4AB5-8AA5-9BDAA0186F37}" name="ROOM" dataDxfId="220" totalsRowDxfId="219"/>
    <tableColumn id="4" xr3:uid="{29BC6CA8-BB00-4A55-8696-3B0A396FB27C}" name="ROOM #" dataDxfId="218" totalsRowDxfId="217"/>
    <tableColumn id="5" xr3:uid="{727ED378-B4E4-41DD-A5DA-B830070982B4}" name="AREA (FT²)" totalsRowFunction="sum" dataDxfId="216" totalsRowDxfId="215"/>
    <tableColumn id="6" xr3:uid="{3D46352F-B560-4680-90F2-F8C29F67188E}" name="HG_x000a_(FT)" dataDxfId="214" totalsRowDxfId="213"/>
    <tableColumn id="7" xr3:uid="{0365089B-93EA-46D8-93A7-A46E2020284D}" name="TOTAL AC/HR" dataDxfId="212" totalsRowDxfId="211">
      <calculatedColumnFormula>VLOOKUP($M7,'UMC Table 4-A'!$A$10:$E$139,4,FALSE)</calculatedColumnFormula>
    </tableColumn>
    <tableColumn id="8" xr3:uid="{86390DC6-336D-403C-B2F3-A0E4B5B24578}" name="100%_x000a_EA" dataDxfId="210" totalsRowDxfId="209">
      <calculatedColumnFormula>VLOOKUP($M7,'UMC Table 4-A'!$A$10:$E$139,5,FALSE)</calculatedColumnFormula>
    </tableColumn>
    <tableColumn id="9" xr3:uid="{F79AAE95-DDE8-47DF-BC1A-540FD555B355}" name="CRICU_x000a_EA" dataDxfId="208" totalsRowDxfId="207">
      <calculatedColumnFormula>IF(H7="Yes",K7,"-")</calculatedColumnFormula>
    </tableColumn>
    <tableColumn id="10" xr3:uid="{A89F2B2C-C545-4984-B767-999596AD87A0}" name="LOAD CFM" dataDxfId="206" totalsRowDxfId="205"/>
    <tableColumn id="11" xr3:uid="{585685EA-18FC-4FD1-A833-C0625FBDAC79}" name="AC/HR CFM" dataDxfId="204" totalsRowDxfId="203">
      <calculatedColumnFormula>IF(G7&lt;&gt;"NR",ROUNDUP((E7*F7*G7)/60,-1),0)</calculatedColumnFormula>
    </tableColumn>
    <tableColumn id="12" xr3:uid="{05DBEA4E-2B71-4ED0-A791-ED57A0B58211}" name="1 CFM/SF" dataDxfId="202" totalsRowDxfId="201">
      <calculatedColumnFormula>E7</calculatedColumnFormula>
    </tableColumn>
    <tableColumn id="13" xr3:uid="{3F58E918-B772-415C-B3B7-5A1FA7640E51}" name="4-A DESIGNATION" dataDxfId="200" totalsRowDxfId="199"/>
    <tableColumn id="14" xr3:uid="{87AFDC45-DE8E-4081-88AB-F5FEAC7B014F}" name="AIRBALANCE RELATIONSHIP" dataDxfId="198" totalsRowDxfId="197">
      <calculatedColumnFormula>VLOOKUP($M7,'UMC Table 4-A'!$A$10:$E$139,2,FALSE)</calculatedColumnFormula>
    </tableColumn>
    <tableColumn id="15" xr3:uid="{5F79F010-475E-4624-92D6-7DC8103CC7BB}" name="MINIMUM OSA CHANGES PER HOUR" dataDxfId="196" totalsRowDxfId="195">
      <calculatedColumnFormula>VLOOKUP($M7,'UMC Table 4-A'!$A$10:$E$139,3,FALSE)</calculatedColumnFormula>
    </tableColumn>
    <tableColumn id="16" xr3:uid="{A39A59E6-93B1-4EC4-A6CF-1B86EEDDE426}" name="OSA CFM" totalsRowFunction="sum" dataDxfId="194" totalsRowDxfId="193">
      <calculatedColumnFormula>IF(O7&lt;&gt;"NR",ROUNDUP((E7*F7*O7)/60,-1),0)</calculatedColumnFormula>
    </tableColumn>
    <tableColumn id="17" xr3:uid="{35C8B8AD-5925-453A-B01E-0EB227DDCAC1}" name="ALL AIR EXHAUSTED" dataDxfId="192" totalsRowDxfId="191">
      <calculatedColumnFormula>VLOOKUP($M7,'UMC Table 4-A'!$A$10:$E$139,5,FALSE)</calculatedColumnFormula>
    </tableColumn>
    <tableColumn id="18" xr3:uid="{4486487C-7B9A-4BD0-BE63-134076DA7DB2}" name="CALCULATED SA CFM" totalsRowFunction="sum" dataDxfId="190" totalsRowDxfId="189">
      <calculatedColumnFormula>IF(N7="Negative",IF(OR(M7="Toilet room",M7="Janitor's closet, housekeeping"),0,IF(0.1*U7&gt;50,220-0.1*U7,U7-50)),IF(Q7="Yes",0,CEILING(MAX(J7:L7),5)))</calculatedColumnFormula>
    </tableColumn>
    <tableColumn id="19" xr3:uid="{EDA35108-9FB0-46D9-87DA-A6D3581379AE}" name="DESIGN SA CFM" totalsRowFunction="sum" dataDxfId="188" totalsRowDxfId="187">
      <calculatedColumnFormula>R7</calculatedColumnFormula>
    </tableColumn>
    <tableColumn id="20" xr3:uid="{72A51C37-3340-4249-8B9A-96DF0D9A6703}" name="RA CFM" totalsRowFunction="sum" dataDxfId="186" totalsRowDxfId="185">
      <calculatedColumnFormula>IF(Q7="Yes",0,IF(N7="Positive",IF(0.1*R7&gt;50,R7-0.1*R7,R7-50),IF(N7="Negative",IF(0.1*R7&gt;50,R7+0.1*R7,R7+50),R7)))</calculatedColumnFormula>
    </tableColumn>
    <tableColumn id="21" xr3:uid="{EF46345F-E998-461A-B2D4-CBDB4B766B47}" name="EA CFM" totalsRowFunction="sum" dataDxfId="184" totalsRowDxfId="183">
      <calculatedColumnFormula>IF(Q7="Yes",I7,0)</calculatedColumnFormula>
    </tableColumn>
    <tableColumn id="22" xr3:uid="{782F3F33-5A1C-4F33-A81F-8BA2FA826475}" name="Transfer Air CFM" totalsRowFunction="sum" dataDxfId="182" totalsRowDxfId="181">
      <calculatedColumnFormula>S7-T7-U7</calculatedColumnFormula>
    </tableColumn>
    <tableColumn id="23" xr3:uid="{2D1B9875-9D9A-4F0A-BF0D-E20E7FD41332}" name="Balance?" dataDxfId="180" totalsRowDxfId="179">
      <calculatedColumnFormula>IF(R7-T7-U7+V7=0,"Yes","No")</calculatedColumnFormula>
    </tableColumn>
    <tableColumn id="24" xr3:uid="{86177E3B-E75B-4804-9B24-BAC318991060}" name="CFM/SF" dataDxfId="178" totalsRowDxfId="177">
      <calculatedColumnFormula>IFERROR(R7/E7,"-")</calculatedColumnFormula>
    </tableColumn>
    <tableColumn id="25" xr3:uid="{57A38607-450A-4D0C-BF8F-F25D941C5CE7}" name="OSA PERCENT" dataDxfId="176" totalsRowDxfId="175"/>
    <tableColumn id="26" xr3:uid="{E1C13434-1619-4283-B567-80FE247BC0FF}" name="ACH/hr" dataDxfId="174" totalsRowDxfId="17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2FFC1-AD23-475E-94B7-493BB5925119}" name="AHU1_CAV_SCHEDULE445" displayName="AHU1_CAV_SCHEDULE445" ref="AC6:AS45" totalsRowCount="1" headerRowDxfId="172" dataDxfId="170" headerRowBorderDxfId="171" tableBorderDxfId="169" totalsRowBorderDxfId="168">
  <autoFilter ref="AC6:AS44" xr:uid="{2A2B6BA6-0EAB-2349-A085-FD569408EC9D}"/>
  <tableColumns count="17">
    <tableColumn id="1" xr3:uid="{0A5326E1-86B9-41AB-B3FE-BDBA1EF699F5}" name="ZONE" totalsRowLabel="Total" dataDxfId="167" totalsRowDxfId="166"/>
    <tableColumn id="2" xr3:uid="{4FF7C4F7-20E5-4397-8BB7-7C05DFD5F72D}" name="BASIS OF DESIGN _x000a_MANUFACTURER" dataDxfId="165" totalsRowDxfId="164"/>
    <tableColumn id="3" xr3:uid="{8F5C5AB2-385E-41C7-95F9-D5D6B9E56A01}" name="DESCRIPTION" dataDxfId="163" totalsRowDxfId="162"/>
    <tableColumn id="4" xr3:uid="{A30BCC30-05C9-4620-86CD-C9A09A0ABD46}" name="CFM" dataDxfId="161" totalsRowDxfId="160">
      <calculatedColumnFormula>SUMIF($B$7:$B$78,AC7,$S$7:$S$78)</calculatedColumnFormula>
    </tableColumn>
    <tableColumn id="5" xr3:uid="{F7FE9AFB-8E23-478A-A27D-59870BC5DF3B}" name="CAV INLET SIZE" dataDxfId="159" totalsRowDxfId="158">
      <calculatedColumnFormula>IFERROR((VLOOKUP(AF7,'DO NOT TOUCH'!$P$9:$Q$14,2,TRUE)),"TBD")</calculatedColumnFormula>
    </tableColumn>
    <tableColumn id="6" xr3:uid="{668C0E09-B591-4AF0-990F-2E792C412BEF}" name="MAX TOTAL CAV PD _x000a_(IN W.G.)" dataDxfId="157" totalsRowDxfId="156">
      <calculatedColumnFormula>AH6</calculatedColumnFormula>
    </tableColumn>
    <tableColumn id="7" xr3:uid="{F68D4CCB-ED5C-4EF0-A9F1-2D5A12246914}" name="EWT" dataDxfId="155" totalsRowDxfId="154">
      <calculatedColumnFormula>INPUT_OUTPUTS!$C$16</calculatedColumnFormula>
    </tableColumn>
    <tableColumn id="8" xr3:uid="{90B196C7-DA18-420E-B8A3-C9D6FCB32306}" name="DESIGN _x000a_LWT" dataDxfId="153" totalsRowDxfId="152">
      <calculatedColumnFormula>INPUT_OUTPUTS!$C$17</calculatedColumnFormula>
    </tableColumn>
    <tableColumn id="9" xr3:uid="{287E6094-E9AD-4865-8919-FC81C31FEBAE}" name="EAT" dataDxfId="151" totalsRowDxfId="150">
      <calculatedColumnFormula>AK6</calculatedColumnFormula>
    </tableColumn>
    <tableColumn id="10" xr3:uid="{22BA0545-9EF1-409C-85A2-89A9EEB36FBF}" name="DESIGN _x000a_LAT" dataDxfId="149" totalsRowDxfId="148">
      <calculatedColumnFormula>AL6</calculatedColumnFormula>
    </tableColumn>
    <tableColumn id="11" xr3:uid="{A3AFEBBE-AA38-4E88-9B03-8A3E0313D4A0}" name="MIN MBH" totalsRowFunction="sum" dataDxfId="147" totalsRowDxfId="146">
      <calculatedColumnFormula>MROUND((1.08*(AL7-AK7)*AF7)/1000,0.1)</calculatedColumnFormula>
    </tableColumn>
    <tableColumn id="12" xr3:uid="{CA957198-B385-4A79-9276-6A2B3D6115F4}" name="AGPM" dataDxfId="145" totalsRowDxfId="144">
      <calculatedColumnFormula>(AM7*1000)/(500*(AI7-AJ7))</calculatedColumnFormula>
    </tableColumn>
    <tableColumn id="13" xr3:uid="{5D27B9EF-CA0D-4F5B-A3F2-C999A7BDDC05}" name="GPM" totalsRowFunction="sum" dataDxfId="143" totalsRowDxfId="142">
      <calculatedColumnFormula>IF(AN7&lt;0.5,0.5,AN7)</calculatedColumnFormula>
    </tableColumn>
    <tableColumn id="14" xr3:uid="{F970FDC3-CB38-4C5A-A2EA-964FB5D7A64F}" name="MAX WATER _x000a_PD (FT)" dataDxfId="141" totalsRowDxfId="140">
      <calculatedColumnFormula>AP6</calculatedColumnFormula>
    </tableColumn>
    <tableColumn id="15" xr3:uid="{CCDA37C9-9A55-4D6C-ADEF-E249A1741695}" name="OPER _x000a_WEIGHT_x000a_(LBS)" dataDxfId="139" totalsRowDxfId="138">
      <calculatedColumnFormula>IFERROR((_xlfn.XLOOKUP(AG7,'DO NOT TOUCH'!$Q$9:$Q$14,'DO NOT TOUCH'!$R$9:$R$14,)),"TBD")</calculatedColumnFormula>
    </tableColumn>
    <tableColumn id="16" xr3:uid="{FC263968-30FE-4E9E-990B-41AD75229EB5}" name="MTG _x000a_DETAIL" dataDxfId="137" totalsRowDxfId="136">
      <calculatedColumnFormula>INPUT_OUTPUTS!$C$19</calculatedColumnFormula>
    </tableColumn>
    <tableColumn id="17" xr3:uid="{7BAC79BD-3AF1-492C-A600-DAD52F9CA9B6}" name="REMARKS" dataDxfId="135" totalsRowDxfId="134">
      <calculatedColumnFormula>AS6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4" totalsRowCount="1" headerRowDxfId="133" dataDxfId="131" headerRowBorderDxfId="132" tableBorderDxfId="130">
  <autoFilter ref="A11:BF13" xr:uid="{E6D9D33A-2DE5-364A-B78C-5DD7A614D29B}"/>
  <tableColumns count="58">
    <tableColumn id="1" xr3:uid="{75084425-A44B-8E45-87AE-08AECD33E09D}" name="TAG" totalsRowLabel="Total" dataDxfId="129" totalsRowDxfId="128"/>
    <tableColumn id="2" xr3:uid="{C741F4EF-D022-3147-B8E2-8A68ED8EF0CC}" name="(CFM)" totalsRowFunction="sum" dataDxfId="127" totalsRowDxfId="126">
      <calculatedColumnFormula>#REF!</calculatedColumnFormula>
    </tableColumn>
    <tableColumn id="3" xr3:uid="{C6A2D6A3-4809-A245-A511-1795421C653D}" name="SF ESP" dataDxfId="125" totalsRowDxfId="124"/>
    <tableColumn id="4" xr3:uid="{8F33E354-148B-E049-A9AB-2FEBF1D2ABCF}" name="(CFM)2" dataDxfId="123" totalsRowDxfId="122">
      <calculatedColumnFormula>#REF!</calculatedColumnFormula>
    </tableColumn>
    <tableColumn id="5" xr3:uid="{484AF528-CB4D-ED45-8EAC-187579FFF5C8}" name="RF ESP" dataDxfId="121" totalsRowDxfId="120"/>
    <tableColumn id="6" xr3:uid="{44289BD7-7B7A-5040-A9C3-A81E708605BA}" name="(˚F db)" dataDxfId="119" totalsRowDxfId="118"/>
    <tableColumn id="7" xr3:uid="{A118C93B-9473-8340-A213-7536CC01FA69}" name="(˚F wb)" dataDxfId="117" totalsRowDxfId="116"/>
    <tableColumn id="8" xr3:uid="{BA4E1C0D-A98F-C94F-B5DE-2C36AC9D0BA3}" name="(CFM)3" dataDxfId="115" totalsRowDxfId="114">
      <calculatedColumnFormula>#REF!</calculatedColumnFormula>
    </tableColumn>
    <tableColumn id="9" xr3:uid="{8E2A683D-7B4C-954E-A75A-56B4A8A15F0B}" name="(˚F db)4" dataDxfId="113" totalsRowDxfId="112">
      <calculatedColumnFormula>INPUT_OUTPUTS!$C$8</calculatedColumnFormula>
    </tableColumn>
    <tableColumn id="10" xr3:uid="{D83D5AD6-51F5-5E4B-BE3C-C238ECC50CFF}" name="(˚F wb)5" dataDxfId="111" totalsRowDxfId="110">
      <calculatedColumnFormula>INPUT_OUTPUTS!$C$9</calculatedColumnFormula>
    </tableColumn>
    <tableColumn id="11" xr3:uid="{58DDBF84-EFFA-734F-B069-FD929AE8505B}" name="(CFM)6" dataDxfId="109" totalsRowDxfId="108">
      <calculatedColumnFormula>Table7[[#This Row],[(CFM)3]]</calculatedColumnFormula>
    </tableColumn>
    <tableColumn id="12" xr3:uid="{7D7925B1-33E7-A84F-AAEC-67A01BBE986C}" name="(˚F db)7" dataDxfId="107" totalsRowDxfId="106">
      <calculatedColumnFormula>INPUT_OUTPUTS!$C$10</calculatedColumnFormula>
    </tableColumn>
    <tableColumn id="13" xr3:uid="{9E21E0BF-E9C5-C54C-9B8C-005C0935E109}" name="(˚F wb)8" dataDxfId="105" totalsRowDxfId="104">
      <calculatedColumnFormula>INPUT_OUTPUTS!$C$11</calculatedColumnFormula>
    </tableColumn>
    <tableColumn id="14" xr3:uid="{AC23D981-3B01-5147-97B6-3252A7FC953B}" name="(˚F db)9" dataDxfId="103" totalsRowDxfId="102">
      <calculatedColumnFormula>INPUT_OUTPUTS!$F$8</calculatedColumnFormula>
    </tableColumn>
    <tableColumn id="15" xr3:uid="{DB54E7DD-3A47-6447-A89B-94C85E52BE7D}" name="(CFM)10" dataDxfId="101" totalsRowDxfId="100">
      <calculatedColumnFormula>D12+H12-B12</calculatedColumnFormula>
    </tableColumn>
    <tableColumn id="16" xr3:uid="{4FEC2D7C-9758-744F-A9BF-FBA46547E062}" name="(˚F db)11" dataDxfId="99" totalsRowDxfId="98">
      <calculatedColumnFormula>F12*((D12-O12)/B12) + I12*(H12/B12)</calculatedColumnFormula>
    </tableColumn>
    <tableColumn id="17" xr3:uid="{B005BDD5-39CF-2B47-842F-C982BA9FC7E1}" name="(˚F wb)12" dataDxfId="97" totalsRowDxfId="96">
      <calculatedColumnFormula>TRUNC(G12*((D12-O12)/B12) + J12*(H12/B12),1)</calculatedColumnFormula>
    </tableColumn>
    <tableColumn id="18" xr3:uid="{5AC4E564-0F72-0E49-B041-B5DE3FD4DD18}" name="(h)" dataDxfId="95" totalsRowDxfId="94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93" totalsRowDxfId="92"/>
    <tableColumn id="20" xr3:uid="{069031AB-30B0-304F-BA24-44B4C6E6101C}" name="(˚F wb)14" dataDxfId="91" totalsRowDxfId="90"/>
    <tableColumn id="21" xr3:uid="{1EA24A2B-BE77-6945-9098-6C4501A9902F}" name="(h)15" dataDxfId="89" totalsRowDxfId="88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87" totalsRowDxfId="86">
      <calculatedColumnFormula>B12*1.085*(P12-S12)</calculatedColumnFormula>
    </tableColumn>
    <tableColumn id="23" xr3:uid="{02C21CA2-732A-8C4C-93ED-640017544BD3}" name="(Btu/hr)16" dataDxfId="85" totalsRowDxfId="84">
      <calculatedColumnFormula>4.5*B12*(R12-U12)</calculatedColumnFormula>
    </tableColumn>
    <tableColumn id="24" xr3:uid="{80183150-6317-2C46-B9FB-5600693E1D79}" name="(Tons)" dataDxfId="83" totalsRowDxfId="82">
      <calculatedColumnFormula>IF(W12&lt;V12,"INVALID POINT",W12/12000)</calculatedColumnFormula>
    </tableColumn>
    <tableColumn id="25" xr3:uid="{8AF1DEDF-1446-A54C-A718-1F4A80DCED1F}" name="(˚F db)17" dataDxfId="81" totalsRowDxfId="80">
      <calculatedColumnFormula>INPUT_OUTPUTS!$C$14</calculatedColumnFormula>
    </tableColumn>
    <tableColumn id="26" xr3:uid="{30713AF6-10A7-A640-9A81-7C9C656F28C6}" name="(˚F db)18" dataDxfId="79" totalsRowDxfId="78">
      <calculatedColumnFormula>INPUT_OUTPUTS!$C$15</calculatedColumnFormula>
    </tableColumn>
    <tableColumn id="27" xr3:uid="{07E9B9A3-68BD-0040-B64A-445B4F7DB78B}" name="GPM" totalsRowFunction="sum" dataDxfId="77" totalsRowDxfId="76">
      <calculatedColumnFormula>W12/(500*(Z12-Y12))</calculatedColumnFormula>
    </tableColumn>
    <tableColumn id="28" xr3:uid="{63A1C04A-F0C1-344B-9C91-CDCBB09CC808}" name="(˚F db)19" dataDxfId="75" totalsRowDxfId="74">
      <calculatedColumnFormula>F12*((D12-O12)/B12) + L12*(H12/B12)</calculatedColumnFormula>
    </tableColumn>
    <tableColumn id="29" xr3:uid="{6B8C516D-DE70-BF40-8E5C-0B23062187E5}" name="(˚F wb)20" dataDxfId="73" totalsRowDxfId="72">
      <calculatedColumnFormula>G12*((D12-O12)/B12) + M12*(H12/B12)</calculatedColumnFormula>
    </tableColumn>
    <tableColumn id="30" xr3:uid="{045EE11E-9647-ED4C-9652-8752BBE74982}" name="(h)21" dataDxfId="71" totalsRowDxfId="70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69" totalsRowDxfId="68">
      <calculatedColumnFormula>Table7[[#This Row],[(˚F db)13]]</calculatedColumnFormula>
    </tableColumn>
    <tableColumn id="32" xr3:uid="{5E7C32E8-28E9-554C-93A3-4ED479273F5C}" name="(˚F wb)23" dataDxfId="67" totalsRowDxfId="66">
      <calculatedColumnFormula>Table7[[#This Row],[(˚F wb)14]]</calculatedColumnFormula>
    </tableColumn>
    <tableColumn id="33" xr3:uid="{7EB81F19-A30A-5844-B465-95995C2169F1}" name="(h)24" dataDxfId="65" totalsRowDxfId="64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63" totalsRowDxfId="62"/>
    <tableColumn id="35" xr3:uid="{7A2C2E1E-1049-4241-8E5F-76BCC1035FE0}" name="(Btu/hr)26" dataDxfId="61" totalsRowDxfId="60"/>
    <tableColumn id="36" xr3:uid="{E80AE8D9-52CE-214F-8CAE-BBC7A25C1206}" name="(Btu/hr)27" dataDxfId="59" totalsRowDxfId="58">
      <calculatedColumnFormula>AI12+AH12</calculatedColumnFormula>
    </tableColumn>
    <tableColumn id="37" xr3:uid="{B86C10F8-CA05-8945-8F0F-F9E339D5FA04}" name="(Btu/hr)28" dataDxfId="57" totalsRowDxfId="56">
      <calculatedColumnFormula>B12*1.085*(AB12-AE12)</calculatedColumnFormula>
    </tableColumn>
    <tableColumn id="38" xr3:uid="{3C9101C2-66E5-5844-8571-55FD8B0FA8E4}" name="(Btu/hr)29" dataDxfId="55" totalsRowDxfId="54">
      <calculatedColumnFormula>4.5*B12*(AD12-AG12)</calculatedColumnFormula>
    </tableColumn>
    <tableColumn id="39" xr3:uid="{611DF507-C49C-8E40-9B22-204394B4D484}" name="(Tons)30" dataDxfId="53" totalsRowDxfId="52">
      <calculatedColumnFormula>IF(AL12&lt;AK12,"INVALID POINT",AL12/12000)</calculatedColumnFormula>
    </tableColumn>
    <tableColumn id="40" xr3:uid="{8D69DAB9-C665-1C40-8BEE-2F67013BDA9E}" name="(˚F db)31" dataDxfId="51" totalsRowDxfId="50">
      <calculatedColumnFormula>INPUT_OUTPUTS!$C$14</calculatedColumnFormula>
    </tableColumn>
    <tableColumn id="41" xr3:uid="{2C7A8B9E-09E2-C245-8AD4-9B511603B988}" name="(˚F db)32" dataDxfId="49" totalsRowDxfId="48">
      <calculatedColumnFormula>INPUT_OUTPUTS!$C$15</calculatedColumnFormula>
    </tableColumn>
    <tableColumn id="42" xr3:uid="{97B72D8E-BA89-4E4A-B5D1-F02C61433D68}" name="GPM33" totalsRowFunction="sum" dataDxfId="47" totalsRowDxfId="46">
      <calculatedColumnFormula>AL12/(500*(AO12-AN12))</calculatedColumnFormula>
    </tableColumn>
    <tableColumn id="43" xr3:uid="{EE7A438B-ECC2-DF4B-9129-EA55728EFC2E}" name="(Tons)34" totalsRowFunction="sum" dataDxfId="45" totalsRowDxfId="44">
      <calculatedColumnFormula>MAX(AM12,X12)</calculatedColumnFormula>
    </tableColumn>
    <tableColumn id="44" xr3:uid="{B68CC7E9-570D-A84E-8670-D3C2DEA54479}" name="(CFM)35" dataDxfId="43" totalsRowDxfId="42">
      <calculatedColumnFormula>B12/AM12</calculatedColumnFormula>
    </tableColumn>
    <tableColumn id="59" xr3:uid="{2F2BA6E3-EE55-BA45-94DB-4A9361068B22}" name="GPM MAX" totalsRowFunction="sum" dataDxfId="41" totalsRowDxfId="40">
      <calculatedColumnFormula>MAX(Table7[[#This Row],[GPM33]],Table7[[#This Row],[GPM]])</calculatedColumnFormula>
    </tableColumn>
    <tableColumn id="45" xr3:uid="{033D6B36-8B19-EB4B-A1E7-E7585C21489B}" name="(CFM)36" dataDxfId="39" totalsRowDxfId="38">
      <calculatedColumnFormula>B12</calculatedColumnFormula>
    </tableColumn>
    <tableColumn id="46" xr3:uid="{940C5796-789D-5B4A-9FCD-445173CBE38B}" name="(˚F db)37" dataDxfId="37" totalsRowDxfId="36">
      <calculatedColumnFormula>F12*((D12-O12)/B12) + N12*(H12/B12)</calculatedColumnFormula>
    </tableColumn>
    <tableColumn id="47" xr3:uid="{33252E21-E95C-E84B-AA5C-160823174238}" name="(˚F db)38" dataDxfId="35" totalsRowDxfId="34"/>
    <tableColumn id="48" xr3:uid="{F5FF0CC7-9CD6-DC4B-9AC8-6CF9532FE75F}" name="(MBH)" totalsRowFunction="sum" dataDxfId="33" totalsRowDxfId="32">
      <calculatedColumnFormula>AT12*1.085*(AV12-AU12)/1000</calculatedColumnFormula>
    </tableColumn>
    <tableColumn id="49" xr3:uid="{41191CD7-30B2-EE4D-850D-B2169746F6D6}" name="(˚F db)39" dataDxfId="31" totalsRowDxfId="30">
      <calculatedColumnFormula>INPUT_OUTPUTS!$C$16</calculatedColumnFormula>
    </tableColumn>
    <tableColumn id="50" xr3:uid="{4D3CE10E-9198-0E44-849F-6C7B4A36B8CE}" name="(˚F db)40" dataDxfId="29" totalsRowDxfId="28">
      <calculatedColumnFormula>INPUT_OUTPUTS!$C$17</calculatedColumnFormula>
    </tableColumn>
    <tableColumn id="51" xr3:uid="{01E8F924-565C-4D42-9E39-E87365245FFA}" name="GPM41" totalsRowFunction="sum" dataDxfId="27" totalsRowDxfId="26">
      <calculatedColumnFormula>(AW12*1000)/(500*(AX12-AY12))</calculatedColumnFormula>
    </tableColumn>
    <tableColumn id="52" xr3:uid="{682AB22E-7AB3-E544-B158-3A216817586F}" name="LBS/HR" dataDxfId="25" totalsRowDxfId="24"/>
    <tableColumn id="53" xr3:uid="{9FA51183-6547-7247-B2B7-FE2572F6FDB0}" name="LBS/HR42" dataDxfId="23" totalsRowDxfId="22">
      <calculatedColumnFormula>BA12*(K12/1000)</calculatedColumnFormula>
    </tableColumn>
    <tableColumn id="54" xr3:uid="{D0D7EAE6-3EA2-E244-8B8D-01899554629D}" name="(˚F db)43" dataDxfId="21" totalsRowDxfId="20"/>
    <tableColumn id="56" xr3:uid="{0D1DB506-119B-7043-BE7D-652B0413152C}" name="(˚F db)45" dataDxfId="19" totalsRowDxfId="18"/>
    <tableColumn id="60" xr3:uid="{3575FFB4-394C-DC4E-9487-884A377EB86A}" name="(˚F db)46" totalsRowFunction="sum" dataDxfId="17" totalsRowDxfId="16">
      <calculatedColumnFormula>AHU1_CAV_SCHEDULE[[#Totals],[GPM]]</calculatedColumnFormula>
    </tableColumn>
    <tableColumn id="57" xr3:uid="{C012C8FF-93AB-B94F-BC98-7474F441DD8E}" name="(mbh)46" totalsRowFunction="sum" dataDxfId="15" totalsRowDxfId="14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19E0EDB6-B63D-4552-8AA0-D180FCB06AF3}">
    <text>Import zone from Revit</text>
  </threadedComment>
  <threadedComment ref="C6" dT="2023-01-20T01:59:19.81" personId="{4EB4B6F3-1969-DB48-B081-3832009A33BA}" id="{9E420FC0-A0DE-4D93-87CC-B4E19A4A0928}">
    <text>Import room from Revit</text>
  </threadedComment>
  <threadedComment ref="D6" dT="2023-01-20T01:59:37.35" personId="{4EB4B6F3-1969-DB48-B081-3832009A33BA}" id="{4B85DC00-EA81-4E2D-9CDE-2F3CF267A858}">
    <text>Import room number from Revit</text>
  </threadedComment>
  <threadedComment ref="E6" dT="2023-01-20T01:59:56.66" personId="{4EB4B6F3-1969-DB48-B081-3832009A33BA}" id="{78C4D16D-BD75-4E45-95C1-18B5D6D65359}">
    <text>Import Area from Revit</text>
  </threadedComment>
  <threadedComment ref="F6" dT="2023-01-20T02:00:11.73" personId="{4EB4B6F3-1969-DB48-B081-3832009A33BA}" id="{EFA37538-9664-4D9F-8A78-538CD5B160A8}">
    <text>Import height from Revit</text>
  </threadedComment>
  <threadedComment ref="S6" dT="2023-01-20T02:57:22.76" personId="{4EB4B6F3-1969-DB48-B081-3832009A33BA}" id="{E984CDE3-0EA9-4305-9B39-CE272795A27F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AA033CCF-C16A-41C0-803E-A1526413E8FD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4FC97401-AEFE-49FE-BB94-B75A5DC281B0}">
    <text xml:space="preserve">Usually automatic, but check and edit as necessary. </text>
  </threadedComment>
  <threadedComment ref="Y6" dT="2023-01-20T02:57:47.98" personId="{4EB4B6F3-1969-DB48-B081-3832009A33BA}" id="{EF08EC3C-9264-45FA-8813-743884E436A7}">
    <text>All cells in this column must be green</text>
  </threadedComment>
  <threadedComment ref="AC6" dT="2023-01-20T03:02:14.75" personId="{4EB4B6F3-1969-DB48-B081-3832009A33BA}" id="{D6E836D9-CBEB-464E-9B9F-511ADA1FEAC0}">
    <text>Increase or decrease number of rows in this table to match the number of zones.</text>
  </threadedComment>
  <threadedComment ref="P80" dT="2023-01-20T02:10:44.44" personId="{4EB4B6F3-1969-DB48-B081-3832009A33BA}" id="{1C25423E-B324-4A64-AB7E-A065E95D29C1}">
    <text xml:space="preserve">This is a manual number added here when the percent outside air needs to be increased. </text>
  </threadedComment>
  <threadedComment ref="V81" dT="2023-01-20T04:37:46.99" personId="{4EB4B6F3-1969-DB48-B081-3832009A33BA}" id="{BF3722D8-0248-4DE1-A4B5-2BDBEF78CFAC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microsoft.com/office/2017/10/relationships/threadedComment" Target="../threadedComments/threadedComment4.xml"/><Relationship Id="rId4" Type="http://schemas.openxmlformats.org/officeDocument/2006/relationships/ctrlProp" Target="../ctrlProps/ctrlProp2.xml"/><Relationship Id="rId9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2:N30"/>
  <sheetViews>
    <sheetView zoomScale="130" zoomScaleNormal="130" workbookViewId="0">
      <selection activeCell="B26" sqref="B26"/>
    </sheetView>
  </sheetViews>
  <sheetFormatPr defaultColWidth="8.85546875" defaultRowHeight="12.75"/>
  <cols>
    <col min="2" max="2" width="14.28515625" bestFit="1" customWidth="1"/>
    <col min="3" max="3" width="15.140625" customWidth="1"/>
    <col min="4" max="4" width="12.5703125" bestFit="1" customWidth="1"/>
    <col min="5" max="5" width="15.7109375" bestFit="1" customWidth="1"/>
    <col min="6" max="7" width="8.5703125" customWidth="1"/>
    <col min="10" max="10" width="12.42578125" bestFit="1" customWidth="1"/>
    <col min="11" max="11" width="5.7109375" bestFit="1" customWidth="1"/>
    <col min="12" max="12" width="6.140625" customWidth="1"/>
  </cols>
  <sheetData>
    <row r="2" spans="2:12">
      <c r="B2" s="192" t="s">
        <v>401</v>
      </c>
      <c r="C2" s="202" t="s">
        <v>403</v>
      </c>
      <c r="D2" s="202"/>
      <c r="E2" s="192" t="s">
        <v>400</v>
      </c>
      <c r="F2" s="203">
        <v>44949</v>
      </c>
      <c r="G2" s="202"/>
    </row>
    <row r="3" spans="2:12">
      <c r="B3" s="74"/>
      <c r="C3" s="191"/>
      <c r="D3" s="191"/>
    </row>
    <row r="4" spans="2:12">
      <c r="B4" s="204" t="s">
        <v>375</v>
      </c>
      <c r="C4" s="205"/>
      <c r="D4" s="205"/>
      <c r="E4" s="205"/>
      <c r="F4" s="205"/>
      <c r="G4" s="206"/>
      <c r="J4" s="207" t="s">
        <v>377</v>
      </c>
      <c r="K4" s="207"/>
      <c r="L4" s="207"/>
    </row>
    <row r="5" spans="2:12">
      <c r="B5" s="208" t="s">
        <v>402</v>
      </c>
      <c r="C5" s="208"/>
      <c r="D5" s="208"/>
      <c r="E5" s="208"/>
      <c r="F5" s="208"/>
      <c r="G5" s="208"/>
    </row>
    <row r="6" spans="2:12">
      <c r="B6" s="14"/>
      <c r="D6" s="17"/>
      <c r="E6" s="17"/>
      <c r="F6" s="14"/>
      <c r="J6" s="199" t="s">
        <v>399</v>
      </c>
      <c r="K6" s="200"/>
      <c r="L6" s="201"/>
    </row>
    <row r="7" spans="2:12">
      <c r="B7" s="207" t="s">
        <v>66</v>
      </c>
      <c r="C7" s="207"/>
      <c r="D7" s="207"/>
      <c r="E7" s="207" t="s">
        <v>67</v>
      </c>
      <c r="F7" s="207"/>
      <c r="G7" s="207"/>
      <c r="J7" s="188" t="s">
        <v>378</v>
      </c>
      <c r="K7" s="189">
        <f>Table7[[#Totals],[(Tons)34]]</f>
        <v>305.99624999999992</v>
      </c>
      <c r="L7" s="190" t="s">
        <v>379</v>
      </c>
    </row>
    <row r="8" spans="2:12">
      <c r="B8" s="209" t="s">
        <v>68</v>
      </c>
      <c r="C8" s="195">
        <v>91</v>
      </c>
      <c r="D8" s="164" t="s">
        <v>9</v>
      </c>
      <c r="E8" s="209" t="s">
        <v>54</v>
      </c>
      <c r="F8" s="210">
        <v>38.9</v>
      </c>
      <c r="G8" s="209" t="s">
        <v>69</v>
      </c>
      <c r="J8" s="188" t="s">
        <v>382</v>
      </c>
      <c r="K8" s="189">
        <f>Table7[[#Totals],[GPM MAX]]</f>
        <v>734.39099999999985</v>
      </c>
      <c r="L8" s="190" t="s">
        <v>383</v>
      </c>
    </row>
    <row r="9" spans="2:12">
      <c r="B9" s="209"/>
      <c r="C9" s="195">
        <v>71</v>
      </c>
      <c r="D9" s="164" t="s">
        <v>32</v>
      </c>
      <c r="E9" s="209"/>
      <c r="F9" s="211"/>
      <c r="G9" s="209"/>
      <c r="J9" s="188" t="s">
        <v>380</v>
      </c>
      <c r="K9" s="189">
        <f>Table7[[#Totals],[(mbh)46]]</f>
        <v>2732.6</v>
      </c>
      <c r="L9" s="190" t="s">
        <v>381</v>
      </c>
    </row>
    <row r="10" spans="2:12">
      <c r="B10" s="209" t="s">
        <v>388</v>
      </c>
      <c r="C10" s="196">
        <v>80.400000000000006</v>
      </c>
      <c r="D10" s="164" t="s">
        <v>69</v>
      </c>
      <c r="E10" s="209" t="s">
        <v>91</v>
      </c>
      <c r="F10" s="195">
        <v>57.2</v>
      </c>
      <c r="G10" s="164" t="s">
        <v>69</v>
      </c>
      <c r="J10" s="188" t="s">
        <v>384</v>
      </c>
      <c r="K10" s="189">
        <f>Table7[[#Totals],[(˚F db)46]]</f>
        <v>165.10500000000002</v>
      </c>
      <c r="L10" s="190" t="s">
        <v>383</v>
      </c>
    </row>
    <row r="11" spans="2:12">
      <c r="B11" s="209"/>
      <c r="C11" s="196">
        <v>68.900000000000006</v>
      </c>
      <c r="D11" s="164" t="s">
        <v>32</v>
      </c>
      <c r="E11" s="209"/>
      <c r="F11" s="195">
        <v>12.7</v>
      </c>
      <c r="G11" s="164" t="s">
        <v>70</v>
      </c>
      <c r="J11" s="165"/>
      <c r="K11" s="165"/>
      <c r="L11" s="165"/>
    </row>
    <row r="12" spans="2:12">
      <c r="B12" s="14"/>
      <c r="D12" s="17"/>
      <c r="E12" s="17"/>
      <c r="J12" s="165"/>
      <c r="K12" s="165"/>
      <c r="L12" s="165"/>
    </row>
    <row r="13" spans="2:12">
      <c r="B13" s="207" t="s">
        <v>376</v>
      </c>
      <c r="C13" s="207"/>
      <c r="D13" s="207"/>
    </row>
    <row r="14" spans="2:12">
      <c r="B14" s="187" t="s">
        <v>307</v>
      </c>
      <c r="C14" s="196">
        <v>42</v>
      </c>
      <c r="D14" s="164" t="s">
        <v>308</v>
      </c>
    </row>
    <row r="15" spans="2:12">
      <c r="B15" s="187" t="s">
        <v>309</v>
      </c>
      <c r="C15" s="196">
        <v>52</v>
      </c>
      <c r="D15" s="164" t="s">
        <v>308</v>
      </c>
    </row>
    <row r="16" spans="2:12">
      <c r="B16" s="187" t="s">
        <v>310</v>
      </c>
      <c r="C16" s="196">
        <v>140</v>
      </c>
      <c r="D16" s="164" t="s">
        <v>308</v>
      </c>
    </row>
    <row r="17" spans="2:14">
      <c r="B17" s="187" t="s">
        <v>311</v>
      </c>
      <c r="C17" s="196">
        <v>100</v>
      </c>
      <c r="D17" s="164" t="s">
        <v>308</v>
      </c>
    </row>
    <row r="18" spans="2:14">
      <c r="B18" s="187" t="s">
        <v>312</v>
      </c>
      <c r="C18" s="197">
        <v>1.2</v>
      </c>
      <c r="D18" s="164" t="s">
        <v>313</v>
      </c>
    </row>
    <row r="19" spans="2:14">
      <c r="B19" s="187" t="s">
        <v>317</v>
      </c>
      <c r="C19" s="197" t="s">
        <v>318</v>
      </c>
      <c r="D19" s="164" t="s">
        <v>299</v>
      </c>
      <c r="H19" s="165"/>
      <c r="I19" s="165"/>
      <c r="J19" s="165"/>
      <c r="K19" s="165"/>
      <c r="L19" s="165"/>
    </row>
    <row r="20" spans="2:14">
      <c r="H20" s="165"/>
      <c r="I20" s="165"/>
      <c r="J20" s="198" t="s">
        <v>404</v>
      </c>
      <c r="K20" s="198"/>
      <c r="L20" s="165"/>
    </row>
    <row r="21" spans="2:14">
      <c r="H21" s="165"/>
      <c r="I21" s="165"/>
      <c r="J21" s="165"/>
      <c r="K21" s="165"/>
      <c r="L21" s="165"/>
    </row>
    <row r="23" spans="2:14">
      <c r="B23" s="207" t="s">
        <v>405</v>
      </c>
      <c r="C23" s="207"/>
      <c r="D23" s="207"/>
    </row>
    <row r="25" spans="2:14">
      <c r="B25" s="257" t="s">
        <v>407</v>
      </c>
      <c r="C25" s="257" t="s">
        <v>406</v>
      </c>
      <c r="D25" s="257" t="s">
        <v>408</v>
      </c>
      <c r="E25" s="257" t="s">
        <v>409</v>
      </c>
      <c r="F25" s="257" t="s">
        <v>410</v>
      </c>
      <c r="G25" s="257" t="s">
        <v>411</v>
      </c>
      <c r="H25" s="257" t="s">
        <v>412</v>
      </c>
      <c r="I25" s="257" t="s">
        <v>413</v>
      </c>
      <c r="J25" s="257" t="s">
        <v>414</v>
      </c>
      <c r="K25" s="165"/>
      <c r="L25" s="165"/>
      <c r="M25" s="165"/>
      <c r="N25" s="165"/>
    </row>
    <row r="26" spans="2:14">
      <c r="B26" s="258"/>
      <c r="C26" s="258"/>
      <c r="D26" s="258"/>
      <c r="E26" s="258"/>
      <c r="F26" s="258"/>
      <c r="G26" s="258"/>
      <c r="H26" s="258"/>
      <c r="I26" s="258"/>
      <c r="J26" s="258"/>
      <c r="K26" s="165"/>
      <c r="L26" s="165"/>
      <c r="M26" s="165"/>
      <c r="N26" s="165"/>
    </row>
    <row r="27" spans="2:14">
      <c r="B27" s="258"/>
      <c r="C27" s="258"/>
      <c r="D27" s="258"/>
      <c r="E27" s="258"/>
      <c r="F27" s="258"/>
      <c r="G27" s="258"/>
      <c r="H27" s="258"/>
      <c r="I27" s="258"/>
      <c r="J27" s="258"/>
      <c r="K27" s="165"/>
      <c r="L27" s="165"/>
      <c r="M27" s="165"/>
      <c r="N27" s="165"/>
    </row>
    <row r="28" spans="2:14">
      <c r="B28" s="258"/>
      <c r="C28" s="258"/>
      <c r="D28" s="258"/>
      <c r="E28" s="258"/>
      <c r="F28" s="258"/>
      <c r="G28" s="258"/>
      <c r="H28" s="258"/>
      <c r="I28" s="258"/>
      <c r="J28" s="258"/>
      <c r="K28" s="165"/>
      <c r="L28" s="165"/>
      <c r="M28" s="165"/>
      <c r="N28" s="165"/>
    </row>
    <row r="29" spans="2:14">
      <c r="K29" s="165"/>
      <c r="L29" s="165"/>
      <c r="M29" s="165"/>
      <c r="N29" s="165"/>
    </row>
    <row r="30" spans="2:14">
      <c r="K30" s="165"/>
      <c r="L30" s="165"/>
      <c r="M30" s="165"/>
      <c r="N30" s="165"/>
    </row>
  </sheetData>
  <mergeCells count="17">
    <mergeCell ref="B23:D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phoneticPr fontId="16" type="noConversion"/>
  <dataValidations disablePrompts="1" count="2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9</xdr:col>
                    <xdr:colOff>9525</xdr:colOff>
                    <xdr:row>16</xdr:row>
                    <xdr:rowOff>9525</xdr:rowOff>
                  </from>
                  <to>
                    <xdr:col>11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opLeftCell="A48" zoomScale="85" zoomScaleNormal="85" zoomScaleSheetLayoutView="50" zoomScalePageLayoutView="80" workbookViewId="0">
      <selection activeCell="N87" sqref="N87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21.85546875" bestFit="1" customWidth="1"/>
    <col min="14" max="14" width="71.57031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1.57031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16900</v>
      </c>
      <c r="AX2" s="66">
        <f>ROUNDUP(T79*INPUT_OUTPUTS!$C$18,-2)</f>
        <v>16900</v>
      </c>
      <c r="AY2" s="65">
        <f>ROUNDUP((P79*INPUT_OUTPUTS!C18)+P80,-2)</f>
        <v>8900</v>
      </c>
      <c r="BA2" s="76">
        <f>AHU1_CAV_SCHEDULE[[#Totals],[GPM]]</f>
        <v>36.205000000000005</v>
      </c>
      <c r="BB2" s="75">
        <f>AHU1_CAV_SCHEDULE[[#Totals],[MIN MBH]]</f>
        <v>454.09999999999991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</v>
      </c>
      <c r="S7" s="119">
        <f t="shared" ref="S7:S38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3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20">AK8</f>
        <v>55</v>
      </c>
      <c r="AL9" s="132">
        <f t="shared" si="20"/>
        <v>85</v>
      </c>
      <c r="AM9" s="132">
        <f t="shared" si="12"/>
        <v>32.4</v>
      </c>
      <c r="AN9" s="133">
        <f t="shared" ref="AN9:AN43" si="21">(AM9*1000)/(500*(AI9-AJ9))</f>
        <v>1.62</v>
      </c>
      <c r="AO9" s="133">
        <f t="shared" si="15"/>
        <v>1.62</v>
      </c>
      <c r="AP9" s="133">
        <f t="shared" ref="AP9:AP44" si="22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3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380</v>
      </c>
      <c r="L10" s="84">
        <f t="shared" si="13"/>
        <v>567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190</v>
      </c>
      <c r="Q10" s="81" t="str">
        <f>VLOOKUP($M10,'UMC Table 4-A'!$A$10:$E$139,5,FALSE)</f>
        <v>NR</v>
      </c>
      <c r="R10" s="82">
        <f t="shared" si="3"/>
        <v>570</v>
      </c>
      <c r="S10" s="119">
        <f t="shared" si="4"/>
        <v>570</v>
      </c>
      <c r="T10" s="119">
        <f t="shared" si="5"/>
        <v>570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1.0052910052910053</v>
      </c>
      <c r="Y10" s="56">
        <f t="shared" si="17"/>
        <v>33.333333333333329</v>
      </c>
      <c r="Z10" s="28">
        <f t="shared" si="18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11"/>
        <v>570</v>
      </c>
      <c r="AG10" s="132">
        <f>IFERROR((VLOOKUP(AF10,'DO NOT TOUCH'!$P$9:$Q$14,2,TRUE)),"TBD")</f>
        <v>8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4">AK9</f>
        <v>55</v>
      </c>
      <c r="AL10" s="132">
        <f t="shared" si="24"/>
        <v>85</v>
      </c>
      <c r="AM10" s="132">
        <f t="shared" si="12"/>
        <v>18.5</v>
      </c>
      <c r="AN10" s="133">
        <f t="shared" si="21"/>
        <v>0.92500000000000004</v>
      </c>
      <c r="AO10" s="133">
        <f t="shared" si="15"/>
        <v>0.92500000000000004</v>
      </c>
      <c r="AP10" s="133">
        <f t="shared" si="22"/>
        <v>5</v>
      </c>
      <c r="AQ10" s="133">
        <f>IFERROR((_xlfn.XLOOKUP(AG10,'DO NOT TOUCH'!$Q$9:$Q$14,'DO NOT TOUCH'!$R$9:$R$14,)),"TBD")</f>
        <v>30</v>
      </c>
      <c r="AR10" s="133" t="str">
        <f>INPUT_OUTPUTS!$C$19</f>
        <v>C1/M-501</v>
      </c>
      <c r="AS10" s="132" t="str">
        <f t="shared" si="23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5">AK10</f>
        <v>55</v>
      </c>
      <c r="AL11" s="132">
        <f t="shared" si="25"/>
        <v>85</v>
      </c>
      <c r="AM11" s="132">
        <f t="shared" si="12"/>
        <v>32.4</v>
      </c>
      <c r="AN11" s="133">
        <f t="shared" si="21"/>
        <v>1.62</v>
      </c>
      <c r="AO11" s="133">
        <f t="shared" si="15"/>
        <v>1.62</v>
      </c>
      <c r="AP11" s="133">
        <f t="shared" si="22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3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2970</v>
      </c>
      <c r="L12" s="84">
        <f t="shared" si="13"/>
        <v>4444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1490</v>
      </c>
      <c r="Q12" s="81" t="str">
        <f>VLOOKUP($M12,'UMC Table 4-A'!$A$10:$E$139,5,FALSE)</f>
        <v>NR</v>
      </c>
      <c r="R12" s="82">
        <f t="shared" si="3"/>
        <v>4445</v>
      </c>
      <c r="S12" s="119">
        <f t="shared" si="4"/>
        <v>4445</v>
      </c>
      <c r="T12" s="119">
        <f t="shared" si="5"/>
        <v>4445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1.0002250225022502</v>
      </c>
      <c r="Y12" s="56">
        <f t="shared" si="17"/>
        <v>33.520809898762657</v>
      </c>
      <c r="Z12" s="28">
        <f t="shared" si="18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11"/>
        <v>4445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6">AK11</f>
        <v>55</v>
      </c>
      <c r="AL12" s="132">
        <f t="shared" si="26"/>
        <v>85</v>
      </c>
      <c r="AM12" s="132">
        <f t="shared" si="12"/>
        <v>144</v>
      </c>
      <c r="AN12" s="133">
        <f t="shared" si="21"/>
        <v>7.2</v>
      </c>
      <c r="AO12" s="133">
        <f t="shared" si="15"/>
        <v>7.2</v>
      </c>
      <c r="AP12" s="133">
        <f t="shared" si="22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3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670</v>
      </c>
      <c r="L13" s="84">
        <f t="shared" si="13"/>
        <v>1000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340</v>
      </c>
      <c r="Q13" s="81" t="str">
        <f>VLOOKUP($M13,'UMC Table 4-A'!$A$10:$E$139,5,FALSE)</f>
        <v>NR</v>
      </c>
      <c r="R13" s="82">
        <f t="shared" si="3"/>
        <v>1000</v>
      </c>
      <c r="S13" s="119">
        <f t="shared" si="4"/>
        <v>1000</v>
      </c>
      <c r="T13" s="119">
        <f t="shared" si="5"/>
        <v>1000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</v>
      </c>
      <c r="AG13" s="132">
        <f>IFERROR((VLOOKUP(AF13,'DO NOT TOUCH'!$P$9:$Q$14,2,TRUE)),"TBD")</f>
        <v>12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7">AK12</f>
        <v>55</v>
      </c>
      <c r="AL13" s="132">
        <f t="shared" si="27"/>
        <v>85</v>
      </c>
      <c r="AM13" s="132">
        <f t="shared" si="12"/>
        <v>32.4</v>
      </c>
      <c r="AN13" s="133">
        <f t="shared" si="21"/>
        <v>1.62</v>
      </c>
      <c r="AO13" s="133">
        <f t="shared" si="15"/>
        <v>1.62</v>
      </c>
      <c r="AP13" s="133">
        <f t="shared" si="22"/>
        <v>5</v>
      </c>
      <c r="AQ13" s="133">
        <f>IFERROR((_xlfn.XLOOKUP(AG13,'DO NOT TOUCH'!$Q$9:$Q$14,'DO NOT TOUCH'!$R$9:$R$14,)),"TBD")</f>
        <v>45</v>
      </c>
      <c r="AR13" s="133" t="str">
        <f>INPUT_OUTPUTS!$C$19</f>
        <v>C1/M-501</v>
      </c>
      <c r="AS13" s="135" t="str">
        <f t="shared" si="23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8">AK13</f>
        <v>55</v>
      </c>
      <c r="AL14" s="132">
        <f t="shared" si="28"/>
        <v>85</v>
      </c>
      <c r="AM14" s="132">
        <f t="shared" si="12"/>
        <v>32.4</v>
      </c>
      <c r="AN14" s="133">
        <f t="shared" si="21"/>
        <v>1.62</v>
      </c>
      <c r="AO14" s="133">
        <f t="shared" si="15"/>
        <v>1.62</v>
      </c>
      <c r="AP14" s="133">
        <f t="shared" si="22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3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9">AK14</f>
        <v>55</v>
      </c>
      <c r="AL15" s="132">
        <f t="shared" si="29"/>
        <v>85</v>
      </c>
      <c r="AM15" s="132">
        <f t="shared" si="12"/>
        <v>32.4</v>
      </c>
      <c r="AN15" s="133">
        <f t="shared" si="21"/>
        <v>1.62</v>
      </c>
      <c r="AO15" s="133">
        <f t="shared" si="15"/>
        <v>1.62</v>
      </c>
      <c r="AP15" s="133">
        <f t="shared" si="22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3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30">AK15</f>
        <v>55</v>
      </c>
      <c r="AL16" s="132">
        <f t="shared" si="30"/>
        <v>85</v>
      </c>
      <c r="AM16" s="132">
        <f t="shared" si="12"/>
        <v>32.4</v>
      </c>
      <c r="AN16" s="133">
        <f t="shared" si="21"/>
        <v>1.62</v>
      </c>
      <c r="AO16" s="133">
        <f t="shared" si="15"/>
        <v>1.62</v>
      </c>
      <c r="AP16" s="133">
        <f t="shared" si="22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3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31">AK16</f>
        <v>55</v>
      </c>
      <c r="AL17" s="132">
        <f t="shared" si="31"/>
        <v>85</v>
      </c>
      <c r="AM17" s="132">
        <f t="shared" si="12"/>
        <v>32.4</v>
      </c>
      <c r="AN17" s="133">
        <f t="shared" si="21"/>
        <v>1.62</v>
      </c>
      <c r="AO17" s="133">
        <f t="shared" si="15"/>
        <v>1.62</v>
      </c>
      <c r="AP17" s="133">
        <f t="shared" si="22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3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32">AK17</f>
        <v>55</v>
      </c>
      <c r="AL18" s="132">
        <f t="shared" si="32"/>
        <v>85</v>
      </c>
      <c r="AM18" s="132">
        <f t="shared" si="12"/>
        <v>0</v>
      </c>
      <c r="AN18" s="133">
        <f t="shared" si="21"/>
        <v>0</v>
      </c>
      <c r="AO18" s="133">
        <f t="shared" si="15"/>
        <v>0.5</v>
      </c>
      <c r="AP18" s="133">
        <f t="shared" si="22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3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33">AK18</f>
        <v>55</v>
      </c>
      <c r="AL19" s="132">
        <f t="shared" si="33"/>
        <v>85</v>
      </c>
      <c r="AM19" s="132">
        <f t="shared" si="12"/>
        <v>0</v>
      </c>
      <c r="AN19" s="133">
        <f t="shared" si="21"/>
        <v>0</v>
      </c>
      <c r="AO19" s="133">
        <f t="shared" si="15"/>
        <v>0.5</v>
      </c>
      <c r="AP19" s="133">
        <f t="shared" si="22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3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4">AK19</f>
        <v>55</v>
      </c>
      <c r="AL20" s="132">
        <f t="shared" si="34"/>
        <v>85</v>
      </c>
      <c r="AM20" s="132">
        <f t="shared" si="12"/>
        <v>0</v>
      </c>
      <c r="AN20" s="133">
        <f t="shared" si="21"/>
        <v>0</v>
      </c>
      <c r="AO20" s="133">
        <f t="shared" si="15"/>
        <v>0.5</v>
      </c>
      <c r="AP20" s="133">
        <f t="shared" si="22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3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5">AK20</f>
        <v>55</v>
      </c>
      <c r="AL21" s="132">
        <f t="shared" si="35"/>
        <v>85</v>
      </c>
      <c r="AM21" s="132">
        <f t="shared" si="12"/>
        <v>0</v>
      </c>
      <c r="AN21" s="133">
        <f t="shared" si="21"/>
        <v>0</v>
      </c>
      <c r="AO21" s="133">
        <f t="shared" si="15"/>
        <v>0.5</v>
      </c>
      <c r="AP21" s="133">
        <f t="shared" si="22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3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6">AK21</f>
        <v>55</v>
      </c>
      <c r="AL22" s="132">
        <f t="shared" si="36"/>
        <v>85</v>
      </c>
      <c r="AM22" s="132">
        <f t="shared" si="12"/>
        <v>0</v>
      </c>
      <c r="AN22" s="133">
        <f t="shared" si="21"/>
        <v>0</v>
      </c>
      <c r="AO22" s="133">
        <f t="shared" si="15"/>
        <v>0.5</v>
      </c>
      <c r="AP22" s="133">
        <f t="shared" si="22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3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7">AK22</f>
        <v>55</v>
      </c>
      <c r="AL23" s="132">
        <f t="shared" si="37"/>
        <v>85</v>
      </c>
      <c r="AM23" s="132">
        <f t="shared" si="12"/>
        <v>0</v>
      </c>
      <c r="AN23" s="133">
        <f t="shared" si="21"/>
        <v>0</v>
      </c>
      <c r="AO23" s="133">
        <f t="shared" si="15"/>
        <v>0.5</v>
      </c>
      <c r="AP23" s="133">
        <f t="shared" si="22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3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8">AK23</f>
        <v>55</v>
      </c>
      <c r="AL24" s="132">
        <f t="shared" si="38"/>
        <v>85</v>
      </c>
      <c r="AM24" s="132">
        <f t="shared" si="12"/>
        <v>0</v>
      </c>
      <c r="AN24" s="133">
        <f t="shared" si="21"/>
        <v>0</v>
      </c>
      <c r="AO24" s="133">
        <f t="shared" si="15"/>
        <v>0.5</v>
      </c>
      <c r="AP24" s="133">
        <f t="shared" si="22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3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9">AK24</f>
        <v>55</v>
      </c>
      <c r="AL25" s="132">
        <f t="shared" si="39"/>
        <v>85</v>
      </c>
      <c r="AM25" s="132">
        <f t="shared" si="12"/>
        <v>0</v>
      </c>
      <c r="AN25" s="133">
        <f t="shared" si="21"/>
        <v>0</v>
      </c>
      <c r="AO25" s="133">
        <f t="shared" si="15"/>
        <v>0.5</v>
      </c>
      <c r="AP25" s="133">
        <f t="shared" si="22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3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40">AK25</f>
        <v>55</v>
      </c>
      <c r="AL26" s="132">
        <f t="shared" si="40"/>
        <v>85</v>
      </c>
      <c r="AM26" s="132">
        <f t="shared" si="12"/>
        <v>0</v>
      </c>
      <c r="AN26" s="133">
        <f t="shared" si="21"/>
        <v>0</v>
      </c>
      <c r="AO26" s="133">
        <f t="shared" si="15"/>
        <v>0.5</v>
      </c>
      <c r="AP26" s="133">
        <f t="shared" si="22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3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41">AK26</f>
        <v>55</v>
      </c>
      <c r="AL27" s="132">
        <f t="shared" si="41"/>
        <v>85</v>
      </c>
      <c r="AM27" s="132">
        <f t="shared" si="12"/>
        <v>0</v>
      </c>
      <c r="AN27" s="133">
        <f t="shared" si="21"/>
        <v>0</v>
      </c>
      <c r="AO27" s="133">
        <f t="shared" si="15"/>
        <v>0.5</v>
      </c>
      <c r="AP27" s="133">
        <f t="shared" si="22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3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42">AK27</f>
        <v>55</v>
      </c>
      <c r="AL28" s="132">
        <f t="shared" si="42"/>
        <v>85</v>
      </c>
      <c r="AM28" s="132">
        <f t="shared" si="12"/>
        <v>0</v>
      </c>
      <c r="AN28" s="133">
        <f t="shared" si="21"/>
        <v>0</v>
      </c>
      <c r="AO28" s="133">
        <f t="shared" si="15"/>
        <v>0.5</v>
      </c>
      <c r="AP28" s="133">
        <f t="shared" si="22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3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43">AK28</f>
        <v>55</v>
      </c>
      <c r="AL29" s="132">
        <f t="shared" si="43"/>
        <v>85</v>
      </c>
      <c r="AM29" s="132">
        <f t="shared" si="12"/>
        <v>0</v>
      </c>
      <c r="AN29" s="133">
        <f t="shared" si="21"/>
        <v>0</v>
      </c>
      <c r="AO29" s="133">
        <f t="shared" si="15"/>
        <v>0.5</v>
      </c>
      <c r="AP29" s="133">
        <f t="shared" si="22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3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4">AK29</f>
        <v>55</v>
      </c>
      <c r="AL30" s="132">
        <f t="shared" si="44"/>
        <v>85</v>
      </c>
      <c r="AM30" s="132">
        <f t="shared" si="12"/>
        <v>0</v>
      </c>
      <c r="AN30" s="133">
        <f t="shared" si="21"/>
        <v>0</v>
      </c>
      <c r="AO30" s="133">
        <f t="shared" si="15"/>
        <v>0.5</v>
      </c>
      <c r="AP30" s="133">
        <f t="shared" si="22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3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5">AK30</f>
        <v>55</v>
      </c>
      <c r="AL31" s="132">
        <f t="shared" si="45"/>
        <v>85</v>
      </c>
      <c r="AM31" s="132">
        <f t="shared" si="12"/>
        <v>0</v>
      </c>
      <c r="AN31" s="133">
        <f t="shared" si="21"/>
        <v>0</v>
      </c>
      <c r="AO31" s="133">
        <f t="shared" si="15"/>
        <v>0.5</v>
      </c>
      <c r="AP31" s="133">
        <f t="shared" si="22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3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6">AK31</f>
        <v>55</v>
      </c>
      <c r="AL32" s="132">
        <f t="shared" si="46"/>
        <v>85</v>
      </c>
      <c r="AM32" s="132">
        <f t="shared" si="12"/>
        <v>0</v>
      </c>
      <c r="AN32" s="133">
        <f t="shared" si="21"/>
        <v>0</v>
      </c>
      <c r="AO32" s="133">
        <f t="shared" si="15"/>
        <v>0.5</v>
      </c>
      <c r="AP32" s="133">
        <f t="shared" si="22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3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7">AK32</f>
        <v>55</v>
      </c>
      <c r="AL33" s="132">
        <f t="shared" si="47"/>
        <v>85</v>
      </c>
      <c r="AM33" s="132">
        <f t="shared" si="12"/>
        <v>0</v>
      </c>
      <c r="AN33" s="133">
        <f t="shared" si="21"/>
        <v>0</v>
      </c>
      <c r="AO33" s="133">
        <f t="shared" si="15"/>
        <v>0.5</v>
      </c>
      <c r="AP33" s="133">
        <f t="shared" si="22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3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8">AK33</f>
        <v>55</v>
      </c>
      <c r="AL34" s="132">
        <f t="shared" si="48"/>
        <v>85</v>
      </c>
      <c r="AM34" s="132">
        <f t="shared" si="12"/>
        <v>0</v>
      </c>
      <c r="AN34" s="133">
        <f t="shared" si="21"/>
        <v>0</v>
      </c>
      <c r="AO34" s="133">
        <f t="shared" si="15"/>
        <v>0.5</v>
      </c>
      <c r="AP34" s="133">
        <f t="shared" si="22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3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9">AK34</f>
        <v>55</v>
      </c>
      <c r="AL35" s="132">
        <f t="shared" si="49"/>
        <v>85</v>
      </c>
      <c r="AM35" s="132">
        <f t="shared" si="12"/>
        <v>0</v>
      </c>
      <c r="AN35" s="133">
        <f t="shared" si="21"/>
        <v>0</v>
      </c>
      <c r="AO35" s="133">
        <f t="shared" si="15"/>
        <v>0.5</v>
      </c>
      <c r="AP35" s="133">
        <f t="shared" si="22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3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50">AK35</f>
        <v>55</v>
      </c>
      <c r="AL36" s="132">
        <f t="shared" si="50"/>
        <v>85</v>
      </c>
      <c r="AM36" s="132">
        <f t="shared" si="12"/>
        <v>0</v>
      </c>
      <c r="AN36" s="133">
        <f t="shared" si="21"/>
        <v>0</v>
      </c>
      <c r="AO36" s="133">
        <f t="shared" si="15"/>
        <v>0.5</v>
      </c>
      <c r="AP36" s="133">
        <f t="shared" si="22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3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51">AK36</f>
        <v>55</v>
      </c>
      <c r="AL37" s="132">
        <f t="shared" si="51"/>
        <v>85</v>
      </c>
      <c r="AM37" s="132">
        <f t="shared" si="12"/>
        <v>0</v>
      </c>
      <c r="AN37" s="133">
        <f t="shared" si="21"/>
        <v>0</v>
      </c>
      <c r="AO37" s="133">
        <f t="shared" si="15"/>
        <v>0.5</v>
      </c>
      <c r="AP37" s="133">
        <f t="shared" si="22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3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52">AK37</f>
        <v>55</v>
      </c>
      <c r="AL38" s="132">
        <f t="shared" si="52"/>
        <v>85</v>
      </c>
      <c r="AM38" s="132">
        <f t="shared" si="12"/>
        <v>0</v>
      </c>
      <c r="AN38" s="133">
        <f t="shared" si="21"/>
        <v>0</v>
      </c>
      <c r="AO38" s="133">
        <f t="shared" si="15"/>
        <v>0.5</v>
      </c>
      <c r="AP38" s="133">
        <f t="shared" si="22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3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3">IF(H39="Yes",K39,"-")</f>
        <v>-</v>
      </c>
      <c r="J39" s="117">
        <v>0</v>
      </c>
      <c r="K39" s="93">
        <f t="shared" ref="K39:K69" si="54">IF(G39&lt;&gt;"NR",ROUNDUP((E39*F39*G39)/60,-1),0)</f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5">IF(O39&lt;&gt;"NR",ROUNDUP((E39*F39*O39)/60,-1),0)</f>
        <v>0</v>
      </c>
      <c r="Q39" s="81" t="str">
        <f>VLOOKUP($M39,'UMC Table 4-A'!$A$10:$E$139,5,FALSE)</f>
        <v>NR</v>
      </c>
      <c r="R39" s="82">
        <f t="shared" ref="R39:R69" si="56">IF(N39="Negative",IF(OR(M39="Toilet room",M39="Janitor's closet, housekeeping"),0,IF(0.1*U39&gt;50,220-0.1*U39,U39-50)),IF(Q39="Yes",0,CEILING(MAX(J39:L39),5)))</f>
        <v>0</v>
      </c>
      <c r="S39" s="119">
        <f t="shared" ref="S39:S78" si="57">R39</f>
        <v>0</v>
      </c>
      <c r="T39" s="119">
        <f t="shared" si="5"/>
        <v>0</v>
      </c>
      <c r="U39" s="119">
        <f t="shared" ref="U39:U78" si="58">IF(Q39="Yes",I39,0)</f>
        <v>0</v>
      </c>
      <c r="V39" s="71">
        <f t="shared" ref="V39:V69" si="59">S39-T39-U39</f>
        <v>0</v>
      </c>
      <c r="W39" s="27" t="str">
        <f t="shared" ref="W39:W69" si="60">IF(R39-T39-U39+V39=0,"Yes","No")</f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61">AK38</f>
        <v>55</v>
      </c>
      <c r="AL39" s="132">
        <f t="shared" si="61"/>
        <v>85</v>
      </c>
      <c r="AM39" s="132">
        <f t="shared" si="12"/>
        <v>0</v>
      </c>
      <c r="AN39" s="133">
        <f t="shared" si="21"/>
        <v>0</v>
      </c>
      <c r="AO39" s="133">
        <f t="shared" si="15"/>
        <v>0.5</v>
      </c>
      <c r="AP39" s="133">
        <f t="shared" si="22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3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3"/>
        <v>-</v>
      </c>
      <c r="J40" s="117">
        <v>0</v>
      </c>
      <c r="K40" s="93">
        <f t="shared" si="54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5"/>
        <v>0</v>
      </c>
      <c r="Q40" s="81" t="str">
        <f>VLOOKUP($M40,'UMC Table 4-A'!$A$10:$E$139,5,FALSE)</f>
        <v>NR</v>
      </c>
      <c r="R40" s="82">
        <f t="shared" si="56"/>
        <v>0</v>
      </c>
      <c r="S40" s="119">
        <f t="shared" si="57"/>
        <v>0</v>
      </c>
      <c r="T40" s="119">
        <f t="shared" si="5"/>
        <v>0</v>
      </c>
      <c r="U40" s="119">
        <f t="shared" si="58"/>
        <v>0</v>
      </c>
      <c r="V40" s="71">
        <f t="shared" si="59"/>
        <v>0</v>
      </c>
      <c r="W40" s="27" t="str">
        <f t="shared" si="60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62">AK39</f>
        <v>55</v>
      </c>
      <c r="AL40" s="132">
        <f t="shared" si="62"/>
        <v>85</v>
      </c>
      <c r="AM40" s="132">
        <f t="shared" si="12"/>
        <v>0</v>
      </c>
      <c r="AN40" s="133">
        <f t="shared" si="21"/>
        <v>0</v>
      </c>
      <c r="AO40" s="133">
        <f t="shared" si="15"/>
        <v>0.5</v>
      </c>
      <c r="AP40" s="133">
        <f t="shared" si="22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3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3"/>
        <v>-</v>
      </c>
      <c r="J41" s="117">
        <v>0</v>
      </c>
      <c r="K41" s="93">
        <f t="shared" si="54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5"/>
        <v>0</v>
      </c>
      <c r="Q41" s="81" t="str">
        <f>VLOOKUP($M41,'UMC Table 4-A'!$A$10:$E$139,5,FALSE)</f>
        <v>NR</v>
      </c>
      <c r="R41" s="82">
        <f t="shared" si="56"/>
        <v>0</v>
      </c>
      <c r="S41" s="119">
        <f t="shared" si="57"/>
        <v>0</v>
      </c>
      <c r="T41" s="119">
        <f t="shared" si="5"/>
        <v>0</v>
      </c>
      <c r="U41" s="119">
        <f t="shared" si="58"/>
        <v>0</v>
      </c>
      <c r="V41" s="71">
        <f t="shared" si="59"/>
        <v>0</v>
      </c>
      <c r="W41" s="27" t="str">
        <f t="shared" si="60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63">AK40</f>
        <v>55</v>
      </c>
      <c r="AL41" s="132">
        <f t="shared" si="63"/>
        <v>85</v>
      </c>
      <c r="AM41" s="132">
        <f t="shared" si="12"/>
        <v>0</v>
      </c>
      <c r="AN41" s="133">
        <f t="shared" si="21"/>
        <v>0</v>
      </c>
      <c r="AO41" s="133">
        <f t="shared" si="15"/>
        <v>0.5</v>
      </c>
      <c r="AP41" s="133">
        <f t="shared" si="22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3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3"/>
        <v>-</v>
      </c>
      <c r="J42" s="117">
        <v>0</v>
      </c>
      <c r="K42" s="93">
        <f t="shared" si="54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5"/>
        <v>0</v>
      </c>
      <c r="Q42" s="81" t="str">
        <f>VLOOKUP($M42,'UMC Table 4-A'!$A$10:$E$139,5,FALSE)</f>
        <v>NR</v>
      </c>
      <c r="R42" s="82">
        <f t="shared" si="56"/>
        <v>0</v>
      </c>
      <c r="S42" s="119">
        <f t="shared" si="57"/>
        <v>0</v>
      </c>
      <c r="T42" s="119">
        <f t="shared" si="5"/>
        <v>0</v>
      </c>
      <c r="U42" s="119">
        <f t="shared" si="58"/>
        <v>0</v>
      </c>
      <c r="V42" s="71">
        <f t="shared" si="59"/>
        <v>0</v>
      </c>
      <c r="W42" s="27" t="str">
        <f t="shared" si="60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64">AK41</f>
        <v>55</v>
      </c>
      <c r="AL42" s="132">
        <f t="shared" si="64"/>
        <v>85</v>
      </c>
      <c r="AM42" s="132">
        <f t="shared" si="12"/>
        <v>0</v>
      </c>
      <c r="AN42" s="133">
        <f t="shared" si="21"/>
        <v>0</v>
      </c>
      <c r="AO42" s="133">
        <f t="shared" si="15"/>
        <v>0.5</v>
      </c>
      <c r="AP42" s="133">
        <f t="shared" si="22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3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3"/>
        <v>-</v>
      </c>
      <c r="J43" s="117">
        <v>0</v>
      </c>
      <c r="K43" s="93">
        <f t="shared" si="54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5"/>
        <v>0</v>
      </c>
      <c r="Q43" s="81" t="str">
        <f>VLOOKUP($M43,'UMC Table 4-A'!$A$10:$E$139,5,FALSE)</f>
        <v>NR</v>
      </c>
      <c r="R43" s="82">
        <f t="shared" si="56"/>
        <v>0</v>
      </c>
      <c r="S43" s="119">
        <f t="shared" si="57"/>
        <v>0</v>
      </c>
      <c r="T43" s="119">
        <f t="shared" si="5"/>
        <v>0</v>
      </c>
      <c r="U43" s="119">
        <f t="shared" si="58"/>
        <v>0</v>
      </c>
      <c r="V43" s="71">
        <f t="shared" si="59"/>
        <v>0</v>
      </c>
      <c r="W43" s="27" t="str">
        <f t="shared" si="60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65">AK42</f>
        <v>55</v>
      </c>
      <c r="AL43" s="132">
        <f t="shared" si="65"/>
        <v>85</v>
      </c>
      <c r="AM43" s="132">
        <f t="shared" si="12"/>
        <v>0</v>
      </c>
      <c r="AN43" s="133">
        <f t="shared" si="21"/>
        <v>0</v>
      </c>
      <c r="AO43" s="133">
        <f t="shared" si="15"/>
        <v>0.5</v>
      </c>
      <c r="AP43" s="133">
        <f t="shared" si="22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3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3"/>
        <v>-</v>
      </c>
      <c r="J44" s="117">
        <v>0</v>
      </c>
      <c r="K44" s="93">
        <f t="shared" si="54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5"/>
        <v>0</v>
      </c>
      <c r="Q44" s="81" t="str">
        <f>VLOOKUP($M44,'UMC Table 4-A'!$A$10:$E$139,5,FALSE)</f>
        <v>NR</v>
      </c>
      <c r="R44" s="82">
        <f t="shared" si="56"/>
        <v>0</v>
      </c>
      <c r="S44" s="119">
        <f t="shared" si="57"/>
        <v>0</v>
      </c>
      <c r="T44" s="119">
        <f t="shared" si="5"/>
        <v>0</v>
      </c>
      <c r="U44" s="119">
        <f t="shared" si="58"/>
        <v>0</v>
      </c>
      <c r="V44" s="71">
        <f t="shared" si="59"/>
        <v>0</v>
      </c>
      <c r="W44" s="27" t="str">
        <f t="shared" si="60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65"/>
        <v>55</v>
      </c>
      <c r="AL44" s="138">
        <f t="shared" si="65"/>
        <v>85</v>
      </c>
      <c r="AM44" s="138">
        <f t="shared" si="12"/>
        <v>0</v>
      </c>
      <c r="AN44" s="139">
        <f t="shared" ref="AN44" si="66">(AM44*1000)/(500*(AI44-AJ44))</f>
        <v>0</v>
      </c>
      <c r="AO44" s="139">
        <f t="shared" ref="AO44" si="67">IF(AN44&lt;0.5,0.5,AN44)</f>
        <v>0.5</v>
      </c>
      <c r="AP44" s="139">
        <f t="shared" si="22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3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3"/>
        <v>-</v>
      </c>
      <c r="J45" s="117">
        <v>0</v>
      </c>
      <c r="K45" s="93">
        <f t="shared" si="54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5"/>
        <v>0</v>
      </c>
      <c r="Q45" s="81" t="str">
        <f>VLOOKUP($M45,'UMC Table 4-A'!$A$10:$E$139,5,FALSE)</f>
        <v>NR</v>
      </c>
      <c r="R45" s="82">
        <f t="shared" si="56"/>
        <v>0</v>
      </c>
      <c r="S45" s="119">
        <f t="shared" si="57"/>
        <v>0</v>
      </c>
      <c r="T45" s="119">
        <f t="shared" si="5"/>
        <v>0</v>
      </c>
      <c r="U45" s="119">
        <f t="shared" si="58"/>
        <v>0</v>
      </c>
      <c r="V45" s="71">
        <f t="shared" si="59"/>
        <v>0</v>
      </c>
      <c r="W45" s="27" t="str">
        <f t="shared" si="60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454.09999999999991</v>
      </c>
      <c r="AN45" s="161"/>
      <c r="AO45" s="163">
        <f>SUBTOTAL(109,AHU1_CAV_SCHEDULE[GPM])</f>
        <v>36.205000000000005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3"/>
        <v>-</v>
      </c>
      <c r="J46" s="117">
        <v>0</v>
      </c>
      <c r="K46" s="93">
        <f t="shared" si="54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5"/>
        <v>0</v>
      </c>
      <c r="Q46" s="81" t="str">
        <f>VLOOKUP($M46,'UMC Table 4-A'!$A$10:$E$139,5,FALSE)</f>
        <v>NR</v>
      </c>
      <c r="R46" s="82">
        <f t="shared" si="56"/>
        <v>0</v>
      </c>
      <c r="S46" s="119">
        <f t="shared" si="57"/>
        <v>0</v>
      </c>
      <c r="T46" s="119">
        <f t="shared" si="5"/>
        <v>0</v>
      </c>
      <c r="U46" s="119">
        <f t="shared" si="58"/>
        <v>0</v>
      </c>
      <c r="V46" s="71">
        <f t="shared" si="59"/>
        <v>0</v>
      </c>
      <c r="W46" s="27" t="str">
        <f t="shared" si="60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3"/>
        <v>-</v>
      </c>
      <c r="J47" s="117">
        <v>0</v>
      </c>
      <c r="K47" s="93">
        <f t="shared" si="54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5"/>
        <v>0</v>
      </c>
      <c r="Q47" s="81" t="str">
        <f>VLOOKUP($M47,'UMC Table 4-A'!$A$10:$E$139,5,FALSE)</f>
        <v>NR</v>
      </c>
      <c r="R47" s="82">
        <f t="shared" si="56"/>
        <v>0</v>
      </c>
      <c r="S47" s="119">
        <f t="shared" si="57"/>
        <v>0</v>
      </c>
      <c r="T47" s="119">
        <f t="shared" si="5"/>
        <v>0</v>
      </c>
      <c r="U47" s="119">
        <f t="shared" si="58"/>
        <v>0</v>
      </c>
      <c r="V47" s="71">
        <f t="shared" si="59"/>
        <v>0</v>
      </c>
      <c r="W47" s="27" t="str">
        <f t="shared" si="60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3"/>
        <v>-</v>
      </c>
      <c r="J48" s="117">
        <v>0</v>
      </c>
      <c r="K48" s="93">
        <f t="shared" si="54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5"/>
        <v>0</v>
      </c>
      <c r="Q48" s="81" t="str">
        <f>VLOOKUP($M48,'UMC Table 4-A'!$A$10:$E$139,5,FALSE)</f>
        <v>NR</v>
      </c>
      <c r="R48" s="82">
        <f t="shared" si="56"/>
        <v>0</v>
      </c>
      <c r="S48" s="119">
        <f t="shared" si="57"/>
        <v>0</v>
      </c>
      <c r="T48" s="119">
        <f t="shared" si="5"/>
        <v>0</v>
      </c>
      <c r="U48" s="119">
        <f t="shared" si="58"/>
        <v>0</v>
      </c>
      <c r="V48" s="71">
        <f t="shared" si="59"/>
        <v>0</v>
      </c>
      <c r="W48" s="27" t="str">
        <f t="shared" si="60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3"/>
        <v>-</v>
      </c>
      <c r="J49" s="117">
        <v>0</v>
      </c>
      <c r="K49" s="93">
        <f t="shared" si="54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5"/>
        <v>0</v>
      </c>
      <c r="Q49" s="81" t="str">
        <f>VLOOKUP($M49,'UMC Table 4-A'!$A$10:$E$139,5,FALSE)</f>
        <v>NR</v>
      </c>
      <c r="R49" s="82">
        <f t="shared" si="56"/>
        <v>0</v>
      </c>
      <c r="S49" s="119">
        <f t="shared" si="57"/>
        <v>0</v>
      </c>
      <c r="T49" s="119">
        <f t="shared" si="5"/>
        <v>0</v>
      </c>
      <c r="U49" s="119">
        <f t="shared" si="58"/>
        <v>0</v>
      </c>
      <c r="V49" s="71">
        <f t="shared" si="59"/>
        <v>0</v>
      </c>
      <c r="W49" s="27" t="str">
        <f t="shared" si="60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3"/>
        <v>-</v>
      </c>
      <c r="J50" s="117">
        <v>0</v>
      </c>
      <c r="K50" s="93">
        <f t="shared" si="54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5"/>
        <v>0</v>
      </c>
      <c r="Q50" s="81" t="str">
        <f>VLOOKUP($M50,'UMC Table 4-A'!$A$10:$E$139,5,FALSE)</f>
        <v>NR</v>
      </c>
      <c r="R50" s="82">
        <f t="shared" si="56"/>
        <v>0</v>
      </c>
      <c r="S50" s="119">
        <f t="shared" si="57"/>
        <v>0</v>
      </c>
      <c r="T50" s="119">
        <f t="shared" si="5"/>
        <v>0</v>
      </c>
      <c r="U50" s="119">
        <f t="shared" si="58"/>
        <v>0</v>
      </c>
      <c r="V50" s="71">
        <f t="shared" si="59"/>
        <v>0</v>
      </c>
      <c r="W50" s="27" t="str">
        <f t="shared" si="60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3"/>
        <v>-</v>
      </c>
      <c r="J51" s="117">
        <v>0</v>
      </c>
      <c r="K51" s="93">
        <f t="shared" si="54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5"/>
        <v>0</v>
      </c>
      <c r="Q51" s="81" t="str">
        <f>VLOOKUP($M51,'UMC Table 4-A'!$A$10:$E$139,5,FALSE)</f>
        <v>NR</v>
      </c>
      <c r="R51" s="82">
        <f t="shared" si="56"/>
        <v>0</v>
      </c>
      <c r="S51" s="119">
        <f t="shared" si="57"/>
        <v>0</v>
      </c>
      <c r="T51" s="119">
        <f t="shared" si="5"/>
        <v>0</v>
      </c>
      <c r="U51" s="119">
        <f t="shared" si="58"/>
        <v>0</v>
      </c>
      <c r="V51" s="71">
        <f t="shared" si="59"/>
        <v>0</v>
      </c>
      <c r="W51" s="27" t="str">
        <f t="shared" si="60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3"/>
        <v>-</v>
      </c>
      <c r="J52" s="117">
        <v>0</v>
      </c>
      <c r="K52" s="93">
        <f t="shared" si="54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5"/>
        <v>0</v>
      </c>
      <c r="Q52" s="81" t="str">
        <f>VLOOKUP($M52,'UMC Table 4-A'!$A$10:$E$139,5,FALSE)</f>
        <v>NR</v>
      </c>
      <c r="R52" s="82">
        <f t="shared" si="56"/>
        <v>0</v>
      </c>
      <c r="S52" s="119">
        <f t="shared" si="57"/>
        <v>0</v>
      </c>
      <c r="T52" s="119">
        <f t="shared" si="5"/>
        <v>0</v>
      </c>
      <c r="U52" s="119">
        <f t="shared" si="58"/>
        <v>0</v>
      </c>
      <c r="V52" s="71">
        <f t="shared" si="59"/>
        <v>0</v>
      </c>
      <c r="W52" s="27" t="str">
        <f t="shared" si="60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3"/>
        <v>-</v>
      </c>
      <c r="J53" s="117">
        <v>0</v>
      </c>
      <c r="K53" s="93">
        <f t="shared" si="54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5"/>
        <v>0</v>
      </c>
      <c r="Q53" s="81" t="str">
        <f>VLOOKUP($M53,'UMC Table 4-A'!$A$10:$E$139,5,FALSE)</f>
        <v>NR</v>
      </c>
      <c r="R53" s="82">
        <f t="shared" si="56"/>
        <v>0</v>
      </c>
      <c r="S53" s="119">
        <f t="shared" si="57"/>
        <v>0</v>
      </c>
      <c r="T53" s="119">
        <f t="shared" si="5"/>
        <v>0</v>
      </c>
      <c r="U53" s="119">
        <f t="shared" si="58"/>
        <v>0</v>
      </c>
      <c r="V53" s="71">
        <f t="shared" si="59"/>
        <v>0</v>
      </c>
      <c r="W53" s="27" t="str">
        <f t="shared" si="60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3"/>
        <v>-</v>
      </c>
      <c r="J54" s="117">
        <v>0</v>
      </c>
      <c r="K54" s="93">
        <f t="shared" si="54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5"/>
        <v>0</v>
      </c>
      <c r="Q54" s="81" t="str">
        <f>VLOOKUP($M54,'UMC Table 4-A'!$A$10:$E$139,5,FALSE)</f>
        <v>NR</v>
      </c>
      <c r="R54" s="82">
        <f t="shared" si="56"/>
        <v>0</v>
      </c>
      <c r="S54" s="119">
        <f t="shared" si="57"/>
        <v>0</v>
      </c>
      <c r="T54" s="119">
        <f t="shared" si="5"/>
        <v>0</v>
      </c>
      <c r="U54" s="119">
        <f t="shared" si="58"/>
        <v>0</v>
      </c>
      <c r="V54" s="71">
        <f t="shared" si="59"/>
        <v>0</v>
      </c>
      <c r="W54" s="27" t="str">
        <f t="shared" si="60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3"/>
        <v>-</v>
      </c>
      <c r="J55" s="117">
        <v>0</v>
      </c>
      <c r="K55" s="93">
        <f t="shared" si="54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5"/>
        <v>0</v>
      </c>
      <c r="Q55" s="81" t="str">
        <f>VLOOKUP($M55,'UMC Table 4-A'!$A$10:$E$139,5,FALSE)</f>
        <v>NR</v>
      </c>
      <c r="R55" s="82">
        <f t="shared" si="56"/>
        <v>0</v>
      </c>
      <c r="S55" s="119">
        <f t="shared" si="57"/>
        <v>0</v>
      </c>
      <c r="T55" s="119">
        <f t="shared" si="5"/>
        <v>0</v>
      </c>
      <c r="U55" s="119">
        <f t="shared" si="58"/>
        <v>0</v>
      </c>
      <c r="V55" s="71">
        <f t="shared" si="59"/>
        <v>0</v>
      </c>
      <c r="W55" s="27" t="str">
        <f t="shared" si="60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3"/>
        <v>-</v>
      </c>
      <c r="J56" s="117">
        <v>0</v>
      </c>
      <c r="K56" s="93">
        <f t="shared" si="54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5"/>
        <v>0</v>
      </c>
      <c r="Q56" s="81" t="str">
        <f>VLOOKUP($M56,'UMC Table 4-A'!$A$10:$E$139,5,FALSE)</f>
        <v>NR</v>
      </c>
      <c r="R56" s="82">
        <f t="shared" si="56"/>
        <v>0</v>
      </c>
      <c r="S56" s="119">
        <f t="shared" si="57"/>
        <v>0</v>
      </c>
      <c r="T56" s="119">
        <f t="shared" si="5"/>
        <v>0</v>
      </c>
      <c r="U56" s="119">
        <f t="shared" si="58"/>
        <v>0</v>
      </c>
      <c r="V56" s="71">
        <f t="shared" si="59"/>
        <v>0</v>
      </c>
      <c r="W56" s="27" t="str">
        <f t="shared" si="60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3"/>
        <v>-</v>
      </c>
      <c r="J57" s="117">
        <v>0</v>
      </c>
      <c r="K57" s="93">
        <f t="shared" si="54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5"/>
        <v>0</v>
      </c>
      <c r="Q57" s="81" t="str">
        <f>VLOOKUP($M57,'UMC Table 4-A'!$A$10:$E$139,5,FALSE)</f>
        <v>NR</v>
      </c>
      <c r="R57" s="82">
        <f t="shared" si="56"/>
        <v>0</v>
      </c>
      <c r="S57" s="119">
        <f t="shared" si="57"/>
        <v>0</v>
      </c>
      <c r="T57" s="119">
        <f t="shared" si="5"/>
        <v>0</v>
      </c>
      <c r="U57" s="119">
        <f t="shared" si="58"/>
        <v>0</v>
      </c>
      <c r="V57" s="71">
        <f t="shared" si="59"/>
        <v>0</v>
      </c>
      <c r="W57" s="27" t="str">
        <f t="shared" si="60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3"/>
        <v>-</v>
      </c>
      <c r="J58" s="117">
        <v>0</v>
      </c>
      <c r="K58" s="93">
        <f t="shared" si="54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5"/>
        <v>0</v>
      </c>
      <c r="Q58" s="81" t="str">
        <f>VLOOKUP($M58,'UMC Table 4-A'!$A$10:$E$139,5,FALSE)</f>
        <v>NR</v>
      </c>
      <c r="R58" s="82">
        <f t="shared" si="56"/>
        <v>0</v>
      </c>
      <c r="S58" s="119">
        <f t="shared" si="57"/>
        <v>0</v>
      </c>
      <c r="T58" s="119">
        <f t="shared" si="5"/>
        <v>0</v>
      </c>
      <c r="U58" s="119">
        <f t="shared" si="58"/>
        <v>0</v>
      </c>
      <c r="V58" s="71">
        <f t="shared" si="59"/>
        <v>0</v>
      </c>
      <c r="W58" s="27" t="str">
        <f t="shared" si="60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3"/>
        <v>-</v>
      </c>
      <c r="J59" s="117">
        <v>0</v>
      </c>
      <c r="K59" s="93">
        <f t="shared" si="54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5"/>
        <v>0</v>
      </c>
      <c r="Q59" s="81" t="str">
        <f>VLOOKUP($M59,'UMC Table 4-A'!$A$10:$E$139,5,FALSE)</f>
        <v>NR</v>
      </c>
      <c r="R59" s="82">
        <f t="shared" si="56"/>
        <v>0</v>
      </c>
      <c r="S59" s="119">
        <f t="shared" si="57"/>
        <v>0</v>
      </c>
      <c r="T59" s="119">
        <f t="shared" si="5"/>
        <v>0</v>
      </c>
      <c r="U59" s="119">
        <f t="shared" si="58"/>
        <v>0</v>
      </c>
      <c r="V59" s="71">
        <f t="shared" si="59"/>
        <v>0</v>
      </c>
      <c r="W59" s="27" t="str">
        <f t="shared" si="60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3"/>
        <v>-</v>
      </c>
      <c r="J60" s="117">
        <v>0</v>
      </c>
      <c r="K60" s="93">
        <f t="shared" si="54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5"/>
        <v>0</v>
      </c>
      <c r="Q60" s="81" t="str">
        <f>VLOOKUP($M60,'UMC Table 4-A'!$A$10:$E$139,5,FALSE)</f>
        <v>NR</v>
      </c>
      <c r="R60" s="82">
        <f t="shared" si="56"/>
        <v>0</v>
      </c>
      <c r="S60" s="119">
        <f t="shared" si="57"/>
        <v>0</v>
      </c>
      <c r="T60" s="119">
        <f t="shared" si="5"/>
        <v>0</v>
      </c>
      <c r="U60" s="119">
        <f t="shared" si="58"/>
        <v>0</v>
      </c>
      <c r="V60" s="71">
        <f t="shared" si="59"/>
        <v>0</v>
      </c>
      <c r="W60" s="27" t="str">
        <f t="shared" si="60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3"/>
        <v>-</v>
      </c>
      <c r="J61" s="117">
        <v>0</v>
      </c>
      <c r="K61" s="93">
        <f t="shared" si="54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5"/>
        <v>0</v>
      </c>
      <c r="Q61" s="81" t="str">
        <f>VLOOKUP($M61,'UMC Table 4-A'!$A$10:$E$139,5,FALSE)</f>
        <v>NR</v>
      </c>
      <c r="R61" s="82">
        <f t="shared" si="56"/>
        <v>0</v>
      </c>
      <c r="S61" s="119">
        <f t="shared" si="57"/>
        <v>0</v>
      </c>
      <c r="T61" s="119">
        <f t="shared" si="5"/>
        <v>0</v>
      </c>
      <c r="U61" s="119">
        <f t="shared" si="58"/>
        <v>0</v>
      </c>
      <c r="V61" s="71">
        <f t="shared" si="59"/>
        <v>0</v>
      </c>
      <c r="W61" s="27" t="str">
        <f t="shared" si="60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3"/>
        <v>-</v>
      </c>
      <c r="J62" s="117">
        <v>0</v>
      </c>
      <c r="K62" s="93">
        <f t="shared" si="54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5"/>
        <v>0</v>
      </c>
      <c r="Q62" s="81" t="str">
        <f>VLOOKUP($M62,'UMC Table 4-A'!$A$10:$E$139,5,FALSE)</f>
        <v>NR</v>
      </c>
      <c r="R62" s="82">
        <f t="shared" si="56"/>
        <v>0</v>
      </c>
      <c r="S62" s="119">
        <f t="shared" si="57"/>
        <v>0</v>
      </c>
      <c r="T62" s="119">
        <f t="shared" si="5"/>
        <v>0</v>
      </c>
      <c r="U62" s="119">
        <f t="shared" si="58"/>
        <v>0</v>
      </c>
      <c r="V62" s="71">
        <f t="shared" si="59"/>
        <v>0</v>
      </c>
      <c r="W62" s="27" t="str">
        <f t="shared" si="60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3"/>
        <v>-</v>
      </c>
      <c r="J63" s="117">
        <v>0</v>
      </c>
      <c r="K63" s="93">
        <f t="shared" si="54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5"/>
        <v>0</v>
      </c>
      <c r="Q63" s="81" t="str">
        <f>VLOOKUP($M63,'UMC Table 4-A'!$A$10:$E$139,5,FALSE)</f>
        <v>NR</v>
      </c>
      <c r="R63" s="82">
        <f t="shared" si="56"/>
        <v>0</v>
      </c>
      <c r="S63" s="119">
        <f t="shared" si="57"/>
        <v>0</v>
      </c>
      <c r="T63" s="119">
        <f t="shared" si="5"/>
        <v>0</v>
      </c>
      <c r="U63" s="119">
        <f t="shared" si="58"/>
        <v>0</v>
      </c>
      <c r="V63" s="71">
        <f t="shared" si="59"/>
        <v>0</v>
      </c>
      <c r="W63" s="27" t="str">
        <f t="shared" si="60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3"/>
        <v>-</v>
      </c>
      <c r="J64" s="117">
        <v>0</v>
      </c>
      <c r="K64" s="93">
        <f t="shared" si="54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5"/>
        <v>0</v>
      </c>
      <c r="Q64" s="81" t="str">
        <f>VLOOKUP($M64,'UMC Table 4-A'!$A$10:$E$139,5,FALSE)</f>
        <v>NR</v>
      </c>
      <c r="R64" s="82">
        <f t="shared" si="56"/>
        <v>0</v>
      </c>
      <c r="S64" s="119">
        <f t="shared" si="57"/>
        <v>0</v>
      </c>
      <c r="T64" s="119">
        <f t="shared" si="5"/>
        <v>0</v>
      </c>
      <c r="U64" s="119">
        <f t="shared" si="58"/>
        <v>0</v>
      </c>
      <c r="V64" s="71">
        <f t="shared" si="59"/>
        <v>0</v>
      </c>
      <c r="W64" s="27" t="str">
        <f t="shared" si="60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3"/>
        <v>-</v>
      </c>
      <c r="J65" s="117">
        <v>0</v>
      </c>
      <c r="K65" s="93">
        <f t="shared" si="54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5"/>
        <v>0</v>
      </c>
      <c r="Q65" s="81" t="str">
        <f>VLOOKUP($M65,'UMC Table 4-A'!$A$10:$E$139,5,FALSE)</f>
        <v>NR</v>
      </c>
      <c r="R65" s="82">
        <f t="shared" si="56"/>
        <v>0</v>
      </c>
      <c r="S65" s="119">
        <f t="shared" si="57"/>
        <v>0</v>
      </c>
      <c r="T65" s="119">
        <f t="shared" si="5"/>
        <v>0</v>
      </c>
      <c r="U65" s="119">
        <f t="shared" si="58"/>
        <v>0</v>
      </c>
      <c r="V65" s="71">
        <f t="shared" si="59"/>
        <v>0</v>
      </c>
      <c r="W65" s="27" t="str">
        <f t="shared" si="60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3"/>
        <v>-</v>
      </c>
      <c r="J66" s="117">
        <v>0</v>
      </c>
      <c r="K66" s="93">
        <f t="shared" si="54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5"/>
        <v>0</v>
      </c>
      <c r="Q66" s="81" t="str">
        <f>VLOOKUP($M66,'UMC Table 4-A'!$A$10:$E$139,5,FALSE)</f>
        <v>NR</v>
      </c>
      <c r="R66" s="82">
        <f t="shared" si="56"/>
        <v>0</v>
      </c>
      <c r="S66" s="119">
        <f t="shared" si="57"/>
        <v>0</v>
      </c>
      <c r="T66" s="119">
        <f t="shared" si="5"/>
        <v>0</v>
      </c>
      <c r="U66" s="119">
        <f t="shared" si="58"/>
        <v>0</v>
      </c>
      <c r="V66" s="71">
        <f t="shared" si="59"/>
        <v>0</v>
      </c>
      <c r="W66" s="27" t="str">
        <f t="shared" si="60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3"/>
        <v>-</v>
      </c>
      <c r="J67" s="117">
        <v>0</v>
      </c>
      <c r="K67" s="93">
        <f t="shared" si="54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5"/>
        <v>0</v>
      </c>
      <c r="Q67" s="81" t="str">
        <f>VLOOKUP($M67,'UMC Table 4-A'!$A$10:$E$139,5,FALSE)</f>
        <v>NR</v>
      </c>
      <c r="R67" s="82">
        <f t="shared" si="56"/>
        <v>0</v>
      </c>
      <c r="S67" s="119">
        <f t="shared" si="57"/>
        <v>0</v>
      </c>
      <c r="T67" s="119">
        <f t="shared" si="5"/>
        <v>0</v>
      </c>
      <c r="U67" s="119">
        <f t="shared" si="58"/>
        <v>0</v>
      </c>
      <c r="V67" s="71">
        <f t="shared" si="59"/>
        <v>0</v>
      </c>
      <c r="W67" s="27" t="str">
        <f t="shared" si="60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3"/>
        <v>-</v>
      </c>
      <c r="J68" s="117">
        <v>0</v>
      </c>
      <c r="K68" s="93">
        <f t="shared" si="54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5"/>
        <v>0</v>
      </c>
      <c r="Q68" s="81" t="str">
        <f>VLOOKUP($M68,'UMC Table 4-A'!$A$10:$E$139,5,FALSE)</f>
        <v>NR</v>
      </c>
      <c r="R68" s="82">
        <f t="shared" si="56"/>
        <v>0</v>
      </c>
      <c r="S68" s="119">
        <f t="shared" si="57"/>
        <v>0</v>
      </c>
      <c r="T68" s="119">
        <f t="shared" si="5"/>
        <v>0</v>
      </c>
      <c r="U68" s="119">
        <f t="shared" si="58"/>
        <v>0</v>
      </c>
      <c r="V68" s="71">
        <f t="shared" si="59"/>
        <v>0</v>
      </c>
      <c r="W68" s="27" t="str">
        <f t="shared" si="60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3"/>
        <v>-</v>
      </c>
      <c r="J69" s="117">
        <v>0</v>
      </c>
      <c r="K69" s="93">
        <f t="shared" si="54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5"/>
        <v>0</v>
      </c>
      <c r="Q69" s="81" t="str">
        <f>VLOOKUP($M69,'UMC Table 4-A'!$A$10:$E$139,5,FALSE)</f>
        <v>NR</v>
      </c>
      <c r="R69" s="82">
        <f t="shared" si="56"/>
        <v>0</v>
      </c>
      <c r="S69" s="119">
        <f t="shared" si="57"/>
        <v>0</v>
      </c>
      <c r="T69" s="119">
        <f t="shared" si="5"/>
        <v>0</v>
      </c>
      <c r="U69" s="119">
        <f t="shared" si="58"/>
        <v>0</v>
      </c>
      <c r="V69" s="71">
        <f t="shared" si="59"/>
        <v>0</v>
      </c>
      <c r="W69" s="27" t="str">
        <f t="shared" si="60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8">IF(H70="Yes",K70,"-")</f>
        <v>-</v>
      </c>
      <c r="J70" s="117">
        <v>0</v>
      </c>
      <c r="K70" s="93">
        <f t="shared" ref="K70:K78" si="69">IF(G70&lt;&gt;"NR",ROUNDUP((E70*F70*G70)/60,-1),0)</f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70">IF(O70&lt;&gt;"NR",ROUNDUP((E70*F70*O70)/60,-1),0)</f>
        <v>0</v>
      </c>
      <c r="Q70" s="81" t="str">
        <f>VLOOKUP($M70,'UMC Table 4-A'!$A$10:$E$139,5,FALSE)</f>
        <v>NR</v>
      </c>
      <c r="R70" s="82">
        <f t="shared" ref="R70:R78" si="71">IF(N70="Negative",IF(OR(M70="Toilet room",M70="Janitor's closet, housekeeping"),0,IF(0.1*U70&gt;50,220-0.1*U70,U70-50)),IF(Q70="Yes",0,CEILING(MAX(J70:L70),5)))</f>
        <v>0</v>
      </c>
      <c r="S70" s="119">
        <f t="shared" si="57"/>
        <v>0</v>
      </c>
      <c r="T70" s="119">
        <f t="shared" si="5"/>
        <v>0</v>
      </c>
      <c r="U70" s="119">
        <f t="shared" si="58"/>
        <v>0</v>
      </c>
      <c r="V70" s="71">
        <f t="shared" ref="V70:V78" si="72">S70-T70-U70</f>
        <v>0</v>
      </c>
      <c r="W70" s="27" t="str">
        <f t="shared" ref="W70:W78" si="73">IF(R70-T70-U70+V70=0,"Yes","No")</f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8"/>
        <v>-</v>
      </c>
      <c r="J71" s="117">
        <v>0</v>
      </c>
      <c r="K71" s="93">
        <f t="shared" si="69"/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70"/>
        <v>0</v>
      </c>
      <c r="Q71" s="81" t="str">
        <f>VLOOKUP($M71,'UMC Table 4-A'!$A$10:$E$139,5,FALSE)</f>
        <v>NR</v>
      </c>
      <c r="R71" s="82">
        <f t="shared" si="71"/>
        <v>0</v>
      </c>
      <c r="S71" s="119">
        <f t="shared" si="57"/>
        <v>0</v>
      </c>
      <c r="T71" s="119">
        <f t="shared" ref="T71:T78" si="74">IF(Q71="Yes",0,IF(N71="Positive",IF(0.1*R71&gt;50,R71-0.1*R71,R71-50),IF(N71="Negative",IF(0.1*R71&gt;50,R71+0.1*R71,R71+50),R71)))</f>
        <v>0</v>
      </c>
      <c r="U71" s="119">
        <f t="shared" si="58"/>
        <v>0</v>
      </c>
      <c r="V71" s="71">
        <f t="shared" si="72"/>
        <v>0</v>
      </c>
      <c r="W71" s="27" t="str">
        <f t="shared" si="73"/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8"/>
        <v>-</v>
      </c>
      <c r="J72" s="117">
        <v>0</v>
      </c>
      <c r="K72" s="93">
        <f t="shared" si="69"/>
        <v>0</v>
      </c>
      <c r="L72" s="84">
        <f t="shared" ref="L72:L78" si="75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70"/>
        <v>0</v>
      </c>
      <c r="Q72" s="81" t="str">
        <f>VLOOKUP($M72,'UMC Table 4-A'!$A$10:$E$139,5,FALSE)</f>
        <v>NR</v>
      </c>
      <c r="R72" s="82">
        <f t="shared" si="71"/>
        <v>0</v>
      </c>
      <c r="S72" s="119">
        <f t="shared" si="57"/>
        <v>0</v>
      </c>
      <c r="T72" s="119">
        <f t="shared" si="74"/>
        <v>0</v>
      </c>
      <c r="U72" s="119">
        <f t="shared" si="58"/>
        <v>0</v>
      </c>
      <c r="V72" s="71">
        <f t="shared" si="72"/>
        <v>0</v>
      </c>
      <c r="W72" s="27" t="str">
        <f t="shared" si="7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8"/>
        <v>-</v>
      </c>
      <c r="J73" s="117">
        <v>0</v>
      </c>
      <c r="K73" s="93">
        <f t="shared" si="69"/>
        <v>0</v>
      </c>
      <c r="L73" s="84">
        <f t="shared" si="75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70"/>
        <v>0</v>
      </c>
      <c r="Q73" s="81" t="str">
        <f>VLOOKUP($M73,'UMC Table 4-A'!$A$10:$E$139,5,FALSE)</f>
        <v>NR</v>
      </c>
      <c r="R73" s="82">
        <f t="shared" si="71"/>
        <v>0</v>
      </c>
      <c r="S73" s="119">
        <f t="shared" si="57"/>
        <v>0</v>
      </c>
      <c r="T73" s="119">
        <f t="shared" si="74"/>
        <v>0</v>
      </c>
      <c r="U73" s="119">
        <f t="shared" si="58"/>
        <v>0</v>
      </c>
      <c r="V73" s="71">
        <f t="shared" si="72"/>
        <v>0</v>
      </c>
      <c r="W73" s="27" t="str">
        <f t="shared" si="73"/>
        <v>Yes</v>
      </c>
      <c r="X73" s="28" t="str">
        <f t="shared" ref="X73:X78" si="76">IFERROR(R73/E73,"-")</f>
        <v>-</v>
      </c>
      <c r="Y73" s="56" t="str">
        <f t="shared" ref="Y73:Y78" si="77">IFERROR(((P73/S73)*100),"-")</f>
        <v>-</v>
      </c>
      <c r="Z73" s="28" t="str">
        <f t="shared" ref="Z73:Z78" si="78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8"/>
        <v>-</v>
      </c>
      <c r="J74" s="117">
        <v>0</v>
      </c>
      <c r="K74" s="93">
        <f t="shared" si="69"/>
        <v>0</v>
      </c>
      <c r="L74" s="84">
        <f t="shared" si="75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70"/>
        <v>0</v>
      </c>
      <c r="Q74" s="81" t="str">
        <f>VLOOKUP($M74,'UMC Table 4-A'!$A$10:$E$139,5,FALSE)</f>
        <v>NR</v>
      </c>
      <c r="R74" s="82">
        <f t="shared" si="71"/>
        <v>0</v>
      </c>
      <c r="S74" s="119">
        <f t="shared" si="57"/>
        <v>0</v>
      </c>
      <c r="T74" s="119">
        <f t="shared" si="74"/>
        <v>0</v>
      </c>
      <c r="U74" s="119">
        <f t="shared" si="58"/>
        <v>0</v>
      </c>
      <c r="V74" s="71">
        <f t="shared" si="72"/>
        <v>0</v>
      </c>
      <c r="W74" s="27" t="str">
        <f t="shared" si="73"/>
        <v>Yes</v>
      </c>
      <c r="X74" s="28" t="str">
        <f t="shared" si="76"/>
        <v>-</v>
      </c>
      <c r="Y74" s="56" t="str">
        <f t="shared" si="77"/>
        <v>-</v>
      </c>
      <c r="Z74" s="28" t="str">
        <f t="shared" si="78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8"/>
        <v>-</v>
      </c>
      <c r="J75" s="117">
        <v>0</v>
      </c>
      <c r="K75" s="93">
        <f t="shared" si="69"/>
        <v>0</v>
      </c>
      <c r="L75" s="84">
        <f t="shared" si="75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70"/>
        <v>0</v>
      </c>
      <c r="Q75" s="81" t="str">
        <f>VLOOKUP($M75,'UMC Table 4-A'!$A$10:$E$139,5,FALSE)</f>
        <v>NR</v>
      </c>
      <c r="R75" s="82">
        <f t="shared" si="71"/>
        <v>0</v>
      </c>
      <c r="S75" s="119">
        <f t="shared" si="57"/>
        <v>0</v>
      </c>
      <c r="T75" s="119">
        <f t="shared" si="74"/>
        <v>0</v>
      </c>
      <c r="U75" s="119">
        <f t="shared" si="58"/>
        <v>0</v>
      </c>
      <c r="V75" s="71">
        <f t="shared" si="72"/>
        <v>0</v>
      </c>
      <c r="W75" s="27" t="str">
        <f t="shared" si="73"/>
        <v>Yes</v>
      </c>
      <c r="X75" s="28" t="str">
        <f t="shared" si="76"/>
        <v>-</v>
      </c>
      <c r="Y75" s="56" t="str">
        <f t="shared" si="77"/>
        <v>-</v>
      </c>
      <c r="Z75" s="28" t="str">
        <f t="shared" si="78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8"/>
        <v>-</v>
      </c>
      <c r="J76" s="117">
        <v>0</v>
      </c>
      <c r="K76" s="93">
        <f t="shared" si="69"/>
        <v>0</v>
      </c>
      <c r="L76" s="84">
        <f t="shared" si="75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70"/>
        <v>0</v>
      </c>
      <c r="Q76" s="81" t="str">
        <f>VLOOKUP($M76,'UMC Table 4-A'!$A$10:$E$139,5,FALSE)</f>
        <v>NR</v>
      </c>
      <c r="R76" s="82">
        <f t="shared" si="71"/>
        <v>0</v>
      </c>
      <c r="S76" s="119">
        <f t="shared" si="57"/>
        <v>0</v>
      </c>
      <c r="T76" s="119">
        <f t="shared" si="74"/>
        <v>0</v>
      </c>
      <c r="U76" s="119">
        <f t="shared" si="58"/>
        <v>0</v>
      </c>
      <c r="V76" s="71">
        <f t="shared" si="72"/>
        <v>0</v>
      </c>
      <c r="W76" s="27" t="str">
        <f t="shared" si="73"/>
        <v>Yes</v>
      </c>
      <c r="X76" s="28" t="str">
        <f t="shared" si="76"/>
        <v>-</v>
      </c>
      <c r="Y76" s="56" t="str">
        <f t="shared" si="77"/>
        <v>-</v>
      </c>
      <c r="Z76" s="28" t="str">
        <f t="shared" si="78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8"/>
        <v>-</v>
      </c>
      <c r="J77" s="117">
        <v>0</v>
      </c>
      <c r="K77" s="93">
        <f t="shared" si="69"/>
        <v>0</v>
      </c>
      <c r="L77" s="84">
        <f t="shared" si="75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70"/>
        <v>0</v>
      </c>
      <c r="Q77" s="81" t="str">
        <f>VLOOKUP($M77,'UMC Table 4-A'!$A$10:$E$139,5,FALSE)</f>
        <v>NR</v>
      </c>
      <c r="R77" s="82">
        <f t="shared" si="71"/>
        <v>0</v>
      </c>
      <c r="S77" s="119">
        <f t="shared" si="57"/>
        <v>0</v>
      </c>
      <c r="T77" s="119">
        <f t="shared" si="74"/>
        <v>0</v>
      </c>
      <c r="U77" s="119">
        <f t="shared" si="58"/>
        <v>0</v>
      </c>
      <c r="V77" s="71">
        <f t="shared" si="72"/>
        <v>0</v>
      </c>
      <c r="W77" s="27" t="str">
        <f t="shared" si="73"/>
        <v>Yes</v>
      </c>
      <c r="X77" s="28" t="str">
        <f t="shared" si="76"/>
        <v>-</v>
      </c>
      <c r="Y77" s="56" t="str">
        <f t="shared" si="77"/>
        <v>-</v>
      </c>
      <c r="Z77" s="28" t="str">
        <f t="shared" si="78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8"/>
        <v>-</v>
      </c>
      <c r="J78" s="117">
        <v>0</v>
      </c>
      <c r="K78" s="93">
        <f t="shared" si="69"/>
        <v>0</v>
      </c>
      <c r="L78" s="84">
        <f t="shared" si="75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70"/>
        <v>0</v>
      </c>
      <c r="Q78" s="81" t="str">
        <f>VLOOKUP($M78,'UMC Table 4-A'!$A$10:$E$139,5,FALSE)</f>
        <v>NR</v>
      </c>
      <c r="R78" s="82">
        <f t="shared" si="71"/>
        <v>0</v>
      </c>
      <c r="S78" s="119">
        <f t="shared" si="57"/>
        <v>0</v>
      </c>
      <c r="T78" s="119">
        <f t="shared" si="74"/>
        <v>0</v>
      </c>
      <c r="U78" s="119">
        <f t="shared" si="58"/>
        <v>0</v>
      </c>
      <c r="V78" s="71">
        <f t="shared" si="72"/>
        <v>0</v>
      </c>
      <c r="W78" s="27" t="str">
        <f t="shared" si="73"/>
        <v>Yes</v>
      </c>
      <c r="X78" s="28" t="str">
        <f t="shared" si="76"/>
        <v>-</v>
      </c>
      <c r="Y78" s="56" t="str">
        <f t="shared" si="77"/>
        <v>-</v>
      </c>
      <c r="Z78" s="28" t="str">
        <f t="shared" si="78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14011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SUBTOTAL(109,AHU1_TABLE_4A[OSA CFM])</f>
        <v>4740</v>
      </c>
      <c r="Q79" s="123"/>
      <c r="R79" s="128">
        <f>SUBTOTAL(109,AHU1_TABLE_4A[CALCULATED SA CFM])</f>
        <v>14015</v>
      </c>
      <c r="S79" s="180">
        <f>SUBTOTAL(109,AHU1_TABLE_4A[DESIGN SA CFM])</f>
        <v>14015</v>
      </c>
      <c r="T79" s="180">
        <f>SUBTOTAL(109,AHU1_TABLE_4A[RA CFM])</f>
        <v>14015</v>
      </c>
      <c r="U79" s="181">
        <f>SUBTOTAL(109,AHU1_TABLE_4A[EA CFM])</f>
        <v>0</v>
      </c>
      <c r="V79" s="182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52.662721893491124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78">
    <cfRule type="cellIs" dxfId="3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SUBTOTAL(109,AHU1_TABLE_4A43[OSA CFM])</f>
        <v>36740</v>
      </c>
      <c r="Q79" s="123"/>
      <c r="R79" s="128">
        <f>SUBTOTAL(109,AHU1_TABLE_4A43[CALCULATED SA CFM])</f>
        <v>110000</v>
      </c>
      <c r="S79" s="180">
        <f>SUBTOTAL(109,AHU1_TABLE_4A43[DESIGN SA CFM])</f>
        <v>110000</v>
      </c>
      <c r="T79" s="180">
        <f>SUBTOTAL(109,AHU1_TABLE_4A43[RA CFM])</f>
        <v>110000</v>
      </c>
      <c r="U79" s="181">
        <f>SUBTOTAL(109,AHU1_TABLE_4A43[EA CFM])</f>
        <v>0</v>
      </c>
      <c r="V79" s="182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1161-948C-4A44-80A3-7264A6F8E2FF}">
  <sheetPr codeName="Sheet8">
    <tabColor indexed="43"/>
    <pageSetUpPr fitToPage="1"/>
  </sheetPr>
  <dimension ref="A1:BB104"/>
  <sheetViews>
    <sheetView showGridLines="0" zoomScale="85" zoomScaleNormal="85" zoomScaleSheetLayoutView="50" zoomScalePageLayoutView="80" workbookViewId="0">
      <selection activeCell="D41" sqref="D41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22.7109375" bestFit="1" customWidth="1"/>
    <col min="14" max="14" width="73.710937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84400</v>
      </c>
      <c r="AX2" s="66">
        <f>ROUNDUP(T79*INPUT_OUTPUTS!$C$18,-2)</f>
        <v>84400</v>
      </c>
      <c r="AY2" s="65">
        <f>ROUNDUP((P79*INPUT_OUTPUTS!C18)+P80,-2)</f>
        <v>31400</v>
      </c>
      <c r="BA2" s="76">
        <f>AHU1_CAV_SCHEDULE445[[#Totals],[GPM]]</f>
        <v>128.9</v>
      </c>
      <c r="BB2" s="75">
        <f>AHU1_CAV_SCHEDULE445[[#Totals],[MIN MBH]]</f>
        <v>2278.5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10000</v>
      </c>
      <c r="AG7" s="132">
        <f>IFERROR((VLOOKUP(AF7,'DO NOT TOUCH'!$P$9:$Q$14,2,TRUE)),"TBD")</f>
        <v>16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324</v>
      </c>
      <c r="AN7" s="133">
        <f>(AM7*1000)/(500*(AI7-AJ7))</f>
        <v>16.2</v>
      </c>
      <c r="AO7" s="133">
        <f>IF(AN7&lt;0.5,0.5,AN7)</f>
        <v>16.2</v>
      </c>
      <c r="AP7" s="133">
        <v>5</v>
      </c>
      <c r="AQ7" s="133">
        <f>IFERROR((_xlfn.XLOOKUP(AG7,'DO NOT TOUCH'!$Q$9:$Q$14,'DO NOT TOUCH'!$R$9:$R$14,)),"TBD")</f>
        <v>60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10000</v>
      </c>
      <c r="AG8" s="132">
        <f>IFERROR((VLOOKUP(AF8,'DO NOT TOUCH'!$P$9:$Q$14,2,TRUE)),"TBD")</f>
        <v>16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324</v>
      </c>
      <c r="AN8" s="133">
        <f>(AM8*1000)/(500*(AI8-AJ8))</f>
        <v>16.2</v>
      </c>
      <c r="AO8" s="133">
        <f t="shared" ref="AO8:AO44" si="15">IF(AN8&lt;0.5,0.5,AN8)</f>
        <v>16.2</v>
      </c>
      <c r="AP8" s="133">
        <f>AP7</f>
        <v>5</v>
      </c>
      <c r="AQ8" s="133">
        <f>IFERROR((_xlfn.XLOOKUP(AG8,'DO NOT TOUCH'!$Q$9:$Q$14,'DO NOT TOUCH'!$R$9:$R$14,)),"TBD")</f>
        <v>60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55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40</v>
      </c>
      <c r="L9" s="84">
        <f t="shared" si="13"/>
        <v>55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20</v>
      </c>
      <c r="Q9" s="81" t="str">
        <f>VLOOKUP($M9,'UMC Table 4-A'!$A$10:$E$139,5,FALSE)</f>
        <v>NR</v>
      </c>
      <c r="R9" s="82">
        <f t="shared" si="3"/>
        <v>55</v>
      </c>
      <c r="S9" s="119">
        <f t="shared" si="4"/>
        <v>55</v>
      </c>
      <c r="T9" s="119">
        <f t="shared" si="5"/>
        <v>55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36.363636363636367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55</v>
      </c>
      <c r="AG9" s="132">
        <f>IFERROR((VLOOKUP(AF9,'DO NOT TOUCH'!$P$9:$Q$14,2,TRUE)),"TBD")</f>
        <v>6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1.8</v>
      </c>
      <c r="AN9" s="133">
        <f t="shared" ref="AN9:AN44" si="20">(AM9*1000)/(500*(AI9-AJ9))</f>
        <v>0.09</v>
      </c>
      <c r="AO9" s="133">
        <f t="shared" si="15"/>
        <v>0.5</v>
      </c>
      <c r="AP9" s="133">
        <f t="shared" ref="AP9:AP44" si="21">AP8</f>
        <v>5</v>
      </c>
      <c r="AQ9" s="133">
        <f>IFERROR((_xlfn.XLOOKUP(AG9,'DO NOT TOUCH'!$Q$9:$Q$14,'DO NOT TOUCH'!$R$9:$R$14,)),"TBD")</f>
        <v>30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10000</v>
      </c>
      <c r="AG10" s="132">
        <f>IFERROR((VLOOKUP(AF10,'DO NOT TOUCH'!$P$9:$Q$14,2,TRUE)),"TBD")</f>
        <v>16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324</v>
      </c>
      <c r="AN10" s="133">
        <f t="shared" si="20"/>
        <v>16.2</v>
      </c>
      <c r="AO10" s="133">
        <f t="shared" si="15"/>
        <v>16.2</v>
      </c>
      <c r="AP10" s="133">
        <f t="shared" si="21"/>
        <v>5</v>
      </c>
      <c r="AQ10" s="133">
        <f>IFERROR((_xlfn.XLOOKUP(AG10,'DO NOT TOUCH'!$Q$9:$Q$14,'DO NOT TOUCH'!$R$9:$R$14,)),"TBD")</f>
        <v>60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77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60</v>
      </c>
      <c r="L11" s="84">
        <f t="shared" si="13"/>
        <v>77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30</v>
      </c>
      <c r="Q11" s="81" t="str">
        <f>VLOOKUP($M11,'UMC Table 4-A'!$A$10:$E$139,5,FALSE)</f>
        <v>NR</v>
      </c>
      <c r="R11" s="82">
        <f t="shared" si="3"/>
        <v>80</v>
      </c>
      <c r="S11" s="119">
        <f t="shared" si="4"/>
        <v>80</v>
      </c>
      <c r="T11" s="119">
        <f t="shared" si="5"/>
        <v>80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1.0389610389610389</v>
      </c>
      <c r="Y11" s="56">
        <f t="shared" si="17"/>
        <v>37.5</v>
      </c>
      <c r="Z11" s="28">
        <f t="shared" si="18"/>
        <v>6.2337662337662332</v>
      </c>
      <c r="AC11" s="131" t="s">
        <v>263</v>
      </c>
      <c r="AD11" s="131" t="s">
        <v>122</v>
      </c>
      <c r="AE11" s="131" t="s">
        <v>128</v>
      </c>
      <c r="AF11" s="132">
        <f t="shared" si="11"/>
        <v>80</v>
      </c>
      <c r="AG11" s="132">
        <f>IFERROR((VLOOKUP(AF11,'DO NOT TOUCH'!$P$9:$Q$14,2,TRUE)),"TBD")</f>
        <v>6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2.6</v>
      </c>
      <c r="AN11" s="133">
        <f t="shared" si="20"/>
        <v>0.13</v>
      </c>
      <c r="AO11" s="133">
        <f t="shared" si="15"/>
        <v>0.5</v>
      </c>
      <c r="AP11" s="133">
        <f t="shared" si="21"/>
        <v>5</v>
      </c>
      <c r="AQ11" s="133">
        <f>IFERROR((_xlfn.XLOOKUP(AG11,'DO NOT TOUCH'!$Q$9:$Q$14,'DO NOT TOUCH'!$R$9:$R$14,)),"TBD")</f>
        <v>30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10000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324</v>
      </c>
      <c r="AN12" s="133">
        <f t="shared" si="20"/>
        <v>16.2</v>
      </c>
      <c r="AO12" s="133">
        <f t="shared" si="15"/>
        <v>16.2</v>
      </c>
      <c r="AP12" s="133">
        <f t="shared" si="21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88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60</v>
      </c>
      <c r="L13" s="84">
        <f t="shared" si="13"/>
        <v>88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30</v>
      </c>
      <c r="Q13" s="81" t="str">
        <f>VLOOKUP($M13,'UMC Table 4-A'!$A$10:$E$139,5,FALSE)</f>
        <v>NR</v>
      </c>
      <c r="R13" s="82">
        <f t="shared" si="3"/>
        <v>90</v>
      </c>
      <c r="S13" s="119">
        <f t="shared" si="4"/>
        <v>90</v>
      </c>
      <c r="T13" s="119">
        <f t="shared" si="5"/>
        <v>90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1.0227272727272727</v>
      </c>
      <c r="Y13" s="56">
        <f t="shared" si="17"/>
        <v>33.333333333333329</v>
      </c>
      <c r="Z13" s="28">
        <f t="shared" si="18"/>
        <v>6.1363636363636358</v>
      </c>
      <c r="AC13" s="134" t="s">
        <v>265</v>
      </c>
      <c r="AD13" s="131" t="s">
        <v>122</v>
      </c>
      <c r="AE13" s="131" t="s">
        <v>128</v>
      </c>
      <c r="AF13" s="132">
        <f t="shared" si="11"/>
        <v>90</v>
      </c>
      <c r="AG13" s="132">
        <f>IFERROR((VLOOKUP(AF13,'DO NOT TOUCH'!$P$9:$Q$14,2,TRUE)),"TBD")</f>
        <v>6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2.9000000000000004</v>
      </c>
      <c r="AN13" s="133">
        <f t="shared" si="20"/>
        <v>0.14500000000000002</v>
      </c>
      <c r="AO13" s="133">
        <f t="shared" si="15"/>
        <v>0.5</v>
      </c>
      <c r="AP13" s="133">
        <f t="shared" si="21"/>
        <v>5</v>
      </c>
      <c r="AQ13" s="133">
        <f>IFERROR((_xlfn.XLOOKUP(AG13,'DO NOT TOUCH'!$Q$9:$Q$14,'DO NOT TOUCH'!$R$9:$R$14,)),"TBD")</f>
        <v>30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10000</v>
      </c>
      <c r="AG14" s="132">
        <f>IFERROR((VLOOKUP(AF14,'DO NOT TOUCH'!$P$9:$Q$14,2,TRUE)),"TBD")</f>
        <v>16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324</v>
      </c>
      <c r="AN14" s="133">
        <f t="shared" si="20"/>
        <v>16.2</v>
      </c>
      <c r="AO14" s="133">
        <f t="shared" si="15"/>
        <v>16.2</v>
      </c>
      <c r="AP14" s="133">
        <f t="shared" si="21"/>
        <v>5</v>
      </c>
      <c r="AQ14" s="133">
        <f>IFERROR((_xlfn.XLOOKUP(AG14,'DO NOT TOUCH'!$Q$9:$Q$14,'DO NOT TOUCH'!$R$9:$R$14,)),"TBD")</f>
        <v>60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99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70</v>
      </c>
      <c r="L15" s="84">
        <f t="shared" si="13"/>
        <v>99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40</v>
      </c>
      <c r="Q15" s="81" t="str">
        <f>VLOOKUP($M15,'UMC Table 4-A'!$A$10:$E$139,5,FALSE)</f>
        <v>NR</v>
      </c>
      <c r="R15" s="82">
        <f t="shared" si="3"/>
        <v>100</v>
      </c>
      <c r="S15" s="119">
        <f t="shared" si="4"/>
        <v>100</v>
      </c>
      <c r="T15" s="119">
        <f t="shared" si="5"/>
        <v>100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1.0101010101010102</v>
      </c>
      <c r="Y15" s="56">
        <f t="shared" si="17"/>
        <v>40</v>
      </c>
      <c r="Z15" s="28">
        <f t="shared" si="18"/>
        <v>6.0606060606060614</v>
      </c>
      <c r="AC15" s="134" t="s">
        <v>267</v>
      </c>
      <c r="AD15" s="131" t="s">
        <v>122</v>
      </c>
      <c r="AE15" s="131" t="s">
        <v>128</v>
      </c>
      <c r="AF15" s="132">
        <f t="shared" si="11"/>
        <v>100</v>
      </c>
      <c r="AG15" s="132">
        <f>IFERROR((VLOOKUP(AF15,'DO NOT TOUCH'!$P$9:$Q$14,2,TRUE)),"TBD")</f>
        <v>6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3.2</v>
      </c>
      <c r="AN15" s="133">
        <f t="shared" si="20"/>
        <v>0.16</v>
      </c>
      <c r="AO15" s="133">
        <f t="shared" si="15"/>
        <v>0.5</v>
      </c>
      <c r="AP15" s="133">
        <f t="shared" si="21"/>
        <v>5</v>
      </c>
      <c r="AQ15" s="133">
        <f>IFERROR((_xlfn.XLOOKUP(AG15,'DO NOT TOUCH'!$Q$9:$Q$14,'DO NOT TOUCH'!$R$9:$R$14,)),"TBD")</f>
        <v>30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10000</v>
      </c>
      <c r="AG16" s="132">
        <f>IFERROR((VLOOKUP(AF16,'DO NOT TOUCH'!$P$9:$Q$14,2,TRUE)),"TBD")</f>
        <v>16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324</v>
      </c>
      <c r="AN16" s="133">
        <f t="shared" si="20"/>
        <v>16.2</v>
      </c>
      <c r="AO16" s="133">
        <f t="shared" si="15"/>
        <v>16.2</v>
      </c>
      <c r="AP16" s="133">
        <f t="shared" si="21"/>
        <v>5</v>
      </c>
      <c r="AQ16" s="133">
        <f>IFERROR((_xlfn.XLOOKUP(AG16,'DO NOT TOUCH'!$Q$9:$Q$14,'DO NOT TOUCH'!$R$9:$R$14,)),"TBD")</f>
        <v>60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10000</v>
      </c>
      <c r="AG17" s="132">
        <f>IFERROR((VLOOKUP(AF17,'DO NOT TOUCH'!$P$9:$Q$14,2,TRUE)),"TBD")</f>
        <v>16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324</v>
      </c>
      <c r="AN17" s="133">
        <f t="shared" si="20"/>
        <v>16.2</v>
      </c>
      <c r="AO17" s="133">
        <f t="shared" si="15"/>
        <v>16.2</v>
      </c>
      <c r="AP17" s="133">
        <f t="shared" si="21"/>
        <v>5</v>
      </c>
      <c r="AQ17" s="133">
        <f>IFERROR((_xlfn.XLOOKUP(AG17,'DO NOT TOUCH'!$Q$9:$Q$14,'DO NOT TOUCH'!$R$9:$R$14,)),"TBD")</f>
        <v>60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SUBTOTAL(109,AHU1_CAV_SCHEDULE445[MIN MBH])</f>
        <v>2278.5</v>
      </c>
      <c r="AN45" s="161"/>
      <c r="AO45" s="163">
        <f>SUBTOTAL(109,AHU1_CAV_SCHEDULE445[GPM])</f>
        <v>128.9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SUBTOTAL(109,AHU1_TABLE_4A434[AREA (FT²)])</f>
        <v>70319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SUBTOTAL(109,AHU1_TABLE_4A434[OSA CFM])</f>
        <v>23500</v>
      </c>
      <c r="Q79" s="123"/>
      <c r="R79" s="128">
        <f>SUBTOTAL(109,AHU1_TABLE_4A434[CALCULATED SA CFM])</f>
        <v>70325</v>
      </c>
      <c r="S79" s="180">
        <f>SUBTOTAL(109,AHU1_TABLE_4A434[DESIGN SA CFM])</f>
        <v>70325</v>
      </c>
      <c r="T79" s="180">
        <f>SUBTOTAL(109,AHU1_TABLE_4A434[RA CFM])</f>
        <v>70325</v>
      </c>
      <c r="U79" s="181">
        <f>SUBTOTAL(109,AHU1_TABLE_4A434[EA CFM])</f>
        <v>0</v>
      </c>
      <c r="V79" s="182">
        <f>SUBTOTAL(109,AHU1_TABLE_4A434[Transfer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37.203791469194314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1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CFFA0ACE-E325-490B-9A23-67E7EF087C86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5"/>
  <sheetViews>
    <sheetView showGridLines="0"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12" sqref="A12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84"/>
      <c r="D2" s="184"/>
    </row>
    <row r="8" spans="1:58" s="166" customFormat="1" ht="12.95" customHeight="1">
      <c r="A8" s="233"/>
      <c r="B8" s="234" t="s">
        <v>50</v>
      </c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  <c r="O8" s="234"/>
      <c r="P8" s="234" t="s">
        <v>51</v>
      </c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 t="s">
        <v>52</v>
      </c>
      <c r="AC8" s="234"/>
      <c r="AD8" s="234"/>
      <c r="AE8" s="234"/>
      <c r="AF8" s="234"/>
      <c r="AG8" s="234"/>
      <c r="AH8" s="234"/>
      <c r="AI8" s="234"/>
      <c r="AJ8" s="234"/>
      <c r="AK8" s="234"/>
      <c r="AL8" s="234"/>
      <c r="AM8" s="234"/>
      <c r="AN8" s="234"/>
      <c r="AO8" s="234"/>
      <c r="AP8" s="234"/>
      <c r="AQ8" s="234" t="s">
        <v>53</v>
      </c>
      <c r="AR8" s="234"/>
      <c r="AS8" s="234"/>
      <c r="AT8" s="234" t="s">
        <v>107</v>
      </c>
      <c r="AU8" s="234"/>
      <c r="AV8" s="234"/>
      <c r="AW8" s="234"/>
      <c r="AX8" s="234"/>
      <c r="AY8" s="234"/>
      <c r="AZ8" s="234"/>
      <c r="BA8" s="234" t="s">
        <v>91</v>
      </c>
      <c r="BB8" s="234"/>
      <c r="BC8" s="234" t="s">
        <v>55</v>
      </c>
      <c r="BD8" s="234"/>
      <c r="BE8" s="234"/>
      <c r="BF8" s="234"/>
    </row>
    <row r="9" spans="1:58" s="74" customFormat="1" ht="32.25" customHeight="1">
      <c r="A9" s="233"/>
      <c r="B9" s="232" t="s">
        <v>19</v>
      </c>
      <c r="C9" s="232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3" t="s">
        <v>56</v>
      </c>
      <c r="P9" s="232" t="s">
        <v>57</v>
      </c>
      <c r="Q9" s="232"/>
      <c r="R9" s="232"/>
      <c r="S9" s="232"/>
      <c r="T9" s="232"/>
      <c r="U9" s="232"/>
      <c r="V9" s="235" t="s">
        <v>59</v>
      </c>
      <c r="W9" s="235"/>
      <c r="X9" s="236" t="s">
        <v>391</v>
      </c>
      <c r="Y9" s="233" t="s">
        <v>390</v>
      </c>
      <c r="Z9" s="233"/>
      <c r="AA9" s="233"/>
      <c r="AB9" s="232" t="s">
        <v>57</v>
      </c>
      <c r="AC9" s="232"/>
      <c r="AD9" s="232"/>
      <c r="AE9" s="232"/>
      <c r="AF9" s="232"/>
      <c r="AG9" s="232"/>
      <c r="AH9" s="232" t="s">
        <v>58</v>
      </c>
      <c r="AI9" s="232"/>
      <c r="AJ9" s="232"/>
      <c r="AK9" s="235" t="s">
        <v>60</v>
      </c>
      <c r="AL9" s="235"/>
      <c r="AM9" s="236" t="s">
        <v>391</v>
      </c>
      <c r="AN9" s="233" t="s">
        <v>255</v>
      </c>
      <c r="AO9" s="233"/>
      <c r="AP9" s="233"/>
      <c r="AQ9" s="236" t="s">
        <v>392</v>
      </c>
      <c r="AR9" s="232" t="s">
        <v>33</v>
      </c>
      <c r="AS9" s="232" t="s">
        <v>374</v>
      </c>
      <c r="AT9" s="94"/>
      <c r="AU9" s="232" t="s">
        <v>36</v>
      </c>
      <c r="AV9" s="232"/>
      <c r="AW9" s="94" t="s">
        <v>20</v>
      </c>
      <c r="AX9" s="233" t="s">
        <v>258</v>
      </c>
      <c r="AY9" s="233"/>
      <c r="AZ9" s="233"/>
      <c r="BA9" s="235" t="s">
        <v>94</v>
      </c>
      <c r="BB9" s="232" t="s">
        <v>93</v>
      </c>
      <c r="BC9" s="94"/>
      <c r="BD9" s="94"/>
      <c r="BE9" s="94"/>
      <c r="BF9" s="52"/>
    </row>
    <row r="10" spans="1:58" s="74" customFormat="1" ht="25.5">
      <c r="A10" s="233"/>
      <c r="B10" s="108" t="s">
        <v>21</v>
      </c>
      <c r="C10" s="108"/>
      <c r="D10" s="233" t="s">
        <v>61</v>
      </c>
      <c r="E10" s="233"/>
      <c r="F10" s="233"/>
      <c r="G10" s="233"/>
      <c r="H10" s="233" t="s">
        <v>389</v>
      </c>
      <c r="I10" s="233"/>
      <c r="J10" s="233"/>
      <c r="K10" s="233" t="s">
        <v>62</v>
      </c>
      <c r="L10" s="233"/>
      <c r="M10" s="233"/>
      <c r="N10" s="108" t="s">
        <v>63</v>
      </c>
      <c r="O10" s="233"/>
      <c r="P10" s="233" t="s">
        <v>22</v>
      </c>
      <c r="Q10" s="233"/>
      <c r="R10" s="233"/>
      <c r="S10" s="233" t="s">
        <v>23</v>
      </c>
      <c r="T10" s="233"/>
      <c r="U10" s="233"/>
      <c r="V10" s="108" t="s">
        <v>24</v>
      </c>
      <c r="W10" s="108" t="s">
        <v>25</v>
      </c>
      <c r="X10" s="236"/>
      <c r="Y10" s="233"/>
      <c r="Z10" s="233"/>
      <c r="AA10" s="233"/>
      <c r="AB10" s="233" t="s">
        <v>22</v>
      </c>
      <c r="AC10" s="233"/>
      <c r="AD10" s="233"/>
      <c r="AE10" s="233" t="s">
        <v>23</v>
      </c>
      <c r="AF10" s="233"/>
      <c r="AG10" s="233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36"/>
      <c r="AN10" s="55" t="s">
        <v>46</v>
      </c>
      <c r="AO10" s="55" t="s">
        <v>256</v>
      </c>
      <c r="AP10" s="108" t="s">
        <v>257</v>
      </c>
      <c r="AQ10" s="236"/>
      <c r="AR10" s="232"/>
      <c r="AS10" s="232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35"/>
      <c r="BB10" s="232"/>
      <c r="BC10" s="108" t="s">
        <v>22</v>
      </c>
      <c r="BD10" s="108" t="s">
        <v>23</v>
      </c>
      <c r="BE10" s="108" t="s">
        <v>386</v>
      </c>
      <c r="BF10" s="108" t="s">
        <v>24</v>
      </c>
    </row>
    <row r="11" spans="1:58" s="69" customFormat="1" ht="16.5">
      <c r="A11" s="167" t="s">
        <v>328</v>
      </c>
      <c r="B11" s="168" t="s">
        <v>26</v>
      </c>
      <c r="C11" s="168" t="s">
        <v>104</v>
      </c>
      <c r="D11" s="168" t="s">
        <v>329</v>
      </c>
      <c r="E11" s="168" t="s">
        <v>105</v>
      </c>
      <c r="F11" s="169" t="s">
        <v>27</v>
      </c>
      <c r="G11" s="169" t="s">
        <v>28</v>
      </c>
      <c r="H11" s="168" t="s">
        <v>330</v>
      </c>
      <c r="I11" s="170" t="s">
        <v>331</v>
      </c>
      <c r="J11" s="170" t="s">
        <v>332</v>
      </c>
      <c r="K11" s="168" t="s">
        <v>333</v>
      </c>
      <c r="L11" s="170" t="s">
        <v>334</v>
      </c>
      <c r="M11" s="170" t="s">
        <v>335</v>
      </c>
      <c r="N11" s="170" t="s">
        <v>336</v>
      </c>
      <c r="O11" s="168" t="s">
        <v>337</v>
      </c>
      <c r="P11" s="170" t="s">
        <v>338</v>
      </c>
      <c r="Q11" s="170" t="s">
        <v>339</v>
      </c>
      <c r="R11" s="170" t="s">
        <v>29</v>
      </c>
      <c r="S11" s="169" t="s">
        <v>340</v>
      </c>
      <c r="T11" s="169" t="s">
        <v>341</v>
      </c>
      <c r="U11" s="170" t="s">
        <v>342</v>
      </c>
      <c r="V11" s="168" t="s">
        <v>30</v>
      </c>
      <c r="W11" s="168" t="s">
        <v>343</v>
      </c>
      <c r="X11" s="171" t="s">
        <v>31</v>
      </c>
      <c r="Y11" s="171" t="s">
        <v>344</v>
      </c>
      <c r="Z11" s="171" t="s">
        <v>345</v>
      </c>
      <c r="AA11" s="171" t="s">
        <v>45</v>
      </c>
      <c r="AB11" s="170" t="s">
        <v>346</v>
      </c>
      <c r="AC11" s="170" t="s">
        <v>347</v>
      </c>
      <c r="AD11" s="170" t="s">
        <v>348</v>
      </c>
      <c r="AE11" s="170" t="s">
        <v>349</v>
      </c>
      <c r="AF11" s="170" t="s">
        <v>350</v>
      </c>
      <c r="AG11" s="170" t="s">
        <v>351</v>
      </c>
      <c r="AH11" s="168" t="s">
        <v>352</v>
      </c>
      <c r="AI11" s="168" t="s">
        <v>353</v>
      </c>
      <c r="AJ11" s="168" t="s">
        <v>354</v>
      </c>
      <c r="AK11" s="168" t="s">
        <v>355</v>
      </c>
      <c r="AL11" s="168" t="s">
        <v>356</v>
      </c>
      <c r="AM11" s="168" t="s">
        <v>357</v>
      </c>
      <c r="AN11" s="171" t="s">
        <v>358</v>
      </c>
      <c r="AO11" s="171" t="s">
        <v>359</v>
      </c>
      <c r="AP11" s="171" t="s">
        <v>360</v>
      </c>
      <c r="AQ11" s="168" t="s">
        <v>361</v>
      </c>
      <c r="AR11" s="172" t="s">
        <v>362</v>
      </c>
      <c r="AS11" s="172" t="s">
        <v>373</v>
      </c>
      <c r="AT11" s="168" t="s">
        <v>363</v>
      </c>
      <c r="AU11" s="170" t="s">
        <v>364</v>
      </c>
      <c r="AV11" s="170" t="s">
        <v>365</v>
      </c>
      <c r="AW11" s="168" t="s">
        <v>65</v>
      </c>
      <c r="AX11" s="171" t="s">
        <v>366</v>
      </c>
      <c r="AY11" s="171" t="s">
        <v>367</v>
      </c>
      <c r="AZ11" s="171" t="s">
        <v>368</v>
      </c>
      <c r="BA11" s="168" t="s">
        <v>92</v>
      </c>
      <c r="BB11" s="168" t="s">
        <v>369</v>
      </c>
      <c r="BC11" s="170" t="s">
        <v>370</v>
      </c>
      <c r="BD11" s="170" t="s">
        <v>371</v>
      </c>
      <c r="BE11" s="170" t="s">
        <v>385</v>
      </c>
      <c r="BF11" s="168" t="s">
        <v>372</v>
      </c>
    </row>
    <row r="12" spans="1:58" s="74" customFormat="1" ht="16.5">
      <c r="A12" s="54" t="s">
        <v>393</v>
      </c>
      <c r="B12" s="109">
        <f>'AHU 1'!$AW$2</f>
        <v>16900</v>
      </c>
      <c r="C12" s="110"/>
      <c r="D12" s="109">
        <f>'AHU 1'!$AX$2</f>
        <v>16900</v>
      </c>
      <c r="E12" s="52"/>
      <c r="F12" s="156">
        <v>78</v>
      </c>
      <c r="G12" s="156">
        <v>60</v>
      </c>
      <c r="H12" s="109">
        <f>'AHU 1'!$AY$2</f>
        <v>8900</v>
      </c>
      <c r="I12" s="52">
        <f>INPUT_OUTPUTS!$C$8</f>
        <v>91</v>
      </c>
      <c r="J12" s="52">
        <f>INPUT_OUTPUTS!$C$9</f>
        <v>71</v>
      </c>
      <c r="K12" s="109">
        <f>Table7[[#This Row],[(CFM)3]]</f>
        <v>8900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" si="0">D12+H12-B12</f>
        <v>8900</v>
      </c>
      <c r="P12" s="52">
        <f t="shared" ref="P12" si="1">F12*((D12-O12)/B12) + I12*(H12/B12)</f>
        <v>84.84615384615384</v>
      </c>
      <c r="Q12" s="52">
        <f t="shared" ref="Q12" si="2">TRUNC(G12*((D12-O12)/B12) + J12*(H12/B12),1)</f>
        <v>65.7</v>
      </c>
      <c r="R12" s="107">
        <f>VLOOKUP(FLOOR(Q12,1),'DO NOT TOUCH'!$A$7:$K$57,MATCH(ROUND((Q12-FLOOR(Q12,1)),1),'DO NOT TOUCH'!$A$6:$K$6,0),FALSE)</f>
        <v>30.6</v>
      </c>
      <c r="S12" s="169">
        <v>55</v>
      </c>
      <c r="T12" s="169">
        <v>52.3</v>
      </c>
      <c r="U12" s="52">
        <f>VLOOKUP(FLOOR(T12,1),'DO NOT TOUCH'!$A$7:$K$57,MATCH(ROUND((T12-FLOOR(T12,1)),1),'DO NOT TOUCH'!$A$6:$K$6,0),FALSE)</f>
        <v>21.62</v>
      </c>
      <c r="V12" s="109">
        <f t="shared" ref="V12" si="3">B12*1.085*(P12-S12)</f>
        <v>547273.99999999988</v>
      </c>
      <c r="W12" s="109">
        <f t="shared" ref="W12" si="4">4.5*B12*(R12-U12)</f>
        <v>682929</v>
      </c>
      <c r="X12" s="55">
        <f>IF(W12&lt;V12,"INVALID POINT",W12/12000)</f>
        <v>56.91075</v>
      </c>
      <c r="Y12" s="55">
        <f>INPUT_OUTPUTS!$C$14</f>
        <v>42</v>
      </c>
      <c r="Z12" s="55">
        <f>INPUT_OUTPUTS!$C$15</f>
        <v>52</v>
      </c>
      <c r="AA12" s="157">
        <f t="shared" ref="AA12" si="5">W12/(500*(Z12-Y12))</f>
        <v>136.58580000000001</v>
      </c>
      <c r="AB12" s="52">
        <f t="shared" ref="AB12" si="6">F12*((D12-O12)/B12) + L12*(H12/B12)</f>
        <v>79.263905325443787</v>
      </c>
      <c r="AC12" s="52">
        <f t="shared" ref="AC12" si="7">G12*((D12-O12)/B12) + M12*(H12/B12)</f>
        <v>64.686982248520721</v>
      </c>
      <c r="AD12" s="52">
        <f>VLOOKUP(FLOOR(AC12,1),'DO NOT TOUCH'!$A$7:$K$57,MATCH(ROUND((AC12-FLOOR(AC12,1)),1),'DO NOT TOUCH'!$A$6:$K$6,0),FALSE)</f>
        <v>29.84</v>
      </c>
      <c r="AE12" s="52">
        <f>Table7[[#This Row],[(˚F db)13]]</f>
        <v>55</v>
      </c>
      <c r="AF12" s="52">
        <f>Table7[[#This Row],[(˚F wb)14]]</f>
        <v>52.3</v>
      </c>
      <c r="AG12" s="52">
        <f>VLOOKUP(FLOOR(AF12,1),'DO NOT TOUCH'!$A$7:$K$57,MATCH(ROUND((AF12-FLOOR(AF12,1)),1),'DO NOT TOUCH'!$A$6:$K$6,0),FALSE)</f>
        <v>21.62</v>
      </c>
      <c r="AH12" s="53">
        <v>0</v>
      </c>
      <c r="AI12" s="53">
        <v>0</v>
      </c>
      <c r="AJ12" s="54">
        <f t="shared" ref="AJ12" si="8">AI12+AH12</f>
        <v>0</v>
      </c>
      <c r="AK12" s="109">
        <f t="shared" ref="AK12" si="9">B12*1.085*(AB12-AE12)</f>
        <v>444915.1</v>
      </c>
      <c r="AL12" s="109">
        <f t="shared" ref="AL12" si="10">4.5*B12*(AD12-AG12)</f>
        <v>625130.99999999988</v>
      </c>
      <c r="AM12" s="52">
        <f>IF(AL12&lt;AK12,"INVALID POINT",AL12/12000)</f>
        <v>52.094249999999988</v>
      </c>
      <c r="AN12" s="55">
        <f>INPUT_OUTPUTS!$C$14</f>
        <v>42</v>
      </c>
      <c r="AO12" s="55">
        <f>INPUT_OUTPUTS!$C$15</f>
        <v>52</v>
      </c>
      <c r="AP12" s="157">
        <f t="shared" ref="AP12" si="11">AL12/(500*(AO12-AN12))</f>
        <v>125.02619999999997</v>
      </c>
      <c r="AQ12" s="52">
        <f t="shared" ref="AQ12" si="12">MAX(AM12,X12)</f>
        <v>56.91075</v>
      </c>
      <c r="AR12" s="158">
        <f t="shared" ref="AR12" si="13">B12/AM12</f>
        <v>324.41200324412011</v>
      </c>
      <c r="AS12" s="158">
        <f>MAX(Table7[[#This Row],[GPM33]],Table7[[#This Row],[GPM]])</f>
        <v>136.58580000000001</v>
      </c>
      <c r="AT12" s="109">
        <f t="shared" ref="AT12" si="14">B12</f>
        <v>16900</v>
      </c>
      <c r="AU12" s="52">
        <f t="shared" ref="AU12" si="15">F12*((D12-O12)/B12) + N12*(H12/B12)</f>
        <v>57.408875739644969</v>
      </c>
      <c r="AV12" s="186">
        <v>65</v>
      </c>
      <c r="AW12" s="109">
        <f>AT12*1.085*(AV12-AU12)/1000</f>
        <v>139.19465000000002</v>
      </c>
      <c r="AX12" s="55">
        <f>INPUT_OUTPUTS!$C$16</f>
        <v>140</v>
      </c>
      <c r="AY12" s="55">
        <f>INPUT_OUTPUTS!$C$17</f>
        <v>100</v>
      </c>
      <c r="AZ12" s="157">
        <f t="shared" ref="AZ12" si="16">(AW12*1000)/(500*(AX12-AY12))</f>
        <v>6.9597325000000012</v>
      </c>
      <c r="BA12" s="111"/>
      <c r="BB12" s="55">
        <f t="shared" ref="BB12" si="17">BA12*(K12/1000)</f>
        <v>0</v>
      </c>
      <c r="BC12" s="186">
        <v>55</v>
      </c>
      <c r="BD12" s="52" t="s">
        <v>296</v>
      </c>
      <c r="BE12" s="52">
        <f>'AHU 1'!BA2</f>
        <v>36.205000000000005</v>
      </c>
      <c r="BF12" s="110">
        <f>'AHU 1'!BB2</f>
        <v>454.09999999999991</v>
      </c>
    </row>
    <row r="13" spans="1:58" ht="16.5">
      <c r="A13" s="185" t="s">
        <v>394</v>
      </c>
      <c r="B13" s="109">
        <f>'AHU 2'!$AW$2</f>
        <v>84400</v>
      </c>
      <c r="C13" s="110"/>
      <c r="D13" s="109">
        <f>'AHU 2'!$AX$2</f>
        <v>84400</v>
      </c>
      <c r="E13" s="52"/>
      <c r="F13" s="156">
        <v>78</v>
      </c>
      <c r="G13" s="156">
        <v>60</v>
      </c>
      <c r="H13" s="109">
        <f>'AHU 2'!$AY$2</f>
        <v>31400</v>
      </c>
      <c r="I13" s="52">
        <f>INPUT_OUTPUTS!$C$8</f>
        <v>91</v>
      </c>
      <c r="J13" s="52">
        <f>INPUT_OUTPUTS!$C$9</f>
        <v>71</v>
      </c>
      <c r="K13" s="109">
        <f>Table7[[#This Row],[(CFM)3]]</f>
        <v>31400</v>
      </c>
      <c r="L13" s="52">
        <f>INPUT_OUTPUTS!$C$10</f>
        <v>80.400000000000006</v>
      </c>
      <c r="M13" s="52">
        <f>INPUT_OUTPUTS!$C$11</f>
        <v>68.900000000000006</v>
      </c>
      <c r="N13" s="52">
        <f>INPUT_OUTPUTS!$F$8</f>
        <v>38.9</v>
      </c>
      <c r="O13" s="109">
        <f>D13+H13-B13</f>
        <v>31400</v>
      </c>
      <c r="P13" s="52">
        <f>F13*((D13-O13)/B13) + I13*(H13/B13)</f>
        <v>82.83649289099526</v>
      </c>
      <c r="Q13" s="52">
        <f>TRUNC(G13*((D13-O13)/B13) + J13*(H13/B13),1)</f>
        <v>64</v>
      </c>
      <c r="R13" s="107">
        <f>VLOOKUP(FLOOR(Q13,1),'DO NOT TOUCH'!$A$7:$K$57,MATCH(ROUND((Q13-FLOOR(Q13,1)),1),'DO NOT TOUCH'!$A$6:$K$6,0),FALSE)</f>
        <v>29.31</v>
      </c>
      <c r="S13" s="186">
        <v>55</v>
      </c>
      <c r="T13" s="186">
        <v>52</v>
      </c>
      <c r="U13" s="52">
        <f>VLOOKUP(FLOOR(T13,1),'DO NOT TOUCH'!$A$7:$K$57,MATCH(ROUND((T13-FLOOR(T13,1)),1),'DO NOT TOUCH'!$A$6:$K$6,0),FALSE)</f>
        <v>21.44</v>
      </c>
      <c r="V13" s="109">
        <f>B13*1.085*(P13-S13)</f>
        <v>2549099</v>
      </c>
      <c r="W13" s="109">
        <f>4.5*B13*(R13-U13)</f>
        <v>2989025.9999999991</v>
      </c>
      <c r="X13" s="55">
        <f>IF(W13&lt;V13,"INVALID POINT",W13/12000)</f>
        <v>249.08549999999991</v>
      </c>
      <c r="Y13" s="55">
        <f>INPUT_OUTPUTS!$C$14</f>
        <v>42</v>
      </c>
      <c r="Z13" s="55">
        <f>INPUT_OUTPUTS!$C$15</f>
        <v>52</v>
      </c>
      <c r="AA13" s="157">
        <f>W13/(500*(Z13-Y13))</f>
        <v>597.80519999999979</v>
      </c>
      <c r="AB13" s="52">
        <f>F13*((D13-O13)/B13) + L13*(H13/B13)</f>
        <v>78.892890995260672</v>
      </c>
      <c r="AC13" s="52">
        <f>G13*((D13-O13)/B13) + M13*(H13/B13)</f>
        <v>63.311137440758294</v>
      </c>
      <c r="AD13" s="52">
        <f>VLOOKUP(FLOOR(AC13,1),'DO NOT TOUCH'!$A$7:$K$57,MATCH(ROUND((AC13-FLOOR(AC13,1)),1),'DO NOT TOUCH'!$A$6:$K$6,0),FALSE)</f>
        <v>28.79</v>
      </c>
      <c r="AE13" s="52">
        <f>Table7[[#This Row],[(˚F db)13]]</f>
        <v>55</v>
      </c>
      <c r="AF13" s="52">
        <f>Table7[[#This Row],[(˚F wb)14]]</f>
        <v>52</v>
      </c>
      <c r="AG13" s="52">
        <f>VLOOKUP(FLOOR(AF13,1),'DO NOT TOUCH'!$A$7:$K$57,MATCH(ROUND((AF13-FLOOR(AF13,1)),1),'DO NOT TOUCH'!$A$6:$K$6,0),FALSE)</f>
        <v>21.44</v>
      </c>
      <c r="AH13" s="53"/>
      <c r="AI13" s="53"/>
      <c r="AJ13" s="54">
        <f>AI13+AH13</f>
        <v>0</v>
      </c>
      <c r="AK13" s="109">
        <f>B13*1.085*(AB13-AE13)</f>
        <v>2187967.6000000006</v>
      </c>
      <c r="AL13" s="109">
        <f>4.5*B13*(AD13-AG13)</f>
        <v>2791529.9999999991</v>
      </c>
      <c r="AM13" s="52">
        <f>IF(AL13&lt;AK13,"INVALID POINT",AL13/12000)</f>
        <v>232.62749999999991</v>
      </c>
      <c r="AN13" s="55">
        <f>INPUT_OUTPUTS!$C$14</f>
        <v>42</v>
      </c>
      <c r="AO13" s="55">
        <f>INPUT_OUTPUTS!$C$15</f>
        <v>52</v>
      </c>
      <c r="AP13" s="157">
        <f>AL13/(500*(AO13-AN13))</f>
        <v>558.30599999999981</v>
      </c>
      <c r="AQ13" s="52">
        <f>MAX(AM13,X13)</f>
        <v>249.08549999999991</v>
      </c>
      <c r="AR13" s="158">
        <f>B13/AM13</f>
        <v>362.81179138322011</v>
      </c>
      <c r="AS13" s="158">
        <f>MAX(Table7[[#This Row],[GPM33]],Table7[[#This Row],[GPM]])</f>
        <v>597.80519999999979</v>
      </c>
      <c r="AT13" s="109">
        <f>B13</f>
        <v>84400</v>
      </c>
      <c r="AU13" s="52">
        <f>F13*((D13-O13)/B13) + N13*(H13/B13)</f>
        <v>63.453317535545025</v>
      </c>
      <c r="AV13" s="186">
        <v>65</v>
      </c>
      <c r="AW13" s="109">
        <f>AT13*1.085*(AV13-AU13)/1000</f>
        <v>141.63589999999985</v>
      </c>
      <c r="AX13" s="55">
        <f>INPUT_OUTPUTS!$C$16</f>
        <v>140</v>
      </c>
      <c r="AY13" s="55">
        <f>INPUT_OUTPUTS!$C$17</f>
        <v>100</v>
      </c>
      <c r="AZ13" s="157">
        <f>(AW13*1000)/(500*(AX13-AY13))</f>
        <v>7.0817949999999925</v>
      </c>
      <c r="BA13" s="111"/>
      <c r="BB13" s="55">
        <f>BA13*(K13/1000)</f>
        <v>0</v>
      </c>
      <c r="BC13" s="186">
        <v>55</v>
      </c>
      <c r="BD13" s="52" t="s">
        <v>296</v>
      </c>
      <c r="BE13" s="52">
        <f>'AHU 2'!$BA$2</f>
        <v>128.9</v>
      </c>
      <c r="BF13" s="193">
        <f>'AHU 2'!$BB$2</f>
        <v>2278.5</v>
      </c>
    </row>
    <row r="14" spans="1:58" ht="18" thickBot="1">
      <c r="A14" s="173" t="s">
        <v>316</v>
      </c>
      <c r="B14" s="174">
        <f>SUBTOTAL(109,Table7[(CFM)])</f>
        <v>101300</v>
      </c>
      <c r="C14" s="173"/>
      <c r="D14" s="173"/>
      <c r="E14" s="173"/>
      <c r="F14" s="175"/>
      <c r="G14" s="175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6">
        <f>SUBTOTAL(109,Table7[GPM])</f>
        <v>734.39099999999985</v>
      </c>
      <c r="AB14" s="173"/>
      <c r="AC14" s="173"/>
      <c r="AD14" s="173"/>
      <c r="AE14" s="175"/>
      <c r="AF14" s="175"/>
      <c r="AG14" s="173"/>
      <c r="AH14" s="177"/>
      <c r="AI14" s="177"/>
      <c r="AJ14" s="173"/>
      <c r="AK14" s="173"/>
      <c r="AL14" s="173"/>
      <c r="AM14" s="173"/>
      <c r="AN14" s="173"/>
      <c r="AO14" s="173"/>
      <c r="AP14" s="194">
        <f>SUBTOTAL(109,Table7[GPM33])</f>
        <v>683.33219999999983</v>
      </c>
      <c r="AQ14" s="176">
        <f>SUBTOTAL(109,Table7[(Tons)34])</f>
        <v>305.99624999999992</v>
      </c>
      <c r="AR14" s="173"/>
      <c r="AS14" s="178">
        <f>SUBTOTAL(109,Table7[GPM MAX])</f>
        <v>734.39099999999985</v>
      </c>
      <c r="AT14" s="173"/>
      <c r="AU14" s="173"/>
      <c r="AV14" s="173"/>
      <c r="AW14" s="178">
        <f>SUBTOTAL(109,Table7[(MBH)])</f>
        <v>280.8305499999999</v>
      </c>
      <c r="AX14" s="173"/>
      <c r="AY14" s="173"/>
      <c r="AZ14" s="176">
        <f>SUBTOTAL(109,Table7[GPM41])</f>
        <v>14.041527499999994</v>
      </c>
      <c r="BA14" s="175"/>
      <c r="BB14" s="173"/>
      <c r="BC14" s="173"/>
      <c r="BD14" s="173"/>
      <c r="BE14" s="176">
        <f>SUBTOTAL(109,Table7[(˚F db)46])</f>
        <v>165.10500000000002</v>
      </c>
      <c r="BF14" s="176">
        <f>SUBTOTAL(109,Table7[(mbh)46])</f>
        <v>2732.6</v>
      </c>
    </row>
    <row r="15" spans="1:58" ht="17.25" thickTop="1">
      <c r="AL15" s="114"/>
    </row>
    <row r="16" spans="1:58" ht="16.5">
      <c r="T16" s="113"/>
      <c r="U16" s="113"/>
      <c r="AA16" s="153"/>
      <c r="AF16" s="113"/>
      <c r="AG16" s="113"/>
      <c r="AH16" s="112"/>
      <c r="AM16" s="153"/>
      <c r="AP16" s="153"/>
      <c r="AQ16" s="153"/>
      <c r="AZ16" s="153"/>
    </row>
    <row r="17" spans="1:58" ht="16.5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21" spans="1:58">
      <c r="O21" s="153"/>
    </row>
    <row r="24" spans="1:58">
      <c r="G24" s="183"/>
    </row>
    <row r="31" spans="1:58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</row>
    <row r="32" spans="1:58">
      <c r="A32" s="154"/>
      <c r="B32" s="154"/>
      <c r="E32" s="155"/>
    </row>
    <row r="33" spans="1:5">
      <c r="A33" s="154"/>
      <c r="B33" s="153"/>
      <c r="E33" s="155"/>
    </row>
    <row r="34" spans="1:5">
      <c r="A34" s="154"/>
      <c r="E34" s="155"/>
    </row>
    <row r="35" spans="1:5">
      <c r="E35" s="155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22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1</xdr:col>
                    <xdr:colOff>342900</xdr:colOff>
                    <xdr:row>1</xdr:row>
                    <xdr:rowOff>9525</xdr:rowOff>
                  </from>
                  <to>
                    <xdr:col>3</xdr:col>
                    <xdr:colOff>533400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5</xdr:col>
                    <xdr:colOff>38100</xdr:colOff>
                    <xdr:row>1</xdr:row>
                    <xdr:rowOff>9525</xdr:rowOff>
                  </from>
                  <to>
                    <xdr:col>6</xdr:col>
                    <xdr:colOff>238125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" name="Button 65">
              <controlPr defaultSize="0" print="0" autoFill="0" autoPict="0" macro="[0]!ahuadd" altText="HUMIDIFICATION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28575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7" name="Button 66">
              <controlPr defaultSize="0" print="0" autoFill="0" autoPict="0" macro="[0]!ahuremove">
                <anchor moveWithCells="1" sizeWithCells="1">
                  <from>
                    <xdr:col>6</xdr:col>
                    <xdr:colOff>638175</xdr:colOff>
                    <xdr:row>1</xdr:row>
                    <xdr:rowOff>28575</xdr:rowOff>
                  </from>
                  <to>
                    <xdr:col>15</xdr:col>
                    <xdr:colOff>647700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ColWidth="9.140625" defaultRowHeight="12.75"/>
  <cols>
    <col min="1" max="1" width="43.28515625" style="2" customWidth="1"/>
    <col min="2" max="2" width="47.140625" style="2" customWidth="1"/>
    <col min="3" max="5" width="9.85546875" style="2" customWidth="1"/>
    <col min="6" max="6" width="3" style="2" customWidth="1"/>
    <col min="7" max="12" width="9.140625" style="2"/>
    <col min="13" max="13" width="34" style="2" bestFit="1" customWidth="1"/>
    <col min="14" max="16384" width="9.140625" style="2"/>
  </cols>
  <sheetData>
    <row r="1" spans="1:13" ht="15.75">
      <c r="A1" s="243" t="s">
        <v>1</v>
      </c>
      <c r="B1" s="243"/>
      <c r="C1" s="22"/>
      <c r="D1" s="22"/>
      <c r="F1" s="23" t="s">
        <v>2</v>
      </c>
    </row>
    <row r="2" spans="1:13" ht="15.75">
      <c r="A2" s="243"/>
      <c r="B2" s="243"/>
      <c r="C2" s="22"/>
      <c r="D2" s="22"/>
      <c r="F2" s="24" t="s">
        <v>49</v>
      </c>
    </row>
    <row r="3" spans="1:13">
      <c r="A3" s="244" t="s">
        <v>11</v>
      </c>
      <c r="B3" s="244"/>
      <c r="C3" s="244"/>
      <c r="D3" s="244"/>
      <c r="E3" s="244"/>
      <c r="F3" s="245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39" t="s">
        <v>3</v>
      </c>
      <c r="B6" s="237" t="s">
        <v>4</v>
      </c>
      <c r="C6" s="246" t="s">
        <v>5</v>
      </c>
      <c r="D6" s="246"/>
      <c r="E6" s="247" t="s">
        <v>6</v>
      </c>
    </row>
    <row r="7" spans="1:13">
      <c r="A7" s="240"/>
      <c r="B7" s="237"/>
      <c r="C7" s="237" t="s">
        <v>7</v>
      </c>
      <c r="D7" s="237" t="s">
        <v>8</v>
      </c>
      <c r="E7" s="247"/>
    </row>
    <row r="8" spans="1:13">
      <c r="A8" s="241"/>
      <c r="B8" s="237"/>
      <c r="C8" s="237"/>
      <c r="D8" s="237"/>
      <c r="E8" s="247"/>
    </row>
    <row r="9" spans="1:13">
      <c r="A9" s="242"/>
      <c r="B9" s="238"/>
      <c r="C9" s="238"/>
      <c r="D9" s="238"/>
      <c r="E9" s="248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49" t="s">
        <v>301</v>
      </c>
      <c r="B5" s="251" t="s">
        <v>302</v>
      </c>
      <c r="C5" s="252"/>
      <c r="D5" s="252"/>
      <c r="E5" s="252"/>
      <c r="F5" s="252"/>
      <c r="G5" s="252"/>
      <c r="H5" s="252"/>
      <c r="I5" s="252"/>
      <c r="J5" s="252"/>
      <c r="K5" s="253"/>
      <c r="P5" s="74" t="s">
        <v>315</v>
      </c>
    </row>
    <row r="6" spans="1:18">
      <c r="A6" s="250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4.25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65</v>
      </c>
      <c r="P7" s="254" t="s">
        <v>73</v>
      </c>
      <c r="Q7" s="255"/>
      <c r="R7" s="256"/>
    </row>
    <row r="8" spans="1:18" ht="14.25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0.7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3.5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387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INPUT_OUTPUTS</vt:lpstr>
      <vt:lpstr>AHU 1</vt:lpstr>
      <vt:lpstr>Generic</vt:lpstr>
      <vt:lpstr>AHU 2</vt:lpstr>
      <vt:lpstr>Psych</vt:lpstr>
      <vt:lpstr>UMC Table 4-A</vt:lpstr>
      <vt:lpstr>DO NOT TOUCH</vt:lpstr>
      <vt:lpstr>'AHU 2'!_CAV1.</vt:lpstr>
      <vt:lpstr>Generic!_CAV1.</vt:lpstr>
      <vt:lpstr>_CAV1.</vt:lpstr>
      <vt:lpstr>'AHU 2'!AHU_1AC_AV</vt:lpstr>
      <vt:lpstr>Generic!AHU_1AC_AV</vt:lpstr>
      <vt:lpstr>AHU_1AC_AV</vt:lpstr>
      <vt:lpstr>Psych!AHUs</vt:lpstr>
      <vt:lpstr>AHUs</vt:lpstr>
      <vt:lpstr>'AHU 2'!CAV_1A_SCHEDULE</vt:lpstr>
      <vt:lpstr>Generic!CAV_1A_SCHEDULE</vt:lpstr>
      <vt:lpstr>CAV_1A_SCHEDULE</vt:lpstr>
      <vt:lpstr>'AHU 1'!Print_Area</vt:lpstr>
      <vt:lpstr>'AHU 2'!Print_Area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2023-01-22T21:16:36Z</cp:lastPrinted>
  <dcterms:created xsi:type="dcterms:W3CDTF">2001-05-17T15:02:58Z</dcterms:created>
  <dcterms:modified xsi:type="dcterms:W3CDTF">2023-02-02T01:06:24Z</dcterms:modified>
  <cp:category/>
</cp:coreProperties>
</file>