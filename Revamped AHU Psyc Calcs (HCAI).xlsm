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7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OneDrive - SC Engineers\Documents\Desktop\PsychroCalc\"/>
    </mc:Choice>
  </mc:AlternateContent>
  <xr:revisionPtr revIDLastSave="0" documentId="13_ncr:1_{3ECECE9A-CCDA-41F0-A894-E148589ADA1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PUT_OUTPUTS" sheetId="64" r:id="rId1"/>
    <sheet name="AHU 1" sheetId="48" r:id="rId2"/>
    <sheet name="Generic" sheetId="99" state="hidden" r:id="rId3"/>
    <sheet name="AHU_Psych" sheetId="45" r:id="rId4"/>
    <sheet name="FCU_Psych" sheetId="102" r:id="rId5"/>
    <sheet name="UMC Table 4-A" sheetId="37" state="hidden" r:id="rId6"/>
    <sheet name="DO NOT TOUCH" sheetId="63" state="hidden" r:id="rId7"/>
  </sheets>
  <definedNames>
    <definedName name="_CAV1" localSheetId="4">#REF!</definedName>
    <definedName name="_CAV1">#REF!</definedName>
    <definedName name="_CAV1." localSheetId="2">Generic!$AD$5:$AT$48</definedName>
    <definedName name="_CAV1.">'AHU 1'!$AE$5:$AU$48</definedName>
    <definedName name="_CAV2" localSheetId="4">#REF!</definedName>
    <definedName name="_CAV2">#REF!</definedName>
    <definedName name="_CAV3" localSheetId="4">#REF!</definedName>
    <definedName name="_CAV3">#REF!</definedName>
    <definedName name="_CAV4" localSheetId="4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2">Generic!$AC$7:$AO$43</definedName>
    <definedName name="AHU_1AC_AV">'AHU 1'!$AD$7:$AP$43</definedName>
    <definedName name="AHUs" localSheetId="3">Table7[TAG]</definedName>
    <definedName name="AHUs" localSheetId="4">Table77[TAG]</definedName>
    <definedName name="AHUs">Table7[TAG]</definedName>
    <definedName name="CAV_1A_SCHEDULE" localSheetId="2">Generic!$AD$5:$AT$48</definedName>
    <definedName name="CAV_1A_SCHEDULE">'AHU 1'!$AE$5:$AU$48</definedName>
    <definedName name="CAV_1B_SCHEDULE" localSheetId="4">#REF!</definedName>
    <definedName name="CAV_1B_SCHEDULE">#REF!</definedName>
    <definedName name="CAV_1C_SCHEDULE" localSheetId="4">#REF!</definedName>
    <definedName name="CAV_1C_SCHEDULE">#REF!</definedName>
    <definedName name="CAV_2_SCHEDULE" localSheetId="4">#REF!</definedName>
    <definedName name="CAV_2_SCHEDULE">#REF!</definedName>
    <definedName name="CAV_3_SCHEDULE">#REF!</definedName>
    <definedName name="FCU">Table77[TAG]</definedName>
    <definedName name="_xlnm.Print_Area" localSheetId="1">'AHU 1'!$D$4:$V$17</definedName>
    <definedName name="_xlnm.Print_Area" localSheetId="3">AHU_Psych!$A$8:$BF$13</definedName>
    <definedName name="_xlnm.Print_Area" localSheetId="4">FCU_Psych!$A$8:$AG$13</definedName>
    <definedName name="_xlnm.Print_Area" localSheetId="2">Generic!$D$4:$V$17</definedName>
    <definedName name="_xlnm.Print_Area" localSheetId="5">'UMC Table 4-A'!$A$1:$E$131</definedName>
    <definedName name="_xlnm.Print_Titles" localSheetId="1">'AHU 1'!$3:$6</definedName>
    <definedName name="_xlnm.Print_Titles" localSheetId="2">Generic!$3:$6</definedName>
    <definedName name="_xlnm.Print_Titles" localSheetId="5">'UMC Table 4-A'!$A:$B,'UMC Table 4-A'!$1:$1</definedName>
    <definedName name="table_4_a">'UMC Table 4-A'!$A$2:$E$131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02" l="1"/>
  <c r="AG12" i="102"/>
  <c r="Y12" i="102"/>
  <c r="L12" i="102"/>
  <c r="N12" i="102" s="1"/>
  <c r="T12" i="102" s="1"/>
  <c r="X12" i="102" l="1"/>
  <c r="X13" i="102" s="1"/>
  <c r="Z12" i="102"/>
  <c r="AB12" i="102" s="1"/>
  <c r="M12" i="102"/>
  <c r="S12" i="102" s="1"/>
  <c r="U12" i="102" s="1"/>
  <c r="AB13" i="102" l="1"/>
  <c r="AE12" i="102"/>
  <c r="AE13" i="102" s="1"/>
  <c r="X9" i="48" l="1"/>
  <c r="X10" i="48"/>
  <c r="X11" i="48"/>
  <c r="X12" i="48"/>
  <c r="X13" i="48"/>
  <c r="X14" i="48"/>
  <c r="X15" i="48"/>
  <c r="X16" i="48"/>
  <c r="X17" i="48"/>
  <c r="X8" i="48"/>
  <c r="X7" i="48"/>
  <c r="AS44" i="48"/>
  <c r="AK44" i="48"/>
  <c r="AJ44" i="48"/>
  <c r="AG44" i="48"/>
  <c r="AH44" i="48" s="1"/>
  <c r="AR44" i="48" s="1"/>
  <c r="AS43" i="48"/>
  <c r="AK43" i="48"/>
  <c r="AJ43" i="48"/>
  <c r="AG43" i="48"/>
  <c r="AH43" i="48" s="1"/>
  <c r="AR43" i="48" s="1"/>
  <c r="AS42" i="48"/>
  <c r="AK42" i="48"/>
  <c r="AJ42" i="48"/>
  <c r="AG42" i="48"/>
  <c r="AH42" i="48" s="1"/>
  <c r="AR42" i="48" s="1"/>
  <c r="AS41" i="48"/>
  <c r="AK41" i="48"/>
  <c r="AJ41" i="48"/>
  <c r="AG41" i="48"/>
  <c r="AH41" i="48" s="1"/>
  <c r="AR41" i="48" s="1"/>
  <c r="AS40" i="48"/>
  <c r="AK40" i="48"/>
  <c r="AJ40" i="48"/>
  <c r="AG40" i="48"/>
  <c r="AH40" i="48" s="1"/>
  <c r="AR40" i="48" s="1"/>
  <c r="AS39" i="48"/>
  <c r="AK39" i="48"/>
  <c r="AJ39" i="48"/>
  <c r="AG39" i="48"/>
  <c r="AH39" i="48" s="1"/>
  <c r="AR39" i="48" s="1"/>
  <c r="AS38" i="48"/>
  <c r="AK38" i="48"/>
  <c r="AJ38" i="48"/>
  <c r="AG38" i="48"/>
  <c r="AH38" i="48" s="1"/>
  <c r="AR38" i="48" s="1"/>
  <c r="AS37" i="48"/>
  <c r="AK37" i="48"/>
  <c r="AJ37" i="48"/>
  <c r="AG37" i="48"/>
  <c r="AH37" i="48" s="1"/>
  <c r="AR37" i="48" s="1"/>
  <c r="AS36" i="48"/>
  <c r="AK36" i="48"/>
  <c r="AJ36" i="48"/>
  <c r="AG36" i="48"/>
  <c r="AH36" i="48" s="1"/>
  <c r="AR36" i="48" s="1"/>
  <c r="AS35" i="48"/>
  <c r="AK35" i="48"/>
  <c r="AJ35" i="48"/>
  <c r="AG35" i="48"/>
  <c r="AH35" i="48" s="1"/>
  <c r="AR35" i="48" s="1"/>
  <c r="AS34" i="48"/>
  <c r="AK34" i="48"/>
  <c r="AJ34" i="48"/>
  <c r="AG34" i="48"/>
  <c r="AH34" i="48" s="1"/>
  <c r="AR34" i="48" s="1"/>
  <c r="AS33" i="48"/>
  <c r="AK33" i="48"/>
  <c r="AJ33" i="48"/>
  <c r="AG33" i="48"/>
  <c r="AH33" i="48" s="1"/>
  <c r="AR33" i="48" s="1"/>
  <c r="AS32" i="48"/>
  <c r="AK32" i="48"/>
  <c r="AJ32" i="48"/>
  <c r="AG32" i="48"/>
  <c r="AH32" i="48" s="1"/>
  <c r="AR32" i="48" s="1"/>
  <c r="AS31" i="48"/>
  <c r="AK31" i="48"/>
  <c r="AJ31" i="48"/>
  <c r="AG31" i="48"/>
  <c r="AH31" i="48" s="1"/>
  <c r="AR31" i="48" s="1"/>
  <c r="AS30" i="48"/>
  <c r="AK30" i="48"/>
  <c r="AJ30" i="48"/>
  <c r="AG30" i="48"/>
  <c r="AH30" i="48" s="1"/>
  <c r="AR30" i="48" s="1"/>
  <c r="AS29" i="48"/>
  <c r="AK29" i="48"/>
  <c r="AJ29" i="48"/>
  <c r="AG29" i="48"/>
  <c r="AH29" i="48" s="1"/>
  <c r="AR29" i="48" s="1"/>
  <c r="AS28" i="48"/>
  <c r="AK28" i="48"/>
  <c r="AJ28" i="48"/>
  <c r="AG28" i="48"/>
  <c r="AH28" i="48" s="1"/>
  <c r="AR28" i="48" s="1"/>
  <c r="AS27" i="48"/>
  <c r="AK27" i="48"/>
  <c r="AJ27" i="48"/>
  <c r="AG27" i="48"/>
  <c r="AH27" i="48" s="1"/>
  <c r="AR27" i="48" s="1"/>
  <c r="AS26" i="48"/>
  <c r="AK26" i="48"/>
  <c r="AJ26" i="48"/>
  <c r="AG26" i="48"/>
  <c r="AH26" i="48" s="1"/>
  <c r="AR26" i="48" s="1"/>
  <c r="AS25" i="48"/>
  <c r="AK25" i="48"/>
  <c r="AJ25" i="48"/>
  <c r="AG25" i="48"/>
  <c r="AH25" i="48" s="1"/>
  <c r="AR25" i="48" s="1"/>
  <c r="AS24" i="48"/>
  <c r="AK24" i="48"/>
  <c r="AJ24" i="48"/>
  <c r="AG24" i="48"/>
  <c r="AH24" i="48" s="1"/>
  <c r="AR24" i="48" s="1"/>
  <c r="AS23" i="48"/>
  <c r="AK23" i="48"/>
  <c r="AJ23" i="48"/>
  <c r="AG23" i="48"/>
  <c r="AH23" i="48" s="1"/>
  <c r="AR23" i="48" s="1"/>
  <c r="AS22" i="48"/>
  <c r="AK22" i="48"/>
  <c r="AJ22" i="48"/>
  <c r="AG22" i="48"/>
  <c r="AH22" i="48" s="1"/>
  <c r="AR22" i="48" s="1"/>
  <c r="AS21" i="48"/>
  <c r="AK21" i="48"/>
  <c r="AJ21" i="48"/>
  <c r="AG21" i="48"/>
  <c r="AH21" i="48" s="1"/>
  <c r="AR21" i="48" s="1"/>
  <c r="AS20" i="48"/>
  <c r="AK20" i="48"/>
  <c r="AJ20" i="48"/>
  <c r="AG20" i="48"/>
  <c r="AH20" i="48" s="1"/>
  <c r="AR20" i="48" s="1"/>
  <c r="AS19" i="48"/>
  <c r="AK19" i="48"/>
  <c r="AJ19" i="48"/>
  <c r="AG19" i="48"/>
  <c r="AH19" i="48" s="1"/>
  <c r="AR19" i="48" s="1"/>
  <c r="AS18" i="48"/>
  <c r="AK18" i="48"/>
  <c r="AJ18" i="48"/>
  <c r="AG18" i="48"/>
  <c r="AH18" i="48" s="1"/>
  <c r="AR18" i="48" s="1"/>
  <c r="E18" i="48"/>
  <c r="AS17" i="48"/>
  <c r="AK17" i="48"/>
  <c r="AJ17" i="48"/>
  <c r="AG17" i="48"/>
  <c r="AH17" i="48" s="1"/>
  <c r="AR17" i="48" s="1"/>
  <c r="Q17" i="48"/>
  <c r="U17" i="48" s="1"/>
  <c r="O17" i="48"/>
  <c r="P17" i="48" s="1"/>
  <c r="N17" i="48"/>
  <c r="L17" i="48"/>
  <c r="H17" i="48"/>
  <c r="I17" i="48" s="1"/>
  <c r="G17" i="48"/>
  <c r="K17" i="48" s="1"/>
  <c r="AS16" i="48"/>
  <c r="AK16" i="48"/>
  <c r="AJ16" i="48"/>
  <c r="AG16" i="48"/>
  <c r="AH16" i="48" s="1"/>
  <c r="AR16" i="48" s="1"/>
  <c r="Q16" i="48"/>
  <c r="U16" i="48" s="1"/>
  <c r="O16" i="48"/>
  <c r="P16" i="48" s="1"/>
  <c r="N16" i="48"/>
  <c r="L16" i="48"/>
  <c r="H16" i="48"/>
  <c r="I16" i="48" s="1"/>
  <c r="G16" i="48"/>
  <c r="K16" i="48" s="1"/>
  <c r="AS15" i="48"/>
  <c r="AK15" i="48"/>
  <c r="AJ15" i="48"/>
  <c r="AG15" i="48"/>
  <c r="AH15" i="48" s="1"/>
  <c r="AR15" i="48" s="1"/>
  <c r="Q15" i="48"/>
  <c r="U15" i="48" s="1"/>
  <c r="O15" i="48"/>
  <c r="P15" i="48" s="1"/>
  <c r="N15" i="48"/>
  <c r="L15" i="48"/>
  <c r="H15" i="48"/>
  <c r="I15" i="48" s="1"/>
  <c r="G15" i="48"/>
  <c r="K15" i="48" s="1"/>
  <c r="AS14" i="48"/>
  <c r="AK14" i="48"/>
  <c r="AJ14" i="48"/>
  <c r="AG14" i="48"/>
  <c r="AH14" i="48" s="1"/>
  <c r="AR14" i="48" s="1"/>
  <c r="Q14" i="48"/>
  <c r="U14" i="48" s="1"/>
  <c r="O14" i="48"/>
  <c r="P14" i="48" s="1"/>
  <c r="N14" i="48"/>
  <c r="L14" i="48"/>
  <c r="H14" i="48"/>
  <c r="I14" i="48" s="1"/>
  <c r="G14" i="48"/>
  <c r="K14" i="48" s="1"/>
  <c r="AS13" i="48"/>
  <c r="AK13" i="48"/>
  <c r="AJ13" i="48"/>
  <c r="AG13" i="48"/>
  <c r="AH13" i="48" s="1"/>
  <c r="AR13" i="48" s="1"/>
  <c r="Q13" i="48"/>
  <c r="U13" i="48" s="1"/>
  <c r="O13" i="48"/>
  <c r="P13" i="48" s="1"/>
  <c r="N13" i="48"/>
  <c r="L13" i="48"/>
  <c r="H13" i="48"/>
  <c r="I13" i="48" s="1"/>
  <c r="G13" i="48"/>
  <c r="K13" i="48" s="1"/>
  <c r="AS12" i="48"/>
  <c r="AK12" i="48"/>
  <c r="AJ12" i="48"/>
  <c r="AG12" i="48"/>
  <c r="AH12" i="48" s="1"/>
  <c r="AR12" i="48" s="1"/>
  <c r="Q12" i="48"/>
  <c r="U12" i="48" s="1"/>
  <c r="O12" i="48"/>
  <c r="P12" i="48" s="1"/>
  <c r="N12" i="48"/>
  <c r="L12" i="48"/>
  <c r="H12" i="48"/>
  <c r="I12" i="48" s="1"/>
  <c r="G12" i="48"/>
  <c r="K12" i="48" s="1"/>
  <c r="AS11" i="48"/>
  <c r="AK11" i="48"/>
  <c r="AJ11" i="48"/>
  <c r="AG11" i="48"/>
  <c r="AH11" i="48" s="1"/>
  <c r="AR11" i="48" s="1"/>
  <c r="Q11" i="48"/>
  <c r="U11" i="48" s="1"/>
  <c r="O11" i="48"/>
  <c r="P11" i="48" s="1"/>
  <c r="N11" i="48"/>
  <c r="L11" i="48"/>
  <c r="H11" i="48"/>
  <c r="I11" i="48" s="1"/>
  <c r="G11" i="48"/>
  <c r="K11" i="48" s="1"/>
  <c r="AS10" i="48"/>
  <c r="AK10" i="48"/>
  <c r="AJ10" i="48"/>
  <c r="AG10" i="48"/>
  <c r="AH10" i="48" s="1"/>
  <c r="AR10" i="48" s="1"/>
  <c r="Q10" i="48"/>
  <c r="U10" i="48" s="1"/>
  <c r="O10" i="48"/>
  <c r="P10" i="48" s="1"/>
  <c r="N10" i="48"/>
  <c r="L10" i="48"/>
  <c r="H10" i="48"/>
  <c r="I10" i="48" s="1"/>
  <c r="G10" i="48"/>
  <c r="K10" i="48" s="1"/>
  <c r="AS9" i="48"/>
  <c r="AK9" i="48"/>
  <c r="AJ9" i="48"/>
  <c r="AG9" i="48"/>
  <c r="AH9" i="48" s="1"/>
  <c r="AR9" i="48" s="1"/>
  <c r="Q9" i="48"/>
  <c r="U9" i="48" s="1"/>
  <c r="O9" i="48"/>
  <c r="P9" i="48" s="1"/>
  <c r="N9" i="48"/>
  <c r="L9" i="48"/>
  <c r="H9" i="48"/>
  <c r="I9" i="48" s="1"/>
  <c r="G9" i="48"/>
  <c r="K9" i="48" s="1"/>
  <c r="AT8" i="48"/>
  <c r="AT9" i="48" s="1"/>
  <c r="AT10" i="48" s="1"/>
  <c r="AT11" i="48" s="1"/>
  <c r="AT12" i="48" s="1"/>
  <c r="AT13" i="48" s="1"/>
  <c r="AT14" i="48" s="1"/>
  <c r="AT15" i="48" s="1"/>
  <c r="AT16" i="48" s="1"/>
  <c r="AT17" i="48" s="1"/>
  <c r="AT18" i="48" s="1"/>
  <c r="AT19" i="48" s="1"/>
  <c r="AT20" i="48" s="1"/>
  <c r="AT21" i="48" s="1"/>
  <c r="AT22" i="48" s="1"/>
  <c r="AT23" i="48" s="1"/>
  <c r="AT24" i="48" s="1"/>
  <c r="AT25" i="48" s="1"/>
  <c r="AT26" i="48" s="1"/>
  <c r="AT27" i="48" s="1"/>
  <c r="AT28" i="48" s="1"/>
  <c r="AT29" i="48" s="1"/>
  <c r="AT30" i="48" s="1"/>
  <c r="AT31" i="48" s="1"/>
  <c r="AT32" i="48" s="1"/>
  <c r="AT33" i="48" s="1"/>
  <c r="AT34" i="48" s="1"/>
  <c r="AT35" i="48" s="1"/>
  <c r="AT36" i="48" s="1"/>
  <c r="AT37" i="48" s="1"/>
  <c r="AT38" i="48" s="1"/>
  <c r="AT39" i="48" s="1"/>
  <c r="AT40" i="48" s="1"/>
  <c r="AT41" i="48" s="1"/>
  <c r="AT42" i="48" s="1"/>
  <c r="AT43" i="48" s="1"/>
  <c r="AT44" i="48" s="1"/>
  <c r="AS8" i="48"/>
  <c r="AQ8" i="48"/>
  <c r="AQ9" i="48" s="1"/>
  <c r="AQ10" i="48" s="1"/>
  <c r="AQ11" i="48" s="1"/>
  <c r="AQ12" i="48" s="1"/>
  <c r="AQ13" i="48" s="1"/>
  <c r="AQ14" i="48" s="1"/>
  <c r="AQ15" i="48" s="1"/>
  <c r="AQ16" i="48" s="1"/>
  <c r="AQ17" i="48" s="1"/>
  <c r="AQ18" i="48" s="1"/>
  <c r="AQ19" i="48" s="1"/>
  <c r="AQ20" i="48" s="1"/>
  <c r="AQ21" i="48" s="1"/>
  <c r="AQ22" i="48" s="1"/>
  <c r="AQ23" i="48" s="1"/>
  <c r="AQ24" i="48" s="1"/>
  <c r="AQ25" i="48" s="1"/>
  <c r="AQ26" i="48" s="1"/>
  <c r="AQ27" i="48" s="1"/>
  <c r="AQ28" i="48" s="1"/>
  <c r="AQ29" i="48" s="1"/>
  <c r="AQ30" i="48" s="1"/>
  <c r="AQ31" i="48" s="1"/>
  <c r="AQ32" i="48" s="1"/>
  <c r="AQ33" i="48" s="1"/>
  <c r="AQ34" i="48" s="1"/>
  <c r="AQ35" i="48" s="1"/>
  <c r="AQ36" i="48" s="1"/>
  <c r="AQ37" i="48" s="1"/>
  <c r="AQ38" i="48" s="1"/>
  <c r="AQ39" i="48" s="1"/>
  <c r="AQ40" i="48" s="1"/>
  <c r="AQ41" i="48" s="1"/>
  <c r="AQ42" i="48" s="1"/>
  <c r="AQ43" i="48" s="1"/>
  <c r="AQ44" i="48" s="1"/>
  <c r="AM8" i="48"/>
  <c r="AM9" i="48" s="1"/>
  <c r="AL8" i="48"/>
  <c r="AL9" i="48" s="1"/>
  <c r="AL10" i="48" s="1"/>
  <c r="AL11" i="48" s="1"/>
  <c r="AL12" i="48" s="1"/>
  <c r="AL13" i="48" s="1"/>
  <c r="AL14" i="48" s="1"/>
  <c r="AL15" i="48" s="1"/>
  <c r="AL16" i="48" s="1"/>
  <c r="AL17" i="48" s="1"/>
  <c r="AL18" i="48" s="1"/>
  <c r="AL19" i="48" s="1"/>
  <c r="AL20" i="48" s="1"/>
  <c r="AL21" i="48" s="1"/>
  <c r="AL22" i="48" s="1"/>
  <c r="AL23" i="48" s="1"/>
  <c r="AL24" i="48" s="1"/>
  <c r="AL25" i="48" s="1"/>
  <c r="AL26" i="48" s="1"/>
  <c r="AL27" i="48" s="1"/>
  <c r="AL28" i="48" s="1"/>
  <c r="AL29" i="48" s="1"/>
  <c r="AL30" i="48" s="1"/>
  <c r="AL31" i="48" s="1"/>
  <c r="AL32" i="48" s="1"/>
  <c r="AL33" i="48" s="1"/>
  <c r="AL34" i="48" s="1"/>
  <c r="AL35" i="48" s="1"/>
  <c r="AL36" i="48" s="1"/>
  <c r="AL37" i="48" s="1"/>
  <c r="AL38" i="48" s="1"/>
  <c r="AL39" i="48" s="1"/>
  <c r="AL40" i="48" s="1"/>
  <c r="AL41" i="48" s="1"/>
  <c r="AL42" i="48" s="1"/>
  <c r="AL43" i="48" s="1"/>
  <c r="AL44" i="48" s="1"/>
  <c r="AK8" i="48"/>
  <c r="AJ8" i="48"/>
  <c r="AI8" i="48"/>
  <c r="AI9" i="48" s="1"/>
  <c r="AI10" i="48" s="1"/>
  <c r="AI11" i="48" s="1"/>
  <c r="AI12" i="48" s="1"/>
  <c r="AI13" i="48" s="1"/>
  <c r="AI14" i="48" s="1"/>
  <c r="AI15" i="48" s="1"/>
  <c r="AI16" i="48" s="1"/>
  <c r="AI17" i="48" s="1"/>
  <c r="AI18" i="48" s="1"/>
  <c r="AI19" i="48" s="1"/>
  <c r="AI20" i="48" s="1"/>
  <c r="AI21" i="48" s="1"/>
  <c r="AI22" i="48" s="1"/>
  <c r="AI23" i="48" s="1"/>
  <c r="AI24" i="48" s="1"/>
  <c r="AI25" i="48" s="1"/>
  <c r="AI26" i="48" s="1"/>
  <c r="AI27" i="48" s="1"/>
  <c r="AI28" i="48" s="1"/>
  <c r="AI29" i="48" s="1"/>
  <c r="AI30" i="48" s="1"/>
  <c r="AI31" i="48" s="1"/>
  <c r="AI32" i="48" s="1"/>
  <c r="AI33" i="48" s="1"/>
  <c r="AI34" i="48" s="1"/>
  <c r="AI35" i="48" s="1"/>
  <c r="AI36" i="48" s="1"/>
  <c r="AI37" i="48" s="1"/>
  <c r="AI38" i="48" s="1"/>
  <c r="AI39" i="48" s="1"/>
  <c r="AI40" i="48" s="1"/>
  <c r="AI41" i="48" s="1"/>
  <c r="AI42" i="48" s="1"/>
  <c r="AI43" i="48" s="1"/>
  <c r="AI44" i="48" s="1"/>
  <c r="AG8" i="48"/>
  <c r="Q8" i="48"/>
  <c r="U8" i="48" s="1"/>
  <c r="O8" i="48"/>
  <c r="P8" i="48" s="1"/>
  <c r="N8" i="48"/>
  <c r="L8" i="48"/>
  <c r="H8" i="48"/>
  <c r="I8" i="48" s="1"/>
  <c r="G8" i="48"/>
  <c r="K8" i="48" s="1"/>
  <c r="AS7" i="48"/>
  <c r="AK7" i="48"/>
  <c r="AJ7" i="48"/>
  <c r="AG7" i="48"/>
  <c r="AN7" i="48" s="1"/>
  <c r="Q7" i="48"/>
  <c r="O7" i="48"/>
  <c r="P7" i="48" s="1"/>
  <c r="N7" i="48"/>
  <c r="L7" i="48"/>
  <c r="H7" i="48"/>
  <c r="I7" i="48" s="1"/>
  <c r="G7" i="48"/>
  <c r="K7" i="48" s="1"/>
  <c r="AE12" i="45"/>
  <c r="E18" i="99"/>
  <c r="AR44" i="99"/>
  <c r="AJ44" i="99"/>
  <c r="AI44" i="99"/>
  <c r="AF44" i="99"/>
  <c r="AG44" i="99" s="1"/>
  <c r="AQ44" i="99" s="1"/>
  <c r="AR43" i="99"/>
  <c r="AJ43" i="99"/>
  <c r="AI43" i="99"/>
  <c r="AF43" i="99"/>
  <c r="AG43" i="99" s="1"/>
  <c r="AQ43" i="99" s="1"/>
  <c r="AR42" i="99"/>
  <c r="AJ42" i="99"/>
  <c r="AI42" i="99"/>
  <c r="AF42" i="99"/>
  <c r="AG42" i="99" s="1"/>
  <c r="AQ42" i="99" s="1"/>
  <c r="AR41" i="99"/>
  <c r="AJ41" i="99"/>
  <c r="AI41" i="99"/>
  <c r="AF41" i="99"/>
  <c r="AG41" i="99" s="1"/>
  <c r="AQ41" i="99" s="1"/>
  <c r="AR40" i="99"/>
  <c r="AJ40" i="99"/>
  <c r="AI40" i="99"/>
  <c r="AF40" i="99"/>
  <c r="AG40" i="99" s="1"/>
  <c r="AQ40" i="99" s="1"/>
  <c r="AR39" i="99"/>
  <c r="AJ39" i="99"/>
  <c r="AI39" i="99"/>
  <c r="AF39" i="99"/>
  <c r="AG39" i="99" s="1"/>
  <c r="AQ39" i="99" s="1"/>
  <c r="AR38" i="99"/>
  <c r="AJ38" i="99"/>
  <c r="AI38" i="99"/>
  <c r="AF38" i="99"/>
  <c r="AG38" i="99" s="1"/>
  <c r="AQ38" i="99" s="1"/>
  <c r="AR37" i="99"/>
  <c r="AJ37" i="99"/>
  <c r="AI37" i="99"/>
  <c r="AF37" i="99"/>
  <c r="AG37" i="99" s="1"/>
  <c r="AQ37" i="99" s="1"/>
  <c r="AR36" i="99"/>
  <c r="AJ36" i="99"/>
  <c r="AI36" i="99"/>
  <c r="AF36" i="99"/>
  <c r="AG36" i="99" s="1"/>
  <c r="AQ36" i="99" s="1"/>
  <c r="AR35" i="99"/>
  <c r="AJ35" i="99"/>
  <c r="AI35" i="99"/>
  <c r="AF35" i="99"/>
  <c r="AG35" i="99" s="1"/>
  <c r="AQ35" i="99" s="1"/>
  <c r="AR34" i="99"/>
  <c r="AJ34" i="99"/>
  <c r="AI34" i="99"/>
  <c r="AF34" i="99"/>
  <c r="AG34" i="99" s="1"/>
  <c r="AQ34" i="99" s="1"/>
  <c r="AR33" i="99"/>
  <c r="AJ33" i="99"/>
  <c r="AI33" i="99"/>
  <c r="AF33" i="99"/>
  <c r="AG33" i="99" s="1"/>
  <c r="AQ33" i="99" s="1"/>
  <c r="AR32" i="99"/>
  <c r="AJ32" i="99"/>
  <c r="AI32" i="99"/>
  <c r="AF32" i="99"/>
  <c r="AG32" i="99" s="1"/>
  <c r="AQ32" i="99" s="1"/>
  <c r="AR31" i="99"/>
  <c r="AJ31" i="99"/>
  <c r="AI31" i="99"/>
  <c r="AF31" i="99"/>
  <c r="AG31" i="99" s="1"/>
  <c r="AQ31" i="99" s="1"/>
  <c r="AR30" i="99"/>
  <c r="AJ30" i="99"/>
  <c r="AI30" i="99"/>
  <c r="AF30" i="99"/>
  <c r="AG30" i="99" s="1"/>
  <c r="AQ30" i="99" s="1"/>
  <c r="AR29" i="99"/>
  <c r="AJ29" i="99"/>
  <c r="AI29" i="99"/>
  <c r="AF29" i="99"/>
  <c r="AG29" i="99" s="1"/>
  <c r="AQ29" i="99" s="1"/>
  <c r="AR28" i="99"/>
  <c r="AJ28" i="99"/>
  <c r="AI28" i="99"/>
  <c r="AF28" i="99"/>
  <c r="AG28" i="99" s="1"/>
  <c r="AQ28" i="99" s="1"/>
  <c r="AR27" i="99"/>
  <c r="AJ27" i="99"/>
  <c r="AI27" i="99"/>
  <c r="AF27" i="99"/>
  <c r="AG27" i="99" s="1"/>
  <c r="AQ27" i="99" s="1"/>
  <c r="AR26" i="99"/>
  <c r="AJ26" i="99"/>
  <c r="AI26" i="99"/>
  <c r="AF26" i="99"/>
  <c r="AG26" i="99" s="1"/>
  <c r="AQ26" i="99" s="1"/>
  <c r="AR25" i="99"/>
  <c r="AJ25" i="99"/>
  <c r="AI25" i="99"/>
  <c r="AF25" i="99"/>
  <c r="AG25" i="99" s="1"/>
  <c r="AQ25" i="99" s="1"/>
  <c r="AR24" i="99"/>
  <c r="AJ24" i="99"/>
  <c r="AI24" i="99"/>
  <c r="AF24" i="99"/>
  <c r="AG24" i="99" s="1"/>
  <c r="AQ24" i="99" s="1"/>
  <c r="AR23" i="99"/>
  <c r="AJ23" i="99"/>
  <c r="AI23" i="99"/>
  <c r="AF23" i="99"/>
  <c r="AG23" i="99" s="1"/>
  <c r="AQ23" i="99" s="1"/>
  <c r="AR22" i="99"/>
  <c r="AJ22" i="99"/>
  <c r="AI22" i="99"/>
  <c r="AF22" i="99"/>
  <c r="AG22" i="99" s="1"/>
  <c r="AQ22" i="99" s="1"/>
  <c r="AR21" i="99"/>
  <c r="AJ21" i="99"/>
  <c r="AI21" i="99"/>
  <c r="AF21" i="99"/>
  <c r="AG21" i="99" s="1"/>
  <c r="AQ21" i="99" s="1"/>
  <c r="AR20" i="99"/>
  <c r="AJ20" i="99"/>
  <c r="AI20" i="99"/>
  <c r="AF20" i="99"/>
  <c r="AG20" i="99" s="1"/>
  <c r="AQ20" i="99" s="1"/>
  <c r="AR19" i="99"/>
  <c r="AJ19" i="99"/>
  <c r="AI19" i="99"/>
  <c r="AF19" i="99"/>
  <c r="AG19" i="99" s="1"/>
  <c r="AQ19" i="99" s="1"/>
  <c r="AR18" i="99"/>
  <c r="AJ18" i="99"/>
  <c r="AI18" i="99"/>
  <c r="AF18" i="99"/>
  <c r="AG18" i="99" s="1"/>
  <c r="AQ18" i="99" s="1"/>
  <c r="AR17" i="99"/>
  <c r="AJ17" i="99"/>
  <c r="AI17" i="99"/>
  <c r="AF17" i="99"/>
  <c r="AG17" i="99" s="1"/>
  <c r="AQ17" i="99" s="1"/>
  <c r="Q17" i="99"/>
  <c r="O17" i="99"/>
  <c r="P17" i="99" s="1"/>
  <c r="N17" i="99"/>
  <c r="L17" i="99"/>
  <c r="H17" i="99"/>
  <c r="I17" i="99" s="1"/>
  <c r="G17" i="99"/>
  <c r="K17" i="99" s="1"/>
  <c r="AR16" i="99"/>
  <c r="AJ16" i="99"/>
  <c r="AI16" i="99"/>
  <c r="AF16" i="99"/>
  <c r="AG16" i="99" s="1"/>
  <c r="AQ16" i="99" s="1"/>
  <c r="Q16" i="99"/>
  <c r="O16" i="99"/>
  <c r="P16" i="99" s="1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O15" i="99"/>
  <c r="P15" i="99" s="1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U14" i="99" s="1"/>
  <c r="O14" i="99"/>
  <c r="P14" i="99" s="1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O13" i="99"/>
  <c r="P13" i="99" s="1"/>
  <c r="N13" i="99"/>
  <c r="L13" i="99"/>
  <c r="H13" i="99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G10" i="99"/>
  <c r="K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O9" i="99"/>
  <c r="P9" i="99" s="1"/>
  <c r="N9" i="99"/>
  <c r="L9" i="99"/>
  <c r="H9" i="99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F7" i="99"/>
  <c r="AM7" i="99" s="1"/>
  <c r="Q7" i="99"/>
  <c r="U7" i="99" s="1"/>
  <c r="O7" i="99"/>
  <c r="P7" i="99" s="1"/>
  <c r="N7" i="99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AY12" i="45"/>
  <c r="AX12" i="45"/>
  <c r="AO12" i="45"/>
  <c r="Z12" i="45"/>
  <c r="AN12" i="45"/>
  <c r="Y12" i="45"/>
  <c r="U12" i="45"/>
  <c r="I9" i="99" l="1"/>
  <c r="R7" i="99"/>
  <c r="R13" i="48"/>
  <c r="R11" i="48"/>
  <c r="R17" i="48"/>
  <c r="R9" i="48"/>
  <c r="T9" i="48" s="1"/>
  <c r="R15" i="48"/>
  <c r="R12" i="48"/>
  <c r="R8" i="48"/>
  <c r="R10" i="48"/>
  <c r="R16" i="48"/>
  <c r="R7" i="48"/>
  <c r="R14" i="48"/>
  <c r="AN8" i="48"/>
  <c r="AO8" i="48" s="1"/>
  <c r="AP8" i="48" s="1"/>
  <c r="I10" i="99"/>
  <c r="I13" i="99"/>
  <c r="AH8" i="48"/>
  <c r="AR8" i="48" s="1"/>
  <c r="AN9" i="48"/>
  <c r="AO9" i="48" s="1"/>
  <c r="AP9" i="48" s="1"/>
  <c r="AM10" i="48"/>
  <c r="P18" i="48"/>
  <c r="AZ2" i="48" s="1"/>
  <c r="AO7" i="48"/>
  <c r="AP7" i="48" s="1"/>
  <c r="U7" i="48"/>
  <c r="U18" i="48" s="1"/>
  <c r="AH7" i="48"/>
  <c r="AR7" i="48" s="1"/>
  <c r="AG7" i="99"/>
  <c r="AQ7" i="99" s="1"/>
  <c r="R12" i="99"/>
  <c r="T12" i="99" s="1"/>
  <c r="AM8" i="99"/>
  <c r="AN8" i="99" s="1"/>
  <c r="AO8" i="99" s="1"/>
  <c r="R13" i="99"/>
  <c r="Z13" i="99" s="1"/>
  <c r="AM9" i="99"/>
  <c r="AN9" i="99" s="1"/>
  <c r="AO9" i="99" s="1"/>
  <c r="AL10" i="99"/>
  <c r="U11" i="99"/>
  <c r="P18" i="99"/>
  <c r="AY2" i="99" s="1"/>
  <c r="AN7" i="99"/>
  <c r="AO7" i="99" s="1"/>
  <c r="U15" i="99"/>
  <c r="R15" i="99"/>
  <c r="T15" i="99" s="1"/>
  <c r="U13" i="99"/>
  <c r="U17" i="99"/>
  <c r="R17" i="99"/>
  <c r="U8" i="99"/>
  <c r="R11" i="99"/>
  <c r="T11" i="99" s="1"/>
  <c r="R8" i="99"/>
  <c r="S8" i="99" s="1"/>
  <c r="U16" i="99"/>
  <c r="R16" i="99"/>
  <c r="U9" i="99"/>
  <c r="R9" i="99" s="1"/>
  <c r="S9" i="99" s="1"/>
  <c r="T9" i="99"/>
  <c r="U10" i="99"/>
  <c r="R10" i="99" s="1"/>
  <c r="X10" i="99" s="1"/>
  <c r="U12" i="99"/>
  <c r="R14" i="99"/>
  <c r="Z9" i="99" l="1"/>
  <c r="X9" i="99"/>
  <c r="X12" i="99"/>
  <c r="Z12" i="99"/>
  <c r="S12" i="99"/>
  <c r="Y12" i="99" s="1"/>
  <c r="T13" i="99"/>
  <c r="S13" i="99"/>
  <c r="X13" i="99"/>
  <c r="T10" i="99"/>
  <c r="S10" i="99"/>
  <c r="Z10" i="99"/>
  <c r="AM11" i="48"/>
  <c r="AN10" i="48"/>
  <c r="AO10" i="48" s="1"/>
  <c r="AP10" i="48" s="1"/>
  <c r="U18" i="99"/>
  <c r="X8" i="99"/>
  <c r="Z8" i="99"/>
  <c r="V9" i="99"/>
  <c r="W9" i="99" s="1"/>
  <c r="Y9" i="99"/>
  <c r="V12" i="99"/>
  <c r="W12" i="99" s="1"/>
  <c r="Z14" i="99"/>
  <c r="S14" i="99"/>
  <c r="X14" i="99"/>
  <c r="R18" i="99"/>
  <c r="X7" i="99"/>
  <c r="Z7" i="99"/>
  <c r="S7" i="99"/>
  <c r="AL11" i="99"/>
  <c r="AM10" i="99"/>
  <c r="T8" i="99"/>
  <c r="T7" i="99"/>
  <c r="T14" i="99"/>
  <c r="S11" i="99"/>
  <c r="X11" i="99"/>
  <c r="Z11" i="99"/>
  <c r="Z16" i="99"/>
  <c r="S16" i="99"/>
  <c r="X16" i="99"/>
  <c r="Z17" i="99"/>
  <c r="S17" i="99"/>
  <c r="X17" i="99"/>
  <c r="T17" i="99"/>
  <c r="T16" i="99"/>
  <c r="Z15" i="99"/>
  <c r="S15" i="99"/>
  <c r="X15" i="99"/>
  <c r="V13" i="99" l="1"/>
  <c r="W13" i="99" s="1"/>
  <c r="Y13" i="99"/>
  <c r="V10" i="99"/>
  <c r="W10" i="99" s="1"/>
  <c r="Y10" i="99"/>
  <c r="AM12" i="48"/>
  <c r="AN11" i="48"/>
  <c r="T18" i="99"/>
  <c r="AX2" i="99" s="1"/>
  <c r="Y4" i="99" s="1"/>
  <c r="V8" i="99"/>
  <c r="W8" i="99" s="1"/>
  <c r="Y8" i="99"/>
  <c r="V15" i="99"/>
  <c r="W15" i="99" s="1"/>
  <c r="Y15" i="99"/>
  <c r="AN10" i="99"/>
  <c r="AO10" i="99" s="1"/>
  <c r="V16" i="99"/>
  <c r="W16" i="99" s="1"/>
  <c r="Y16" i="99"/>
  <c r="V17" i="99"/>
  <c r="W17" i="99" s="1"/>
  <c r="Y17" i="99"/>
  <c r="V11" i="99"/>
  <c r="W11" i="99" s="1"/>
  <c r="Y11" i="99"/>
  <c r="S18" i="99"/>
  <c r="AW2" i="99" s="1"/>
  <c r="V7" i="99"/>
  <c r="W7" i="99" s="1"/>
  <c r="Y7" i="99"/>
  <c r="V14" i="99"/>
  <c r="W14" i="99" s="1"/>
  <c r="Y14" i="99"/>
  <c r="AM11" i="99"/>
  <c r="AN11" i="99" s="1"/>
  <c r="AO11" i="99" s="1"/>
  <c r="AL12" i="99"/>
  <c r="AN12" i="48" l="1"/>
  <c r="AO12" i="48" s="1"/>
  <c r="AP12" i="48" s="1"/>
  <c r="AM13" i="48"/>
  <c r="AO11" i="48"/>
  <c r="AP11" i="48" s="1"/>
  <c r="V18" i="99"/>
  <c r="AM12" i="99"/>
  <c r="AN12" i="99" s="1"/>
  <c r="AO12" i="99" s="1"/>
  <c r="AL13" i="99"/>
  <c r="AN13" i="48" l="1"/>
  <c r="AM14" i="48"/>
  <c r="AL14" i="99"/>
  <c r="AM13" i="99"/>
  <c r="AN13" i="99" s="1"/>
  <c r="AO13" i="99" s="1"/>
  <c r="AJ12" i="45"/>
  <c r="AM15" i="48" l="1"/>
  <c r="AN14" i="48"/>
  <c r="AO14" i="48" s="1"/>
  <c r="AP14" i="48" s="1"/>
  <c r="AO13" i="48"/>
  <c r="AP13" i="48" s="1"/>
  <c r="AM14" i="99"/>
  <c r="AL15" i="99"/>
  <c r="H12" i="45"/>
  <c r="AN15" i="48" l="1"/>
  <c r="AM16" i="48"/>
  <c r="AM15" i="99"/>
  <c r="AN15" i="99" s="1"/>
  <c r="AO15" i="99" s="1"/>
  <c r="AL16" i="99"/>
  <c r="AN14" i="99"/>
  <c r="AO14" i="99" s="1"/>
  <c r="AO15" i="48" l="1"/>
  <c r="AP15" i="48" s="1"/>
  <c r="AN16" i="48"/>
  <c r="AO16" i="48" s="1"/>
  <c r="AP16" i="48" s="1"/>
  <c r="AM17" i="48"/>
  <c r="AM16" i="99"/>
  <c r="AN16" i="99" s="1"/>
  <c r="AO16" i="99" s="1"/>
  <c r="AL17" i="99"/>
  <c r="K12" i="45"/>
  <c r="BB12" i="45" s="1"/>
  <c r="AM18" i="48" l="1"/>
  <c r="AN17" i="48"/>
  <c r="AO17" i="48" s="1"/>
  <c r="AP17" i="48" s="1"/>
  <c r="AL18" i="99"/>
  <c r="AM17" i="99"/>
  <c r="AN17" i="99" s="1"/>
  <c r="AO17" i="99" s="1"/>
  <c r="AN18" i="48" l="1"/>
  <c r="AO18" i="48" s="1"/>
  <c r="AP18" i="48" s="1"/>
  <c r="AM19" i="48"/>
  <c r="AM18" i="99"/>
  <c r="AN18" i="99" s="1"/>
  <c r="AO18" i="99" s="1"/>
  <c r="AL19" i="99"/>
  <c r="AM20" i="48" l="1"/>
  <c r="AN19" i="48"/>
  <c r="AO19" i="48" s="1"/>
  <c r="AP19" i="48" s="1"/>
  <c r="AL20" i="99"/>
  <c r="AM19" i="99"/>
  <c r="AN19" i="99" s="1"/>
  <c r="AO19" i="99" s="1"/>
  <c r="AM21" i="48" l="1"/>
  <c r="AN20" i="48"/>
  <c r="AO20" i="48" s="1"/>
  <c r="AP20" i="48" s="1"/>
  <c r="AM20" i="99"/>
  <c r="AN20" i="99" s="1"/>
  <c r="AO20" i="99" s="1"/>
  <c r="AL21" i="99"/>
  <c r="AM22" i="48" l="1"/>
  <c r="AN21" i="48"/>
  <c r="AO21" i="48" s="1"/>
  <c r="AP21" i="48" s="1"/>
  <c r="AL22" i="99"/>
  <c r="AM21" i="99"/>
  <c r="AN21" i="99" s="1"/>
  <c r="AO21" i="99" s="1"/>
  <c r="AM23" i="48" l="1"/>
  <c r="AN22" i="48"/>
  <c r="AO22" i="48" s="1"/>
  <c r="AP22" i="48" s="1"/>
  <c r="AM22" i="99"/>
  <c r="AN22" i="99" s="1"/>
  <c r="AO22" i="99" s="1"/>
  <c r="AL23" i="99"/>
  <c r="AM24" i="48" l="1"/>
  <c r="AN23" i="48"/>
  <c r="AO23" i="48" s="1"/>
  <c r="AP23" i="48" s="1"/>
  <c r="AL24" i="99"/>
  <c r="AM23" i="99"/>
  <c r="AN23" i="99" s="1"/>
  <c r="AO23" i="99" s="1"/>
  <c r="AN24" i="48" l="1"/>
  <c r="AO24" i="48" s="1"/>
  <c r="AP24" i="48" s="1"/>
  <c r="AM25" i="48"/>
  <c r="AM24" i="99"/>
  <c r="AN24" i="99" s="1"/>
  <c r="AO24" i="99" s="1"/>
  <c r="AL25" i="99"/>
  <c r="AM26" i="48" l="1"/>
  <c r="AN25" i="48"/>
  <c r="AO25" i="48" s="1"/>
  <c r="AP25" i="48" s="1"/>
  <c r="AL26" i="99"/>
  <c r="AM25" i="99"/>
  <c r="AN25" i="99" s="1"/>
  <c r="AO25" i="99" s="1"/>
  <c r="AM27" i="48" l="1"/>
  <c r="AN26" i="48"/>
  <c r="AO26" i="48" s="1"/>
  <c r="AP26" i="48" s="1"/>
  <c r="AL27" i="99"/>
  <c r="AM26" i="99"/>
  <c r="AN26" i="99" s="1"/>
  <c r="AO26" i="99" s="1"/>
  <c r="AM28" i="48" l="1"/>
  <c r="AN27" i="48"/>
  <c r="AO27" i="48" s="1"/>
  <c r="AP27" i="48" s="1"/>
  <c r="AL28" i="99"/>
  <c r="AM27" i="99"/>
  <c r="AN27" i="99" s="1"/>
  <c r="AO27" i="99" s="1"/>
  <c r="AM29" i="48" l="1"/>
  <c r="AN28" i="48"/>
  <c r="AO28" i="48" s="1"/>
  <c r="AP28" i="48" s="1"/>
  <c r="AL29" i="99"/>
  <c r="AM28" i="99"/>
  <c r="AN28" i="99" s="1"/>
  <c r="AO28" i="99" s="1"/>
  <c r="AM30" i="48" l="1"/>
  <c r="AN29" i="48"/>
  <c r="AO29" i="48" s="1"/>
  <c r="AP29" i="48" s="1"/>
  <c r="AL30" i="99"/>
  <c r="AM29" i="99"/>
  <c r="AN29" i="99" s="1"/>
  <c r="AO29" i="99" s="1"/>
  <c r="AN30" i="48" l="1"/>
  <c r="AO30" i="48" s="1"/>
  <c r="AP30" i="48" s="1"/>
  <c r="AM31" i="48"/>
  <c r="AL31" i="99"/>
  <c r="AM30" i="99"/>
  <c r="AN30" i="99" s="1"/>
  <c r="AO30" i="99" s="1"/>
  <c r="AM32" i="48" l="1"/>
  <c r="AN31" i="48"/>
  <c r="AO31" i="48" s="1"/>
  <c r="AP31" i="48" s="1"/>
  <c r="AL32" i="99"/>
  <c r="AM31" i="99"/>
  <c r="AN31" i="99" s="1"/>
  <c r="AO31" i="99" s="1"/>
  <c r="AM33" i="48" l="1"/>
  <c r="AN32" i="48"/>
  <c r="AO32" i="48" s="1"/>
  <c r="AP32" i="48" s="1"/>
  <c r="AM32" i="99"/>
  <c r="AN32" i="99" s="1"/>
  <c r="AO32" i="99" s="1"/>
  <c r="AL33" i="99"/>
  <c r="AM34" i="48" l="1"/>
  <c r="AN33" i="48"/>
  <c r="AO33" i="48" s="1"/>
  <c r="AP33" i="48" s="1"/>
  <c r="AL34" i="99"/>
  <c r="AM33" i="99"/>
  <c r="AN33" i="99" s="1"/>
  <c r="AO33" i="99" s="1"/>
  <c r="AM35" i="48" l="1"/>
  <c r="AN34" i="48"/>
  <c r="AO34" i="48" s="1"/>
  <c r="AP34" i="48" s="1"/>
  <c r="AL35" i="99"/>
  <c r="AM34" i="99"/>
  <c r="AN34" i="99" s="1"/>
  <c r="AO34" i="99" s="1"/>
  <c r="AM36" i="48" l="1"/>
  <c r="AN35" i="48"/>
  <c r="AO35" i="48" s="1"/>
  <c r="AP35" i="48" s="1"/>
  <c r="AL36" i="99"/>
  <c r="AM35" i="99"/>
  <c r="AN35" i="99" s="1"/>
  <c r="AO35" i="99" s="1"/>
  <c r="AN36" i="48" l="1"/>
  <c r="AO36" i="48" s="1"/>
  <c r="AP36" i="48" s="1"/>
  <c r="AM37" i="48"/>
  <c r="AL37" i="99"/>
  <c r="AM36" i="99"/>
  <c r="AN36" i="99" s="1"/>
  <c r="AO36" i="99" s="1"/>
  <c r="AM38" i="48" l="1"/>
  <c r="AN37" i="48"/>
  <c r="AO37" i="48" s="1"/>
  <c r="AP37" i="48" s="1"/>
  <c r="AM37" i="99"/>
  <c r="AN37" i="99" s="1"/>
  <c r="AO37" i="99" s="1"/>
  <c r="AL38" i="99"/>
  <c r="AM39" i="48" l="1"/>
  <c r="AN38" i="48"/>
  <c r="AO38" i="48" s="1"/>
  <c r="AP38" i="48" s="1"/>
  <c r="AM38" i="99"/>
  <c r="AN38" i="99" s="1"/>
  <c r="AO38" i="99" s="1"/>
  <c r="AL39" i="99"/>
  <c r="AM40" i="48" l="1"/>
  <c r="AN39" i="48"/>
  <c r="AO39" i="48" s="1"/>
  <c r="AP39" i="48" s="1"/>
  <c r="AM39" i="99"/>
  <c r="AN39" i="99" s="1"/>
  <c r="AO39" i="99" s="1"/>
  <c r="AL40" i="99"/>
  <c r="AM41" i="48" l="1"/>
  <c r="AN40" i="48"/>
  <c r="AO40" i="48" s="1"/>
  <c r="AP40" i="48" s="1"/>
  <c r="AM40" i="99"/>
  <c r="AN40" i="99" s="1"/>
  <c r="AO40" i="99" s="1"/>
  <c r="AL41" i="99"/>
  <c r="AM42" i="48" l="1"/>
  <c r="AN41" i="48"/>
  <c r="AO41" i="48" s="1"/>
  <c r="AP41" i="48" s="1"/>
  <c r="AM41" i="99"/>
  <c r="AN41" i="99" s="1"/>
  <c r="AO41" i="99" s="1"/>
  <c r="AL42" i="99"/>
  <c r="AN42" i="48" l="1"/>
  <c r="AO42" i="48" s="1"/>
  <c r="AP42" i="48" s="1"/>
  <c r="AM43" i="48"/>
  <c r="AM42" i="99"/>
  <c r="AN42" i="99" s="1"/>
  <c r="AO42" i="99" s="1"/>
  <c r="AL43" i="99"/>
  <c r="AM44" i="48" l="1"/>
  <c r="AN44" i="48" s="1"/>
  <c r="AN43" i="48"/>
  <c r="AO43" i="48" s="1"/>
  <c r="AP43" i="48" s="1"/>
  <c r="AM43" i="99"/>
  <c r="AN43" i="99" s="1"/>
  <c r="AO43" i="99" s="1"/>
  <c r="AL44" i="99"/>
  <c r="AM44" i="99" s="1"/>
  <c r="AO44" i="48" l="1"/>
  <c r="AP44" i="48" s="1"/>
  <c r="AP45" i="48" s="1"/>
  <c r="BB2" i="48" s="1"/>
  <c r="AN45" i="48"/>
  <c r="BC2" i="48" s="1"/>
  <c r="BF12" i="45" s="1"/>
  <c r="AN44" i="99"/>
  <c r="AO44" i="99" s="1"/>
  <c r="AO45" i="99" s="1"/>
  <c r="BA2" i="99" s="1"/>
  <c r="AM45" i="99"/>
  <c r="BB2" i="99" s="1"/>
  <c r="BE12" i="45" l="1"/>
  <c r="BF13" i="45" l="1"/>
  <c r="K10" i="64" s="1"/>
  <c r="BE13" i="45"/>
  <c r="K11" i="64" s="1"/>
  <c r="AA7" i="48"/>
  <c r="S9" i="48"/>
  <c r="Y15" i="48"/>
  <c r="AA12" i="48"/>
  <c r="Y12" i="48"/>
  <c r="AA14" i="48"/>
  <c r="T8" i="48"/>
  <c r="S17" i="48"/>
  <c r="Y11" i="48"/>
  <c r="AA11" i="48"/>
  <c r="Y13" i="48"/>
  <c r="T12" i="48"/>
  <c r="AA13" i="48"/>
  <c r="S7" i="48"/>
  <c r="AA16" i="48"/>
  <c r="T16" i="48"/>
  <c r="AA10" i="48"/>
  <c r="T10" i="48"/>
  <c r="Y10" i="48"/>
  <c r="T7" i="48"/>
  <c r="T17" i="48" l="1"/>
  <c r="AA15" i="48"/>
  <c r="S12" i="48"/>
  <c r="Z12" i="48" s="1"/>
  <c r="AA17" i="48"/>
  <c r="S16" i="48"/>
  <c r="S11" i="48"/>
  <c r="Z11" i="48" s="1"/>
  <c r="Y17" i="48"/>
  <c r="T13" i="48"/>
  <c r="S13" i="48"/>
  <c r="Z13" i="48" s="1"/>
  <c r="V17" i="48"/>
  <c r="Z17" i="48"/>
  <c r="Z9" i="48"/>
  <c r="T15" i="48"/>
  <c r="Y14" i="48"/>
  <c r="S10" i="48"/>
  <c r="Y16" i="48"/>
  <c r="S15" i="48"/>
  <c r="T11" i="48"/>
  <c r="T18" i="48" s="1"/>
  <c r="AY2" i="48" s="1"/>
  <c r="S8" i="48"/>
  <c r="AA9" i="48"/>
  <c r="V7" i="48"/>
  <c r="W7" i="48" s="1"/>
  <c r="Y8" i="48"/>
  <c r="AA8" i="48"/>
  <c r="R18" i="48"/>
  <c r="Z7" i="48"/>
  <c r="T14" i="48"/>
  <c r="S14" i="48"/>
  <c r="Y9" i="48"/>
  <c r="Y7" i="48"/>
  <c r="V13" i="48" l="1"/>
  <c r="W13" i="48" s="1"/>
  <c r="W17" i="48"/>
  <c r="V16" i="48"/>
  <c r="W16" i="48" s="1"/>
  <c r="Z16" i="48"/>
  <c r="V12" i="48"/>
  <c r="W12" i="48" s="1"/>
  <c r="V8" i="48"/>
  <c r="W8" i="48" s="1"/>
  <c r="Z8" i="48"/>
  <c r="V11" i="48"/>
  <c r="W11" i="48" s="1"/>
  <c r="V9" i="48"/>
  <c r="W9" i="48" s="1"/>
  <c r="D12" i="45"/>
  <c r="Z4" i="48"/>
  <c r="S18" i="48"/>
  <c r="AX2" i="48" s="1"/>
  <c r="B12" i="45" s="1"/>
  <c r="V15" i="48"/>
  <c r="W15" i="48" s="1"/>
  <c r="Z15" i="48"/>
  <c r="V14" i="48"/>
  <c r="W14" i="48" s="1"/>
  <c r="Z14" i="48"/>
  <c r="V10" i="48"/>
  <c r="W10" i="48" s="1"/>
  <c r="Z10" i="48"/>
  <c r="O12" i="45" l="1"/>
  <c r="Q12" i="45" s="1"/>
  <c r="B13" i="45"/>
  <c r="AT12" i="45"/>
  <c r="V18" i="48"/>
  <c r="P12" i="45" l="1"/>
  <c r="V12" i="45" s="1"/>
  <c r="AU12" i="45"/>
  <c r="AW12" i="45" s="1"/>
  <c r="R12" i="45"/>
  <c r="W12" i="45" s="1"/>
  <c r="N7" i="63"/>
  <c r="N8" i="63" s="1"/>
  <c r="AC12" i="45"/>
  <c r="AD12" i="45" s="1"/>
  <c r="AL12" i="45" s="1"/>
  <c r="AB12" i="45"/>
  <c r="AK12" i="45" s="1"/>
  <c r="AZ12" i="45" l="1"/>
  <c r="AZ13" i="45" s="1"/>
  <c r="AW13" i="45"/>
  <c r="AM12" i="45"/>
  <c r="AP12" i="45"/>
  <c r="X12" i="45"/>
  <c r="AA12" i="45"/>
  <c r="AA13" i="45" s="1"/>
  <c r="AS12" i="45" l="1"/>
  <c r="AS13" i="45" s="1"/>
  <c r="K8" i="64" s="1"/>
  <c r="K9" i="64" s="1" a="1"/>
  <c r="K9" i="64" s="1"/>
  <c r="AP13" i="45"/>
  <c r="AQ12" i="45"/>
  <c r="AQ13" i="45" s="1"/>
  <c r="K7" i="64" s="1"/>
  <c r="AR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tc={B5908B9B-77E6-F840-B359-EF4BA4131D4A}</author>
    <author>tc={11DD7DB2-0519-144D-B9A8-316DA08B1EB5}</author>
    <author>tc={1EB71E29-A56F-D348-9FE3-44E8537519E3}</author>
    <author>tc={0BEA0565-53D2-4E40-B9A1-EB41F1D0B2D3}</author>
    <author>tc={214D85D0-CC0E-BB44-904C-8020B33378AF}</author>
    <author>tc={1704C96E-65F8-984E-AD41-B147BE27800C}</author>
    <author>tc={6F6DACE4-1BC8-DF44-B539-237E1D8E094A}</author>
    <author>tc={FFA866F3-F6A3-F441-96DA-DDEF41236939}</author>
    <author>tc={C265E6C2-29EF-8F42-BB31-9B3E36A3BA16}</author>
    <author>tc={6F2F8F0D-4A0E-1D46-87BC-2A970794DCAB}</author>
    <author>tc={1F641750-6300-7344-8F0F-1914A73B14F1}</author>
  </authors>
  <commentList>
    <comment ref="AA4" authorId="0" shapeId="0" xr:uid="{B5908B9B-77E6-F840-B359-EF4BA4131D4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11DD7DB2-0519-144D-B9A8-316DA08B1EB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1EB71E29-A56F-D348-9FE3-44E8537519E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0BEA0565-53D2-4E40-B9A1-EB41F1D0B2D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14D85D0-CC0E-BB44-904C-8020B33378A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1704C96E-65F8-984E-AD41-B147BE2780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6F6DACE4-1BC8-DF44-B539-237E1D8E094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FFA866F3-F6A3-F441-96DA-DDEF4123693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C265E6C2-29EF-8F42-BB31-9B3E36A3BA1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Z6" authorId="9" shapeId="0" xr:uid="{6F2F8F0D-4A0E-1D46-87BC-2A970794DCAB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1F641750-6300-7344-8F0F-1914A73B14F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tc={E58C7751-D100-3043-8A2B-D49980DE41F8}</author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</authors>
  <commentList>
    <comment ref="Z4" authorId="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tc={6FFF81DE-EC18-4515-AF48-945BC88DEE1A}</author>
    <author>tc={231F352E-9D7E-4B27-829B-04A733F77DDF}</author>
    <author>tc={186636D1-0A42-4E45-AAFB-EF0BDDEC6FF5}</author>
  </authors>
  <commentList>
    <comment ref="F11" authorId="0" shapeId="0" xr:uid="{6FFF81DE-EC18-4515-AF48-945BC88DEE1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231F352E-9D7E-4B27-829B-04A733F77D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AF12" authorId="2" shapeId="0" xr:uid="{186636D1-0A42-4E45-AAFB-EF0BDDEC6FF5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<sst xmlns="http://schemas.openxmlformats.org/spreadsheetml/2006/main" count="1528" uniqueCount="461">
  <si>
    <t>HG
(FT)</t>
  </si>
  <si>
    <t>Area Designation</t>
  </si>
  <si>
    <t>Air Balance Rerationship to Adjacent Areas</t>
  </si>
  <si>
    <t>Minimum Air Changes of Outdoor Air per Hour</t>
  </si>
  <si>
    <t>Minimum Total Air Changes per Hour</t>
  </si>
  <si>
    <t>DB</t>
  </si>
  <si>
    <t>ROOM</t>
  </si>
  <si>
    <t>1 CFM/SF</t>
  </si>
  <si>
    <t>RA CFM</t>
  </si>
  <si>
    <t>EA CFM</t>
  </si>
  <si>
    <t>Transfer Air CFM</t>
  </si>
  <si>
    <t>Balance?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</si>
  <si>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</si>
  <si>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</si>
  <si>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</si>
  <si>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</si>
  <si>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</si>
  <si>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</si>
  <si>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</si>
  <si>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</si>
  <si>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</si>
  <si>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</si>
  <si>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</si>
  <si>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</si>
  <si>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</si>
  <si>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</si>
  <si>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</si>
  <si>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</si>
  <si>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</si>
  <si>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</si>
  <si>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</si>
  <si>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NR</t>
  </si>
  <si>
    <t>ROOM #</t>
  </si>
  <si>
    <t>100%
EA</t>
  </si>
  <si>
    <t>P</t>
  </si>
  <si>
    <t>GPM</t>
  </si>
  <si>
    <t>EWT</t>
  </si>
  <si>
    <t>EAT</t>
  </si>
  <si>
    <t>CFM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</si>
  <si>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</si>
  <si>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</si>
  <si>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</si>
  <si>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</si>
  <si>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</si>
  <si>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</si>
  <si>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</si>
  <si>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</si>
  <si>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</si>
  <si>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</si>
  <si>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</si>
  <si>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</si>
  <si>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</si>
  <si>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</si>
  <si>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</si>
  <si>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</si>
  <si>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</si>
  <si>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</si>
  <si>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</si>
  <si>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</si>
  <si>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</si>
  <si>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</si>
  <si>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</si>
  <si>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</si>
  <si>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</si>
  <si>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CALCULATED SA CFM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</si>
  <si>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</si>
  <si>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</si>
  <si>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</si>
  <si>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</si>
  <si>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</si>
  <si>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</si>
  <si>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</si>
  <si>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</si>
  <si>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</si>
  <si>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MIN MBH</t>
  </si>
  <si>
    <t>DESIGN 
LAT</t>
  </si>
  <si>
    <t>DESIGN 
LWT</t>
  </si>
  <si>
    <t>PATIENT ROOM</t>
  </si>
  <si>
    <t>SF ESP</t>
  </si>
  <si>
    <t>RF ESP</t>
  </si>
  <si>
    <t>PRE - HEATING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</si>
  <si>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</si>
  <si>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</si>
  <si>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</si>
  <si>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</si>
  <si>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</si>
  <si>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</si>
  <si>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</si>
  <si>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</si>
  <si>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</si>
  <si>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</si>
  <si>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</si>
  <si>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</si>
  <si>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</si>
  <si>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</si>
  <si>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BLOOD DRAW/PHLEBOTOMY</t>
  </si>
  <si>
    <t>YES</t>
  </si>
  <si>
    <t>ZONE</t>
  </si>
  <si>
    <t>TOTAL AC/HR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</si>
  <si>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</si>
  <si>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</si>
  <si>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</si>
  <si>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</si>
  <si>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</si>
  <si>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</si>
  <si>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</si>
  <si>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</si>
  <si>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</si>
  <si>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</si>
  <si>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</si>
  <si>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</si>
  <si>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</si>
  <si>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</si>
  <si>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</si>
  <si>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</si>
  <si>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</si>
  <si>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</si>
  <si>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</si>
  <si>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</si>
  <si>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</si>
  <si>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</si>
  <si>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</si>
  <si>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</si>
  <si>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</si>
  <si>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</si>
  <si>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</si>
  <si>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</si>
  <si>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</si>
  <si>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</si>
  <si>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</si>
  <si>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</si>
  <si>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</si>
  <si>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</si>
  <si>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</si>
  <si>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</si>
  <si>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</si>
  <si>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</si>
  <si>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</si>
  <si>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</si>
  <si>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</si>
  <si>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</si>
  <si>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</si>
  <si>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</si>
  <si>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</si>
  <si>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</si>
  <si>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</si>
  <si>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</si>
  <si>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</si>
  <si>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</si>
  <si>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</si>
  <si>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</si>
  <si>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</si>
  <si>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</si>
  <si>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</si>
  <si>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</si>
  <si>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</si>
  <si>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</si>
  <si>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</si>
  <si>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</si>
  <si>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</si>
  <si>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</si>
  <si>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</si>
  <si>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</si>
  <si>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</si>
  <si>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</si>
  <si>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</si>
  <si>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</si>
  <si>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</si>
  <si>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</si>
  <si>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</si>
  <si>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</si>
  <si>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</si>
  <si>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</si>
  <si>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</si>
  <si>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</si>
  <si>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</si>
  <si>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</si>
  <si>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</si>
  <si>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</si>
  <si>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</si>
  <si>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</si>
  <si>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</si>
  <si>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</si>
  <si>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</si>
  <si>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</si>
  <si>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</si>
  <si>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</si>
  <si>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</si>
  <si>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</si>
  <si>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</si>
  <si>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</si>
  <si>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</si>
  <si>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</si>
  <si>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</si>
  <si>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</si>
  <si>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</si>
  <si>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</si>
  <si>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</si>
  <si>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</si>
  <si>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</si>
  <si>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</si>
  <si>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</si>
  <si>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</si>
  <si>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</si>
  <si>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</si>
  <si>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</si>
  <si>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</si>
  <si>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</si>
  <si>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</si>
  <si>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</si>
  <si>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</si>
  <si>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</si>
  <si>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</si>
  <si>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</si>
  <si>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</si>
  <si>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</si>
  <si>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</si>
  <si>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</si>
  <si>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</si>
  <si>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</si>
  <si>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</si>
  <si>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</si>
  <si>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</si>
  <si>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</si>
  <si>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</si>
  <si>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</si>
  <si>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</si>
  <si>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</si>
  <si>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</si>
  <si>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</si>
  <si>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</si>
  <si>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</si>
  <si>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</si>
  <si>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</si>
  <si>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</si>
  <si>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</si>
  <si>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</si>
  <si>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</si>
  <si>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</si>
  <si>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</si>
  <si>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</si>
  <si>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</si>
  <si>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</si>
  <si>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</si>
  <si>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</si>
  <si>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</si>
  <si>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</si>
  <si>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</si>
  <si>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</si>
  <si>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</si>
  <si>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</si>
  <si>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</si>
  <si>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</si>
  <si>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</si>
  <si>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</si>
  <si>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</si>
  <si>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</si>
  <si>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AHU-1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</si>
  <si>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</si>
  <si>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</si>
  <si>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</si>
  <si>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</si>
  <si>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</si>
  <si>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</si>
  <si>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</si>
  <si>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</si>
  <si>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</si>
  <si>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</si>
  <si>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</si>
  <si>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</si>
  <si>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</si>
  <si>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</si>
  <si>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</si>
  <si>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</si>
  <si>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</si>
  <si>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</si>
  <si>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</si>
  <si>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</si>
  <si>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</si>
  <si>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</si>
  <si>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</si>
  <si>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</si>
  <si>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</si>
  <si>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</si>
  <si>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</si>
  <si>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</si>
  <si>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</si>
  <si>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OFFICE STANDARD</t>
  </si>
  <si>
    <t>Number of Chillers</t>
  </si>
  <si>
    <t>number of CHW Pumps</t>
  </si>
  <si>
    <t>Column1</t>
  </si>
  <si>
    <t>Diversity %</t>
  </si>
  <si>
    <t>CHW Total Flow</t>
  </si>
  <si>
    <t>EA
(CFM)</t>
  </si>
  <si>
    <t>LOAD (CFM)</t>
  </si>
  <si>
    <t>INTERMIDIATE FILTER</t>
  </si>
  <si>
    <t>COOLING COIL PERFORMANCE</t>
  </si>
  <si>
    <t>HEATING COIL PERFORMANCE</t>
  </si>
  <si>
    <t>FCU 1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</si>
  <si>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</si>
  <si>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</si>
  <si>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</si>
  <si>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</si>
  <si>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</si>
  <si>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</si>
  <si>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</si>
  <si>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</si>
  <si>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</si>
  <si>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</si>
  <si>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</si>
  <si>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</si>
  <si>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</si>
  <si>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</si>
  <si>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</si>
  <si>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</si>
  <si>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</si>
  <si>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</si>
  <si>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</si>
  <si>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</si>
  <si>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</si>
  <si>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</si>
  <si>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</si>
  <si>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</si>
  <si>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</si>
  <si>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</si>
  <si>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</si>
  <si>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</si>
  <si>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</si>
  <si>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</si>
  <si>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</si>
  <si>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</si>
  <si>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</si>
  <si>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</si>
  <si>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</si>
  <si>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</si>
  <si>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</si>
  <si>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</si>
  <si>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</si>
  <si>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</si>
  <si>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</si>
  <si>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</si>
  <si>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</si>
  <si>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</si>
  <si>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</si>
  <si>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</si>
  <si>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</si>
  <si>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</si>
  <si>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</si>
  <si>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</si>
  <si>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</si>
  <si>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</si>
  <si>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</si>
  <si>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</si>
  <si>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</si>
  <si>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</si>
  <si>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</si>
  <si>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</si>
  <si>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</si>
  <si>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</si>
  <si>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</si>
  <si>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</si>
  <si>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</si>
  <si>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</si>
  <si>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</si>
  <si>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</si>
  <si>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</si>
  <si>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</si>
  <si>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</si>
  <si>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</si>
  <si>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</si>
  <si>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</si>
  <si>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</si>
  <si>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</si>
  <si>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</si>
  <si>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</si>
  <si>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</si>
  <si>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</si>
  <si>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</si>
  <si>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</si>
  <si>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</si>
  <si>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</si>
  <si>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</si>
  <si>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</si>
  <si>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</si>
  <si>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</si>
  <si>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</si>
  <si>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</si>
  <si>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</si>
  <si>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</si>
  <si>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</si>
  <si>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</si>
  <si>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</si>
  <si>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</si>
  <si>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</si>
  <si>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</si>
  <si>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</si>
  <si>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</si>
  <si>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</si>
  <si>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</si>
  <si>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</si>
  <si>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</si>
  <si>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</si>
  <si>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</si>
  <si>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</si>
  <si>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</si>
  <si>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</si>
  <si>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</si>
  <si>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</si>
  <si>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</si>
  <si>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</si>
  <si>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</si>
  <si>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</si>
  <si>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</si>
  <si>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</si>
  <si>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</si>
  <si>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</si>
  <si>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</si>
  <si>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</si>
  <si>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</si>
  <si>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</si>
  <si>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</si>
  <si>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</si>
  <si>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</si>
  <si>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</si>
  <si>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</si>
  <si>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</si>
  <si>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</si>
  <si>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</si>
  <si>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</si>
  <si>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</si>
  <si>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</si>
  <si>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</si>
  <si>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</si>
  <si>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</si>
  <si>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</si>
  <si>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</si>
  <si>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</si>
  <si>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</si>
  <si>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</si>
  <si>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</si>
  <si>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</si>
  <si>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</si>
  <si>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</si>
  <si>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</si>
  <si>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</si>
  <si>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</si>
  <si>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</si>
  <si>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</si>
  <si>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</si>
  <si>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</si>
  <si>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</si>
  <si>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</si>
  <si>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</si>
  <si>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</si>
  <si>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</si>
  <si>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</si>
  <si>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</si>
  <si>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</si>
  <si>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y</t>
  </si>
  <si>
    <t>q</t>
  </si>
  <si>
    <t>q,w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</si>
</sst>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</numFmts>
  <fonts count="53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u/>
      <sz val="12"/>
      <color theme="1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64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23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2" fillId="0" borderId="0"/>
  </cellStyleXfs>
  <cellXfs count="386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3" xfId="0" applyBorder="1" applyAlignment="1">
      <alignment horizontal="center" vertical="center"/>
    </xf>
    <xf numFmtId="165" fontId="7" fillId="0" borderId="2" xfId="0" applyNumberFormat="1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8" fillId="6" borderId="21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 wrapText="1"/>
    </xf>
    <xf numFmtId="3" fontId="12" fillId="2" borderId="3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16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6" fillId="0" borderId="8" xfId="0" applyFont="1" applyBorder="1" applyAlignment="1">
      <alignment horizontal="center"/>
    </xf>
    <xf numFmtId="0" fontId="15" fillId="0" borderId="13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 vertical="center" shrinkToFit="1"/>
    </xf>
    <xf numFmtId="164" fontId="16" fillId="0" borderId="2" xfId="0" applyNumberFormat="1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/>
    </xf>
    <xf numFmtId="0" fontId="1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0" fillId="0" borderId="34" xfId="0" applyNumberFormat="1" applyFont="1" applyBorder="1" applyAlignment="1">
      <alignment horizontal="center" vertical="top" shrinkToFit="1"/>
    </xf>
    <xf numFmtId="1" fontId="21" fillId="0" borderId="29" xfId="0" applyNumberFormat="1" applyFont="1" applyBorder="1" applyAlignment="1">
      <alignment horizontal="center" vertical="top" shrinkToFit="1"/>
    </xf>
    <xf numFmtId="2" fontId="21" fillId="0" borderId="29" xfId="0" applyNumberFormat="1" applyFont="1" applyBorder="1" applyAlignment="1">
      <alignment horizontal="center" vertical="top" shrinkToFit="1"/>
    </xf>
    <xf numFmtId="1" fontId="21" fillId="0" borderId="35" xfId="0" applyNumberFormat="1" applyFont="1" applyBorder="1" applyAlignment="1">
      <alignment horizontal="center" vertical="top" shrinkToFit="1"/>
    </xf>
    <xf numFmtId="2" fontId="21" fillId="0" borderId="35" xfId="0" applyNumberFormat="1" applyFont="1" applyBorder="1" applyAlignment="1">
      <alignment horizontal="center" vertical="top" shrinkToFit="1"/>
    </xf>
    <xf numFmtId="1" fontId="21" fillId="0" borderId="33" xfId="0" applyNumberFormat="1" applyFont="1" applyBorder="1" applyAlignment="1">
      <alignment horizontal="center" vertical="top" shrinkToFit="1"/>
    </xf>
    <xf numFmtId="2" fontId="21" fillId="0" borderId="33" xfId="0" applyNumberFormat="1" applyFont="1" applyBorder="1" applyAlignment="1">
      <alignment horizontal="center" vertical="top" shrinkToFit="1"/>
    </xf>
    <xf numFmtId="0" fontId="22" fillId="0" borderId="0" xfId="0" applyFont="1" applyAlignment="1">
      <alignment horizontal="left" vertical="top"/>
    </xf>
    <xf numFmtId="0" fontId="0" fillId="0" borderId="0" xfId="0" quotePrefix="1"/>
    <xf numFmtId="1" fontId="20" fillId="0" borderId="34" xfId="0" applyNumberFormat="1" applyFont="1" applyBorder="1" applyAlignment="1">
      <alignment horizontal="center" vertical="top" shrinkToFit="1"/>
    </xf>
    <xf numFmtId="2" fontId="7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3" fontId="7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7" fillId="0" borderId="2" xfId="0" applyNumberFormat="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 shrinkToFit="1"/>
    </xf>
    <xf numFmtId="0" fontId="16" fillId="0" borderId="20" xfId="0" applyFont="1" applyBorder="1" applyAlignment="1">
      <alignment horizontal="center"/>
    </xf>
    <xf numFmtId="0" fontId="16" fillId="0" borderId="20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shrinkToFit="1"/>
    </xf>
    <xf numFmtId="0" fontId="16" fillId="0" borderId="20" xfId="0" applyFont="1" applyBorder="1" applyAlignment="1">
      <alignment horizontal="right" shrinkToFit="1"/>
    </xf>
    <xf numFmtId="0" fontId="18" fillId="0" borderId="20" xfId="0" applyFont="1" applyBorder="1" applyAlignment="1">
      <alignment horizontal="center"/>
    </xf>
    <xf numFmtId="0" fontId="15" fillId="0" borderId="20" xfId="0" applyFont="1" applyBorder="1" applyAlignment="1">
      <alignment horizontal="center" vertical="center" wrapText="1"/>
    </xf>
    <xf numFmtId="0" fontId="15" fillId="0" borderId="2" xfId="0" applyFont="1" applyBorder="1" applyAlignment="1" applyProtection="1">
      <alignment horizontal="center" vertical="center" wrapTex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65" fontId="16" fillId="0" borderId="2" xfId="0" applyNumberFormat="1" applyFont="1" applyBorder="1" applyAlignment="1" applyProtection="1">
      <alignment horizontal="center" vertical="center"/>
      <protection locked="0"/>
    </xf>
    <xf numFmtId="0" fontId="15" fillId="0" borderId="5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0" fontId="15" fillId="0" borderId="18" xfId="0" applyFont="1" applyBorder="1" applyAlignment="1" applyProtection="1">
      <alignment horizontal="center" vertical="center" wrapText="1"/>
      <protection locked="0"/>
    </xf>
    <xf numFmtId="0" fontId="16" fillId="0" borderId="18" xfId="0" applyFont="1" applyBorder="1" applyAlignment="1" applyProtection="1">
      <alignment horizontal="center" vertical="center"/>
      <protection locked="0"/>
    </xf>
    <xf numFmtId="165" fontId="16" fillId="0" borderId="18" xfId="0" applyNumberFormat="1" applyFont="1" applyBorder="1" applyAlignment="1" applyProtection="1">
      <alignment horizontal="center" vertical="center"/>
      <protection locked="0"/>
    </xf>
    <xf numFmtId="0" fontId="16" fillId="0" borderId="17" xfId="0" applyFont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left" vertical="center"/>
      <protection locked="0"/>
    </xf>
    <xf numFmtId="0" fontId="15" fillId="3" borderId="14" xfId="0" applyFont="1" applyFill="1" applyBorder="1" applyAlignment="1" applyProtection="1">
      <alignment horizontal="center" vertical="center"/>
      <protection locked="0"/>
    </xf>
    <xf numFmtId="0" fontId="15" fillId="3" borderId="20" xfId="0" applyFont="1" applyFill="1" applyBorder="1" applyAlignment="1" applyProtection="1">
      <alignment horizontal="center" vertical="center" wrapText="1"/>
      <protection locked="0"/>
    </xf>
    <xf numFmtId="0" fontId="15" fillId="3" borderId="12" xfId="0" applyFont="1" applyFill="1" applyBorder="1" applyAlignment="1" applyProtection="1">
      <alignment horizontal="center" vertical="center" wrapText="1"/>
      <protection locked="0"/>
    </xf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9" fontId="15" fillId="8" borderId="14" xfId="0" applyNumberFormat="1" applyFont="1" applyFill="1" applyBorder="1" applyAlignment="1" applyProtection="1">
      <alignment horizontal="center" vertical="center" wrapText="1"/>
      <protection locked="0"/>
    </xf>
    <xf numFmtId="0" fontId="15" fillId="8" borderId="12" xfId="0" applyFont="1" applyFill="1" applyBorder="1" applyAlignment="1" applyProtection="1">
      <alignment horizontal="center" vertical="center" wrapText="1"/>
      <protection locked="0"/>
    </xf>
    <xf numFmtId="0" fontId="15" fillId="3" borderId="1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2" fillId="0" borderId="2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0" fontId="15" fillId="0" borderId="38" xfId="0" applyFont="1" applyBorder="1" applyAlignment="1" applyProtection="1">
      <alignment horizontal="center" vertical="center" wrapText="1"/>
      <protection locked="0"/>
    </xf>
    <xf numFmtId="0" fontId="15" fillId="0" borderId="37" xfId="0" applyFont="1" applyBorder="1" applyAlignment="1" applyProtection="1">
      <alignment horizontal="center" vertical="center" wrapText="1"/>
      <protection locked="0"/>
    </xf>
    <xf numFmtId="0" fontId="16" fillId="0" borderId="37" xfId="0" applyFont="1" applyBorder="1" applyAlignment="1" applyProtection="1">
      <alignment horizontal="center" vertical="center"/>
      <protection locked="0"/>
    </xf>
    <xf numFmtId="0" fontId="16" fillId="0" borderId="39" xfId="0" applyFont="1" applyBorder="1" applyAlignment="1" applyProtection="1">
      <alignment horizontal="center" vertical="center"/>
      <protection locked="0"/>
    </xf>
    <xf numFmtId="165" fontId="16" fillId="0" borderId="37" xfId="0" applyNumberFormat="1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>
      <alignment horizontal="center" vertical="center"/>
    </xf>
    <xf numFmtId="0" fontId="9" fillId="0" borderId="0" xfId="0" applyFont="1"/>
    <xf numFmtId="0" fontId="29" fillId="0" borderId="0" xfId="0" applyFont="1"/>
    <xf numFmtId="49" fontId="11" fillId="0" borderId="2" xfId="0" applyNumberFormat="1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" fontId="27" fillId="0" borderId="2" xfId="0" applyNumberFormat="1" applyFont="1" applyBorder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3" fontId="24" fillId="0" borderId="36" xfId="0" applyNumberFormat="1" applyFont="1" applyBorder="1" applyAlignment="1">
      <alignment horizontal="center" vertical="center"/>
    </xf>
    <xf numFmtId="0" fontId="24" fillId="0" borderId="36" xfId="0" applyFont="1" applyBorder="1" applyAlignment="1" applyProtection="1">
      <alignment horizontal="center" vertical="center"/>
      <protection locked="0"/>
    </xf>
    <xf numFmtId="165" fontId="24" fillId="0" borderId="36" xfId="0" applyNumberFormat="1" applyFont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1" fontId="24" fillId="0" borderId="36" xfId="0" applyNumberFormat="1" applyFont="1" applyBorder="1" applyAlignment="1">
      <alignment horizontal="center" vertical="center"/>
    </xf>
    <xf numFmtId="164" fontId="16" fillId="0" borderId="20" xfId="0" applyNumberFormat="1" applyFont="1" applyBorder="1" applyAlignment="1">
      <alignment horizontal="center" shrinkToFit="1"/>
    </xf>
    <xf numFmtId="3" fontId="0" fillId="0" borderId="0" xfId="0" applyNumberFormat="1"/>
    <xf numFmtId="1" fontId="0" fillId="0" borderId="0" xfId="0" applyNumberFormat="1"/>
    <xf numFmtId="0" fontId="9" fillId="0" borderId="2" xfId="0" applyFont="1" applyBorder="1" applyAlignment="1">
      <alignment horizontal="left"/>
    </xf>
    <xf numFmtId="0" fontId="9" fillId="0" borderId="11" xfId="0" applyFont="1" applyBorder="1"/>
    <xf numFmtId="165" fontId="9" fillId="0" borderId="11" xfId="0" applyNumberFormat="1" applyFont="1" applyBorder="1"/>
    <xf numFmtId="0" fontId="9" fillId="0" borderId="5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37" fillId="0" borderId="36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0" fillId="0" borderId="5" xfId="0" applyFont="1" applyBorder="1" applyAlignment="1">
      <alignment horizontal="center" vertical="center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1" fontId="15" fillId="0" borderId="13" xfId="0" applyNumberFormat="1" applyFont="1" applyBorder="1" applyAlignment="1">
      <alignment horizontal="center" vertical="center" wrapText="1"/>
    </xf>
    <xf numFmtId="166" fontId="16" fillId="0" borderId="8" xfId="0" applyNumberFormat="1" applyFont="1" applyBorder="1" applyAlignment="1">
      <alignment horizontal="center" vertical="center"/>
    </xf>
    <xf numFmtId="166" fontId="16" fillId="0" borderId="4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1" fontId="15" fillId="0" borderId="2" xfId="0" applyNumberFormat="1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43" fillId="7" borderId="0" xfId="2" applyNumberFormat="1" applyFont="1" applyAlignment="1">
      <alignment horizontal="center" vertical="center"/>
    </xf>
    <xf numFmtId="0" fontId="43" fillId="7" borderId="0" xfId="2" applyFont="1" applyAlignment="1">
      <alignment horizontal="center" vertical="center"/>
    </xf>
    <xf numFmtId="0" fontId="15" fillId="0" borderId="0" xfId="0" applyFont="1"/>
    <xf numFmtId="0" fontId="16" fillId="0" borderId="2" xfId="0" applyFont="1" applyBorder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0" fontId="15" fillId="3" borderId="0" xfId="0" applyFont="1" applyFill="1"/>
    <xf numFmtId="0" fontId="44" fillId="0" borderId="0" xfId="0" applyFont="1"/>
    <xf numFmtId="0" fontId="44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45" fillId="0" borderId="0" xfId="0" applyNumberFormat="1" applyFont="1" applyAlignment="1">
      <alignment horizontal="center" shrinkToFit="1"/>
    </xf>
    <xf numFmtId="164" fontId="45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44" fillId="0" borderId="0" xfId="0" applyFont="1" applyAlignment="1">
      <alignment vertical="center"/>
    </xf>
    <xf numFmtId="0" fontId="46" fillId="2" borderId="0" xfId="0" applyFont="1" applyFill="1" applyAlignment="1">
      <alignment horizontal="right"/>
    </xf>
    <xf numFmtId="2" fontId="16" fillId="0" borderId="0" xfId="0" applyNumberFormat="1" applyFont="1"/>
    <xf numFmtId="0" fontId="16" fillId="0" borderId="11" xfId="0" applyFont="1" applyBorder="1"/>
    <xf numFmtId="0" fontId="15" fillId="3" borderId="4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48" fillId="9" borderId="2" xfId="0" applyNumberFormat="1" applyFont="1" applyFill="1" applyBorder="1" applyAlignment="1" applyProtection="1">
      <alignment horizontal="center" vertical="center"/>
      <protection locked="0"/>
    </xf>
    <xf numFmtId="0" fontId="48" fillId="9" borderId="2" xfId="0" applyFont="1" applyFill="1" applyBorder="1" applyAlignment="1" applyProtection="1">
      <alignment horizontal="center" vertical="center"/>
      <protection locked="0"/>
    </xf>
    <xf numFmtId="9" fontId="48" fillId="9" borderId="2" xfId="3" applyFont="1" applyFill="1" applyBorder="1" applyAlignment="1" applyProtection="1">
      <alignment horizontal="center" vertical="center"/>
      <protection locked="0"/>
    </xf>
    <xf numFmtId="0" fontId="48" fillId="9" borderId="2" xfId="0" applyFont="1" applyFill="1" applyBorder="1" applyAlignment="1">
      <alignment horizontal="center" vertical="center"/>
    </xf>
    <xf numFmtId="0" fontId="48" fillId="9" borderId="11" xfId="0" applyFont="1" applyFill="1" applyBorder="1" applyAlignment="1">
      <alignment horizontal="center" vertical="center"/>
    </xf>
    <xf numFmtId="0" fontId="49" fillId="9" borderId="2" xfId="0" applyFont="1" applyFill="1" applyBorder="1" applyAlignment="1">
      <alignment horizontal="center" vertical="center"/>
    </xf>
    <xf numFmtId="1" fontId="49" fillId="9" borderId="2" xfId="0" applyNumberFormat="1" applyFont="1" applyFill="1" applyBorder="1" applyAlignment="1" applyProtection="1">
      <alignment horizontal="center" vertical="center" wrapText="1"/>
      <protection locked="0"/>
    </xf>
    <xf numFmtId="164" fontId="49" fillId="9" borderId="2" xfId="0" applyNumberFormat="1" applyFont="1" applyFill="1" applyBorder="1" applyAlignment="1" applyProtection="1">
      <alignment horizontal="center" vertical="center" wrapText="1"/>
      <protection locked="0"/>
    </xf>
    <xf numFmtId="0" fontId="49" fillId="9" borderId="2" xfId="0" applyFont="1" applyFill="1" applyBorder="1" applyAlignment="1">
      <alignment horizontal="center"/>
    </xf>
    <xf numFmtId="165" fontId="50" fillId="9" borderId="2" xfId="0" applyNumberFormat="1" applyFont="1" applyFill="1" applyBorder="1" applyAlignment="1" applyProtection="1">
      <alignment horizontal="center" vertical="center"/>
      <protection locked="0"/>
    </xf>
    <xf numFmtId="0" fontId="47" fillId="9" borderId="2" xfId="0" applyFont="1" applyFill="1" applyBorder="1" applyAlignment="1">
      <alignment horizontal="center" vertical="center"/>
    </xf>
    <xf numFmtId="165" fontId="47" fillId="9" borderId="2" xfId="0" applyNumberFormat="1" applyFont="1" applyFill="1" applyBorder="1" applyAlignment="1">
      <alignment horizontal="center" vertical="center"/>
    </xf>
    <xf numFmtId="1" fontId="49" fillId="9" borderId="2" xfId="0" applyNumberFormat="1" applyFont="1" applyFill="1" applyBorder="1" applyAlignment="1">
      <alignment horizontal="center" vertical="center" wrapText="1"/>
    </xf>
    <xf numFmtId="0" fontId="2" fillId="0" borderId="0" xfId="5"/>
    <xf numFmtId="1" fontId="2" fillId="0" borderId="0" xfId="5" applyNumberFormat="1"/>
    <xf numFmtId="49" fontId="2" fillId="0" borderId="2" xfId="5" applyNumberFormat="1" applyBorder="1" applyAlignment="1">
      <alignment horizontal="center" vertical="center" wrapText="1"/>
    </xf>
    <xf numFmtId="0" fontId="29" fillId="0" borderId="0" xfId="5" applyFont="1"/>
    <xf numFmtId="0" fontId="2" fillId="0" borderId="2" xfId="5" applyBorder="1" applyAlignment="1">
      <alignment horizontal="center" vertical="center"/>
    </xf>
    <xf numFmtId="1" fontId="7" fillId="0" borderId="2" xfId="5" applyNumberFormat="1" applyFont="1" applyBorder="1" applyAlignment="1">
      <alignment horizontal="center" vertical="center"/>
    </xf>
    <xf numFmtId="49" fontId="11" fillId="0" borderId="2" xfId="5" applyNumberFormat="1" applyFont="1" applyBorder="1" applyAlignment="1">
      <alignment horizontal="center" vertical="center" wrapText="1"/>
    </xf>
    <xf numFmtId="0" fontId="11" fillId="0" borderId="2" xfId="5" applyFont="1" applyBorder="1" applyAlignment="1">
      <alignment horizontal="center" vertical="center"/>
    </xf>
    <xf numFmtId="0" fontId="51" fillId="0" borderId="2" xfId="5" applyFont="1" applyBorder="1" applyAlignment="1">
      <alignment horizontal="center" vertical="center"/>
    </xf>
    <xf numFmtId="0" fontId="6" fillId="0" borderId="2" xfId="5" applyFont="1" applyBorder="1" applyAlignment="1">
      <alignment horizontal="center" vertical="center"/>
    </xf>
    <xf numFmtId="1" fontId="1" fillId="0" borderId="2" xfId="5" applyNumberFormat="1" applyFont="1" applyBorder="1" applyAlignment="1">
      <alignment horizontal="center" vertical="center"/>
    </xf>
    <xf numFmtId="0" fontId="11" fillId="0" borderId="0" xfId="5" applyFont="1"/>
    <xf numFmtId="0" fontId="7" fillId="0" borderId="2" xfId="5" applyFont="1" applyBorder="1" applyAlignment="1">
      <alignment horizontal="center" vertical="center"/>
    </xf>
    <xf numFmtId="3" fontId="7" fillId="0" borderId="2" xfId="5" applyNumberFormat="1" applyFont="1" applyBorder="1" applyAlignment="1">
      <alignment horizontal="center" vertical="center"/>
    </xf>
    <xf numFmtId="167" fontId="7" fillId="0" borderId="2" xfId="5" applyNumberFormat="1" applyFont="1" applyBorder="1" applyAlignment="1">
      <alignment horizontal="center" vertical="center"/>
    </xf>
    <xf numFmtId="165" fontId="7" fillId="0" borderId="2" xfId="5" applyNumberFormat="1" applyFont="1" applyBorder="1" applyAlignment="1">
      <alignment horizontal="center" vertical="center"/>
    </xf>
    <xf numFmtId="165" fontId="52" fillId="0" borderId="2" xfId="5" applyNumberFormat="1" applyFont="1" applyBorder="1" applyAlignment="1" applyProtection="1">
      <alignment horizontal="center" vertical="center"/>
      <protection locked="0"/>
    </xf>
    <xf numFmtId="2" fontId="7" fillId="0" borderId="2" xfId="5" applyNumberFormat="1" applyFont="1" applyBorder="1" applyAlignment="1">
      <alignment horizontal="center" vertical="center"/>
    </xf>
    <xf numFmtId="165" fontId="2" fillId="0" borderId="2" xfId="5" applyNumberFormat="1" applyBorder="1" applyAlignment="1">
      <alignment horizontal="center" vertical="center"/>
    </xf>
    <xf numFmtId="165" fontId="51" fillId="0" borderId="2" xfId="5" applyNumberFormat="1" applyFont="1" applyBorder="1" applyAlignment="1">
      <alignment horizontal="center" vertical="center"/>
    </xf>
    <xf numFmtId="1" fontId="7" fillId="0" borderId="2" xfId="5" applyNumberFormat="1" applyFont="1" applyBorder="1" applyAlignment="1" applyProtection="1">
      <alignment horizontal="center" vertical="center"/>
      <protection locked="0"/>
    </xf>
    <xf numFmtId="0" fontId="24" fillId="0" borderId="36" xfId="5" applyFont="1" applyBorder="1" applyAlignment="1">
      <alignment horizontal="center" vertical="center"/>
    </xf>
    <xf numFmtId="3" fontId="24" fillId="0" borderId="36" xfId="5" applyNumberFormat="1" applyFont="1" applyBorder="1" applyAlignment="1">
      <alignment horizontal="center" vertical="center"/>
    </xf>
    <xf numFmtId="0" fontId="24" fillId="0" borderId="36" xfId="5" applyFont="1" applyBorder="1" applyAlignment="1" applyProtection="1">
      <alignment horizontal="center" vertical="center"/>
      <protection locked="0"/>
    </xf>
    <xf numFmtId="165" fontId="24" fillId="0" borderId="36" xfId="5" applyNumberFormat="1" applyFont="1" applyBorder="1" applyAlignment="1">
      <alignment horizontal="center" vertical="center"/>
    </xf>
    <xf numFmtId="1" fontId="24" fillId="0" borderId="36" xfId="5" applyNumberFormat="1" applyFont="1" applyBorder="1" applyAlignment="1">
      <alignment horizontal="center" vertical="center"/>
    </xf>
    <xf numFmtId="165" fontId="7" fillId="0" borderId="0" xfId="5" applyNumberFormat="1" applyFont="1" applyAlignment="1">
      <alignment horizontal="center" vertical="center"/>
    </xf>
    <xf numFmtId="165" fontId="2" fillId="0" borderId="0" xfId="5" applyNumberFormat="1"/>
    <xf numFmtId="3" fontId="2" fillId="0" borderId="0" xfId="5" applyNumberFormat="1"/>
    <xf numFmtId="0" fontId="2" fillId="0" borderId="0" xfId="5" applyAlignment="1">
      <alignment vertical="center"/>
    </xf>
    <xf numFmtId="0" fontId="2" fillId="0" borderId="0" xfId="5" applyAlignment="1">
      <alignment vertical="center" wrapText="1"/>
    </xf>
    <xf numFmtId="10" fontId="2" fillId="0" borderId="0" xfId="5" applyNumberFormat="1"/>
    <xf numFmtId="0" fontId="4" fillId="0" borderId="41" xfId="5" applyFont="1" applyBorder="1" applyAlignment="1">
      <alignment vertical="center"/>
    </xf>
    <xf numFmtId="0" fontId="4" fillId="0" borderId="20" xfId="5" applyFont="1" applyBorder="1" applyAlignment="1">
      <alignment vertical="center"/>
    </xf>
    <xf numFmtId="0" fontId="4" fillId="0" borderId="15" xfId="5" applyFont="1" applyBorder="1" applyAlignment="1">
      <alignment vertical="center"/>
    </xf>
    <xf numFmtId="0" fontId="4" fillId="0" borderId="22" xfId="5" applyFont="1" applyBorder="1" applyAlignment="1">
      <alignment vertical="center"/>
    </xf>
    <xf numFmtId="0" fontId="4" fillId="0" borderId="42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41" xfId="5" applyFont="1" applyBorder="1" applyAlignment="1">
      <alignment vertical="center"/>
    </xf>
    <xf numFmtId="0" fontId="3" fillId="0" borderId="43" xfId="5" applyFont="1" applyBorder="1" applyAlignment="1">
      <alignment horizontal="center"/>
    </xf>
    <xf numFmtId="0" fontId="3" fillId="0" borderId="44" xfId="5" applyFont="1" applyBorder="1" applyAlignment="1">
      <alignment horizontal="center"/>
    </xf>
    <xf numFmtId="0" fontId="3" fillId="0" borderId="45" xfId="5" applyFont="1" applyBorder="1" applyAlignment="1">
      <alignment horizontal="center"/>
    </xf>
    <xf numFmtId="0" fontId="3" fillId="0" borderId="46" xfId="5" applyFont="1" applyBorder="1" applyAlignment="1">
      <alignment horizontal="center"/>
    </xf>
    <xf numFmtId="0" fontId="3" fillId="0" borderId="47" xfId="5" applyFont="1" applyBorder="1" applyAlignment="1">
      <alignment horizontal="center" vertical="center"/>
    </xf>
    <xf numFmtId="0" fontId="3" fillId="0" borderId="41" xfId="5" applyFont="1" applyBorder="1" applyAlignment="1">
      <alignment horizontal="center" vertical="center"/>
    </xf>
    <xf numFmtId="0" fontId="3" fillId="0" borderId="47" xfId="5" applyFont="1" applyBorder="1" applyAlignment="1">
      <alignment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center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center" vertical="center"/>
    </xf>
    <xf numFmtId="0" fontId="5" fillId="0" borderId="41" xfId="5" applyFont="1" applyBorder="1" applyAlignment="1">
      <alignment horizontal="center" vertical="center"/>
    </xf>
    <xf numFmtId="0" fontId="5" fillId="0" borderId="47" xfId="5" applyFont="1" applyBorder="1" applyAlignment="1">
      <alignment horizontal="center" vertical="center"/>
    </xf>
    <xf numFmtId="0" fontId="3" fillId="0" borderId="53" xfId="5" applyFont="1" applyBorder="1" applyAlignment="1">
      <alignment horizontal="left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center" vertical="center"/>
    </xf>
    <xf numFmtId="0" fontId="3" fillId="0" borderId="56" xfId="5" applyFont="1" applyBorder="1" applyAlignment="1">
      <alignment horizontal="left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center" vertical="center"/>
    </xf>
    <xf numFmtId="0" fontId="3" fillId="0" borderId="59" xfId="5" applyFont="1" applyBorder="1" applyAlignment="1">
      <alignment horizontal="left" vertical="center"/>
    </xf>
    <xf numFmtId="0" fontId="3" fillId="0" borderId="60" xfId="5" applyFont="1" applyBorder="1" applyAlignment="1">
      <alignment horizontal="center" vertical="center"/>
    </xf>
    <xf numFmtId="0" fontId="3" fillId="0" borderId="61" xfId="5" applyFont="1" applyBorder="1" applyAlignment="1">
      <alignment horizontal="center" vertical="center"/>
    </xf>
    <xf numFmtId="0" fontId="3" fillId="0" borderId="62" xfId="5" applyFont="1" applyBorder="1" applyAlignment="1">
      <alignment horizontal="left" vertical="center"/>
    </xf>
    <xf numFmtId="0" fontId="3" fillId="0" borderId="63" xfId="5" applyFont="1" applyBorder="1" applyAlignment="1">
      <alignment horizontal="center" vertical="center"/>
    </xf>
    <xf numFmtId="0" fontId="3" fillId="0" borderId="64" xfId="5" applyFont="1" applyBorder="1" applyAlignment="1">
      <alignment horizontal="center" vertical="center"/>
    </xf>
    <xf numFmtId="0" fontId="3" fillId="0" borderId="65" xfId="5" applyFont="1" applyBorder="1" applyAlignment="1">
      <alignment horizontal="left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center" vertical="center"/>
    </xf>
    <xf numFmtId="0" fontId="3" fillId="0" borderId="68" xfId="5" applyFont="1" applyBorder="1" applyAlignment="1">
      <alignment horizontal="left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center" vertical="center"/>
    </xf>
    <xf numFmtId="0" fontId="3" fillId="0" borderId="71" xfId="5" applyFont="1" applyBorder="1" applyAlignment="1">
      <alignment horizontal="left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center" vertical="center"/>
    </xf>
    <xf numFmtId="0" fontId="3" fillId="0" borderId="74" xfId="5" applyFont="1" applyBorder="1" applyAlignment="1">
      <alignment horizontal="left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center" vertical="center"/>
    </xf>
    <xf numFmtId="0" fontId="3" fillId="0" borderId="76" xfId="5" applyFont="1" applyBorder="1" applyAlignment="1">
      <alignment vertical="center"/>
    </xf>
    <xf numFmtId="0" fontId="3" fillId="0" borderId="77" xfId="5" applyFont="1" applyBorder="1" applyAlignment="1">
      <alignment horizontal="left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center" vertical="center"/>
    </xf>
    <xf numFmtId="0" fontId="3" fillId="0" borderId="80" xfId="5" applyFont="1" applyBorder="1" applyAlignment="1">
      <alignment horizontal="left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center" vertical="center"/>
    </xf>
    <xf numFmtId="0" fontId="3" fillId="0" borderId="83" xfId="5" applyFont="1" applyBorder="1" applyAlignment="1">
      <alignment horizontal="left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center" vertical="center"/>
    </xf>
    <xf numFmtId="0" fontId="3" fillId="0" borderId="86" xfId="5" applyFont="1" applyBorder="1" applyAlignment="1">
      <alignment horizontal="left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center" vertical="center"/>
    </xf>
    <xf numFmtId="0" fontId="3" fillId="0" borderId="89" xfId="5" applyFont="1" applyBorder="1" applyAlignment="1">
      <alignment horizontal="left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center" vertical="center"/>
    </xf>
    <xf numFmtId="0" fontId="3" fillId="0" borderId="92" xfId="5" applyFont="1" applyBorder="1" applyAlignment="1">
      <alignment horizontal="left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center" vertical="center"/>
    </xf>
    <xf numFmtId="0" fontId="3" fillId="0" borderId="95" xfId="5" applyFont="1" applyBorder="1" applyAlignment="1">
      <alignment horizontal="left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center" vertical="center"/>
    </xf>
    <xf numFmtId="0" fontId="3" fillId="0" borderId="98" xfId="5" applyFont="1" applyBorder="1" applyAlignment="1">
      <alignment horizontal="left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center" vertical="center"/>
    </xf>
    <xf numFmtId="0" fontId="3" fillId="0" borderId="101" xfId="5" applyFont="1" applyBorder="1" applyAlignment="1">
      <alignment horizontal="left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center" vertical="center"/>
    </xf>
    <xf numFmtId="0" fontId="3" fillId="0" borderId="104" xfId="5" applyFont="1" applyBorder="1" applyAlignment="1">
      <alignment horizontal="left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center" vertical="center"/>
    </xf>
    <xf numFmtId="0" fontId="3" fillId="0" borderId="107" xfId="5" applyFont="1" applyBorder="1" applyAlignment="1">
      <alignment horizontal="left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center" vertical="center"/>
    </xf>
    <xf numFmtId="0" fontId="3" fillId="0" borderId="110" xfId="5" applyFont="1" applyBorder="1" applyAlignment="1">
      <alignment horizontal="left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center" vertical="center"/>
    </xf>
    <xf numFmtId="0" fontId="3" fillId="0" borderId="113" xfId="5" applyFont="1" applyBorder="1" applyAlignment="1">
      <alignment horizontal="left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center" vertical="center"/>
    </xf>
    <xf numFmtId="0" fontId="3" fillId="0" borderId="116" xfId="5" applyFont="1" applyBorder="1" applyAlignment="1">
      <alignment horizontal="left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center" vertical="center"/>
    </xf>
    <xf numFmtId="0" fontId="3" fillId="0" borderId="119" xfId="5" applyFont="1" applyBorder="1" applyAlignment="1">
      <alignment horizontal="left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center" vertical="center"/>
    </xf>
    <xf numFmtId="0" fontId="3" fillId="0" borderId="122" xfId="5" applyFont="1" applyBorder="1" applyAlignment="1">
      <alignment horizontal="left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center" vertical="center"/>
    </xf>
    <xf numFmtId="0" fontId="3" fillId="0" borderId="125" xfId="5" applyFont="1" applyBorder="1" applyAlignment="1">
      <alignment horizontal="left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center" vertical="center"/>
    </xf>
    <xf numFmtId="0" fontId="3" fillId="0" borderId="128" xfId="5" applyFont="1" applyBorder="1" applyAlignment="1">
      <alignment horizontal="left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center" vertical="center"/>
    </xf>
    <xf numFmtId="0" fontId="3" fillId="0" borderId="131" xfId="5" applyFont="1" applyBorder="1" applyAlignment="1">
      <alignment horizontal="left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horizontal="center" vertical="center"/>
    </xf>
    <xf numFmtId="0" fontId="3" fillId="0" borderId="134" xfId="5" applyFont="1" applyBorder="1" applyAlignment="1">
      <alignment horizontal="left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horizontal="center" vertical="center"/>
    </xf>
    <xf numFmtId="0" fontId="3" fillId="0" borderId="137" xfId="5" applyFont="1" applyBorder="1" applyAlignment="1">
      <alignment horizontal="left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horizontal="center" vertical="center"/>
    </xf>
    <xf numFmtId="0" fontId="3" fillId="0" borderId="140" xfId="5" applyFont="1" applyBorder="1" applyAlignment="1">
      <alignment horizontal="left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horizontal="center" vertical="center"/>
    </xf>
    <xf numFmtId="0" fontId="3" fillId="0" borderId="143" xfId="5" applyFont="1" applyBorder="1" applyAlignment="1">
      <alignment horizontal="left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horizontal="center" vertical="center"/>
    </xf>
    <xf numFmtId="0" fontId="3" fillId="0" borderId="146" xfId="5" applyFont="1" applyBorder="1" applyAlignment="1">
      <alignment horizontal="left" vertical="center"/>
    </xf>
    <xf numFmtId="0" fontId="3" fillId="0" borderId="147" xfId="5" applyFont="1" applyBorder="1" applyAlignment="1">
      <alignment horizontal="center" vertical="center"/>
    </xf>
    <xf numFmtId="0" fontId="3" fillId="0" borderId="148" xfId="5" applyFont="1" applyBorder="1" applyAlignment="1">
      <alignment horizontal="center" vertical="center"/>
    </xf>
    <xf numFmtId="0" fontId="3" fillId="0" borderId="149" xfId="5" applyFont="1" applyBorder="1" applyAlignment="1">
      <alignment vertical="center"/>
    </xf>
    <xf numFmtId="0" fontId="3" fillId="0" borderId="150" xfId="5" applyFont="1" applyBorder="1" applyAlignment="1">
      <alignment horizontal="center" vertical="center"/>
    </xf>
    <xf numFmtId="0" fontId="3" fillId="0" borderId="151" xfId="5" applyFont="1" applyBorder="1" applyAlignment="1">
      <alignment horizontal="center" vertical="center"/>
    </xf>
    <xf numFmtId="0" fontId="3" fillId="0" borderId="152" xfId="5" applyFont="1" applyBorder="1" applyAlignment="1">
      <alignment horizontal="center" vertical="center"/>
    </xf>
    <xf numFmtId="0" fontId="3" fillId="0" borderId="153" xfId="5" applyFont="1" applyBorder="1" applyAlignment="1">
      <alignment horizontal="center" vertical="center"/>
    </xf>
    <xf numFmtId="0" fontId="3" fillId="0" borderId="154" xfId="5" applyFont="1" applyBorder="1" applyAlignment="1">
      <alignment horizontal="center" vertical="center"/>
    </xf>
    <xf numFmtId="0" fontId="3" fillId="0" borderId="155" xfId="5" applyFont="1" applyBorder="1" applyAlignment="1">
      <alignment vertical="center"/>
    </xf>
    <xf numFmtId="0" fontId="3" fillId="0" borderId="156" xfId="5" applyFont="1" applyBorder="1" applyAlignment="1">
      <alignment horizontal="center" vertical="center"/>
    </xf>
    <xf numFmtId="0" fontId="3" fillId="0" borderId="157" xfId="5" applyFont="1" applyBorder="1" applyAlignment="1">
      <alignment horizontal="center" vertical="center"/>
    </xf>
    <xf numFmtId="0" fontId="3" fillId="0" borderId="158" xfId="5" applyFont="1" applyBorder="1" applyAlignment="1">
      <alignment vertical="center"/>
    </xf>
    <xf numFmtId="0" fontId="3" fillId="0" borderId="159" xfId="5" applyFont="1" applyBorder="1" applyAlignment="1">
      <alignment horizontal="center" vertical="center"/>
    </xf>
    <xf numFmtId="0" fontId="3" fillId="0" borderId="160" xfId="5" applyFont="1" applyBorder="1" applyAlignment="1">
      <alignment horizontal="center" vertical="center"/>
    </xf>
    <xf numFmtId="0" fontId="3" fillId="0" borderId="161" xfId="5" applyFont="1" applyBorder="1" applyAlignment="1">
      <alignment vertical="center"/>
    </xf>
    <xf numFmtId="0" fontId="3" fillId="0" borderId="162" xfId="5" applyFont="1" applyBorder="1" applyAlignment="1">
      <alignment horizontal="center" vertical="center"/>
    </xf>
    <xf numFmtId="0" fontId="3" fillId="0" borderId="163" xfId="5" applyFont="1" applyBorder="1" applyAlignment="1">
      <alignment horizontal="center" vertical="center"/>
    </xf>
    <xf numFmtId="0" fontId="3" fillId="0" borderId="163" xfId="5" applyFont="1" applyBorder="1" applyAlignment="1">
      <alignment vertical="center"/>
    </xf>
    <xf numFmtId="0" fontId="3" fillId="0" borderId="163" xfId="5" applyFont="1" applyBorder="1" applyAlignment="1">
      <alignment horizontal="left" vertical="center"/>
    </xf>
    <xf numFmtId="165" fontId="48" fillId="9" borderId="18" xfId="0" applyNumberFormat="1" applyFont="1" applyFill="1" applyBorder="1" applyAlignment="1" applyProtection="1">
      <alignment horizontal="center" vertical="center"/>
      <protection locked="0"/>
    </xf>
    <xf numFmtId="165" fontId="36" fillId="0" borderId="4" xfId="0" applyNumberFormat="1" applyFont="1" applyBorder="1" applyAlignment="1" applyProtection="1">
      <alignment horizontal="center" vertical="center"/>
      <protection locked="0"/>
    </xf>
    <xf numFmtId="0" fontId="42" fillId="0" borderId="11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39" fillId="0" borderId="0" xfId="4" applyFont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8" fillId="9" borderId="0" xfId="0" applyFont="1" applyFill="1" applyAlignment="1" applyProtection="1">
      <alignment horizontal="left"/>
      <protection locked="0"/>
    </xf>
    <xf numFmtId="0" fontId="36" fillId="0" borderId="0" xfId="0" applyFont="1" applyAlignment="1" applyProtection="1">
      <alignment horizontal="left"/>
      <protection locked="0"/>
    </xf>
    <xf numFmtId="14" fontId="48" fillId="9" borderId="0" xfId="0" applyNumberFormat="1" applyFont="1" applyFill="1" applyAlignment="1" applyProtection="1">
      <alignment horizontal="left"/>
      <protection locked="0"/>
    </xf>
    <xf numFmtId="0" fontId="35" fillId="0" borderId="11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4" fillId="0" borderId="0" xfId="0" applyFont="1" applyAlignment="1">
      <alignment horizontal="left"/>
    </xf>
    <xf numFmtId="0" fontId="9" fillId="0" borderId="2" xfId="0" applyFont="1" applyBorder="1" applyAlignment="1">
      <alignment horizontal="center" vertical="center"/>
    </xf>
    <xf numFmtId="0" fontId="15" fillId="0" borderId="17" xfId="0" applyFont="1" applyBorder="1" applyAlignment="1" applyProtection="1">
      <alignment horizontal="left" vertical="top" wrapText="1"/>
      <protection locked="0"/>
    </xf>
    <xf numFmtId="0" fontId="15" fillId="0" borderId="25" xfId="0" applyFont="1" applyBorder="1" applyAlignment="1" applyProtection="1">
      <alignment horizontal="left" vertical="top" wrapText="1"/>
      <protection locked="0"/>
    </xf>
    <xf numFmtId="0" fontId="15" fillId="0" borderId="26" xfId="0" applyFont="1" applyBorder="1" applyAlignment="1" applyProtection="1">
      <alignment horizontal="left" vertical="top" wrapText="1"/>
      <protection locked="0"/>
    </xf>
    <xf numFmtId="0" fontId="15" fillId="0" borderId="15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22" xfId="0" applyFont="1" applyBorder="1" applyAlignment="1" applyProtection="1">
      <alignment horizontal="left" vertical="top" wrapText="1"/>
      <protection locked="0"/>
    </xf>
    <xf numFmtId="0" fontId="15" fillId="0" borderId="24" xfId="0" applyFont="1" applyBorder="1" applyAlignment="1" applyProtection="1">
      <alignment horizontal="left" vertical="top" wrapText="1"/>
      <protection locked="0"/>
    </xf>
    <xf numFmtId="0" fontId="15" fillId="0" borderId="10" xfId="0" applyFont="1" applyBorder="1" applyAlignment="1" applyProtection="1">
      <alignment horizontal="left" vertical="top" wrapText="1"/>
      <protection locked="0"/>
    </xf>
    <xf numFmtId="0" fontId="15" fillId="0" borderId="27" xfId="0" applyFont="1" applyBorder="1" applyAlignment="1" applyProtection="1">
      <alignment horizontal="left" vertical="top" wrapText="1"/>
      <protection locked="0"/>
    </xf>
    <xf numFmtId="0" fontId="16" fillId="0" borderId="11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5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0" fontId="28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1" fontId="7" fillId="0" borderId="2" xfId="0" applyNumberFormat="1" applyFont="1" applyBorder="1" applyAlignment="1">
      <alignment horizontal="center" vertical="center" wrapText="1"/>
    </xf>
    <xf numFmtId="0" fontId="28" fillId="0" borderId="2" xfId="5" applyFont="1" applyBorder="1" applyAlignment="1">
      <alignment horizontal="center" vertical="center"/>
    </xf>
    <xf numFmtId="0" fontId="2" fillId="0" borderId="2" xfId="5" applyBorder="1" applyAlignment="1">
      <alignment horizontal="center" vertical="center"/>
    </xf>
    <xf numFmtId="49" fontId="2" fillId="0" borderId="2" xfId="5" applyNumberFormat="1" applyBorder="1" applyAlignment="1">
      <alignment horizontal="center" vertical="center" wrapText="1"/>
    </xf>
    <xf numFmtId="0" fontId="2" fillId="0" borderId="2" xfId="5" applyBorder="1" applyAlignment="1">
      <alignment horizontal="center" vertical="center" wrapText="1"/>
    </xf>
    <xf numFmtId="1" fontId="7" fillId="0" borderId="2" xfId="5" applyNumberFormat="1" applyFont="1" applyBorder="1" applyAlignment="1">
      <alignment horizontal="center" vertical="center" wrapText="1"/>
    </xf>
    <xf numFmtId="0" fontId="0" fillId="0" borderId="29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19" fillId="0" borderId="30" xfId="0" applyFont="1" applyBorder="1" applyAlignment="1">
      <alignment horizontal="left" vertical="top" wrapText="1" indent="18"/>
    </xf>
    <xf numFmtId="0" fontId="19" fillId="0" borderId="31" xfId="0" applyFont="1" applyBorder="1" applyAlignment="1">
      <alignment horizontal="left" vertical="top" wrapText="1" indent="18"/>
    </xf>
    <xf numFmtId="0" fontId="19" fillId="0" borderId="32" xfId="0" applyFont="1" applyBorder="1" applyAlignment="1">
      <alignment horizontal="left" vertical="top" wrapText="1" indent="18"/>
    </xf>
    <xf numFmtId="0" fontId="8" fillId="5" borderId="11" xfId="0" applyFont="1" applyFill="1" applyBorder="1" applyAlignment="1">
      <alignment horizontal="center"/>
    </xf>
    <xf numFmtId="0" fontId="8" fillId="5" borderId="9" xfId="0" applyFont="1" applyFill="1" applyBorder="1" applyAlignment="1">
      <alignment horizontal="center"/>
    </xf>
    <xf numFmtId="0" fontId="8" fillId="5" borderId="5" xfId="0" applyFont="1" applyFill="1" applyBorder="1" applyAlignment="1">
      <alignment horizontal="center"/>
    </xf>
    <xf numFmtId="0" fontId="15" fillId="0" borderId="11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4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638175</xdr:colOff>
          <xdr:row>4</xdr:row>
          <xdr:rowOff>104775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1</xdr:col>
          <xdr:colOff>257175</xdr:colOff>
          <xdr:row>5</xdr:row>
          <xdr:rowOff>47625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152400</xdr:rowOff>
        </xdr:from>
        <xdr:to>
          <xdr:col>1</xdr:col>
          <xdr:colOff>85725</xdr:colOff>
          <xdr:row>3</xdr:row>
          <xdr:rowOff>0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423" dataDxfId="421" headerRowBorderDxfId="422" tableBorderDxfId="420" totalsRowBorderDxfId="419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418"/>
    <tableColumn id="18" xr3:uid="{366DBBF2-20A8-4D60-93FE-3D5A81578DB0}" name="DISCHARGE CONFIG" dataDxfId="417"/>
    <tableColumn id="19" xr3:uid="{0CEE3843-A0BB-4053-8B60-160B8D23C3A1}" name="RETURN CONFIG" dataDxfId="416"/>
    <tableColumn id="2" xr3:uid="{A907651C-1565-4CA5-8395-FBF4A48F82DF}" name="SUPPLY FAN VFD" dataDxfId="415"/>
    <tableColumn id="3" xr3:uid="{A1BA734B-6B37-4C81-BB00-B96C74EABC9E}" name="RETURN FAN" dataDxfId="414"/>
    <tableColumn id="4" xr3:uid="{1A2A118E-5D50-4E1F-8178-C4EFA7C8AFB2}" name="RETURN FAN VFD" dataDxfId="413"/>
    <tableColumn id="5" xr3:uid="{9789DB90-BB58-4C9A-84AA-733010BD2ABF}" name="ECONOMIZER" dataDxfId="412"/>
    <tableColumn id="6" xr3:uid="{7F342EF1-E9D4-4167-9F2C-FB7ECDD16AC5}" name="HEAT RECOVERY" dataDxfId="411"/>
    <tableColumn id="7" xr3:uid="{26A7AB30-2773-4D3A-B047-D020B43C98AD}" name="PREHEAT COIL" dataDxfId="410"/>
    <tableColumn id="8" xr3:uid="{698E1BCF-A037-4D50-BC22-BF171E579A40}" name="REHEAT COIL" dataDxfId="409"/>
    <tableColumn id="9" xr3:uid="{E1206B26-EAF7-482D-90C7-BD9B25AC7DF4}" name="SUPPLY SMOKE" dataDxfId="408"/>
    <tableColumn id="10" xr3:uid="{3C1D9E90-D1DB-4131-ACF1-AE091BA0F570}" name="RETURN SMOKE" dataDxfId="407"/>
    <tableColumn id="11" xr3:uid="{42FFA5A3-94D2-4855-A74E-B15F86BB7CA6}" name="SINGLE POWER" dataDxfId="406"/>
    <tableColumn id="12" xr3:uid="{A9CF85BF-E075-40CD-A3D8-8F54B4742E17}" name="UV LIGHTS" dataDxfId="405"/>
    <tableColumn id="13" xr3:uid="{E6598DEC-673D-4041-8DFD-65E1B4E86C00}" name="PRE FILTER " dataDxfId="404"/>
    <tableColumn id="14" xr3:uid="{A42CA4AB-ECDB-4F8E-9F88-493EE19C6264}" name="INTERMIDIATE FILTER" dataDxfId="403"/>
    <tableColumn id="15" xr3:uid="{7E317255-F402-493B-BA5E-6339E59F2B79}" name="ATFP DAMPERS" dataDxfId="402"/>
    <tableColumn id="16" xr3:uid="{F81087CC-928B-4AE1-A5CB-B814D3F9D515}" name="HUMIDIFIER" dataDxfId="401"/>
    <tableColumn id="17" xr3:uid="{6D8362BD-1A4B-4899-83CC-017029BF5237}" name="HEPA FILTER" dataDxfId="40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399" dataDxfId="398">
  <autoFilter ref="B29:E30" xr:uid="{4581B1AD-A786-2246-8D37-2A5F7703F76B}"/>
  <tableColumns count="4">
    <tableColumn id="1" xr3:uid="{F6DE3AB9-A636-4F44-A1A2-B490A8559CB9}" name="Number of Chillers" dataDxfId="397"/>
    <tableColumn id="2" xr3:uid="{4435B585-7E01-124C-A117-60351029480F}" name="Diversity %" dataDxfId="396" dataCellStyle="Percent"/>
    <tableColumn id="3" xr3:uid="{5593EF6B-BC7D-2545-87E3-670353EFCEA9}" name="number of CHW Pumps" dataDxfId="395"/>
    <tableColumn id="4" xr3:uid="{62962FB5-BAF9-064A-8972-6E8082614CD8}" name="Column1" dataDxfId="39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578E37-F563-8A4D-8E2C-759CFD1DFD7E}" name="TABLE4A437" displayName="TABLE4A437" ref="B6:AA18" totalsRowCount="1" headerRowDxfId="392" dataDxfId="391" totalsRowDxfId="389" tableBorderDxfId="390">
  <autoFilter ref="B6:AA17" xr:uid="{CB578E37-F563-8A4D-8E2C-759CFD1DFD7E}"/>
  <tableColumns count="26">
    <tableColumn id="2" xr3:uid="{57296713-3F1D-DC42-AE70-4BFBEC05DD1B}" name="ZONE" dataDxfId="388" totalsRowDxfId="387"/>
    <tableColumn id="3" xr3:uid="{0F252677-7C55-5643-80AC-1FF8A022F548}" name="ROOM" dataDxfId="386" totalsRowDxfId="385"/>
    <tableColumn id="4" xr3:uid="{C923417F-CD0B-BF4F-810F-B30692E1115C}" name="ROOM #" dataDxfId="384" totalsRowDxfId="383"/>
    <tableColumn id="5" xr3:uid="{FED9DDD2-6C54-7F45-B551-B0B8167815CC}" name="AREA (FT²)" totalsRowFunction="sum" dataDxfId="382" totalsRowDxfId="381"/>
    <tableColumn id="6" xr3:uid="{945F8846-90F7-BD40-BCE6-F5AAFCCD8163}" name="HG_x000a_(FT)" dataDxfId="380" totalsRowDxfId="379"/>
    <tableColumn id="7" xr3:uid="{A86E03D5-8A16-9242-B10C-57E2DC2FEFB7}" name="TOTAL AC/HR" dataDxfId="378" totalsRowDxfId="377">
      <calculatedColumnFormula>VLOOKUP($M7,'UMC Table 4-A'!$A$2:$E$131,4,FALSE)</calculatedColumnFormula>
    </tableColumn>
    <tableColumn id="8" xr3:uid="{984B93E5-E551-4542-9330-EFF1294FAEFD}" name="100%_x000a_EA" dataDxfId="376" totalsRowDxfId="375">
      <calculatedColumnFormula>VLOOKUP($M7,'UMC Table 4-A'!$A$2:$E$131,5,FALSE)</calculatedColumnFormula>
    </tableColumn>
    <tableColumn id="9" xr3:uid="{D9BE1525-974A-0B42-AFE8-819E8C1426D8}" name="EA_x000a_(CFM)" dataDxfId="374" totalsRowDxfId="373">
      <calculatedColumnFormula>IF(H7="Yes",K7,"-")</calculatedColumnFormula>
    </tableColumn>
    <tableColumn id="10" xr3:uid="{09DDC411-7882-FF4E-94BE-2112B172D463}" name="LOAD CFM" dataDxfId="372" totalsRowDxfId="371"/>
    <tableColumn id="11" xr3:uid="{E33D5770-7540-9E46-A0A8-F1D7747100F6}" name="AC/HR CFM" dataDxfId="370" totalsRowDxfId="369">
      <calculatedColumnFormula>IF(G7&lt;&gt;"NR",ROUNDUP((E7*F7*G7)/60,-1),0)</calculatedColumnFormula>
    </tableColumn>
    <tableColumn id="12" xr3:uid="{C4346CA3-4575-324E-AC8F-BFEF800051F3}" name="1 CFM/SF" dataDxfId="368" totalsRowDxfId="367">
      <calculatedColumnFormula>E7</calculatedColumnFormula>
    </tableColumn>
    <tableColumn id="13" xr3:uid="{2AD462E6-2875-0249-8D61-D158DC84B508}" name="4-A DESIGNATION" dataDxfId="366" totalsRowDxfId="365"/>
    <tableColumn id="14" xr3:uid="{492337AD-9937-CD42-9B0B-25304B824921}" name="AIRBALANCE RELATIONSHIP" dataDxfId="364" totalsRowDxfId="363">
      <calculatedColumnFormula>VLOOKUP($M7,'UMC Table 4-A'!$A$2:$E$131,2,FALSE)</calculatedColumnFormula>
    </tableColumn>
    <tableColumn id="15" xr3:uid="{C8F7E51B-5FE7-B743-AE4F-710089A5DA34}" name="MINIMUM OSA CHANGES PER HOUR" dataDxfId="362" totalsRowDxfId="361">
      <calculatedColumnFormula>VLOOKUP($M7,'UMC Table 4-A'!$A$2:$E$131,3,FALSE)</calculatedColumnFormula>
    </tableColumn>
    <tableColumn id="16" xr3:uid="{1D193357-DEE7-284C-9AA3-B918FE3BA0AE}" name="OSA CFM" totalsRowFunction="sum" dataDxfId="360" totalsRowDxfId="359">
      <calculatedColumnFormula>IF(O7&lt;&gt;"NR",ROUNDUP((E7*F7*O7)/60,-1),0)</calculatedColumnFormula>
    </tableColumn>
    <tableColumn id="17" xr3:uid="{F617DD05-F8C9-884B-82E9-EA7515535C6D}" name="ALL AIR EXHAUSTED" dataDxfId="358" totalsRowDxfId="357">
      <calculatedColumnFormula>VLOOKUP($M7,'UMC Table 4-A'!$A$2:$E$131,5,FALSE)</calculatedColumnFormula>
    </tableColumn>
    <tableColumn id="18" xr3:uid="{FCA39B78-D1BB-BB49-B54A-6ED26CB628C3}" name="CALCULATED SA CFM" totalsRowFunction="sum" dataDxfId="356" totalsRowDxfId="355">
      <calculatedColumnFormula>IF(N7="Negative",IF(OR(M7="Toilet room",M7="Janitor's closet, housekeeping"),0,IF(0.1*U7&gt;50,220-0.1*U7,U7-50)),IF(Q7="Yes",0,CEILING(MAX(J7:L7),5)))</calculatedColumnFormula>
    </tableColumn>
    <tableColumn id="19" xr3:uid="{F7C15B62-0C8C-A244-B1D4-4F1B9A02BA7E}" name="DESIGN SA CFM" totalsRowFunction="sum" dataDxfId="354" totalsRowDxfId="353">
      <calculatedColumnFormula>R7</calculatedColumnFormula>
    </tableColumn>
    <tableColumn id="20" xr3:uid="{F3FED1EA-7114-E34D-8125-0057877A1D4D}" name="RA CFM" totalsRowFunction="sum" dataDxfId="352" totalsRowDxfId="351">
      <calculatedColumnFormula>IF(Q7="Yes",0,IF(N7="Positive",IF(0.1*R7&gt;50,R7-0.1*R7,R7-50),IF(N7="Negative",IF(0.1*R7&gt;50,R7+0.1*R7,R7+50),R7)))</calculatedColumnFormula>
    </tableColumn>
    <tableColumn id="21" xr3:uid="{AEBC51EE-B572-DC4F-ADAD-C61EAFC2083C}" name="EA CFM" totalsRowFunction="sum" dataDxfId="350" totalsRowDxfId="349">
      <calculatedColumnFormula>IF(Q7="Yes",I7,0)</calculatedColumnFormula>
    </tableColumn>
    <tableColumn id="22" xr3:uid="{BBEC9B0B-6547-0A47-A4B0-77ECA119C6B6}" name="Transfer Air CFM" totalsRowFunction="sum" dataDxfId="348" totalsRowDxfId="347">
      <calculatedColumnFormula>S7-T7-U7</calculatedColumnFormula>
    </tableColumn>
    <tableColumn id="23" xr3:uid="{E567A702-2DEE-7842-8EB8-9230084A7A0C}" name="Balance?" dataDxfId="346" totalsRowDxfId="345">
      <calculatedColumnFormula>IF(R7-T7-U7+V7=0,"Yes","No")</calculatedColumnFormula>
    </tableColumn>
    <tableColumn id="27" xr3:uid="{77F8AF0F-BAE4-EC4B-8146-B3F774D4219A}" name="OFFICE STANDARD" dataDxfId="344" totalsRowDxfId="343"/>
    <tableColumn id="24" xr3:uid="{A35A80F3-5AB7-724F-9354-3D767FE0163C}" name="CFM/SF" dataDxfId="342" totalsRowDxfId="341">
      <calculatedColumnFormula>IFERROR(R7/E7,"-")</calculatedColumnFormula>
    </tableColumn>
    <tableColumn id="25" xr3:uid="{F317644A-2F22-EC4C-9C7A-127887905BBE}" name="OSA PERCENT" dataDxfId="340" totalsRowDxfId="339"/>
    <tableColumn id="26" xr3:uid="{0FF85FDA-304E-2E41-8903-E0A0F85B0111}" name="ACH/hr" dataDxfId="338" totalsRowDxfId="337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EF40165-A1F7-7946-B90E-3CFEA0EE999D}" name="AHU1_CAV_SCHEDULE449" displayName="AHU1_CAV_SCHEDULE449" ref="AD6:AT45" totalsRowCount="1" headerRowDxfId="336" dataDxfId="334" totalsRowDxfId="332" headerRowBorderDxfId="335" tableBorderDxfId="333" totalsRowBorderDxfId="331">
  <autoFilter ref="AD6:AT44" xr:uid="{CEF40165-A1F7-7946-B90E-3CFEA0EE999D}"/>
  <tableColumns count="17">
    <tableColumn id="1" xr3:uid="{8D8C35C1-BC71-614E-8530-DC9B9FD059B2}" name="ZONE" totalsRowLabel="Total" dataDxfId="330" totalsRowDxfId="329"/>
    <tableColumn id="2" xr3:uid="{533DF173-8586-8F46-BACD-991CFC51EDB8}" name="BASIS OF DESIGN _x000a_MANUFACTURER" dataDxfId="328" totalsRowDxfId="327"/>
    <tableColumn id="3" xr3:uid="{1FF92B58-8985-F54F-8C9D-E0240363C2A8}" name="DESCRIPTION" dataDxfId="326" totalsRowDxfId="325"/>
    <tableColumn id="4" xr3:uid="{16C325BA-99AE-354B-B602-3B5EC456D47D}" name="CFM" dataDxfId="324" totalsRowDxfId="323">
      <calculatedColumnFormula>SUMIF($B$7:$B$17,AD7,$S$7:$S$17)</calculatedColumnFormula>
    </tableColumn>
    <tableColumn id="5" xr3:uid="{B0B6652A-5B4D-1547-AC29-F71D416DE8F7}" name="CAV INLET SIZE" dataDxfId="322" totalsRowDxfId="321">
      <calculatedColumnFormula>IFERROR((VLOOKUP(AG7,'DO NOT TOUCH'!$P$9:$Q$14,2,TRUE)),"TBD")</calculatedColumnFormula>
    </tableColumn>
    <tableColumn id="6" xr3:uid="{4D2687DB-EC9B-9B4F-902B-3FEF8C681948}" name="MAX TOTAL CAV PD _x000a_(IN W.G.)" dataDxfId="320" totalsRowDxfId="319">
      <calculatedColumnFormula>AI6</calculatedColumnFormula>
    </tableColumn>
    <tableColumn id="7" xr3:uid="{8D494B22-5125-844F-BADD-9F1162569763}" name="EWT" dataDxfId="318" totalsRowDxfId="317">
      <calculatedColumnFormula>INPUT_OUTPUTS!$C$16</calculatedColumnFormula>
    </tableColumn>
    <tableColumn id="8" xr3:uid="{DA488621-11A1-0F4D-9954-C1E3F0C46CC1}" name="DESIGN _x000a_LWT" dataDxfId="316" totalsRowDxfId="315">
      <calculatedColumnFormula>INPUT_OUTPUTS!$C$17</calculatedColumnFormula>
    </tableColumn>
    <tableColumn id="9" xr3:uid="{1D5BA2FB-19D1-FA4E-ABE0-4DB56C420B34}" name="EAT" dataDxfId="314" totalsRowDxfId="313">
      <calculatedColumnFormula>AL6</calculatedColumnFormula>
    </tableColumn>
    <tableColumn id="10" xr3:uid="{7DEA4649-76DD-0346-BB0D-47FFA3ED4976}" name="DESIGN _x000a_LAT" dataDxfId="312" totalsRowDxfId="311">
      <calculatedColumnFormula>AM6</calculatedColumnFormula>
    </tableColumn>
    <tableColumn id="11" xr3:uid="{881877A0-A0B2-2448-82C5-6A3CDFF45142}" name="MIN MBH" totalsRowFunction="sum" dataDxfId="310" totalsRowDxfId="309">
      <calculatedColumnFormula>MROUND((1.08*(AM7-AL7)*AG7)/1000,0.1)</calculatedColumnFormula>
    </tableColumn>
    <tableColumn id="12" xr3:uid="{7AF9C779-61B2-AC43-BADB-768EE45530F3}" name="AGPM" dataDxfId="308" totalsRowDxfId="307">
      <calculatedColumnFormula>(AN7*1000)/(500*(AJ7-AK7))</calculatedColumnFormula>
    </tableColumn>
    <tableColumn id="13" xr3:uid="{3DF4C8E2-098A-BE4C-A2F0-D83F8D4ADD92}" name="GPM" totalsRowFunction="sum" dataDxfId="306" totalsRowDxfId="305">
      <calculatedColumnFormula>IF(AO7&lt;0.5,0.5,AO7)</calculatedColumnFormula>
    </tableColumn>
    <tableColumn id="14" xr3:uid="{65832D94-1022-654B-8D63-D00F0734E0FF}" name="MAX WATER _x000a_PD (FT)" dataDxfId="304" totalsRowDxfId="303">
      <calculatedColumnFormula>AQ6</calculatedColumnFormula>
    </tableColumn>
    <tableColumn id="15" xr3:uid="{D6670565-C144-8949-89B6-DDDE669677A4}" name="OPER _x000a_WEIGHT_x000a_(LBS)" dataDxfId="302" totalsRowDxfId="301">
      <calculatedColumnFormula>IFERROR((_xlfn.XLOOKUP(AH7,'DO NOT TOUCH'!$Q$9:$Q$14,'DO NOT TOUCH'!$R$9:$R$14,)),"TBD")</calculatedColumnFormula>
    </tableColumn>
    <tableColumn id="16" xr3:uid="{F8E8210D-6DA8-7D41-8760-7887752D62EA}" name="MTG _x000a_DETAIL" dataDxfId="300" totalsRowDxfId="299">
      <calculatedColumnFormula>INPUT_OUTPUTS!$C$19</calculatedColumnFormula>
    </tableColumn>
    <tableColumn id="17" xr3:uid="{81FBD83D-1C11-DE4A-AB85-0FC06F9A9428}" name="REMARKS" dataDxfId="298" totalsRowDxfId="297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TABLE4A43" displayName="TABLE4A43" ref="B6:Z18" totalsRowCount="1" headerRowDxfId="295" dataDxfId="294" totalsRowDxfId="292" tableBorderDxfId="293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22C7799E-DFE7-0046-A424-0E41D791266C}" name="ZONE" dataDxfId="291" totalsRowDxfId="290"/>
    <tableColumn id="3" xr3:uid="{62F86706-BFED-8849-B203-1462C07A11D1}" name="ROOM" dataDxfId="289" totalsRowDxfId="288"/>
    <tableColumn id="4" xr3:uid="{BA8CC09C-8989-7449-815E-02DA3EBCCE73}" name="ROOM #" dataDxfId="287" totalsRowDxfId="286"/>
    <tableColumn id="5" xr3:uid="{2A5847B7-C8C2-7D4C-9B9E-AF0D4F961528}" name="AREA (FT²)" totalsRowFunction="sum" dataDxfId="285" totalsRowDxfId="284"/>
    <tableColumn id="6" xr3:uid="{6F4863D2-E26C-4B4A-8A7E-6808FF9E98AF}" name="HG_x000a_(FT)" dataDxfId="283" totalsRowDxfId="282"/>
    <tableColumn id="7" xr3:uid="{D114EF5A-EB4D-E240-9D9D-BD8D88BBD5D0}" name="TOTAL AC/HR" dataDxfId="281" totalsRowDxfId="280">
      <calculatedColumnFormula>VLOOKUP($M7,'UMC Table 4-A'!$A$2:$E$131,4,FALSE)</calculatedColumnFormula>
    </tableColumn>
    <tableColumn id="8" xr3:uid="{C41C1A8A-07D2-F847-ADC4-523F6DA3A59A}" name="100%_x000a_EA" dataDxfId="279" totalsRowDxfId="278">
      <calculatedColumnFormula>VLOOKUP($M7,'UMC Table 4-A'!$A$2:$E$131,5,FALSE)</calculatedColumnFormula>
    </tableColumn>
    <tableColumn id="9" xr3:uid="{C2F85DE3-5208-7A42-B5B3-6BD44EDE360A}" name="EA_x000a_(CFM)" dataDxfId="277" totalsRowDxfId="276">
      <calculatedColumnFormula>IF(H7="Yes",K7,"-")</calculatedColumnFormula>
    </tableColumn>
    <tableColumn id="10" xr3:uid="{DB9587E5-51D0-9E49-B476-3D1DEB286854}" name="LOAD (CFM)" dataDxfId="275" totalsRowDxfId="274"/>
    <tableColumn id="11" xr3:uid="{C2B72E76-A1B2-864A-8E40-94D30E0904B2}" name="AC/HR CFM" dataDxfId="273" totalsRowDxfId="272">
      <calculatedColumnFormula>IF(G7&lt;&gt;"NR",ROUNDUP((E7*F7*G7)/60,-1),0)</calculatedColumnFormula>
    </tableColumn>
    <tableColumn id="12" xr3:uid="{4166323B-03BF-624D-B936-3007427F886B}" name="1 CFM/SF" dataDxfId="271" totalsRowDxfId="270">
      <calculatedColumnFormula>E7</calculatedColumnFormula>
    </tableColumn>
    <tableColumn id="13" xr3:uid="{EF99C6F8-178D-B74B-9494-D87EECB93536}" name="4-A DESIGNATION" dataDxfId="269" totalsRowDxfId="268"/>
    <tableColumn id="14" xr3:uid="{58966974-3F49-C846-8C54-D89C6D09D35B}" name="AIRBALANCE RELATIONSHIP" dataDxfId="267" totalsRowDxfId="266">
      <calculatedColumnFormula>VLOOKUP($M7,'UMC Table 4-A'!$A$2:$E$131,2,FALSE)</calculatedColumnFormula>
    </tableColumn>
    <tableColumn id="15" xr3:uid="{5E77F12B-AF22-DE47-96B1-F2CCA63C5F3B}" name="MINIMUM OSA CHANGES PER HOUR" dataDxfId="265" totalsRowDxfId="264">
      <calculatedColumnFormula>VLOOKUP($M7,'UMC Table 4-A'!$A$2:$E$131,3,FALSE)</calculatedColumnFormula>
    </tableColumn>
    <tableColumn id="16" xr3:uid="{EB149268-2DAB-9145-9B3F-A075A9E0BB62}" name="OSA CFM" totalsRowFunction="sum" dataDxfId="263" totalsRowDxfId="262">
      <calculatedColumnFormula>IF(O7&lt;&gt;"NR",ROUNDUP((E7*F7*O7)/60,-1),0)</calculatedColumnFormula>
    </tableColumn>
    <tableColumn id="17" xr3:uid="{D7D5D4AD-5D2F-1947-A1EC-864FB51133D3}" name="ALL AIR EXHAUSTED" dataDxfId="261" totalsRowDxfId="260">
      <calculatedColumnFormula>VLOOKUP($M7,'UMC Table 4-A'!$A$2:$E$131,5,FALSE)</calculatedColumnFormula>
    </tableColumn>
    <tableColumn id="18" xr3:uid="{8E64C3DD-B984-C34D-950D-988E6756EC90}" name="CALCULATED SA CFM" totalsRowFunction="sum" dataDxfId="259" totalsRowDxfId="258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257" totalsRowDxfId="256">
      <calculatedColumnFormula>R7</calculatedColumnFormula>
    </tableColumn>
    <tableColumn id="20" xr3:uid="{DD8A54C1-53C5-BC42-BBC6-13ABBEB44ADF}" name="RA CFM" totalsRowFunction="sum" dataDxfId="255" totalsRowDxfId="254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253" totalsRowDxfId="252">
      <calculatedColumnFormula>IF(Q7="Yes",I7,0)</calculatedColumnFormula>
    </tableColumn>
    <tableColumn id="22" xr3:uid="{D9078ABF-02C8-5649-BF43-2635E4E43CD3}" name="Transfer Air CFM" totalsRowFunction="sum" dataDxfId="251" totalsRowDxfId="250">
      <calculatedColumnFormula>S7-T7-U7</calculatedColumnFormula>
    </tableColumn>
    <tableColumn id="23" xr3:uid="{420D3664-0F81-6346-9798-DAAD4438D382}" name="Balance?" dataDxfId="249" totalsRowDxfId="248">
      <calculatedColumnFormula>IF(R7-T7-U7+V7=0,"Yes","No")</calculatedColumnFormula>
    </tableColumn>
    <tableColumn id="24" xr3:uid="{2B06E20E-4173-5744-A06B-F45C3B6E4E06}" name="CFM/SF" dataDxfId="247" totalsRowDxfId="246">
      <calculatedColumnFormula>IFERROR(R7/E7,"-")</calculatedColumnFormula>
    </tableColumn>
    <tableColumn id="25" xr3:uid="{1CCCE25F-6BF2-294F-9C7E-94799BF60C61}" name="OSA PERCENT" dataDxfId="245" totalsRowDxfId="244"/>
    <tableColumn id="26" xr3:uid="{A9787315-1554-5F47-9583-71F6447BADE7}" name="ACH/hr" dataDxfId="243" totalsRowDxfId="24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241" dataDxfId="239" totalsRowDxfId="237" headerRowBorderDxfId="240" tableBorderDxfId="238" totalsRowBorderDxfId="236">
  <autoFilter ref="AC6:AS44" xr:uid="{2A2B6BA6-0EAB-2349-A085-FD569408EC9D}"/>
  <tableColumns count="17">
    <tableColumn id="1" xr3:uid="{C25C46EE-18B7-234F-90BC-9CFAECF0D77B}" name="ZONE" totalsRowLabel="Total" dataDxfId="235" totalsRowDxfId="234"/>
    <tableColumn id="2" xr3:uid="{FF1D057E-CF59-234B-BE6D-5179D70CBEFE}" name="BASIS OF DESIGN _x000a_MANUFACTURER" dataDxfId="233" totalsRowDxfId="232"/>
    <tableColumn id="3" xr3:uid="{76C3F628-FC7A-644D-A84B-B7D2DF32CB78}" name="DESCRIPTION" dataDxfId="231" totalsRowDxfId="230"/>
    <tableColumn id="4" xr3:uid="{648F5A5B-AB00-7445-B77F-BC8AA4FAF8E5}" name="CFM" dataDxfId="229" totalsRowDxfId="228">
      <calculatedColumnFormula>SUMIF($B$7:$B$17,AC7,$S$7:$S$17)</calculatedColumnFormula>
    </tableColumn>
    <tableColumn id="5" xr3:uid="{B8C6F18E-27B7-5C47-A6AA-896E053D5DD5}" name="CAV INLET SIZE" dataDxfId="227" totalsRowDxfId="226">
      <calculatedColumnFormula>IFERROR((VLOOKUP(AF7,'DO NOT TOUCH'!$P$9:$Q$14,2,TRUE)),"TBD")</calculatedColumnFormula>
    </tableColumn>
    <tableColumn id="6" xr3:uid="{9B933B17-72C0-114F-B80C-4F0E9DEE45DA}" name="MAX TOTAL CAV PD _x000a_(IN W.G.)" dataDxfId="225" totalsRowDxfId="224">
      <calculatedColumnFormula>AH6</calculatedColumnFormula>
    </tableColumn>
    <tableColumn id="7" xr3:uid="{B18295A8-1F00-1048-BB1F-85CE741F6991}" name="EWT" dataDxfId="223" totalsRowDxfId="222">
      <calculatedColumnFormula>INPUT_OUTPUTS!$C$16</calculatedColumnFormula>
    </tableColumn>
    <tableColumn id="8" xr3:uid="{71AC2984-1F71-FE45-8BF4-5C296E523C25}" name="DESIGN _x000a_LWT" dataDxfId="221" totalsRowDxfId="220">
      <calculatedColumnFormula>INPUT_OUTPUTS!$C$17</calculatedColumnFormula>
    </tableColumn>
    <tableColumn id="9" xr3:uid="{ECBF8CE3-146D-7E4C-B125-10414FE35F41}" name="EAT" dataDxfId="219" totalsRowDxfId="218">
      <calculatedColumnFormula>AK6</calculatedColumnFormula>
    </tableColumn>
    <tableColumn id="10" xr3:uid="{15F58DEE-0A56-6E49-9C7C-E911663EA507}" name="DESIGN _x000a_LAT" dataDxfId="217" totalsRowDxfId="216">
      <calculatedColumnFormula>AL6</calculatedColumnFormula>
    </tableColumn>
    <tableColumn id="11" xr3:uid="{914895A5-B38D-0743-8A44-8F92020558DF}" name="MIN MBH" totalsRowFunction="sum" dataDxfId="215" totalsRowDxfId="214">
      <calculatedColumnFormula>MROUND((1.08*(AL7-AK7)*AF7)/1000,0.1)</calculatedColumnFormula>
    </tableColumn>
    <tableColumn id="12" xr3:uid="{CD0348BA-B462-F447-A201-4DC3F6D405EA}" name="AGPM" dataDxfId="213" totalsRowDxfId="212">
      <calculatedColumnFormula>(AM7*1000)/(500*(AI7-AJ7))</calculatedColumnFormula>
    </tableColumn>
    <tableColumn id="13" xr3:uid="{08FCAA37-BE69-A645-B7B4-97E57511637E}" name="GPM" totalsRowFunction="sum" dataDxfId="211" totalsRowDxfId="210">
      <calculatedColumnFormula>IF(AN7&lt;0.5,0.5,AN7)</calculatedColumnFormula>
    </tableColumn>
    <tableColumn id="14" xr3:uid="{36DECC85-96C7-1F40-8C0A-6358A371661E}" name="MAX WATER _x000a_PD (FT)" dataDxfId="209" totalsRowDxfId="208">
      <calculatedColumnFormula>AP6</calculatedColumnFormula>
    </tableColumn>
    <tableColumn id="15" xr3:uid="{40BE04EB-CA2B-BD46-A2A8-B5618F6EB628}" name="OPER _x000a_WEIGHT_x000a_(LBS)" dataDxfId="207" totalsRowDxfId="206">
      <calculatedColumnFormula>IFERROR((_xlfn.XLOOKUP(AG7,'DO NOT TOUCH'!$Q$9:$Q$14,'DO NOT TOUCH'!$R$9:$R$14,)),"TBD")</calculatedColumnFormula>
    </tableColumn>
    <tableColumn id="16" xr3:uid="{FCE60676-46C3-2C4E-9399-C8250EC74D56}" name="MTG _x000a_DETAIL" dataDxfId="205" totalsRowDxfId="204">
      <calculatedColumnFormula>INPUT_OUTPUTS!$C$19</calculatedColumnFormula>
    </tableColumn>
    <tableColumn id="17" xr3:uid="{F5AE1D75-89DB-1E44-A1ED-A1A5537714F6}" name="REMARKS" dataDxfId="203" totalsRowDxfId="202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3" totalsRowCount="1" headerRowDxfId="201" dataDxfId="199" headerRowBorderDxfId="200" tableBorderDxfId="198">
  <autoFilter ref="A11:BF12" xr:uid="{E6D9D33A-2DE5-364A-B78C-5DD7A614D29B}"/>
  <tableColumns count="58">
    <tableColumn id="1" xr3:uid="{75084425-A44B-8E45-87AE-08AECD33E09D}" name="TAG" totalsRowLabel="Total" dataDxfId="197" totalsRowDxfId="196"/>
    <tableColumn id="2" xr3:uid="{C741F4EF-D022-3147-B8E2-8A68ED8EF0CC}" name="(CFM)" totalsRowFunction="sum" dataDxfId="195" totalsRowDxfId="194">
      <calculatedColumnFormula>#REF!</calculatedColumnFormula>
    </tableColumn>
    <tableColumn id="3" xr3:uid="{C6A2D6A3-4809-A245-A511-1795421C653D}" name="SF ESP" dataDxfId="193" totalsRowDxfId="192"/>
    <tableColumn id="4" xr3:uid="{8F33E354-148B-E049-A9AB-2FEBF1D2ABCF}" name="(CFM)2" dataDxfId="191" totalsRowDxfId="190">
      <calculatedColumnFormula>#REF!</calculatedColumnFormula>
    </tableColumn>
    <tableColumn id="5" xr3:uid="{484AF528-CB4D-ED45-8EAC-187579FFF5C8}" name="RF ESP" dataDxfId="189" totalsRowDxfId="188"/>
    <tableColumn id="6" xr3:uid="{44289BD7-7B7A-5040-A9C3-A81E708605BA}" name="(˚F db)" dataDxfId="187" totalsRowDxfId="186"/>
    <tableColumn id="7" xr3:uid="{A118C93B-9473-8340-A213-7536CC01FA69}" name="(˚F wb)" dataDxfId="185" totalsRowDxfId="184"/>
    <tableColumn id="8" xr3:uid="{BA4E1C0D-A98F-C94F-B5DE-2C36AC9D0BA3}" name="(CFM)3" dataDxfId="183" totalsRowDxfId="182">
      <calculatedColumnFormula>#REF!</calculatedColumnFormula>
    </tableColumn>
    <tableColumn id="9" xr3:uid="{8E2A683D-7B4C-954E-A75A-56B4A8A15F0B}" name="(˚F db)4" dataDxfId="181" totalsRowDxfId="180">
      <calculatedColumnFormula>INPUT_OUTPUTS!$C$8</calculatedColumnFormula>
    </tableColumn>
    <tableColumn id="10" xr3:uid="{D83D5AD6-51F5-5E4B-BE3C-C238ECC50CFF}" name="(˚F wb)5" dataDxfId="179" totalsRowDxfId="178">
      <calculatedColumnFormula>INPUT_OUTPUTS!$C$9</calculatedColumnFormula>
    </tableColumn>
    <tableColumn id="11" xr3:uid="{58DDBF84-EFFA-734F-B069-FD929AE8505B}" name="(CFM)6" dataDxfId="177" totalsRowDxfId="176">
      <calculatedColumnFormula>Table7[[#This Row],[(CFM)3]]</calculatedColumnFormula>
    </tableColumn>
    <tableColumn id="12" xr3:uid="{7D7925B1-33E7-A84F-AAEC-67A01BBE986C}" name="(˚F db)7" dataDxfId="175" totalsRowDxfId="174">
      <calculatedColumnFormula>INPUT_OUTPUTS!$C$10</calculatedColumnFormula>
    </tableColumn>
    <tableColumn id="13" xr3:uid="{9E21E0BF-E9C5-C54C-9B8C-005C0935E109}" name="(˚F wb)8" dataDxfId="173" totalsRowDxfId="172">
      <calculatedColumnFormula>INPUT_OUTPUTS!$C$11</calculatedColumnFormula>
    </tableColumn>
    <tableColumn id="14" xr3:uid="{AC23D981-3B01-5147-97B6-3252A7FC953B}" name="(˚F db)9" dataDxfId="171" totalsRowDxfId="170">
      <calculatedColumnFormula>INPUT_OUTPUTS!$F$8</calculatedColumnFormula>
    </tableColumn>
    <tableColumn id="15" xr3:uid="{DB54E7DD-3A47-6447-A89B-94C85E52BE7D}" name="(CFM)10" dataDxfId="169" totalsRowDxfId="168">
      <calculatedColumnFormula>D12+H12-B12</calculatedColumnFormula>
    </tableColumn>
    <tableColumn id="16" xr3:uid="{4FEC2D7C-9758-744F-A9BF-FBA46547E062}" name="(˚F db)11" dataDxfId="167" totalsRowDxfId="166">
      <calculatedColumnFormula>F12*((D12-O12)/B12) + I12*(H12/B12)</calculatedColumnFormula>
    </tableColumn>
    <tableColumn id="17" xr3:uid="{B005BDD5-39CF-2B47-842F-C982BA9FC7E1}" name="(˚F wb)12" dataDxfId="165" totalsRowDxfId="164">
      <calculatedColumnFormula>TRUNC(G12*((D12-O12)/B12) + J12*(H12/B12),1)</calculatedColumnFormula>
    </tableColumn>
    <tableColumn id="18" xr3:uid="{5AC4E564-0F72-0E49-B041-B5DE3FD4DD18}" name="(h)" dataDxfId="163" totalsRowDxfId="162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161" totalsRowDxfId="160"/>
    <tableColumn id="20" xr3:uid="{069031AB-30B0-304F-BA24-44B4C6E6101C}" name="(˚F wb)14" dataDxfId="159" totalsRowDxfId="158"/>
    <tableColumn id="21" xr3:uid="{1EA24A2B-BE77-6945-9098-6C4501A9902F}" name="(h)15" dataDxfId="157" totalsRowDxfId="156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155" totalsRowDxfId="154">
      <calculatedColumnFormula>B12*1.085*(P12-S12)</calculatedColumnFormula>
    </tableColumn>
    <tableColumn id="23" xr3:uid="{02C21CA2-732A-8C4C-93ED-640017544BD3}" name="(Btu/hr)16" dataDxfId="153" totalsRowDxfId="152">
      <calculatedColumnFormula>4.5*B12*(R12-U12)</calculatedColumnFormula>
    </tableColumn>
    <tableColumn id="24" xr3:uid="{80183150-6317-2C46-B9FB-5600693E1D79}" name="(Tons)" dataDxfId="151" totalsRowDxfId="150">
      <calculatedColumnFormula>IF(W12&lt;V12,"INVALID POINT",W12/12000)</calculatedColumnFormula>
    </tableColumn>
    <tableColumn id="25" xr3:uid="{8AF1DEDF-1446-A54C-A718-1F4A80DCED1F}" name="(˚F db)17" dataDxfId="149" totalsRowDxfId="148">
      <calculatedColumnFormula>INPUT_OUTPUTS!$C$14</calculatedColumnFormula>
    </tableColumn>
    <tableColumn id="26" xr3:uid="{30713AF6-10A7-A640-9A81-7C9C656F28C6}" name="(˚F db)18" dataDxfId="147" totalsRowDxfId="146">
      <calculatedColumnFormula>INPUT_OUTPUTS!$C$15</calculatedColumnFormula>
    </tableColumn>
    <tableColumn id="27" xr3:uid="{07E9B9A3-68BD-0040-B64A-445B4F7DB78B}" name="GPM" totalsRowFunction="sum" dataDxfId="145" totalsRowDxfId="144">
      <calculatedColumnFormula>W12/(500*(Z12-Y12))</calculatedColumnFormula>
    </tableColumn>
    <tableColumn id="28" xr3:uid="{63A1C04A-F0C1-344B-9C91-CDCBB09CC808}" name="(˚F db)19" dataDxfId="143" totalsRowDxfId="142">
      <calculatedColumnFormula>F12*((D12-O12)/B12) + L12*(H12/B12)</calculatedColumnFormula>
    </tableColumn>
    <tableColumn id="29" xr3:uid="{6B8C516D-DE70-BF40-8E5C-0B23062187E5}" name="(˚F wb)20" dataDxfId="141" totalsRowDxfId="140">
      <calculatedColumnFormula>TRUNC(G12*((D12-O12)/B12) + M12*(H12/B12),1)</calculatedColumnFormula>
    </tableColumn>
    <tableColumn id="30" xr3:uid="{045EE11E-9647-ED4C-9652-8752BBE74982}" name="(h)21" dataDxfId="139" totalsRowDxfId="138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137" totalsRowDxfId="136">
      <calculatedColumnFormula>Table7[[#This Row],[(˚F db)13]]</calculatedColumnFormula>
    </tableColumn>
    <tableColumn id="32" xr3:uid="{5E7C32E8-28E9-554C-93A3-4ED479273F5C}" name="(˚F wb)23" dataDxfId="135" totalsRowDxfId="134">
      <calculatedColumnFormula>Table7[[#This Row],[(˚F wb)14]]</calculatedColumnFormula>
    </tableColumn>
    <tableColumn id="33" xr3:uid="{7EB81F19-A30A-5844-B465-95995C2169F1}" name="(h)24" dataDxfId="133" totalsRowDxfId="132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131" totalsRowDxfId="130"/>
    <tableColumn id="35" xr3:uid="{7A2C2E1E-1049-4241-8E5F-76BCC1035FE0}" name="(Btu/hr)26" dataDxfId="129" totalsRowDxfId="128"/>
    <tableColumn id="36" xr3:uid="{E80AE8D9-52CE-214F-8CAE-BBC7A25C1206}" name="(Btu/hr)27" dataDxfId="127" totalsRowDxfId="126">
      <calculatedColumnFormula>AI12+AH12</calculatedColumnFormula>
    </tableColumn>
    <tableColumn id="37" xr3:uid="{B86C10F8-CA05-8945-8F0F-F9E339D5FA04}" name="(Btu/hr)28" dataDxfId="125" totalsRowDxfId="124">
      <calculatedColumnFormula>B12*1.085*(AB12-AE12)</calculatedColumnFormula>
    </tableColumn>
    <tableColumn id="38" xr3:uid="{3C9101C2-66E5-5844-8571-55FD8B0FA8E4}" name="(Btu/hr)29" dataDxfId="123" totalsRowDxfId="122">
      <calculatedColumnFormula>4.5*B12*(AD12-AG12)</calculatedColumnFormula>
    </tableColumn>
    <tableColumn id="39" xr3:uid="{611DF507-C49C-8E40-9B22-204394B4D484}" name="(Tons)30" dataDxfId="121" totalsRowDxfId="120">
      <calculatedColumnFormula>IF(AL12&lt;AK12,"INVALID POINT",AL12/12000)</calculatedColumnFormula>
    </tableColumn>
    <tableColumn id="40" xr3:uid="{8D69DAB9-C665-1C40-8BEE-2F67013BDA9E}" name="(˚F db)31" dataDxfId="119" totalsRowDxfId="118">
      <calculatedColumnFormula>INPUT_OUTPUTS!$C$14</calculatedColumnFormula>
    </tableColumn>
    <tableColumn id="41" xr3:uid="{2C7A8B9E-09E2-C245-8AD4-9B511603B988}" name="(˚F db)32" dataDxfId="117" totalsRowDxfId="116">
      <calculatedColumnFormula>INPUT_OUTPUTS!$C$15</calculatedColumnFormula>
    </tableColumn>
    <tableColumn id="42" xr3:uid="{97B72D8E-BA89-4E4A-B5D1-F02C61433D68}" name="GPM33" totalsRowFunction="sum" dataDxfId="115" totalsRowDxfId="114">
      <calculatedColumnFormula>AL12/(500*(AO12-AN12))</calculatedColumnFormula>
    </tableColumn>
    <tableColumn id="43" xr3:uid="{EE7A438B-ECC2-DF4B-9129-EA55728EFC2E}" name="(Tons)34" totalsRowFunction="sum" dataDxfId="113" totalsRowDxfId="112">
      <calculatedColumnFormula>MAX(AM12,X12)</calculatedColumnFormula>
    </tableColumn>
    <tableColumn id="44" xr3:uid="{B68CC7E9-570D-A84E-8670-D3C2DEA54479}" name="(CFM)35" dataDxfId="111" totalsRowDxfId="110">
      <calculatedColumnFormula>B12/AM12</calculatedColumnFormula>
    </tableColumn>
    <tableColumn id="59" xr3:uid="{2F2BA6E3-EE55-BA45-94DB-4A9361068B22}" name="GPM MAX" totalsRowFunction="sum" dataDxfId="109" totalsRowDxfId="108">
      <calculatedColumnFormula>MAX(Table7[[#This Row],[GPM33]],Table7[[#This Row],[GPM]])</calculatedColumnFormula>
    </tableColumn>
    <tableColumn id="45" xr3:uid="{033D6B36-8B19-EB4B-A1E7-E7585C21489B}" name="(CFM)36" dataDxfId="107" totalsRowDxfId="106">
      <calculatedColumnFormula>B12</calculatedColumnFormula>
    </tableColumn>
    <tableColumn id="46" xr3:uid="{940C5796-789D-5B4A-9FCD-445173CBE38B}" name="(˚F db)37" dataDxfId="105" totalsRowDxfId="104">
      <calculatedColumnFormula>F12*((D12-O12)/B12) + N12*(H12/B12)</calculatedColumnFormula>
    </tableColumn>
    <tableColumn id="47" xr3:uid="{33252E21-E95C-E84B-AA5C-160823174238}" name="(˚F db)38" dataDxfId="103" totalsRowDxfId="102"/>
    <tableColumn id="48" xr3:uid="{F5FF0CC7-9CD6-DC4B-9AC8-6CF9532FE75F}" name="(MBH)" totalsRowFunction="sum" dataDxfId="101" totalsRowDxfId="100">
      <calculatedColumnFormula>AT12*1.085*(AV12-AU12)/1000</calculatedColumnFormula>
    </tableColumn>
    <tableColumn id="49" xr3:uid="{41191CD7-30B2-EE4D-850D-B2169746F6D6}" name="(˚F db)39" dataDxfId="99" totalsRowDxfId="98">
      <calculatedColumnFormula>INPUT_OUTPUTS!$C$16</calculatedColumnFormula>
    </tableColumn>
    <tableColumn id="50" xr3:uid="{4D3CE10E-9198-0E44-849F-6C7B4A36B8CE}" name="(˚F db)40" dataDxfId="97" totalsRowDxfId="96">
      <calculatedColumnFormula>INPUT_OUTPUTS!$C$17</calculatedColumnFormula>
    </tableColumn>
    <tableColumn id="51" xr3:uid="{01E8F924-565C-4D42-9E39-E87365245FFA}" name="GPM41" totalsRowFunction="sum" dataDxfId="95" totalsRowDxfId="94">
      <calculatedColumnFormula>(AW12*1000)/(500*(AX12-AY12))</calculatedColumnFormula>
    </tableColumn>
    <tableColumn id="52" xr3:uid="{682AB22E-7AB3-E544-B158-3A216817586F}" name="LBS/HR" dataDxfId="93" totalsRowDxfId="92"/>
    <tableColumn id="53" xr3:uid="{9FA51183-6547-7247-B2B7-FE2572F6FDB0}" name="LBS/HR42" dataDxfId="91" totalsRowDxfId="90">
      <calculatedColumnFormula>BA12*(K12/1000)</calculatedColumnFormula>
    </tableColumn>
    <tableColumn id="54" xr3:uid="{D0D7EAE6-3EA2-E244-8B8D-01899554629D}" name="(˚F db)43" dataDxfId="89" totalsRowDxfId="88"/>
    <tableColumn id="56" xr3:uid="{0D1DB506-119B-7043-BE7D-652B0413152C}" name="(˚F db)45" dataDxfId="87" totalsRowDxfId="86"/>
    <tableColumn id="60" xr3:uid="{3575FFB4-394C-DC4E-9487-884A377EB86A}" name="(˚F db)46" totalsRowFunction="sum" dataDxfId="85" totalsRowDxfId="84">
      <calculatedColumnFormula>#REF!</calculatedColumnFormula>
    </tableColumn>
    <tableColumn id="57" xr3:uid="{C012C8FF-93AB-B94F-BC98-7474F441DD8E}" name="(mbh)46" totalsRowFunction="sum" dataDxfId="83" totalsRowDxfId="82">
      <calculatedColumnFormula>#REF!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38E68B4-205D-484E-91D4-1E68B01D9277}" name="Table77" displayName="Table77" ref="A11:AG13" totalsRowCount="1" headerRowDxfId="81" dataDxfId="79" headerRowBorderDxfId="80" tableBorderDxfId="78">
  <autoFilter ref="A11:AG12" xr:uid="{E6D9D33A-2DE5-364A-B78C-5DD7A614D29B}"/>
  <tableColumns count="33">
    <tableColumn id="1" xr3:uid="{58E58672-0AE4-4FAD-999C-A629697793E2}" name="TAG" totalsRowLabel="Total" dataDxfId="77" totalsRowDxfId="76"/>
    <tableColumn id="2" xr3:uid="{25FC6006-6C6B-4C58-ACBA-AAD9DAF3C7EC}" name="(CFM)" totalsRowFunction="sum" dataDxfId="75" totalsRowDxfId="74"/>
    <tableColumn id="3" xr3:uid="{7A84BFC1-5D38-4D82-BFB3-5B275243979F}" name="SF ESP" dataDxfId="73" totalsRowDxfId="72"/>
    <tableColumn id="4" xr3:uid="{9678F7DE-0287-440E-BBB0-21253A260A55}" name="(CFM)2" dataDxfId="71" totalsRowDxfId="70"/>
    <tableColumn id="5" xr3:uid="{3E7A3A59-1B27-4D8B-9D9C-8B7CA3207B1D}" name="RF ESP" dataDxfId="69" totalsRowDxfId="68"/>
    <tableColumn id="6" xr3:uid="{0C3C06AA-A0EC-4253-9EF0-2C40F95B51EB}" name="(˚F db)" dataDxfId="67" totalsRowDxfId="66"/>
    <tableColumn id="7" xr3:uid="{8667D56D-3A49-4173-82E1-064876AA58E6}" name="(˚F wb)" dataDxfId="65" totalsRowDxfId="64"/>
    <tableColumn id="8" xr3:uid="{9C4AD397-108D-4775-891C-90CE14A40FA1}" name="(CFM)3" dataDxfId="63" totalsRowDxfId="62"/>
    <tableColumn id="9" xr3:uid="{DC02E44C-18FE-44CB-A8A5-4AE3AD7853CB}" name="(˚F db)4" dataDxfId="61" totalsRowDxfId="60"/>
    <tableColumn id="10" xr3:uid="{C4092DDD-82BD-41F6-8710-1453057EAFB7}" name="(˚F wb)5" dataDxfId="59" totalsRowDxfId="58"/>
    <tableColumn id="14" xr3:uid="{338017EC-0D25-4098-B984-C2CC9D66F06C}" name="(˚F db)9" dataDxfId="57" totalsRowDxfId="56"/>
    <tableColumn id="15" xr3:uid="{78452C40-56D9-4273-BACB-ADB9975CDB49}" name="(CFM)10" dataDxfId="55" totalsRowDxfId="54">
      <calculatedColumnFormula>D12+H12-B12</calculatedColumnFormula>
    </tableColumn>
    <tableColumn id="16" xr3:uid="{829B6568-D2D8-41D1-9EA4-3ABAF7D6F104}" name="(˚F db)11" dataDxfId="53" totalsRowDxfId="52">
      <calculatedColumnFormula>F12*((D12-L12)/B12) + I12*(H12/B12)</calculatedColumnFormula>
    </tableColumn>
    <tableColumn id="17" xr3:uid="{5530A11F-D7A6-4D52-A9B5-F9BBF53097C8}" name="(˚F wb)12" dataDxfId="51" totalsRowDxfId="50">
      <calculatedColumnFormula>TRUNC(G12*((D12-L12)/B12) + J12*(H12/B12),1)</calculatedColumnFormula>
    </tableColumn>
    <tableColumn id="18" xr3:uid="{BBCD34A1-09D9-4B05-94E3-B5AF08AE6B4A}" name="(h)" dataDxfId="49" totalsRowDxfId="48"/>
    <tableColumn id="19" xr3:uid="{EFD2D8F4-C217-4A14-A2DA-5D3408441E2F}" name="(˚F db)13" dataDxfId="47" totalsRowDxfId="46"/>
    <tableColumn id="20" xr3:uid="{23AF4E6B-034F-489B-B986-409ED2F18CD2}" name="(˚F wb)14" dataDxfId="45" totalsRowDxfId="44"/>
    <tableColumn id="21" xr3:uid="{7B5D5F49-1905-466C-BAA8-62DBD4BD1CDD}" name="(h)15" dataDxfId="43" totalsRowDxfId="42"/>
    <tableColumn id="22" xr3:uid="{E9932B60-CF03-4331-96A8-C26DA7DE342E}" name="(Btu/hr)" dataDxfId="41" totalsRowDxfId="40">
      <calculatedColumnFormula>B12*1.085*(M12-P12)</calculatedColumnFormula>
    </tableColumn>
    <tableColumn id="23" xr3:uid="{9B3F474C-1288-4D71-8797-165DAEC78FC6}" name="(Btu/hr)16" dataDxfId="39" totalsRowDxfId="38">
      <calculatedColumnFormula>4.5*B12*(O12-R12)</calculatedColumnFormula>
    </tableColumn>
    <tableColumn id="24" xr3:uid="{AB33F443-2B13-47FB-A261-883CAB305864}" name="(Tons)" dataDxfId="37" totalsRowDxfId="36">
      <calculatedColumnFormula>IF(T12&lt;S12,"INVALID POINT",T12/12000)</calculatedColumnFormula>
    </tableColumn>
    <tableColumn id="25" xr3:uid="{BDC3F5BB-E733-4D37-AC43-D3F2B52CB9B8}" name="(˚F db)17" dataDxfId="35" totalsRowDxfId="34"/>
    <tableColumn id="26" xr3:uid="{A5A02AE6-1AE1-43DE-BA40-DF2170E8AFC3}" name="(˚F db)18" dataDxfId="33" totalsRowDxfId="32"/>
    <tableColumn id="27" xr3:uid="{B9A91142-5A5A-4754-8B7E-1691193DB935}" name="GPM" totalsRowFunction="sum" dataDxfId="31" totalsRowDxfId="30">
      <calculatedColumnFormula>T12/(500*(W12-V12))</calculatedColumnFormula>
    </tableColumn>
    <tableColumn id="45" xr3:uid="{315D8400-DFE3-48C8-9956-53F65CAE6BF1}" name="(CFM)36" dataDxfId="29" totalsRowDxfId="28">
      <calculatedColumnFormula>B12</calculatedColumnFormula>
    </tableColumn>
    <tableColumn id="46" xr3:uid="{4AE07A1D-682C-415D-8EB8-29D5EE3FDB81}" name="(˚F db)37" dataDxfId="27" totalsRowDxfId="26">
      <calculatedColumnFormula>F12*((D12-L12)/B12) + K12*(H12/B12)</calculatedColumnFormula>
    </tableColumn>
    <tableColumn id="47" xr3:uid="{9EFC8F03-33B2-4225-8C0E-838DE921EAC6}" name="(˚F db)38" dataDxfId="25" totalsRowDxfId="24"/>
    <tableColumn id="48" xr3:uid="{175B5145-AB7A-47D5-B4E6-7C92E5FA399F}" name="(MBH)" totalsRowFunction="sum" dataDxfId="23" totalsRowDxfId="22">
      <calculatedColumnFormula>Y12*1.085*(AA12-Z12)/1000</calculatedColumnFormula>
    </tableColumn>
    <tableColumn id="49" xr3:uid="{A14D16EA-8930-46EB-B10F-2463BCC5BB25}" name="(˚F db)39" dataDxfId="21" totalsRowDxfId="20"/>
    <tableColumn id="50" xr3:uid="{86A63567-27DD-411E-90C4-5399F414E9C2}" name="(˚F db)40" dataDxfId="19" totalsRowDxfId="18"/>
    <tableColumn id="51" xr3:uid="{D1F5C69E-D3E8-4484-AA62-CD39410D9989}" name="GPM41" totalsRowFunction="sum" dataDxfId="17" totalsRowDxfId="16">
      <calculatedColumnFormula>(AB12*1000)/(500*(AC12-AD12))</calculatedColumnFormula>
    </tableColumn>
    <tableColumn id="52" xr3:uid="{E453ABB3-51FB-4B24-B570-0E9A42461760}" name="LBS/HR" dataDxfId="15" totalsRowDxfId="14"/>
    <tableColumn id="53" xr3:uid="{A2C68D4C-2D58-4D25-8518-F3E3B8023E92}" name="LBS/HR42" dataDxfId="13" totalsRowDxfId="12">
      <calculatedColumnFormula>AF12*(#REF!/1000)</calculatedColumnFormula>
    </tableColumn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6" totalsRowShown="0" headerRowDxfId="11" tableBorderDxfId="10">
  <autoFilter ref="A1:J126" xr:uid="{4540C5B7-7ED8-1346-9688-BBD6F913E0FF}"/>
  <tableColumns count="10">
    <tableColumn id="1" xr3:uid="{7BF2CBE1-A9FA-634B-9D43-EBA146167592}" name="Area Designation" dataDxfId="9"/>
    <tableColumn id="2" xr3:uid="{1460B4E9-9118-944C-9857-493DDFFE200A}" name="Air Balance Rerationship to Adjacent Areas" dataDxfId="8"/>
    <tableColumn id="3" xr3:uid="{25BE9BDC-FBB0-7A47-894B-42F72D14066C}" name="Minimum Air Changes of Outdoor Air per Hour" dataDxfId="7"/>
    <tableColumn id="4" xr3:uid="{82F49D63-6B08-DA45-8A60-1FF0FD6AC5B9}" name="Minimum Total Air Changes per Hour" dataDxfId="6"/>
    <tableColumn id="5" xr3:uid="{4FDAD794-62F4-8F49-87E5-EA2422234CCC}" name="All Air Exhausted Directly To Outdoors_x000a_(j)" dataDxfId="5"/>
    <tableColumn id="6" xr3:uid="{B9C49FC8-C251-2342-AE20-E81B274FAA4A}" name="Air Recirculated by Means of Room Units (a)" dataDxfId="4"/>
    <tableColumn id="7" xr3:uid="{E57842AF-587D-1D42-B911-B576DF543C66}" name="Design Relative Humidity (k)%" dataDxfId="3"/>
    <tableColumn id="8" xr3:uid="{BE19DA4C-3671-2040-8AE0-8608C571F1B5}" name="MIN Design Temperature(l)" dataDxfId="2"/>
    <tableColumn id="10" xr3:uid="{40B13846-A1DF-B641-AA80-2CDFCA140F33}" name="MAX Design Temperature" dataDxfId="1"/>
    <tableColumn id="9" xr3:uid="{D8B11080-DB40-234A-BEF6-09CC488530B9}" name="Note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A4" dT="2023-01-20T02:10:44.44" personId="{4EB4B6F3-1969-DB48-B081-3832009A33BA}" id="{B5908B9B-77E6-F840-B359-EF4BA4131D4A}">
    <text xml:space="preserve">This is a manual number added here when the percent outside air needs to be increased. </text>
  </threadedComment>
  <threadedComment ref="B6" dT="2023-01-20T01:58:59.17" personId="{4EB4B6F3-1969-DB48-B081-3832009A33BA}" id="{11DD7DB2-0519-144D-B9A8-316DA08B1EB5}">
    <text>Import zone from Revit</text>
  </threadedComment>
  <threadedComment ref="C6" dT="2023-01-20T01:59:19.81" personId="{4EB4B6F3-1969-DB48-B081-3832009A33BA}" id="{1EB71E29-A56F-D348-9FE3-44E8537519E3}">
    <text>Import room from Revit</text>
  </threadedComment>
  <threadedComment ref="D6" dT="2023-01-20T01:59:37.35" personId="{4EB4B6F3-1969-DB48-B081-3832009A33BA}" id="{0BEA0565-53D2-4E40-B9A1-EB41F1D0B2D3}">
    <text>Import room number from Revit</text>
  </threadedComment>
  <threadedComment ref="E6" dT="2023-01-20T01:59:56.66" personId="{4EB4B6F3-1969-DB48-B081-3832009A33BA}" id="{214D85D0-CC0E-BB44-904C-8020B33378AF}">
    <text>Import Area from Revit</text>
  </threadedComment>
  <threadedComment ref="F6" dT="2023-01-20T02:00:11.73" personId="{4EB4B6F3-1969-DB48-B081-3832009A33BA}" id="{1704C96E-65F8-984E-AD41-B147BE27800C}">
    <text>Import height from Revit</text>
  </threadedComment>
  <threadedComment ref="S6" dT="2023-01-20T02:57:22.76" personId="{4EB4B6F3-1969-DB48-B081-3832009A33BA}" id="{6F6DACE4-1BC8-DF44-B539-237E1D8E094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FA866F3-F6A3-F441-96DA-DDEF41236939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C265E6C2-29EF-8F42-BB31-9B3E36A3BA16}">
    <text xml:space="preserve">Usually automatic, but check and edit as necessary. </text>
  </threadedComment>
  <threadedComment ref="Z6" dT="2023-01-20T02:57:47.98" personId="{4EB4B6F3-1969-DB48-B081-3832009A33BA}" id="{6F2F8F0D-4A0E-1D46-87BC-2A970794DCAB}">
    <text>All cells in this column must be green</text>
  </threadedComment>
  <threadedComment ref="AD6" dT="2023-01-20T03:02:14.75" personId="{4EB4B6F3-1969-DB48-B081-3832009A33BA}" id="{1F641750-6300-7344-8F0F-1914A73B14F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6FFF81DE-EC18-4515-AF48-945BC88DEE1A}">
    <text xml:space="preserve">This is desired room temperature. Input based on RFP or ASHRAE. </text>
  </threadedComment>
  <threadedComment ref="G11" dT="2023-01-20T00:11:36.80" personId="{9818FCBF-2832-490A-8648-B86041484521}" id="{231F352E-9D7E-4B27-829B-04A733F77DDF}">
    <text xml:space="preserve">This is desired room temperature. Input based on RFP or ASHRAE. </text>
  </threadedComment>
  <threadedComment ref="AF12" dT="2022-09-20T22:32:15.58" personId="{F37BE4D7-C0F5-405A-A860-1164F50E938E}" id="{186636D1-0A42-4E45-AAFB-EF0BDDEC6FF5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9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20" zoomScaleNormal="120" workbookViewId="0">
      <pane xSplit="26" ySplit="41" topLeftCell="AB57" activePane="bottomRight" state="frozen"/>
      <selection pane="topRight" activeCell="AA1" sqref="AA1"/>
      <selection pane="bottomLeft" activeCell="A42" sqref="A42"/>
      <selection pane="bottomRight" activeCell="O16" sqref="O16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9" width="10.28515625" customWidth="1"/>
    <col min="22" max="24" width="0" hidden="1" customWidth="1"/>
    <col min="25" max="25" width="32.140625" hidden="1" customWidth="1"/>
  </cols>
  <sheetData>
    <row r="2" spans="2:25">
      <c r="B2" s="106" t="s">
        <v>249</v>
      </c>
      <c r="C2" s="339" t="s">
        <v>251</v>
      </c>
      <c r="D2" s="340"/>
      <c r="E2" s="106" t="s">
        <v>248</v>
      </c>
      <c r="F2" s="341">
        <v>44949</v>
      </c>
      <c r="G2" s="340"/>
    </row>
    <row r="3" spans="2:25">
      <c r="B3" s="17"/>
      <c r="C3" s="105"/>
      <c r="D3" s="105"/>
      <c r="V3" s="17" t="s">
        <v>96</v>
      </c>
      <c r="W3" s="17" t="s">
        <v>273</v>
      </c>
      <c r="X3" s="17" t="s">
        <v>276</v>
      </c>
      <c r="Y3" s="17" t="s">
        <v>283</v>
      </c>
    </row>
    <row r="4" spans="2:25">
      <c r="B4" s="342" t="s">
        <v>224</v>
      </c>
      <c r="C4" s="343"/>
      <c r="D4" s="343"/>
      <c r="E4" s="343"/>
      <c r="F4" s="343"/>
      <c r="G4" s="344"/>
      <c r="J4" s="345" t="s">
        <v>226</v>
      </c>
      <c r="K4" s="345"/>
      <c r="L4" s="345"/>
      <c r="V4" s="17" t="s">
        <v>258</v>
      </c>
      <c r="W4" s="17" t="s">
        <v>274</v>
      </c>
      <c r="X4" s="17" t="s">
        <v>277</v>
      </c>
      <c r="Y4" s="17" t="s">
        <v>284</v>
      </c>
    </row>
    <row r="5" spans="2:25">
      <c r="B5" s="346" t="s">
        <v>250</v>
      </c>
      <c r="C5" s="346"/>
      <c r="D5" s="346"/>
      <c r="E5" s="346"/>
      <c r="F5" s="346"/>
      <c r="G5" s="346"/>
      <c r="S5" s="17"/>
      <c r="W5" s="17" t="s">
        <v>275</v>
      </c>
      <c r="X5" s="17" t="s">
        <v>278</v>
      </c>
    </row>
    <row r="6" spans="2:25">
      <c r="B6" s="2"/>
      <c r="D6" s="3"/>
      <c r="E6" s="3"/>
      <c r="F6" s="2"/>
      <c r="J6" s="336" t="s">
        <v>247</v>
      </c>
      <c r="K6" s="337"/>
      <c r="L6" s="338"/>
      <c r="S6" s="17"/>
      <c r="X6" s="17" t="s">
        <v>279</v>
      </c>
    </row>
    <row r="7" spans="2:25">
      <c r="B7" s="345" t="s">
        <v>55</v>
      </c>
      <c r="C7" s="345"/>
      <c r="D7" s="345"/>
      <c r="E7" s="345" t="s">
        <v>56</v>
      </c>
      <c r="F7" s="345"/>
      <c r="G7" s="345"/>
      <c r="J7" s="102" t="s">
        <v>227</v>
      </c>
      <c r="K7" s="103">
        <f>Table7[[#Totals],[(Tons)34]]</f>
        <v>14.006249999999998</v>
      </c>
      <c r="L7" s="104" t="s">
        <v>228</v>
      </c>
      <c r="X7" s="17" t="s">
        <v>280</v>
      </c>
    </row>
    <row r="8" spans="2:25">
      <c r="B8" s="347" t="s">
        <v>57</v>
      </c>
      <c r="C8" s="150">
        <v>91</v>
      </c>
      <c r="D8" s="84" t="s">
        <v>5</v>
      </c>
      <c r="E8" s="347" t="s">
        <v>43</v>
      </c>
      <c r="F8" s="330">
        <v>38.9</v>
      </c>
      <c r="G8" s="347" t="s">
        <v>58</v>
      </c>
      <c r="J8" s="102" t="s">
        <v>292</v>
      </c>
      <c r="K8" s="103">
        <f>Table7[[#Totals],[GPM MAX]]</f>
        <v>33.614999999999995</v>
      </c>
      <c r="L8" s="104" t="s">
        <v>232</v>
      </c>
      <c r="X8" s="17" t="s">
        <v>281</v>
      </c>
    </row>
    <row r="9" spans="2:25">
      <c r="B9" s="347"/>
      <c r="C9" s="150">
        <v>71</v>
      </c>
      <c r="D9" s="84" t="s">
        <v>26</v>
      </c>
      <c r="E9" s="347"/>
      <c r="F9" s="331"/>
      <c r="G9" s="347"/>
      <c r="J9" s="102" t="s">
        <v>231</v>
      </c>
      <c r="K9" s="103" cm="1">
        <f t="array" ref="K9">K8/Table1[number of CHW Pumps]</f>
        <v>16.807499999999997</v>
      </c>
      <c r="L9" s="104" t="s">
        <v>232</v>
      </c>
      <c r="X9" s="17" t="s">
        <v>282</v>
      </c>
    </row>
    <row r="10" spans="2:25">
      <c r="B10" s="347" t="s">
        <v>237</v>
      </c>
      <c r="C10" s="151">
        <v>80.400000000000006</v>
      </c>
      <c r="D10" s="84" t="s">
        <v>58</v>
      </c>
      <c r="E10" s="347" t="s">
        <v>70</v>
      </c>
      <c r="F10" s="150">
        <v>57.2</v>
      </c>
      <c r="G10" s="84" t="s">
        <v>58</v>
      </c>
      <c r="J10" s="102" t="s">
        <v>229</v>
      </c>
      <c r="K10" s="103">
        <f>Table7[[#Totals],[(mbh)46]]</f>
        <v>0</v>
      </c>
      <c r="L10" s="104" t="s">
        <v>230</v>
      </c>
    </row>
    <row r="11" spans="2:25">
      <c r="B11" s="347"/>
      <c r="C11" s="151">
        <v>68.900000000000006</v>
      </c>
      <c r="D11" s="84" t="s">
        <v>26</v>
      </c>
      <c r="E11" s="347"/>
      <c r="F11" s="150">
        <v>12.7</v>
      </c>
      <c r="G11" s="84" t="s">
        <v>59</v>
      </c>
      <c r="J11" s="102" t="s">
        <v>233</v>
      </c>
      <c r="K11" s="103">
        <f>Table7[[#Totals],[(˚F db)46]]</f>
        <v>19</v>
      </c>
      <c r="L11" s="104" t="s">
        <v>232</v>
      </c>
    </row>
    <row r="12" spans="2:25">
      <c r="B12" s="2"/>
      <c r="D12" s="3"/>
      <c r="E12" s="3"/>
      <c r="J12" s="85"/>
      <c r="K12" s="85"/>
      <c r="L12" s="85"/>
    </row>
    <row r="13" spans="2:25">
      <c r="B13" s="345" t="s">
        <v>225</v>
      </c>
      <c r="C13" s="345"/>
      <c r="D13" s="345"/>
    </row>
    <row r="14" spans="2:25">
      <c r="B14" s="101" t="s">
        <v>157</v>
      </c>
      <c r="C14" s="151">
        <v>42</v>
      </c>
      <c r="D14" s="84" t="s">
        <v>158</v>
      </c>
    </row>
    <row r="15" spans="2:25">
      <c r="B15" s="101" t="s">
        <v>159</v>
      </c>
      <c r="C15" s="151">
        <v>52</v>
      </c>
      <c r="D15" s="84" t="s">
        <v>158</v>
      </c>
    </row>
    <row r="16" spans="2:25">
      <c r="B16" s="101" t="s">
        <v>160</v>
      </c>
      <c r="C16" s="151">
        <v>140</v>
      </c>
      <c r="D16" s="84" t="s">
        <v>158</v>
      </c>
    </row>
    <row r="17" spans="2:20">
      <c r="B17" s="101" t="s">
        <v>161</v>
      </c>
      <c r="C17" s="151">
        <v>100</v>
      </c>
      <c r="D17" s="84" t="s">
        <v>158</v>
      </c>
    </row>
    <row r="18" spans="2:20">
      <c r="B18" s="101" t="s">
        <v>162</v>
      </c>
      <c r="C18" s="152">
        <v>1.2</v>
      </c>
      <c r="D18" s="84" t="s">
        <v>163</v>
      </c>
    </row>
    <row r="19" spans="2:20">
      <c r="B19" s="101" t="s">
        <v>167</v>
      </c>
      <c r="C19" s="152" t="s">
        <v>168</v>
      </c>
      <c r="D19" s="84" t="s">
        <v>149</v>
      </c>
      <c r="H19" s="85"/>
      <c r="I19" s="85"/>
      <c r="J19" s="85"/>
      <c r="K19" s="85"/>
      <c r="L19" s="85"/>
    </row>
    <row r="20" spans="2:20">
      <c r="H20" s="85"/>
      <c r="I20" s="85"/>
      <c r="J20" s="335" t="s">
        <v>252</v>
      </c>
      <c r="K20" s="335"/>
      <c r="L20" s="85"/>
    </row>
    <row r="21" spans="2:20">
      <c r="H21" s="85"/>
      <c r="I21" s="85"/>
      <c r="J21" s="85"/>
      <c r="K21" s="85"/>
      <c r="L21" s="85"/>
    </row>
    <row r="23" spans="2:20">
      <c r="B23" s="332" t="s">
        <v>285</v>
      </c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4"/>
    </row>
    <row r="24" spans="2:20"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</row>
    <row r="25" spans="2:20" ht="22.5">
      <c r="B25" s="110" t="s">
        <v>254</v>
      </c>
      <c r="C25" s="108" t="s">
        <v>272</v>
      </c>
      <c r="D25" s="108" t="s">
        <v>271</v>
      </c>
      <c r="E25" s="108" t="s">
        <v>253</v>
      </c>
      <c r="F25" s="108" t="s">
        <v>255</v>
      </c>
      <c r="G25" s="108" t="s">
        <v>256</v>
      </c>
      <c r="H25" s="108" t="s">
        <v>259</v>
      </c>
      <c r="I25" s="108" t="s">
        <v>260</v>
      </c>
      <c r="J25" s="108" t="s">
        <v>261</v>
      </c>
      <c r="K25" s="108" t="s">
        <v>262</v>
      </c>
      <c r="L25" s="108" t="s">
        <v>263</v>
      </c>
      <c r="M25" s="108" t="s">
        <v>264</v>
      </c>
      <c r="N25" s="108" t="s">
        <v>265</v>
      </c>
      <c r="O25" s="108" t="s">
        <v>266</v>
      </c>
      <c r="P25" s="108" t="s">
        <v>267</v>
      </c>
      <c r="Q25" s="108" t="s">
        <v>295</v>
      </c>
      <c r="R25" s="108" t="s">
        <v>268</v>
      </c>
      <c r="S25" s="108" t="s">
        <v>269</v>
      </c>
      <c r="T25" s="109" t="s">
        <v>270</v>
      </c>
    </row>
    <row r="26" spans="2:20">
      <c r="B26" s="111" t="s">
        <v>257</v>
      </c>
      <c r="C26" s="151" t="s">
        <v>274</v>
      </c>
      <c r="D26" s="153" t="s">
        <v>273</v>
      </c>
      <c r="E26" s="153" t="s">
        <v>96</v>
      </c>
      <c r="F26" s="153" t="s">
        <v>96</v>
      </c>
      <c r="G26" s="153" t="s">
        <v>96</v>
      </c>
      <c r="H26" s="153" t="s">
        <v>96</v>
      </c>
      <c r="I26" s="153" t="s">
        <v>96</v>
      </c>
      <c r="J26" s="153" t="s">
        <v>96</v>
      </c>
      <c r="K26" s="153" t="s">
        <v>96</v>
      </c>
      <c r="L26" s="153" t="s">
        <v>258</v>
      </c>
      <c r="M26" s="153" t="s">
        <v>258</v>
      </c>
      <c r="N26" s="153" t="s">
        <v>96</v>
      </c>
      <c r="O26" s="153" t="s">
        <v>258</v>
      </c>
      <c r="P26" s="153" t="s">
        <v>276</v>
      </c>
      <c r="Q26" s="153" t="s">
        <v>282</v>
      </c>
      <c r="R26" s="153" t="s">
        <v>96</v>
      </c>
      <c r="S26" s="153" t="s">
        <v>258</v>
      </c>
      <c r="T26" s="154" t="s">
        <v>258</v>
      </c>
    </row>
    <row r="27" spans="2:20">
      <c r="K27" s="85"/>
      <c r="L27" s="85"/>
      <c r="M27" s="85"/>
      <c r="N27" s="85"/>
    </row>
    <row r="29" spans="2:20">
      <c r="B29" s="147" t="s">
        <v>288</v>
      </c>
      <c r="C29" s="147" t="s">
        <v>291</v>
      </c>
      <c r="D29" s="147" t="s">
        <v>289</v>
      </c>
      <c r="E29" s="148" t="s">
        <v>290</v>
      </c>
    </row>
    <row r="30" spans="2:20">
      <c r="B30" s="148">
        <v>2</v>
      </c>
      <c r="C30" s="149">
        <v>0.7</v>
      </c>
      <c r="D30" s="148">
        <v>2</v>
      </c>
      <c r="E30" s="148"/>
    </row>
  </sheetData>
  <mergeCells count="17">
    <mergeCell ref="E10:E11"/>
    <mergeCell ref="F8:F9"/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</mergeCells>
  <phoneticPr fontId="9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huadd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638175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257175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C104"/>
  <sheetViews>
    <sheetView showGridLines="0" tabSelected="1" topLeftCell="T1" zoomScale="70" zoomScaleNormal="70" zoomScaleSheetLayoutView="50" zoomScalePageLayoutView="80" workbookViewId="0">
      <selection activeCell="AA21" sqref="AA21"/>
    </sheetView>
  </sheetViews>
  <sheetFormatPr defaultColWidth="8.85546875" defaultRowHeight="15"/>
  <cols>
    <col min="1" max="1" width="2.85546875" style="120" customWidth="1"/>
    <col min="2" max="2" width="12.7109375" style="120" customWidth="1"/>
    <col min="3" max="3" width="9.85546875" style="121" bestFit="1" customWidth="1"/>
    <col min="4" max="4" width="14" style="122" bestFit="1" customWidth="1"/>
    <col min="5" max="5" width="16" style="121" bestFit="1" customWidth="1"/>
    <col min="6" max="6" width="9.85546875" style="121" bestFit="1" customWidth="1"/>
    <col min="7" max="7" width="12.7109375" style="120" hidden="1" customWidth="1"/>
    <col min="8" max="8" width="11.42578125" style="123" hidden="1" customWidth="1"/>
    <col min="9" max="9" width="12.28515625" style="120" hidden="1" customWidth="1"/>
    <col min="10" max="10" width="7.7109375" style="120" hidden="1" customWidth="1"/>
    <col min="11" max="11" width="11.85546875" style="123" hidden="1" customWidth="1"/>
    <col min="12" max="12" width="12.7109375" style="120" hidden="1" customWidth="1"/>
    <col min="13" max="13" width="22.7109375" style="120" bestFit="1" customWidth="1"/>
    <col min="14" max="14" width="64.28515625" style="123" customWidth="1"/>
    <col min="15" max="15" width="25.42578125" style="123" hidden="1" customWidth="1"/>
    <col min="16" max="16" width="12.85546875" style="120" customWidth="1"/>
    <col min="17" max="17" width="13" style="120" hidden="1" customWidth="1"/>
    <col min="18" max="18" width="18" style="120" customWidth="1"/>
    <col min="19" max="19" width="22.85546875" style="123" customWidth="1"/>
    <col min="20" max="20" width="16.42578125" style="123" customWidth="1"/>
    <col min="21" max="21" width="10.140625" style="121" customWidth="1"/>
    <col min="22" max="22" width="10" style="123" customWidth="1"/>
    <col min="23" max="24" width="18" style="124" customWidth="1"/>
    <col min="25" max="25" width="19.28515625" style="120" bestFit="1" customWidth="1"/>
    <col min="26" max="26" width="15.85546875" style="121" bestFit="1" customWidth="1"/>
    <col min="27" max="27" width="15.85546875" style="121" customWidth="1"/>
    <col min="28" max="28" width="9.42578125" style="121" customWidth="1"/>
    <col min="29" max="29" width="22.42578125" style="121" bestFit="1" customWidth="1"/>
    <col min="30" max="30" width="10.140625" style="121" bestFit="1" customWidth="1"/>
    <col min="31" max="31" width="18.42578125" style="125" bestFit="1" customWidth="1"/>
    <col min="32" max="32" width="22" style="125" bestFit="1" customWidth="1"/>
    <col min="33" max="33" width="7.28515625" style="125" customWidth="1"/>
    <col min="34" max="34" width="18" style="126" customWidth="1"/>
    <col min="35" max="35" width="9.85546875" style="126" customWidth="1"/>
    <col min="36" max="36" width="14.140625" style="126" bestFit="1" customWidth="1"/>
    <col min="37" max="37" width="8.42578125" style="120" hidden="1" customWidth="1"/>
    <col min="38" max="38" width="9.28515625" style="120" customWidth="1"/>
    <col min="39" max="39" width="7.140625" style="120" customWidth="1"/>
    <col min="40" max="40" width="5.85546875" style="120" customWidth="1"/>
    <col min="41" max="41" width="5.85546875" style="120" hidden="1" customWidth="1"/>
    <col min="42" max="42" width="8.85546875" style="120" customWidth="1"/>
    <col min="43" max="43" width="8.28515625" style="120" bestFit="1" customWidth="1"/>
    <col min="44" max="44" width="9.7109375" style="120" bestFit="1" customWidth="1"/>
    <col min="45" max="45" width="10.42578125" style="120" bestFit="1" customWidth="1"/>
    <col min="46" max="46" width="12.42578125" style="120" customWidth="1"/>
    <col min="47" max="47" width="12.85546875" style="120" bestFit="1" customWidth="1"/>
    <col min="48" max="49" width="8.85546875" style="120"/>
    <col min="50" max="52" width="9.28515625" style="120" bestFit="1" customWidth="1"/>
    <col min="53" max="16384" width="8.85546875" style="120"/>
  </cols>
  <sheetData>
    <row r="1" spans="1:55">
      <c r="AX1" s="120" t="s">
        <v>243</v>
      </c>
      <c r="AY1" s="120" t="s">
        <v>244</v>
      </c>
      <c r="AZ1" s="120" t="s">
        <v>245</v>
      </c>
      <c r="BB1" s="120" t="s">
        <v>35</v>
      </c>
      <c r="BC1" s="120" t="s">
        <v>246</v>
      </c>
    </row>
    <row r="2" spans="1:55" ht="18" thickBot="1">
      <c r="AX2" s="15">
        <f>ROUNDUP(S18*INPUT_OUTPUTS!$C$18,-2)</f>
        <v>5000</v>
      </c>
      <c r="AY2" s="15">
        <f>ROUNDUP(T18*INPUT_OUTPUTS!$C$18,-2)</f>
        <v>5000</v>
      </c>
      <c r="AZ2" s="14">
        <f>ROUNDUP((P18*INPUT_OUTPUTS!C18)+AA4,-2)</f>
        <v>1700</v>
      </c>
      <c r="BB2" s="127">
        <f>AHU1_CAV_SCHEDULE449[[#Totals],[GPM]]</f>
        <v>19</v>
      </c>
      <c r="BC2" s="128">
        <f>AHU1_CAV_SCHEDULE449[[#Totals],[MIN MBH]]</f>
        <v>0</v>
      </c>
    </row>
    <row r="3" spans="1:55" ht="15.75" customHeight="1">
      <c r="C3" s="120"/>
      <c r="H3" s="120"/>
      <c r="K3" s="120"/>
      <c r="N3" s="120"/>
      <c r="O3" s="120"/>
      <c r="S3" s="120"/>
      <c r="T3" s="120"/>
      <c r="U3" s="120"/>
      <c r="V3" s="120"/>
      <c r="W3" s="129"/>
      <c r="X3" s="129"/>
      <c r="Z3" s="120"/>
      <c r="AA3" s="120"/>
      <c r="AB3" s="120"/>
    </row>
    <row r="4" spans="1:55" ht="15.75">
      <c r="B4" s="123"/>
      <c r="C4" s="123"/>
      <c r="D4" s="123"/>
      <c r="E4" s="123"/>
      <c r="F4" s="123"/>
      <c r="G4" s="123"/>
      <c r="I4" s="123"/>
      <c r="J4" s="123"/>
      <c r="L4" s="123"/>
      <c r="M4" s="123"/>
      <c r="P4" s="123"/>
      <c r="Q4" s="123"/>
      <c r="R4" s="123"/>
      <c r="U4" s="123"/>
      <c r="W4" s="123"/>
      <c r="X4" s="123"/>
      <c r="Y4" s="20" t="s">
        <v>286</v>
      </c>
      <c r="Z4" s="162">
        <f>(AZ2/AY2)*100</f>
        <v>34</v>
      </c>
      <c r="AA4" s="20">
        <v>0</v>
      </c>
      <c r="AB4" s="120"/>
    </row>
    <row r="5" spans="1:55">
      <c r="B5" s="130"/>
      <c r="C5" s="130"/>
      <c r="D5" s="357" t="s">
        <v>67</v>
      </c>
      <c r="E5" s="358"/>
      <c r="F5" s="358"/>
      <c r="G5" s="359"/>
      <c r="H5" s="357" t="s">
        <v>68</v>
      </c>
      <c r="I5" s="358"/>
      <c r="J5" s="358"/>
      <c r="K5" s="358"/>
      <c r="L5" s="358"/>
      <c r="M5" s="358"/>
      <c r="N5" s="358"/>
      <c r="O5" s="358"/>
      <c r="P5" s="358"/>
      <c r="Q5" s="358"/>
      <c r="R5" s="359"/>
      <c r="S5" s="357" t="s">
        <v>66</v>
      </c>
      <c r="T5" s="358"/>
      <c r="U5" s="358"/>
      <c r="V5" s="359"/>
      <c r="W5" s="130"/>
      <c r="X5" s="145"/>
      <c r="Y5" s="360" t="s">
        <v>65</v>
      </c>
      <c r="Z5" s="361"/>
      <c r="AA5" s="362"/>
      <c r="AD5" s="383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4"/>
      <c r="AP5" s="384"/>
      <c r="AQ5" s="384"/>
      <c r="AR5" s="384"/>
      <c r="AS5" s="384"/>
      <c r="AT5" s="385"/>
    </row>
    <row r="6" spans="1:55" s="134" customFormat="1" ht="53.1" customHeight="1" thickBot="1">
      <c r="A6" s="131"/>
      <c r="B6" s="112" t="s">
        <v>97</v>
      </c>
      <c r="C6" s="66" t="s">
        <v>6</v>
      </c>
      <c r="D6" s="67" t="s">
        <v>32</v>
      </c>
      <c r="E6" s="68" t="s">
        <v>91</v>
      </c>
      <c r="F6" s="69" t="s">
        <v>0</v>
      </c>
      <c r="G6" s="70" t="s">
        <v>98</v>
      </c>
      <c r="H6" s="71" t="s">
        <v>33</v>
      </c>
      <c r="I6" s="72" t="s">
        <v>293</v>
      </c>
      <c r="J6" s="70" t="s">
        <v>99</v>
      </c>
      <c r="K6" s="70" t="s">
        <v>100</v>
      </c>
      <c r="L6" s="70" t="s">
        <v>7</v>
      </c>
      <c r="M6" s="73" t="s">
        <v>101</v>
      </c>
      <c r="N6" s="68" t="s">
        <v>102</v>
      </c>
      <c r="O6" s="68" t="s">
        <v>103</v>
      </c>
      <c r="P6" s="68" t="s">
        <v>12</v>
      </c>
      <c r="Q6" s="69" t="s">
        <v>104</v>
      </c>
      <c r="R6" s="73" t="s">
        <v>64</v>
      </c>
      <c r="S6" s="73" t="s">
        <v>105</v>
      </c>
      <c r="T6" s="68" t="s">
        <v>8</v>
      </c>
      <c r="U6" s="69" t="s">
        <v>9</v>
      </c>
      <c r="V6" s="70" t="s">
        <v>10</v>
      </c>
      <c r="W6" s="70" t="s">
        <v>11</v>
      </c>
      <c r="X6" s="146" t="s">
        <v>287</v>
      </c>
      <c r="Y6" s="73" t="s">
        <v>28</v>
      </c>
      <c r="Z6" s="73" t="s">
        <v>60</v>
      </c>
      <c r="AA6" s="69" t="s">
        <v>29</v>
      </c>
      <c r="AB6" s="132"/>
      <c r="AC6" s="132"/>
      <c r="AD6" s="133" t="s">
        <v>97</v>
      </c>
      <c r="AE6" s="133" t="s">
        <v>85</v>
      </c>
      <c r="AF6" s="133" t="s">
        <v>86</v>
      </c>
      <c r="AG6" s="133" t="s">
        <v>38</v>
      </c>
      <c r="AH6" s="133" t="s">
        <v>93</v>
      </c>
      <c r="AI6" s="133" t="s">
        <v>84</v>
      </c>
      <c r="AJ6" s="133" t="s">
        <v>36</v>
      </c>
      <c r="AK6" s="133" t="s">
        <v>76</v>
      </c>
      <c r="AL6" s="133" t="s">
        <v>37</v>
      </c>
      <c r="AM6" s="133" t="s">
        <v>75</v>
      </c>
      <c r="AN6" s="133" t="s">
        <v>74</v>
      </c>
      <c r="AO6" s="133" t="s">
        <v>169</v>
      </c>
      <c r="AP6" s="133" t="s">
        <v>35</v>
      </c>
      <c r="AQ6" s="133" t="s">
        <v>81</v>
      </c>
      <c r="AR6" s="133" t="s">
        <v>82</v>
      </c>
      <c r="AS6" s="133" t="s">
        <v>83</v>
      </c>
      <c r="AT6" s="133" t="s">
        <v>69</v>
      </c>
    </row>
    <row r="7" spans="1:55" ht="15" customHeight="1">
      <c r="B7" s="155" t="s">
        <v>164</v>
      </c>
      <c r="C7" s="155" t="s">
        <v>164</v>
      </c>
      <c r="D7" s="155">
        <v>1234</v>
      </c>
      <c r="E7" s="155">
        <v>100</v>
      </c>
      <c r="F7" s="155">
        <v>10</v>
      </c>
      <c r="G7" s="18">
        <f>VLOOKUP($M7,'UMC Table 4-A'!$A$2:$E$131,4,FALSE)</f>
        <v>4</v>
      </c>
      <c r="H7" s="18" t="str">
        <f>VLOOKUP($M7,'UMC Table 4-A'!$A$2:$E$131,5,FALSE)</f>
        <v>NR</v>
      </c>
      <c r="I7" s="18" t="str">
        <f t="shared" ref="I7:I17" si="0">IF(H7="Yes",K7,"-")</f>
        <v>-</v>
      </c>
      <c r="J7" s="18">
        <v>0</v>
      </c>
      <c r="K7" s="18">
        <f t="shared" ref="K7:K17" si="1">IF(G7&lt;&gt;"NR",ROUNDUP((E7*F7*G7)/60,-1),0)</f>
        <v>70</v>
      </c>
      <c r="L7" s="18">
        <f t="shared" ref="L7:L17" si="2">E7</f>
        <v>100</v>
      </c>
      <c r="M7" s="155" t="s">
        <v>77</v>
      </c>
      <c r="N7" s="22" t="str">
        <f>VLOOKUP($M7,'UMC Table 4-A'!$A$2:$E$131,2,FALSE)</f>
        <v>NR</v>
      </c>
      <c r="O7" s="24">
        <f>VLOOKUP($M7,'UMC Table 4-A'!$A$2:$E$131,3,FALSE)</f>
        <v>2</v>
      </c>
      <c r="P7" s="25">
        <f t="shared" ref="P7:P17" si="3">IF(O7&lt;&gt;"NR",ROUNDUP((E7*F7*O7)/60,-1),0)</f>
        <v>40</v>
      </c>
      <c r="Q7" s="24" t="str">
        <f>VLOOKUP($M7,'UMC Table 4-A'!$A$2:$E$131,5,FALSE)</f>
        <v>NR</v>
      </c>
      <c r="R7" s="23">
        <f>IF(N7="Negative",IF(OR(M7="Toilet room",M7="Janitor's closet, housekeeping"),0,IF(0.1*U7&gt;50,220-0.1*U7,U7-50)),IF(Q7="Yes",0,CEILING(MAX(J7,K7,L7),5)))</f>
        <v>100</v>
      </c>
      <c r="S7" s="156">
        <f t="shared" ref="S7:S17" si="4">R7</f>
        <v>100</v>
      </c>
      <c r="T7" s="157">
        <f t="shared" ref="T7:T17" si="5">IF(Q7="Yes",0,IF(N7="Positive",IF(0.1*R7&gt;50,R7-0.1*R7,R7-50),IF(N7="Negative",IF(0.1*R7&gt;50,R7+0.1*R7,R7+50),R7)))</f>
        <v>100</v>
      </c>
      <c r="U7" s="156">
        <f t="shared" ref="U7:U17" si="6">IF(Q7="Yes",I7,0)</f>
        <v>0</v>
      </c>
      <c r="V7" s="113">
        <f t="shared" ref="V7:V17" si="7">S7-T7-U7</f>
        <v>0</v>
      </c>
      <c r="W7" s="24" t="str">
        <f t="shared" ref="W7:W17" si="8">IF(R7-T7-U7+V7=0,"Yes","No")</f>
        <v>Yes</v>
      </c>
      <c r="X7" s="24">
        <f>E7</f>
        <v>100</v>
      </c>
      <c r="Y7" s="114">
        <f t="shared" ref="Y7:Y17" si="9">IFERROR(R7/E7,"-")</f>
        <v>1</v>
      </c>
      <c r="Z7" s="115">
        <f>(P7/S7)*100</f>
        <v>40</v>
      </c>
      <c r="AA7" s="116">
        <f>R7/E7/F7*60</f>
        <v>6</v>
      </c>
      <c r="AD7" s="56" t="s">
        <v>110</v>
      </c>
      <c r="AE7" s="56" t="s">
        <v>88</v>
      </c>
      <c r="AF7" s="56" t="s">
        <v>94</v>
      </c>
      <c r="AG7" s="57">
        <f t="shared" ref="AG7:AG44" si="10">SUMIF($B$7:$B$17,AD7,$S$7:$S$17)</f>
        <v>0</v>
      </c>
      <c r="AH7" s="57" t="str">
        <f>IFERROR((VLOOKUP(AG7,'DO NOT TOUCH'!$P$9:$Q$14,2,TRUE)),"TBD")</f>
        <v>TBD</v>
      </c>
      <c r="AI7" s="57">
        <v>0.5</v>
      </c>
      <c r="AJ7" s="57">
        <f>INPUT_OUTPUTS!$C$16</f>
        <v>140</v>
      </c>
      <c r="AK7" s="57">
        <f>INPUT_OUTPUTS!$C$17</f>
        <v>100</v>
      </c>
      <c r="AL7" s="57">
        <v>55</v>
      </c>
      <c r="AM7" s="57">
        <v>85</v>
      </c>
      <c r="AN7" s="57">
        <f t="shared" ref="AN7:AN44" si="11">MROUND((1.08*(AM7-AL7)*AG7)/1000,0.1)</f>
        <v>0</v>
      </c>
      <c r="AO7" s="58">
        <f>(AN7*1000)/(500*(AJ7-AK7))</f>
        <v>0</v>
      </c>
      <c r="AP7" s="58">
        <f>IF(AO7&lt;0.5,0.5,AO7)</f>
        <v>0.5</v>
      </c>
      <c r="AQ7" s="58">
        <v>5</v>
      </c>
      <c r="AR7" s="58" t="str">
        <f>IFERROR((_xlfn.XLOOKUP(AH7,'DO NOT TOUCH'!$Q$9:$Q$14,'DO NOT TOUCH'!$R$9:$R$14,)),"TBD")</f>
        <v>TBD</v>
      </c>
      <c r="AS7" s="58" t="str">
        <f>INPUT_OUTPUTS!$C$19</f>
        <v>C1/M-501</v>
      </c>
      <c r="AT7" s="57" t="s">
        <v>89</v>
      </c>
    </row>
    <row r="8" spans="1:55" ht="15" customHeight="1">
      <c r="B8" s="155" t="s">
        <v>164</v>
      </c>
      <c r="C8" s="155" t="s">
        <v>164</v>
      </c>
      <c r="D8" s="155">
        <v>1234</v>
      </c>
      <c r="E8" s="155">
        <v>200</v>
      </c>
      <c r="F8" s="155">
        <v>9.5</v>
      </c>
      <c r="G8" s="18">
        <f>VLOOKUP($M8,'UMC Table 4-A'!$A$2:$E$131,4,FALSE)</f>
        <v>4</v>
      </c>
      <c r="H8" s="18" t="str">
        <f>VLOOKUP($M8,'UMC Table 4-A'!$A$2:$E$131,5,FALSE)</f>
        <v>NR</v>
      </c>
      <c r="I8" s="18" t="str">
        <f t="shared" si="0"/>
        <v>-</v>
      </c>
      <c r="J8" s="18">
        <v>0</v>
      </c>
      <c r="K8" s="18">
        <f t="shared" si="1"/>
        <v>130</v>
      </c>
      <c r="L8" s="18">
        <f t="shared" si="2"/>
        <v>200</v>
      </c>
      <c r="M8" s="155" t="s">
        <v>77</v>
      </c>
      <c r="N8" s="20" t="str">
        <f>VLOOKUP($M8,'UMC Table 4-A'!$A$2:$E$131,2,FALSE)</f>
        <v>NR</v>
      </c>
      <c r="O8" s="18">
        <f>VLOOKUP($M8,'UMC Table 4-A'!$A$2:$E$131,3,FALSE)</f>
        <v>2</v>
      </c>
      <c r="P8" s="26">
        <f t="shared" si="3"/>
        <v>70</v>
      </c>
      <c r="Q8" s="18" t="str">
        <f>VLOOKUP($M8,'UMC Table 4-A'!$A$2:$E$131,5,FALSE)</f>
        <v>NR</v>
      </c>
      <c r="R8" s="19">
        <f>IF(N8="Negative",IF(OR(M8="Toilet room",M8="Janitor's closet, housekeeping"),0,IF(0.1*U8&gt;50,220-0.1*U8,U8-50)),IF(Q8="Yes",0,CEILING(MAX(J8,K8,L8),5)))</f>
        <v>200</v>
      </c>
      <c r="S8" s="156">
        <f t="shared" si="4"/>
        <v>200</v>
      </c>
      <c r="T8" s="156">
        <f t="shared" si="5"/>
        <v>200</v>
      </c>
      <c r="U8" s="156">
        <f t="shared" si="6"/>
        <v>0</v>
      </c>
      <c r="V8" s="117">
        <f t="shared" si="7"/>
        <v>0</v>
      </c>
      <c r="W8" s="18" t="str">
        <f t="shared" si="8"/>
        <v>Yes</v>
      </c>
      <c r="X8" s="18">
        <f>E8</f>
        <v>200</v>
      </c>
      <c r="Y8" s="116">
        <f t="shared" si="9"/>
        <v>1</v>
      </c>
      <c r="Z8" s="115">
        <f t="shared" ref="Z8:Z17" si="12">IFERROR(((P8/S8)*100),"-")</f>
        <v>35</v>
      </c>
      <c r="AA8" s="116">
        <f t="shared" ref="AA8:AA17" si="13">IFERROR((R8/E8/F8*60),"-")</f>
        <v>6.3157894736842106</v>
      </c>
      <c r="AD8" s="56" t="s">
        <v>111</v>
      </c>
      <c r="AE8" s="56" t="s">
        <v>88</v>
      </c>
      <c r="AF8" s="56" t="s">
        <v>94</v>
      </c>
      <c r="AG8" s="57">
        <f t="shared" si="10"/>
        <v>0</v>
      </c>
      <c r="AH8" s="57" t="str">
        <f>IFERROR((VLOOKUP(AG8,'DO NOT TOUCH'!$P$9:$Q$14,2,TRUE)),"TBD")</f>
        <v>TBD</v>
      </c>
      <c r="AI8" s="57">
        <f>AI7</f>
        <v>0.5</v>
      </c>
      <c r="AJ8" s="57">
        <f>INPUT_OUTPUTS!$C$16</f>
        <v>140</v>
      </c>
      <c r="AK8" s="57">
        <f>INPUT_OUTPUTS!$C$17</f>
        <v>100</v>
      </c>
      <c r="AL8" s="57">
        <f t="shared" ref="AL8:AM23" si="14">AL7</f>
        <v>55</v>
      </c>
      <c r="AM8" s="57">
        <f t="shared" si="14"/>
        <v>85</v>
      </c>
      <c r="AN8" s="57">
        <f t="shared" si="11"/>
        <v>0</v>
      </c>
      <c r="AO8" s="58">
        <f>(AN8*1000)/(500*(AJ8-AK8))</f>
        <v>0</v>
      </c>
      <c r="AP8" s="58">
        <f t="shared" ref="AP8:AP44" si="15">IF(AO8&lt;0.5,0.5,AO8)</f>
        <v>0.5</v>
      </c>
      <c r="AQ8" s="58">
        <f>AQ7</f>
        <v>5</v>
      </c>
      <c r="AR8" s="58" t="str">
        <f>IFERROR((_xlfn.XLOOKUP(AH8,'DO NOT TOUCH'!$Q$9:$Q$14,'DO NOT TOUCH'!$R$9:$R$14,)),"TBD")</f>
        <v>TBD</v>
      </c>
      <c r="AS8" s="58" t="str">
        <f>INPUT_OUTPUTS!$C$19</f>
        <v>C1/M-501</v>
      </c>
      <c r="AT8" s="57" t="str">
        <f>AT7</f>
        <v>1, 2</v>
      </c>
    </row>
    <row r="9" spans="1:55" ht="15" customHeight="1">
      <c r="B9" s="155" t="s">
        <v>170</v>
      </c>
      <c r="C9" s="155" t="s">
        <v>164</v>
      </c>
      <c r="D9" s="155">
        <v>1234</v>
      </c>
      <c r="E9" s="155">
        <v>300</v>
      </c>
      <c r="F9" s="155">
        <v>10</v>
      </c>
      <c r="G9" s="18">
        <f>VLOOKUP($M9,'UMC Table 4-A'!$A$2:$E$131,4,FALSE)</f>
        <v>4</v>
      </c>
      <c r="H9" s="18" t="str">
        <f>VLOOKUP($M9,'UMC Table 4-A'!$A$2:$E$131,5,FALSE)</f>
        <v>NR</v>
      </c>
      <c r="I9" s="18" t="str">
        <f t="shared" si="0"/>
        <v>-</v>
      </c>
      <c r="J9" s="18">
        <v>0</v>
      </c>
      <c r="K9" s="18">
        <f t="shared" si="1"/>
        <v>200</v>
      </c>
      <c r="L9" s="18">
        <f t="shared" si="2"/>
        <v>300</v>
      </c>
      <c r="M9" s="155" t="s">
        <v>77</v>
      </c>
      <c r="N9" s="20" t="str">
        <f>VLOOKUP($M9,'UMC Table 4-A'!$A$2:$E$131,2,FALSE)</f>
        <v>NR</v>
      </c>
      <c r="O9" s="18">
        <f>VLOOKUP($M9,'UMC Table 4-A'!$A$2:$E$131,3,FALSE)</f>
        <v>2</v>
      </c>
      <c r="P9" s="26">
        <f t="shared" si="3"/>
        <v>100</v>
      </c>
      <c r="Q9" s="18" t="str">
        <f>VLOOKUP($M9,'UMC Table 4-A'!$A$2:$E$131,5,FALSE)</f>
        <v>NR</v>
      </c>
      <c r="R9" s="19">
        <f t="shared" ref="R9:R17" si="16">IF(N9="Negative",IF(OR(M9="Toilet room",M9="Janitor's closet, housekeeping"),0,IF(0.1*U9&gt;50,220-0.1*U9,U9-50)),IF(Q9="Yes",0,CEILING(MAX(J9,K9,L9),5)))</f>
        <v>300</v>
      </c>
      <c r="S9" s="156">
        <f t="shared" si="4"/>
        <v>300</v>
      </c>
      <c r="T9" s="156">
        <f t="shared" si="5"/>
        <v>300</v>
      </c>
      <c r="U9" s="156">
        <f t="shared" si="6"/>
        <v>0</v>
      </c>
      <c r="V9" s="117">
        <f t="shared" si="7"/>
        <v>0</v>
      </c>
      <c r="W9" s="18" t="str">
        <f t="shared" si="8"/>
        <v>Yes</v>
      </c>
      <c r="X9" s="18">
        <f t="shared" ref="X9:X17" si="17">E9</f>
        <v>300</v>
      </c>
      <c r="Y9" s="116">
        <f t="shared" si="9"/>
        <v>1</v>
      </c>
      <c r="Z9" s="115">
        <f t="shared" si="12"/>
        <v>33.333333333333329</v>
      </c>
      <c r="AA9" s="116">
        <f t="shared" si="13"/>
        <v>6</v>
      </c>
      <c r="AD9" s="56" t="s">
        <v>112</v>
      </c>
      <c r="AE9" s="56" t="s">
        <v>88</v>
      </c>
      <c r="AF9" s="56" t="s">
        <v>94</v>
      </c>
      <c r="AG9" s="57">
        <f t="shared" si="10"/>
        <v>0</v>
      </c>
      <c r="AH9" s="57" t="str">
        <f>IFERROR((VLOOKUP(AG9,'DO NOT TOUCH'!$P$9:$Q$14,2,TRUE)),"TBD")</f>
        <v>TBD</v>
      </c>
      <c r="AI9" s="57">
        <f t="shared" ref="AI9:AI44" si="18">AI8</f>
        <v>0.5</v>
      </c>
      <c r="AJ9" s="57">
        <f>INPUT_OUTPUTS!$C$16</f>
        <v>140</v>
      </c>
      <c r="AK9" s="57">
        <f>INPUT_OUTPUTS!$C$17</f>
        <v>100</v>
      </c>
      <c r="AL9" s="57">
        <f t="shared" si="14"/>
        <v>55</v>
      </c>
      <c r="AM9" s="57">
        <f t="shared" si="14"/>
        <v>85</v>
      </c>
      <c r="AN9" s="57">
        <f t="shared" si="11"/>
        <v>0</v>
      </c>
      <c r="AO9" s="58">
        <f t="shared" ref="AO9:AO44" si="19">(AN9*1000)/(500*(AJ9-AK9))</f>
        <v>0</v>
      </c>
      <c r="AP9" s="58">
        <f t="shared" si="15"/>
        <v>0.5</v>
      </c>
      <c r="AQ9" s="58">
        <f t="shared" ref="AQ9:AQ44" si="20">AQ8</f>
        <v>5</v>
      </c>
      <c r="AR9" s="58" t="str">
        <f>IFERROR((_xlfn.XLOOKUP(AH9,'DO NOT TOUCH'!$Q$9:$Q$14,'DO NOT TOUCH'!$R$9:$R$14,)),"TBD")</f>
        <v>TBD</v>
      </c>
      <c r="AS9" s="58" t="str">
        <f>INPUT_OUTPUTS!$C$19</f>
        <v>C1/M-501</v>
      </c>
      <c r="AT9" s="57" t="str">
        <f t="shared" ref="AT9:AT44" si="21">AT8</f>
        <v>1, 2</v>
      </c>
    </row>
    <row r="10" spans="1:55" ht="15" customHeight="1">
      <c r="B10" s="155" t="s">
        <v>171</v>
      </c>
      <c r="C10" s="155" t="s">
        <v>164</v>
      </c>
      <c r="D10" s="155">
        <v>1234</v>
      </c>
      <c r="E10" s="155">
        <v>20</v>
      </c>
      <c r="F10" s="155">
        <v>10</v>
      </c>
      <c r="G10" s="18">
        <f>VLOOKUP($M10,'UMC Table 4-A'!$A$2:$E$131,4,FALSE)</f>
        <v>4</v>
      </c>
      <c r="H10" s="18" t="str">
        <f>VLOOKUP($M10,'UMC Table 4-A'!$A$2:$E$131,5,FALSE)</f>
        <v>NR</v>
      </c>
      <c r="I10" s="18" t="str">
        <f t="shared" si="0"/>
        <v>-</v>
      </c>
      <c r="J10" s="18">
        <v>0</v>
      </c>
      <c r="K10" s="18">
        <f t="shared" si="1"/>
        <v>20</v>
      </c>
      <c r="L10" s="18">
        <f t="shared" si="2"/>
        <v>20</v>
      </c>
      <c r="M10" s="155" t="s">
        <v>77</v>
      </c>
      <c r="N10" s="20" t="str">
        <f>VLOOKUP($M10,'UMC Table 4-A'!$A$2:$E$131,2,FALSE)</f>
        <v>NR</v>
      </c>
      <c r="O10" s="18">
        <f>VLOOKUP($M10,'UMC Table 4-A'!$A$2:$E$131,3,FALSE)</f>
        <v>2</v>
      </c>
      <c r="P10" s="26">
        <f t="shared" si="3"/>
        <v>10</v>
      </c>
      <c r="Q10" s="18" t="str">
        <f>VLOOKUP($M10,'UMC Table 4-A'!$A$2:$E$131,5,FALSE)</f>
        <v>NR</v>
      </c>
      <c r="R10" s="19">
        <f t="shared" si="16"/>
        <v>20</v>
      </c>
      <c r="S10" s="156">
        <f t="shared" si="4"/>
        <v>20</v>
      </c>
      <c r="T10" s="156">
        <f t="shared" si="5"/>
        <v>20</v>
      </c>
      <c r="U10" s="156">
        <f t="shared" si="6"/>
        <v>0</v>
      </c>
      <c r="V10" s="117">
        <f t="shared" si="7"/>
        <v>0</v>
      </c>
      <c r="W10" s="18" t="str">
        <f t="shared" si="8"/>
        <v>Yes</v>
      </c>
      <c r="X10" s="18">
        <f t="shared" si="17"/>
        <v>20</v>
      </c>
      <c r="Y10" s="116">
        <f t="shared" si="9"/>
        <v>1</v>
      </c>
      <c r="Z10" s="115">
        <f t="shared" si="12"/>
        <v>50</v>
      </c>
      <c r="AA10" s="116">
        <f t="shared" si="13"/>
        <v>6</v>
      </c>
      <c r="AD10" s="56" t="s">
        <v>113</v>
      </c>
      <c r="AE10" s="56" t="s">
        <v>88</v>
      </c>
      <c r="AF10" s="56" t="s">
        <v>94</v>
      </c>
      <c r="AG10" s="57">
        <f t="shared" si="10"/>
        <v>0</v>
      </c>
      <c r="AH10" s="57" t="str">
        <f>IFERROR((VLOOKUP(AG10,'DO NOT TOUCH'!$P$9:$Q$14,2,TRUE)),"TBD")</f>
        <v>TBD</v>
      </c>
      <c r="AI10" s="57">
        <f t="shared" si="18"/>
        <v>0.5</v>
      </c>
      <c r="AJ10" s="57">
        <f>INPUT_OUTPUTS!$C$16</f>
        <v>140</v>
      </c>
      <c r="AK10" s="57">
        <f>INPUT_OUTPUTS!$C$17</f>
        <v>100</v>
      </c>
      <c r="AL10" s="57">
        <f t="shared" si="14"/>
        <v>55</v>
      </c>
      <c r="AM10" s="57">
        <f t="shared" si="14"/>
        <v>85</v>
      </c>
      <c r="AN10" s="57">
        <f t="shared" si="11"/>
        <v>0</v>
      </c>
      <c r="AO10" s="58">
        <f t="shared" si="19"/>
        <v>0</v>
      </c>
      <c r="AP10" s="58">
        <f t="shared" si="15"/>
        <v>0.5</v>
      </c>
      <c r="AQ10" s="58">
        <f t="shared" si="20"/>
        <v>5</v>
      </c>
      <c r="AR10" s="58" t="str">
        <f>IFERROR((_xlfn.XLOOKUP(AH10,'DO NOT TOUCH'!$Q$9:$Q$14,'DO NOT TOUCH'!$R$9:$R$14,)),"TBD")</f>
        <v>TBD</v>
      </c>
      <c r="AS10" s="58" t="str">
        <f>INPUT_OUTPUTS!$C$19</f>
        <v>C1/M-501</v>
      </c>
      <c r="AT10" s="57" t="str">
        <f t="shared" si="21"/>
        <v>1, 2</v>
      </c>
    </row>
    <row r="11" spans="1:55" ht="15" customHeight="1">
      <c r="B11" s="155" t="s">
        <v>172</v>
      </c>
      <c r="C11" s="155" t="s">
        <v>164</v>
      </c>
      <c r="D11" s="155">
        <v>1234</v>
      </c>
      <c r="E11" s="155">
        <v>36</v>
      </c>
      <c r="F11" s="155">
        <v>10</v>
      </c>
      <c r="G11" s="18">
        <f>VLOOKUP($M11,'UMC Table 4-A'!$A$2:$E$131,4,FALSE)</f>
        <v>4</v>
      </c>
      <c r="H11" s="18" t="str">
        <f>VLOOKUP($M11,'UMC Table 4-A'!$A$2:$E$131,5,FALSE)</f>
        <v>NR</v>
      </c>
      <c r="I11" s="18" t="str">
        <f t="shared" si="0"/>
        <v>-</v>
      </c>
      <c r="J11" s="18">
        <v>0</v>
      </c>
      <c r="K11" s="18">
        <f t="shared" si="1"/>
        <v>30</v>
      </c>
      <c r="L11" s="18">
        <f t="shared" si="2"/>
        <v>36</v>
      </c>
      <c r="M11" s="155" t="s">
        <v>77</v>
      </c>
      <c r="N11" s="20" t="str">
        <f>VLOOKUP($M11,'UMC Table 4-A'!$A$2:$E$131,2,FALSE)</f>
        <v>NR</v>
      </c>
      <c r="O11" s="18">
        <f>VLOOKUP($M11,'UMC Table 4-A'!$A$2:$E$131,3,FALSE)</f>
        <v>2</v>
      </c>
      <c r="P11" s="26">
        <f t="shared" si="3"/>
        <v>20</v>
      </c>
      <c r="Q11" s="18" t="str">
        <f>VLOOKUP($M11,'UMC Table 4-A'!$A$2:$E$131,5,FALSE)</f>
        <v>NR</v>
      </c>
      <c r="R11" s="19">
        <f t="shared" si="16"/>
        <v>40</v>
      </c>
      <c r="S11" s="156">
        <f t="shared" si="4"/>
        <v>40</v>
      </c>
      <c r="T11" s="156">
        <f t="shared" si="5"/>
        <v>40</v>
      </c>
      <c r="U11" s="156">
        <f t="shared" si="6"/>
        <v>0</v>
      </c>
      <c r="V11" s="117">
        <f t="shared" si="7"/>
        <v>0</v>
      </c>
      <c r="W11" s="18" t="str">
        <f t="shared" si="8"/>
        <v>Yes</v>
      </c>
      <c r="X11" s="18">
        <f t="shared" si="17"/>
        <v>36</v>
      </c>
      <c r="Y11" s="116">
        <f t="shared" si="9"/>
        <v>1.1111111111111112</v>
      </c>
      <c r="Z11" s="115">
        <f t="shared" si="12"/>
        <v>50</v>
      </c>
      <c r="AA11" s="116">
        <f t="shared" si="13"/>
        <v>6.666666666666667</v>
      </c>
      <c r="AD11" s="56" t="s">
        <v>114</v>
      </c>
      <c r="AE11" s="56" t="s">
        <v>88</v>
      </c>
      <c r="AF11" s="56" t="s">
        <v>94</v>
      </c>
      <c r="AG11" s="57">
        <f t="shared" si="10"/>
        <v>0</v>
      </c>
      <c r="AH11" s="57" t="str">
        <f>IFERROR((VLOOKUP(AG11,'DO NOT TOUCH'!$P$9:$Q$14,2,TRUE)),"TBD")</f>
        <v>TBD</v>
      </c>
      <c r="AI11" s="57">
        <f t="shared" si="18"/>
        <v>0.5</v>
      </c>
      <c r="AJ11" s="57">
        <f>INPUT_OUTPUTS!$C$16</f>
        <v>140</v>
      </c>
      <c r="AK11" s="57">
        <f>INPUT_OUTPUTS!$C$17</f>
        <v>100</v>
      </c>
      <c r="AL11" s="57">
        <f t="shared" si="14"/>
        <v>55</v>
      </c>
      <c r="AM11" s="57">
        <f t="shared" si="14"/>
        <v>85</v>
      </c>
      <c r="AN11" s="57">
        <f t="shared" si="11"/>
        <v>0</v>
      </c>
      <c r="AO11" s="58">
        <f t="shared" si="19"/>
        <v>0</v>
      </c>
      <c r="AP11" s="58">
        <f t="shared" si="15"/>
        <v>0.5</v>
      </c>
      <c r="AQ11" s="58">
        <f t="shared" si="20"/>
        <v>5</v>
      </c>
      <c r="AR11" s="58" t="str">
        <f>IFERROR((_xlfn.XLOOKUP(AH11,'DO NOT TOUCH'!$Q$9:$Q$14,'DO NOT TOUCH'!$R$9:$R$14,)),"TBD")</f>
        <v>TBD</v>
      </c>
      <c r="AS11" s="58" t="str">
        <f>INPUT_OUTPUTS!$C$19</f>
        <v>C1/M-501</v>
      </c>
      <c r="AT11" s="57" t="str">
        <f t="shared" si="21"/>
        <v>1, 2</v>
      </c>
    </row>
    <row r="12" spans="1:55" ht="15" customHeight="1">
      <c r="B12" s="155" t="s">
        <v>172</v>
      </c>
      <c r="C12" s="155" t="s">
        <v>164</v>
      </c>
      <c r="D12" s="155">
        <v>1234</v>
      </c>
      <c r="E12" s="155">
        <v>212</v>
      </c>
      <c r="F12" s="155">
        <v>10</v>
      </c>
      <c r="G12" s="18">
        <f>VLOOKUP($M12,'UMC Table 4-A'!$A$2:$E$131,4,FALSE)</f>
        <v>4</v>
      </c>
      <c r="H12" s="18" t="str">
        <f>VLOOKUP($M12,'UMC Table 4-A'!$A$2:$E$131,5,FALSE)</f>
        <v>NR</v>
      </c>
      <c r="I12" s="18" t="str">
        <f t="shared" si="0"/>
        <v>-</v>
      </c>
      <c r="J12" s="18">
        <v>0</v>
      </c>
      <c r="K12" s="18">
        <f t="shared" si="1"/>
        <v>150</v>
      </c>
      <c r="L12" s="18">
        <f t="shared" si="2"/>
        <v>212</v>
      </c>
      <c r="M12" s="155" t="s">
        <v>77</v>
      </c>
      <c r="N12" s="20" t="str">
        <f>VLOOKUP($M12,'UMC Table 4-A'!$A$2:$E$131,2,FALSE)</f>
        <v>NR</v>
      </c>
      <c r="O12" s="18">
        <f>VLOOKUP($M12,'UMC Table 4-A'!$A$2:$E$131,3,FALSE)</f>
        <v>2</v>
      </c>
      <c r="P12" s="26">
        <f t="shared" si="3"/>
        <v>80</v>
      </c>
      <c r="Q12" s="18" t="str">
        <f>VLOOKUP($M12,'UMC Table 4-A'!$A$2:$E$131,5,FALSE)</f>
        <v>NR</v>
      </c>
      <c r="R12" s="19">
        <f t="shared" si="16"/>
        <v>215</v>
      </c>
      <c r="S12" s="156">
        <f t="shared" si="4"/>
        <v>215</v>
      </c>
      <c r="T12" s="156">
        <f t="shared" si="5"/>
        <v>215</v>
      </c>
      <c r="U12" s="156">
        <f t="shared" si="6"/>
        <v>0</v>
      </c>
      <c r="V12" s="117">
        <f t="shared" si="7"/>
        <v>0</v>
      </c>
      <c r="W12" s="18" t="str">
        <f t="shared" si="8"/>
        <v>Yes</v>
      </c>
      <c r="X12" s="18">
        <f t="shared" si="17"/>
        <v>212</v>
      </c>
      <c r="Y12" s="116">
        <f t="shared" si="9"/>
        <v>1.0141509433962264</v>
      </c>
      <c r="Z12" s="115">
        <f t="shared" si="12"/>
        <v>37.209302325581397</v>
      </c>
      <c r="AA12" s="116">
        <f t="shared" si="13"/>
        <v>6.0849056603773581</v>
      </c>
      <c r="AD12" s="56" t="s">
        <v>115</v>
      </c>
      <c r="AE12" s="56" t="s">
        <v>88</v>
      </c>
      <c r="AF12" s="56" t="s">
        <v>94</v>
      </c>
      <c r="AG12" s="57">
        <f t="shared" si="10"/>
        <v>0</v>
      </c>
      <c r="AH12" s="57" t="str">
        <f>IFERROR((VLOOKUP(AG12,'DO NOT TOUCH'!$P$9:$Q$14,2,TRUE)),"TBD")</f>
        <v>TBD</v>
      </c>
      <c r="AI12" s="57">
        <f t="shared" si="18"/>
        <v>0.5</v>
      </c>
      <c r="AJ12" s="57">
        <f>INPUT_OUTPUTS!$C$16</f>
        <v>140</v>
      </c>
      <c r="AK12" s="57">
        <f>INPUT_OUTPUTS!$C$17</f>
        <v>100</v>
      </c>
      <c r="AL12" s="57">
        <f t="shared" si="14"/>
        <v>55</v>
      </c>
      <c r="AM12" s="57">
        <f t="shared" si="14"/>
        <v>85</v>
      </c>
      <c r="AN12" s="57">
        <f t="shared" si="11"/>
        <v>0</v>
      </c>
      <c r="AO12" s="58">
        <f t="shared" si="19"/>
        <v>0</v>
      </c>
      <c r="AP12" s="58">
        <f t="shared" si="15"/>
        <v>0.5</v>
      </c>
      <c r="AQ12" s="58">
        <f t="shared" si="20"/>
        <v>5</v>
      </c>
      <c r="AR12" s="58" t="str">
        <f>IFERROR((_xlfn.XLOOKUP(AH12,'DO NOT TOUCH'!$Q$9:$Q$14,'DO NOT TOUCH'!$R$9:$R$14,)),"TBD")</f>
        <v>TBD</v>
      </c>
      <c r="AS12" s="58" t="str">
        <f>INPUT_OUTPUTS!$C$19</f>
        <v>C1/M-501</v>
      </c>
      <c r="AT12" s="57" t="str">
        <f t="shared" si="21"/>
        <v>1, 2</v>
      </c>
    </row>
    <row r="13" spans="1:55" ht="15" customHeight="1">
      <c r="B13" s="155" t="s">
        <v>173</v>
      </c>
      <c r="C13" s="155" t="s">
        <v>164</v>
      </c>
      <c r="D13" s="155">
        <v>1234</v>
      </c>
      <c r="E13" s="155">
        <v>27</v>
      </c>
      <c r="F13" s="155">
        <v>10</v>
      </c>
      <c r="G13" s="18">
        <f>VLOOKUP($M13,'UMC Table 4-A'!$A$2:$E$131,4,FALSE)</f>
        <v>4</v>
      </c>
      <c r="H13" s="18" t="str">
        <f>VLOOKUP($M13,'UMC Table 4-A'!$A$2:$E$131,5,FALSE)</f>
        <v>NR</v>
      </c>
      <c r="I13" s="18" t="str">
        <f t="shared" si="0"/>
        <v>-</v>
      </c>
      <c r="J13" s="18">
        <v>0</v>
      </c>
      <c r="K13" s="18">
        <f t="shared" si="1"/>
        <v>20</v>
      </c>
      <c r="L13" s="18">
        <f t="shared" si="2"/>
        <v>27</v>
      </c>
      <c r="M13" s="155" t="s">
        <v>77</v>
      </c>
      <c r="N13" s="20" t="str">
        <f>VLOOKUP($M13,'UMC Table 4-A'!$A$2:$E$131,2,FALSE)</f>
        <v>NR</v>
      </c>
      <c r="O13" s="18">
        <f>VLOOKUP($M13,'UMC Table 4-A'!$A$2:$E$131,3,FALSE)</f>
        <v>2</v>
      </c>
      <c r="P13" s="26">
        <f t="shared" si="3"/>
        <v>10</v>
      </c>
      <c r="Q13" s="18" t="str">
        <f>VLOOKUP($M13,'UMC Table 4-A'!$A$2:$E$131,5,FALSE)</f>
        <v>NR</v>
      </c>
      <c r="R13" s="19">
        <f t="shared" si="16"/>
        <v>30</v>
      </c>
      <c r="S13" s="156">
        <f t="shared" si="4"/>
        <v>30</v>
      </c>
      <c r="T13" s="156">
        <f t="shared" si="5"/>
        <v>30</v>
      </c>
      <c r="U13" s="156">
        <f t="shared" si="6"/>
        <v>0</v>
      </c>
      <c r="V13" s="117">
        <f t="shared" si="7"/>
        <v>0</v>
      </c>
      <c r="W13" s="18" t="str">
        <f t="shared" si="8"/>
        <v>Yes</v>
      </c>
      <c r="X13" s="18">
        <f t="shared" si="17"/>
        <v>27</v>
      </c>
      <c r="Y13" s="116">
        <f t="shared" si="9"/>
        <v>1.1111111111111112</v>
      </c>
      <c r="Z13" s="115">
        <f t="shared" si="12"/>
        <v>33.333333333333329</v>
      </c>
      <c r="AA13" s="116">
        <f t="shared" si="13"/>
        <v>6.666666666666667</v>
      </c>
      <c r="AD13" s="59" t="s">
        <v>116</v>
      </c>
      <c r="AE13" s="56" t="s">
        <v>88</v>
      </c>
      <c r="AF13" s="56" t="s">
        <v>94</v>
      </c>
      <c r="AG13" s="57">
        <f t="shared" si="10"/>
        <v>0</v>
      </c>
      <c r="AH13" s="57" t="str">
        <f>IFERROR((VLOOKUP(AG13,'DO NOT TOUCH'!$P$9:$Q$14,2,TRUE)),"TBD")</f>
        <v>TBD</v>
      </c>
      <c r="AI13" s="57">
        <f t="shared" si="18"/>
        <v>0.5</v>
      </c>
      <c r="AJ13" s="57">
        <f>INPUT_OUTPUTS!$C$16</f>
        <v>140</v>
      </c>
      <c r="AK13" s="57">
        <f>INPUT_OUTPUTS!$C$17</f>
        <v>100</v>
      </c>
      <c r="AL13" s="57">
        <f t="shared" si="14"/>
        <v>55</v>
      </c>
      <c r="AM13" s="57">
        <f t="shared" si="14"/>
        <v>85</v>
      </c>
      <c r="AN13" s="57">
        <f t="shared" si="11"/>
        <v>0</v>
      </c>
      <c r="AO13" s="58">
        <f t="shared" si="19"/>
        <v>0</v>
      </c>
      <c r="AP13" s="58">
        <f t="shared" si="15"/>
        <v>0.5</v>
      </c>
      <c r="AQ13" s="58">
        <f t="shared" si="20"/>
        <v>5</v>
      </c>
      <c r="AR13" s="58" t="str">
        <f>IFERROR((_xlfn.XLOOKUP(AH13,'DO NOT TOUCH'!$Q$9:$Q$14,'DO NOT TOUCH'!$R$9:$R$14,)),"TBD")</f>
        <v>TBD</v>
      </c>
      <c r="AS13" s="58" t="str">
        <f>INPUT_OUTPUTS!$C$19</f>
        <v>C1/M-501</v>
      </c>
      <c r="AT13" s="60" t="str">
        <f t="shared" si="21"/>
        <v>1, 2</v>
      </c>
    </row>
    <row r="14" spans="1:55" ht="15" customHeight="1">
      <c r="B14" s="155" t="s">
        <v>174</v>
      </c>
      <c r="C14" s="155" t="s">
        <v>164</v>
      </c>
      <c r="D14" s="155">
        <v>1234</v>
      </c>
      <c r="E14" s="155">
        <v>111</v>
      </c>
      <c r="F14" s="155">
        <v>10</v>
      </c>
      <c r="G14" s="18">
        <f>VLOOKUP($M14,'UMC Table 4-A'!$A$2:$E$131,4,FALSE)</f>
        <v>4</v>
      </c>
      <c r="H14" s="18" t="str">
        <f>VLOOKUP($M14,'UMC Table 4-A'!$A$2:$E$131,5,FALSE)</f>
        <v>NR</v>
      </c>
      <c r="I14" s="18" t="str">
        <f t="shared" si="0"/>
        <v>-</v>
      </c>
      <c r="J14" s="18">
        <v>0</v>
      </c>
      <c r="K14" s="18">
        <f t="shared" si="1"/>
        <v>80</v>
      </c>
      <c r="L14" s="18">
        <f t="shared" si="2"/>
        <v>111</v>
      </c>
      <c r="M14" s="155" t="s">
        <v>77</v>
      </c>
      <c r="N14" s="20" t="str">
        <f>VLOOKUP($M14,'UMC Table 4-A'!$A$2:$E$131,2,FALSE)</f>
        <v>NR</v>
      </c>
      <c r="O14" s="18">
        <f>VLOOKUP($M14,'UMC Table 4-A'!$A$2:$E$131,3,FALSE)</f>
        <v>2</v>
      </c>
      <c r="P14" s="26">
        <f t="shared" si="3"/>
        <v>40</v>
      </c>
      <c r="Q14" s="18" t="str">
        <f>VLOOKUP($M14,'UMC Table 4-A'!$A$2:$E$131,5,FALSE)</f>
        <v>NR</v>
      </c>
      <c r="R14" s="19">
        <f t="shared" si="16"/>
        <v>115</v>
      </c>
      <c r="S14" s="156">
        <f t="shared" si="4"/>
        <v>115</v>
      </c>
      <c r="T14" s="156">
        <f t="shared" si="5"/>
        <v>115</v>
      </c>
      <c r="U14" s="156">
        <f t="shared" si="6"/>
        <v>0</v>
      </c>
      <c r="V14" s="117">
        <f t="shared" si="7"/>
        <v>0</v>
      </c>
      <c r="W14" s="18" t="str">
        <f t="shared" si="8"/>
        <v>Yes</v>
      </c>
      <c r="X14" s="18">
        <f t="shared" si="17"/>
        <v>111</v>
      </c>
      <c r="Y14" s="116">
        <f t="shared" si="9"/>
        <v>1.0360360360360361</v>
      </c>
      <c r="Z14" s="115">
        <f t="shared" si="12"/>
        <v>34.782608695652172</v>
      </c>
      <c r="AA14" s="116">
        <f t="shared" si="13"/>
        <v>6.2162162162162167</v>
      </c>
      <c r="AD14" s="59" t="s">
        <v>117</v>
      </c>
      <c r="AE14" s="56" t="s">
        <v>88</v>
      </c>
      <c r="AF14" s="56" t="s">
        <v>94</v>
      </c>
      <c r="AG14" s="57">
        <f t="shared" si="10"/>
        <v>0</v>
      </c>
      <c r="AH14" s="57" t="str">
        <f>IFERROR((VLOOKUP(AG14,'DO NOT TOUCH'!$P$9:$Q$14,2,TRUE)),"TBD")</f>
        <v>TBD</v>
      </c>
      <c r="AI14" s="57">
        <f t="shared" si="18"/>
        <v>0.5</v>
      </c>
      <c r="AJ14" s="57">
        <f>INPUT_OUTPUTS!$C$16</f>
        <v>140</v>
      </c>
      <c r="AK14" s="57">
        <f>INPUT_OUTPUTS!$C$17</f>
        <v>100</v>
      </c>
      <c r="AL14" s="57">
        <f t="shared" si="14"/>
        <v>55</v>
      </c>
      <c r="AM14" s="57">
        <f t="shared" si="14"/>
        <v>85</v>
      </c>
      <c r="AN14" s="57">
        <f t="shared" si="11"/>
        <v>0</v>
      </c>
      <c r="AO14" s="58">
        <f t="shared" si="19"/>
        <v>0</v>
      </c>
      <c r="AP14" s="58">
        <f t="shared" si="15"/>
        <v>0.5</v>
      </c>
      <c r="AQ14" s="58">
        <f t="shared" si="20"/>
        <v>5</v>
      </c>
      <c r="AR14" s="58" t="str">
        <f>IFERROR((_xlfn.XLOOKUP(AH14,'DO NOT TOUCH'!$Q$9:$Q$14,'DO NOT TOUCH'!$R$9:$R$14,)),"TBD")</f>
        <v>TBD</v>
      </c>
      <c r="AS14" s="58" t="str">
        <f>INPUT_OUTPUTS!$C$19</f>
        <v>C1/M-501</v>
      </c>
      <c r="AT14" s="60" t="str">
        <f t="shared" si="21"/>
        <v>1, 2</v>
      </c>
    </row>
    <row r="15" spans="1:55" ht="15" customHeight="1">
      <c r="B15" s="155" t="s">
        <v>174</v>
      </c>
      <c r="C15" s="155" t="s">
        <v>164</v>
      </c>
      <c r="D15" s="155">
        <v>1234</v>
      </c>
      <c r="E15" s="155">
        <v>256</v>
      </c>
      <c r="F15" s="155">
        <v>10</v>
      </c>
      <c r="G15" s="18">
        <f>VLOOKUP($M15,'UMC Table 4-A'!$A$2:$E$131,4,FALSE)</f>
        <v>4</v>
      </c>
      <c r="H15" s="18" t="str">
        <f>VLOOKUP($M15,'UMC Table 4-A'!$A$2:$E$131,5,FALSE)</f>
        <v>NR</v>
      </c>
      <c r="I15" s="18" t="str">
        <f t="shared" si="0"/>
        <v>-</v>
      </c>
      <c r="J15" s="18">
        <v>0</v>
      </c>
      <c r="K15" s="18">
        <f t="shared" si="1"/>
        <v>180</v>
      </c>
      <c r="L15" s="18">
        <f t="shared" si="2"/>
        <v>256</v>
      </c>
      <c r="M15" s="155" t="s">
        <v>77</v>
      </c>
      <c r="N15" s="20" t="str">
        <f>VLOOKUP($M15,'UMC Table 4-A'!$A$2:$E$131,2,FALSE)</f>
        <v>NR</v>
      </c>
      <c r="O15" s="18">
        <f>VLOOKUP($M15,'UMC Table 4-A'!$A$2:$E$131,3,FALSE)</f>
        <v>2</v>
      </c>
      <c r="P15" s="26">
        <f t="shared" si="3"/>
        <v>90</v>
      </c>
      <c r="Q15" s="18" t="str">
        <f>VLOOKUP($M15,'UMC Table 4-A'!$A$2:$E$131,5,FALSE)</f>
        <v>NR</v>
      </c>
      <c r="R15" s="19">
        <f t="shared" si="16"/>
        <v>260</v>
      </c>
      <c r="S15" s="156">
        <f t="shared" si="4"/>
        <v>260</v>
      </c>
      <c r="T15" s="156">
        <f t="shared" si="5"/>
        <v>260</v>
      </c>
      <c r="U15" s="156">
        <f t="shared" si="6"/>
        <v>0</v>
      </c>
      <c r="V15" s="117">
        <f t="shared" si="7"/>
        <v>0</v>
      </c>
      <c r="W15" s="18" t="str">
        <f t="shared" si="8"/>
        <v>Yes</v>
      </c>
      <c r="X15" s="18">
        <f t="shared" si="17"/>
        <v>256</v>
      </c>
      <c r="Y15" s="116">
        <f t="shared" si="9"/>
        <v>1.015625</v>
      </c>
      <c r="Z15" s="115">
        <f t="shared" si="12"/>
        <v>34.615384615384613</v>
      </c>
      <c r="AA15" s="116">
        <f t="shared" si="13"/>
        <v>6.09375</v>
      </c>
      <c r="AD15" s="59" t="s">
        <v>118</v>
      </c>
      <c r="AE15" s="56" t="s">
        <v>88</v>
      </c>
      <c r="AF15" s="56" t="s">
        <v>94</v>
      </c>
      <c r="AG15" s="57">
        <f t="shared" si="10"/>
        <v>0</v>
      </c>
      <c r="AH15" s="57" t="str">
        <f>IFERROR((VLOOKUP(AG15,'DO NOT TOUCH'!$P$9:$Q$14,2,TRUE)),"TBD")</f>
        <v>TBD</v>
      </c>
      <c r="AI15" s="57">
        <f t="shared" si="18"/>
        <v>0.5</v>
      </c>
      <c r="AJ15" s="57">
        <f>INPUT_OUTPUTS!$C$16</f>
        <v>140</v>
      </c>
      <c r="AK15" s="57">
        <f>INPUT_OUTPUTS!$C$17</f>
        <v>100</v>
      </c>
      <c r="AL15" s="57">
        <f t="shared" si="14"/>
        <v>55</v>
      </c>
      <c r="AM15" s="57">
        <f t="shared" si="14"/>
        <v>85</v>
      </c>
      <c r="AN15" s="57">
        <f t="shared" si="11"/>
        <v>0</v>
      </c>
      <c r="AO15" s="58">
        <f t="shared" si="19"/>
        <v>0</v>
      </c>
      <c r="AP15" s="58">
        <f t="shared" si="15"/>
        <v>0.5</v>
      </c>
      <c r="AQ15" s="58">
        <f t="shared" si="20"/>
        <v>5</v>
      </c>
      <c r="AR15" s="58" t="str">
        <f>IFERROR((_xlfn.XLOOKUP(AH15,'DO NOT TOUCH'!$Q$9:$Q$14,'DO NOT TOUCH'!$R$9:$R$14,)),"TBD")</f>
        <v>TBD</v>
      </c>
      <c r="AS15" s="58" t="str">
        <f>INPUT_OUTPUTS!$C$19</f>
        <v>C1/M-501</v>
      </c>
      <c r="AT15" s="60" t="str">
        <f t="shared" si="21"/>
        <v>1, 2</v>
      </c>
    </row>
    <row r="16" spans="1:55" ht="15" customHeight="1">
      <c r="B16" s="155" t="s">
        <v>175</v>
      </c>
      <c r="C16" s="155" t="s">
        <v>164</v>
      </c>
      <c r="D16" s="155">
        <v>1234</v>
      </c>
      <c r="E16" s="155">
        <v>2347</v>
      </c>
      <c r="F16" s="155">
        <v>10</v>
      </c>
      <c r="G16" s="18">
        <f>VLOOKUP($M16,'UMC Table 4-A'!$A$2:$E$131,4,FALSE)</f>
        <v>4</v>
      </c>
      <c r="H16" s="18" t="str">
        <f>VLOOKUP($M16,'UMC Table 4-A'!$A$2:$E$131,5,FALSE)</f>
        <v>NR</v>
      </c>
      <c r="I16" s="18" t="str">
        <f t="shared" si="0"/>
        <v>-</v>
      </c>
      <c r="J16" s="18">
        <v>0</v>
      </c>
      <c r="K16" s="18">
        <f t="shared" si="1"/>
        <v>1570</v>
      </c>
      <c r="L16" s="18">
        <f t="shared" si="2"/>
        <v>2347</v>
      </c>
      <c r="M16" s="155" t="s">
        <v>77</v>
      </c>
      <c r="N16" s="20" t="str">
        <f>VLOOKUP($M16,'UMC Table 4-A'!$A$2:$E$131,2,FALSE)</f>
        <v>NR</v>
      </c>
      <c r="O16" s="18">
        <f>VLOOKUP($M16,'UMC Table 4-A'!$A$2:$E$131,3,FALSE)</f>
        <v>2</v>
      </c>
      <c r="P16" s="26">
        <f t="shared" si="3"/>
        <v>790</v>
      </c>
      <c r="Q16" s="18" t="str">
        <f>VLOOKUP($M16,'UMC Table 4-A'!$A$2:$E$131,5,FALSE)</f>
        <v>NR</v>
      </c>
      <c r="R16" s="19">
        <f t="shared" si="16"/>
        <v>2350</v>
      </c>
      <c r="S16" s="156">
        <f t="shared" si="4"/>
        <v>2350</v>
      </c>
      <c r="T16" s="156">
        <f t="shared" si="5"/>
        <v>2350</v>
      </c>
      <c r="U16" s="156">
        <f t="shared" si="6"/>
        <v>0</v>
      </c>
      <c r="V16" s="117">
        <f t="shared" si="7"/>
        <v>0</v>
      </c>
      <c r="W16" s="18" t="str">
        <f t="shared" si="8"/>
        <v>Yes</v>
      </c>
      <c r="X16" s="18">
        <f t="shared" si="17"/>
        <v>2347</v>
      </c>
      <c r="Y16" s="116">
        <f t="shared" si="9"/>
        <v>1.0012782275244994</v>
      </c>
      <c r="Z16" s="115">
        <f t="shared" si="12"/>
        <v>33.617021276595743</v>
      </c>
      <c r="AA16" s="116">
        <f t="shared" si="13"/>
        <v>6.0076693651469961</v>
      </c>
      <c r="AD16" s="59" t="s">
        <v>119</v>
      </c>
      <c r="AE16" s="56" t="s">
        <v>88</v>
      </c>
      <c r="AF16" s="56" t="s">
        <v>94</v>
      </c>
      <c r="AG16" s="57">
        <f t="shared" si="10"/>
        <v>0</v>
      </c>
      <c r="AH16" s="57" t="str">
        <f>IFERROR((VLOOKUP(AG16,'DO NOT TOUCH'!$P$9:$Q$14,2,TRUE)),"TBD")</f>
        <v>TBD</v>
      </c>
      <c r="AI16" s="57">
        <f t="shared" si="18"/>
        <v>0.5</v>
      </c>
      <c r="AJ16" s="57">
        <f>INPUT_OUTPUTS!$C$16</f>
        <v>140</v>
      </c>
      <c r="AK16" s="57">
        <f>INPUT_OUTPUTS!$C$17</f>
        <v>100</v>
      </c>
      <c r="AL16" s="57">
        <f t="shared" si="14"/>
        <v>55</v>
      </c>
      <c r="AM16" s="57">
        <f t="shared" si="14"/>
        <v>85</v>
      </c>
      <c r="AN16" s="57">
        <f t="shared" si="11"/>
        <v>0</v>
      </c>
      <c r="AO16" s="58">
        <f t="shared" si="19"/>
        <v>0</v>
      </c>
      <c r="AP16" s="58">
        <f t="shared" si="15"/>
        <v>0.5</v>
      </c>
      <c r="AQ16" s="58">
        <f t="shared" si="20"/>
        <v>5</v>
      </c>
      <c r="AR16" s="58" t="str">
        <f>IFERROR((_xlfn.XLOOKUP(AH16,'DO NOT TOUCH'!$Q$9:$Q$14,'DO NOT TOUCH'!$R$9:$R$14,)),"TBD")</f>
        <v>TBD</v>
      </c>
      <c r="AS16" s="58" t="str">
        <f>INPUT_OUTPUTS!$C$19</f>
        <v>C1/M-501</v>
      </c>
      <c r="AT16" s="60" t="str">
        <f t="shared" si="21"/>
        <v>1, 2</v>
      </c>
    </row>
    <row r="17" spans="2:46" ht="15" customHeight="1">
      <c r="B17" s="155" t="s">
        <v>176</v>
      </c>
      <c r="C17" s="155" t="s">
        <v>164</v>
      </c>
      <c r="D17" s="155">
        <v>1234</v>
      </c>
      <c r="E17" s="155">
        <v>454</v>
      </c>
      <c r="F17" s="155">
        <v>10</v>
      </c>
      <c r="G17" s="18">
        <f>VLOOKUP($M17,'UMC Table 4-A'!$A$2:$E$131,4,FALSE)</f>
        <v>4</v>
      </c>
      <c r="H17" s="18" t="str">
        <f>VLOOKUP($M17,'UMC Table 4-A'!$A$2:$E$131,5,FALSE)</f>
        <v>NR</v>
      </c>
      <c r="I17" s="18" t="str">
        <f t="shared" si="0"/>
        <v>-</v>
      </c>
      <c r="J17" s="18">
        <v>0</v>
      </c>
      <c r="K17" s="18">
        <f t="shared" si="1"/>
        <v>310</v>
      </c>
      <c r="L17" s="18">
        <f t="shared" si="2"/>
        <v>454</v>
      </c>
      <c r="M17" s="155" t="s">
        <v>77</v>
      </c>
      <c r="N17" s="20" t="str">
        <f>VLOOKUP($M17,'UMC Table 4-A'!$A$2:$E$131,2,FALSE)</f>
        <v>NR</v>
      </c>
      <c r="O17" s="18">
        <f>VLOOKUP($M17,'UMC Table 4-A'!$A$2:$E$131,3,FALSE)</f>
        <v>2</v>
      </c>
      <c r="P17" s="26">
        <f t="shared" si="3"/>
        <v>160</v>
      </c>
      <c r="Q17" s="18" t="str">
        <f>VLOOKUP($M17,'UMC Table 4-A'!$A$2:$E$131,5,FALSE)</f>
        <v>NR</v>
      </c>
      <c r="R17" s="19">
        <f t="shared" si="16"/>
        <v>455</v>
      </c>
      <c r="S17" s="156">
        <f t="shared" si="4"/>
        <v>455</v>
      </c>
      <c r="T17" s="156">
        <f t="shared" si="5"/>
        <v>455</v>
      </c>
      <c r="U17" s="156">
        <f t="shared" si="6"/>
        <v>0</v>
      </c>
      <c r="V17" s="117">
        <f t="shared" si="7"/>
        <v>0</v>
      </c>
      <c r="W17" s="18" t="str">
        <f t="shared" si="8"/>
        <v>Yes</v>
      </c>
      <c r="X17" s="18">
        <f t="shared" si="17"/>
        <v>454</v>
      </c>
      <c r="Y17" s="116">
        <f t="shared" si="9"/>
        <v>1.0022026431718061</v>
      </c>
      <c r="Z17" s="115">
        <f t="shared" si="12"/>
        <v>35.164835164835168</v>
      </c>
      <c r="AA17" s="116">
        <f t="shared" si="13"/>
        <v>6.0132158590308364</v>
      </c>
      <c r="AD17" s="59" t="s">
        <v>120</v>
      </c>
      <c r="AE17" s="56" t="s">
        <v>88</v>
      </c>
      <c r="AF17" s="56" t="s">
        <v>94</v>
      </c>
      <c r="AG17" s="57">
        <f t="shared" si="10"/>
        <v>0</v>
      </c>
      <c r="AH17" s="57" t="str">
        <f>IFERROR((VLOOKUP(AG17,'DO NOT TOUCH'!$P$9:$Q$14,2,TRUE)),"TBD")</f>
        <v>TBD</v>
      </c>
      <c r="AI17" s="57">
        <f t="shared" si="18"/>
        <v>0.5</v>
      </c>
      <c r="AJ17" s="57">
        <f>INPUT_OUTPUTS!$C$16</f>
        <v>140</v>
      </c>
      <c r="AK17" s="57">
        <f>INPUT_OUTPUTS!$C$17</f>
        <v>100</v>
      </c>
      <c r="AL17" s="57">
        <f t="shared" si="14"/>
        <v>55</v>
      </c>
      <c r="AM17" s="57">
        <f t="shared" si="14"/>
        <v>85</v>
      </c>
      <c r="AN17" s="57">
        <f t="shared" si="11"/>
        <v>0</v>
      </c>
      <c r="AO17" s="58">
        <f t="shared" si="19"/>
        <v>0</v>
      </c>
      <c r="AP17" s="58">
        <f t="shared" si="15"/>
        <v>0.5</v>
      </c>
      <c r="AQ17" s="58">
        <f t="shared" si="20"/>
        <v>5</v>
      </c>
      <c r="AR17" s="58" t="str">
        <f>IFERROR((_xlfn.XLOOKUP(AH17,'DO NOT TOUCH'!$Q$9:$Q$14,'DO NOT TOUCH'!$R$9:$R$14,)),"TBD")</f>
        <v>TBD</v>
      </c>
      <c r="AS17" s="58" t="str">
        <f>INPUT_OUTPUTS!$C$19</f>
        <v>C1/M-501</v>
      </c>
      <c r="AT17" s="60" t="str">
        <f t="shared" si="21"/>
        <v>1, 2</v>
      </c>
    </row>
    <row r="18" spans="2:46" ht="15" customHeight="1">
      <c r="B18" s="118"/>
      <c r="C18" s="48"/>
      <c r="D18" s="48"/>
      <c r="E18" s="98">
        <f>SUBTOTAL(109,TABLE4A437[AREA (FT²)])</f>
        <v>4063</v>
      </c>
      <c r="F18" s="49"/>
      <c r="G18" s="50"/>
      <c r="H18" s="50"/>
      <c r="I18" s="51"/>
      <c r="J18" s="52"/>
      <c r="K18" s="53"/>
      <c r="L18" s="53"/>
      <c r="M18" s="54"/>
      <c r="N18" s="50"/>
      <c r="O18" s="50"/>
      <c r="P18" s="98">
        <f>SUBTOTAL(109,TABLE4A437[OSA CFM])</f>
        <v>1410</v>
      </c>
      <c r="Q18" s="50"/>
      <c r="R18" s="55">
        <f>SUBTOTAL(109,TABLE4A437[CALCULATED SA CFM])</f>
        <v>4085</v>
      </c>
      <c r="S18" s="55">
        <f>SUBTOTAL(109,TABLE4A437[DESIGN SA CFM])</f>
        <v>4085</v>
      </c>
      <c r="T18" s="55">
        <f>SUBTOTAL(109,TABLE4A437[RA CFM])</f>
        <v>4085</v>
      </c>
      <c r="U18" s="55">
        <f>SUBTOTAL(109,TABLE4A437[EA CFM])</f>
        <v>0</v>
      </c>
      <c r="V18" s="55">
        <f>SUBTOTAL(109,TABLE4A437[Transfer Air CFM])</f>
        <v>0</v>
      </c>
      <c r="W18" s="119"/>
      <c r="X18" s="119"/>
      <c r="Y18" s="119"/>
      <c r="Z18" s="119"/>
      <c r="AA18" s="119"/>
      <c r="AD18" s="59" t="s">
        <v>121</v>
      </c>
      <c r="AE18" s="56" t="s">
        <v>88</v>
      </c>
      <c r="AF18" s="56" t="s">
        <v>94</v>
      </c>
      <c r="AG18" s="57">
        <f t="shared" si="10"/>
        <v>0</v>
      </c>
      <c r="AH18" s="57" t="str">
        <f>IFERROR((VLOOKUP(AG18,'DO NOT TOUCH'!$P$9:$Q$14,2,TRUE)),"TBD")</f>
        <v>TBD</v>
      </c>
      <c r="AI18" s="57">
        <f t="shared" si="18"/>
        <v>0.5</v>
      </c>
      <c r="AJ18" s="57">
        <f>INPUT_OUTPUTS!$C$16</f>
        <v>140</v>
      </c>
      <c r="AK18" s="57">
        <f>INPUT_OUTPUTS!$C$17</f>
        <v>100</v>
      </c>
      <c r="AL18" s="57">
        <f t="shared" si="14"/>
        <v>55</v>
      </c>
      <c r="AM18" s="57">
        <f t="shared" si="14"/>
        <v>85</v>
      </c>
      <c r="AN18" s="57">
        <f t="shared" si="11"/>
        <v>0</v>
      </c>
      <c r="AO18" s="58">
        <f t="shared" si="19"/>
        <v>0</v>
      </c>
      <c r="AP18" s="58">
        <f t="shared" si="15"/>
        <v>0.5</v>
      </c>
      <c r="AQ18" s="58">
        <f t="shared" si="20"/>
        <v>5</v>
      </c>
      <c r="AR18" s="58" t="str">
        <f>IFERROR((_xlfn.XLOOKUP(AH18,'DO NOT TOUCH'!$Q$9:$Q$14,'DO NOT TOUCH'!$R$9:$R$14,)),"TBD")</f>
        <v>TBD</v>
      </c>
      <c r="AS18" s="58" t="str">
        <f>INPUT_OUTPUTS!$C$19</f>
        <v>C1/M-501</v>
      </c>
      <c r="AT18" s="60" t="str">
        <f t="shared" si="21"/>
        <v>1, 2</v>
      </c>
    </row>
    <row r="19" spans="2:46" ht="15" customHeight="1">
      <c r="B19" s="135"/>
      <c r="C19" s="136"/>
      <c r="G19" s="121"/>
      <c r="H19" s="137"/>
      <c r="K19" s="138"/>
      <c r="L19" s="139"/>
      <c r="M19" s="139"/>
      <c r="O19" s="120"/>
      <c r="R19" s="140"/>
      <c r="S19" s="140"/>
      <c r="T19" s="120"/>
      <c r="U19" s="120"/>
      <c r="V19" s="120"/>
      <c r="W19" s="120"/>
      <c r="X19" s="120"/>
      <c r="Y19" s="140"/>
      <c r="Z19" s="141"/>
      <c r="AD19" s="59" t="s">
        <v>122</v>
      </c>
      <c r="AE19" s="56" t="s">
        <v>88</v>
      </c>
      <c r="AF19" s="56" t="s">
        <v>94</v>
      </c>
      <c r="AG19" s="57">
        <f t="shared" si="10"/>
        <v>0</v>
      </c>
      <c r="AH19" s="57" t="str">
        <f>IFERROR((VLOOKUP(AG19,'DO NOT TOUCH'!$P$9:$Q$14,2,TRUE)),"TBD")</f>
        <v>TBD</v>
      </c>
      <c r="AI19" s="57">
        <f t="shared" si="18"/>
        <v>0.5</v>
      </c>
      <c r="AJ19" s="57">
        <f>INPUT_OUTPUTS!$C$16</f>
        <v>140</v>
      </c>
      <c r="AK19" s="57">
        <f>INPUT_OUTPUTS!$C$17</f>
        <v>100</v>
      </c>
      <c r="AL19" s="57">
        <f t="shared" si="14"/>
        <v>55</v>
      </c>
      <c r="AM19" s="57">
        <f t="shared" si="14"/>
        <v>85</v>
      </c>
      <c r="AN19" s="57">
        <f t="shared" si="11"/>
        <v>0</v>
      </c>
      <c r="AO19" s="58">
        <f t="shared" si="19"/>
        <v>0</v>
      </c>
      <c r="AP19" s="58">
        <f t="shared" si="15"/>
        <v>0.5</v>
      </c>
      <c r="AQ19" s="58">
        <f t="shared" si="20"/>
        <v>5</v>
      </c>
      <c r="AR19" s="58" t="str">
        <f>IFERROR((_xlfn.XLOOKUP(AH19,'DO NOT TOUCH'!$Q$9:$Q$14,'DO NOT TOUCH'!$R$9:$R$14,)),"TBD")</f>
        <v>TBD</v>
      </c>
      <c r="AS19" s="58" t="str">
        <f>INPUT_OUTPUTS!$C$19</f>
        <v>C1/M-501</v>
      </c>
      <c r="AT19" s="60" t="str">
        <f t="shared" si="21"/>
        <v>1, 2</v>
      </c>
    </row>
    <row r="20" spans="2:46" ht="15" customHeight="1">
      <c r="B20" s="142"/>
      <c r="C20" s="136"/>
      <c r="G20" s="121"/>
      <c r="H20" s="137"/>
      <c r="K20" s="138"/>
      <c r="L20" s="139"/>
      <c r="M20" s="139"/>
      <c r="O20" s="120"/>
      <c r="T20" s="120"/>
      <c r="U20" s="120"/>
      <c r="V20" s="120"/>
      <c r="W20" s="120"/>
      <c r="X20" s="120"/>
      <c r="Y20" s="121"/>
      <c r="Z20" s="141"/>
      <c r="AD20" s="59" t="s">
        <v>123</v>
      </c>
      <c r="AE20" s="56" t="s">
        <v>88</v>
      </c>
      <c r="AF20" s="56" t="s">
        <v>94</v>
      </c>
      <c r="AG20" s="57">
        <f t="shared" si="10"/>
        <v>0</v>
      </c>
      <c r="AH20" s="57" t="str">
        <f>IFERROR((VLOOKUP(AG20,'DO NOT TOUCH'!$P$9:$Q$14,2,TRUE)),"TBD")</f>
        <v>TBD</v>
      </c>
      <c r="AI20" s="57">
        <f t="shared" si="18"/>
        <v>0.5</v>
      </c>
      <c r="AJ20" s="57">
        <f>INPUT_OUTPUTS!$C$16</f>
        <v>140</v>
      </c>
      <c r="AK20" s="57">
        <f>INPUT_OUTPUTS!$C$17</f>
        <v>100</v>
      </c>
      <c r="AL20" s="57">
        <f t="shared" si="14"/>
        <v>55</v>
      </c>
      <c r="AM20" s="57">
        <f t="shared" si="14"/>
        <v>85</v>
      </c>
      <c r="AN20" s="57">
        <f t="shared" si="11"/>
        <v>0</v>
      </c>
      <c r="AO20" s="58">
        <f t="shared" si="19"/>
        <v>0</v>
      </c>
      <c r="AP20" s="58">
        <f t="shared" si="15"/>
        <v>0.5</v>
      </c>
      <c r="AQ20" s="58">
        <f t="shared" si="20"/>
        <v>5</v>
      </c>
      <c r="AR20" s="58" t="str">
        <f>IFERROR((_xlfn.XLOOKUP(AH20,'DO NOT TOUCH'!$Q$9:$Q$14,'DO NOT TOUCH'!$R$9:$R$14,)),"TBD")</f>
        <v>TBD</v>
      </c>
      <c r="AS20" s="58" t="str">
        <f>INPUT_OUTPUTS!$C$19</f>
        <v>C1/M-501</v>
      </c>
      <c r="AT20" s="60" t="str">
        <f t="shared" si="21"/>
        <v>1, 2</v>
      </c>
    </row>
    <row r="21" spans="2:46" ht="15" customHeight="1">
      <c r="B21" s="135"/>
      <c r="C21" s="136"/>
      <c r="P21" s="123"/>
      <c r="T21" s="120"/>
      <c r="U21" s="120"/>
      <c r="V21" s="120"/>
      <c r="W21" s="120"/>
      <c r="X21" s="120"/>
      <c r="AD21" s="59" t="s">
        <v>124</v>
      </c>
      <c r="AE21" s="56" t="s">
        <v>88</v>
      </c>
      <c r="AF21" s="56" t="s">
        <v>94</v>
      </c>
      <c r="AG21" s="57">
        <f t="shared" si="10"/>
        <v>0</v>
      </c>
      <c r="AH21" s="57" t="str">
        <f>IFERROR((VLOOKUP(AG21,'DO NOT TOUCH'!$P$9:$Q$14,2,TRUE)),"TBD")</f>
        <v>TBD</v>
      </c>
      <c r="AI21" s="57">
        <f t="shared" si="18"/>
        <v>0.5</v>
      </c>
      <c r="AJ21" s="57">
        <f>INPUT_OUTPUTS!$C$16</f>
        <v>140</v>
      </c>
      <c r="AK21" s="57">
        <f>INPUT_OUTPUTS!$C$17</f>
        <v>100</v>
      </c>
      <c r="AL21" s="57">
        <f t="shared" si="14"/>
        <v>55</v>
      </c>
      <c r="AM21" s="57">
        <f t="shared" si="14"/>
        <v>85</v>
      </c>
      <c r="AN21" s="57">
        <f t="shared" si="11"/>
        <v>0</v>
      </c>
      <c r="AO21" s="58">
        <f t="shared" si="19"/>
        <v>0</v>
      </c>
      <c r="AP21" s="58">
        <f t="shared" si="15"/>
        <v>0.5</v>
      </c>
      <c r="AQ21" s="58">
        <f t="shared" si="20"/>
        <v>5</v>
      </c>
      <c r="AR21" s="58" t="str">
        <f>IFERROR((_xlfn.XLOOKUP(AH21,'DO NOT TOUCH'!$Q$9:$Q$14,'DO NOT TOUCH'!$R$9:$R$14,)),"TBD")</f>
        <v>TBD</v>
      </c>
      <c r="AS21" s="58" t="str">
        <f>INPUT_OUTPUTS!$C$19</f>
        <v>C1/M-501</v>
      </c>
      <c r="AT21" s="60" t="str">
        <f t="shared" si="21"/>
        <v>1, 2</v>
      </c>
    </row>
    <row r="22" spans="2:46" ht="15" customHeight="1">
      <c r="K22" s="120"/>
      <c r="N22" s="120"/>
      <c r="P22" s="123"/>
      <c r="T22" s="120"/>
      <c r="U22" s="120"/>
      <c r="V22" s="120"/>
      <c r="W22" s="120"/>
      <c r="X22" s="120"/>
      <c r="AD22" s="59" t="s">
        <v>125</v>
      </c>
      <c r="AE22" s="56" t="s">
        <v>88</v>
      </c>
      <c r="AF22" s="56" t="s">
        <v>94</v>
      </c>
      <c r="AG22" s="57">
        <f t="shared" si="10"/>
        <v>0</v>
      </c>
      <c r="AH22" s="57" t="str">
        <f>IFERROR((VLOOKUP(AG22,'DO NOT TOUCH'!$P$9:$Q$14,2,TRUE)),"TBD")</f>
        <v>TBD</v>
      </c>
      <c r="AI22" s="57">
        <f t="shared" si="18"/>
        <v>0.5</v>
      </c>
      <c r="AJ22" s="57">
        <f>INPUT_OUTPUTS!$C$16</f>
        <v>140</v>
      </c>
      <c r="AK22" s="57">
        <f>INPUT_OUTPUTS!$C$17</f>
        <v>100</v>
      </c>
      <c r="AL22" s="57">
        <f t="shared" si="14"/>
        <v>55</v>
      </c>
      <c r="AM22" s="57">
        <f t="shared" si="14"/>
        <v>85</v>
      </c>
      <c r="AN22" s="57">
        <f t="shared" si="11"/>
        <v>0</v>
      </c>
      <c r="AO22" s="58">
        <f t="shared" si="19"/>
        <v>0</v>
      </c>
      <c r="AP22" s="58">
        <f t="shared" si="15"/>
        <v>0.5</v>
      </c>
      <c r="AQ22" s="58">
        <f t="shared" si="20"/>
        <v>5</v>
      </c>
      <c r="AR22" s="58" t="str">
        <f>IFERROR((_xlfn.XLOOKUP(AH22,'DO NOT TOUCH'!$Q$9:$Q$14,'DO NOT TOUCH'!$R$9:$R$14,)),"TBD")</f>
        <v>TBD</v>
      </c>
      <c r="AS22" s="58" t="str">
        <f>INPUT_OUTPUTS!$C$19</f>
        <v>C1/M-501</v>
      </c>
      <c r="AT22" s="60" t="str">
        <f t="shared" si="21"/>
        <v>1, 2</v>
      </c>
    </row>
    <row r="23" spans="2:46" ht="15" customHeight="1">
      <c r="T23" s="120"/>
      <c r="U23" s="120"/>
      <c r="V23" s="120"/>
      <c r="W23" s="120"/>
      <c r="X23" s="120"/>
      <c r="AD23" s="59" t="s">
        <v>126</v>
      </c>
      <c r="AE23" s="56" t="s">
        <v>88</v>
      </c>
      <c r="AF23" s="56" t="s">
        <v>94</v>
      </c>
      <c r="AG23" s="57">
        <f t="shared" si="10"/>
        <v>0</v>
      </c>
      <c r="AH23" s="57" t="str">
        <f>IFERROR((VLOOKUP(AG23,'DO NOT TOUCH'!$P$9:$Q$14,2,TRUE)),"TBD")</f>
        <v>TBD</v>
      </c>
      <c r="AI23" s="57">
        <f t="shared" si="18"/>
        <v>0.5</v>
      </c>
      <c r="AJ23" s="57">
        <f>INPUT_OUTPUTS!$C$16</f>
        <v>140</v>
      </c>
      <c r="AK23" s="57">
        <f>INPUT_OUTPUTS!$C$17</f>
        <v>100</v>
      </c>
      <c r="AL23" s="57">
        <f t="shared" si="14"/>
        <v>55</v>
      </c>
      <c r="AM23" s="57">
        <f t="shared" si="14"/>
        <v>85</v>
      </c>
      <c r="AN23" s="57">
        <f t="shared" si="11"/>
        <v>0</v>
      </c>
      <c r="AO23" s="58">
        <f t="shared" si="19"/>
        <v>0</v>
      </c>
      <c r="AP23" s="58">
        <f t="shared" si="15"/>
        <v>0.5</v>
      </c>
      <c r="AQ23" s="58">
        <f t="shared" si="20"/>
        <v>5</v>
      </c>
      <c r="AR23" s="58" t="str">
        <f>IFERROR((_xlfn.XLOOKUP(AH23,'DO NOT TOUCH'!$Q$9:$Q$14,'DO NOT TOUCH'!$R$9:$R$14,)),"TBD")</f>
        <v>TBD</v>
      </c>
      <c r="AS23" s="58" t="str">
        <f>INPUT_OUTPUTS!$C$19</f>
        <v>C1/M-501</v>
      </c>
      <c r="AT23" s="60" t="str">
        <f t="shared" si="21"/>
        <v>1, 2</v>
      </c>
    </row>
    <row r="24" spans="2:46" ht="15" customHeight="1">
      <c r="T24" s="120"/>
      <c r="U24" s="120"/>
      <c r="V24" s="120"/>
      <c r="W24" s="120"/>
      <c r="X24" s="120"/>
      <c r="AD24" s="59" t="s">
        <v>127</v>
      </c>
      <c r="AE24" s="56" t="s">
        <v>88</v>
      </c>
      <c r="AF24" s="56" t="s">
        <v>94</v>
      </c>
      <c r="AG24" s="57">
        <f t="shared" si="10"/>
        <v>0</v>
      </c>
      <c r="AH24" s="57" t="str">
        <f>IFERROR((VLOOKUP(AG24,'DO NOT TOUCH'!$P$9:$Q$14,2,TRUE)),"TBD")</f>
        <v>TBD</v>
      </c>
      <c r="AI24" s="57">
        <f t="shared" si="18"/>
        <v>0.5</v>
      </c>
      <c r="AJ24" s="57">
        <f>INPUT_OUTPUTS!$C$16</f>
        <v>140</v>
      </c>
      <c r="AK24" s="57">
        <f>INPUT_OUTPUTS!$C$17</f>
        <v>100</v>
      </c>
      <c r="AL24" s="57">
        <f t="shared" ref="AL24:AM39" si="22">AL23</f>
        <v>55</v>
      </c>
      <c r="AM24" s="57">
        <f t="shared" si="22"/>
        <v>85</v>
      </c>
      <c r="AN24" s="57">
        <f t="shared" si="11"/>
        <v>0</v>
      </c>
      <c r="AO24" s="58">
        <f t="shared" si="19"/>
        <v>0</v>
      </c>
      <c r="AP24" s="58">
        <f t="shared" si="15"/>
        <v>0.5</v>
      </c>
      <c r="AQ24" s="58">
        <f t="shared" si="20"/>
        <v>5</v>
      </c>
      <c r="AR24" s="58" t="str">
        <f>IFERROR((_xlfn.XLOOKUP(AH24,'DO NOT TOUCH'!$Q$9:$Q$14,'DO NOT TOUCH'!$R$9:$R$14,)),"TBD")</f>
        <v>TBD</v>
      </c>
      <c r="AS24" s="58" t="str">
        <f>INPUT_OUTPUTS!$C$19</f>
        <v>C1/M-501</v>
      </c>
      <c r="AT24" s="60" t="str">
        <f t="shared" si="21"/>
        <v>1, 2</v>
      </c>
    </row>
    <row r="25" spans="2:46" ht="15" customHeight="1">
      <c r="T25" s="120"/>
      <c r="U25" s="120"/>
      <c r="V25" s="120"/>
      <c r="W25" s="120"/>
      <c r="X25" s="120"/>
      <c r="AD25" s="59" t="s">
        <v>128</v>
      </c>
      <c r="AE25" s="56" t="s">
        <v>88</v>
      </c>
      <c r="AF25" s="56" t="s">
        <v>94</v>
      </c>
      <c r="AG25" s="57">
        <f t="shared" si="10"/>
        <v>0</v>
      </c>
      <c r="AH25" s="57" t="str">
        <f>IFERROR((VLOOKUP(AG25,'DO NOT TOUCH'!$P$9:$Q$14,2,TRUE)),"TBD")</f>
        <v>TBD</v>
      </c>
      <c r="AI25" s="57">
        <f t="shared" si="18"/>
        <v>0.5</v>
      </c>
      <c r="AJ25" s="57">
        <f>INPUT_OUTPUTS!$C$16</f>
        <v>140</v>
      </c>
      <c r="AK25" s="57">
        <f>INPUT_OUTPUTS!$C$17</f>
        <v>100</v>
      </c>
      <c r="AL25" s="57">
        <f t="shared" si="22"/>
        <v>55</v>
      </c>
      <c r="AM25" s="57">
        <f t="shared" si="22"/>
        <v>85</v>
      </c>
      <c r="AN25" s="57">
        <f t="shared" si="11"/>
        <v>0</v>
      </c>
      <c r="AO25" s="58">
        <f t="shared" si="19"/>
        <v>0</v>
      </c>
      <c r="AP25" s="58">
        <f t="shared" si="15"/>
        <v>0.5</v>
      </c>
      <c r="AQ25" s="58">
        <f t="shared" si="20"/>
        <v>5</v>
      </c>
      <c r="AR25" s="58" t="str">
        <f>IFERROR((_xlfn.XLOOKUP(AH25,'DO NOT TOUCH'!$Q$9:$Q$14,'DO NOT TOUCH'!$R$9:$R$14,)),"TBD")</f>
        <v>TBD</v>
      </c>
      <c r="AS25" s="58" t="str">
        <f>INPUT_OUTPUTS!$C$19</f>
        <v>C1/M-501</v>
      </c>
      <c r="AT25" s="60" t="str">
        <f t="shared" si="21"/>
        <v>1, 2</v>
      </c>
    </row>
    <row r="26" spans="2:46" ht="15" customHeight="1">
      <c r="T26" s="120"/>
      <c r="U26" s="120"/>
      <c r="V26" s="120"/>
      <c r="W26" s="120"/>
      <c r="X26" s="120"/>
      <c r="AD26" s="59" t="s">
        <v>129</v>
      </c>
      <c r="AE26" s="56" t="s">
        <v>88</v>
      </c>
      <c r="AF26" s="56" t="s">
        <v>94</v>
      </c>
      <c r="AG26" s="57">
        <f t="shared" si="10"/>
        <v>0</v>
      </c>
      <c r="AH26" s="57" t="str">
        <f>IFERROR((VLOOKUP(AG26,'DO NOT TOUCH'!$P$9:$Q$14,2,TRUE)),"TBD")</f>
        <v>TBD</v>
      </c>
      <c r="AI26" s="57">
        <f t="shared" si="18"/>
        <v>0.5</v>
      </c>
      <c r="AJ26" s="57">
        <f>INPUT_OUTPUTS!$C$16</f>
        <v>140</v>
      </c>
      <c r="AK26" s="57">
        <f>INPUT_OUTPUTS!$C$17</f>
        <v>100</v>
      </c>
      <c r="AL26" s="57">
        <f t="shared" si="22"/>
        <v>55</v>
      </c>
      <c r="AM26" s="57">
        <f t="shared" si="22"/>
        <v>85</v>
      </c>
      <c r="AN26" s="57">
        <f t="shared" si="11"/>
        <v>0</v>
      </c>
      <c r="AO26" s="58">
        <f t="shared" si="19"/>
        <v>0</v>
      </c>
      <c r="AP26" s="58">
        <f t="shared" si="15"/>
        <v>0.5</v>
      </c>
      <c r="AQ26" s="58">
        <f t="shared" si="20"/>
        <v>5</v>
      </c>
      <c r="AR26" s="58" t="str">
        <f>IFERROR((_xlfn.XLOOKUP(AH26,'DO NOT TOUCH'!$Q$9:$Q$14,'DO NOT TOUCH'!$R$9:$R$14,)),"TBD")</f>
        <v>TBD</v>
      </c>
      <c r="AS26" s="58" t="str">
        <f>INPUT_OUTPUTS!$C$19</f>
        <v>C1/M-501</v>
      </c>
      <c r="AT26" s="60" t="str">
        <f t="shared" si="21"/>
        <v>1, 2</v>
      </c>
    </row>
    <row r="27" spans="2:46" ht="15" customHeight="1">
      <c r="AD27" s="59" t="s">
        <v>130</v>
      </c>
      <c r="AE27" s="56" t="s">
        <v>88</v>
      </c>
      <c r="AF27" s="56" t="s">
        <v>94</v>
      </c>
      <c r="AG27" s="57">
        <f t="shared" si="10"/>
        <v>0</v>
      </c>
      <c r="AH27" s="57" t="str">
        <f>IFERROR((VLOOKUP(AG27,'DO NOT TOUCH'!$P$9:$Q$14,2,TRUE)),"TBD")</f>
        <v>TBD</v>
      </c>
      <c r="AI27" s="57">
        <f t="shared" si="18"/>
        <v>0.5</v>
      </c>
      <c r="AJ27" s="57">
        <f>INPUT_OUTPUTS!$C$16</f>
        <v>140</v>
      </c>
      <c r="AK27" s="57">
        <f>INPUT_OUTPUTS!$C$17</f>
        <v>100</v>
      </c>
      <c r="AL27" s="57">
        <f t="shared" si="22"/>
        <v>55</v>
      </c>
      <c r="AM27" s="57">
        <f t="shared" si="22"/>
        <v>85</v>
      </c>
      <c r="AN27" s="57">
        <f t="shared" si="11"/>
        <v>0</v>
      </c>
      <c r="AO27" s="58">
        <f t="shared" si="19"/>
        <v>0</v>
      </c>
      <c r="AP27" s="58">
        <f t="shared" si="15"/>
        <v>0.5</v>
      </c>
      <c r="AQ27" s="58">
        <f t="shared" si="20"/>
        <v>5</v>
      </c>
      <c r="AR27" s="58" t="str">
        <f>IFERROR((_xlfn.XLOOKUP(AH27,'DO NOT TOUCH'!$Q$9:$Q$14,'DO NOT TOUCH'!$R$9:$R$14,)),"TBD")</f>
        <v>TBD</v>
      </c>
      <c r="AS27" s="58" t="str">
        <f>INPUT_OUTPUTS!$C$19</f>
        <v>C1/M-501</v>
      </c>
      <c r="AT27" s="60" t="str">
        <f t="shared" si="21"/>
        <v>1, 2</v>
      </c>
    </row>
    <row r="28" spans="2:46" ht="15" customHeight="1">
      <c r="AD28" s="59" t="s">
        <v>131</v>
      </c>
      <c r="AE28" s="56" t="s">
        <v>88</v>
      </c>
      <c r="AF28" s="56" t="s">
        <v>94</v>
      </c>
      <c r="AG28" s="57">
        <f t="shared" si="10"/>
        <v>0</v>
      </c>
      <c r="AH28" s="57" t="str">
        <f>IFERROR((VLOOKUP(AG28,'DO NOT TOUCH'!$P$9:$Q$14,2,TRUE)),"TBD")</f>
        <v>TBD</v>
      </c>
      <c r="AI28" s="57">
        <f t="shared" si="18"/>
        <v>0.5</v>
      </c>
      <c r="AJ28" s="57">
        <f>INPUT_OUTPUTS!$C$16</f>
        <v>140</v>
      </c>
      <c r="AK28" s="57">
        <f>INPUT_OUTPUTS!$C$17</f>
        <v>100</v>
      </c>
      <c r="AL28" s="57">
        <f t="shared" si="22"/>
        <v>55</v>
      </c>
      <c r="AM28" s="57">
        <f t="shared" si="22"/>
        <v>85</v>
      </c>
      <c r="AN28" s="57">
        <f t="shared" si="11"/>
        <v>0</v>
      </c>
      <c r="AO28" s="58">
        <f t="shared" si="19"/>
        <v>0</v>
      </c>
      <c r="AP28" s="58">
        <f t="shared" si="15"/>
        <v>0.5</v>
      </c>
      <c r="AQ28" s="58">
        <f t="shared" si="20"/>
        <v>5</v>
      </c>
      <c r="AR28" s="58" t="str">
        <f>IFERROR((_xlfn.XLOOKUP(AH28,'DO NOT TOUCH'!$Q$9:$Q$14,'DO NOT TOUCH'!$R$9:$R$14,)),"TBD")</f>
        <v>TBD</v>
      </c>
      <c r="AS28" s="58" t="str">
        <f>INPUT_OUTPUTS!$C$19</f>
        <v>C1/M-501</v>
      </c>
      <c r="AT28" s="60" t="str">
        <f t="shared" si="21"/>
        <v>1, 2</v>
      </c>
    </row>
    <row r="29" spans="2:46" ht="15" customHeight="1">
      <c r="AD29" s="59" t="s">
        <v>132</v>
      </c>
      <c r="AE29" s="56" t="s">
        <v>88</v>
      </c>
      <c r="AF29" s="56" t="s">
        <v>94</v>
      </c>
      <c r="AG29" s="57">
        <f t="shared" si="10"/>
        <v>0</v>
      </c>
      <c r="AH29" s="57" t="str">
        <f>IFERROR((VLOOKUP(AG29,'DO NOT TOUCH'!$P$9:$Q$14,2,TRUE)),"TBD")</f>
        <v>TBD</v>
      </c>
      <c r="AI29" s="57">
        <f t="shared" si="18"/>
        <v>0.5</v>
      </c>
      <c r="AJ29" s="57">
        <f>INPUT_OUTPUTS!$C$16</f>
        <v>140</v>
      </c>
      <c r="AK29" s="57">
        <f>INPUT_OUTPUTS!$C$17</f>
        <v>100</v>
      </c>
      <c r="AL29" s="57">
        <f t="shared" si="22"/>
        <v>55</v>
      </c>
      <c r="AM29" s="57">
        <f t="shared" si="22"/>
        <v>85</v>
      </c>
      <c r="AN29" s="57">
        <f t="shared" si="11"/>
        <v>0</v>
      </c>
      <c r="AO29" s="58">
        <f t="shared" si="19"/>
        <v>0</v>
      </c>
      <c r="AP29" s="58">
        <f t="shared" si="15"/>
        <v>0.5</v>
      </c>
      <c r="AQ29" s="58">
        <f t="shared" si="20"/>
        <v>5</v>
      </c>
      <c r="AR29" s="58" t="str">
        <f>IFERROR((_xlfn.XLOOKUP(AH29,'DO NOT TOUCH'!$Q$9:$Q$14,'DO NOT TOUCH'!$R$9:$R$14,)),"TBD")</f>
        <v>TBD</v>
      </c>
      <c r="AS29" s="58" t="str">
        <f>INPUT_OUTPUTS!$C$19</f>
        <v>C1/M-501</v>
      </c>
      <c r="AT29" s="60" t="str">
        <f t="shared" si="21"/>
        <v>1, 2</v>
      </c>
    </row>
    <row r="30" spans="2:46" ht="15" customHeight="1">
      <c r="AD30" s="59" t="s">
        <v>133</v>
      </c>
      <c r="AE30" s="56" t="s">
        <v>88</v>
      </c>
      <c r="AF30" s="56" t="s">
        <v>94</v>
      </c>
      <c r="AG30" s="57">
        <f t="shared" si="10"/>
        <v>0</v>
      </c>
      <c r="AH30" s="57" t="str">
        <f>IFERROR((VLOOKUP(AG30,'DO NOT TOUCH'!$P$9:$Q$14,2,TRUE)),"TBD")</f>
        <v>TBD</v>
      </c>
      <c r="AI30" s="57">
        <f t="shared" si="18"/>
        <v>0.5</v>
      </c>
      <c r="AJ30" s="57">
        <f>INPUT_OUTPUTS!$C$16</f>
        <v>140</v>
      </c>
      <c r="AK30" s="57">
        <f>INPUT_OUTPUTS!$C$17</f>
        <v>100</v>
      </c>
      <c r="AL30" s="57">
        <f t="shared" si="22"/>
        <v>55</v>
      </c>
      <c r="AM30" s="57">
        <f t="shared" si="22"/>
        <v>85</v>
      </c>
      <c r="AN30" s="57">
        <f t="shared" si="11"/>
        <v>0</v>
      </c>
      <c r="AO30" s="58">
        <f t="shared" si="19"/>
        <v>0</v>
      </c>
      <c r="AP30" s="58">
        <f t="shared" si="15"/>
        <v>0.5</v>
      </c>
      <c r="AQ30" s="58">
        <f t="shared" si="20"/>
        <v>5</v>
      </c>
      <c r="AR30" s="58" t="str">
        <f>IFERROR((_xlfn.XLOOKUP(AH30,'DO NOT TOUCH'!$Q$9:$Q$14,'DO NOT TOUCH'!$R$9:$R$14,)),"TBD")</f>
        <v>TBD</v>
      </c>
      <c r="AS30" s="58" t="str">
        <f>INPUT_OUTPUTS!$C$19</f>
        <v>C1/M-501</v>
      </c>
      <c r="AT30" s="60" t="str">
        <f t="shared" si="21"/>
        <v>1, 2</v>
      </c>
    </row>
    <row r="31" spans="2:46" ht="15" customHeight="1">
      <c r="AD31" s="59" t="s">
        <v>134</v>
      </c>
      <c r="AE31" s="56" t="s">
        <v>88</v>
      </c>
      <c r="AF31" s="56" t="s">
        <v>94</v>
      </c>
      <c r="AG31" s="57">
        <f t="shared" si="10"/>
        <v>0</v>
      </c>
      <c r="AH31" s="57" t="str">
        <f>IFERROR((VLOOKUP(AG31,'DO NOT TOUCH'!$P$9:$Q$14,2,TRUE)),"TBD")</f>
        <v>TBD</v>
      </c>
      <c r="AI31" s="57">
        <f t="shared" si="18"/>
        <v>0.5</v>
      </c>
      <c r="AJ31" s="57">
        <f>INPUT_OUTPUTS!$C$16</f>
        <v>140</v>
      </c>
      <c r="AK31" s="57">
        <f>INPUT_OUTPUTS!$C$17</f>
        <v>100</v>
      </c>
      <c r="AL31" s="57">
        <f t="shared" si="22"/>
        <v>55</v>
      </c>
      <c r="AM31" s="57">
        <f t="shared" si="22"/>
        <v>85</v>
      </c>
      <c r="AN31" s="57">
        <f t="shared" si="11"/>
        <v>0</v>
      </c>
      <c r="AO31" s="58">
        <f t="shared" si="19"/>
        <v>0</v>
      </c>
      <c r="AP31" s="58">
        <f t="shared" si="15"/>
        <v>0.5</v>
      </c>
      <c r="AQ31" s="58">
        <f t="shared" si="20"/>
        <v>5</v>
      </c>
      <c r="AR31" s="58" t="str">
        <f>IFERROR((_xlfn.XLOOKUP(AH31,'DO NOT TOUCH'!$Q$9:$Q$14,'DO NOT TOUCH'!$R$9:$R$14,)),"TBD")</f>
        <v>TBD</v>
      </c>
      <c r="AS31" s="58" t="str">
        <f>INPUT_OUTPUTS!$C$19</f>
        <v>C1/M-501</v>
      </c>
      <c r="AT31" s="60" t="str">
        <f t="shared" si="21"/>
        <v>1, 2</v>
      </c>
    </row>
    <row r="32" spans="2:46" ht="15" customHeight="1">
      <c r="AD32" s="59" t="s">
        <v>135</v>
      </c>
      <c r="AE32" s="56" t="s">
        <v>88</v>
      </c>
      <c r="AF32" s="56" t="s">
        <v>94</v>
      </c>
      <c r="AG32" s="57">
        <f t="shared" si="10"/>
        <v>0</v>
      </c>
      <c r="AH32" s="57" t="str">
        <f>IFERROR((VLOOKUP(AG32,'DO NOT TOUCH'!$P$9:$Q$14,2,TRUE)),"TBD")</f>
        <v>TBD</v>
      </c>
      <c r="AI32" s="57">
        <f t="shared" si="18"/>
        <v>0.5</v>
      </c>
      <c r="AJ32" s="57">
        <f>INPUT_OUTPUTS!$C$16</f>
        <v>140</v>
      </c>
      <c r="AK32" s="57">
        <f>INPUT_OUTPUTS!$C$17</f>
        <v>100</v>
      </c>
      <c r="AL32" s="57">
        <f t="shared" si="22"/>
        <v>55</v>
      </c>
      <c r="AM32" s="57">
        <f t="shared" si="22"/>
        <v>85</v>
      </c>
      <c r="AN32" s="57">
        <f t="shared" si="11"/>
        <v>0</v>
      </c>
      <c r="AO32" s="58">
        <f t="shared" si="19"/>
        <v>0</v>
      </c>
      <c r="AP32" s="58">
        <f t="shared" si="15"/>
        <v>0.5</v>
      </c>
      <c r="AQ32" s="58">
        <f t="shared" si="20"/>
        <v>5</v>
      </c>
      <c r="AR32" s="58" t="str">
        <f>IFERROR((_xlfn.XLOOKUP(AH32,'DO NOT TOUCH'!$Q$9:$Q$14,'DO NOT TOUCH'!$R$9:$R$14,)),"TBD")</f>
        <v>TBD</v>
      </c>
      <c r="AS32" s="58" t="str">
        <f>INPUT_OUTPUTS!$C$19</f>
        <v>C1/M-501</v>
      </c>
      <c r="AT32" s="60" t="str">
        <f t="shared" si="21"/>
        <v>1, 2</v>
      </c>
    </row>
    <row r="33" spans="30:47" ht="15" customHeight="1">
      <c r="AD33" s="59" t="s">
        <v>136</v>
      </c>
      <c r="AE33" s="56" t="s">
        <v>88</v>
      </c>
      <c r="AF33" s="56" t="s">
        <v>94</v>
      </c>
      <c r="AG33" s="57">
        <f t="shared" si="10"/>
        <v>0</v>
      </c>
      <c r="AH33" s="57" t="str">
        <f>IFERROR((VLOOKUP(AG33,'DO NOT TOUCH'!$P$9:$Q$14,2,TRUE)),"TBD")</f>
        <v>TBD</v>
      </c>
      <c r="AI33" s="57">
        <f t="shared" si="18"/>
        <v>0.5</v>
      </c>
      <c r="AJ33" s="57">
        <f>INPUT_OUTPUTS!$C$16</f>
        <v>140</v>
      </c>
      <c r="AK33" s="57">
        <f>INPUT_OUTPUTS!$C$17</f>
        <v>100</v>
      </c>
      <c r="AL33" s="57">
        <f t="shared" si="22"/>
        <v>55</v>
      </c>
      <c r="AM33" s="57">
        <f t="shared" si="22"/>
        <v>85</v>
      </c>
      <c r="AN33" s="57">
        <f t="shared" si="11"/>
        <v>0</v>
      </c>
      <c r="AO33" s="58">
        <f t="shared" si="19"/>
        <v>0</v>
      </c>
      <c r="AP33" s="58">
        <f t="shared" si="15"/>
        <v>0.5</v>
      </c>
      <c r="AQ33" s="58">
        <f t="shared" si="20"/>
        <v>5</v>
      </c>
      <c r="AR33" s="58" t="str">
        <f>IFERROR((_xlfn.XLOOKUP(AH33,'DO NOT TOUCH'!$Q$9:$Q$14,'DO NOT TOUCH'!$R$9:$R$14,)),"TBD")</f>
        <v>TBD</v>
      </c>
      <c r="AS33" s="58" t="str">
        <f>INPUT_OUTPUTS!$C$19</f>
        <v>C1/M-501</v>
      </c>
      <c r="AT33" s="60" t="str">
        <f t="shared" si="21"/>
        <v>1, 2</v>
      </c>
    </row>
    <row r="34" spans="30:47" ht="15" customHeight="1">
      <c r="AD34" s="59" t="s">
        <v>137</v>
      </c>
      <c r="AE34" s="56" t="s">
        <v>88</v>
      </c>
      <c r="AF34" s="56" t="s">
        <v>94</v>
      </c>
      <c r="AG34" s="57">
        <f t="shared" si="10"/>
        <v>0</v>
      </c>
      <c r="AH34" s="57" t="str">
        <f>IFERROR((VLOOKUP(AG34,'DO NOT TOUCH'!$P$9:$Q$14,2,TRUE)),"TBD")</f>
        <v>TBD</v>
      </c>
      <c r="AI34" s="57">
        <f t="shared" si="18"/>
        <v>0.5</v>
      </c>
      <c r="AJ34" s="57">
        <f>INPUT_OUTPUTS!$C$16</f>
        <v>140</v>
      </c>
      <c r="AK34" s="57">
        <f>INPUT_OUTPUTS!$C$17</f>
        <v>100</v>
      </c>
      <c r="AL34" s="57">
        <f t="shared" si="22"/>
        <v>55</v>
      </c>
      <c r="AM34" s="57">
        <f t="shared" si="22"/>
        <v>85</v>
      </c>
      <c r="AN34" s="57">
        <f t="shared" si="11"/>
        <v>0</v>
      </c>
      <c r="AO34" s="58">
        <f t="shared" si="19"/>
        <v>0</v>
      </c>
      <c r="AP34" s="58">
        <f t="shared" si="15"/>
        <v>0.5</v>
      </c>
      <c r="AQ34" s="58">
        <f t="shared" si="20"/>
        <v>5</v>
      </c>
      <c r="AR34" s="58" t="str">
        <f>IFERROR((_xlfn.XLOOKUP(AH34,'DO NOT TOUCH'!$Q$9:$Q$14,'DO NOT TOUCH'!$R$9:$R$14,)),"TBD")</f>
        <v>TBD</v>
      </c>
      <c r="AS34" s="58" t="str">
        <f>INPUT_OUTPUTS!$C$19</f>
        <v>C1/M-501</v>
      </c>
      <c r="AT34" s="60" t="str">
        <f t="shared" si="21"/>
        <v>1, 2</v>
      </c>
    </row>
    <row r="35" spans="30:47" ht="15" customHeight="1">
      <c r="AD35" s="59" t="s">
        <v>138</v>
      </c>
      <c r="AE35" s="56" t="s">
        <v>88</v>
      </c>
      <c r="AF35" s="56" t="s">
        <v>94</v>
      </c>
      <c r="AG35" s="57">
        <f t="shared" si="10"/>
        <v>0</v>
      </c>
      <c r="AH35" s="57" t="str">
        <f>IFERROR((VLOOKUP(AG35,'DO NOT TOUCH'!$P$9:$Q$14,2,TRUE)),"TBD")</f>
        <v>TBD</v>
      </c>
      <c r="AI35" s="57">
        <f t="shared" si="18"/>
        <v>0.5</v>
      </c>
      <c r="AJ35" s="57">
        <f>INPUT_OUTPUTS!$C$16</f>
        <v>140</v>
      </c>
      <c r="AK35" s="57">
        <f>INPUT_OUTPUTS!$C$17</f>
        <v>100</v>
      </c>
      <c r="AL35" s="57">
        <f t="shared" si="22"/>
        <v>55</v>
      </c>
      <c r="AM35" s="57">
        <f t="shared" si="22"/>
        <v>85</v>
      </c>
      <c r="AN35" s="57">
        <f t="shared" si="11"/>
        <v>0</v>
      </c>
      <c r="AO35" s="58">
        <f t="shared" si="19"/>
        <v>0</v>
      </c>
      <c r="AP35" s="58">
        <f t="shared" si="15"/>
        <v>0.5</v>
      </c>
      <c r="AQ35" s="58">
        <f t="shared" si="20"/>
        <v>5</v>
      </c>
      <c r="AR35" s="58" t="str">
        <f>IFERROR((_xlfn.XLOOKUP(AH35,'DO NOT TOUCH'!$Q$9:$Q$14,'DO NOT TOUCH'!$R$9:$R$14,)),"TBD")</f>
        <v>TBD</v>
      </c>
      <c r="AS35" s="58" t="str">
        <f>INPUT_OUTPUTS!$C$19</f>
        <v>C1/M-501</v>
      </c>
      <c r="AT35" s="60" t="str">
        <f t="shared" si="21"/>
        <v>1, 2</v>
      </c>
    </row>
    <row r="36" spans="30:47" ht="15" customHeight="1">
      <c r="AD36" s="59" t="s">
        <v>139</v>
      </c>
      <c r="AE36" s="56" t="s">
        <v>88</v>
      </c>
      <c r="AF36" s="56" t="s">
        <v>94</v>
      </c>
      <c r="AG36" s="57">
        <f t="shared" si="10"/>
        <v>0</v>
      </c>
      <c r="AH36" s="57" t="str">
        <f>IFERROR((VLOOKUP(AG36,'DO NOT TOUCH'!$P$9:$Q$14,2,TRUE)),"TBD")</f>
        <v>TBD</v>
      </c>
      <c r="AI36" s="57">
        <f t="shared" si="18"/>
        <v>0.5</v>
      </c>
      <c r="AJ36" s="57">
        <f>INPUT_OUTPUTS!$C$16</f>
        <v>140</v>
      </c>
      <c r="AK36" s="57">
        <f>INPUT_OUTPUTS!$C$17</f>
        <v>100</v>
      </c>
      <c r="AL36" s="57">
        <f t="shared" si="22"/>
        <v>55</v>
      </c>
      <c r="AM36" s="57">
        <f t="shared" si="22"/>
        <v>85</v>
      </c>
      <c r="AN36" s="57">
        <f t="shared" si="11"/>
        <v>0</v>
      </c>
      <c r="AO36" s="58">
        <f t="shared" si="19"/>
        <v>0</v>
      </c>
      <c r="AP36" s="58">
        <f t="shared" si="15"/>
        <v>0.5</v>
      </c>
      <c r="AQ36" s="58">
        <f t="shared" si="20"/>
        <v>5</v>
      </c>
      <c r="AR36" s="58" t="str">
        <f>IFERROR((_xlfn.XLOOKUP(AH36,'DO NOT TOUCH'!$Q$9:$Q$14,'DO NOT TOUCH'!$R$9:$R$14,)),"TBD")</f>
        <v>TBD</v>
      </c>
      <c r="AS36" s="58" t="str">
        <f>INPUT_OUTPUTS!$C$19</f>
        <v>C1/M-501</v>
      </c>
      <c r="AT36" s="60" t="str">
        <f t="shared" si="21"/>
        <v>1, 2</v>
      </c>
    </row>
    <row r="37" spans="30:47" ht="15" customHeight="1">
      <c r="AD37" s="59" t="s">
        <v>140</v>
      </c>
      <c r="AE37" s="56" t="s">
        <v>88</v>
      </c>
      <c r="AF37" s="56" t="s">
        <v>94</v>
      </c>
      <c r="AG37" s="57">
        <f t="shared" si="10"/>
        <v>0</v>
      </c>
      <c r="AH37" s="57" t="str">
        <f>IFERROR((VLOOKUP(AG37,'DO NOT TOUCH'!$P$9:$Q$14,2,TRUE)),"TBD")</f>
        <v>TBD</v>
      </c>
      <c r="AI37" s="57">
        <f t="shared" si="18"/>
        <v>0.5</v>
      </c>
      <c r="AJ37" s="57">
        <f>INPUT_OUTPUTS!$C$16</f>
        <v>140</v>
      </c>
      <c r="AK37" s="57">
        <f>INPUT_OUTPUTS!$C$17</f>
        <v>100</v>
      </c>
      <c r="AL37" s="57">
        <f t="shared" si="22"/>
        <v>55</v>
      </c>
      <c r="AM37" s="57">
        <f t="shared" si="22"/>
        <v>85</v>
      </c>
      <c r="AN37" s="57">
        <f t="shared" si="11"/>
        <v>0</v>
      </c>
      <c r="AO37" s="58">
        <f t="shared" si="19"/>
        <v>0</v>
      </c>
      <c r="AP37" s="58">
        <f t="shared" si="15"/>
        <v>0.5</v>
      </c>
      <c r="AQ37" s="58">
        <f t="shared" si="20"/>
        <v>5</v>
      </c>
      <c r="AR37" s="58" t="str">
        <f>IFERROR((_xlfn.XLOOKUP(AH37,'DO NOT TOUCH'!$Q$9:$Q$14,'DO NOT TOUCH'!$R$9:$R$14,)),"TBD")</f>
        <v>TBD</v>
      </c>
      <c r="AS37" s="58" t="str">
        <f>INPUT_OUTPUTS!$C$19</f>
        <v>C1/M-501</v>
      </c>
      <c r="AT37" s="60" t="str">
        <f t="shared" si="21"/>
        <v>1, 2</v>
      </c>
    </row>
    <row r="38" spans="30:47" ht="15" customHeight="1">
      <c r="AD38" s="59" t="s">
        <v>141</v>
      </c>
      <c r="AE38" s="56" t="s">
        <v>88</v>
      </c>
      <c r="AF38" s="56" t="s">
        <v>94</v>
      </c>
      <c r="AG38" s="57">
        <f t="shared" si="10"/>
        <v>0</v>
      </c>
      <c r="AH38" s="57" t="str">
        <f>IFERROR((VLOOKUP(AG38,'DO NOT TOUCH'!$P$9:$Q$14,2,TRUE)),"TBD")</f>
        <v>TBD</v>
      </c>
      <c r="AI38" s="57">
        <f t="shared" si="18"/>
        <v>0.5</v>
      </c>
      <c r="AJ38" s="57">
        <f>INPUT_OUTPUTS!$C$16</f>
        <v>140</v>
      </c>
      <c r="AK38" s="57">
        <f>INPUT_OUTPUTS!$C$17</f>
        <v>100</v>
      </c>
      <c r="AL38" s="57">
        <f t="shared" si="22"/>
        <v>55</v>
      </c>
      <c r="AM38" s="57">
        <f t="shared" si="22"/>
        <v>85</v>
      </c>
      <c r="AN38" s="57">
        <f t="shared" si="11"/>
        <v>0</v>
      </c>
      <c r="AO38" s="58">
        <f t="shared" si="19"/>
        <v>0</v>
      </c>
      <c r="AP38" s="58">
        <f t="shared" si="15"/>
        <v>0.5</v>
      </c>
      <c r="AQ38" s="58">
        <f t="shared" si="20"/>
        <v>5</v>
      </c>
      <c r="AR38" s="58" t="str">
        <f>IFERROR((_xlfn.XLOOKUP(AH38,'DO NOT TOUCH'!$Q$9:$Q$14,'DO NOT TOUCH'!$R$9:$R$14,)),"TBD")</f>
        <v>TBD</v>
      </c>
      <c r="AS38" s="58" t="str">
        <f>INPUT_OUTPUTS!$C$19</f>
        <v>C1/M-501</v>
      </c>
      <c r="AT38" s="60" t="str">
        <f t="shared" si="21"/>
        <v>1, 2</v>
      </c>
    </row>
    <row r="39" spans="30:47" ht="15" customHeight="1">
      <c r="AD39" s="59" t="s">
        <v>142</v>
      </c>
      <c r="AE39" s="56" t="s">
        <v>88</v>
      </c>
      <c r="AF39" s="56" t="s">
        <v>94</v>
      </c>
      <c r="AG39" s="57">
        <f t="shared" si="10"/>
        <v>0</v>
      </c>
      <c r="AH39" s="57" t="str">
        <f>IFERROR((VLOOKUP(AG39,'DO NOT TOUCH'!$P$9:$Q$14,2,TRUE)),"TBD")</f>
        <v>TBD</v>
      </c>
      <c r="AI39" s="57">
        <f t="shared" si="18"/>
        <v>0.5</v>
      </c>
      <c r="AJ39" s="57">
        <f>INPUT_OUTPUTS!$C$16</f>
        <v>140</v>
      </c>
      <c r="AK39" s="57">
        <f>INPUT_OUTPUTS!$C$17</f>
        <v>100</v>
      </c>
      <c r="AL39" s="57">
        <f t="shared" si="22"/>
        <v>55</v>
      </c>
      <c r="AM39" s="57">
        <f t="shared" si="22"/>
        <v>85</v>
      </c>
      <c r="AN39" s="57">
        <f t="shared" si="11"/>
        <v>0</v>
      </c>
      <c r="AO39" s="58">
        <f t="shared" si="19"/>
        <v>0</v>
      </c>
      <c r="AP39" s="58">
        <f t="shared" si="15"/>
        <v>0.5</v>
      </c>
      <c r="AQ39" s="58">
        <f t="shared" si="20"/>
        <v>5</v>
      </c>
      <c r="AR39" s="58" t="str">
        <f>IFERROR((_xlfn.XLOOKUP(AH39,'DO NOT TOUCH'!$Q$9:$Q$14,'DO NOT TOUCH'!$R$9:$R$14,)),"TBD")</f>
        <v>TBD</v>
      </c>
      <c r="AS39" s="58" t="str">
        <f>INPUT_OUTPUTS!$C$19</f>
        <v>C1/M-501</v>
      </c>
      <c r="AT39" s="60" t="str">
        <f t="shared" si="21"/>
        <v>1, 2</v>
      </c>
    </row>
    <row r="40" spans="30:47" ht="15" customHeight="1">
      <c r="AD40" s="59" t="s">
        <v>143</v>
      </c>
      <c r="AE40" s="56" t="s">
        <v>88</v>
      </c>
      <c r="AF40" s="56" t="s">
        <v>94</v>
      </c>
      <c r="AG40" s="57">
        <f t="shared" si="10"/>
        <v>0</v>
      </c>
      <c r="AH40" s="57" t="str">
        <f>IFERROR((VLOOKUP(AG40,'DO NOT TOUCH'!$P$9:$Q$14,2,TRUE)),"TBD")</f>
        <v>TBD</v>
      </c>
      <c r="AI40" s="57">
        <f t="shared" si="18"/>
        <v>0.5</v>
      </c>
      <c r="AJ40" s="57">
        <f>INPUT_OUTPUTS!$C$16</f>
        <v>140</v>
      </c>
      <c r="AK40" s="57">
        <f>INPUT_OUTPUTS!$C$17</f>
        <v>100</v>
      </c>
      <c r="AL40" s="57">
        <f t="shared" ref="AL40:AM44" si="23">AL39</f>
        <v>55</v>
      </c>
      <c r="AM40" s="57">
        <f t="shared" si="23"/>
        <v>85</v>
      </c>
      <c r="AN40" s="57">
        <f t="shared" si="11"/>
        <v>0</v>
      </c>
      <c r="AO40" s="58">
        <f t="shared" si="19"/>
        <v>0</v>
      </c>
      <c r="AP40" s="58">
        <f t="shared" si="15"/>
        <v>0.5</v>
      </c>
      <c r="AQ40" s="58">
        <f t="shared" si="20"/>
        <v>5</v>
      </c>
      <c r="AR40" s="58" t="str">
        <f>IFERROR((_xlfn.XLOOKUP(AH40,'DO NOT TOUCH'!$Q$9:$Q$14,'DO NOT TOUCH'!$R$9:$R$14,)),"TBD")</f>
        <v>TBD</v>
      </c>
      <c r="AS40" s="58" t="str">
        <f>INPUT_OUTPUTS!$C$19</f>
        <v>C1/M-501</v>
      </c>
      <c r="AT40" s="60" t="str">
        <f t="shared" si="21"/>
        <v>1, 2</v>
      </c>
    </row>
    <row r="41" spans="30:47" ht="15" customHeight="1">
      <c r="AD41" s="59" t="s">
        <v>144</v>
      </c>
      <c r="AE41" s="56" t="s">
        <v>88</v>
      </c>
      <c r="AF41" s="56" t="s">
        <v>94</v>
      </c>
      <c r="AG41" s="57">
        <f t="shared" si="10"/>
        <v>0</v>
      </c>
      <c r="AH41" s="57" t="str">
        <f>IFERROR((VLOOKUP(AG41,'DO NOT TOUCH'!$P$9:$Q$14,2,TRUE)),"TBD")</f>
        <v>TBD</v>
      </c>
      <c r="AI41" s="57">
        <f t="shared" si="18"/>
        <v>0.5</v>
      </c>
      <c r="AJ41" s="57">
        <f>INPUT_OUTPUTS!$C$16</f>
        <v>140</v>
      </c>
      <c r="AK41" s="57">
        <f>INPUT_OUTPUTS!$C$17</f>
        <v>100</v>
      </c>
      <c r="AL41" s="57">
        <f t="shared" si="23"/>
        <v>55</v>
      </c>
      <c r="AM41" s="57">
        <f t="shared" si="23"/>
        <v>85</v>
      </c>
      <c r="AN41" s="57">
        <f t="shared" si="11"/>
        <v>0</v>
      </c>
      <c r="AO41" s="58">
        <f t="shared" si="19"/>
        <v>0</v>
      </c>
      <c r="AP41" s="58">
        <f t="shared" si="15"/>
        <v>0.5</v>
      </c>
      <c r="AQ41" s="58">
        <f t="shared" si="20"/>
        <v>5</v>
      </c>
      <c r="AR41" s="58" t="str">
        <f>IFERROR((_xlfn.XLOOKUP(AH41,'DO NOT TOUCH'!$Q$9:$Q$14,'DO NOT TOUCH'!$R$9:$R$14,)),"TBD")</f>
        <v>TBD</v>
      </c>
      <c r="AS41" s="58" t="str">
        <f>INPUT_OUTPUTS!$C$19</f>
        <v>C1/M-501</v>
      </c>
      <c r="AT41" s="60" t="str">
        <f t="shared" si="21"/>
        <v>1, 2</v>
      </c>
    </row>
    <row r="42" spans="30:47" ht="15" customHeight="1">
      <c r="AD42" s="59" t="s">
        <v>145</v>
      </c>
      <c r="AE42" s="56" t="s">
        <v>88</v>
      </c>
      <c r="AF42" s="56" t="s">
        <v>94</v>
      </c>
      <c r="AG42" s="57">
        <f t="shared" si="10"/>
        <v>0</v>
      </c>
      <c r="AH42" s="57" t="str">
        <f>IFERROR((VLOOKUP(AG42,'DO NOT TOUCH'!$P$9:$Q$14,2,TRUE)),"TBD")</f>
        <v>TBD</v>
      </c>
      <c r="AI42" s="57">
        <f t="shared" si="18"/>
        <v>0.5</v>
      </c>
      <c r="AJ42" s="57">
        <f>INPUT_OUTPUTS!$C$16</f>
        <v>140</v>
      </c>
      <c r="AK42" s="57">
        <f>INPUT_OUTPUTS!$C$17</f>
        <v>100</v>
      </c>
      <c r="AL42" s="57">
        <f t="shared" si="23"/>
        <v>55</v>
      </c>
      <c r="AM42" s="57">
        <f t="shared" si="23"/>
        <v>85</v>
      </c>
      <c r="AN42" s="57">
        <f t="shared" si="11"/>
        <v>0</v>
      </c>
      <c r="AO42" s="58">
        <f t="shared" si="19"/>
        <v>0</v>
      </c>
      <c r="AP42" s="58">
        <f t="shared" si="15"/>
        <v>0.5</v>
      </c>
      <c r="AQ42" s="58">
        <f t="shared" si="20"/>
        <v>5</v>
      </c>
      <c r="AR42" s="58" t="str">
        <f>IFERROR((_xlfn.XLOOKUP(AH42,'DO NOT TOUCH'!$Q$9:$Q$14,'DO NOT TOUCH'!$R$9:$R$14,)),"TBD")</f>
        <v>TBD</v>
      </c>
      <c r="AS42" s="58" t="str">
        <f>INPUT_OUTPUTS!$C$19</f>
        <v>C1/M-501</v>
      </c>
      <c r="AT42" s="60" t="str">
        <f t="shared" si="21"/>
        <v>1, 2</v>
      </c>
    </row>
    <row r="43" spans="30:47" ht="15" customHeight="1">
      <c r="AD43" s="59" t="s">
        <v>146</v>
      </c>
      <c r="AE43" s="56" t="s">
        <v>88</v>
      </c>
      <c r="AF43" s="56" t="s">
        <v>94</v>
      </c>
      <c r="AG43" s="57">
        <f t="shared" si="10"/>
        <v>0</v>
      </c>
      <c r="AH43" s="57" t="str">
        <f>IFERROR((VLOOKUP(AG43,'DO NOT TOUCH'!$P$9:$Q$14,2,TRUE)),"TBD")</f>
        <v>TBD</v>
      </c>
      <c r="AI43" s="57">
        <f t="shared" si="18"/>
        <v>0.5</v>
      </c>
      <c r="AJ43" s="57">
        <f>INPUT_OUTPUTS!$C$16</f>
        <v>140</v>
      </c>
      <c r="AK43" s="57">
        <f>INPUT_OUTPUTS!$C$17</f>
        <v>100</v>
      </c>
      <c r="AL43" s="57">
        <f t="shared" si="23"/>
        <v>55</v>
      </c>
      <c r="AM43" s="57">
        <f t="shared" si="23"/>
        <v>85</v>
      </c>
      <c r="AN43" s="57">
        <f t="shared" si="11"/>
        <v>0</v>
      </c>
      <c r="AO43" s="58">
        <f t="shared" si="19"/>
        <v>0</v>
      </c>
      <c r="AP43" s="58">
        <f t="shared" si="15"/>
        <v>0.5</v>
      </c>
      <c r="AQ43" s="58">
        <f t="shared" si="20"/>
        <v>5</v>
      </c>
      <c r="AR43" s="58" t="str">
        <f>IFERROR((_xlfn.XLOOKUP(AH43,'DO NOT TOUCH'!$Q$9:$Q$14,'DO NOT TOUCH'!$R$9:$R$14,)),"TBD")</f>
        <v>TBD</v>
      </c>
      <c r="AS43" s="58" t="str">
        <f>INPUT_OUTPUTS!$C$19</f>
        <v>C1/M-501</v>
      </c>
      <c r="AT43" s="60" t="str">
        <f t="shared" si="21"/>
        <v>1, 2</v>
      </c>
    </row>
    <row r="44" spans="30:47" ht="15" customHeight="1">
      <c r="AD44" s="61" t="s">
        <v>148</v>
      </c>
      <c r="AE44" s="62" t="s">
        <v>88</v>
      </c>
      <c r="AF44" s="62" t="s">
        <v>94</v>
      </c>
      <c r="AG44" s="63">
        <f t="shared" si="10"/>
        <v>0</v>
      </c>
      <c r="AH44" s="63" t="str">
        <f>IFERROR((VLOOKUP(AG44,'DO NOT TOUCH'!$P$9:$Q$14,2,TRUE)),"TBD")</f>
        <v>TBD</v>
      </c>
      <c r="AI44" s="63">
        <f t="shared" si="18"/>
        <v>0.5</v>
      </c>
      <c r="AJ44" s="63">
        <f>INPUT_OUTPUTS!$C$16</f>
        <v>140</v>
      </c>
      <c r="AK44" s="63">
        <f>INPUT_OUTPUTS!$C$17</f>
        <v>100</v>
      </c>
      <c r="AL44" s="63">
        <f t="shared" si="23"/>
        <v>55</v>
      </c>
      <c r="AM44" s="63">
        <f t="shared" si="23"/>
        <v>85</v>
      </c>
      <c r="AN44" s="63">
        <f t="shared" si="11"/>
        <v>0</v>
      </c>
      <c r="AO44" s="64">
        <f t="shared" si="19"/>
        <v>0</v>
      </c>
      <c r="AP44" s="64">
        <f t="shared" si="15"/>
        <v>0.5</v>
      </c>
      <c r="AQ44" s="64">
        <f t="shared" si="20"/>
        <v>5</v>
      </c>
      <c r="AR44" s="64" t="str">
        <f>IFERROR((_xlfn.XLOOKUP(AH44,'DO NOT TOUCH'!$Q$9:$Q$14,'DO NOT TOUCH'!$R$9:$R$14,)),"TBD")</f>
        <v>TBD</v>
      </c>
      <c r="AS44" s="58" t="str">
        <f>INPUT_OUTPUTS!$C$19</f>
        <v>C1/M-501</v>
      </c>
      <c r="AT44" s="65" t="str">
        <f t="shared" si="21"/>
        <v>1, 2</v>
      </c>
      <c r="AU44" s="121"/>
    </row>
    <row r="45" spans="30:47" ht="15" customHeight="1">
      <c r="AD45" s="79" t="s">
        <v>166</v>
      </c>
      <c r="AE45" s="80"/>
      <c r="AF45" s="80"/>
      <c r="AG45" s="81"/>
      <c r="AH45" s="81"/>
      <c r="AI45" s="81"/>
      <c r="AJ45" s="81"/>
      <c r="AK45" s="81"/>
      <c r="AL45" s="81"/>
      <c r="AM45" s="81"/>
      <c r="AN45" s="81">
        <f>SUBTOTAL(109,AHU1_CAV_SCHEDULE449[MIN MBH])</f>
        <v>0</v>
      </c>
      <c r="AO45" s="81"/>
      <c r="AP45" s="83">
        <f>SUBTOTAL(109,AHU1_CAV_SCHEDULE449[GPM])</f>
        <v>19</v>
      </c>
      <c r="AQ45" s="81"/>
      <c r="AR45" s="81"/>
      <c r="AS45" s="81"/>
      <c r="AT45" s="82"/>
      <c r="AU45" s="121"/>
    </row>
    <row r="46" spans="30:47" ht="15" customHeight="1">
      <c r="AD46" s="348" t="s">
        <v>92</v>
      </c>
      <c r="AE46" s="349"/>
      <c r="AF46" s="349"/>
      <c r="AG46" s="349"/>
      <c r="AH46" s="349"/>
      <c r="AI46" s="349"/>
      <c r="AJ46" s="349"/>
      <c r="AK46" s="349"/>
      <c r="AL46" s="349"/>
      <c r="AM46" s="349"/>
      <c r="AN46" s="349"/>
      <c r="AO46" s="349"/>
      <c r="AP46" s="349"/>
      <c r="AQ46" s="349"/>
      <c r="AR46" s="349"/>
      <c r="AS46" s="349"/>
      <c r="AT46" s="350"/>
      <c r="AU46" s="121"/>
    </row>
    <row r="47" spans="30:47" ht="15" customHeight="1">
      <c r="AD47" s="351"/>
      <c r="AE47" s="352"/>
      <c r="AF47" s="352"/>
      <c r="AG47" s="352"/>
      <c r="AH47" s="352"/>
      <c r="AI47" s="352"/>
      <c r="AJ47" s="352"/>
      <c r="AK47" s="352"/>
      <c r="AL47" s="352"/>
      <c r="AM47" s="352"/>
      <c r="AN47" s="352"/>
      <c r="AO47" s="352"/>
      <c r="AP47" s="352"/>
      <c r="AQ47" s="352"/>
      <c r="AR47" s="352"/>
      <c r="AS47" s="352"/>
      <c r="AT47" s="353"/>
      <c r="AU47" s="121"/>
    </row>
    <row r="48" spans="30:47" ht="15" customHeight="1">
      <c r="AD48" s="351"/>
      <c r="AE48" s="352"/>
      <c r="AF48" s="352"/>
      <c r="AG48" s="352"/>
      <c r="AH48" s="352"/>
      <c r="AI48" s="352"/>
      <c r="AJ48" s="352"/>
      <c r="AK48" s="352"/>
      <c r="AL48" s="352"/>
      <c r="AM48" s="352"/>
      <c r="AN48" s="352"/>
      <c r="AO48" s="352"/>
      <c r="AP48" s="352"/>
      <c r="AQ48" s="352"/>
      <c r="AR48" s="352"/>
      <c r="AS48" s="352"/>
      <c r="AT48" s="353"/>
      <c r="AU48" s="121"/>
    </row>
    <row r="49" spans="30:47" ht="15" customHeight="1">
      <c r="AD49" s="354"/>
      <c r="AE49" s="355"/>
      <c r="AF49" s="355"/>
      <c r="AG49" s="355"/>
      <c r="AH49" s="355"/>
      <c r="AI49" s="355"/>
      <c r="AJ49" s="355"/>
      <c r="AK49" s="355"/>
      <c r="AL49" s="355"/>
      <c r="AM49" s="355"/>
      <c r="AN49" s="355"/>
      <c r="AO49" s="355"/>
      <c r="AP49" s="355"/>
      <c r="AQ49" s="355"/>
      <c r="AR49" s="355"/>
      <c r="AS49" s="355"/>
      <c r="AT49" s="356"/>
      <c r="AU49" s="121"/>
    </row>
    <row r="50" spans="30:47" ht="15" customHeight="1"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</row>
    <row r="51" spans="30:47" ht="15" customHeight="1"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</row>
    <row r="52" spans="30:47" ht="15" customHeight="1"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</row>
    <row r="53" spans="30:47" ht="15" customHeight="1"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</row>
    <row r="54" spans="30:47" ht="15" customHeight="1"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</row>
    <row r="55" spans="30:47" ht="15" customHeight="1">
      <c r="AD55" s="125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U55" s="121"/>
    </row>
    <row r="56" spans="30:47" ht="15" customHeight="1">
      <c r="AD56" s="125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U56" s="121"/>
    </row>
    <row r="57" spans="30:47" ht="15" customHeight="1">
      <c r="AD57" s="125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U57" s="121"/>
    </row>
    <row r="58" spans="30:47" ht="15" customHeight="1">
      <c r="AD58" s="125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U58" s="121"/>
    </row>
    <row r="59" spans="30:47" ht="15" customHeight="1">
      <c r="AD59" s="125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U59" s="121"/>
    </row>
    <row r="60" spans="30:47" ht="15" customHeight="1">
      <c r="AD60" s="125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U60" s="121"/>
    </row>
    <row r="61" spans="30:47" ht="15" customHeight="1">
      <c r="AD61" s="125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U61" s="121"/>
    </row>
    <row r="62" spans="30:47" ht="15" customHeight="1">
      <c r="AD62" s="125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U62" s="121"/>
    </row>
    <row r="63" spans="30:47" ht="15" customHeight="1">
      <c r="AD63" s="125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U63" s="121"/>
    </row>
    <row r="64" spans="30:47" ht="15" customHeight="1">
      <c r="AD64" s="125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U64" s="121"/>
    </row>
    <row r="65" spans="28:48" ht="15" customHeight="1">
      <c r="AD65" s="125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U65" s="121"/>
    </row>
    <row r="66" spans="28:48" ht="15" customHeight="1">
      <c r="AD66" s="125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U66" s="121"/>
    </row>
    <row r="67" spans="28:48" ht="15" customHeight="1">
      <c r="AD67" s="125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U67" s="121"/>
    </row>
    <row r="68" spans="28:48" ht="15" customHeight="1">
      <c r="AD68" s="125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U68" s="121"/>
    </row>
    <row r="69" spans="28:48" ht="15" customHeight="1">
      <c r="AD69" s="125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U69" s="121"/>
    </row>
    <row r="70" spans="28:48" ht="15" customHeight="1">
      <c r="AD70" s="125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U70" s="121"/>
    </row>
    <row r="71" spans="28:48" ht="15" customHeight="1">
      <c r="AD71" s="125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U71" s="121"/>
    </row>
    <row r="72" spans="28:48" ht="15" customHeight="1">
      <c r="AD72" s="125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U72" s="121"/>
    </row>
    <row r="73" spans="28:48" ht="15" customHeight="1">
      <c r="AD73" s="125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U73" s="121"/>
    </row>
    <row r="74" spans="28:48" ht="15" customHeight="1">
      <c r="AD74" s="125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U74" s="121"/>
    </row>
    <row r="75" spans="28:48" ht="15" customHeight="1">
      <c r="AD75" s="125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U75" s="121"/>
    </row>
    <row r="76" spans="28:48" ht="15" customHeight="1">
      <c r="AD76" s="125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U76" s="121"/>
    </row>
    <row r="77" spans="28:48" ht="15" customHeight="1">
      <c r="AD77" s="125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U77" s="121"/>
    </row>
    <row r="78" spans="28:48" ht="15" customHeight="1">
      <c r="AD78" s="125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U78" s="121"/>
    </row>
    <row r="79" spans="28:48" ht="15" customHeight="1">
      <c r="AD79" s="125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U79" s="121"/>
    </row>
    <row r="80" spans="28:48">
      <c r="AB80" s="140"/>
      <c r="AD80" s="125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V80" s="121"/>
    </row>
    <row r="81" spans="28:48" ht="15" customHeight="1">
      <c r="AB81" s="140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V81" s="121"/>
    </row>
    <row r="82" spans="28:48" ht="15" customHeight="1">
      <c r="AB82" s="14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V82" s="121"/>
    </row>
    <row r="83" spans="28:48" ht="15" customHeight="1"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V83" s="121"/>
    </row>
    <row r="84" spans="28:48" ht="15" customHeight="1"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V84" s="121"/>
    </row>
    <row r="85" spans="28:48" ht="15" customHeight="1"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V85" s="121"/>
    </row>
    <row r="86" spans="28:48" ht="15" customHeight="1"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V86" s="121"/>
    </row>
    <row r="87" spans="28:48" ht="15" customHeight="1"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V87" s="121"/>
    </row>
    <row r="88" spans="28:48" ht="15" customHeight="1"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V88" s="121"/>
    </row>
    <row r="89" spans="28:48" ht="15" customHeight="1"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V89" s="121"/>
    </row>
    <row r="90" spans="28:48" ht="15" customHeight="1"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V90" s="121"/>
    </row>
    <row r="91" spans="28:48" ht="15" customHeight="1"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V91" s="121"/>
    </row>
    <row r="92" spans="28:48" ht="15" customHeight="1"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V92" s="121"/>
    </row>
    <row r="93" spans="28:48" ht="15" customHeight="1"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V93" s="121"/>
    </row>
    <row r="94" spans="28:48" ht="15" customHeight="1"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V94" s="121"/>
    </row>
    <row r="95" spans="28:48" ht="15" customHeight="1"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V95" s="121"/>
    </row>
    <row r="96" spans="28:48" ht="15" customHeight="1"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V96" s="121"/>
    </row>
    <row r="97" spans="34:48" ht="15" customHeight="1"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V97" s="121"/>
    </row>
    <row r="98" spans="34:48" ht="15.75" customHeight="1"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V98" s="121"/>
    </row>
    <row r="99" spans="34:48"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V99" s="121"/>
    </row>
    <row r="100" spans="34:48"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V100" s="121"/>
    </row>
    <row r="101" spans="34:48"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V101" s="121"/>
    </row>
    <row r="102" spans="34:48" ht="15" customHeight="1"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V102" s="121"/>
    </row>
    <row r="103" spans="34:48"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</row>
    <row r="104" spans="34:48">
      <c r="AQ104" s="144"/>
      <c r="AR104" s="144"/>
      <c r="AS104" s="144"/>
      <c r="AT104" s="144"/>
    </row>
  </sheetData>
  <dataConsolidate topLabels="1">
    <dataRefs count="1">
      <dataRef ref="C8:D86" sheet="AHU 1"/>
    </dataRefs>
  </dataConsolidate>
  <mergeCells count="6">
    <mergeCell ref="AD46:AT49"/>
    <mergeCell ref="H5:R5"/>
    <mergeCell ref="D5:G5"/>
    <mergeCell ref="S5:V5"/>
    <mergeCell ref="Y5:AA5"/>
    <mergeCell ref="AD5:AT5"/>
  </mergeCells>
  <phoneticPr fontId="9" type="noConversion"/>
  <conditionalFormatting sqref="Z7:Z17">
    <cfRule type="cellIs" dxfId="393" priority="1" operator="greaterThan">
      <formula>$Z$4</formula>
    </cfRule>
  </conditionalFormatting>
  <dataValidations disablePrompts="1" count="3">
    <dataValidation type="decimal" operator="greaterThan" allowBlank="1" showInputMessage="1" showErrorMessage="1" sqref="F7:F17" xr:uid="{1A810171-ECF9-164E-905E-AFA380988F8C}">
      <formula1>1</formula1>
    </dataValidation>
    <dataValidation type="whole" operator="greaterThan" allowBlank="1" showInputMessage="1" showErrorMessage="1" sqref="E7:E17" xr:uid="{EBABF13F-650A-8F47-A089-3B0FA7B4924F}">
      <formula1>1</formula1>
    </dataValidation>
    <dataValidation type="whole" operator="greaterThan" allowBlank="1" showInputMessage="1" showErrorMessage="1" sqref="S7:U17" xr:uid="{BE63EAC9-3053-7A47-96A2-318A21B2BDAD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R7 R8:R17" calculatedColumn="1"/>
    <ignoredError sqref="S7:S17 T7:T17" unlockedFormula="1"/>
    <ignoredError sqref="U7:U17" unlockedFormula="1" listDataValidation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1A071BC7-8607-6942-9AD4-A9BEC57605DA}">
          <x14:formula1>
            <xm:f>'UMC Table 4-A'!$A$2:$A$131</xm:f>
          </x14:formula1>
          <xm:sqref>M7:M17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85" zoomScaleNormal="85" zoomScaleSheetLayoutView="50" zoomScalePageLayoutView="80" workbookViewId="0">
      <pane ySplit="6" topLeftCell="A7" activePane="bottomLeft" state="frozen"/>
      <selection pane="bottomLeft" activeCell="J27" sqref="J27:P28"/>
    </sheetView>
  </sheetViews>
  <sheetFormatPr defaultColWidth="8.85546875" defaultRowHeight="15"/>
  <cols>
    <col min="1" max="1" width="2.85546875" style="120" customWidth="1"/>
    <col min="2" max="2" width="12.7109375" style="120" customWidth="1"/>
    <col min="3" max="3" width="9.85546875" style="121" bestFit="1" customWidth="1"/>
    <col min="4" max="4" width="14" style="122" bestFit="1" customWidth="1"/>
    <col min="5" max="5" width="16" style="121" bestFit="1" customWidth="1"/>
    <col min="6" max="6" width="9.85546875" style="121" bestFit="1" customWidth="1"/>
    <col min="7" max="7" width="12.7109375" style="120" customWidth="1"/>
    <col min="8" max="8" width="11.42578125" style="123" customWidth="1"/>
    <col min="9" max="10" width="7.7109375" style="120" customWidth="1"/>
    <col min="11" max="11" width="11.85546875" style="123" customWidth="1"/>
    <col min="12" max="12" width="12.7109375" style="120" customWidth="1"/>
    <col min="13" max="13" width="39" style="120" bestFit="1" customWidth="1"/>
    <col min="14" max="14" width="64.28515625" style="123" customWidth="1"/>
    <col min="15" max="15" width="25.42578125" style="123" hidden="1" customWidth="1"/>
    <col min="16" max="16" width="12.85546875" style="120" customWidth="1"/>
    <col min="17" max="17" width="13" style="120" hidden="1" customWidth="1"/>
    <col min="18" max="18" width="18" style="120" customWidth="1"/>
    <col min="19" max="19" width="22.85546875" style="123" customWidth="1"/>
    <col min="20" max="20" width="16.42578125" style="123" customWidth="1"/>
    <col min="21" max="21" width="10.140625" style="121" customWidth="1"/>
    <col min="22" max="22" width="16.7109375" style="123" bestFit="1" customWidth="1"/>
    <col min="23" max="23" width="18" style="124" customWidth="1"/>
    <col min="24" max="24" width="19.140625" style="120" bestFit="1" customWidth="1"/>
    <col min="25" max="25" width="15.85546875" style="121" bestFit="1" customWidth="1"/>
    <col min="26" max="26" width="15.85546875" style="121" customWidth="1"/>
    <col min="27" max="27" width="9.42578125" style="121" customWidth="1"/>
    <col min="28" max="28" width="22.42578125" style="121" bestFit="1" customWidth="1"/>
    <col min="29" max="29" width="13.28515625" style="121" bestFit="1" customWidth="1"/>
    <col min="30" max="30" width="18.42578125" style="125" bestFit="1" customWidth="1"/>
    <col min="31" max="31" width="22" style="125" bestFit="1" customWidth="1"/>
    <col min="32" max="32" width="7.28515625" style="125" customWidth="1"/>
    <col min="33" max="33" width="18" style="126" customWidth="1"/>
    <col min="34" max="34" width="9.85546875" style="126" customWidth="1"/>
    <col min="35" max="35" width="14.140625" style="126" bestFit="1" customWidth="1"/>
    <col min="36" max="36" width="8.42578125" style="120" hidden="1" customWidth="1"/>
    <col min="37" max="37" width="9.28515625" style="120" customWidth="1"/>
    <col min="38" max="38" width="12.28515625" style="120" bestFit="1" customWidth="1"/>
    <col min="39" max="39" width="11.42578125" style="120" bestFit="1" customWidth="1"/>
    <col min="40" max="40" width="5.85546875" style="120" hidden="1" customWidth="1"/>
    <col min="41" max="41" width="8.85546875" style="120" customWidth="1"/>
    <col min="42" max="42" width="8.28515625" style="120" bestFit="1" customWidth="1"/>
    <col min="43" max="43" width="9.7109375" style="120" bestFit="1" customWidth="1"/>
    <col min="44" max="44" width="10.42578125" style="120" bestFit="1" customWidth="1"/>
    <col min="45" max="45" width="12.42578125" style="120" customWidth="1"/>
    <col min="46" max="46" width="12.85546875" style="120" bestFit="1" customWidth="1"/>
    <col min="47" max="48" width="8.85546875" style="120"/>
    <col min="49" max="51" width="9.28515625" style="120" bestFit="1" customWidth="1"/>
    <col min="52" max="16384" width="8.85546875" style="120"/>
  </cols>
  <sheetData>
    <row r="1" spans="1:54">
      <c r="AW1" s="120" t="s">
        <v>243</v>
      </c>
      <c r="AX1" s="120" t="s">
        <v>244</v>
      </c>
      <c r="AY1" s="120" t="s">
        <v>245</v>
      </c>
      <c r="BA1" s="120" t="s">
        <v>35</v>
      </c>
      <c r="BB1" s="120" t="s">
        <v>246</v>
      </c>
    </row>
    <row r="2" spans="1:54" ht="18" thickBot="1">
      <c r="AW2" s="15">
        <f>ROUNDUP(S18*INPUT_OUTPUTS!$C$18,-2)</f>
        <v>5100</v>
      </c>
      <c r="AX2" s="15">
        <f>ROUNDUP(T18*INPUT_OUTPUTS!$C$18,-2)</f>
        <v>4600</v>
      </c>
      <c r="AY2" s="14">
        <f>ROUNDUP((P18*INPUT_OUTPUTS!C18)+Z4,-2)</f>
        <v>1600</v>
      </c>
      <c r="BA2" s="127">
        <f>AHU1_CAV_SCHEDULE44[[#Totals],[GPM]]</f>
        <v>19</v>
      </c>
      <c r="BB2" s="128">
        <f>AHU1_CAV_SCHEDULE44[[#Totals],[MIN MBH]]</f>
        <v>0</v>
      </c>
    </row>
    <row r="3" spans="1:54" ht="15.75" customHeight="1">
      <c r="C3" s="120"/>
      <c r="H3" s="120"/>
      <c r="K3" s="120"/>
      <c r="N3" s="120"/>
      <c r="O3" s="120"/>
      <c r="S3" s="120"/>
      <c r="T3" s="120"/>
      <c r="U3" s="120"/>
      <c r="V3" s="120"/>
      <c r="W3" s="129"/>
      <c r="Y3" s="120"/>
      <c r="Z3" s="120"/>
      <c r="AA3" s="120"/>
    </row>
    <row r="4" spans="1:54" ht="15.75">
      <c r="B4" s="123"/>
      <c r="C4" s="123"/>
      <c r="D4" s="123"/>
      <c r="E4" s="123"/>
      <c r="F4" s="123"/>
      <c r="G4" s="123"/>
      <c r="I4" s="123"/>
      <c r="J4" s="123"/>
      <c r="L4" s="123"/>
      <c r="M4" s="123"/>
      <c r="P4" s="123"/>
      <c r="Q4" s="123"/>
      <c r="R4" s="123"/>
      <c r="U4" s="123"/>
      <c r="W4" s="123"/>
      <c r="X4" s="20" t="s">
        <v>286</v>
      </c>
      <c r="Y4" s="158">
        <f>(AY2/AX2)*100</f>
        <v>34.782608695652172</v>
      </c>
      <c r="Z4" s="20">
        <v>0</v>
      </c>
      <c r="AA4" s="120"/>
    </row>
    <row r="5" spans="1:54">
      <c r="B5" s="130"/>
      <c r="C5" s="130"/>
      <c r="D5" s="357" t="s">
        <v>67</v>
      </c>
      <c r="E5" s="358"/>
      <c r="F5" s="358"/>
      <c r="G5" s="359"/>
      <c r="H5" s="364" t="s">
        <v>68</v>
      </c>
      <c r="I5" s="364"/>
      <c r="J5" s="364"/>
      <c r="K5" s="364"/>
      <c r="L5" s="364"/>
      <c r="M5" s="364"/>
      <c r="N5" s="364"/>
      <c r="O5" s="364"/>
      <c r="P5" s="364"/>
      <c r="Q5" s="364"/>
      <c r="R5" s="364"/>
      <c r="S5" s="357" t="s">
        <v>66</v>
      </c>
      <c r="T5" s="358"/>
      <c r="U5" s="358"/>
      <c r="V5" s="359"/>
      <c r="W5" s="130"/>
      <c r="X5" s="360" t="s">
        <v>65</v>
      </c>
      <c r="Y5" s="361"/>
      <c r="Z5" s="362"/>
      <c r="AC5" s="363" t="s">
        <v>90</v>
      </c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</row>
    <row r="6" spans="1:54" s="134" customFormat="1" ht="53.1" customHeight="1" thickBot="1">
      <c r="A6" s="131"/>
      <c r="B6" s="112" t="s">
        <v>97</v>
      </c>
      <c r="C6" s="66" t="s">
        <v>6</v>
      </c>
      <c r="D6" s="67" t="s">
        <v>32</v>
      </c>
      <c r="E6" s="68" t="s">
        <v>91</v>
      </c>
      <c r="F6" s="69" t="s">
        <v>0</v>
      </c>
      <c r="G6" s="70" t="s">
        <v>98</v>
      </c>
      <c r="H6" s="71" t="s">
        <v>33</v>
      </c>
      <c r="I6" s="72" t="s">
        <v>293</v>
      </c>
      <c r="J6" s="70" t="s">
        <v>294</v>
      </c>
      <c r="K6" s="70" t="s">
        <v>100</v>
      </c>
      <c r="L6" s="70" t="s">
        <v>7</v>
      </c>
      <c r="M6" s="73" t="s">
        <v>101</v>
      </c>
      <c r="N6" s="68" t="s">
        <v>102</v>
      </c>
      <c r="O6" s="68" t="s">
        <v>103</v>
      </c>
      <c r="P6" s="68" t="s">
        <v>12</v>
      </c>
      <c r="Q6" s="69" t="s">
        <v>104</v>
      </c>
      <c r="R6" s="73" t="s">
        <v>64</v>
      </c>
      <c r="S6" s="73" t="s">
        <v>105</v>
      </c>
      <c r="T6" s="68" t="s">
        <v>8</v>
      </c>
      <c r="U6" s="69" t="s">
        <v>9</v>
      </c>
      <c r="V6" s="70" t="s">
        <v>10</v>
      </c>
      <c r="W6" s="70" t="s">
        <v>11</v>
      </c>
      <c r="X6" s="73" t="s">
        <v>28</v>
      </c>
      <c r="Y6" s="73" t="s">
        <v>60</v>
      </c>
      <c r="Z6" s="69" t="s">
        <v>29</v>
      </c>
      <c r="AA6" s="132"/>
      <c r="AB6" s="132"/>
      <c r="AC6" s="133" t="s">
        <v>97</v>
      </c>
      <c r="AD6" s="133" t="s">
        <v>85</v>
      </c>
      <c r="AE6" s="133" t="s">
        <v>86</v>
      </c>
      <c r="AF6" s="133" t="s">
        <v>38</v>
      </c>
      <c r="AG6" s="133" t="s">
        <v>93</v>
      </c>
      <c r="AH6" s="133" t="s">
        <v>84</v>
      </c>
      <c r="AI6" s="133" t="s">
        <v>36</v>
      </c>
      <c r="AJ6" s="133" t="s">
        <v>76</v>
      </c>
      <c r="AK6" s="133" t="s">
        <v>37</v>
      </c>
      <c r="AL6" s="133" t="s">
        <v>75</v>
      </c>
      <c r="AM6" s="133" t="s">
        <v>74</v>
      </c>
      <c r="AN6" s="133" t="s">
        <v>169</v>
      </c>
      <c r="AO6" s="133" t="s">
        <v>35</v>
      </c>
      <c r="AP6" s="133" t="s">
        <v>81</v>
      </c>
      <c r="AQ6" s="133" t="s">
        <v>82</v>
      </c>
      <c r="AR6" s="133" t="s">
        <v>83</v>
      </c>
      <c r="AS6" s="133" t="s">
        <v>69</v>
      </c>
    </row>
    <row r="7" spans="1:54" ht="15" customHeight="1">
      <c r="B7" s="155" t="s">
        <v>164</v>
      </c>
      <c r="C7" s="155" t="s">
        <v>164</v>
      </c>
      <c r="D7" s="155">
        <v>1234</v>
      </c>
      <c r="E7" s="155">
        <v>100</v>
      </c>
      <c r="F7" s="155">
        <v>10</v>
      </c>
      <c r="G7" s="18">
        <f>VLOOKUP($M7,'UMC Table 4-A'!$A$2:$E$131,4,FALSE)</f>
        <v>4</v>
      </c>
      <c r="H7" s="18" t="str">
        <f>VLOOKUP($M7,'UMC Table 4-A'!$A$2:$E$131,5,FALSE)</f>
        <v>NR</v>
      </c>
      <c r="I7" s="18" t="str">
        <f t="shared" ref="I7:I17" si="0">IF(H7="Yes",K7,"-")</f>
        <v>-</v>
      </c>
      <c r="J7" s="18">
        <v>0</v>
      </c>
      <c r="K7" s="18">
        <f t="shared" ref="K7:K17" si="1">IF(G7&lt;&gt;"NR",ROUNDUP((E7*F7*G7)/60,-1),0)</f>
        <v>70</v>
      </c>
      <c r="L7" s="18">
        <f>E7</f>
        <v>100</v>
      </c>
      <c r="M7" s="155" t="s">
        <v>77</v>
      </c>
      <c r="N7" s="22" t="str">
        <f>VLOOKUP($M7,'UMC Table 4-A'!$A$2:$E$131,2,FALSE)</f>
        <v>NR</v>
      </c>
      <c r="O7" s="24">
        <f>VLOOKUP($M7,'UMC Table 4-A'!$A$2:$E$131,3,FALSE)</f>
        <v>2</v>
      </c>
      <c r="P7" s="25">
        <f t="shared" ref="P7:P17" si="2">IF(O7&lt;&gt;"NR",ROUNDUP((E7*F7*O7)/60,-1),0)</f>
        <v>40</v>
      </c>
      <c r="Q7" s="24" t="str">
        <f>VLOOKUP($M7,'UMC Table 4-A'!$A$2:$E$131,5,FALSE)</f>
        <v>NR</v>
      </c>
      <c r="R7" s="23">
        <f t="shared" ref="R7:R17" si="3">IF(N7="Negative",IF(OR(M7="Toilet room",M7="Janitor's closet, housekeeping"),0,IF(0.1*U7&gt;50,220-0.1*U7,U7-50)),IF(Q7="Yes",0,CEILING(MAX(J7:L7),5)))</f>
        <v>100</v>
      </c>
      <c r="S7" s="156">
        <f t="shared" ref="S7:S17" si="4">R7</f>
        <v>100</v>
      </c>
      <c r="T7" s="157">
        <f t="shared" ref="T7:T17" si="5">IF(Q7="Yes",0,IF(N7="Positive",IF(0.1*R7&gt;50,R7-0.1*R7,R7-50),IF(N7="Negative",IF(0.1*R7&gt;50,R7+0.1*R7,R7+50),R7)))</f>
        <v>100</v>
      </c>
      <c r="U7" s="156">
        <f t="shared" ref="U7:U17" si="6">IF(Q7="Yes",I7,0)</f>
        <v>0</v>
      </c>
      <c r="V7" s="113">
        <f t="shared" ref="V7:V17" si="7">S7-T7-U7</f>
        <v>0</v>
      </c>
      <c r="W7" s="24" t="str">
        <f t="shared" ref="W7:W17" si="8">IF(R7-T7-U7+V7=0,"Yes","No")</f>
        <v>Yes</v>
      </c>
      <c r="X7" s="114">
        <f>IFERROR(R7/E7,"-")</f>
        <v>1</v>
      </c>
      <c r="Y7" s="115">
        <f t="shared" ref="Y7" si="9">(P7/S7)*100</f>
        <v>40</v>
      </c>
      <c r="Z7" s="116">
        <f t="shared" ref="Z7" si="10">R7/E7/F7*60</f>
        <v>6</v>
      </c>
      <c r="AC7" s="56" t="s">
        <v>110</v>
      </c>
      <c r="AD7" s="56" t="s">
        <v>88</v>
      </c>
      <c r="AE7" s="56" t="s">
        <v>94</v>
      </c>
      <c r="AF7" s="57">
        <f t="shared" ref="AF7:AF44" si="11">SUMIF($B$7:$B$17,AC7,$S$7:$S$17)</f>
        <v>0</v>
      </c>
      <c r="AG7" s="57" t="str">
        <f>IFERROR((VLOOKUP(AF7,'DO NOT TOUCH'!$P$9:$Q$14,2,TRUE)),"TBD")</f>
        <v>TBD</v>
      </c>
      <c r="AH7" s="57">
        <v>0.5</v>
      </c>
      <c r="AI7" s="57">
        <f>INPUT_OUTPUTS!$C$16</f>
        <v>140</v>
      </c>
      <c r="AJ7" s="57">
        <f>INPUT_OUTPUTS!$C$17</f>
        <v>100</v>
      </c>
      <c r="AK7" s="57">
        <v>55</v>
      </c>
      <c r="AL7" s="57">
        <v>85</v>
      </c>
      <c r="AM7" s="57">
        <f t="shared" ref="AM7:AM44" si="12">MROUND((1.08*(AL7-AK7)*AF7)/1000,0.1)</f>
        <v>0</v>
      </c>
      <c r="AN7" s="58">
        <f>(AM7*1000)/(500*(AI7-AJ7))</f>
        <v>0</v>
      </c>
      <c r="AO7" s="58">
        <f>IF(AN7&lt;0.5,0.5,AN7)</f>
        <v>0.5</v>
      </c>
      <c r="AP7" s="58">
        <v>5</v>
      </c>
      <c r="AQ7" s="58" t="str">
        <f>IFERROR((_xlfn.XLOOKUP(AG7,'DO NOT TOUCH'!$Q$9:$Q$14,'DO NOT TOUCH'!$R$9:$R$14,)),"TBD")</f>
        <v>TBD</v>
      </c>
      <c r="AR7" s="58" t="str">
        <f>INPUT_OUTPUTS!$C$19</f>
        <v>C1/M-501</v>
      </c>
      <c r="AS7" s="57" t="s">
        <v>89</v>
      </c>
    </row>
    <row r="8" spans="1:54" ht="15" customHeight="1">
      <c r="B8" s="155" t="s">
        <v>164</v>
      </c>
      <c r="C8" s="155" t="s">
        <v>164</v>
      </c>
      <c r="D8" s="155">
        <v>1234</v>
      </c>
      <c r="E8" s="155">
        <v>200</v>
      </c>
      <c r="F8" s="155">
        <v>9.5</v>
      </c>
      <c r="G8" s="18">
        <f>VLOOKUP($M8,'UMC Table 4-A'!$A$2:$E$131,4,FALSE)</f>
        <v>4</v>
      </c>
      <c r="H8" s="18" t="str">
        <f>VLOOKUP($M8,'UMC Table 4-A'!$A$2:$E$131,5,FALSE)</f>
        <v>NR</v>
      </c>
      <c r="I8" s="18" t="str">
        <f t="shared" si="0"/>
        <v>-</v>
      </c>
      <c r="J8" s="18">
        <v>0</v>
      </c>
      <c r="K8" s="18">
        <f t="shared" si="1"/>
        <v>130</v>
      </c>
      <c r="L8" s="18">
        <f t="shared" ref="L8:L17" si="13">E8</f>
        <v>200</v>
      </c>
      <c r="M8" s="155" t="s">
        <v>77</v>
      </c>
      <c r="N8" s="20" t="str">
        <f>VLOOKUP($M8,'UMC Table 4-A'!$A$2:$E$131,2,FALSE)</f>
        <v>NR</v>
      </c>
      <c r="O8" s="18">
        <f>VLOOKUP($M8,'UMC Table 4-A'!$A$2:$E$131,3,FALSE)</f>
        <v>2</v>
      </c>
      <c r="P8" s="26">
        <f t="shared" si="2"/>
        <v>70</v>
      </c>
      <c r="Q8" s="18" t="str">
        <f>VLOOKUP($M8,'UMC Table 4-A'!$A$2:$E$131,5,FALSE)</f>
        <v>NR</v>
      </c>
      <c r="R8" s="19">
        <f t="shared" si="3"/>
        <v>200</v>
      </c>
      <c r="S8" s="156">
        <f t="shared" si="4"/>
        <v>200</v>
      </c>
      <c r="T8" s="156">
        <f t="shared" si="5"/>
        <v>200</v>
      </c>
      <c r="U8" s="156">
        <f t="shared" si="6"/>
        <v>0</v>
      </c>
      <c r="V8" s="117">
        <f t="shared" si="7"/>
        <v>0</v>
      </c>
      <c r="W8" s="18" t="str">
        <f t="shared" si="8"/>
        <v>Yes</v>
      </c>
      <c r="X8" s="116">
        <f>IFERROR(R8/E8,"-")</f>
        <v>1</v>
      </c>
      <c r="Y8" s="115">
        <f>IFERROR(((P8/S8)*100),"-")</f>
        <v>35</v>
      </c>
      <c r="Z8" s="116">
        <f>IFERROR((R8/E8/F8*60),"-")</f>
        <v>6.3157894736842106</v>
      </c>
      <c r="AC8" s="56" t="s">
        <v>111</v>
      </c>
      <c r="AD8" s="56" t="s">
        <v>88</v>
      </c>
      <c r="AE8" s="56" t="s">
        <v>94</v>
      </c>
      <c r="AF8" s="57">
        <f t="shared" si="11"/>
        <v>0</v>
      </c>
      <c r="AG8" s="57" t="str">
        <f>IFERROR((VLOOKUP(AF8,'DO NOT TOUCH'!$P$9:$Q$14,2,TRUE)),"TBD")</f>
        <v>TBD</v>
      </c>
      <c r="AH8" s="57">
        <f>AH7</f>
        <v>0.5</v>
      </c>
      <c r="AI8" s="57">
        <f>INPUT_OUTPUTS!$C$16</f>
        <v>140</v>
      </c>
      <c r="AJ8" s="57">
        <f>INPUT_OUTPUTS!$C$17</f>
        <v>100</v>
      </c>
      <c r="AK8" s="57">
        <f t="shared" ref="AK8:AL23" si="14">AK7</f>
        <v>55</v>
      </c>
      <c r="AL8" s="57">
        <f t="shared" si="14"/>
        <v>85</v>
      </c>
      <c r="AM8" s="57">
        <f t="shared" si="12"/>
        <v>0</v>
      </c>
      <c r="AN8" s="58">
        <f>(AM8*1000)/(500*(AI8-AJ8))</f>
        <v>0</v>
      </c>
      <c r="AO8" s="58">
        <f t="shared" ref="AO8:AO44" si="15">IF(AN8&lt;0.5,0.5,AN8)</f>
        <v>0.5</v>
      </c>
      <c r="AP8" s="58">
        <f>AP7</f>
        <v>5</v>
      </c>
      <c r="AQ8" s="58" t="str">
        <f>IFERROR((_xlfn.XLOOKUP(AG8,'DO NOT TOUCH'!$Q$9:$Q$14,'DO NOT TOUCH'!$R$9:$R$14,)),"TBD")</f>
        <v>TBD</v>
      </c>
      <c r="AR8" s="58" t="str">
        <f>INPUT_OUTPUTS!$C$19</f>
        <v>C1/M-501</v>
      </c>
      <c r="AS8" s="57" t="str">
        <f>AS7</f>
        <v>1, 2</v>
      </c>
    </row>
    <row r="9" spans="1:54" ht="15" customHeight="1">
      <c r="B9" s="155" t="s">
        <v>170</v>
      </c>
      <c r="C9" s="155" t="s">
        <v>164</v>
      </c>
      <c r="D9" s="155">
        <v>1234</v>
      </c>
      <c r="E9" s="155">
        <v>300</v>
      </c>
      <c r="F9" s="155">
        <v>10</v>
      </c>
      <c r="G9" s="18">
        <f>VLOOKUP($M9,'UMC Table 4-A'!$A$2:$E$131,4,FALSE)</f>
        <v>10</v>
      </c>
      <c r="H9" s="18" t="str">
        <f>VLOOKUP($M9,'UMC Table 4-A'!$A$2:$E$131,5,FALSE)</f>
        <v>Yes</v>
      </c>
      <c r="I9" s="18">
        <f t="shared" si="0"/>
        <v>500</v>
      </c>
      <c r="J9" s="18">
        <v>0</v>
      </c>
      <c r="K9" s="18">
        <f t="shared" si="1"/>
        <v>500</v>
      </c>
      <c r="L9" s="18">
        <f t="shared" si="13"/>
        <v>300</v>
      </c>
      <c r="M9" s="155" t="s">
        <v>316</v>
      </c>
      <c r="N9" s="20" t="str">
        <f>VLOOKUP($M9,'UMC Table 4-A'!$A$2:$E$131,2,FALSE)</f>
        <v>Negative</v>
      </c>
      <c r="O9" s="18" t="str">
        <f>VLOOKUP($M9,'UMC Table 4-A'!$A$2:$E$131,3,FALSE)</f>
        <v>NR</v>
      </c>
      <c r="P9" s="26">
        <f t="shared" si="2"/>
        <v>0</v>
      </c>
      <c r="Q9" s="18" t="str">
        <f>VLOOKUP($M9,'UMC Table 4-A'!$A$2:$E$131,5,FALSE)</f>
        <v>Yes</v>
      </c>
      <c r="R9" s="19">
        <f t="shared" si="3"/>
        <v>450</v>
      </c>
      <c r="S9" s="156">
        <f t="shared" si="4"/>
        <v>450</v>
      </c>
      <c r="T9" s="156">
        <f t="shared" si="5"/>
        <v>0</v>
      </c>
      <c r="U9" s="156">
        <f t="shared" si="6"/>
        <v>500</v>
      </c>
      <c r="V9" s="117">
        <f t="shared" si="7"/>
        <v>-50</v>
      </c>
      <c r="W9" s="18" t="str">
        <f t="shared" si="8"/>
        <v>No</v>
      </c>
      <c r="X9" s="116">
        <f t="shared" ref="X9:X17" si="16">IFERROR(R9/E9,"-")</f>
        <v>1.5</v>
      </c>
      <c r="Y9" s="115">
        <f t="shared" ref="Y9:Y17" si="17">IFERROR(((P9/S9)*100),"-")</f>
        <v>0</v>
      </c>
      <c r="Z9" s="116">
        <f t="shared" ref="Z9:Z17" si="18">IFERROR((R9/E9/F9*60),"-")</f>
        <v>9</v>
      </c>
      <c r="AC9" s="56" t="s">
        <v>112</v>
      </c>
      <c r="AD9" s="56" t="s">
        <v>88</v>
      </c>
      <c r="AE9" s="56" t="s">
        <v>94</v>
      </c>
      <c r="AF9" s="57">
        <f t="shared" si="11"/>
        <v>0</v>
      </c>
      <c r="AG9" s="57" t="str">
        <f>IFERROR((VLOOKUP(AF9,'DO NOT TOUCH'!$P$9:$Q$14,2,TRUE)),"TBD")</f>
        <v>TBD</v>
      </c>
      <c r="AH9" s="57">
        <f t="shared" ref="AH9:AH44" si="19">AH8</f>
        <v>0.5</v>
      </c>
      <c r="AI9" s="57">
        <f>INPUT_OUTPUTS!$C$16</f>
        <v>140</v>
      </c>
      <c r="AJ9" s="57">
        <f>INPUT_OUTPUTS!$C$17</f>
        <v>100</v>
      </c>
      <c r="AK9" s="57">
        <f t="shared" si="14"/>
        <v>55</v>
      </c>
      <c r="AL9" s="57">
        <f t="shared" si="14"/>
        <v>85</v>
      </c>
      <c r="AM9" s="57">
        <f t="shared" si="12"/>
        <v>0</v>
      </c>
      <c r="AN9" s="58">
        <f t="shared" ref="AN9:AN44" si="20">(AM9*1000)/(500*(AI9-AJ9))</f>
        <v>0</v>
      </c>
      <c r="AO9" s="58">
        <f t="shared" si="15"/>
        <v>0.5</v>
      </c>
      <c r="AP9" s="58">
        <f t="shared" ref="AP9:AP44" si="21">AP8</f>
        <v>5</v>
      </c>
      <c r="AQ9" s="58" t="str">
        <f>IFERROR((_xlfn.XLOOKUP(AG9,'DO NOT TOUCH'!$Q$9:$Q$14,'DO NOT TOUCH'!$R$9:$R$14,)),"TBD")</f>
        <v>TBD</v>
      </c>
      <c r="AR9" s="58" t="str">
        <f>INPUT_OUTPUTS!$C$19</f>
        <v>C1/M-501</v>
      </c>
      <c r="AS9" s="57" t="str">
        <f t="shared" ref="AS9:AS44" si="22">AS8</f>
        <v>1, 2</v>
      </c>
    </row>
    <row r="10" spans="1:54" ht="15" customHeight="1">
      <c r="B10" s="155" t="s">
        <v>171</v>
      </c>
      <c r="C10" s="155" t="s">
        <v>164</v>
      </c>
      <c r="D10" s="155">
        <v>1234</v>
      </c>
      <c r="E10" s="155">
        <v>20</v>
      </c>
      <c r="F10" s="155">
        <v>10</v>
      </c>
      <c r="G10" s="18">
        <f>VLOOKUP($M10,'UMC Table 4-A'!$A$2:$E$131,4,FALSE)</f>
        <v>6</v>
      </c>
      <c r="H10" s="18" t="str">
        <f>VLOOKUP($M10,'UMC Table 4-A'!$A$2:$E$131,5,FALSE)</f>
        <v>NR</v>
      </c>
      <c r="I10" s="18" t="str">
        <f t="shared" si="0"/>
        <v>-</v>
      </c>
      <c r="J10" s="18">
        <v>0</v>
      </c>
      <c r="K10" s="18">
        <f t="shared" si="1"/>
        <v>20</v>
      </c>
      <c r="L10" s="18">
        <f t="shared" si="13"/>
        <v>20</v>
      </c>
      <c r="M10" s="155" t="s">
        <v>319</v>
      </c>
      <c r="N10" s="20" t="str">
        <f>VLOOKUP($M10,'UMC Table 4-A'!$A$2:$E$131,2,FALSE)</f>
        <v>NR</v>
      </c>
      <c r="O10" s="18">
        <f>VLOOKUP($M10,'UMC Table 4-A'!$A$2:$E$131,3,FALSE)</f>
        <v>2</v>
      </c>
      <c r="P10" s="26">
        <f t="shared" si="2"/>
        <v>10</v>
      </c>
      <c r="Q10" s="18" t="str">
        <f>VLOOKUP($M10,'UMC Table 4-A'!$A$2:$E$131,5,FALSE)</f>
        <v>NR</v>
      </c>
      <c r="R10" s="19">
        <f t="shared" si="3"/>
        <v>20</v>
      </c>
      <c r="S10" s="156">
        <f t="shared" si="4"/>
        <v>20</v>
      </c>
      <c r="T10" s="156">
        <f t="shared" si="5"/>
        <v>20</v>
      </c>
      <c r="U10" s="156">
        <f t="shared" si="6"/>
        <v>0</v>
      </c>
      <c r="V10" s="117">
        <f t="shared" si="7"/>
        <v>0</v>
      </c>
      <c r="W10" s="18" t="str">
        <f t="shared" si="8"/>
        <v>Yes</v>
      </c>
      <c r="X10" s="116">
        <f t="shared" si="16"/>
        <v>1</v>
      </c>
      <c r="Y10" s="115">
        <f t="shared" si="17"/>
        <v>50</v>
      </c>
      <c r="Z10" s="116">
        <f t="shared" si="18"/>
        <v>6</v>
      </c>
      <c r="AC10" s="56" t="s">
        <v>113</v>
      </c>
      <c r="AD10" s="56" t="s">
        <v>88</v>
      </c>
      <c r="AE10" s="56" t="s">
        <v>94</v>
      </c>
      <c r="AF10" s="57">
        <f t="shared" si="11"/>
        <v>0</v>
      </c>
      <c r="AG10" s="57" t="str">
        <f>IFERROR((VLOOKUP(AF10,'DO NOT TOUCH'!$P$9:$Q$14,2,TRUE)),"TBD")</f>
        <v>TBD</v>
      </c>
      <c r="AH10" s="57">
        <f t="shared" si="19"/>
        <v>0.5</v>
      </c>
      <c r="AI10" s="57">
        <f>INPUT_OUTPUTS!$C$16</f>
        <v>140</v>
      </c>
      <c r="AJ10" s="57">
        <f>INPUT_OUTPUTS!$C$17</f>
        <v>100</v>
      </c>
      <c r="AK10" s="57">
        <f t="shared" si="14"/>
        <v>55</v>
      </c>
      <c r="AL10" s="57">
        <f t="shared" si="14"/>
        <v>85</v>
      </c>
      <c r="AM10" s="57">
        <f t="shared" si="12"/>
        <v>0</v>
      </c>
      <c r="AN10" s="58">
        <f t="shared" si="20"/>
        <v>0</v>
      </c>
      <c r="AO10" s="58">
        <f t="shared" si="15"/>
        <v>0.5</v>
      </c>
      <c r="AP10" s="58">
        <f t="shared" si="21"/>
        <v>5</v>
      </c>
      <c r="AQ10" s="58" t="str">
        <f>IFERROR((_xlfn.XLOOKUP(AG10,'DO NOT TOUCH'!$Q$9:$Q$14,'DO NOT TOUCH'!$R$9:$R$14,)),"TBD")</f>
        <v>TBD</v>
      </c>
      <c r="AR10" s="58" t="str">
        <f>INPUT_OUTPUTS!$C$19</f>
        <v>C1/M-501</v>
      </c>
      <c r="AS10" s="57" t="str">
        <f t="shared" si="22"/>
        <v>1, 2</v>
      </c>
    </row>
    <row r="11" spans="1:54" ht="15" customHeight="1">
      <c r="B11" s="155" t="s">
        <v>172</v>
      </c>
      <c r="C11" s="155" t="s">
        <v>164</v>
      </c>
      <c r="D11" s="155">
        <v>1234</v>
      </c>
      <c r="E11" s="155">
        <v>36</v>
      </c>
      <c r="F11" s="155">
        <v>10</v>
      </c>
      <c r="G11" s="18">
        <f>VLOOKUP($M11,'UMC Table 4-A'!$A$2:$E$131,4,FALSE)</f>
        <v>4</v>
      </c>
      <c r="H11" s="18" t="str">
        <f>VLOOKUP($M11,'UMC Table 4-A'!$A$2:$E$131,5,FALSE)</f>
        <v>NR</v>
      </c>
      <c r="I11" s="18" t="str">
        <f t="shared" si="0"/>
        <v>-</v>
      </c>
      <c r="J11" s="18">
        <v>0</v>
      </c>
      <c r="K11" s="18">
        <f t="shared" si="1"/>
        <v>30</v>
      </c>
      <c r="L11" s="18">
        <f t="shared" si="13"/>
        <v>36</v>
      </c>
      <c r="M11" s="155" t="s">
        <v>77</v>
      </c>
      <c r="N11" s="20" t="str">
        <f>VLOOKUP($M11,'UMC Table 4-A'!$A$2:$E$131,2,FALSE)</f>
        <v>NR</v>
      </c>
      <c r="O11" s="18">
        <f>VLOOKUP($M11,'UMC Table 4-A'!$A$2:$E$131,3,FALSE)</f>
        <v>2</v>
      </c>
      <c r="P11" s="26">
        <f t="shared" si="2"/>
        <v>20</v>
      </c>
      <c r="Q11" s="18" t="str">
        <f>VLOOKUP($M11,'UMC Table 4-A'!$A$2:$E$131,5,FALSE)</f>
        <v>NR</v>
      </c>
      <c r="R11" s="19">
        <f t="shared" si="3"/>
        <v>40</v>
      </c>
      <c r="S11" s="156">
        <f t="shared" si="4"/>
        <v>40</v>
      </c>
      <c r="T11" s="156">
        <f t="shared" si="5"/>
        <v>40</v>
      </c>
      <c r="U11" s="156">
        <f t="shared" si="6"/>
        <v>0</v>
      </c>
      <c r="V11" s="117">
        <f t="shared" si="7"/>
        <v>0</v>
      </c>
      <c r="W11" s="18" t="str">
        <f t="shared" si="8"/>
        <v>Yes</v>
      </c>
      <c r="X11" s="116">
        <f t="shared" si="16"/>
        <v>1.1111111111111112</v>
      </c>
      <c r="Y11" s="115">
        <f t="shared" si="17"/>
        <v>50</v>
      </c>
      <c r="Z11" s="116">
        <f t="shared" si="18"/>
        <v>6.666666666666667</v>
      </c>
      <c r="AC11" s="56" t="s">
        <v>114</v>
      </c>
      <c r="AD11" s="56" t="s">
        <v>88</v>
      </c>
      <c r="AE11" s="56" t="s">
        <v>94</v>
      </c>
      <c r="AF11" s="57">
        <f t="shared" si="11"/>
        <v>0</v>
      </c>
      <c r="AG11" s="57" t="str">
        <f>IFERROR((VLOOKUP(AF11,'DO NOT TOUCH'!$P$9:$Q$14,2,TRUE)),"TBD")</f>
        <v>TBD</v>
      </c>
      <c r="AH11" s="57">
        <f t="shared" si="19"/>
        <v>0.5</v>
      </c>
      <c r="AI11" s="57">
        <f>INPUT_OUTPUTS!$C$16</f>
        <v>140</v>
      </c>
      <c r="AJ11" s="57">
        <f>INPUT_OUTPUTS!$C$17</f>
        <v>100</v>
      </c>
      <c r="AK11" s="57">
        <f t="shared" si="14"/>
        <v>55</v>
      </c>
      <c r="AL11" s="57">
        <f t="shared" si="14"/>
        <v>85</v>
      </c>
      <c r="AM11" s="57">
        <f t="shared" si="12"/>
        <v>0</v>
      </c>
      <c r="AN11" s="58">
        <f t="shared" si="20"/>
        <v>0</v>
      </c>
      <c r="AO11" s="58">
        <f t="shared" si="15"/>
        <v>0.5</v>
      </c>
      <c r="AP11" s="58">
        <f t="shared" si="21"/>
        <v>5</v>
      </c>
      <c r="AQ11" s="58" t="str">
        <f>IFERROR((_xlfn.XLOOKUP(AG11,'DO NOT TOUCH'!$Q$9:$Q$14,'DO NOT TOUCH'!$R$9:$R$14,)),"TBD")</f>
        <v>TBD</v>
      </c>
      <c r="AR11" s="58" t="str">
        <f>INPUT_OUTPUTS!$C$19</f>
        <v>C1/M-501</v>
      </c>
      <c r="AS11" s="57" t="str">
        <f t="shared" si="22"/>
        <v>1, 2</v>
      </c>
    </row>
    <row r="12" spans="1:54" ht="15" customHeight="1">
      <c r="B12" s="155" t="s">
        <v>172</v>
      </c>
      <c r="C12" s="155" t="s">
        <v>164</v>
      </c>
      <c r="D12" s="155">
        <v>1234</v>
      </c>
      <c r="E12" s="155">
        <v>212</v>
      </c>
      <c r="F12" s="155">
        <v>10</v>
      </c>
      <c r="G12" s="18">
        <f>VLOOKUP($M12,'UMC Table 4-A'!$A$2:$E$131,4,FALSE)</f>
        <v>4</v>
      </c>
      <c r="H12" s="18" t="str">
        <f>VLOOKUP($M12,'UMC Table 4-A'!$A$2:$E$131,5,FALSE)</f>
        <v>NR</v>
      </c>
      <c r="I12" s="18" t="str">
        <f t="shared" si="0"/>
        <v>-</v>
      </c>
      <c r="J12" s="18">
        <v>0</v>
      </c>
      <c r="K12" s="18">
        <f t="shared" si="1"/>
        <v>150</v>
      </c>
      <c r="L12" s="18">
        <f t="shared" si="13"/>
        <v>212</v>
      </c>
      <c r="M12" s="155" t="s">
        <v>77</v>
      </c>
      <c r="N12" s="20" t="str">
        <f>VLOOKUP($M12,'UMC Table 4-A'!$A$2:$E$131,2,FALSE)</f>
        <v>NR</v>
      </c>
      <c r="O12" s="18">
        <f>VLOOKUP($M12,'UMC Table 4-A'!$A$2:$E$131,3,FALSE)</f>
        <v>2</v>
      </c>
      <c r="P12" s="26">
        <f t="shared" si="2"/>
        <v>80</v>
      </c>
      <c r="Q12" s="18" t="str">
        <f>VLOOKUP($M12,'UMC Table 4-A'!$A$2:$E$131,5,FALSE)</f>
        <v>NR</v>
      </c>
      <c r="R12" s="19">
        <f t="shared" si="3"/>
        <v>215</v>
      </c>
      <c r="S12" s="156">
        <f t="shared" si="4"/>
        <v>215</v>
      </c>
      <c r="T12" s="156">
        <f t="shared" si="5"/>
        <v>215</v>
      </c>
      <c r="U12" s="156">
        <f t="shared" si="6"/>
        <v>0</v>
      </c>
      <c r="V12" s="117">
        <f t="shared" si="7"/>
        <v>0</v>
      </c>
      <c r="W12" s="18" t="str">
        <f t="shared" si="8"/>
        <v>Yes</v>
      </c>
      <c r="X12" s="116">
        <f t="shared" si="16"/>
        <v>1.0141509433962264</v>
      </c>
      <c r="Y12" s="115">
        <f t="shared" si="17"/>
        <v>37.209302325581397</v>
      </c>
      <c r="Z12" s="116">
        <f t="shared" si="18"/>
        <v>6.0849056603773581</v>
      </c>
      <c r="AC12" s="56" t="s">
        <v>115</v>
      </c>
      <c r="AD12" s="56" t="s">
        <v>88</v>
      </c>
      <c r="AE12" s="56" t="s">
        <v>94</v>
      </c>
      <c r="AF12" s="57">
        <f t="shared" si="11"/>
        <v>0</v>
      </c>
      <c r="AG12" s="57" t="str">
        <f>IFERROR((VLOOKUP(AF12,'DO NOT TOUCH'!$P$9:$Q$14,2,TRUE)),"TBD")</f>
        <v>TBD</v>
      </c>
      <c r="AH12" s="57">
        <f t="shared" si="19"/>
        <v>0.5</v>
      </c>
      <c r="AI12" s="57">
        <f>INPUT_OUTPUTS!$C$16</f>
        <v>140</v>
      </c>
      <c r="AJ12" s="57">
        <f>INPUT_OUTPUTS!$C$17</f>
        <v>100</v>
      </c>
      <c r="AK12" s="57">
        <f t="shared" si="14"/>
        <v>55</v>
      </c>
      <c r="AL12" s="57">
        <f t="shared" si="14"/>
        <v>85</v>
      </c>
      <c r="AM12" s="57">
        <f t="shared" si="12"/>
        <v>0</v>
      </c>
      <c r="AN12" s="58">
        <f t="shared" si="20"/>
        <v>0</v>
      </c>
      <c r="AO12" s="58">
        <f t="shared" si="15"/>
        <v>0.5</v>
      </c>
      <c r="AP12" s="58">
        <f t="shared" si="21"/>
        <v>5</v>
      </c>
      <c r="AQ12" s="58" t="str">
        <f>IFERROR((_xlfn.XLOOKUP(AG12,'DO NOT TOUCH'!$Q$9:$Q$14,'DO NOT TOUCH'!$R$9:$R$14,)),"TBD")</f>
        <v>TBD</v>
      </c>
      <c r="AR12" s="58" t="str">
        <f>INPUT_OUTPUTS!$C$19</f>
        <v>C1/M-501</v>
      </c>
      <c r="AS12" s="57" t="str">
        <f t="shared" si="22"/>
        <v>1, 2</v>
      </c>
    </row>
    <row r="13" spans="1:54" ht="15" customHeight="1">
      <c r="B13" s="155" t="s">
        <v>173</v>
      </c>
      <c r="C13" s="155" t="s">
        <v>164</v>
      </c>
      <c r="D13" s="155">
        <v>1234</v>
      </c>
      <c r="E13" s="155">
        <v>27</v>
      </c>
      <c r="F13" s="155">
        <v>10</v>
      </c>
      <c r="G13" s="18">
        <f>VLOOKUP($M13,'UMC Table 4-A'!$A$2:$E$131,4,FALSE)</f>
        <v>6</v>
      </c>
      <c r="H13" s="18" t="str">
        <f>VLOOKUP($M13,'UMC Table 4-A'!$A$2:$E$131,5,FALSE)</f>
        <v>NR</v>
      </c>
      <c r="I13" s="18" t="str">
        <f t="shared" si="0"/>
        <v>-</v>
      </c>
      <c r="J13" s="18">
        <v>0</v>
      </c>
      <c r="K13" s="18">
        <f t="shared" si="1"/>
        <v>30</v>
      </c>
      <c r="L13" s="18">
        <f t="shared" si="13"/>
        <v>27</v>
      </c>
      <c r="M13" s="155" t="s">
        <v>95</v>
      </c>
      <c r="N13" s="20" t="str">
        <f>VLOOKUP($M13,'UMC Table 4-A'!$A$2:$E$131,2,FALSE)</f>
        <v>NR</v>
      </c>
      <c r="O13" s="18">
        <f>VLOOKUP($M13,'UMC Table 4-A'!$A$2:$E$131,3,FALSE)</f>
        <v>2</v>
      </c>
      <c r="P13" s="26">
        <f t="shared" si="2"/>
        <v>10</v>
      </c>
      <c r="Q13" s="18" t="str">
        <f>VLOOKUP($M13,'UMC Table 4-A'!$A$2:$E$131,5,FALSE)</f>
        <v>NR</v>
      </c>
      <c r="R13" s="19">
        <f t="shared" si="3"/>
        <v>30</v>
      </c>
      <c r="S13" s="156">
        <f t="shared" si="4"/>
        <v>30</v>
      </c>
      <c r="T13" s="156">
        <f t="shared" si="5"/>
        <v>30</v>
      </c>
      <c r="U13" s="156">
        <f t="shared" si="6"/>
        <v>0</v>
      </c>
      <c r="V13" s="117">
        <f t="shared" si="7"/>
        <v>0</v>
      </c>
      <c r="W13" s="18" t="str">
        <f t="shared" si="8"/>
        <v>Yes</v>
      </c>
      <c r="X13" s="116">
        <f t="shared" si="16"/>
        <v>1.1111111111111112</v>
      </c>
      <c r="Y13" s="115">
        <f t="shared" si="17"/>
        <v>33.333333333333329</v>
      </c>
      <c r="Z13" s="116">
        <f t="shared" si="18"/>
        <v>6.666666666666667</v>
      </c>
      <c r="AC13" s="59" t="s">
        <v>116</v>
      </c>
      <c r="AD13" s="56" t="s">
        <v>88</v>
      </c>
      <c r="AE13" s="56" t="s">
        <v>94</v>
      </c>
      <c r="AF13" s="57">
        <f t="shared" si="11"/>
        <v>0</v>
      </c>
      <c r="AG13" s="57" t="str">
        <f>IFERROR((VLOOKUP(AF13,'DO NOT TOUCH'!$P$9:$Q$14,2,TRUE)),"TBD")</f>
        <v>TBD</v>
      </c>
      <c r="AH13" s="57">
        <f t="shared" si="19"/>
        <v>0.5</v>
      </c>
      <c r="AI13" s="57">
        <f>INPUT_OUTPUTS!$C$16</f>
        <v>140</v>
      </c>
      <c r="AJ13" s="57">
        <f>INPUT_OUTPUTS!$C$17</f>
        <v>100</v>
      </c>
      <c r="AK13" s="57">
        <f t="shared" si="14"/>
        <v>55</v>
      </c>
      <c r="AL13" s="57">
        <f t="shared" si="14"/>
        <v>85</v>
      </c>
      <c r="AM13" s="57">
        <f t="shared" si="12"/>
        <v>0</v>
      </c>
      <c r="AN13" s="58">
        <f t="shared" si="20"/>
        <v>0</v>
      </c>
      <c r="AO13" s="58">
        <f t="shared" si="15"/>
        <v>0.5</v>
      </c>
      <c r="AP13" s="58">
        <f t="shared" si="21"/>
        <v>5</v>
      </c>
      <c r="AQ13" s="58" t="str">
        <f>IFERROR((_xlfn.XLOOKUP(AG13,'DO NOT TOUCH'!$Q$9:$Q$14,'DO NOT TOUCH'!$R$9:$R$14,)),"TBD")</f>
        <v>TBD</v>
      </c>
      <c r="AR13" s="58" t="str">
        <f>INPUT_OUTPUTS!$C$19</f>
        <v>C1/M-501</v>
      </c>
      <c r="AS13" s="60" t="str">
        <f t="shared" si="22"/>
        <v>1, 2</v>
      </c>
    </row>
    <row r="14" spans="1:54" ht="15" customHeight="1">
      <c r="B14" s="155" t="s">
        <v>174</v>
      </c>
      <c r="C14" s="155" t="s">
        <v>164</v>
      </c>
      <c r="D14" s="155">
        <v>1234</v>
      </c>
      <c r="E14" s="155">
        <v>111</v>
      </c>
      <c r="F14" s="155">
        <v>10</v>
      </c>
      <c r="G14" s="18">
        <f>VLOOKUP($M14,'UMC Table 4-A'!$A$2:$E$131,4,FALSE)</f>
        <v>4</v>
      </c>
      <c r="H14" s="18" t="str">
        <f>VLOOKUP($M14,'UMC Table 4-A'!$A$2:$E$131,5,FALSE)</f>
        <v>NR</v>
      </c>
      <c r="I14" s="18" t="str">
        <f t="shared" si="0"/>
        <v>-</v>
      </c>
      <c r="J14" s="18">
        <v>0</v>
      </c>
      <c r="K14" s="18">
        <f t="shared" si="1"/>
        <v>80</v>
      </c>
      <c r="L14" s="18">
        <f t="shared" si="13"/>
        <v>111</v>
      </c>
      <c r="M14" s="155" t="s">
        <v>77</v>
      </c>
      <c r="N14" s="20" t="str">
        <f>VLOOKUP($M14,'UMC Table 4-A'!$A$2:$E$131,2,FALSE)</f>
        <v>NR</v>
      </c>
      <c r="O14" s="18">
        <f>VLOOKUP($M14,'UMC Table 4-A'!$A$2:$E$131,3,FALSE)</f>
        <v>2</v>
      </c>
      <c r="P14" s="26">
        <f t="shared" si="2"/>
        <v>40</v>
      </c>
      <c r="Q14" s="18" t="str">
        <f>VLOOKUP($M14,'UMC Table 4-A'!$A$2:$E$131,5,FALSE)</f>
        <v>NR</v>
      </c>
      <c r="R14" s="19">
        <f t="shared" si="3"/>
        <v>115</v>
      </c>
      <c r="S14" s="156">
        <f t="shared" si="4"/>
        <v>115</v>
      </c>
      <c r="T14" s="156">
        <f t="shared" si="5"/>
        <v>115</v>
      </c>
      <c r="U14" s="156">
        <f t="shared" si="6"/>
        <v>0</v>
      </c>
      <c r="V14" s="117">
        <f t="shared" si="7"/>
        <v>0</v>
      </c>
      <c r="W14" s="18" t="str">
        <f t="shared" si="8"/>
        <v>Yes</v>
      </c>
      <c r="X14" s="116">
        <f t="shared" si="16"/>
        <v>1.0360360360360361</v>
      </c>
      <c r="Y14" s="115">
        <f t="shared" si="17"/>
        <v>34.782608695652172</v>
      </c>
      <c r="Z14" s="116">
        <f t="shared" si="18"/>
        <v>6.2162162162162167</v>
      </c>
      <c r="AC14" s="59" t="s">
        <v>117</v>
      </c>
      <c r="AD14" s="56" t="s">
        <v>88</v>
      </c>
      <c r="AE14" s="56" t="s">
        <v>94</v>
      </c>
      <c r="AF14" s="57">
        <f t="shared" si="11"/>
        <v>0</v>
      </c>
      <c r="AG14" s="57" t="str">
        <f>IFERROR((VLOOKUP(AF14,'DO NOT TOUCH'!$P$9:$Q$14,2,TRUE)),"TBD")</f>
        <v>TBD</v>
      </c>
      <c r="AH14" s="57">
        <f t="shared" si="19"/>
        <v>0.5</v>
      </c>
      <c r="AI14" s="57">
        <f>INPUT_OUTPUTS!$C$16</f>
        <v>140</v>
      </c>
      <c r="AJ14" s="57">
        <f>INPUT_OUTPUTS!$C$17</f>
        <v>100</v>
      </c>
      <c r="AK14" s="57">
        <f t="shared" si="14"/>
        <v>55</v>
      </c>
      <c r="AL14" s="57">
        <f t="shared" si="14"/>
        <v>85</v>
      </c>
      <c r="AM14" s="57">
        <f t="shared" si="12"/>
        <v>0</v>
      </c>
      <c r="AN14" s="58">
        <f t="shared" si="20"/>
        <v>0</v>
      </c>
      <c r="AO14" s="58">
        <f t="shared" si="15"/>
        <v>0.5</v>
      </c>
      <c r="AP14" s="58">
        <f t="shared" si="21"/>
        <v>5</v>
      </c>
      <c r="AQ14" s="58" t="str">
        <f>IFERROR((_xlfn.XLOOKUP(AG14,'DO NOT TOUCH'!$Q$9:$Q$14,'DO NOT TOUCH'!$R$9:$R$14,)),"TBD")</f>
        <v>TBD</v>
      </c>
      <c r="AR14" s="58" t="str">
        <f>INPUT_OUTPUTS!$C$19</f>
        <v>C1/M-501</v>
      </c>
      <c r="AS14" s="60" t="str">
        <f t="shared" si="22"/>
        <v>1, 2</v>
      </c>
    </row>
    <row r="15" spans="1:54" ht="15" customHeight="1">
      <c r="B15" s="155" t="s">
        <v>174</v>
      </c>
      <c r="C15" s="155" t="s">
        <v>164</v>
      </c>
      <c r="D15" s="155">
        <v>1234</v>
      </c>
      <c r="E15" s="155">
        <v>256</v>
      </c>
      <c r="F15" s="155">
        <v>10</v>
      </c>
      <c r="G15" s="18">
        <f>VLOOKUP($M15,'UMC Table 4-A'!$A$2:$E$131,4,FALSE)</f>
        <v>4</v>
      </c>
      <c r="H15" s="18" t="str">
        <f>VLOOKUP($M15,'UMC Table 4-A'!$A$2:$E$131,5,FALSE)</f>
        <v>NR</v>
      </c>
      <c r="I15" s="18" t="str">
        <f t="shared" si="0"/>
        <v>-</v>
      </c>
      <c r="J15" s="18">
        <v>0</v>
      </c>
      <c r="K15" s="18">
        <f t="shared" si="1"/>
        <v>180</v>
      </c>
      <c r="L15" s="18">
        <f t="shared" si="13"/>
        <v>256</v>
      </c>
      <c r="M15" s="155" t="s">
        <v>77</v>
      </c>
      <c r="N15" s="20" t="str">
        <f>VLOOKUP($M15,'UMC Table 4-A'!$A$2:$E$131,2,FALSE)</f>
        <v>NR</v>
      </c>
      <c r="O15" s="18">
        <f>VLOOKUP($M15,'UMC Table 4-A'!$A$2:$E$131,3,FALSE)</f>
        <v>2</v>
      </c>
      <c r="P15" s="26">
        <f t="shared" si="2"/>
        <v>90</v>
      </c>
      <c r="Q15" s="18" t="str">
        <f>VLOOKUP($M15,'UMC Table 4-A'!$A$2:$E$131,5,FALSE)</f>
        <v>NR</v>
      </c>
      <c r="R15" s="19">
        <f t="shared" si="3"/>
        <v>260</v>
      </c>
      <c r="S15" s="156">
        <f t="shared" si="4"/>
        <v>260</v>
      </c>
      <c r="T15" s="156">
        <f t="shared" si="5"/>
        <v>260</v>
      </c>
      <c r="U15" s="156">
        <f t="shared" si="6"/>
        <v>0</v>
      </c>
      <c r="V15" s="117">
        <f t="shared" si="7"/>
        <v>0</v>
      </c>
      <c r="W15" s="18" t="str">
        <f t="shared" si="8"/>
        <v>Yes</v>
      </c>
      <c r="X15" s="116">
        <f t="shared" si="16"/>
        <v>1.015625</v>
      </c>
      <c r="Y15" s="115">
        <f t="shared" si="17"/>
        <v>34.615384615384613</v>
      </c>
      <c r="Z15" s="116">
        <f t="shared" si="18"/>
        <v>6.09375</v>
      </c>
      <c r="AC15" s="59" t="s">
        <v>118</v>
      </c>
      <c r="AD15" s="56" t="s">
        <v>88</v>
      </c>
      <c r="AE15" s="56" t="s">
        <v>94</v>
      </c>
      <c r="AF15" s="57">
        <f t="shared" si="11"/>
        <v>0</v>
      </c>
      <c r="AG15" s="57" t="str">
        <f>IFERROR((VLOOKUP(AF15,'DO NOT TOUCH'!$P$9:$Q$14,2,TRUE)),"TBD")</f>
        <v>TBD</v>
      </c>
      <c r="AH15" s="57">
        <f t="shared" si="19"/>
        <v>0.5</v>
      </c>
      <c r="AI15" s="57">
        <f>INPUT_OUTPUTS!$C$16</f>
        <v>140</v>
      </c>
      <c r="AJ15" s="57">
        <f>INPUT_OUTPUTS!$C$17</f>
        <v>100</v>
      </c>
      <c r="AK15" s="57">
        <f t="shared" si="14"/>
        <v>55</v>
      </c>
      <c r="AL15" s="57">
        <f t="shared" si="14"/>
        <v>85</v>
      </c>
      <c r="AM15" s="57">
        <f t="shared" si="12"/>
        <v>0</v>
      </c>
      <c r="AN15" s="58">
        <f t="shared" si="20"/>
        <v>0</v>
      </c>
      <c r="AO15" s="58">
        <f t="shared" si="15"/>
        <v>0.5</v>
      </c>
      <c r="AP15" s="58">
        <f t="shared" si="21"/>
        <v>5</v>
      </c>
      <c r="AQ15" s="58" t="str">
        <f>IFERROR((_xlfn.XLOOKUP(AG15,'DO NOT TOUCH'!$Q$9:$Q$14,'DO NOT TOUCH'!$R$9:$R$14,)),"TBD")</f>
        <v>TBD</v>
      </c>
      <c r="AR15" s="58" t="str">
        <f>INPUT_OUTPUTS!$C$19</f>
        <v>C1/M-501</v>
      </c>
      <c r="AS15" s="60" t="str">
        <f t="shared" si="22"/>
        <v>1, 2</v>
      </c>
    </row>
    <row r="16" spans="1:54" ht="15" customHeight="1">
      <c r="B16" s="155" t="s">
        <v>175</v>
      </c>
      <c r="C16" s="155" t="s">
        <v>164</v>
      </c>
      <c r="D16" s="155">
        <v>1234</v>
      </c>
      <c r="E16" s="155">
        <v>2347</v>
      </c>
      <c r="F16" s="155">
        <v>10</v>
      </c>
      <c r="G16" s="18">
        <f>VLOOKUP($M16,'UMC Table 4-A'!$A$2:$E$131,4,FALSE)</f>
        <v>4</v>
      </c>
      <c r="H16" s="18" t="str">
        <f>VLOOKUP($M16,'UMC Table 4-A'!$A$2:$E$131,5,FALSE)</f>
        <v>NR</v>
      </c>
      <c r="I16" s="18" t="str">
        <f t="shared" si="0"/>
        <v>-</v>
      </c>
      <c r="J16" s="18">
        <v>0</v>
      </c>
      <c r="K16" s="18">
        <f t="shared" si="1"/>
        <v>1570</v>
      </c>
      <c r="L16" s="18">
        <f t="shared" si="13"/>
        <v>2347</v>
      </c>
      <c r="M16" s="155" t="s">
        <v>77</v>
      </c>
      <c r="N16" s="20" t="str">
        <f>VLOOKUP($M16,'UMC Table 4-A'!$A$2:$E$131,2,FALSE)</f>
        <v>NR</v>
      </c>
      <c r="O16" s="18">
        <f>VLOOKUP($M16,'UMC Table 4-A'!$A$2:$E$131,3,FALSE)</f>
        <v>2</v>
      </c>
      <c r="P16" s="26">
        <f t="shared" si="2"/>
        <v>790</v>
      </c>
      <c r="Q16" s="18" t="str">
        <f>VLOOKUP($M16,'UMC Table 4-A'!$A$2:$E$131,5,FALSE)</f>
        <v>NR</v>
      </c>
      <c r="R16" s="19">
        <f t="shared" si="3"/>
        <v>2350</v>
      </c>
      <c r="S16" s="156">
        <f t="shared" si="4"/>
        <v>2350</v>
      </c>
      <c r="T16" s="156">
        <f t="shared" si="5"/>
        <v>2350</v>
      </c>
      <c r="U16" s="156">
        <f t="shared" si="6"/>
        <v>0</v>
      </c>
      <c r="V16" s="117">
        <f t="shared" si="7"/>
        <v>0</v>
      </c>
      <c r="W16" s="18" t="str">
        <f t="shared" si="8"/>
        <v>Yes</v>
      </c>
      <c r="X16" s="116">
        <f t="shared" si="16"/>
        <v>1.0012782275244994</v>
      </c>
      <c r="Y16" s="115">
        <f t="shared" si="17"/>
        <v>33.617021276595743</v>
      </c>
      <c r="Z16" s="116">
        <f t="shared" si="18"/>
        <v>6.0076693651469961</v>
      </c>
      <c r="AC16" s="59" t="s">
        <v>119</v>
      </c>
      <c r="AD16" s="56" t="s">
        <v>88</v>
      </c>
      <c r="AE16" s="56" t="s">
        <v>94</v>
      </c>
      <c r="AF16" s="57">
        <f t="shared" si="11"/>
        <v>0</v>
      </c>
      <c r="AG16" s="57" t="str">
        <f>IFERROR((VLOOKUP(AF16,'DO NOT TOUCH'!$P$9:$Q$14,2,TRUE)),"TBD")</f>
        <v>TBD</v>
      </c>
      <c r="AH16" s="57">
        <f t="shared" si="19"/>
        <v>0.5</v>
      </c>
      <c r="AI16" s="57">
        <f>INPUT_OUTPUTS!$C$16</f>
        <v>140</v>
      </c>
      <c r="AJ16" s="57">
        <f>INPUT_OUTPUTS!$C$17</f>
        <v>100</v>
      </c>
      <c r="AK16" s="57">
        <f t="shared" si="14"/>
        <v>55</v>
      </c>
      <c r="AL16" s="57">
        <f t="shared" si="14"/>
        <v>85</v>
      </c>
      <c r="AM16" s="57">
        <f t="shared" si="12"/>
        <v>0</v>
      </c>
      <c r="AN16" s="58">
        <f t="shared" si="20"/>
        <v>0</v>
      </c>
      <c r="AO16" s="58">
        <f t="shared" si="15"/>
        <v>0.5</v>
      </c>
      <c r="AP16" s="58">
        <f t="shared" si="21"/>
        <v>5</v>
      </c>
      <c r="AQ16" s="58" t="str">
        <f>IFERROR((_xlfn.XLOOKUP(AG16,'DO NOT TOUCH'!$Q$9:$Q$14,'DO NOT TOUCH'!$R$9:$R$14,)),"TBD")</f>
        <v>TBD</v>
      </c>
      <c r="AR16" s="58" t="str">
        <f>INPUT_OUTPUTS!$C$19</f>
        <v>C1/M-501</v>
      </c>
      <c r="AS16" s="60" t="str">
        <f t="shared" si="22"/>
        <v>1, 2</v>
      </c>
    </row>
    <row r="17" spans="2:45" ht="15" customHeight="1">
      <c r="B17" s="155" t="s">
        <v>176</v>
      </c>
      <c r="C17" s="155" t="s">
        <v>164</v>
      </c>
      <c r="D17" s="155">
        <v>1234</v>
      </c>
      <c r="E17" s="155">
        <v>454</v>
      </c>
      <c r="F17" s="155">
        <v>10</v>
      </c>
      <c r="G17" s="18">
        <f>VLOOKUP($M17,'UMC Table 4-A'!$A$2:$E$131,4,FALSE)</f>
        <v>4</v>
      </c>
      <c r="H17" s="18" t="str">
        <f>VLOOKUP($M17,'UMC Table 4-A'!$A$2:$E$131,5,FALSE)</f>
        <v>NR</v>
      </c>
      <c r="I17" s="18" t="str">
        <f t="shared" si="0"/>
        <v>-</v>
      </c>
      <c r="J17" s="18">
        <v>0</v>
      </c>
      <c r="K17" s="18">
        <f t="shared" si="1"/>
        <v>310</v>
      </c>
      <c r="L17" s="18">
        <f t="shared" si="13"/>
        <v>454</v>
      </c>
      <c r="M17" s="155" t="s">
        <v>77</v>
      </c>
      <c r="N17" s="20" t="str">
        <f>VLOOKUP($M17,'UMC Table 4-A'!$A$2:$E$131,2,FALSE)</f>
        <v>NR</v>
      </c>
      <c r="O17" s="18">
        <f>VLOOKUP($M17,'UMC Table 4-A'!$A$2:$E$131,3,FALSE)</f>
        <v>2</v>
      </c>
      <c r="P17" s="26">
        <f t="shared" si="2"/>
        <v>160</v>
      </c>
      <c r="Q17" s="18" t="str">
        <f>VLOOKUP($M17,'UMC Table 4-A'!$A$2:$E$131,5,FALSE)</f>
        <v>NR</v>
      </c>
      <c r="R17" s="19">
        <f t="shared" si="3"/>
        <v>455</v>
      </c>
      <c r="S17" s="156">
        <f t="shared" si="4"/>
        <v>455</v>
      </c>
      <c r="T17" s="156">
        <f t="shared" si="5"/>
        <v>455</v>
      </c>
      <c r="U17" s="156">
        <f t="shared" si="6"/>
        <v>0</v>
      </c>
      <c r="V17" s="117">
        <f t="shared" si="7"/>
        <v>0</v>
      </c>
      <c r="W17" s="18" t="str">
        <f t="shared" si="8"/>
        <v>Yes</v>
      </c>
      <c r="X17" s="116">
        <f t="shared" si="16"/>
        <v>1.0022026431718061</v>
      </c>
      <c r="Y17" s="115">
        <f t="shared" si="17"/>
        <v>35.164835164835168</v>
      </c>
      <c r="Z17" s="116">
        <f t="shared" si="18"/>
        <v>6.0132158590308364</v>
      </c>
      <c r="AC17" s="59" t="s">
        <v>120</v>
      </c>
      <c r="AD17" s="56" t="s">
        <v>88</v>
      </c>
      <c r="AE17" s="56" t="s">
        <v>94</v>
      </c>
      <c r="AF17" s="57">
        <f t="shared" si="11"/>
        <v>0</v>
      </c>
      <c r="AG17" s="57" t="str">
        <f>IFERROR((VLOOKUP(AF17,'DO NOT TOUCH'!$P$9:$Q$14,2,TRUE)),"TBD")</f>
        <v>TBD</v>
      </c>
      <c r="AH17" s="57">
        <f t="shared" si="19"/>
        <v>0.5</v>
      </c>
      <c r="AI17" s="57">
        <f>INPUT_OUTPUTS!$C$16</f>
        <v>140</v>
      </c>
      <c r="AJ17" s="57">
        <f>INPUT_OUTPUTS!$C$17</f>
        <v>100</v>
      </c>
      <c r="AK17" s="57">
        <f t="shared" si="14"/>
        <v>55</v>
      </c>
      <c r="AL17" s="57">
        <f t="shared" si="14"/>
        <v>85</v>
      </c>
      <c r="AM17" s="57">
        <f t="shared" si="12"/>
        <v>0</v>
      </c>
      <c r="AN17" s="58">
        <f t="shared" si="20"/>
        <v>0</v>
      </c>
      <c r="AO17" s="58">
        <f t="shared" si="15"/>
        <v>0.5</v>
      </c>
      <c r="AP17" s="58">
        <f t="shared" si="21"/>
        <v>5</v>
      </c>
      <c r="AQ17" s="58" t="str">
        <f>IFERROR((_xlfn.XLOOKUP(AG17,'DO NOT TOUCH'!$Q$9:$Q$14,'DO NOT TOUCH'!$R$9:$R$14,)),"TBD")</f>
        <v>TBD</v>
      </c>
      <c r="AR17" s="58" t="str">
        <f>INPUT_OUTPUTS!$C$19</f>
        <v>C1/M-501</v>
      </c>
      <c r="AS17" s="60" t="str">
        <f t="shared" si="22"/>
        <v>1, 2</v>
      </c>
    </row>
    <row r="18" spans="2:45" ht="15" customHeight="1">
      <c r="B18" s="118"/>
      <c r="C18" s="48"/>
      <c r="D18" s="48"/>
      <c r="E18" s="98">
        <f>SUBTOTAL(109,TABLE4A43[AREA (FT²)])</f>
        <v>4063</v>
      </c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>
        <f>SUBTOTAL(109,TABLE4A43[OSA CFM])</f>
        <v>1310</v>
      </c>
      <c r="Q18" s="98"/>
      <c r="R18" s="98">
        <f>SUBTOTAL(109,TABLE4A43[CALCULATED SA CFM])</f>
        <v>4235</v>
      </c>
      <c r="S18" s="98">
        <f>SUBTOTAL(109,TABLE4A43[DESIGN SA CFM])</f>
        <v>4235</v>
      </c>
      <c r="T18" s="98">
        <f>SUBTOTAL(109,TABLE4A43[RA CFM])</f>
        <v>3785</v>
      </c>
      <c r="U18" s="98">
        <f>SUBTOTAL(109,TABLE4A43[EA CFM])</f>
        <v>500</v>
      </c>
      <c r="V18" s="98">
        <f>SUBTOTAL(109,TABLE4A43[Transfer Air CFM])</f>
        <v>-50</v>
      </c>
      <c r="W18" s="98"/>
      <c r="X18" s="98"/>
      <c r="Y18" s="119"/>
      <c r="Z18" s="119"/>
      <c r="AC18" s="59" t="s">
        <v>121</v>
      </c>
      <c r="AD18" s="56" t="s">
        <v>88</v>
      </c>
      <c r="AE18" s="56" t="s">
        <v>94</v>
      </c>
      <c r="AF18" s="57">
        <f t="shared" si="11"/>
        <v>0</v>
      </c>
      <c r="AG18" s="57" t="str">
        <f>IFERROR((VLOOKUP(AF18,'DO NOT TOUCH'!$P$9:$Q$14,2,TRUE)),"TBD")</f>
        <v>TBD</v>
      </c>
      <c r="AH18" s="57">
        <f t="shared" si="19"/>
        <v>0.5</v>
      </c>
      <c r="AI18" s="57">
        <f>INPUT_OUTPUTS!$C$16</f>
        <v>140</v>
      </c>
      <c r="AJ18" s="57">
        <f>INPUT_OUTPUTS!$C$17</f>
        <v>100</v>
      </c>
      <c r="AK18" s="57">
        <f t="shared" si="14"/>
        <v>55</v>
      </c>
      <c r="AL18" s="57">
        <f t="shared" si="14"/>
        <v>85</v>
      </c>
      <c r="AM18" s="57">
        <f t="shared" si="12"/>
        <v>0</v>
      </c>
      <c r="AN18" s="58">
        <f t="shared" si="20"/>
        <v>0</v>
      </c>
      <c r="AO18" s="58">
        <f t="shared" si="15"/>
        <v>0.5</v>
      </c>
      <c r="AP18" s="58">
        <f t="shared" si="21"/>
        <v>5</v>
      </c>
      <c r="AQ18" s="58" t="str">
        <f>IFERROR((_xlfn.XLOOKUP(AG18,'DO NOT TOUCH'!$Q$9:$Q$14,'DO NOT TOUCH'!$R$9:$R$14,)),"TBD")</f>
        <v>TBD</v>
      </c>
      <c r="AR18" s="58" t="str">
        <f>INPUT_OUTPUTS!$C$19</f>
        <v>C1/M-501</v>
      </c>
      <c r="AS18" s="60" t="str">
        <f t="shared" si="22"/>
        <v>1, 2</v>
      </c>
    </row>
    <row r="19" spans="2:45" ht="15" customHeight="1">
      <c r="B19" s="135"/>
      <c r="C19" s="136"/>
      <c r="G19" s="121"/>
      <c r="H19" s="137"/>
      <c r="K19" s="138"/>
      <c r="L19" s="139"/>
      <c r="M19" s="139"/>
      <c r="O19" s="120"/>
      <c r="R19" s="140"/>
      <c r="S19" s="140"/>
      <c r="T19" s="120"/>
      <c r="U19" s="120"/>
      <c r="V19" s="120"/>
      <c r="W19" s="120"/>
      <c r="X19" s="140"/>
      <c r="Y19" s="141"/>
      <c r="AC19" s="59" t="s">
        <v>122</v>
      </c>
      <c r="AD19" s="56" t="s">
        <v>88</v>
      </c>
      <c r="AE19" s="56" t="s">
        <v>94</v>
      </c>
      <c r="AF19" s="57">
        <f t="shared" si="11"/>
        <v>0</v>
      </c>
      <c r="AG19" s="57" t="str">
        <f>IFERROR((VLOOKUP(AF19,'DO NOT TOUCH'!$P$9:$Q$14,2,TRUE)),"TBD")</f>
        <v>TBD</v>
      </c>
      <c r="AH19" s="57">
        <f t="shared" si="19"/>
        <v>0.5</v>
      </c>
      <c r="AI19" s="57">
        <f>INPUT_OUTPUTS!$C$16</f>
        <v>140</v>
      </c>
      <c r="AJ19" s="57">
        <f>INPUT_OUTPUTS!$C$17</f>
        <v>100</v>
      </c>
      <c r="AK19" s="57">
        <f t="shared" si="14"/>
        <v>55</v>
      </c>
      <c r="AL19" s="57">
        <f t="shared" si="14"/>
        <v>85</v>
      </c>
      <c r="AM19" s="57">
        <f t="shared" si="12"/>
        <v>0</v>
      </c>
      <c r="AN19" s="58">
        <f t="shared" si="20"/>
        <v>0</v>
      </c>
      <c r="AO19" s="58">
        <f t="shared" si="15"/>
        <v>0.5</v>
      </c>
      <c r="AP19" s="58">
        <f t="shared" si="21"/>
        <v>5</v>
      </c>
      <c r="AQ19" s="58" t="str">
        <f>IFERROR((_xlfn.XLOOKUP(AG19,'DO NOT TOUCH'!$Q$9:$Q$14,'DO NOT TOUCH'!$R$9:$R$14,)),"TBD")</f>
        <v>TBD</v>
      </c>
      <c r="AR19" s="58" t="str">
        <f>INPUT_OUTPUTS!$C$19</f>
        <v>C1/M-501</v>
      </c>
      <c r="AS19" s="60" t="str">
        <f t="shared" si="22"/>
        <v>1, 2</v>
      </c>
    </row>
    <row r="20" spans="2:45" ht="15" customHeight="1">
      <c r="B20" s="142"/>
      <c r="C20" s="136"/>
      <c r="G20" s="121"/>
      <c r="H20" s="137"/>
      <c r="K20" s="138"/>
      <c r="L20" s="139"/>
      <c r="M20" s="139"/>
      <c r="O20" s="120"/>
      <c r="T20" s="120"/>
      <c r="U20" s="120"/>
      <c r="V20" s="120"/>
      <c r="W20" s="120"/>
      <c r="X20" s="121"/>
      <c r="Y20" s="141"/>
      <c r="AC20" s="59" t="s">
        <v>123</v>
      </c>
      <c r="AD20" s="56" t="s">
        <v>88</v>
      </c>
      <c r="AE20" s="56" t="s">
        <v>94</v>
      </c>
      <c r="AF20" s="57">
        <f t="shared" si="11"/>
        <v>0</v>
      </c>
      <c r="AG20" s="57" t="str">
        <f>IFERROR((VLOOKUP(AF20,'DO NOT TOUCH'!$P$9:$Q$14,2,TRUE)),"TBD")</f>
        <v>TBD</v>
      </c>
      <c r="AH20" s="57">
        <f t="shared" si="19"/>
        <v>0.5</v>
      </c>
      <c r="AI20" s="57">
        <f>INPUT_OUTPUTS!$C$16</f>
        <v>140</v>
      </c>
      <c r="AJ20" s="57">
        <f>INPUT_OUTPUTS!$C$17</f>
        <v>100</v>
      </c>
      <c r="AK20" s="57">
        <f t="shared" si="14"/>
        <v>55</v>
      </c>
      <c r="AL20" s="57">
        <f t="shared" si="14"/>
        <v>85</v>
      </c>
      <c r="AM20" s="57">
        <f t="shared" si="12"/>
        <v>0</v>
      </c>
      <c r="AN20" s="58">
        <f t="shared" si="20"/>
        <v>0</v>
      </c>
      <c r="AO20" s="58">
        <f t="shared" si="15"/>
        <v>0.5</v>
      </c>
      <c r="AP20" s="58">
        <f t="shared" si="21"/>
        <v>5</v>
      </c>
      <c r="AQ20" s="58" t="str">
        <f>IFERROR((_xlfn.XLOOKUP(AG20,'DO NOT TOUCH'!$Q$9:$Q$14,'DO NOT TOUCH'!$R$9:$R$14,)),"TBD")</f>
        <v>TBD</v>
      </c>
      <c r="AR20" s="58" t="str">
        <f>INPUT_OUTPUTS!$C$19</f>
        <v>C1/M-501</v>
      </c>
      <c r="AS20" s="60" t="str">
        <f t="shared" si="22"/>
        <v>1, 2</v>
      </c>
    </row>
    <row r="21" spans="2:45" ht="15" customHeight="1">
      <c r="B21" s="135"/>
      <c r="C21" s="136"/>
      <c r="O21" s="143" t="s">
        <v>61</v>
      </c>
      <c r="T21" s="120"/>
      <c r="U21" s="120"/>
      <c r="V21" s="120"/>
      <c r="W21" s="120"/>
      <c r="AC21" s="59" t="s">
        <v>124</v>
      </c>
      <c r="AD21" s="56" t="s">
        <v>88</v>
      </c>
      <c r="AE21" s="56" t="s">
        <v>94</v>
      </c>
      <c r="AF21" s="57">
        <f t="shared" si="11"/>
        <v>0</v>
      </c>
      <c r="AG21" s="57" t="str">
        <f>IFERROR((VLOOKUP(AF21,'DO NOT TOUCH'!$P$9:$Q$14,2,TRUE)),"TBD")</f>
        <v>TBD</v>
      </c>
      <c r="AH21" s="57">
        <f t="shared" si="19"/>
        <v>0.5</v>
      </c>
      <c r="AI21" s="57">
        <f>INPUT_OUTPUTS!$C$16</f>
        <v>140</v>
      </c>
      <c r="AJ21" s="57">
        <f>INPUT_OUTPUTS!$C$17</f>
        <v>100</v>
      </c>
      <c r="AK21" s="57">
        <f t="shared" si="14"/>
        <v>55</v>
      </c>
      <c r="AL21" s="57">
        <f t="shared" si="14"/>
        <v>85</v>
      </c>
      <c r="AM21" s="57">
        <f t="shared" si="12"/>
        <v>0</v>
      </c>
      <c r="AN21" s="58">
        <f t="shared" si="20"/>
        <v>0</v>
      </c>
      <c r="AO21" s="58">
        <f t="shared" si="15"/>
        <v>0.5</v>
      </c>
      <c r="AP21" s="58">
        <f t="shared" si="21"/>
        <v>5</v>
      </c>
      <c r="AQ21" s="58" t="str">
        <f>IFERROR((_xlfn.XLOOKUP(AG21,'DO NOT TOUCH'!$Q$9:$Q$14,'DO NOT TOUCH'!$R$9:$R$14,)),"TBD")</f>
        <v>TBD</v>
      </c>
      <c r="AR21" s="58" t="str">
        <f>INPUT_OUTPUTS!$C$19</f>
        <v>C1/M-501</v>
      </c>
      <c r="AS21" s="60" t="str">
        <f t="shared" si="22"/>
        <v>1, 2</v>
      </c>
    </row>
    <row r="22" spans="2:45" ht="15" customHeight="1">
      <c r="K22" s="120"/>
      <c r="N22" s="120"/>
      <c r="T22" s="120"/>
      <c r="U22" s="120"/>
      <c r="V22" s="120"/>
      <c r="W22" s="120"/>
      <c r="AC22" s="59" t="s">
        <v>125</v>
      </c>
      <c r="AD22" s="56" t="s">
        <v>88</v>
      </c>
      <c r="AE22" s="56" t="s">
        <v>94</v>
      </c>
      <c r="AF22" s="57">
        <f t="shared" si="11"/>
        <v>0</v>
      </c>
      <c r="AG22" s="57" t="str">
        <f>IFERROR((VLOOKUP(AF22,'DO NOT TOUCH'!$P$9:$Q$14,2,TRUE)),"TBD")</f>
        <v>TBD</v>
      </c>
      <c r="AH22" s="57">
        <f t="shared" si="19"/>
        <v>0.5</v>
      </c>
      <c r="AI22" s="57">
        <f>INPUT_OUTPUTS!$C$16</f>
        <v>140</v>
      </c>
      <c r="AJ22" s="57">
        <f>INPUT_OUTPUTS!$C$17</f>
        <v>100</v>
      </c>
      <c r="AK22" s="57">
        <f t="shared" si="14"/>
        <v>55</v>
      </c>
      <c r="AL22" s="57">
        <f t="shared" si="14"/>
        <v>85</v>
      </c>
      <c r="AM22" s="57">
        <f t="shared" si="12"/>
        <v>0</v>
      </c>
      <c r="AN22" s="58">
        <f t="shared" si="20"/>
        <v>0</v>
      </c>
      <c r="AO22" s="58">
        <f t="shared" si="15"/>
        <v>0.5</v>
      </c>
      <c r="AP22" s="58">
        <f t="shared" si="21"/>
        <v>5</v>
      </c>
      <c r="AQ22" s="58" t="str">
        <f>IFERROR((_xlfn.XLOOKUP(AG22,'DO NOT TOUCH'!$Q$9:$Q$14,'DO NOT TOUCH'!$R$9:$R$14,)),"TBD")</f>
        <v>TBD</v>
      </c>
      <c r="AR22" s="58" t="str">
        <f>INPUT_OUTPUTS!$C$19</f>
        <v>C1/M-501</v>
      </c>
      <c r="AS22" s="60" t="str">
        <f t="shared" si="22"/>
        <v>1, 2</v>
      </c>
    </row>
    <row r="23" spans="2:45" ht="15" customHeight="1">
      <c r="T23" s="120"/>
      <c r="U23" s="120"/>
      <c r="V23" s="120"/>
      <c r="W23" s="120"/>
      <c r="AC23" s="59" t="s">
        <v>126</v>
      </c>
      <c r="AD23" s="56" t="s">
        <v>88</v>
      </c>
      <c r="AE23" s="56" t="s">
        <v>94</v>
      </c>
      <c r="AF23" s="57">
        <f t="shared" si="11"/>
        <v>0</v>
      </c>
      <c r="AG23" s="57" t="str">
        <f>IFERROR((VLOOKUP(AF23,'DO NOT TOUCH'!$P$9:$Q$14,2,TRUE)),"TBD")</f>
        <v>TBD</v>
      </c>
      <c r="AH23" s="57">
        <f t="shared" si="19"/>
        <v>0.5</v>
      </c>
      <c r="AI23" s="57">
        <f>INPUT_OUTPUTS!$C$16</f>
        <v>140</v>
      </c>
      <c r="AJ23" s="57">
        <f>INPUT_OUTPUTS!$C$17</f>
        <v>100</v>
      </c>
      <c r="AK23" s="57">
        <f t="shared" si="14"/>
        <v>55</v>
      </c>
      <c r="AL23" s="57">
        <f t="shared" si="14"/>
        <v>85</v>
      </c>
      <c r="AM23" s="57">
        <f t="shared" si="12"/>
        <v>0</v>
      </c>
      <c r="AN23" s="58">
        <f t="shared" si="20"/>
        <v>0</v>
      </c>
      <c r="AO23" s="58">
        <f t="shared" si="15"/>
        <v>0.5</v>
      </c>
      <c r="AP23" s="58">
        <f t="shared" si="21"/>
        <v>5</v>
      </c>
      <c r="AQ23" s="58" t="str">
        <f>IFERROR((_xlfn.XLOOKUP(AG23,'DO NOT TOUCH'!$Q$9:$Q$14,'DO NOT TOUCH'!$R$9:$R$14,)),"TBD")</f>
        <v>TBD</v>
      </c>
      <c r="AR23" s="58" t="str">
        <f>INPUT_OUTPUTS!$C$19</f>
        <v>C1/M-501</v>
      </c>
      <c r="AS23" s="60" t="str">
        <f t="shared" si="22"/>
        <v>1, 2</v>
      </c>
    </row>
    <row r="24" spans="2:45" ht="15" customHeight="1">
      <c r="T24" s="120"/>
      <c r="U24" s="120"/>
      <c r="V24" s="120"/>
      <c r="W24" s="120"/>
      <c r="AC24" s="59" t="s">
        <v>127</v>
      </c>
      <c r="AD24" s="56" t="s">
        <v>88</v>
      </c>
      <c r="AE24" s="56" t="s">
        <v>94</v>
      </c>
      <c r="AF24" s="57">
        <f t="shared" si="11"/>
        <v>0</v>
      </c>
      <c r="AG24" s="57" t="str">
        <f>IFERROR((VLOOKUP(AF24,'DO NOT TOUCH'!$P$9:$Q$14,2,TRUE)),"TBD")</f>
        <v>TBD</v>
      </c>
      <c r="AH24" s="57">
        <f t="shared" si="19"/>
        <v>0.5</v>
      </c>
      <c r="AI24" s="57">
        <f>INPUT_OUTPUTS!$C$16</f>
        <v>140</v>
      </c>
      <c r="AJ24" s="57">
        <f>INPUT_OUTPUTS!$C$17</f>
        <v>100</v>
      </c>
      <c r="AK24" s="57">
        <f t="shared" ref="AK24:AL39" si="23">AK23</f>
        <v>55</v>
      </c>
      <c r="AL24" s="57">
        <f t="shared" si="23"/>
        <v>85</v>
      </c>
      <c r="AM24" s="57">
        <f t="shared" si="12"/>
        <v>0</v>
      </c>
      <c r="AN24" s="58">
        <f t="shared" si="20"/>
        <v>0</v>
      </c>
      <c r="AO24" s="58">
        <f t="shared" si="15"/>
        <v>0.5</v>
      </c>
      <c r="AP24" s="58">
        <f t="shared" si="21"/>
        <v>5</v>
      </c>
      <c r="AQ24" s="58" t="str">
        <f>IFERROR((_xlfn.XLOOKUP(AG24,'DO NOT TOUCH'!$Q$9:$Q$14,'DO NOT TOUCH'!$R$9:$R$14,)),"TBD")</f>
        <v>TBD</v>
      </c>
      <c r="AR24" s="58" t="str">
        <f>INPUT_OUTPUTS!$C$19</f>
        <v>C1/M-501</v>
      </c>
      <c r="AS24" s="60" t="str">
        <f t="shared" si="22"/>
        <v>1, 2</v>
      </c>
    </row>
    <row r="25" spans="2:45" ht="15" customHeight="1">
      <c r="T25" s="120"/>
      <c r="U25" s="120"/>
      <c r="V25" s="120"/>
      <c r="W25" s="120"/>
      <c r="AC25" s="59" t="s">
        <v>128</v>
      </c>
      <c r="AD25" s="56" t="s">
        <v>88</v>
      </c>
      <c r="AE25" s="56" t="s">
        <v>94</v>
      </c>
      <c r="AF25" s="57">
        <f t="shared" si="11"/>
        <v>0</v>
      </c>
      <c r="AG25" s="57" t="str">
        <f>IFERROR((VLOOKUP(AF25,'DO NOT TOUCH'!$P$9:$Q$14,2,TRUE)),"TBD")</f>
        <v>TBD</v>
      </c>
      <c r="AH25" s="57">
        <f t="shared" si="19"/>
        <v>0.5</v>
      </c>
      <c r="AI25" s="57">
        <f>INPUT_OUTPUTS!$C$16</f>
        <v>140</v>
      </c>
      <c r="AJ25" s="57">
        <f>INPUT_OUTPUTS!$C$17</f>
        <v>100</v>
      </c>
      <c r="AK25" s="57">
        <f t="shared" si="23"/>
        <v>55</v>
      </c>
      <c r="AL25" s="57">
        <f t="shared" si="23"/>
        <v>85</v>
      </c>
      <c r="AM25" s="57">
        <f t="shared" si="12"/>
        <v>0</v>
      </c>
      <c r="AN25" s="58">
        <f t="shared" si="20"/>
        <v>0</v>
      </c>
      <c r="AO25" s="58">
        <f t="shared" si="15"/>
        <v>0.5</v>
      </c>
      <c r="AP25" s="58">
        <f t="shared" si="21"/>
        <v>5</v>
      </c>
      <c r="AQ25" s="58" t="str">
        <f>IFERROR((_xlfn.XLOOKUP(AG25,'DO NOT TOUCH'!$Q$9:$Q$14,'DO NOT TOUCH'!$R$9:$R$14,)),"TBD")</f>
        <v>TBD</v>
      </c>
      <c r="AR25" s="58" t="str">
        <f>INPUT_OUTPUTS!$C$19</f>
        <v>C1/M-501</v>
      </c>
      <c r="AS25" s="60" t="str">
        <f t="shared" si="22"/>
        <v>1, 2</v>
      </c>
    </row>
    <row r="26" spans="2:45" ht="15" customHeight="1">
      <c r="T26" s="120"/>
      <c r="U26" s="120"/>
      <c r="V26" s="120"/>
      <c r="W26" s="120"/>
      <c r="AC26" s="59" t="s">
        <v>129</v>
      </c>
      <c r="AD26" s="56" t="s">
        <v>88</v>
      </c>
      <c r="AE26" s="56" t="s">
        <v>94</v>
      </c>
      <c r="AF26" s="57">
        <f t="shared" si="11"/>
        <v>0</v>
      </c>
      <c r="AG26" s="57" t="str">
        <f>IFERROR((VLOOKUP(AF26,'DO NOT TOUCH'!$P$9:$Q$14,2,TRUE)),"TBD")</f>
        <v>TBD</v>
      </c>
      <c r="AH26" s="57">
        <f t="shared" si="19"/>
        <v>0.5</v>
      </c>
      <c r="AI26" s="57">
        <f>INPUT_OUTPUTS!$C$16</f>
        <v>140</v>
      </c>
      <c r="AJ26" s="57">
        <f>INPUT_OUTPUTS!$C$17</f>
        <v>100</v>
      </c>
      <c r="AK26" s="57">
        <f t="shared" si="23"/>
        <v>55</v>
      </c>
      <c r="AL26" s="57">
        <f t="shared" si="23"/>
        <v>85</v>
      </c>
      <c r="AM26" s="57">
        <f t="shared" si="12"/>
        <v>0</v>
      </c>
      <c r="AN26" s="58">
        <f t="shared" si="20"/>
        <v>0</v>
      </c>
      <c r="AO26" s="58">
        <f t="shared" si="15"/>
        <v>0.5</v>
      </c>
      <c r="AP26" s="58">
        <f t="shared" si="21"/>
        <v>5</v>
      </c>
      <c r="AQ26" s="58" t="str">
        <f>IFERROR((_xlfn.XLOOKUP(AG26,'DO NOT TOUCH'!$Q$9:$Q$14,'DO NOT TOUCH'!$R$9:$R$14,)),"TBD")</f>
        <v>TBD</v>
      </c>
      <c r="AR26" s="58" t="str">
        <f>INPUT_OUTPUTS!$C$19</f>
        <v>C1/M-501</v>
      </c>
      <c r="AS26" s="60" t="str">
        <f t="shared" si="22"/>
        <v>1, 2</v>
      </c>
    </row>
    <row r="27" spans="2:45" ht="15" customHeight="1">
      <c r="AC27" s="59" t="s">
        <v>130</v>
      </c>
      <c r="AD27" s="56" t="s">
        <v>88</v>
      </c>
      <c r="AE27" s="56" t="s">
        <v>94</v>
      </c>
      <c r="AF27" s="57">
        <f t="shared" si="11"/>
        <v>0</v>
      </c>
      <c r="AG27" s="57" t="str">
        <f>IFERROR((VLOOKUP(AF27,'DO NOT TOUCH'!$P$9:$Q$14,2,TRUE)),"TBD")</f>
        <v>TBD</v>
      </c>
      <c r="AH27" s="57">
        <f t="shared" si="19"/>
        <v>0.5</v>
      </c>
      <c r="AI27" s="57">
        <f>INPUT_OUTPUTS!$C$16</f>
        <v>140</v>
      </c>
      <c r="AJ27" s="57">
        <f>INPUT_OUTPUTS!$C$17</f>
        <v>100</v>
      </c>
      <c r="AK27" s="57">
        <f t="shared" si="23"/>
        <v>55</v>
      </c>
      <c r="AL27" s="57">
        <f t="shared" si="23"/>
        <v>85</v>
      </c>
      <c r="AM27" s="57">
        <f t="shared" si="12"/>
        <v>0</v>
      </c>
      <c r="AN27" s="58">
        <f t="shared" si="20"/>
        <v>0</v>
      </c>
      <c r="AO27" s="58">
        <f t="shared" si="15"/>
        <v>0.5</v>
      </c>
      <c r="AP27" s="58">
        <f t="shared" si="21"/>
        <v>5</v>
      </c>
      <c r="AQ27" s="58" t="str">
        <f>IFERROR((_xlfn.XLOOKUP(AG27,'DO NOT TOUCH'!$Q$9:$Q$14,'DO NOT TOUCH'!$R$9:$R$14,)),"TBD")</f>
        <v>TBD</v>
      </c>
      <c r="AR27" s="58" t="str">
        <f>INPUT_OUTPUTS!$C$19</f>
        <v>C1/M-501</v>
      </c>
      <c r="AS27" s="60" t="str">
        <f t="shared" si="22"/>
        <v>1, 2</v>
      </c>
    </row>
    <row r="28" spans="2:45" ht="15" customHeight="1">
      <c r="AC28" s="59" t="s">
        <v>131</v>
      </c>
      <c r="AD28" s="56" t="s">
        <v>88</v>
      </c>
      <c r="AE28" s="56" t="s">
        <v>94</v>
      </c>
      <c r="AF28" s="57">
        <f t="shared" si="11"/>
        <v>0</v>
      </c>
      <c r="AG28" s="57" t="str">
        <f>IFERROR((VLOOKUP(AF28,'DO NOT TOUCH'!$P$9:$Q$14,2,TRUE)),"TBD")</f>
        <v>TBD</v>
      </c>
      <c r="AH28" s="57">
        <f t="shared" si="19"/>
        <v>0.5</v>
      </c>
      <c r="AI28" s="57">
        <f>INPUT_OUTPUTS!$C$16</f>
        <v>140</v>
      </c>
      <c r="AJ28" s="57">
        <f>INPUT_OUTPUTS!$C$17</f>
        <v>100</v>
      </c>
      <c r="AK28" s="57">
        <f t="shared" si="23"/>
        <v>55</v>
      </c>
      <c r="AL28" s="57">
        <f t="shared" si="23"/>
        <v>85</v>
      </c>
      <c r="AM28" s="57">
        <f t="shared" si="12"/>
        <v>0</v>
      </c>
      <c r="AN28" s="58">
        <f t="shared" si="20"/>
        <v>0</v>
      </c>
      <c r="AO28" s="58">
        <f t="shared" si="15"/>
        <v>0.5</v>
      </c>
      <c r="AP28" s="58">
        <f t="shared" si="21"/>
        <v>5</v>
      </c>
      <c r="AQ28" s="58" t="str">
        <f>IFERROR((_xlfn.XLOOKUP(AG28,'DO NOT TOUCH'!$Q$9:$Q$14,'DO NOT TOUCH'!$R$9:$R$14,)),"TBD")</f>
        <v>TBD</v>
      </c>
      <c r="AR28" s="58" t="str">
        <f>INPUT_OUTPUTS!$C$19</f>
        <v>C1/M-501</v>
      </c>
      <c r="AS28" s="60" t="str">
        <f t="shared" si="22"/>
        <v>1, 2</v>
      </c>
    </row>
    <row r="29" spans="2:45" ht="15" customHeight="1">
      <c r="AC29" s="59" t="s">
        <v>132</v>
      </c>
      <c r="AD29" s="56" t="s">
        <v>88</v>
      </c>
      <c r="AE29" s="56" t="s">
        <v>94</v>
      </c>
      <c r="AF29" s="57">
        <f t="shared" si="11"/>
        <v>0</v>
      </c>
      <c r="AG29" s="57" t="str">
        <f>IFERROR((VLOOKUP(AF29,'DO NOT TOUCH'!$P$9:$Q$14,2,TRUE)),"TBD")</f>
        <v>TBD</v>
      </c>
      <c r="AH29" s="57">
        <f t="shared" si="19"/>
        <v>0.5</v>
      </c>
      <c r="AI29" s="57">
        <f>INPUT_OUTPUTS!$C$16</f>
        <v>140</v>
      </c>
      <c r="AJ29" s="57">
        <f>INPUT_OUTPUTS!$C$17</f>
        <v>100</v>
      </c>
      <c r="AK29" s="57">
        <f t="shared" si="23"/>
        <v>55</v>
      </c>
      <c r="AL29" s="57">
        <f t="shared" si="23"/>
        <v>85</v>
      </c>
      <c r="AM29" s="57">
        <f t="shared" si="12"/>
        <v>0</v>
      </c>
      <c r="AN29" s="58">
        <f t="shared" si="20"/>
        <v>0</v>
      </c>
      <c r="AO29" s="58">
        <f t="shared" si="15"/>
        <v>0.5</v>
      </c>
      <c r="AP29" s="58">
        <f t="shared" si="21"/>
        <v>5</v>
      </c>
      <c r="AQ29" s="58" t="str">
        <f>IFERROR((_xlfn.XLOOKUP(AG29,'DO NOT TOUCH'!$Q$9:$Q$14,'DO NOT TOUCH'!$R$9:$R$14,)),"TBD")</f>
        <v>TBD</v>
      </c>
      <c r="AR29" s="58" t="str">
        <f>INPUT_OUTPUTS!$C$19</f>
        <v>C1/M-501</v>
      </c>
      <c r="AS29" s="60" t="str">
        <f t="shared" si="22"/>
        <v>1, 2</v>
      </c>
    </row>
    <row r="30" spans="2:45" ht="15" customHeight="1">
      <c r="AC30" s="59" t="s">
        <v>133</v>
      </c>
      <c r="AD30" s="56" t="s">
        <v>88</v>
      </c>
      <c r="AE30" s="56" t="s">
        <v>94</v>
      </c>
      <c r="AF30" s="57">
        <f t="shared" si="11"/>
        <v>0</v>
      </c>
      <c r="AG30" s="57" t="str">
        <f>IFERROR((VLOOKUP(AF30,'DO NOT TOUCH'!$P$9:$Q$14,2,TRUE)),"TBD")</f>
        <v>TBD</v>
      </c>
      <c r="AH30" s="57">
        <f t="shared" si="19"/>
        <v>0.5</v>
      </c>
      <c r="AI30" s="57">
        <f>INPUT_OUTPUTS!$C$16</f>
        <v>140</v>
      </c>
      <c r="AJ30" s="57">
        <f>INPUT_OUTPUTS!$C$17</f>
        <v>100</v>
      </c>
      <c r="AK30" s="57">
        <f t="shared" si="23"/>
        <v>55</v>
      </c>
      <c r="AL30" s="57">
        <f t="shared" si="23"/>
        <v>85</v>
      </c>
      <c r="AM30" s="57">
        <f t="shared" si="12"/>
        <v>0</v>
      </c>
      <c r="AN30" s="58">
        <f t="shared" si="20"/>
        <v>0</v>
      </c>
      <c r="AO30" s="58">
        <f t="shared" si="15"/>
        <v>0.5</v>
      </c>
      <c r="AP30" s="58">
        <f t="shared" si="21"/>
        <v>5</v>
      </c>
      <c r="AQ30" s="58" t="str">
        <f>IFERROR((_xlfn.XLOOKUP(AG30,'DO NOT TOUCH'!$Q$9:$Q$14,'DO NOT TOUCH'!$R$9:$R$14,)),"TBD")</f>
        <v>TBD</v>
      </c>
      <c r="AR30" s="58" t="str">
        <f>INPUT_OUTPUTS!$C$19</f>
        <v>C1/M-501</v>
      </c>
      <c r="AS30" s="60" t="str">
        <f t="shared" si="22"/>
        <v>1, 2</v>
      </c>
    </row>
    <row r="31" spans="2:45" ht="15" customHeight="1">
      <c r="AC31" s="59" t="s">
        <v>134</v>
      </c>
      <c r="AD31" s="56" t="s">
        <v>88</v>
      </c>
      <c r="AE31" s="56" t="s">
        <v>94</v>
      </c>
      <c r="AF31" s="57">
        <f t="shared" si="11"/>
        <v>0</v>
      </c>
      <c r="AG31" s="57" t="str">
        <f>IFERROR((VLOOKUP(AF31,'DO NOT TOUCH'!$P$9:$Q$14,2,TRUE)),"TBD")</f>
        <v>TBD</v>
      </c>
      <c r="AH31" s="57">
        <f t="shared" si="19"/>
        <v>0.5</v>
      </c>
      <c r="AI31" s="57">
        <f>INPUT_OUTPUTS!$C$16</f>
        <v>140</v>
      </c>
      <c r="AJ31" s="57">
        <f>INPUT_OUTPUTS!$C$17</f>
        <v>100</v>
      </c>
      <c r="AK31" s="57">
        <f t="shared" si="23"/>
        <v>55</v>
      </c>
      <c r="AL31" s="57">
        <f t="shared" si="23"/>
        <v>85</v>
      </c>
      <c r="AM31" s="57">
        <f t="shared" si="12"/>
        <v>0</v>
      </c>
      <c r="AN31" s="58">
        <f t="shared" si="20"/>
        <v>0</v>
      </c>
      <c r="AO31" s="58">
        <f t="shared" si="15"/>
        <v>0.5</v>
      </c>
      <c r="AP31" s="58">
        <f t="shared" si="21"/>
        <v>5</v>
      </c>
      <c r="AQ31" s="58" t="str">
        <f>IFERROR((_xlfn.XLOOKUP(AG31,'DO NOT TOUCH'!$Q$9:$Q$14,'DO NOT TOUCH'!$R$9:$R$14,)),"TBD")</f>
        <v>TBD</v>
      </c>
      <c r="AR31" s="58" t="str">
        <f>INPUT_OUTPUTS!$C$19</f>
        <v>C1/M-501</v>
      </c>
      <c r="AS31" s="60" t="str">
        <f t="shared" si="22"/>
        <v>1, 2</v>
      </c>
    </row>
    <row r="32" spans="2:45" ht="15" customHeight="1">
      <c r="AC32" s="59" t="s">
        <v>135</v>
      </c>
      <c r="AD32" s="56" t="s">
        <v>88</v>
      </c>
      <c r="AE32" s="56" t="s">
        <v>94</v>
      </c>
      <c r="AF32" s="57">
        <f t="shared" si="11"/>
        <v>0</v>
      </c>
      <c r="AG32" s="57" t="str">
        <f>IFERROR((VLOOKUP(AF32,'DO NOT TOUCH'!$P$9:$Q$14,2,TRUE)),"TBD")</f>
        <v>TBD</v>
      </c>
      <c r="AH32" s="57">
        <f t="shared" si="19"/>
        <v>0.5</v>
      </c>
      <c r="AI32" s="57">
        <f>INPUT_OUTPUTS!$C$16</f>
        <v>140</v>
      </c>
      <c r="AJ32" s="57">
        <f>INPUT_OUTPUTS!$C$17</f>
        <v>100</v>
      </c>
      <c r="AK32" s="57">
        <f t="shared" si="23"/>
        <v>55</v>
      </c>
      <c r="AL32" s="57">
        <f t="shared" si="23"/>
        <v>85</v>
      </c>
      <c r="AM32" s="57">
        <f t="shared" si="12"/>
        <v>0</v>
      </c>
      <c r="AN32" s="58">
        <f t="shared" si="20"/>
        <v>0</v>
      </c>
      <c r="AO32" s="58">
        <f t="shared" si="15"/>
        <v>0.5</v>
      </c>
      <c r="AP32" s="58">
        <f t="shared" si="21"/>
        <v>5</v>
      </c>
      <c r="AQ32" s="58" t="str">
        <f>IFERROR((_xlfn.XLOOKUP(AG32,'DO NOT TOUCH'!$Q$9:$Q$14,'DO NOT TOUCH'!$R$9:$R$14,)),"TBD")</f>
        <v>TBD</v>
      </c>
      <c r="AR32" s="58" t="str">
        <f>INPUT_OUTPUTS!$C$19</f>
        <v>C1/M-501</v>
      </c>
      <c r="AS32" s="60" t="str">
        <f t="shared" si="22"/>
        <v>1, 2</v>
      </c>
    </row>
    <row r="33" spans="29:46" ht="15" customHeight="1">
      <c r="AC33" s="59" t="s">
        <v>136</v>
      </c>
      <c r="AD33" s="56" t="s">
        <v>88</v>
      </c>
      <c r="AE33" s="56" t="s">
        <v>94</v>
      </c>
      <c r="AF33" s="57">
        <f t="shared" si="11"/>
        <v>0</v>
      </c>
      <c r="AG33" s="57" t="str">
        <f>IFERROR((VLOOKUP(AF33,'DO NOT TOUCH'!$P$9:$Q$14,2,TRUE)),"TBD")</f>
        <v>TBD</v>
      </c>
      <c r="AH33" s="57">
        <f t="shared" si="19"/>
        <v>0.5</v>
      </c>
      <c r="AI33" s="57">
        <f>INPUT_OUTPUTS!$C$16</f>
        <v>140</v>
      </c>
      <c r="AJ33" s="57">
        <f>INPUT_OUTPUTS!$C$17</f>
        <v>100</v>
      </c>
      <c r="AK33" s="57">
        <f t="shared" si="23"/>
        <v>55</v>
      </c>
      <c r="AL33" s="57">
        <f t="shared" si="23"/>
        <v>85</v>
      </c>
      <c r="AM33" s="57">
        <f t="shared" si="12"/>
        <v>0</v>
      </c>
      <c r="AN33" s="58">
        <f t="shared" si="20"/>
        <v>0</v>
      </c>
      <c r="AO33" s="58">
        <f t="shared" si="15"/>
        <v>0.5</v>
      </c>
      <c r="AP33" s="58">
        <f t="shared" si="21"/>
        <v>5</v>
      </c>
      <c r="AQ33" s="58" t="str">
        <f>IFERROR((_xlfn.XLOOKUP(AG33,'DO NOT TOUCH'!$Q$9:$Q$14,'DO NOT TOUCH'!$R$9:$R$14,)),"TBD")</f>
        <v>TBD</v>
      </c>
      <c r="AR33" s="58" t="str">
        <f>INPUT_OUTPUTS!$C$19</f>
        <v>C1/M-501</v>
      </c>
      <c r="AS33" s="60" t="str">
        <f t="shared" si="22"/>
        <v>1, 2</v>
      </c>
    </row>
    <row r="34" spans="29:46" ht="15" customHeight="1">
      <c r="AC34" s="59" t="s">
        <v>137</v>
      </c>
      <c r="AD34" s="56" t="s">
        <v>88</v>
      </c>
      <c r="AE34" s="56" t="s">
        <v>94</v>
      </c>
      <c r="AF34" s="57">
        <f t="shared" si="11"/>
        <v>0</v>
      </c>
      <c r="AG34" s="57" t="str">
        <f>IFERROR((VLOOKUP(AF34,'DO NOT TOUCH'!$P$9:$Q$14,2,TRUE)),"TBD")</f>
        <v>TBD</v>
      </c>
      <c r="AH34" s="57">
        <f t="shared" si="19"/>
        <v>0.5</v>
      </c>
      <c r="AI34" s="57">
        <f>INPUT_OUTPUTS!$C$16</f>
        <v>140</v>
      </c>
      <c r="AJ34" s="57">
        <f>INPUT_OUTPUTS!$C$17</f>
        <v>100</v>
      </c>
      <c r="AK34" s="57">
        <f t="shared" si="23"/>
        <v>55</v>
      </c>
      <c r="AL34" s="57">
        <f t="shared" si="23"/>
        <v>85</v>
      </c>
      <c r="AM34" s="57">
        <f t="shared" si="12"/>
        <v>0</v>
      </c>
      <c r="AN34" s="58">
        <f t="shared" si="20"/>
        <v>0</v>
      </c>
      <c r="AO34" s="58">
        <f t="shared" si="15"/>
        <v>0.5</v>
      </c>
      <c r="AP34" s="58">
        <f t="shared" si="21"/>
        <v>5</v>
      </c>
      <c r="AQ34" s="58" t="str">
        <f>IFERROR((_xlfn.XLOOKUP(AG34,'DO NOT TOUCH'!$Q$9:$Q$14,'DO NOT TOUCH'!$R$9:$R$14,)),"TBD")</f>
        <v>TBD</v>
      </c>
      <c r="AR34" s="58" t="str">
        <f>INPUT_OUTPUTS!$C$19</f>
        <v>C1/M-501</v>
      </c>
      <c r="AS34" s="60" t="str">
        <f t="shared" si="22"/>
        <v>1, 2</v>
      </c>
    </row>
    <row r="35" spans="29:46" ht="15" customHeight="1">
      <c r="AC35" s="59" t="s">
        <v>138</v>
      </c>
      <c r="AD35" s="56" t="s">
        <v>88</v>
      </c>
      <c r="AE35" s="56" t="s">
        <v>94</v>
      </c>
      <c r="AF35" s="57">
        <f t="shared" si="11"/>
        <v>0</v>
      </c>
      <c r="AG35" s="57" t="str">
        <f>IFERROR((VLOOKUP(AF35,'DO NOT TOUCH'!$P$9:$Q$14,2,TRUE)),"TBD")</f>
        <v>TBD</v>
      </c>
      <c r="AH35" s="57">
        <f t="shared" si="19"/>
        <v>0.5</v>
      </c>
      <c r="AI35" s="57">
        <f>INPUT_OUTPUTS!$C$16</f>
        <v>140</v>
      </c>
      <c r="AJ35" s="57">
        <f>INPUT_OUTPUTS!$C$17</f>
        <v>100</v>
      </c>
      <c r="AK35" s="57">
        <f t="shared" si="23"/>
        <v>55</v>
      </c>
      <c r="AL35" s="57">
        <f t="shared" si="23"/>
        <v>85</v>
      </c>
      <c r="AM35" s="57">
        <f t="shared" si="12"/>
        <v>0</v>
      </c>
      <c r="AN35" s="58">
        <f t="shared" si="20"/>
        <v>0</v>
      </c>
      <c r="AO35" s="58">
        <f t="shared" si="15"/>
        <v>0.5</v>
      </c>
      <c r="AP35" s="58">
        <f t="shared" si="21"/>
        <v>5</v>
      </c>
      <c r="AQ35" s="58" t="str">
        <f>IFERROR((_xlfn.XLOOKUP(AG35,'DO NOT TOUCH'!$Q$9:$Q$14,'DO NOT TOUCH'!$R$9:$R$14,)),"TBD")</f>
        <v>TBD</v>
      </c>
      <c r="AR35" s="58" t="str">
        <f>INPUT_OUTPUTS!$C$19</f>
        <v>C1/M-501</v>
      </c>
      <c r="AS35" s="60" t="str">
        <f t="shared" si="22"/>
        <v>1, 2</v>
      </c>
    </row>
    <row r="36" spans="29:46" ht="15" customHeight="1">
      <c r="AC36" s="59" t="s">
        <v>139</v>
      </c>
      <c r="AD36" s="56" t="s">
        <v>88</v>
      </c>
      <c r="AE36" s="56" t="s">
        <v>94</v>
      </c>
      <c r="AF36" s="57">
        <f t="shared" si="11"/>
        <v>0</v>
      </c>
      <c r="AG36" s="57" t="str">
        <f>IFERROR((VLOOKUP(AF36,'DO NOT TOUCH'!$P$9:$Q$14,2,TRUE)),"TBD")</f>
        <v>TBD</v>
      </c>
      <c r="AH36" s="57">
        <f t="shared" si="19"/>
        <v>0.5</v>
      </c>
      <c r="AI36" s="57">
        <f>INPUT_OUTPUTS!$C$16</f>
        <v>140</v>
      </c>
      <c r="AJ36" s="57">
        <f>INPUT_OUTPUTS!$C$17</f>
        <v>100</v>
      </c>
      <c r="AK36" s="57">
        <f t="shared" si="23"/>
        <v>55</v>
      </c>
      <c r="AL36" s="57">
        <f t="shared" si="23"/>
        <v>85</v>
      </c>
      <c r="AM36" s="57">
        <f t="shared" si="12"/>
        <v>0</v>
      </c>
      <c r="AN36" s="58">
        <f t="shared" si="20"/>
        <v>0</v>
      </c>
      <c r="AO36" s="58">
        <f t="shared" si="15"/>
        <v>0.5</v>
      </c>
      <c r="AP36" s="58">
        <f t="shared" si="21"/>
        <v>5</v>
      </c>
      <c r="AQ36" s="58" t="str">
        <f>IFERROR((_xlfn.XLOOKUP(AG36,'DO NOT TOUCH'!$Q$9:$Q$14,'DO NOT TOUCH'!$R$9:$R$14,)),"TBD")</f>
        <v>TBD</v>
      </c>
      <c r="AR36" s="58" t="str">
        <f>INPUT_OUTPUTS!$C$19</f>
        <v>C1/M-501</v>
      </c>
      <c r="AS36" s="60" t="str">
        <f t="shared" si="22"/>
        <v>1, 2</v>
      </c>
    </row>
    <row r="37" spans="29:46" ht="15" customHeight="1">
      <c r="AC37" s="59" t="s">
        <v>140</v>
      </c>
      <c r="AD37" s="56" t="s">
        <v>88</v>
      </c>
      <c r="AE37" s="56" t="s">
        <v>94</v>
      </c>
      <c r="AF37" s="57">
        <f t="shared" si="11"/>
        <v>0</v>
      </c>
      <c r="AG37" s="57" t="str">
        <f>IFERROR((VLOOKUP(AF37,'DO NOT TOUCH'!$P$9:$Q$14,2,TRUE)),"TBD")</f>
        <v>TBD</v>
      </c>
      <c r="AH37" s="57">
        <f t="shared" si="19"/>
        <v>0.5</v>
      </c>
      <c r="AI37" s="57">
        <f>INPUT_OUTPUTS!$C$16</f>
        <v>140</v>
      </c>
      <c r="AJ37" s="57">
        <f>INPUT_OUTPUTS!$C$17</f>
        <v>100</v>
      </c>
      <c r="AK37" s="57">
        <f t="shared" si="23"/>
        <v>55</v>
      </c>
      <c r="AL37" s="57">
        <f t="shared" si="23"/>
        <v>85</v>
      </c>
      <c r="AM37" s="57">
        <f t="shared" si="12"/>
        <v>0</v>
      </c>
      <c r="AN37" s="58">
        <f t="shared" si="20"/>
        <v>0</v>
      </c>
      <c r="AO37" s="58">
        <f t="shared" si="15"/>
        <v>0.5</v>
      </c>
      <c r="AP37" s="58">
        <f t="shared" si="21"/>
        <v>5</v>
      </c>
      <c r="AQ37" s="58" t="str">
        <f>IFERROR((_xlfn.XLOOKUP(AG37,'DO NOT TOUCH'!$Q$9:$Q$14,'DO NOT TOUCH'!$R$9:$R$14,)),"TBD")</f>
        <v>TBD</v>
      </c>
      <c r="AR37" s="58" t="str">
        <f>INPUT_OUTPUTS!$C$19</f>
        <v>C1/M-501</v>
      </c>
      <c r="AS37" s="60" t="str">
        <f t="shared" si="22"/>
        <v>1, 2</v>
      </c>
    </row>
    <row r="38" spans="29:46" ht="15" customHeight="1">
      <c r="AC38" s="59" t="s">
        <v>141</v>
      </c>
      <c r="AD38" s="56" t="s">
        <v>88</v>
      </c>
      <c r="AE38" s="56" t="s">
        <v>94</v>
      </c>
      <c r="AF38" s="57">
        <f t="shared" si="11"/>
        <v>0</v>
      </c>
      <c r="AG38" s="57" t="str">
        <f>IFERROR((VLOOKUP(AF38,'DO NOT TOUCH'!$P$9:$Q$14,2,TRUE)),"TBD")</f>
        <v>TBD</v>
      </c>
      <c r="AH38" s="57">
        <f t="shared" si="19"/>
        <v>0.5</v>
      </c>
      <c r="AI38" s="57">
        <f>INPUT_OUTPUTS!$C$16</f>
        <v>140</v>
      </c>
      <c r="AJ38" s="57">
        <f>INPUT_OUTPUTS!$C$17</f>
        <v>100</v>
      </c>
      <c r="AK38" s="57">
        <f t="shared" si="23"/>
        <v>55</v>
      </c>
      <c r="AL38" s="57">
        <f t="shared" si="23"/>
        <v>85</v>
      </c>
      <c r="AM38" s="57">
        <f t="shared" si="12"/>
        <v>0</v>
      </c>
      <c r="AN38" s="58">
        <f t="shared" si="20"/>
        <v>0</v>
      </c>
      <c r="AO38" s="58">
        <f t="shared" si="15"/>
        <v>0.5</v>
      </c>
      <c r="AP38" s="58">
        <f t="shared" si="21"/>
        <v>5</v>
      </c>
      <c r="AQ38" s="58" t="str">
        <f>IFERROR((_xlfn.XLOOKUP(AG38,'DO NOT TOUCH'!$Q$9:$Q$14,'DO NOT TOUCH'!$R$9:$R$14,)),"TBD")</f>
        <v>TBD</v>
      </c>
      <c r="AR38" s="58" t="str">
        <f>INPUT_OUTPUTS!$C$19</f>
        <v>C1/M-501</v>
      </c>
      <c r="AS38" s="60" t="str">
        <f t="shared" si="22"/>
        <v>1, 2</v>
      </c>
    </row>
    <row r="39" spans="29:46" ht="15" customHeight="1">
      <c r="AC39" s="59" t="s">
        <v>142</v>
      </c>
      <c r="AD39" s="56" t="s">
        <v>88</v>
      </c>
      <c r="AE39" s="56" t="s">
        <v>94</v>
      </c>
      <c r="AF39" s="57">
        <f t="shared" si="11"/>
        <v>0</v>
      </c>
      <c r="AG39" s="57" t="str">
        <f>IFERROR((VLOOKUP(AF39,'DO NOT TOUCH'!$P$9:$Q$14,2,TRUE)),"TBD")</f>
        <v>TBD</v>
      </c>
      <c r="AH39" s="57">
        <f t="shared" si="19"/>
        <v>0.5</v>
      </c>
      <c r="AI39" s="57">
        <f>INPUT_OUTPUTS!$C$16</f>
        <v>140</v>
      </c>
      <c r="AJ39" s="57">
        <f>INPUT_OUTPUTS!$C$17</f>
        <v>100</v>
      </c>
      <c r="AK39" s="57">
        <f t="shared" si="23"/>
        <v>55</v>
      </c>
      <c r="AL39" s="57">
        <f t="shared" si="23"/>
        <v>85</v>
      </c>
      <c r="AM39" s="57">
        <f t="shared" si="12"/>
        <v>0</v>
      </c>
      <c r="AN39" s="58">
        <f t="shared" si="20"/>
        <v>0</v>
      </c>
      <c r="AO39" s="58">
        <f t="shared" si="15"/>
        <v>0.5</v>
      </c>
      <c r="AP39" s="58">
        <f t="shared" si="21"/>
        <v>5</v>
      </c>
      <c r="AQ39" s="58" t="str">
        <f>IFERROR((_xlfn.XLOOKUP(AG39,'DO NOT TOUCH'!$Q$9:$Q$14,'DO NOT TOUCH'!$R$9:$R$14,)),"TBD")</f>
        <v>TBD</v>
      </c>
      <c r="AR39" s="58" t="str">
        <f>INPUT_OUTPUTS!$C$19</f>
        <v>C1/M-501</v>
      </c>
      <c r="AS39" s="60" t="str">
        <f t="shared" si="22"/>
        <v>1, 2</v>
      </c>
    </row>
    <row r="40" spans="29:46" ht="15" customHeight="1">
      <c r="AC40" s="59" t="s">
        <v>143</v>
      </c>
      <c r="AD40" s="56" t="s">
        <v>88</v>
      </c>
      <c r="AE40" s="56" t="s">
        <v>94</v>
      </c>
      <c r="AF40" s="57">
        <f t="shared" si="11"/>
        <v>0</v>
      </c>
      <c r="AG40" s="57" t="str">
        <f>IFERROR((VLOOKUP(AF40,'DO NOT TOUCH'!$P$9:$Q$14,2,TRUE)),"TBD")</f>
        <v>TBD</v>
      </c>
      <c r="AH40" s="57">
        <f t="shared" si="19"/>
        <v>0.5</v>
      </c>
      <c r="AI40" s="57">
        <f>INPUT_OUTPUTS!$C$16</f>
        <v>140</v>
      </c>
      <c r="AJ40" s="57">
        <f>INPUT_OUTPUTS!$C$17</f>
        <v>100</v>
      </c>
      <c r="AK40" s="57">
        <f t="shared" ref="AK40:AL44" si="24">AK39</f>
        <v>55</v>
      </c>
      <c r="AL40" s="57">
        <f t="shared" si="24"/>
        <v>85</v>
      </c>
      <c r="AM40" s="57">
        <f t="shared" si="12"/>
        <v>0</v>
      </c>
      <c r="AN40" s="58">
        <f t="shared" si="20"/>
        <v>0</v>
      </c>
      <c r="AO40" s="58">
        <f t="shared" si="15"/>
        <v>0.5</v>
      </c>
      <c r="AP40" s="58">
        <f t="shared" si="21"/>
        <v>5</v>
      </c>
      <c r="AQ40" s="58" t="str">
        <f>IFERROR((_xlfn.XLOOKUP(AG40,'DO NOT TOUCH'!$Q$9:$Q$14,'DO NOT TOUCH'!$R$9:$R$14,)),"TBD")</f>
        <v>TBD</v>
      </c>
      <c r="AR40" s="58" t="str">
        <f>INPUT_OUTPUTS!$C$19</f>
        <v>C1/M-501</v>
      </c>
      <c r="AS40" s="60" t="str">
        <f t="shared" si="22"/>
        <v>1, 2</v>
      </c>
    </row>
    <row r="41" spans="29:46" ht="15" customHeight="1">
      <c r="AC41" s="59" t="s">
        <v>144</v>
      </c>
      <c r="AD41" s="56" t="s">
        <v>88</v>
      </c>
      <c r="AE41" s="56" t="s">
        <v>94</v>
      </c>
      <c r="AF41" s="57">
        <f t="shared" si="11"/>
        <v>0</v>
      </c>
      <c r="AG41" s="57" t="str">
        <f>IFERROR((VLOOKUP(AF41,'DO NOT TOUCH'!$P$9:$Q$14,2,TRUE)),"TBD")</f>
        <v>TBD</v>
      </c>
      <c r="AH41" s="57">
        <f t="shared" si="19"/>
        <v>0.5</v>
      </c>
      <c r="AI41" s="57">
        <f>INPUT_OUTPUTS!$C$16</f>
        <v>140</v>
      </c>
      <c r="AJ41" s="57">
        <f>INPUT_OUTPUTS!$C$17</f>
        <v>100</v>
      </c>
      <c r="AK41" s="57">
        <f t="shared" si="24"/>
        <v>55</v>
      </c>
      <c r="AL41" s="57">
        <f t="shared" si="24"/>
        <v>85</v>
      </c>
      <c r="AM41" s="57">
        <f t="shared" si="12"/>
        <v>0</v>
      </c>
      <c r="AN41" s="58">
        <f t="shared" si="20"/>
        <v>0</v>
      </c>
      <c r="AO41" s="58">
        <f t="shared" si="15"/>
        <v>0.5</v>
      </c>
      <c r="AP41" s="58">
        <f t="shared" si="21"/>
        <v>5</v>
      </c>
      <c r="AQ41" s="58" t="str">
        <f>IFERROR((_xlfn.XLOOKUP(AG41,'DO NOT TOUCH'!$Q$9:$Q$14,'DO NOT TOUCH'!$R$9:$R$14,)),"TBD")</f>
        <v>TBD</v>
      </c>
      <c r="AR41" s="58" t="str">
        <f>INPUT_OUTPUTS!$C$19</f>
        <v>C1/M-501</v>
      </c>
      <c r="AS41" s="60" t="str">
        <f t="shared" si="22"/>
        <v>1, 2</v>
      </c>
    </row>
    <row r="42" spans="29:46" ht="15" customHeight="1">
      <c r="AC42" s="59" t="s">
        <v>145</v>
      </c>
      <c r="AD42" s="56" t="s">
        <v>88</v>
      </c>
      <c r="AE42" s="56" t="s">
        <v>94</v>
      </c>
      <c r="AF42" s="57">
        <f t="shared" si="11"/>
        <v>0</v>
      </c>
      <c r="AG42" s="57" t="str">
        <f>IFERROR((VLOOKUP(AF42,'DO NOT TOUCH'!$P$9:$Q$14,2,TRUE)),"TBD")</f>
        <v>TBD</v>
      </c>
      <c r="AH42" s="57">
        <f t="shared" si="19"/>
        <v>0.5</v>
      </c>
      <c r="AI42" s="57">
        <f>INPUT_OUTPUTS!$C$16</f>
        <v>140</v>
      </c>
      <c r="AJ42" s="57">
        <f>INPUT_OUTPUTS!$C$17</f>
        <v>100</v>
      </c>
      <c r="AK42" s="57">
        <f t="shared" si="24"/>
        <v>55</v>
      </c>
      <c r="AL42" s="57">
        <f t="shared" si="24"/>
        <v>85</v>
      </c>
      <c r="AM42" s="57">
        <f t="shared" si="12"/>
        <v>0</v>
      </c>
      <c r="AN42" s="58">
        <f t="shared" si="20"/>
        <v>0</v>
      </c>
      <c r="AO42" s="58">
        <f t="shared" si="15"/>
        <v>0.5</v>
      </c>
      <c r="AP42" s="58">
        <f t="shared" si="21"/>
        <v>5</v>
      </c>
      <c r="AQ42" s="58" t="str">
        <f>IFERROR((_xlfn.XLOOKUP(AG42,'DO NOT TOUCH'!$Q$9:$Q$14,'DO NOT TOUCH'!$R$9:$R$14,)),"TBD")</f>
        <v>TBD</v>
      </c>
      <c r="AR42" s="58" t="str">
        <f>INPUT_OUTPUTS!$C$19</f>
        <v>C1/M-501</v>
      </c>
      <c r="AS42" s="60" t="str">
        <f t="shared" si="22"/>
        <v>1, 2</v>
      </c>
    </row>
    <row r="43" spans="29:46" ht="15" customHeight="1">
      <c r="AC43" s="59" t="s">
        <v>146</v>
      </c>
      <c r="AD43" s="56" t="s">
        <v>88</v>
      </c>
      <c r="AE43" s="56" t="s">
        <v>94</v>
      </c>
      <c r="AF43" s="57">
        <f t="shared" si="11"/>
        <v>0</v>
      </c>
      <c r="AG43" s="57" t="str">
        <f>IFERROR((VLOOKUP(AF43,'DO NOT TOUCH'!$P$9:$Q$14,2,TRUE)),"TBD")</f>
        <v>TBD</v>
      </c>
      <c r="AH43" s="57">
        <f t="shared" si="19"/>
        <v>0.5</v>
      </c>
      <c r="AI43" s="57">
        <f>INPUT_OUTPUTS!$C$16</f>
        <v>140</v>
      </c>
      <c r="AJ43" s="57">
        <f>INPUT_OUTPUTS!$C$17</f>
        <v>100</v>
      </c>
      <c r="AK43" s="57">
        <f t="shared" si="24"/>
        <v>55</v>
      </c>
      <c r="AL43" s="57">
        <f t="shared" si="24"/>
        <v>85</v>
      </c>
      <c r="AM43" s="57">
        <f t="shared" si="12"/>
        <v>0</v>
      </c>
      <c r="AN43" s="58">
        <f t="shared" si="20"/>
        <v>0</v>
      </c>
      <c r="AO43" s="58">
        <f t="shared" si="15"/>
        <v>0.5</v>
      </c>
      <c r="AP43" s="58">
        <f t="shared" si="21"/>
        <v>5</v>
      </c>
      <c r="AQ43" s="58" t="str">
        <f>IFERROR((_xlfn.XLOOKUP(AG43,'DO NOT TOUCH'!$Q$9:$Q$14,'DO NOT TOUCH'!$R$9:$R$14,)),"TBD")</f>
        <v>TBD</v>
      </c>
      <c r="AR43" s="58" t="str">
        <f>INPUT_OUTPUTS!$C$19</f>
        <v>C1/M-501</v>
      </c>
      <c r="AS43" s="60" t="str">
        <f t="shared" si="22"/>
        <v>1, 2</v>
      </c>
    </row>
    <row r="44" spans="29:46" ht="15" customHeight="1">
      <c r="AC44" s="61" t="s">
        <v>148</v>
      </c>
      <c r="AD44" s="62" t="s">
        <v>88</v>
      </c>
      <c r="AE44" s="62" t="s">
        <v>94</v>
      </c>
      <c r="AF44" s="63">
        <f t="shared" si="11"/>
        <v>0</v>
      </c>
      <c r="AG44" s="63" t="str">
        <f>IFERROR((VLOOKUP(AF44,'DO NOT TOUCH'!$P$9:$Q$14,2,TRUE)),"TBD")</f>
        <v>TBD</v>
      </c>
      <c r="AH44" s="63">
        <f t="shared" si="19"/>
        <v>0.5</v>
      </c>
      <c r="AI44" s="63">
        <f>INPUT_OUTPUTS!$C$16</f>
        <v>140</v>
      </c>
      <c r="AJ44" s="63">
        <f>INPUT_OUTPUTS!$C$17</f>
        <v>100</v>
      </c>
      <c r="AK44" s="63">
        <f t="shared" si="24"/>
        <v>55</v>
      </c>
      <c r="AL44" s="63">
        <f t="shared" si="24"/>
        <v>85</v>
      </c>
      <c r="AM44" s="63">
        <f t="shared" si="12"/>
        <v>0</v>
      </c>
      <c r="AN44" s="64">
        <f t="shared" si="20"/>
        <v>0</v>
      </c>
      <c r="AO44" s="64">
        <f t="shared" si="15"/>
        <v>0.5</v>
      </c>
      <c r="AP44" s="64">
        <f t="shared" si="21"/>
        <v>5</v>
      </c>
      <c r="AQ44" s="64" t="str">
        <f>IFERROR((_xlfn.XLOOKUP(AG44,'DO NOT TOUCH'!$Q$9:$Q$14,'DO NOT TOUCH'!$R$9:$R$14,)),"TBD")</f>
        <v>TBD</v>
      </c>
      <c r="AR44" s="58" t="str">
        <f>INPUT_OUTPUTS!$C$19</f>
        <v>C1/M-501</v>
      </c>
      <c r="AS44" s="65" t="str">
        <f t="shared" si="22"/>
        <v>1, 2</v>
      </c>
      <c r="AT44" s="121"/>
    </row>
    <row r="45" spans="29:46" ht="15" customHeight="1">
      <c r="AC45" s="79" t="s">
        <v>166</v>
      </c>
      <c r="AD45" s="80"/>
      <c r="AE45" s="80"/>
      <c r="AF45" s="81"/>
      <c r="AG45" s="81"/>
      <c r="AH45" s="81"/>
      <c r="AI45" s="81"/>
      <c r="AJ45" s="81"/>
      <c r="AK45" s="81"/>
      <c r="AL45" s="81"/>
      <c r="AM45" s="81">
        <f>SUBTOTAL(109,AHU1_CAV_SCHEDULE44[MIN MBH])</f>
        <v>0</v>
      </c>
      <c r="AN45" s="81"/>
      <c r="AO45" s="83">
        <f>SUBTOTAL(109,AHU1_CAV_SCHEDULE44[GPM])</f>
        <v>19</v>
      </c>
      <c r="AP45" s="81"/>
      <c r="AQ45" s="81"/>
      <c r="AR45" s="81"/>
      <c r="AS45" s="82"/>
      <c r="AT45" s="121"/>
    </row>
    <row r="46" spans="29:46" ht="15" customHeight="1">
      <c r="AC46" s="348" t="s">
        <v>92</v>
      </c>
      <c r="AD46" s="349"/>
      <c r="AE46" s="349"/>
      <c r="AF46" s="349"/>
      <c r="AG46" s="349"/>
      <c r="AH46" s="349"/>
      <c r="AI46" s="349"/>
      <c r="AJ46" s="349"/>
      <c r="AK46" s="349"/>
      <c r="AL46" s="349"/>
      <c r="AM46" s="349"/>
      <c r="AN46" s="349"/>
      <c r="AO46" s="349"/>
      <c r="AP46" s="349"/>
      <c r="AQ46" s="349"/>
      <c r="AR46" s="349"/>
      <c r="AS46" s="350"/>
      <c r="AT46" s="121"/>
    </row>
    <row r="47" spans="29:46" ht="15" customHeight="1">
      <c r="AC47" s="351"/>
      <c r="AD47" s="352"/>
      <c r="AE47" s="352"/>
      <c r="AF47" s="352"/>
      <c r="AG47" s="352"/>
      <c r="AH47" s="352"/>
      <c r="AI47" s="352"/>
      <c r="AJ47" s="352"/>
      <c r="AK47" s="352"/>
      <c r="AL47" s="352"/>
      <c r="AM47" s="352"/>
      <c r="AN47" s="352"/>
      <c r="AO47" s="352"/>
      <c r="AP47" s="352"/>
      <c r="AQ47" s="352"/>
      <c r="AR47" s="352"/>
      <c r="AS47" s="353"/>
      <c r="AT47" s="121"/>
    </row>
    <row r="48" spans="29:46" ht="15" customHeight="1">
      <c r="AC48" s="351"/>
      <c r="AD48" s="352"/>
      <c r="AE48" s="352"/>
      <c r="AF48" s="352"/>
      <c r="AG48" s="352"/>
      <c r="AH48" s="352"/>
      <c r="AI48" s="352"/>
      <c r="AJ48" s="352"/>
      <c r="AK48" s="352"/>
      <c r="AL48" s="352"/>
      <c r="AM48" s="352"/>
      <c r="AN48" s="352"/>
      <c r="AO48" s="352"/>
      <c r="AP48" s="352"/>
      <c r="AQ48" s="352"/>
      <c r="AR48" s="352"/>
      <c r="AS48" s="353"/>
      <c r="AT48" s="121"/>
    </row>
    <row r="49" spans="29:46" ht="15" customHeight="1">
      <c r="AC49" s="354"/>
      <c r="AD49" s="355"/>
      <c r="AE49" s="355"/>
      <c r="AF49" s="355"/>
      <c r="AG49" s="355"/>
      <c r="AH49" s="355"/>
      <c r="AI49" s="355"/>
      <c r="AJ49" s="355"/>
      <c r="AK49" s="355"/>
      <c r="AL49" s="355"/>
      <c r="AM49" s="355"/>
      <c r="AN49" s="355"/>
      <c r="AO49" s="355"/>
      <c r="AP49" s="355"/>
      <c r="AQ49" s="355"/>
      <c r="AR49" s="355"/>
      <c r="AS49" s="356"/>
      <c r="AT49" s="121"/>
    </row>
    <row r="50" spans="29:46" ht="15" customHeight="1"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</row>
    <row r="51" spans="29:46" ht="15" customHeight="1"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</row>
    <row r="52" spans="29:46" ht="15" customHeight="1"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</row>
    <row r="53" spans="29:46" ht="15" customHeight="1"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</row>
    <row r="54" spans="29:46" ht="15" customHeight="1"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</row>
    <row r="55" spans="29:46" ht="15" customHeight="1">
      <c r="AC55" s="125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T55" s="121"/>
    </row>
    <row r="56" spans="29:46" ht="15" customHeight="1">
      <c r="AC56" s="125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T56" s="121"/>
    </row>
    <row r="57" spans="29:46" ht="15" customHeight="1">
      <c r="AC57" s="125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T57" s="121"/>
    </row>
    <row r="58" spans="29:46" ht="15" customHeight="1">
      <c r="AC58" s="125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T58" s="121"/>
    </row>
    <row r="59" spans="29:46" ht="15" customHeight="1">
      <c r="AC59" s="125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T59" s="121"/>
    </row>
    <row r="60" spans="29:46" ht="15" customHeight="1">
      <c r="AC60" s="125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T60" s="121"/>
    </row>
    <row r="61" spans="29:46" ht="15" customHeight="1">
      <c r="AC61" s="125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T61" s="121"/>
    </row>
    <row r="62" spans="29:46" ht="15" customHeight="1">
      <c r="AC62" s="125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T62" s="121"/>
    </row>
    <row r="63" spans="29:46" ht="15" customHeight="1">
      <c r="AC63" s="125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T63" s="121"/>
    </row>
    <row r="64" spans="29:46" ht="15" customHeight="1">
      <c r="AC64" s="125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T64" s="121"/>
    </row>
    <row r="65" spans="27:47" ht="15" customHeight="1">
      <c r="AC65" s="125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T65" s="121"/>
    </row>
    <row r="66" spans="27:47" ht="15" customHeight="1">
      <c r="AC66" s="125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T66" s="121"/>
    </row>
    <row r="67" spans="27:47" ht="15" customHeight="1">
      <c r="AC67" s="125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T67" s="121"/>
    </row>
    <row r="68" spans="27:47" ht="15" customHeight="1">
      <c r="AC68" s="125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T68" s="121"/>
    </row>
    <row r="69" spans="27:47" ht="15" customHeight="1">
      <c r="AC69" s="125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T69" s="121"/>
    </row>
    <row r="70" spans="27:47" ht="15" customHeight="1">
      <c r="AC70" s="125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T70" s="121"/>
    </row>
    <row r="71" spans="27:47" ht="15" customHeight="1">
      <c r="AC71" s="125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T71" s="121"/>
    </row>
    <row r="72" spans="27:47" ht="15" customHeight="1">
      <c r="AC72" s="125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T72" s="121"/>
    </row>
    <row r="73" spans="27:47" ht="15" customHeight="1">
      <c r="AC73" s="125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T73" s="121"/>
    </row>
    <row r="74" spans="27:47" ht="15" customHeight="1">
      <c r="AC74" s="125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T74" s="121"/>
    </row>
    <row r="75" spans="27:47" ht="15" customHeight="1">
      <c r="AC75" s="125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T75" s="121"/>
    </row>
    <row r="76" spans="27:47" ht="15" customHeight="1">
      <c r="AC76" s="125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T76" s="121"/>
    </row>
    <row r="77" spans="27:47" ht="15" customHeight="1">
      <c r="AC77" s="125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T77" s="121"/>
    </row>
    <row r="78" spans="27:47" ht="15" customHeight="1">
      <c r="AC78" s="125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T78" s="121"/>
    </row>
    <row r="79" spans="27:47" ht="15" customHeight="1">
      <c r="AC79" s="125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T79" s="121"/>
    </row>
    <row r="80" spans="27:47">
      <c r="AA80" s="140"/>
      <c r="AC80" s="125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U80" s="121"/>
    </row>
    <row r="81" spans="27:47" ht="15" customHeight="1">
      <c r="AA81" s="140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U81" s="121"/>
    </row>
    <row r="82" spans="27:47" ht="15" customHeight="1">
      <c r="AA82" s="14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U82" s="121"/>
    </row>
    <row r="83" spans="27:47" ht="15" customHeight="1"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U83" s="121"/>
    </row>
    <row r="84" spans="27:47" ht="15" customHeight="1"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U84" s="121"/>
    </row>
    <row r="85" spans="27:47" ht="15" customHeight="1"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U85" s="121"/>
    </row>
    <row r="86" spans="27:47" ht="15" customHeight="1"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U86" s="121"/>
    </row>
    <row r="87" spans="27:47" ht="15" customHeight="1"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U87" s="121"/>
    </row>
    <row r="88" spans="27:47" ht="15" customHeight="1"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U88" s="121"/>
    </row>
    <row r="89" spans="27:47" ht="15" customHeight="1"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U89" s="121"/>
    </row>
    <row r="90" spans="27:47" ht="15" customHeight="1"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U90" s="121"/>
    </row>
    <row r="91" spans="27:47" ht="15" customHeight="1"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U91" s="121"/>
    </row>
    <row r="92" spans="27:47" ht="15" customHeight="1"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U92" s="121"/>
    </row>
    <row r="93" spans="27:47" ht="15" customHeight="1"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U93" s="121"/>
    </row>
    <row r="94" spans="27:47" ht="15" customHeight="1"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U94" s="121"/>
    </row>
    <row r="95" spans="27:47" ht="15" customHeight="1"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U95" s="121"/>
    </row>
    <row r="96" spans="27:47" ht="15" customHeight="1"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U96" s="121"/>
    </row>
    <row r="97" spans="33:47" ht="15" customHeight="1"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U97" s="121"/>
    </row>
    <row r="98" spans="33:47" ht="15.75" customHeight="1"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U98" s="121"/>
    </row>
    <row r="99" spans="33:47"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U99" s="121"/>
    </row>
    <row r="100" spans="33:47"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U100" s="121"/>
    </row>
    <row r="101" spans="33:47"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U101" s="121"/>
    </row>
    <row r="102" spans="33:47" ht="15" customHeight="1"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U102" s="121"/>
    </row>
    <row r="103" spans="33:47"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</row>
    <row r="104" spans="33:47">
      <c r="AP104" s="144"/>
      <c r="AQ104" s="144"/>
      <c r="AR104" s="144"/>
      <c r="AS104" s="144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296" priority="326" operator="greaterThan">
      <formula>$Y$4</formula>
    </cfRule>
  </conditionalFormatting>
  <dataValidations count="3">
    <dataValidation type="whole" operator="greaterThan" allowBlank="1" showInputMessage="1" showErrorMessage="1" sqref="E7:E17" xr:uid="{2F2D2EC7-6AFE-904F-B512-0CC9A417255E}">
      <formula1>1</formula1>
    </dataValidation>
    <dataValidation type="decimal" operator="greaterThan" allowBlank="1" showInputMessage="1" showErrorMessage="1" sqref="F7:F17" xr:uid="{1B317C93-78B3-6846-8ADC-FA5D45124E5F}">
      <formula1>1</formula1>
    </dataValidation>
    <dataValidation type="whole" operator="greaterThan" allowBlank="1" showInputMessage="1" showErrorMessage="1" sqref="S7:U17" xr:uid="{8C8A5046-B0AA-A045-89C9-D5331CBB455F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3315F8CC-E640-E44F-8FD0-662DFDADC281}">
          <x14:formula1>
            <xm:f>'UMC Table 4-A'!$A$2:$A$131</xm:f>
          </x14:formula1>
          <xm:sqref>M7:M9 M11:M17</xm:sqref>
        </x14:dataValidation>
        <x14:dataValidation type="list" allowBlank="1" showInputMessage="1" showErrorMessage="1" promptTitle="Title" prompt="Input message" xr:uid="{5D92F936-202C-1D45-B318-356AAEB5D1DA}">
          <x14:formula1>
            <xm:f>'UMC Table 4-A'!$A$1:$A$126</xm:f>
          </x14:formula1>
          <xm:sqref>M10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4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Q23" sqref="Q23"/>
    </sheetView>
  </sheetViews>
  <sheetFormatPr defaultColWidth="8.85546875" defaultRowHeight="12.75" outlineLevelCol="3"/>
  <cols>
    <col min="1" max="1" width="14.85546875" bestFit="1" customWidth="1"/>
    <col min="2" max="2" width="13.140625" bestFit="1" customWidth="1"/>
    <col min="3" max="3" width="11.42578125" hidden="1" customWidth="1"/>
    <col min="4" max="4" width="11.85546875" bestFit="1" customWidth="1"/>
    <col min="5" max="5" width="15.7109375" hidden="1" customWidth="1"/>
    <col min="6" max="6" width="15.7109375" bestFit="1" customWidth="1"/>
    <col min="7" max="7" width="9.28515625" customWidth="1"/>
    <col min="8" max="8" width="9.140625" customWidth="1"/>
    <col min="9" max="9" width="9.140625" hidden="1" customWidth="1"/>
    <col min="10" max="10" width="10" hidden="1" customWidth="1"/>
    <col min="11" max="14" width="9.140625" hidden="1" customWidth="1"/>
    <col min="15" max="15" width="9.7109375" hidden="1" customWidth="1"/>
    <col min="16" max="16" width="9.28515625" customWidth="1"/>
    <col min="17" max="17" width="9.7109375" customWidth="1"/>
    <col min="18" max="18" width="9.140625" customWidth="1"/>
    <col min="19" max="19" width="9.28515625" customWidth="1"/>
    <col min="20" max="20" width="9.7109375" customWidth="1"/>
    <col min="21" max="21" width="9.140625" customWidth="1"/>
    <col min="22" max="23" width="10" customWidth="1"/>
    <col min="24" max="24" width="16.85546875" bestFit="1" customWidth="1"/>
    <col min="25" max="26" width="9.42578125" hidden="1" customWidth="1"/>
    <col min="27" max="27" width="10" bestFit="1" customWidth="1"/>
    <col min="28" max="28" width="9.28515625" customWidth="1"/>
    <col min="29" max="29" width="9.7109375" customWidth="1"/>
    <col min="30" max="30" width="9.140625" customWidth="1"/>
    <col min="31" max="31" width="9.28515625" customWidth="1"/>
    <col min="32" max="32" width="9.7109375" customWidth="1"/>
    <col min="33" max="33" width="9.140625" customWidth="1"/>
    <col min="34" max="36" width="9.140625" hidden="1" customWidth="1"/>
    <col min="37" max="37" width="10" customWidth="1"/>
    <col min="38" max="38" width="14.7109375" customWidth="1"/>
    <col min="39" max="39" width="16.85546875" bestFit="1" customWidth="1"/>
    <col min="40" max="41" width="9.42578125" hidden="1" customWidth="1"/>
    <col min="42" max="42" width="12" bestFit="1" customWidth="1"/>
    <col min="43" max="43" width="13.7109375" bestFit="1" customWidth="1"/>
    <col min="44" max="44" width="12.7109375" bestFit="1" customWidth="1"/>
    <col min="45" max="45" width="14.140625" customWidth="1"/>
    <col min="46" max="46" width="9.140625" customWidth="1"/>
    <col min="47" max="47" width="9.28515625" customWidth="1"/>
    <col min="48" max="48" width="26" customWidth="1"/>
    <col min="49" max="49" width="17" customWidth="1"/>
    <col min="50" max="51" width="9.42578125" customWidth="1"/>
    <col min="52" max="52" width="8.28515625" customWidth="1" collapsed="1"/>
    <col min="53" max="53" width="9.7109375" hidden="1" customWidth="1" outlineLevel="3"/>
    <col min="54" max="54" width="10.140625" hidden="1" customWidth="1" outlineLevel="3" collapsed="1"/>
    <col min="55" max="55" width="9.28515625" customWidth="1" collapsed="1"/>
    <col min="56" max="57" width="22.42578125" customWidth="1"/>
    <col min="58" max="58" width="10.7109375" bestFit="1" customWidth="1"/>
  </cols>
  <sheetData>
    <row r="2" spans="1:58">
      <c r="B2" s="100"/>
      <c r="D2" s="100"/>
    </row>
    <row r="8" spans="1:58" s="86" customFormat="1" ht="12.95" customHeight="1">
      <c r="A8" s="366"/>
      <c r="B8" s="367" t="s">
        <v>39</v>
      </c>
      <c r="C8" s="367"/>
      <c r="D8" s="367"/>
      <c r="E8" s="367"/>
      <c r="F8" s="367"/>
      <c r="G8" s="367"/>
      <c r="H8" s="367"/>
      <c r="I8" s="367"/>
      <c r="J8" s="367"/>
      <c r="K8" s="367"/>
      <c r="L8" s="367"/>
      <c r="M8" s="367"/>
      <c r="N8" s="367"/>
      <c r="O8" s="367"/>
      <c r="P8" s="367" t="s">
        <v>40</v>
      </c>
      <c r="Q8" s="367"/>
      <c r="R8" s="367"/>
      <c r="S8" s="367"/>
      <c r="T8" s="367"/>
      <c r="U8" s="367"/>
      <c r="V8" s="367"/>
      <c r="W8" s="367"/>
      <c r="X8" s="367"/>
      <c r="Y8" s="367"/>
      <c r="Z8" s="367"/>
      <c r="AA8" s="367"/>
      <c r="AB8" s="367" t="s">
        <v>41</v>
      </c>
      <c r="AC8" s="367"/>
      <c r="AD8" s="367"/>
      <c r="AE8" s="367"/>
      <c r="AF8" s="367"/>
      <c r="AG8" s="367"/>
      <c r="AH8" s="367"/>
      <c r="AI8" s="367"/>
      <c r="AJ8" s="367"/>
      <c r="AK8" s="367"/>
      <c r="AL8" s="367"/>
      <c r="AM8" s="367"/>
      <c r="AN8" s="367"/>
      <c r="AO8" s="367"/>
      <c r="AP8" s="367"/>
      <c r="AQ8" s="367" t="s">
        <v>42</v>
      </c>
      <c r="AR8" s="367"/>
      <c r="AS8" s="367"/>
      <c r="AT8" s="367" t="s">
        <v>80</v>
      </c>
      <c r="AU8" s="367"/>
      <c r="AV8" s="367"/>
      <c r="AW8" s="367"/>
      <c r="AX8" s="367"/>
      <c r="AY8" s="367"/>
      <c r="AZ8" s="367"/>
      <c r="BA8" s="367" t="s">
        <v>70</v>
      </c>
      <c r="BB8" s="367"/>
      <c r="BC8" s="367" t="s">
        <v>44</v>
      </c>
      <c r="BD8" s="367"/>
      <c r="BE8" s="367"/>
      <c r="BF8" s="367"/>
    </row>
    <row r="9" spans="1:58" s="17" customFormat="1" ht="32.25" customHeight="1">
      <c r="A9" s="366"/>
      <c r="B9" s="365" t="s">
        <v>13</v>
      </c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6" t="s">
        <v>45</v>
      </c>
      <c r="P9" s="365" t="s">
        <v>46</v>
      </c>
      <c r="Q9" s="365"/>
      <c r="R9" s="365"/>
      <c r="S9" s="365"/>
      <c r="T9" s="365"/>
      <c r="U9" s="365"/>
      <c r="V9" s="368" t="s">
        <v>48</v>
      </c>
      <c r="W9" s="368"/>
      <c r="X9" s="369" t="s">
        <v>240</v>
      </c>
      <c r="Y9" s="366" t="s">
        <v>239</v>
      </c>
      <c r="Z9" s="366"/>
      <c r="AA9" s="366"/>
      <c r="AB9" s="365" t="s">
        <v>46</v>
      </c>
      <c r="AC9" s="365"/>
      <c r="AD9" s="365"/>
      <c r="AE9" s="365"/>
      <c r="AF9" s="365"/>
      <c r="AG9" s="365"/>
      <c r="AH9" s="365" t="s">
        <v>47</v>
      </c>
      <c r="AI9" s="365"/>
      <c r="AJ9" s="365"/>
      <c r="AK9" s="368" t="s">
        <v>49</v>
      </c>
      <c r="AL9" s="368"/>
      <c r="AM9" s="369" t="s">
        <v>240</v>
      </c>
      <c r="AN9" s="366" t="s">
        <v>106</v>
      </c>
      <c r="AO9" s="366"/>
      <c r="AP9" s="366"/>
      <c r="AQ9" s="369" t="s">
        <v>241</v>
      </c>
      <c r="AR9" s="365" t="s">
        <v>27</v>
      </c>
      <c r="AS9" s="365" t="s">
        <v>223</v>
      </c>
      <c r="AT9" s="27"/>
      <c r="AU9" s="365" t="s">
        <v>30</v>
      </c>
      <c r="AV9" s="365"/>
      <c r="AW9" s="27" t="s">
        <v>14</v>
      </c>
      <c r="AX9" s="366" t="s">
        <v>109</v>
      </c>
      <c r="AY9" s="366"/>
      <c r="AZ9" s="366"/>
      <c r="BA9" s="368" t="s">
        <v>73</v>
      </c>
      <c r="BB9" s="365" t="s">
        <v>72</v>
      </c>
      <c r="BC9" s="27"/>
      <c r="BD9" s="27"/>
      <c r="BE9" s="27"/>
      <c r="BF9" s="5"/>
    </row>
    <row r="10" spans="1:58" s="17" customFormat="1" ht="25.5">
      <c r="A10" s="366"/>
      <c r="B10" s="41" t="s">
        <v>15</v>
      </c>
      <c r="C10" s="41"/>
      <c r="D10" s="366" t="s">
        <v>50</v>
      </c>
      <c r="E10" s="366"/>
      <c r="F10" s="366"/>
      <c r="G10" s="366"/>
      <c r="H10" s="366" t="s">
        <v>238</v>
      </c>
      <c r="I10" s="366"/>
      <c r="J10" s="366"/>
      <c r="K10" s="366" t="s">
        <v>51</v>
      </c>
      <c r="L10" s="366"/>
      <c r="M10" s="366"/>
      <c r="N10" s="41" t="s">
        <v>52</v>
      </c>
      <c r="O10" s="366"/>
      <c r="P10" s="366" t="s">
        <v>16</v>
      </c>
      <c r="Q10" s="366"/>
      <c r="R10" s="366"/>
      <c r="S10" s="366" t="s">
        <v>17</v>
      </c>
      <c r="T10" s="366"/>
      <c r="U10" s="366"/>
      <c r="V10" s="41" t="s">
        <v>18</v>
      </c>
      <c r="W10" s="41" t="s">
        <v>19</v>
      </c>
      <c r="X10" s="369"/>
      <c r="Y10" s="366"/>
      <c r="Z10" s="366"/>
      <c r="AA10" s="366"/>
      <c r="AB10" s="366" t="s">
        <v>16</v>
      </c>
      <c r="AC10" s="366"/>
      <c r="AD10" s="366"/>
      <c r="AE10" s="366" t="s">
        <v>17</v>
      </c>
      <c r="AF10" s="366"/>
      <c r="AG10" s="366"/>
      <c r="AH10" s="41" t="s">
        <v>18</v>
      </c>
      <c r="AI10" s="41" t="s">
        <v>53</v>
      </c>
      <c r="AJ10" s="41" t="s">
        <v>19</v>
      </c>
      <c r="AK10" s="41" t="s">
        <v>18</v>
      </c>
      <c r="AL10" s="41" t="s">
        <v>19</v>
      </c>
      <c r="AM10" s="369"/>
      <c r="AN10" s="8" t="s">
        <v>36</v>
      </c>
      <c r="AO10" s="8" t="s">
        <v>107</v>
      </c>
      <c r="AP10" s="41" t="s">
        <v>108</v>
      </c>
      <c r="AQ10" s="369"/>
      <c r="AR10" s="365"/>
      <c r="AS10" s="365"/>
      <c r="AT10" s="41" t="s">
        <v>15</v>
      </c>
      <c r="AU10" s="41" t="s">
        <v>16</v>
      </c>
      <c r="AV10" s="41" t="s">
        <v>17</v>
      </c>
      <c r="AW10" s="41" t="s">
        <v>18</v>
      </c>
      <c r="AX10" s="8" t="s">
        <v>36</v>
      </c>
      <c r="AY10" s="8" t="s">
        <v>107</v>
      </c>
      <c r="AZ10" s="41" t="s">
        <v>108</v>
      </c>
      <c r="BA10" s="368"/>
      <c r="BB10" s="365"/>
      <c r="BC10" s="41" t="s">
        <v>16</v>
      </c>
      <c r="BD10" s="41" t="s">
        <v>17</v>
      </c>
      <c r="BE10" s="41" t="s">
        <v>235</v>
      </c>
      <c r="BF10" s="41" t="s">
        <v>18</v>
      </c>
    </row>
    <row r="11" spans="1:58" s="16" customFormat="1" ht="16.5">
      <c r="A11" s="87" t="s">
        <v>177</v>
      </c>
      <c r="B11" s="88" t="s">
        <v>20</v>
      </c>
      <c r="C11" s="88" t="s">
        <v>78</v>
      </c>
      <c r="D11" s="88" t="s">
        <v>178</v>
      </c>
      <c r="E11" s="88" t="s">
        <v>79</v>
      </c>
      <c r="F11" s="88" t="s">
        <v>21</v>
      </c>
      <c r="G11" s="88" t="s">
        <v>22</v>
      </c>
      <c r="H11" s="88" t="s">
        <v>179</v>
      </c>
      <c r="I11" s="89" t="s">
        <v>180</v>
      </c>
      <c r="J11" s="89" t="s">
        <v>181</v>
      </c>
      <c r="K11" s="88" t="s">
        <v>182</v>
      </c>
      <c r="L11" s="89" t="s">
        <v>183</v>
      </c>
      <c r="M11" s="89" t="s">
        <v>184</v>
      </c>
      <c r="N11" s="89" t="s">
        <v>185</v>
      </c>
      <c r="O11" s="88" t="s">
        <v>186</v>
      </c>
      <c r="P11" s="89" t="s">
        <v>187</v>
      </c>
      <c r="Q11" s="89" t="s">
        <v>188</v>
      </c>
      <c r="R11" s="89" t="s">
        <v>23</v>
      </c>
      <c r="S11" s="89" t="s">
        <v>189</v>
      </c>
      <c r="T11" s="89" t="s">
        <v>190</v>
      </c>
      <c r="U11" s="89" t="s">
        <v>191</v>
      </c>
      <c r="V11" s="88" t="s">
        <v>24</v>
      </c>
      <c r="W11" s="88" t="s">
        <v>192</v>
      </c>
      <c r="X11" s="90" t="s">
        <v>25</v>
      </c>
      <c r="Y11" s="90" t="s">
        <v>193</v>
      </c>
      <c r="Z11" s="90" t="s">
        <v>194</v>
      </c>
      <c r="AA11" s="90" t="s">
        <v>35</v>
      </c>
      <c r="AB11" s="89" t="s">
        <v>195</v>
      </c>
      <c r="AC11" s="89" t="s">
        <v>196</v>
      </c>
      <c r="AD11" s="89" t="s">
        <v>197</v>
      </c>
      <c r="AE11" s="89" t="s">
        <v>198</v>
      </c>
      <c r="AF11" s="89" t="s">
        <v>199</v>
      </c>
      <c r="AG11" s="89" t="s">
        <v>200</v>
      </c>
      <c r="AH11" s="88" t="s">
        <v>201</v>
      </c>
      <c r="AI11" s="88" t="s">
        <v>202</v>
      </c>
      <c r="AJ11" s="88" t="s">
        <v>203</v>
      </c>
      <c r="AK11" s="88" t="s">
        <v>204</v>
      </c>
      <c r="AL11" s="88" t="s">
        <v>205</v>
      </c>
      <c r="AM11" s="88" t="s">
        <v>206</v>
      </c>
      <c r="AN11" s="90" t="s">
        <v>207</v>
      </c>
      <c r="AO11" s="90" t="s">
        <v>208</v>
      </c>
      <c r="AP11" s="90" t="s">
        <v>209</v>
      </c>
      <c r="AQ11" s="88" t="s">
        <v>210</v>
      </c>
      <c r="AR11" s="91" t="s">
        <v>211</v>
      </c>
      <c r="AS11" s="91" t="s">
        <v>222</v>
      </c>
      <c r="AT11" s="88" t="s">
        <v>212</v>
      </c>
      <c r="AU11" s="89" t="s">
        <v>213</v>
      </c>
      <c r="AV11" s="89" t="s">
        <v>214</v>
      </c>
      <c r="AW11" s="88" t="s">
        <v>54</v>
      </c>
      <c r="AX11" s="90" t="s">
        <v>215</v>
      </c>
      <c r="AY11" s="90" t="s">
        <v>216</v>
      </c>
      <c r="AZ11" s="90" t="s">
        <v>217</v>
      </c>
      <c r="BA11" s="88" t="s">
        <v>71</v>
      </c>
      <c r="BB11" s="88" t="s">
        <v>218</v>
      </c>
      <c r="BC11" s="89" t="s">
        <v>219</v>
      </c>
      <c r="BD11" s="89" t="s">
        <v>220</v>
      </c>
      <c r="BE11" s="89" t="s">
        <v>234</v>
      </c>
      <c r="BF11" s="88" t="s">
        <v>221</v>
      </c>
    </row>
    <row r="12" spans="1:58" s="17" customFormat="1" ht="16.5">
      <c r="A12" s="7" t="s">
        <v>242</v>
      </c>
      <c r="B12" s="42">
        <f>'AHU 1'!$AX$2</f>
        <v>5000</v>
      </c>
      <c r="C12" s="43"/>
      <c r="D12" s="42">
        <f>'AHU 1'!$AY$2</f>
        <v>5000</v>
      </c>
      <c r="E12" s="5"/>
      <c r="F12" s="159">
        <v>78</v>
      </c>
      <c r="G12" s="159">
        <v>60</v>
      </c>
      <c r="H12" s="42">
        <f>'AHU 1'!$AZ$2</f>
        <v>1700</v>
      </c>
      <c r="I12" s="5">
        <f>INPUT_OUTPUTS!$C$8</f>
        <v>91</v>
      </c>
      <c r="J12" s="5">
        <f>INPUT_OUTPUTS!$C$9</f>
        <v>71</v>
      </c>
      <c r="K12" s="42">
        <f>Table7[[#This Row],[(CFM)3]]</f>
        <v>1700</v>
      </c>
      <c r="L12" s="5">
        <f>INPUT_OUTPUTS!$C$10</f>
        <v>80.400000000000006</v>
      </c>
      <c r="M12" s="5">
        <f>INPUT_OUTPUTS!$C$11</f>
        <v>68.900000000000006</v>
      </c>
      <c r="N12" s="5">
        <f>INPUT_OUTPUTS!$F$8</f>
        <v>38.9</v>
      </c>
      <c r="O12" s="42">
        <f t="shared" ref="O12" si="0">D12+H12-B12</f>
        <v>1700</v>
      </c>
      <c r="P12" s="5">
        <f t="shared" ref="P12" si="1">F12*((D12-O12)/B12) + I12*(H12/B12)</f>
        <v>82.42</v>
      </c>
      <c r="Q12" s="5">
        <f t="shared" ref="Q12" si="2">TRUNC(G12*((D12-O12)/B12) + J12*(H12/B12),1)</f>
        <v>63.7</v>
      </c>
      <c r="R12" s="40">
        <f>VLOOKUP(FLOOR(Q12,1),'DO NOT TOUCH'!$A$7:$K$57,MATCH(ROUND((Q12-FLOOR(Q12,1)),1),'DO NOT TOUCH'!$A$6:$K$6,0),FALSE)</f>
        <v>29.09</v>
      </c>
      <c r="S12" s="160">
        <v>55</v>
      </c>
      <c r="T12" s="160">
        <v>52.3</v>
      </c>
      <c r="U12" s="5">
        <f>VLOOKUP(FLOOR(T12,1),'DO NOT TOUCH'!$A$7:$K$57,MATCH(ROUND((T12-FLOOR(T12,1)),1),'DO NOT TOUCH'!$A$6:$K$6,0),FALSE)</f>
        <v>21.62</v>
      </c>
      <c r="V12" s="42">
        <f t="shared" ref="V12" si="3">B12*1.085*(P12-S12)</f>
        <v>148753.5</v>
      </c>
      <c r="W12" s="42">
        <f t="shared" ref="W12" si="4">4.5*B12*(R12-U12)</f>
        <v>168074.99999999997</v>
      </c>
      <c r="X12" s="8">
        <f>IF(W12&lt;V12,"INVALID POINT",W12/12000)</f>
        <v>14.006249999999998</v>
      </c>
      <c r="Y12" s="8">
        <f>INPUT_OUTPUTS!$C$14</f>
        <v>42</v>
      </c>
      <c r="Z12" s="8">
        <f>INPUT_OUTPUTS!$C$15</f>
        <v>52</v>
      </c>
      <c r="AA12" s="77">
        <f t="shared" ref="AA12" si="5">W12/(500*(Z12-Y12))</f>
        <v>33.614999999999995</v>
      </c>
      <c r="AB12" s="5">
        <f t="shared" ref="AB12" si="6">F12*((D12-O12)/B12) + L12*(H12/B12)</f>
        <v>78.816000000000003</v>
      </c>
      <c r="AC12" s="5">
        <f>TRUNC(G12*((D12-O12)/B12) + M12*(H12/B12),1)</f>
        <v>63</v>
      </c>
      <c r="AD12" s="5">
        <f>VLOOKUP(FLOOR(AC12,1),'DO NOT TOUCH'!$A$7:$K$57,MATCH(ROUND((AC12-FLOOR(AC12,1)),1),'DO NOT TOUCH'!$A$6:$K$6,0),FALSE)</f>
        <v>28.57</v>
      </c>
      <c r="AE12" s="5">
        <f>Table7[[#This Row],[(˚F db)13]]</f>
        <v>55</v>
      </c>
      <c r="AF12" s="5">
        <f>Table7[[#This Row],[(˚F wb)14]]</f>
        <v>52.3</v>
      </c>
      <c r="AG12" s="5">
        <f>VLOOKUP(FLOOR(AF12,1),'DO NOT TOUCH'!$A$7:$K$57,MATCH(ROUND((AF12-FLOOR(AF12,1)),1),'DO NOT TOUCH'!$A$6:$K$6,0),FALSE)</f>
        <v>21.62</v>
      </c>
      <c r="AH12" s="6">
        <v>0</v>
      </c>
      <c r="AI12" s="6">
        <v>0</v>
      </c>
      <c r="AJ12" s="7">
        <f t="shared" ref="AJ12" si="7">AI12+AH12</f>
        <v>0</v>
      </c>
      <c r="AK12" s="42">
        <f t="shared" ref="AK12" si="8">B12*1.085*(AB12-AE12)</f>
        <v>129201.80000000002</v>
      </c>
      <c r="AL12" s="42">
        <f t="shared" ref="AL12" si="9">4.5*B12*(AD12-AG12)</f>
        <v>156374.99999999997</v>
      </c>
      <c r="AM12" s="5">
        <f>IF(AL12&lt;AK12,"INVALID POINT",AL12/12000)</f>
        <v>13.031249999999998</v>
      </c>
      <c r="AN12" s="8">
        <f>INPUT_OUTPUTS!$C$14</f>
        <v>42</v>
      </c>
      <c r="AO12" s="8">
        <f>INPUT_OUTPUTS!$C$15</f>
        <v>52</v>
      </c>
      <c r="AP12" s="77">
        <f t="shared" ref="AP12" si="10">AL12/(500*(AO12-AN12))</f>
        <v>31.274999999999995</v>
      </c>
      <c r="AQ12" s="5">
        <f t="shared" ref="AQ12" si="11">MAX(AM12,X12)</f>
        <v>14.006249999999998</v>
      </c>
      <c r="AR12" s="78">
        <f t="shared" ref="AR12" si="12">B12/AM12</f>
        <v>383.69304556354922</v>
      </c>
      <c r="AS12" s="78">
        <f>MAX(Table7[[#This Row],[GPM33]],Table7[[#This Row],[GPM]])</f>
        <v>33.614999999999995</v>
      </c>
      <c r="AT12" s="42">
        <f t="shared" ref="AT12" si="13">B12</f>
        <v>5000</v>
      </c>
      <c r="AU12" s="5">
        <f t="shared" ref="AU12" si="14">F12*((D12-O12)/B12) + N12*(H12/B12)</f>
        <v>64.706000000000003</v>
      </c>
      <c r="AV12" s="161">
        <v>65</v>
      </c>
      <c r="AW12" s="42">
        <f>AT12*1.085*(AV12-AU12)/1000</f>
        <v>1.5949499999999834</v>
      </c>
      <c r="AX12" s="8">
        <f>INPUT_OUTPUTS!$C$16</f>
        <v>140</v>
      </c>
      <c r="AY12" s="8">
        <f>INPUT_OUTPUTS!$C$17</f>
        <v>100</v>
      </c>
      <c r="AZ12" s="77">
        <f t="shared" ref="AZ12" si="15">(AW12*1000)/(500*(AX12-AY12))</f>
        <v>7.9747499999999166E-2</v>
      </c>
      <c r="BA12" s="44"/>
      <c r="BB12" s="8">
        <f t="shared" ref="BB12" si="16">BA12*(K12/1000)</f>
        <v>0</v>
      </c>
      <c r="BC12" s="161">
        <v>55</v>
      </c>
      <c r="BD12" s="5" t="s">
        <v>147</v>
      </c>
      <c r="BE12" s="5">
        <f>'AHU 1'!BB2</f>
        <v>19</v>
      </c>
      <c r="BF12" s="43">
        <f>'AHU 1'!BC2</f>
        <v>0</v>
      </c>
    </row>
    <row r="13" spans="1:58" ht="18" thickBot="1">
      <c r="A13" s="92" t="s">
        <v>166</v>
      </c>
      <c r="B13" s="93">
        <f>SUBTOTAL(109,Table7[(CFM)])</f>
        <v>5000</v>
      </c>
      <c r="C13" s="92"/>
      <c r="D13" s="92"/>
      <c r="E13" s="92"/>
      <c r="F13" s="94"/>
      <c r="G13" s="94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5">
        <f>SUBTOTAL(109,Table7[GPM])</f>
        <v>33.614999999999995</v>
      </c>
      <c r="AB13" s="92"/>
      <c r="AC13" s="92"/>
      <c r="AD13" s="92"/>
      <c r="AE13" s="94"/>
      <c r="AF13" s="94"/>
      <c r="AG13" s="92"/>
      <c r="AH13" s="96"/>
      <c r="AI13" s="96"/>
      <c r="AJ13" s="92"/>
      <c r="AK13" s="92"/>
      <c r="AL13" s="92"/>
      <c r="AM13" s="92"/>
      <c r="AN13" s="92"/>
      <c r="AO13" s="92"/>
      <c r="AP13" s="107">
        <f>SUBTOTAL(109,Table7[GPM33])</f>
        <v>31.274999999999995</v>
      </c>
      <c r="AQ13" s="95">
        <f>SUBTOTAL(109,Table7[(Tons)34])</f>
        <v>14.006249999999998</v>
      </c>
      <c r="AR13" s="92"/>
      <c r="AS13" s="97">
        <f>SUBTOTAL(109,Table7[GPM MAX])</f>
        <v>33.614999999999995</v>
      </c>
      <c r="AT13" s="92"/>
      <c r="AU13" s="92"/>
      <c r="AV13" s="92"/>
      <c r="AW13" s="97">
        <f>SUBTOTAL(109,Table7[(MBH)])</f>
        <v>1.5949499999999834</v>
      </c>
      <c r="AX13" s="92"/>
      <c r="AY13" s="92"/>
      <c r="AZ13" s="95">
        <f>SUBTOTAL(109,Table7[GPM41])</f>
        <v>7.9747499999999166E-2</v>
      </c>
      <c r="BA13" s="94"/>
      <c r="BB13" s="92"/>
      <c r="BC13" s="92"/>
      <c r="BD13" s="92"/>
      <c r="BE13" s="95">
        <f>SUBTOTAL(109,Table7[(˚F db)46])</f>
        <v>19</v>
      </c>
      <c r="BF13" s="95">
        <f>SUBTOTAL(109,Table7[(mbh)46])</f>
        <v>0</v>
      </c>
    </row>
    <row r="14" spans="1:58" ht="17.25" thickTop="1">
      <c r="AL14" s="47"/>
    </row>
    <row r="15" spans="1:58" ht="16.5">
      <c r="T15" s="46"/>
      <c r="U15" s="46"/>
      <c r="AA15" s="74"/>
      <c r="AF15" s="46"/>
      <c r="AG15" s="46"/>
      <c r="AH15" s="45"/>
      <c r="AM15" s="74"/>
      <c r="AP15" s="74"/>
      <c r="AQ15" s="74"/>
      <c r="AZ15" s="74"/>
    </row>
    <row r="16" spans="1:58" ht="16.5">
      <c r="T16" s="46"/>
      <c r="U16" s="46"/>
      <c r="AA16" s="74"/>
      <c r="AF16" s="46"/>
      <c r="AG16" s="46"/>
      <c r="AH16" s="45"/>
      <c r="AM16" s="74"/>
      <c r="AP16" s="74"/>
      <c r="AQ16" s="74"/>
      <c r="AZ16" s="74"/>
    </row>
    <row r="20" spans="1:58">
      <c r="O20" s="74"/>
    </row>
    <row r="23" spans="1:58">
      <c r="G23" s="99"/>
    </row>
    <row r="30" spans="1:58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</row>
    <row r="31" spans="1:58">
      <c r="A31" s="75"/>
      <c r="B31" s="75"/>
      <c r="E31" s="76"/>
    </row>
    <row r="32" spans="1:58">
      <c r="A32" s="75"/>
      <c r="B32" s="74"/>
      <c r="E32" s="76"/>
    </row>
    <row r="33" spans="1:5">
      <c r="A33" s="75"/>
      <c r="E33" s="76"/>
    </row>
    <row r="34" spans="1:5">
      <c r="E34" s="76"/>
    </row>
  </sheetData>
  <mergeCells count="33"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  <mergeCell ref="S10:U10"/>
    <mergeCell ref="B9:N9"/>
    <mergeCell ref="O9:O10"/>
    <mergeCell ref="P9:U9"/>
    <mergeCell ref="V9:W9"/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</mergeCells>
  <phoneticPr fontId="14" type="noConversion"/>
  <dataValidations count="1">
    <dataValidation type="decimal" operator="greaterThan" allowBlank="1" showInputMessage="1" showErrorMessage="1" sqref="F12:G12 S12:T12 BC12 AV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85725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1</xdr:col>
                    <xdr:colOff>257175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EAFF-21B3-40B9-9764-3936845FD5B3}">
  <sheetPr codeName="Sheet4">
    <pageSetUpPr fitToPage="1"/>
  </sheetPr>
  <dimension ref="A2:AH34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O18" sqref="O18"/>
    </sheetView>
  </sheetViews>
  <sheetFormatPr defaultColWidth="8.85546875" defaultRowHeight="12.75" outlineLevelCol="3"/>
  <cols>
    <col min="1" max="1" width="14.85546875" style="163" bestFit="1" customWidth="1"/>
    <col min="2" max="2" width="13.140625" style="163" bestFit="1" customWidth="1"/>
    <col min="3" max="3" width="11.42578125" style="163" hidden="1" customWidth="1"/>
    <col min="4" max="4" width="11.85546875" style="163" bestFit="1" customWidth="1"/>
    <col min="5" max="5" width="15.7109375" style="163" hidden="1" customWidth="1"/>
    <col min="6" max="6" width="15.7109375" style="163" bestFit="1" customWidth="1"/>
    <col min="7" max="7" width="9.28515625" style="163" customWidth="1"/>
    <col min="8" max="9" width="9.140625" style="163" customWidth="1"/>
    <col min="10" max="10" width="10" style="163" customWidth="1"/>
    <col min="11" max="11" width="9.140625" style="163" customWidth="1"/>
    <col min="12" max="12" width="9.7109375" style="163" hidden="1" customWidth="1"/>
    <col min="13" max="13" width="9.28515625" style="163" customWidth="1"/>
    <col min="14" max="14" width="9.7109375" style="163" customWidth="1"/>
    <col min="15" max="15" width="9.140625" style="163" customWidth="1"/>
    <col min="16" max="16" width="9.28515625" style="163" customWidth="1"/>
    <col min="17" max="17" width="9.7109375" style="163" customWidth="1"/>
    <col min="18" max="18" width="9.140625" style="163" customWidth="1"/>
    <col min="19" max="20" width="10" style="163" customWidth="1"/>
    <col min="21" max="21" width="16.85546875" style="163" bestFit="1" customWidth="1"/>
    <col min="22" max="23" width="9.42578125" style="163" customWidth="1"/>
    <col min="24" max="24" width="10" style="163" bestFit="1" customWidth="1"/>
    <col min="25" max="25" width="9.140625" style="163" customWidth="1"/>
    <col min="26" max="26" width="9.28515625" style="163" customWidth="1"/>
    <col min="27" max="27" width="26" style="163" customWidth="1"/>
    <col min="28" max="28" width="17" style="163" customWidth="1"/>
    <col min="29" max="30" width="9.42578125" style="163" customWidth="1"/>
    <col min="31" max="31" width="8.28515625" style="163" customWidth="1" collapsed="1"/>
    <col min="32" max="32" width="9.7109375" style="163" hidden="1" customWidth="1" outlineLevel="3"/>
    <col min="33" max="33" width="10.140625" style="163" hidden="1" customWidth="1" outlineLevel="3" collapsed="1"/>
    <col min="34" max="34" width="8.85546875" style="163" collapsed="1"/>
    <col min="35" max="16384" width="8.85546875" style="163"/>
  </cols>
  <sheetData>
    <row r="2" spans="1:33">
      <c r="B2" s="164"/>
      <c r="D2" s="164"/>
    </row>
    <row r="8" spans="1:33" s="166" customFormat="1" ht="12.95" customHeight="1">
      <c r="A8" s="372"/>
      <c r="B8" s="370" t="s">
        <v>39</v>
      </c>
      <c r="C8" s="370"/>
      <c r="D8" s="370"/>
      <c r="E8" s="370"/>
      <c r="F8" s="370"/>
      <c r="G8" s="370"/>
      <c r="H8" s="370"/>
      <c r="I8" s="370"/>
      <c r="J8" s="370"/>
      <c r="K8" s="370"/>
      <c r="L8" s="370"/>
      <c r="M8" s="370" t="s">
        <v>296</v>
      </c>
      <c r="N8" s="370"/>
      <c r="O8" s="370"/>
      <c r="P8" s="370"/>
      <c r="Q8" s="370"/>
      <c r="R8" s="370"/>
      <c r="S8" s="370"/>
      <c r="T8" s="370"/>
      <c r="U8" s="370"/>
      <c r="V8" s="370"/>
      <c r="W8" s="370"/>
      <c r="X8" s="370"/>
      <c r="Y8" s="370" t="s">
        <v>297</v>
      </c>
      <c r="Z8" s="370"/>
      <c r="AA8" s="370"/>
      <c r="AB8" s="370"/>
      <c r="AC8" s="370"/>
      <c r="AD8" s="370"/>
      <c r="AE8" s="370"/>
      <c r="AF8" s="370" t="s">
        <v>70</v>
      </c>
      <c r="AG8" s="370"/>
    </row>
    <row r="9" spans="1:33" ht="32.25" customHeight="1">
      <c r="A9" s="372"/>
      <c r="B9" s="371" t="s">
        <v>13</v>
      </c>
      <c r="C9" s="371"/>
      <c r="D9" s="371"/>
      <c r="E9" s="371"/>
      <c r="F9" s="371"/>
      <c r="G9" s="371"/>
      <c r="H9" s="371"/>
      <c r="I9" s="371"/>
      <c r="J9" s="371"/>
      <c r="K9" s="371"/>
      <c r="L9" s="372" t="s">
        <v>45</v>
      </c>
      <c r="M9" s="371" t="s">
        <v>46</v>
      </c>
      <c r="N9" s="371"/>
      <c r="O9" s="371"/>
      <c r="P9" s="371"/>
      <c r="Q9" s="371"/>
      <c r="R9" s="371"/>
      <c r="S9" s="373" t="s">
        <v>48</v>
      </c>
      <c r="T9" s="373"/>
      <c r="U9" s="374" t="s">
        <v>240</v>
      </c>
      <c r="V9" s="372" t="s">
        <v>239</v>
      </c>
      <c r="W9" s="372"/>
      <c r="X9" s="372"/>
      <c r="Y9" s="167"/>
      <c r="Z9" s="371" t="s">
        <v>30</v>
      </c>
      <c r="AA9" s="371"/>
      <c r="AB9" s="167" t="s">
        <v>14</v>
      </c>
      <c r="AC9" s="372" t="s">
        <v>109</v>
      </c>
      <c r="AD9" s="372"/>
      <c r="AE9" s="372"/>
      <c r="AF9" s="373" t="s">
        <v>73</v>
      </c>
      <c r="AG9" s="371" t="s">
        <v>72</v>
      </c>
    </row>
    <row r="10" spans="1:33" ht="25.5">
      <c r="A10" s="372"/>
      <c r="B10" s="165" t="s">
        <v>15</v>
      </c>
      <c r="C10" s="165"/>
      <c r="D10" s="372" t="s">
        <v>50</v>
      </c>
      <c r="E10" s="372"/>
      <c r="F10" s="372"/>
      <c r="G10" s="372"/>
      <c r="H10" s="372" t="s">
        <v>238</v>
      </c>
      <c r="I10" s="372"/>
      <c r="J10" s="372"/>
      <c r="K10" s="165" t="s">
        <v>52</v>
      </c>
      <c r="L10" s="372"/>
      <c r="M10" s="372" t="s">
        <v>16</v>
      </c>
      <c r="N10" s="372"/>
      <c r="O10" s="372"/>
      <c r="P10" s="372" t="s">
        <v>17</v>
      </c>
      <c r="Q10" s="372"/>
      <c r="R10" s="372"/>
      <c r="S10" s="165" t="s">
        <v>18</v>
      </c>
      <c r="T10" s="165" t="s">
        <v>19</v>
      </c>
      <c r="U10" s="374"/>
      <c r="V10" s="372"/>
      <c r="W10" s="372"/>
      <c r="X10" s="372"/>
      <c r="Y10" s="165" t="s">
        <v>15</v>
      </c>
      <c r="Z10" s="165" t="s">
        <v>16</v>
      </c>
      <c r="AA10" s="165" t="s">
        <v>17</v>
      </c>
      <c r="AB10" s="165" t="s">
        <v>18</v>
      </c>
      <c r="AC10" s="168" t="s">
        <v>36</v>
      </c>
      <c r="AD10" s="168" t="s">
        <v>107</v>
      </c>
      <c r="AE10" s="165" t="s">
        <v>108</v>
      </c>
      <c r="AF10" s="373"/>
      <c r="AG10" s="371"/>
    </row>
    <row r="11" spans="1:33" s="174" customFormat="1" ht="16.5">
      <c r="A11" s="169" t="s">
        <v>177</v>
      </c>
      <c r="B11" s="170" t="s">
        <v>20</v>
      </c>
      <c r="C11" s="170" t="s">
        <v>78</v>
      </c>
      <c r="D11" s="170" t="s">
        <v>178</v>
      </c>
      <c r="E11" s="170" t="s">
        <v>79</v>
      </c>
      <c r="F11" s="171" t="s">
        <v>21</v>
      </c>
      <c r="G11" s="171" t="s">
        <v>22</v>
      </c>
      <c r="H11" s="170" t="s">
        <v>179</v>
      </c>
      <c r="I11" s="172" t="s">
        <v>180</v>
      </c>
      <c r="J11" s="172" t="s">
        <v>181</v>
      </c>
      <c r="K11" s="172" t="s">
        <v>185</v>
      </c>
      <c r="L11" s="170" t="s">
        <v>186</v>
      </c>
      <c r="M11" s="172" t="s">
        <v>187</v>
      </c>
      <c r="N11" s="172" t="s">
        <v>188</v>
      </c>
      <c r="O11" s="172" t="s">
        <v>23</v>
      </c>
      <c r="P11" s="171" t="s">
        <v>189</v>
      </c>
      <c r="Q11" s="171" t="s">
        <v>190</v>
      </c>
      <c r="R11" s="172" t="s">
        <v>191</v>
      </c>
      <c r="S11" s="170" t="s">
        <v>24</v>
      </c>
      <c r="T11" s="170" t="s">
        <v>192</v>
      </c>
      <c r="U11" s="173" t="s">
        <v>25</v>
      </c>
      <c r="V11" s="173" t="s">
        <v>193</v>
      </c>
      <c r="W11" s="173" t="s">
        <v>194</v>
      </c>
      <c r="X11" s="173" t="s">
        <v>35</v>
      </c>
      <c r="Y11" s="170" t="s">
        <v>212</v>
      </c>
      <c r="Z11" s="172" t="s">
        <v>213</v>
      </c>
      <c r="AA11" s="172" t="s">
        <v>214</v>
      </c>
      <c r="AB11" s="170" t="s">
        <v>54</v>
      </c>
      <c r="AC11" s="173" t="s">
        <v>215</v>
      </c>
      <c r="AD11" s="173" t="s">
        <v>216</v>
      </c>
      <c r="AE11" s="173" t="s">
        <v>217</v>
      </c>
      <c r="AF11" s="170" t="s">
        <v>71</v>
      </c>
      <c r="AG11" s="170" t="s">
        <v>218</v>
      </c>
    </row>
    <row r="12" spans="1:33" ht="16.5">
      <c r="A12" s="175" t="s">
        <v>298</v>
      </c>
      <c r="B12" s="176">
        <v>200</v>
      </c>
      <c r="C12" s="177"/>
      <c r="D12" s="176">
        <v>100</v>
      </c>
      <c r="E12" s="178"/>
      <c r="F12" s="179">
        <v>78</v>
      </c>
      <c r="G12" s="179">
        <v>60</v>
      </c>
      <c r="H12" s="176">
        <v>100</v>
      </c>
      <c r="I12" s="178">
        <v>91</v>
      </c>
      <c r="J12" s="178">
        <v>71</v>
      </c>
      <c r="K12" s="178">
        <v>38.9</v>
      </c>
      <c r="L12" s="176">
        <f>D12+H12-B12</f>
        <v>0</v>
      </c>
      <c r="M12" s="178">
        <f>F12*((D12-L12)/B12) + I12*(H12/B12)</f>
        <v>84.5</v>
      </c>
      <c r="N12" s="178">
        <f>TRUNC(G12*((D12-L12)/B12) + J12*(H12/B12),1)</f>
        <v>65.5</v>
      </c>
      <c r="O12" s="180">
        <v>30.45</v>
      </c>
      <c r="P12" s="171">
        <v>55</v>
      </c>
      <c r="Q12" s="171">
        <v>53</v>
      </c>
      <c r="R12" s="178">
        <v>22.02</v>
      </c>
      <c r="S12" s="176">
        <f>B12*1.085*(M12-P12)</f>
        <v>6401.5</v>
      </c>
      <c r="T12" s="176">
        <f>4.5*B12*(O12-R12)</f>
        <v>7587</v>
      </c>
      <c r="U12" s="178">
        <f>IF(T12&lt;S12,"INVALID POINT",T12/12000)</f>
        <v>0.63224999999999998</v>
      </c>
      <c r="V12" s="168">
        <v>42</v>
      </c>
      <c r="W12" s="168">
        <v>52</v>
      </c>
      <c r="X12" s="181">
        <f t="shared" ref="X12" si="0">T12/(500*(W12-V12))</f>
        <v>1.5174000000000001</v>
      </c>
      <c r="Y12" s="176">
        <f>B12</f>
        <v>200</v>
      </c>
      <c r="Z12" s="178">
        <f>F12*((D12-L12)/B12) + K12*(H12/B12)</f>
        <v>58.45</v>
      </c>
      <c r="AA12" s="182">
        <v>65</v>
      </c>
      <c r="AB12" s="177">
        <f>Y12*1.085*(AA12-Z12)/1000</f>
        <v>1.4213499999999994</v>
      </c>
      <c r="AC12" s="168">
        <v>140</v>
      </c>
      <c r="AD12" s="168">
        <v>100</v>
      </c>
      <c r="AE12" s="181">
        <f t="shared" ref="AE12" si="1">(AB12*1000)/(500*(AC12-AD12))</f>
        <v>7.1067499999999978E-2</v>
      </c>
      <c r="AF12" s="183"/>
      <c r="AG12" s="168" t="e">
        <f>AF12*(#REF!/1000)</f>
        <v>#REF!</v>
      </c>
    </row>
    <row r="13" spans="1:33" ht="15.75" thickBot="1">
      <c r="A13" s="184" t="s">
        <v>166</v>
      </c>
      <c r="B13" s="185">
        <f>SUBTOTAL(109,Table77[(CFM)])</f>
        <v>200</v>
      </c>
      <c r="C13" s="184"/>
      <c r="D13" s="184"/>
      <c r="E13" s="184"/>
      <c r="F13" s="186"/>
      <c r="G13" s="186"/>
      <c r="H13" s="184"/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7">
        <f>SUBTOTAL(109,Table77[GPM])</f>
        <v>1.5174000000000001</v>
      </c>
      <c r="Y13" s="184"/>
      <c r="Z13" s="184"/>
      <c r="AA13" s="184"/>
      <c r="AB13" s="188">
        <f>SUBTOTAL(109,Table77[(MBH)])</f>
        <v>1.4213499999999994</v>
      </c>
      <c r="AC13" s="184"/>
      <c r="AD13" s="184"/>
      <c r="AE13" s="187">
        <f>SUBTOTAL(109,Table77[GPM41])</f>
        <v>7.1067499999999978E-2</v>
      </c>
      <c r="AF13" s="186"/>
      <c r="AG13" s="184"/>
    </row>
    <row r="14" spans="1:33" ht="13.5" thickTop="1"/>
    <row r="15" spans="1:33" ht="16.5">
      <c r="Q15" s="189"/>
      <c r="R15" s="189"/>
      <c r="X15" s="190"/>
      <c r="AE15" s="190"/>
    </row>
    <row r="16" spans="1:33" ht="16.5">
      <c r="Q16" s="189"/>
      <c r="R16" s="189"/>
      <c r="X16" s="190"/>
      <c r="AE16" s="190"/>
    </row>
    <row r="20" spans="1:33">
      <c r="L20" s="190"/>
    </row>
    <row r="23" spans="1:33">
      <c r="G23" s="191"/>
    </row>
    <row r="30" spans="1:33">
      <c r="A30" s="192"/>
      <c r="B30" s="192"/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192"/>
      <c r="AA30" s="192"/>
      <c r="AB30" s="192"/>
      <c r="AC30" s="192"/>
      <c r="AD30" s="192"/>
      <c r="AE30" s="192"/>
      <c r="AF30" s="192"/>
      <c r="AG30" s="192"/>
    </row>
    <row r="31" spans="1:33">
      <c r="A31" s="193"/>
      <c r="B31" s="193"/>
      <c r="E31" s="194"/>
    </row>
    <row r="32" spans="1:33">
      <c r="A32" s="193"/>
      <c r="B32" s="190"/>
      <c r="E32" s="194"/>
    </row>
    <row r="33" spans="1:5">
      <c r="A33" s="193"/>
      <c r="E33" s="194"/>
    </row>
    <row r="34" spans="1:5">
      <c r="E34" s="194"/>
    </row>
  </sheetData>
  <mergeCells count="19">
    <mergeCell ref="A8:A10"/>
    <mergeCell ref="B8:L8"/>
    <mergeCell ref="M8:X8"/>
    <mergeCell ref="V9:X10"/>
    <mergeCell ref="Z9:AA9"/>
    <mergeCell ref="Y8:AE8"/>
    <mergeCell ref="AF8:AG8"/>
    <mergeCell ref="B9:K9"/>
    <mergeCell ref="L9:L10"/>
    <mergeCell ref="M9:R9"/>
    <mergeCell ref="S9:T9"/>
    <mergeCell ref="U9:U10"/>
    <mergeCell ref="D10:G10"/>
    <mergeCell ref="H10:J10"/>
    <mergeCell ref="M10:O10"/>
    <mergeCell ref="P10:R10"/>
    <mergeCell ref="AC9:AE9"/>
    <mergeCell ref="AF9:AF10"/>
    <mergeCell ref="AG9:AG10"/>
  </mergeCells>
  <printOptions horizontalCentered="1" verticalCentered="1"/>
  <pageMargins left="0.25" right="0.25" top="0.75" bottom="0.75" header="0.3" footer="0.3"/>
  <pageSetup scale="28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28" zoomScale="130" zoomScaleNormal="130" zoomScaleSheetLayoutView="145" workbookViewId="0">
      <selection activeCell="L7" sqref="L7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195" t="s">
        <v>1</v>
      </c>
      <c r="B1" s="196" t="s">
        <v>2</v>
      </c>
      <c r="C1" s="197" t="s">
        <v>3</v>
      </c>
      <c r="D1" s="196" t="s">
        <v>4</v>
      </c>
      <c r="E1" s="196" t="s">
        <v>299</v>
      </c>
      <c r="F1" s="196" t="s">
        <v>300</v>
      </c>
      <c r="G1" s="198" t="s">
        <v>301</v>
      </c>
      <c r="H1" s="199" t="s">
        <v>302</v>
      </c>
      <c r="I1" s="200" t="s">
        <v>303</v>
      </c>
      <c r="J1" s="197" t="s">
        <v>304</v>
      </c>
      <c r="K1" s="21"/>
    </row>
    <row r="2" spans="1:13">
      <c r="A2" s="201" t="s">
        <v>305</v>
      </c>
      <c r="B2" s="202" t="s">
        <v>306</v>
      </c>
      <c r="C2" s="203" t="s">
        <v>31</v>
      </c>
      <c r="D2" s="204">
        <v>10</v>
      </c>
      <c r="E2" s="202" t="s">
        <v>307</v>
      </c>
      <c r="F2" s="202" t="s">
        <v>308</v>
      </c>
      <c r="G2" s="205" t="s">
        <v>31</v>
      </c>
      <c r="H2" s="206" t="s">
        <v>31</v>
      </c>
      <c r="I2" s="206" t="s">
        <v>31</v>
      </c>
      <c r="J2" s="207" t="s">
        <v>309</v>
      </c>
      <c r="K2" s="21"/>
      <c r="M2" s="21"/>
    </row>
    <row r="3" spans="1:13">
      <c r="A3" s="208" t="s">
        <v>310</v>
      </c>
      <c r="B3" s="209" t="s">
        <v>311</v>
      </c>
      <c r="C3" s="210">
        <v>2</v>
      </c>
      <c r="D3" s="211">
        <v>12</v>
      </c>
      <c r="E3" s="209" t="s">
        <v>307</v>
      </c>
      <c r="F3" s="209" t="s">
        <v>308</v>
      </c>
      <c r="G3" s="212" t="s">
        <v>312</v>
      </c>
      <c r="H3" s="206">
        <v>70</v>
      </c>
      <c r="I3" s="213">
        <v>75</v>
      </c>
      <c r="J3" s="206" t="s">
        <v>309</v>
      </c>
      <c r="K3" s="21"/>
      <c r="M3" s="21"/>
    </row>
    <row r="4" spans="1:13">
      <c r="A4" s="208" t="s">
        <v>313</v>
      </c>
      <c r="B4" s="209" t="s">
        <v>311</v>
      </c>
      <c r="C4" s="210">
        <v>2</v>
      </c>
      <c r="D4" s="211">
        <v>12</v>
      </c>
      <c r="E4" s="209" t="s">
        <v>307</v>
      </c>
      <c r="F4" s="209" t="s">
        <v>308</v>
      </c>
      <c r="G4" s="212" t="s">
        <v>31</v>
      </c>
      <c r="H4" s="206" t="s">
        <v>31</v>
      </c>
      <c r="I4" s="206" t="s">
        <v>31</v>
      </c>
      <c r="J4" s="206"/>
      <c r="K4" s="21"/>
      <c r="M4" s="21"/>
    </row>
    <row r="5" spans="1:13">
      <c r="A5" s="208" t="s">
        <v>314</v>
      </c>
      <c r="B5" s="209" t="s">
        <v>315</v>
      </c>
      <c r="C5" s="210">
        <v>3</v>
      </c>
      <c r="D5" s="211">
        <v>15</v>
      </c>
      <c r="E5" s="209" t="s">
        <v>31</v>
      </c>
      <c r="F5" s="209" t="s">
        <v>31</v>
      </c>
      <c r="G5" s="212" t="s">
        <v>312</v>
      </c>
      <c r="H5" s="206">
        <v>70</v>
      </c>
      <c r="I5" s="213">
        <v>75</v>
      </c>
      <c r="J5" s="214"/>
      <c r="K5" s="21"/>
      <c r="M5" s="21"/>
    </row>
    <row r="6" spans="1:13">
      <c r="A6" s="208" t="s">
        <v>316</v>
      </c>
      <c r="B6" s="209" t="s">
        <v>311</v>
      </c>
      <c r="C6" s="210" t="s">
        <v>31</v>
      </c>
      <c r="D6" s="211">
        <v>10</v>
      </c>
      <c r="E6" s="209" t="s">
        <v>307</v>
      </c>
      <c r="F6" s="209" t="s">
        <v>308</v>
      </c>
      <c r="G6" s="212" t="s">
        <v>31</v>
      </c>
      <c r="H6" s="206">
        <v>70</v>
      </c>
      <c r="I6" s="213">
        <v>75</v>
      </c>
      <c r="J6" s="214"/>
      <c r="K6" s="21"/>
      <c r="M6" s="21"/>
    </row>
    <row r="7" spans="1:13">
      <c r="A7" s="208" t="s">
        <v>317</v>
      </c>
      <c r="B7" s="209" t="s">
        <v>311</v>
      </c>
      <c r="C7" s="210" t="s">
        <v>31</v>
      </c>
      <c r="D7" s="211">
        <v>10</v>
      </c>
      <c r="E7" s="209" t="s">
        <v>307</v>
      </c>
      <c r="F7" s="209" t="s">
        <v>308</v>
      </c>
      <c r="G7" s="212" t="s">
        <v>31</v>
      </c>
      <c r="H7" s="206">
        <v>72</v>
      </c>
      <c r="I7" s="213">
        <v>78</v>
      </c>
      <c r="J7" s="215"/>
      <c r="K7" s="21"/>
      <c r="M7" s="21"/>
    </row>
    <row r="8" spans="1:13">
      <c r="A8" s="208" t="s">
        <v>318</v>
      </c>
      <c r="B8" s="209" t="s">
        <v>311</v>
      </c>
      <c r="C8" s="210" t="s">
        <v>31</v>
      </c>
      <c r="D8" s="211">
        <v>10</v>
      </c>
      <c r="E8" s="209" t="s">
        <v>307</v>
      </c>
      <c r="F8" s="209" t="s">
        <v>308</v>
      </c>
      <c r="G8" s="212" t="s">
        <v>31</v>
      </c>
      <c r="H8" s="206" t="s">
        <v>31</v>
      </c>
      <c r="I8" s="206" t="s">
        <v>31</v>
      </c>
      <c r="J8" s="214"/>
      <c r="K8" s="21"/>
      <c r="M8" s="21"/>
    </row>
    <row r="9" spans="1:13">
      <c r="A9" s="208" t="s">
        <v>319</v>
      </c>
      <c r="B9" s="209" t="s">
        <v>31</v>
      </c>
      <c r="C9" s="210">
        <v>2</v>
      </c>
      <c r="D9" s="211">
        <v>6</v>
      </c>
      <c r="E9" s="209" t="s">
        <v>31</v>
      </c>
      <c r="F9" s="209" t="s">
        <v>31</v>
      </c>
      <c r="G9" s="212" t="s">
        <v>31</v>
      </c>
      <c r="H9" s="206" t="s">
        <v>31</v>
      </c>
      <c r="I9" s="206" t="s">
        <v>31</v>
      </c>
      <c r="J9" s="208"/>
      <c r="K9" s="21"/>
      <c r="M9" s="21"/>
    </row>
    <row r="10" spans="1:13">
      <c r="A10" s="208" t="s">
        <v>320</v>
      </c>
      <c r="B10" s="209" t="s">
        <v>31</v>
      </c>
      <c r="C10" s="210">
        <v>2</v>
      </c>
      <c r="D10" s="211">
        <v>6</v>
      </c>
      <c r="E10" s="209" t="s">
        <v>31</v>
      </c>
      <c r="F10" s="209" t="s">
        <v>31</v>
      </c>
      <c r="G10" s="212" t="s">
        <v>31</v>
      </c>
      <c r="H10" s="206" t="s">
        <v>31</v>
      </c>
      <c r="I10" s="206" t="s">
        <v>31</v>
      </c>
      <c r="J10" s="208"/>
      <c r="M10" s="21"/>
    </row>
    <row r="11" spans="1:13">
      <c r="A11" s="208" t="s">
        <v>321</v>
      </c>
      <c r="B11" s="209" t="s">
        <v>311</v>
      </c>
      <c r="C11" s="210">
        <v>2</v>
      </c>
      <c r="D11" s="211">
        <v>12</v>
      </c>
      <c r="E11" s="209" t="s">
        <v>307</v>
      </c>
      <c r="F11" s="209" t="s">
        <v>308</v>
      </c>
      <c r="G11" s="212" t="s">
        <v>31</v>
      </c>
      <c r="H11" s="206">
        <v>68</v>
      </c>
      <c r="I11" s="213">
        <v>73</v>
      </c>
      <c r="J11" s="206" t="s">
        <v>322</v>
      </c>
      <c r="M11" s="21"/>
    </row>
    <row r="12" spans="1:13">
      <c r="A12" s="208" t="s">
        <v>323</v>
      </c>
      <c r="B12" s="209" t="s">
        <v>315</v>
      </c>
      <c r="C12" s="210">
        <v>3</v>
      </c>
      <c r="D12" s="211">
        <v>15</v>
      </c>
      <c r="E12" s="209" t="s">
        <v>31</v>
      </c>
      <c r="F12" s="209" t="s">
        <v>308</v>
      </c>
      <c r="G12" s="212" t="s">
        <v>312</v>
      </c>
      <c r="H12" s="206">
        <v>70</v>
      </c>
      <c r="I12" s="213">
        <v>75</v>
      </c>
      <c r="J12" s="208"/>
      <c r="M12" s="21"/>
    </row>
    <row r="13" spans="1:13">
      <c r="A13" s="208" t="s">
        <v>324</v>
      </c>
      <c r="B13" s="209" t="s">
        <v>315</v>
      </c>
      <c r="C13" s="210" t="s">
        <v>31</v>
      </c>
      <c r="D13" s="211">
        <v>2</v>
      </c>
      <c r="E13" s="209" t="s">
        <v>31</v>
      </c>
      <c r="F13" s="209" t="s">
        <v>31</v>
      </c>
      <c r="G13" s="212" t="s">
        <v>31</v>
      </c>
      <c r="H13" s="206">
        <v>72</v>
      </c>
      <c r="I13" s="213">
        <v>78</v>
      </c>
      <c r="J13" s="208"/>
      <c r="M13" s="21"/>
    </row>
    <row r="14" spans="1:13">
      <c r="A14" s="208" t="s">
        <v>325</v>
      </c>
      <c r="B14" s="209" t="s">
        <v>315</v>
      </c>
      <c r="C14" s="210">
        <v>2</v>
      </c>
      <c r="D14" s="211">
        <v>4</v>
      </c>
      <c r="E14" s="209" t="s">
        <v>31</v>
      </c>
      <c r="F14" s="209" t="s">
        <v>308</v>
      </c>
      <c r="G14" s="212" t="s">
        <v>312</v>
      </c>
      <c r="H14" s="206">
        <v>72</v>
      </c>
      <c r="I14" s="213">
        <v>78</v>
      </c>
      <c r="J14" s="208"/>
      <c r="M14" s="21"/>
    </row>
    <row r="15" spans="1:13">
      <c r="A15" s="208" t="s">
        <v>326</v>
      </c>
      <c r="B15" s="209" t="s">
        <v>315</v>
      </c>
      <c r="C15" s="210">
        <v>2</v>
      </c>
      <c r="D15" s="211">
        <v>4</v>
      </c>
      <c r="E15" s="209" t="s">
        <v>31</v>
      </c>
      <c r="F15" s="209" t="s">
        <v>31</v>
      </c>
      <c r="G15" s="212" t="s">
        <v>31</v>
      </c>
      <c r="H15" s="206" t="s">
        <v>31</v>
      </c>
      <c r="I15" s="206" t="s">
        <v>31</v>
      </c>
      <c r="J15" s="208"/>
      <c r="M15" s="21"/>
    </row>
    <row r="16" spans="1:13">
      <c r="A16" s="208" t="s">
        <v>327</v>
      </c>
      <c r="B16" s="209" t="s">
        <v>31</v>
      </c>
      <c r="C16" s="210">
        <v>2</v>
      </c>
      <c r="D16" s="211">
        <v>6</v>
      </c>
      <c r="E16" s="209" t="s">
        <v>31</v>
      </c>
      <c r="F16" s="209" t="s">
        <v>308</v>
      </c>
      <c r="G16" s="212" t="s">
        <v>328</v>
      </c>
      <c r="H16" s="206">
        <v>70</v>
      </c>
      <c r="I16" s="213">
        <v>75</v>
      </c>
      <c r="J16" s="208"/>
      <c r="M16" s="21"/>
    </row>
    <row r="17" spans="1:13">
      <c r="A17" s="208" t="s">
        <v>329</v>
      </c>
      <c r="B17" s="209" t="s">
        <v>31</v>
      </c>
      <c r="C17" s="210">
        <v>2</v>
      </c>
      <c r="D17" s="211">
        <v>6</v>
      </c>
      <c r="E17" s="209" t="s">
        <v>31</v>
      </c>
      <c r="F17" s="209" t="s">
        <v>31</v>
      </c>
      <c r="G17" s="212" t="s">
        <v>312</v>
      </c>
      <c r="H17" s="206" t="s">
        <v>31</v>
      </c>
      <c r="I17" s="206" t="s">
        <v>31</v>
      </c>
      <c r="J17" s="206"/>
      <c r="M17" s="21"/>
    </row>
    <row r="18" spans="1:13">
      <c r="A18" s="208" t="s">
        <v>330</v>
      </c>
      <c r="B18" s="209" t="s">
        <v>311</v>
      </c>
      <c r="C18" s="210">
        <v>2</v>
      </c>
      <c r="D18" s="211">
        <v>10</v>
      </c>
      <c r="E18" s="209" t="s">
        <v>307</v>
      </c>
      <c r="F18" s="209" t="s">
        <v>308</v>
      </c>
      <c r="G18" s="212" t="s">
        <v>31</v>
      </c>
      <c r="H18" s="206" t="s">
        <v>31</v>
      </c>
      <c r="I18" s="206" t="s">
        <v>31</v>
      </c>
      <c r="J18" s="206" t="s">
        <v>331</v>
      </c>
      <c r="M18" s="21"/>
    </row>
    <row r="19" spans="1:13">
      <c r="A19" s="208" t="s">
        <v>332</v>
      </c>
      <c r="B19" s="209" t="s">
        <v>315</v>
      </c>
      <c r="C19" s="210">
        <v>4</v>
      </c>
      <c r="D19" s="211">
        <v>20</v>
      </c>
      <c r="E19" s="209" t="s">
        <v>31</v>
      </c>
      <c r="F19" s="209" t="s">
        <v>308</v>
      </c>
      <c r="G19" s="212" t="s">
        <v>333</v>
      </c>
      <c r="H19" s="206">
        <v>68</v>
      </c>
      <c r="I19" s="213">
        <v>75</v>
      </c>
      <c r="J19" s="206" t="s">
        <v>334</v>
      </c>
      <c r="M19" s="21"/>
    </row>
    <row r="20" spans="1:13">
      <c r="A20" s="208" t="s">
        <v>335</v>
      </c>
      <c r="B20" s="209" t="s">
        <v>31</v>
      </c>
      <c r="C20" s="210">
        <v>2</v>
      </c>
      <c r="D20" s="211">
        <v>6</v>
      </c>
      <c r="E20" s="209" t="s">
        <v>31</v>
      </c>
      <c r="F20" s="209" t="s">
        <v>31</v>
      </c>
      <c r="G20" s="212" t="s">
        <v>31</v>
      </c>
      <c r="H20" s="206">
        <v>72</v>
      </c>
      <c r="I20" s="213">
        <v>78</v>
      </c>
      <c r="J20" s="206"/>
      <c r="M20" s="21"/>
    </row>
    <row r="21" spans="1:13">
      <c r="A21" s="208" t="s">
        <v>336</v>
      </c>
      <c r="B21" s="209" t="s">
        <v>311</v>
      </c>
      <c r="C21" s="210" t="s">
        <v>31</v>
      </c>
      <c r="D21" s="211">
        <v>10</v>
      </c>
      <c r="E21" s="209" t="s">
        <v>307</v>
      </c>
      <c r="F21" s="209" t="s">
        <v>308</v>
      </c>
      <c r="G21" s="212" t="s">
        <v>31</v>
      </c>
      <c r="H21" s="206" t="s">
        <v>31</v>
      </c>
      <c r="I21" s="206" t="s">
        <v>31</v>
      </c>
      <c r="J21" s="206"/>
      <c r="M21" s="21"/>
    </row>
    <row r="22" spans="1:13">
      <c r="A22" s="208" t="s">
        <v>337</v>
      </c>
      <c r="B22" s="209" t="s">
        <v>31</v>
      </c>
      <c r="C22" s="210" t="s">
        <v>31</v>
      </c>
      <c r="D22" s="211">
        <v>2</v>
      </c>
      <c r="E22" s="209" t="s">
        <v>31</v>
      </c>
      <c r="F22" s="209" t="s">
        <v>308</v>
      </c>
      <c r="G22" s="212" t="s">
        <v>31</v>
      </c>
      <c r="H22" s="206">
        <v>72</v>
      </c>
      <c r="I22" s="213">
        <v>78</v>
      </c>
      <c r="J22" s="206"/>
      <c r="M22" s="21"/>
    </row>
    <row r="23" spans="1:13">
      <c r="A23" s="208" t="s">
        <v>338</v>
      </c>
      <c r="B23" s="209" t="s">
        <v>34</v>
      </c>
      <c r="C23" s="210">
        <v>3</v>
      </c>
      <c r="D23" s="211">
        <v>15</v>
      </c>
      <c r="E23" s="209" t="s">
        <v>31</v>
      </c>
      <c r="F23" s="209" t="s">
        <v>31</v>
      </c>
      <c r="G23" s="212" t="s">
        <v>31</v>
      </c>
      <c r="H23" s="206" t="s">
        <v>31</v>
      </c>
      <c r="I23" s="206" t="s">
        <v>31</v>
      </c>
      <c r="J23" s="206"/>
      <c r="M23" s="21"/>
    </row>
    <row r="24" spans="1:13">
      <c r="A24" s="208" t="s">
        <v>339</v>
      </c>
      <c r="B24" s="209" t="s">
        <v>31</v>
      </c>
      <c r="C24" s="210">
        <v>2</v>
      </c>
      <c r="D24" s="211">
        <v>6</v>
      </c>
      <c r="E24" s="209" t="s">
        <v>31</v>
      </c>
      <c r="F24" s="209" t="s">
        <v>31</v>
      </c>
      <c r="G24" s="212" t="s">
        <v>312</v>
      </c>
      <c r="H24" s="206">
        <v>70</v>
      </c>
      <c r="I24" s="213">
        <v>75</v>
      </c>
      <c r="J24" s="206" t="s">
        <v>34</v>
      </c>
      <c r="M24" s="21"/>
    </row>
    <row r="25" spans="1:13">
      <c r="A25" s="208" t="s">
        <v>340</v>
      </c>
      <c r="B25" s="209" t="s">
        <v>311</v>
      </c>
      <c r="C25" s="210">
        <v>2</v>
      </c>
      <c r="D25" s="211">
        <v>10</v>
      </c>
      <c r="E25" s="209" t="s">
        <v>307</v>
      </c>
      <c r="F25" s="209" t="s">
        <v>308</v>
      </c>
      <c r="G25" s="212" t="s">
        <v>31</v>
      </c>
      <c r="H25" s="206" t="s">
        <v>31</v>
      </c>
      <c r="I25" s="206" t="s">
        <v>31</v>
      </c>
      <c r="J25" s="206"/>
      <c r="M25" s="21"/>
    </row>
    <row r="26" spans="1:13">
      <c r="A26" s="208" t="s">
        <v>341</v>
      </c>
      <c r="B26" s="209" t="s">
        <v>311</v>
      </c>
      <c r="C26" s="210">
        <v>2</v>
      </c>
      <c r="D26" s="211">
        <v>12</v>
      </c>
      <c r="E26" s="209" t="s">
        <v>307</v>
      </c>
      <c r="F26" s="209" t="s">
        <v>308</v>
      </c>
      <c r="G26" s="212" t="s">
        <v>31</v>
      </c>
      <c r="H26" s="206" t="s">
        <v>31</v>
      </c>
      <c r="I26" s="206" t="s">
        <v>31</v>
      </c>
      <c r="J26" s="206"/>
      <c r="M26" s="21"/>
    </row>
    <row r="27" spans="1:13">
      <c r="A27" s="208" t="s">
        <v>342</v>
      </c>
      <c r="B27" s="209" t="s">
        <v>311</v>
      </c>
      <c r="C27" s="210">
        <v>2</v>
      </c>
      <c r="D27" s="211">
        <v>12</v>
      </c>
      <c r="E27" s="209" t="s">
        <v>307</v>
      </c>
      <c r="F27" s="209" t="s">
        <v>31</v>
      </c>
      <c r="G27" s="212" t="s">
        <v>343</v>
      </c>
      <c r="H27" s="206">
        <v>70</v>
      </c>
      <c r="I27" s="213">
        <v>75</v>
      </c>
      <c r="J27" s="206" t="s">
        <v>459</v>
      </c>
      <c r="M27" s="21"/>
    </row>
    <row r="28" spans="1:13">
      <c r="A28" s="208" t="s">
        <v>344</v>
      </c>
      <c r="B28" s="209" t="s">
        <v>31</v>
      </c>
      <c r="C28" s="210">
        <v>2</v>
      </c>
      <c r="D28" s="211">
        <v>6</v>
      </c>
      <c r="E28" s="209" t="s">
        <v>31</v>
      </c>
      <c r="F28" s="209" t="s">
        <v>31</v>
      </c>
      <c r="G28" s="212" t="s">
        <v>312</v>
      </c>
      <c r="H28" s="206">
        <v>70</v>
      </c>
      <c r="I28" s="213">
        <v>75</v>
      </c>
      <c r="J28" s="206"/>
      <c r="M28" s="21"/>
    </row>
    <row r="29" spans="1:13">
      <c r="A29" s="208" t="s">
        <v>345</v>
      </c>
      <c r="B29" s="209" t="s">
        <v>31</v>
      </c>
      <c r="C29" s="210">
        <v>2</v>
      </c>
      <c r="D29" s="211">
        <v>6</v>
      </c>
      <c r="E29" s="209" t="s">
        <v>31</v>
      </c>
      <c r="F29" s="209" t="s">
        <v>31</v>
      </c>
      <c r="G29" s="212" t="s">
        <v>31</v>
      </c>
      <c r="H29" s="206" t="s">
        <v>31</v>
      </c>
      <c r="I29" s="206" t="s">
        <v>31</v>
      </c>
      <c r="J29" s="206"/>
      <c r="M29" s="21"/>
    </row>
    <row r="30" spans="1:13">
      <c r="A30" s="208" t="s">
        <v>346</v>
      </c>
      <c r="B30" s="209" t="s">
        <v>311</v>
      </c>
      <c r="C30" s="210">
        <v>2</v>
      </c>
      <c r="D30" s="211">
        <v>6</v>
      </c>
      <c r="E30" s="209" t="s">
        <v>307</v>
      </c>
      <c r="F30" s="209" t="s">
        <v>308</v>
      </c>
      <c r="G30" s="212" t="s">
        <v>31</v>
      </c>
      <c r="H30" s="206" t="s">
        <v>31</v>
      </c>
      <c r="I30" s="206" t="s">
        <v>31</v>
      </c>
      <c r="J30" s="206"/>
      <c r="M30" s="21"/>
    </row>
    <row r="31" spans="1:13">
      <c r="A31" s="208" t="s">
        <v>347</v>
      </c>
      <c r="B31" s="209" t="s">
        <v>31</v>
      </c>
      <c r="C31" s="210">
        <v>2</v>
      </c>
      <c r="D31" s="211">
        <v>10</v>
      </c>
      <c r="E31" s="209" t="s">
        <v>31</v>
      </c>
      <c r="F31" s="209" t="s">
        <v>308</v>
      </c>
      <c r="G31" s="212" t="s">
        <v>31</v>
      </c>
      <c r="H31" s="206">
        <v>72</v>
      </c>
      <c r="I31" s="213">
        <v>78</v>
      </c>
      <c r="J31" s="206" t="s">
        <v>348</v>
      </c>
      <c r="M31" s="21"/>
    </row>
    <row r="32" spans="1:13">
      <c r="A32" s="208" t="s">
        <v>349</v>
      </c>
      <c r="B32" s="209" t="s">
        <v>31</v>
      </c>
      <c r="C32" s="210">
        <v>2</v>
      </c>
      <c r="D32" s="211">
        <v>6</v>
      </c>
      <c r="E32" s="209" t="s">
        <v>31</v>
      </c>
      <c r="F32" s="209" t="s">
        <v>308</v>
      </c>
      <c r="G32" s="212" t="s">
        <v>333</v>
      </c>
      <c r="H32" s="206">
        <v>68</v>
      </c>
      <c r="I32" s="213">
        <v>73</v>
      </c>
      <c r="J32" s="206" t="s">
        <v>350</v>
      </c>
      <c r="M32" s="21"/>
    </row>
    <row r="33" spans="1:13">
      <c r="A33" s="208" t="s">
        <v>351</v>
      </c>
      <c r="B33" s="209" t="s">
        <v>311</v>
      </c>
      <c r="C33" s="210">
        <v>2</v>
      </c>
      <c r="D33" s="211">
        <v>10</v>
      </c>
      <c r="E33" s="209" t="s">
        <v>307</v>
      </c>
      <c r="F33" s="209" t="s">
        <v>308</v>
      </c>
      <c r="G33" s="212" t="s">
        <v>31</v>
      </c>
      <c r="H33" s="206" t="s">
        <v>31</v>
      </c>
      <c r="I33" s="206" t="s">
        <v>31</v>
      </c>
      <c r="J33" s="206"/>
      <c r="M33" s="21"/>
    </row>
    <row r="34" spans="1:13">
      <c r="A34" s="208" t="s">
        <v>352</v>
      </c>
      <c r="B34" s="209" t="s">
        <v>311</v>
      </c>
      <c r="C34" s="210">
        <v>2</v>
      </c>
      <c r="D34" s="211">
        <v>6</v>
      </c>
      <c r="E34" s="209" t="s">
        <v>31</v>
      </c>
      <c r="F34" s="209" t="s">
        <v>31</v>
      </c>
      <c r="G34" s="212" t="s">
        <v>31</v>
      </c>
      <c r="H34" s="206">
        <v>72</v>
      </c>
      <c r="I34" s="213">
        <v>80</v>
      </c>
      <c r="J34" s="206"/>
      <c r="M34" s="21"/>
    </row>
    <row r="35" spans="1:13">
      <c r="A35" s="208" t="s">
        <v>353</v>
      </c>
      <c r="B35" s="209" t="s">
        <v>315</v>
      </c>
      <c r="C35" s="210">
        <v>2</v>
      </c>
      <c r="D35" s="211">
        <v>6</v>
      </c>
      <c r="E35" s="209" t="s">
        <v>31</v>
      </c>
      <c r="F35" s="209" t="s">
        <v>31</v>
      </c>
      <c r="G35" s="212" t="s">
        <v>31</v>
      </c>
      <c r="H35" s="206" t="s">
        <v>31</v>
      </c>
      <c r="I35" s="206" t="s">
        <v>31</v>
      </c>
      <c r="J35" s="206"/>
      <c r="M35" s="21"/>
    </row>
    <row r="36" spans="1:13">
      <c r="A36" s="208" t="s">
        <v>354</v>
      </c>
      <c r="B36" s="209" t="s">
        <v>31</v>
      </c>
      <c r="C36" s="210">
        <v>2</v>
      </c>
      <c r="D36" s="211">
        <v>6</v>
      </c>
      <c r="E36" s="209" t="s">
        <v>31</v>
      </c>
      <c r="F36" s="209" t="s">
        <v>31</v>
      </c>
      <c r="G36" s="212" t="s">
        <v>312</v>
      </c>
      <c r="H36" s="206">
        <v>70</v>
      </c>
      <c r="I36" s="213">
        <v>75</v>
      </c>
      <c r="J36" s="206" t="s">
        <v>355</v>
      </c>
      <c r="M36" s="21"/>
    </row>
    <row r="37" spans="1:13">
      <c r="A37" s="208" t="s">
        <v>356</v>
      </c>
      <c r="B37" s="209" t="s">
        <v>315</v>
      </c>
      <c r="C37" s="210">
        <v>5</v>
      </c>
      <c r="D37" s="211">
        <v>15</v>
      </c>
      <c r="E37" s="209" t="s">
        <v>31</v>
      </c>
      <c r="F37" s="209" t="s">
        <v>31</v>
      </c>
      <c r="G37" s="212" t="s">
        <v>31</v>
      </c>
      <c r="H37" s="206" t="s">
        <v>31</v>
      </c>
      <c r="I37" s="206" t="s">
        <v>31</v>
      </c>
      <c r="J37" s="206"/>
      <c r="M37" s="21"/>
    </row>
    <row r="38" spans="1:13">
      <c r="A38" s="208" t="s">
        <v>357</v>
      </c>
      <c r="B38" s="209" t="s">
        <v>315</v>
      </c>
      <c r="C38" s="210">
        <v>2</v>
      </c>
      <c r="D38" s="211">
        <v>6</v>
      </c>
      <c r="E38" s="209" t="s">
        <v>31</v>
      </c>
      <c r="F38" s="209" t="s">
        <v>31</v>
      </c>
      <c r="G38" s="212" t="s">
        <v>31</v>
      </c>
      <c r="H38" s="206" t="s">
        <v>31</v>
      </c>
      <c r="I38" s="206" t="s">
        <v>31</v>
      </c>
      <c r="J38" s="206"/>
      <c r="M38" s="21"/>
    </row>
    <row r="39" spans="1:13">
      <c r="A39" s="208" t="s">
        <v>358</v>
      </c>
      <c r="B39" s="209" t="s">
        <v>311</v>
      </c>
      <c r="C39" s="210" t="s">
        <v>31</v>
      </c>
      <c r="D39" s="211">
        <v>10</v>
      </c>
      <c r="E39" s="209" t="s">
        <v>307</v>
      </c>
      <c r="F39" s="209" t="s">
        <v>308</v>
      </c>
      <c r="G39" s="212" t="s">
        <v>31</v>
      </c>
      <c r="H39" s="206" t="s">
        <v>31</v>
      </c>
      <c r="I39" s="206" t="s">
        <v>31</v>
      </c>
      <c r="J39" s="206"/>
      <c r="M39" s="21"/>
    </row>
    <row r="40" spans="1:13">
      <c r="A40" s="208" t="s">
        <v>359</v>
      </c>
      <c r="B40" s="209" t="s">
        <v>31</v>
      </c>
      <c r="C40" s="210">
        <v>2</v>
      </c>
      <c r="D40" s="211">
        <v>6</v>
      </c>
      <c r="E40" s="209" t="s">
        <v>31</v>
      </c>
      <c r="F40" s="209" t="s">
        <v>31</v>
      </c>
      <c r="G40" s="212" t="s">
        <v>312</v>
      </c>
      <c r="H40" s="206">
        <v>70</v>
      </c>
      <c r="I40" s="213">
        <v>75</v>
      </c>
      <c r="J40" s="206" t="s">
        <v>355</v>
      </c>
      <c r="M40" s="21"/>
    </row>
    <row r="41" spans="1:13">
      <c r="A41" s="208" t="s">
        <v>360</v>
      </c>
      <c r="B41" s="209" t="s">
        <v>31</v>
      </c>
      <c r="C41" s="210">
        <v>2</v>
      </c>
      <c r="D41" s="211">
        <v>6</v>
      </c>
      <c r="E41" s="209" t="s">
        <v>31</v>
      </c>
      <c r="F41" s="209" t="s">
        <v>31</v>
      </c>
      <c r="G41" s="212" t="s">
        <v>312</v>
      </c>
      <c r="H41" s="206">
        <v>70</v>
      </c>
      <c r="I41" s="213">
        <v>75</v>
      </c>
      <c r="J41" s="206" t="s">
        <v>355</v>
      </c>
      <c r="M41" s="21"/>
    </row>
    <row r="42" spans="1:13">
      <c r="A42" s="208" t="s">
        <v>361</v>
      </c>
      <c r="B42" s="209" t="s">
        <v>311</v>
      </c>
      <c r="C42" s="210">
        <v>2</v>
      </c>
      <c r="D42" s="211">
        <v>6</v>
      </c>
      <c r="E42" s="209" t="s">
        <v>307</v>
      </c>
      <c r="F42" s="209" t="s">
        <v>31</v>
      </c>
      <c r="G42" s="212" t="s">
        <v>31</v>
      </c>
      <c r="H42" s="206">
        <v>70</v>
      </c>
      <c r="I42" s="213">
        <v>75</v>
      </c>
      <c r="J42" s="206" t="s">
        <v>362</v>
      </c>
      <c r="M42" s="21"/>
    </row>
    <row r="43" spans="1:13">
      <c r="A43" s="208" t="s">
        <v>363</v>
      </c>
      <c r="B43" s="209" t="s">
        <v>311</v>
      </c>
      <c r="C43" s="210">
        <v>2</v>
      </c>
      <c r="D43" s="211">
        <v>6</v>
      </c>
      <c r="E43" s="209" t="s">
        <v>307</v>
      </c>
      <c r="F43" s="209" t="s">
        <v>31</v>
      </c>
      <c r="G43" s="212" t="s">
        <v>31</v>
      </c>
      <c r="H43" s="206">
        <v>70</v>
      </c>
      <c r="I43" s="213">
        <v>75</v>
      </c>
      <c r="J43" s="206" t="s">
        <v>362</v>
      </c>
      <c r="M43" s="21"/>
    </row>
    <row r="44" spans="1:13">
      <c r="A44" s="208" t="s">
        <v>364</v>
      </c>
      <c r="B44" s="209" t="s">
        <v>311</v>
      </c>
      <c r="C44" s="210">
        <v>2</v>
      </c>
      <c r="D44" s="211">
        <v>6</v>
      </c>
      <c r="E44" s="209" t="s">
        <v>307</v>
      </c>
      <c r="F44" s="209" t="s">
        <v>31</v>
      </c>
      <c r="G44" s="212" t="s">
        <v>31</v>
      </c>
      <c r="H44" s="206">
        <v>70</v>
      </c>
      <c r="I44" s="213">
        <v>75</v>
      </c>
      <c r="J44" s="206" t="s">
        <v>362</v>
      </c>
      <c r="M44" s="21"/>
    </row>
    <row r="45" spans="1:13">
      <c r="A45" s="208" t="s">
        <v>365</v>
      </c>
      <c r="B45" s="209" t="s">
        <v>311</v>
      </c>
      <c r="C45" s="210">
        <v>2</v>
      </c>
      <c r="D45" s="211">
        <v>6</v>
      </c>
      <c r="E45" s="209" t="s">
        <v>31</v>
      </c>
      <c r="F45" s="209" t="s">
        <v>31</v>
      </c>
      <c r="G45" s="212" t="s">
        <v>31</v>
      </c>
      <c r="H45" s="206">
        <v>70</v>
      </c>
      <c r="I45" s="213">
        <v>75</v>
      </c>
      <c r="J45" s="206" t="s">
        <v>362</v>
      </c>
      <c r="M45" s="21"/>
    </row>
    <row r="46" spans="1:13">
      <c r="A46" s="208" t="s">
        <v>366</v>
      </c>
      <c r="B46" s="209" t="s">
        <v>311</v>
      </c>
      <c r="C46" s="210">
        <v>2</v>
      </c>
      <c r="D46" s="211">
        <v>10</v>
      </c>
      <c r="E46" s="209" t="s">
        <v>307</v>
      </c>
      <c r="F46" s="209" t="s">
        <v>31</v>
      </c>
      <c r="G46" s="212" t="s">
        <v>31</v>
      </c>
      <c r="H46" s="206" t="s">
        <v>31</v>
      </c>
      <c r="I46" s="206" t="s">
        <v>31</v>
      </c>
      <c r="J46" s="206" t="s">
        <v>362</v>
      </c>
      <c r="M46" s="21"/>
    </row>
    <row r="47" spans="1:13">
      <c r="A47" s="208" t="s">
        <v>367</v>
      </c>
      <c r="B47" s="209" t="s">
        <v>311</v>
      </c>
      <c r="C47" s="210">
        <v>2</v>
      </c>
      <c r="D47" s="211">
        <v>6</v>
      </c>
      <c r="E47" s="209" t="s">
        <v>307</v>
      </c>
      <c r="F47" s="209" t="s">
        <v>31</v>
      </c>
      <c r="G47" s="212" t="s">
        <v>31</v>
      </c>
      <c r="H47" s="206">
        <v>70</v>
      </c>
      <c r="I47" s="213">
        <v>75</v>
      </c>
      <c r="J47" s="206" t="s">
        <v>362</v>
      </c>
      <c r="M47" s="21"/>
    </row>
    <row r="48" spans="1:13">
      <c r="A48" s="216" t="s">
        <v>368</v>
      </c>
      <c r="B48" s="217" t="s">
        <v>311</v>
      </c>
      <c r="C48" s="210">
        <v>2</v>
      </c>
      <c r="D48" s="211">
        <v>6</v>
      </c>
      <c r="E48" s="217" t="s">
        <v>307</v>
      </c>
      <c r="F48" s="217" t="s">
        <v>31</v>
      </c>
      <c r="G48" s="212" t="s">
        <v>31</v>
      </c>
      <c r="H48" s="218">
        <v>70</v>
      </c>
      <c r="I48" s="213">
        <v>75</v>
      </c>
      <c r="J48" s="218"/>
      <c r="M48" s="21"/>
    </row>
    <row r="49" spans="1:13">
      <c r="A49" s="219" t="s">
        <v>369</v>
      </c>
      <c r="B49" s="220" t="s">
        <v>315</v>
      </c>
      <c r="C49" s="210">
        <v>2</v>
      </c>
      <c r="D49" s="211">
        <v>4</v>
      </c>
      <c r="E49" s="220" t="s">
        <v>31</v>
      </c>
      <c r="F49" s="220" t="s">
        <v>31</v>
      </c>
      <c r="G49" s="212" t="s">
        <v>31</v>
      </c>
      <c r="H49" s="221">
        <v>70</v>
      </c>
      <c r="I49" s="213">
        <v>75</v>
      </c>
      <c r="J49" s="221" t="s">
        <v>362</v>
      </c>
      <c r="M49" s="21"/>
    </row>
    <row r="50" spans="1:13">
      <c r="A50" s="222" t="s">
        <v>370</v>
      </c>
      <c r="B50" s="223" t="s">
        <v>311</v>
      </c>
      <c r="C50" s="210">
        <v>2</v>
      </c>
      <c r="D50" s="211">
        <v>6</v>
      </c>
      <c r="E50" s="223" t="s">
        <v>307</v>
      </c>
      <c r="F50" s="223" t="s">
        <v>31</v>
      </c>
      <c r="G50" s="212" t="s">
        <v>31</v>
      </c>
      <c r="H50" s="224">
        <v>70</v>
      </c>
      <c r="I50" s="213">
        <v>75</v>
      </c>
      <c r="J50" s="224" t="s">
        <v>362</v>
      </c>
      <c r="M50" s="21"/>
    </row>
    <row r="51" spans="1:13">
      <c r="A51" s="225" t="s">
        <v>371</v>
      </c>
      <c r="B51" s="226" t="s">
        <v>311</v>
      </c>
      <c r="C51" s="210">
        <v>2</v>
      </c>
      <c r="D51" s="211">
        <v>6</v>
      </c>
      <c r="E51" s="226" t="s">
        <v>307</v>
      </c>
      <c r="F51" s="226" t="s">
        <v>31</v>
      </c>
      <c r="G51" s="212" t="s">
        <v>31</v>
      </c>
      <c r="H51" s="227">
        <v>70</v>
      </c>
      <c r="I51" s="213">
        <v>75</v>
      </c>
      <c r="J51" s="227" t="s">
        <v>362</v>
      </c>
      <c r="M51" s="21"/>
    </row>
    <row r="52" spans="1:13">
      <c r="A52" s="228" t="s">
        <v>372</v>
      </c>
      <c r="B52" s="229" t="s">
        <v>311</v>
      </c>
      <c r="C52" s="210">
        <v>2</v>
      </c>
      <c r="D52" s="211">
        <v>6</v>
      </c>
      <c r="E52" s="229" t="s">
        <v>307</v>
      </c>
      <c r="F52" s="229" t="s">
        <v>31</v>
      </c>
      <c r="G52" s="212" t="s">
        <v>31</v>
      </c>
      <c r="H52" s="230">
        <v>70</v>
      </c>
      <c r="I52" s="213">
        <v>75</v>
      </c>
      <c r="J52" s="230" t="s">
        <v>362</v>
      </c>
      <c r="M52" s="21"/>
    </row>
    <row r="53" spans="1:13">
      <c r="A53" s="231" t="s">
        <v>373</v>
      </c>
      <c r="B53" s="232" t="s">
        <v>311</v>
      </c>
      <c r="C53" s="210">
        <v>2</v>
      </c>
      <c r="D53" s="211">
        <v>6</v>
      </c>
      <c r="E53" s="232" t="s">
        <v>307</v>
      </c>
      <c r="F53" s="232" t="s">
        <v>31</v>
      </c>
      <c r="G53" s="212" t="s">
        <v>31</v>
      </c>
      <c r="H53" s="233">
        <v>70</v>
      </c>
      <c r="I53" s="213">
        <v>75</v>
      </c>
      <c r="J53" s="233" t="s">
        <v>362</v>
      </c>
      <c r="M53" s="21"/>
    </row>
    <row r="54" spans="1:13">
      <c r="A54" s="234" t="s">
        <v>374</v>
      </c>
      <c r="B54" s="235" t="s">
        <v>311</v>
      </c>
      <c r="C54" s="210">
        <v>2</v>
      </c>
      <c r="D54" s="211">
        <v>10</v>
      </c>
      <c r="E54" s="235" t="s">
        <v>307</v>
      </c>
      <c r="F54" s="235" t="s">
        <v>31</v>
      </c>
      <c r="G54" s="212" t="s">
        <v>31</v>
      </c>
      <c r="H54" s="236">
        <v>70</v>
      </c>
      <c r="I54" s="213">
        <v>75</v>
      </c>
      <c r="J54" s="236"/>
      <c r="M54" s="21"/>
    </row>
    <row r="55" spans="1:13">
      <c r="A55" s="237" t="s">
        <v>375</v>
      </c>
      <c r="B55" s="238" t="s">
        <v>31</v>
      </c>
      <c r="C55" s="210">
        <v>2</v>
      </c>
      <c r="D55" s="211">
        <v>6</v>
      </c>
      <c r="E55" s="238" t="s">
        <v>31</v>
      </c>
      <c r="F55" s="238" t="s">
        <v>31</v>
      </c>
      <c r="G55" s="212" t="s">
        <v>31</v>
      </c>
      <c r="H55" s="239" t="s">
        <v>31</v>
      </c>
      <c r="I55" s="239" t="s">
        <v>31</v>
      </c>
      <c r="J55" s="239"/>
      <c r="M55" s="21"/>
    </row>
    <row r="56" spans="1:13">
      <c r="A56" s="240" t="s">
        <v>376</v>
      </c>
      <c r="B56" s="238" t="s">
        <v>315</v>
      </c>
      <c r="C56" s="210">
        <v>3</v>
      </c>
      <c r="D56" s="211">
        <v>15</v>
      </c>
      <c r="E56" s="238" t="s">
        <v>31</v>
      </c>
      <c r="F56" s="238" t="s">
        <v>308</v>
      </c>
      <c r="G56" s="212" t="s">
        <v>333</v>
      </c>
      <c r="H56" s="239">
        <v>70</v>
      </c>
      <c r="I56" s="213">
        <v>75</v>
      </c>
      <c r="J56" s="239"/>
      <c r="M56" s="21"/>
    </row>
    <row r="57" spans="1:13">
      <c r="A57" s="240" t="s">
        <v>377</v>
      </c>
      <c r="B57" s="238" t="s">
        <v>311</v>
      </c>
      <c r="C57" s="210">
        <v>2</v>
      </c>
      <c r="D57" s="211">
        <v>10</v>
      </c>
      <c r="E57" s="238" t="s">
        <v>307</v>
      </c>
      <c r="F57" s="238" t="s">
        <v>308</v>
      </c>
      <c r="G57" s="212" t="s">
        <v>31</v>
      </c>
      <c r="H57" s="239" t="s">
        <v>31</v>
      </c>
      <c r="I57" s="239" t="s">
        <v>31</v>
      </c>
      <c r="J57" s="239"/>
      <c r="M57" s="21"/>
    </row>
    <row r="58" spans="1:13">
      <c r="A58" s="240" t="s">
        <v>378</v>
      </c>
      <c r="B58" s="238" t="s">
        <v>311</v>
      </c>
      <c r="C58" s="210" t="s">
        <v>31</v>
      </c>
      <c r="D58" s="211">
        <v>10</v>
      </c>
      <c r="E58" s="238" t="s">
        <v>307</v>
      </c>
      <c r="F58" s="238" t="s">
        <v>308</v>
      </c>
      <c r="G58" s="212" t="s">
        <v>31</v>
      </c>
      <c r="H58" s="239" t="s">
        <v>31</v>
      </c>
      <c r="I58" s="239" t="s">
        <v>31</v>
      </c>
      <c r="J58" s="239"/>
      <c r="M58" s="21"/>
    </row>
    <row r="59" spans="1:13">
      <c r="A59" s="240" t="s">
        <v>379</v>
      </c>
      <c r="B59" s="238" t="s">
        <v>311</v>
      </c>
      <c r="C59" s="210" t="s">
        <v>31</v>
      </c>
      <c r="D59" s="211">
        <v>8</v>
      </c>
      <c r="E59" s="238" t="s">
        <v>307</v>
      </c>
      <c r="F59" s="238" t="s">
        <v>31</v>
      </c>
      <c r="G59" s="212" t="s">
        <v>31</v>
      </c>
      <c r="H59" s="239" t="s">
        <v>31</v>
      </c>
      <c r="I59" s="239" t="s">
        <v>31</v>
      </c>
      <c r="J59" s="239" t="s">
        <v>380</v>
      </c>
      <c r="M59" s="21"/>
    </row>
    <row r="60" spans="1:13">
      <c r="A60" s="240" t="s">
        <v>381</v>
      </c>
      <c r="B60" s="238" t="s">
        <v>31</v>
      </c>
      <c r="C60" s="210">
        <v>2</v>
      </c>
      <c r="D60" s="211">
        <v>4</v>
      </c>
      <c r="E60" s="238" t="s">
        <v>31</v>
      </c>
      <c r="F60" s="238" t="s">
        <v>31</v>
      </c>
      <c r="G60" s="212" t="s">
        <v>312</v>
      </c>
      <c r="H60" s="239">
        <v>70</v>
      </c>
      <c r="I60" s="213">
        <v>75</v>
      </c>
      <c r="J60" s="239"/>
      <c r="M60" s="21"/>
    </row>
    <row r="61" spans="1:13">
      <c r="A61" s="240" t="s">
        <v>382</v>
      </c>
      <c r="B61" s="238" t="s">
        <v>311</v>
      </c>
      <c r="C61" s="210">
        <v>2</v>
      </c>
      <c r="D61" s="211">
        <v>12</v>
      </c>
      <c r="E61" s="238" t="s">
        <v>307</v>
      </c>
      <c r="F61" s="238" t="s">
        <v>308</v>
      </c>
      <c r="G61" s="212" t="s">
        <v>31</v>
      </c>
      <c r="H61" s="239">
        <v>68</v>
      </c>
      <c r="I61" s="213">
        <v>75</v>
      </c>
      <c r="J61" s="239" t="s">
        <v>322</v>
      </c>
      <c r="M61" s="21"/>
    </row>
    <row r="62" spans="1:13">
      <c r="A62" s="240" t="s">
        <v>383</v>
      </c>
      <c r="B62" s="238" t="s">
        <v>31</v>
      </c>
      <c r="C62" s="210">
        <v>2</v>
      </c>
      <c r="D62" s="211">
        <v>6</v>
      </c>
      <c r="E62" s="238" t="s">
        <v>31</v>
      </c>
      <c r="F62" s="238" t="s">
        <v>31</v>
      </c>
      <c r="G62" s="212" t="s">
        <v>31</v>
      </c>
      <c r="H62" s="239" t="s">
        <v>31</v>
      </c>
      <c r="I62" s="239" t="s">
        <v>31</v>
      </c>
      <c r="J62" s="239"/>
      <c r="M62" s="21"/>
    </row>
    <row r="63" spans="1:13">
      <c r="A63" s="240" t="s">
        <v>384</v>
      </c>
      <c r="B63" s="238" t="s">
        <v>311</v>
      </c>
      <c r="C63" s="210">
        <v>2</v>
      </c>
      <c r="D63" s="211">
        <v>12</v>
      </c>
      <c r="E63" s="238" t="s">
        <v>307</v>
      </c>
      <c r="F63" s="238" t="s">
        <v>308</v>
      </c>
      <c r="G63" s="212" t="s">
        <v>312</v>
      </c>
      <c r="H63" s="239">
        <v>72</v>
      </c>
      <c r="I63" s="213">
        <v>78</v>
      </c>
      <c r="J63" s="239"/>
      <c r="M63" s="21"/>
    </row>
    <row r="64" spans="1:13">
      <c r="A64" s="240" t="s">
        <v>385</v>
      </c>
      <c r="B64" s="238" t="s">
        <v>315</v>
      </c>
      <c r="C64" s="210">
        <v>2</v>
      </c>
      <c r="D64" s="211">
        <v>6</v>
      </c>
      <c r="E64" s="238" t="s">
        <v>31</v>
      </c>
      <c r="F64" s="238" t="s">
        <v>308</v>
      </c>
      <c r="G64" s="212" t="s">
        <v>328</v>
      </c>
      <c r="H64" s="239">
        <v>72</v>
      </c>
      <c r="I64" s="213">
        <v>78</v>
      </c>
      <c r="J64" s="239"/>
      <c r="M64" s="21"/>
    </row>
    <row r="65" spans="1:13">
      <c r="A65" s="240" t="s">
        <v>386</v>
      </c>
      <c r="B65" s="238" t="s">
        <v>34</v>
      </c>
      <c r="C65" s="210">
        <v>2</v>
      </c>
      <c r="D65" s="211">
        <v>10</v>
      </c>
      <c r="E65" s="238" t="s">
        <v>31</v>
      </c>
      <c r="F65" s="238" t="s">
        <v>308</v>
      </c>
      <c r="G65" s="212" t="s">
        <v>31</v>
      </c>
      <c r="H65" s="239" t="s">
        <v>31</v>
      </c>
      <c r="I65" s="239" t="s">
        <v>31</v>
      </c>
      <c r="J65" s="239"/>
      <c r="M65" s="21"/>
    </row>
    <row r="66" spans="1:13">
      <c r="A66" s="240" t="s">
        <v>387</v>
      </c>
      <c r="B66" s="238" t="s">
        <v>31</v>
      </c>
      <c r="C66" s="210">
        <v>2</v>
      </c>
      <c r="D66" s="211">
        <v>6</v>
      </c>
      <c r="E66" s="238" t="s">
        <v>31</v>
      </c>
      <c r="F66" s="238" t="s">
        <v>308</v>
      </c>
      <c r="G66" s="212" t="s">
        <v>328</v>
      </c>
      <c r="H66" s="239">
        <v>72</v>
      </c>
      <c r="I66" s="213">
        <v>78</v>
      </c>
      <c r="J66" s="239"/>
      <c r="M66" s="21"/>
    </row>
    <row r="67" spans="1:13">
      <c r="A67" s="240" t="s">
        <v>388</v>
      </c>
      <c r="B67" s="238" t="s">
        <v>311</v>
      </c>
      <c r="C67" s="210" t="s">
        <v>31</v>
      </c>
      <c r="D67" s="211">
        <v>10</v>
      </c>
      <c r="E67" s="238" t="s">
        <v>307</v>
      </c>
      <c r="F67" s="238" t="s">
        <v>308</v>
      </c>
      <c r="G67" s="212" t="s">
        <v>31</v>
      </c>
      <c r="H67" s="239">
        <v>70</v>
      </c>
      <c r="I67" s="213">
        <v>75</v>
      </c>
      <c r="J67" s="239" t="s">
        <v>389</v>
      </c>
      <c r="M67" s="21"/>
    </row>
    <row r="68" spans="1:13">
      <c r="A68" s="240" t="s">
        <v>390</v>
      </c>
      <c r="B68" s="238" t="s">
        <v>31</v>
      </c>
      <c r="C68" s="210" t="s">
        <v>31</v>
      </c>
      <c r="D68" s="211">
        <v>2</v>
      </c>
      <c r="E68" s="238" t="s">
        <v>31</v>
      </c>
      <c r="F68" s="238" t="s">
        <v>31</v>
      </c>
      <c r="G68" s="212" t="s">
        <v>31</v>
      </c>
      <c r="H68" s="239" t="s">
        <v>31</v>
      </c>
      <c r="I68" s="239" t="s">
        <v>31</v>
      </c>
      <c r="J68" s="239"/>
      <c r="M68" s="21"/>
    </row>
    <row r="69" spans="1:13">
      <c r="A69" s="240" t="s">
        <v>391</v>
      </c>
      <c r="B69" s="238" t="s">
        <v>311</v>
      </c>
      <c r="C69" s="210">
        <v>2</v>
      </c>
      <c r="D69" s="211">
        <v>6</v>
      </c>
      <c r="E69" s="238" t="s">
        <v>307</v>
      </c>
      <c r="F69" s="238" t="s">
        <v>308</v>
      </c>
      <c r="G69" s="212" t="s">
        <v>31</v>
      </c>
      <c r="H69" s="239" t="s">
        <v>31</v>
      </c>
      <c r="I69" s="239" t="s">
        <v>31</v>
      </c>
      <c r="J69" s="239"/>
      <c r="M69" s="21"/>
    </row>
    <row r="70" spans="1:13">
      <c r="A70" s="240" t="s">
        <v>392</v>
      </c>
      <c r="B70" s="238" t="s">
        <v>311</v>
      </c>
      <c r="C70" s="210" t="s">
        <v>31</v>
      </c>
      <c r="D70" s="211">
        <v>6</v>
      </c>
      <c r="E70" s="238" t="s">
        <v>307</v>
      </c>
      <c r="F70" s="238" t="s">
        <v>308</v>
      </c>
      <c r="G70" s="212" t="s">
        <v>31</v>
      </c>
      <c r="H70" s="239">
        <v>70</v>
      </c>
      <c r="I70" s="213">
        <v>75</v>
      </c>
      <c r="J70" s="239"/>
      <c r="M70" s="21"/>
    </row>
    <row r="71" spans="1:13">
      <c r="A71" s="240" t="s">
        <v>393</v>
      </c>
      <c r="B71" s="238" t="s">
        <v>311</v>
      </c>
      <c r="C71" s="210">
        <v>2</v>
      </c>
      <c r="D71" s="211">
        <v>6</v>
      </c>
      <c r="E71" s="238" t="s">
        <v>307</v>
      </c>
      <c r="F71" s="238" t="s">
        <v>31</v>
      </c>
      <c r="G71" s="212" t="s">
        <v>31</v>
      </c>
      <c r="H71" s="239">
        <v>70</v>
      </c>
      <c r="I71" s="213">
        <v>75</v>
      </c>
      <c r="J71" s="239"/>
      <c r="M71" s="21"/>
    </row>
    <row r="72" spans="1:13">
      <c r="A72" s="240" t="s">
        <v>394</v>
      </c>
      <c r="B72" s="210" t="s">
        <v>31</v>
      </c>
      <c r="C72" s="210" t="s">
        <v>31</v>
      </c>
      <c r="D72" s="211">
        <v>2</v>
      </c>
      <c r="E72" s="238" t="s">
        <v>31</v>
      </c>
      <c r="F72" s="238" t="s">
        <v>31</v>
      </c>
      <c r="G72" s="238" t="s">
        <v>31</v>
      </c>
      <c r="H72" s="238" t="s">
        <v>31</v>
      </c>
      <c r="I72" s="238" t="s">
        <v>31</v>
      </c>
      <c r="J72" s="239" t="s">
        <v>395</v>
      </c>
      <c r="M72" s="21"/>
    </row>
    <row r="73" spans="1:13">
      <c r="A73" s="240" t="s">
        <v>396</v>
      </c>
      <c r="B73" s="238" t="s">
        <v>31</v>
      </c>
      <c r="C73" s="210">
        <v>2</v>
      </c>
      <c r="D73" s="211">
        <v>6</v>
      </c>
      <c r="E73" s="238" t="s">
        <v>31</v>
      </c>
      <c r="F73" s="238" t="s">
        <v>31</v>
      </c>
      <c r="G73" s="212" t="s">
        <v>31</v>
      </c>
      <c r="H73" s="239">
        <v>70</v>
      </c>
      <c r="I73" s="213">
        <v>75</v>
      </c>
      <c r="J73" s="239"/>
      <c r="M73" s="21"/>
    </row>
    <row r="74" spans="1:13">
      <c r="A74" s="240" t="s">
        <v>397</v>
      </c>
      <c r="B74" s="238" t="s">
        <v>31</v>
      </c>
      <c r="C74" s="210">
        <v>2</v>
      </c>
      <c r="D74" s="211">
        <v>6</v>
      </c>
      <c r="E74" s="238" t="s">
        <v>31</v>
      </c>
      <c r="F74" s="238" t="s">
        <v>31</v>
      </c>
      <c r="G74" s="212" t="s">
        <v>31</v>
      </c>
      <c r="H74" s="239">
        <v>70</v>
      </c>
      <c r="I74" s="213">
        <v>75</v>
      </c>
      <c r="J74" s="239"/>
      <c r="M74" s="21"/>
    </row>
    <row r="75" spans="1:13">
      <c r="A75" s="240" t="s">
        <v>398</v>
      </c>
      <c r="B75" s="238" t="s">
        <v>315</v>
      </c>
      <c r="C75" s="210">
        <v>4</v>
      </c>
      <c r="D75" s="211">
        <v>20</v>
      </c>
      <c r="E75" s="238" t="s">
        <v>31</v>
      </c>
      <c r="F75" s="238" t="s">
        <v>308</v>
      </c>
      <c r="G75" s="212" t="s">
        <v>333</v>
      </c>
      <c r="H75" s="239">
        <v>68</v>
      </c>
      <c r="I75" s="213">
        <v>75</v>
      </c>
      <c r="J75" s="239"/>
      <c r="M75" s="21"/>
    </row>
    <row r="76" spans="1:13">
      <c r="A76" s="240" t="s">
        <v>399</v>
      </c>
      <c r="B76" s="238" t="s">
        <v>315</v>
      </c>
      <c r="C76" s="210">
        <v>4</v>
      </c>
      <c r="D76" s="211">
        <v>20</v>
      </c>
      <c r="E76" s="238" t="s">
        <v>31</v>
      </c>
      <c r="F76" s="238" t="s">
        <v>308</v>
      </c>
      <c r="G76" s="212" t="s">
        <v>333</v>
      </c>
      <c r="H76" s="239">
        <v>68</v>
      </c>
      <c r="I76" s="213">
        <v>75</v>
      </c>
      <c r="J76" s="239" t="s">
        <v>334</v>
      </c>
      <c r="M76" s="21"/>
    </row>
    <row r="77" spans="1:13">
      <c r="A77" s="240" t="s">
        <v>400</v>
      </c>
      <c r="B77" s="238" t="s">
        <v>31</v>
      </c>
      <c r="C77" s="210" t="s">
        <v>31</v>
      </c>
      <c r="D77" s="211">
        <v>2</v>
      </c>
      <c r="E77" s="238" t="s">
        <v>31</v>
      </c>
      <c r="F77" s="238" t="s">
        <v>31</v>
      </c>
      <c r="G77" s="212" t="s">
        <v>31</v>
      </c>
      <c r="H77" s="239" t="s">
        <v>31</v>
      </c>
      <c r="I77" s="239" t="s">
        <v>31</v>
      </c>
      <c r="J77" s="239"/>
      <c r="M77" s="21"/>
    </row>
    <row r="78" spans="1:13">
      <c r="A78" s="240" t="s">
        <v>401</v>
      </c>
      <c r="B78" s="238" t="s">
        <v>31</v>
      </c>
      <c r="C78" s="210">
        <v>2</v>
      </c>
      <c r="D78" s="211">
        <v>6</v>
      </c>
      <c r="E78" s="238" t="s">
        <v>31</v>
      </c>
      <c r="F78" s="238" t="s">
        <v>308</v>
      </c>
      <c r="G78" s="212" t="s">
        <v>31</v>
      </c>
      <c r="H78" s="239" t="s">
        <v>31</v>
      </c>
      <c r="I78" s="239" t="s">
        <v>31</v>
      </c>
      <c r="J78" s="239"/>
      <c r="M78" s="21"/>
    </row>
    <row r="79" spans="1:13">
      <c r="A79" s="240" t="s">
        <v>402</v>
      </c>
      <c r="B79" s="238" t="s">
        <v>31</v>
      </c>
      <c r="C79" s="210">
        <v>2</v>
      </c>
      <c r="D79" s="211">
        <v>4</v>
      </c>
      <c r="E79" s="238" t="s">
        <v>31</v>
      </c>
      <c r="F79" s="238" t="s">
        <v>31</v>
      </c>
      <c r="G79" s="212" t="s">
        <v>312</v>
      </c>
      <c r="H79" s="239">
        <v>70</v>
      </c>
      <c r="I79" s="213">
        <v>75</v>
      </c>
      <c r="J79" s="239" t="s">
        <v>458</v>
      </c>
      <c r="M79" s="21"/>
    </row>
    <row r="80" spans="1:13">
      <c r="A80" s="241" t="s">
        <v>403</v>
      </c>
      <c r="B80" s="242" t="s">
        <v>31</v>
      </c>
      <c r="C80" s="210">
        <v>2</v>
      </c>
      <c r="D80" s="211">
        <v>6</v>
      </c>
      <c r="E80" s="242" t="s">
        <v>31</v>
      </c>
      <c r="F80" s="242" t="s">
        <v>31</v>
      </c>
      <c r="G80" s="212" t="s">
        <v>31</v>
      </c>
      <c r="H80" s="243" t="s">
        <v>31</v>
      </c>
      <c r="I80" s="243" t="s">
        <v>31</v>
      </c>
      <c r="J80" s="243"/>
      <c r="M80" s="21"/>
    </row>
    <row r="81" spans="1:13">
      <c r="A81" s="244" t="s">
        <v>404</v>
      </c>
      <c r="B81" s="245" t="s">
        <v>315</v>
      </c>
      <c r="C81" s="210">
        <v>2</v>
      </c>
      <c r="D81" s="211">
        <v>4</v>
      </c>
      <c r="E81" s="245" t="s">
        <v>31</v>
      </c>
      <c r="F81" s="245" t="s">
        <v>31</v>
      </c>
      <c r="G81" s="212" t="s">
        <v>31</v>
      </c>
      <c r="H81" s="246" t="s">
        <v>31</v>
      </c>
      <c r="I81" s="246" t="s">
        <v>31</v>
      </c>
      <c r="J81" s="246" t="s">
        <v>405</v>
      </c>
      <c r="M81" s="21"/>
    </row>
    <row r="82" spans="1:13">
      <c r="A82" s="247" t="s">
        <v>406</v>
      </c>
      <c r="B82" s="248" t="s">
        <v>31</v>
      </c>
      <c r="C82" s="210">
        <v>2</v>
      </c>
      <c r="D82" s="211">
        <v>4</v>
      </c>
      <c r="E82" s="248" t="s">
        <v>31</v>
      </c>
      <c r="F82" s="248" t="s">
        <v>31</v>
      </c>
      <c r="G82" s="212" t="s">
        <v>31</v>
      </c>
      <c r="H82" s="249" t="s">
        <v>31</v>
      </c>
      <c r="I82" s="249" t="s">
        <v>31</v>
      </c>
      <c r="J82" s="249"/>
      <c r="M82" s="21"/>
    </row>
    <row r="83" spans="1:13">
      <c r="A83" s="250" t="s">
        <v>407</v>
      </c>
      <c r="B83" s="251" t="s">
        <v>315</v>
      </c>
      <c r="C83" s="210" t="s">
        <v>31</v>
      </c>
      <c r="D83" s="211" t="s">
        <v>31</v>
      </c>
      <c r="E83" s="251" t="s">
        <v>31</v>
      </c>
      <c r="F83" s="251" t="s">
        <v>31</v>
      </c>
      <c r="G83" s="212" t="s">
        <v>408</v>
      </c>
      <c r="H83" s="252">
        <v>68</v>
      </c>
      <c r="I83" s="252">
        <v>68</v>
      </c>
      <c r="J83" s="252" t="s">
        <v>405</v>
      </c>
      <c r="M83" s="21"/>
    </row>
    <row r="84" spans="1:13">
      <c r="A84" s="253" t="s">
        <v>409</v>
      </c>
      <c r="B84" s="254" t="s">
        <v>311</v>
      </c>
      <c r="C84" s="210" t="s">
        <v>31</v>
      </c>
      <c r="D84" s="211">
        <v>30</v>
      </c>
      <c r="E84" s="254" t="s">
        <v>307</v>
      </c>
      <c r="F84" s="254" t="s">
        <v>308</v>
      </c>
      <c r="G84" s="212" t="s">
        <v>408</v>
      </c>
      <c r="H84" s="255">
        <v>68</v>
      </c>
      <c r="I84" s="255">
        <v>68</v>
      </c>
      <c r="J84" s="255" t="s">
        <v>405</v>
      </c>
      <c r="M84" s="21"/>
    </row>
    <row r="85" spans="1:13">
      <c r="A85" s="256" t="s">
        <v>410</v>
      </c>
      <c r="B85" s="257" t="s">
        <v>311</v>
      </c>
      <c r="C85" s="210" t="s">
        <v>31</v>
      </c>
      <c r="D85" s="211">
        <v>12</v>
      </c>
      <c r="E85" s="257" t="s">
        <v>307</v>
      </c>
      <c r="F85" s="257" t="s">
        <v>31</v>
      </c>
      <c r="G85" s="212" t="s">
        <v>31</v>
      </c>
      <c r="H85" s="258" t="s">
        <v>31</v>
      </c>
      <c r="I85" s="258" t="s">
        <v>31</v>
      </c>
      <c r="J85" s="258" t="s">
        <v>411</v>
      </c>
      <c r="M85" s="21"/>
    </row>
    <row r="86" spans="1:13">
      <c r="A86" s="259" t="s">
        <v>412</v>
      </c>
      <c r="B86" s="260" t="s">
        <v>311</v>
      </c>
      <c r="C86" s="210" t="s">
        <v>31</v>
      </c>
      <c r="D86" s="211">
        <v>12</v>
      </c>
      <c r="E86" s="260" t="s">
        <v>307</v>
      </c>
      <c r="F86" s="260" t="s">
        <v>31</v>
      </c>
      <c r="G86" s="212" t="s">
        <v>31</v>
      </c>
      <c r="H86" s="261" t="s">
        <v>31</v>
      </c>
      <c r="I86" s="261" t="s">
        <v>31</v>
      </c>
      <c r="J86" s="261" t="s">
        <v>405</v>
      </c>
      <c r="M86" s="21"/>
    </row>
    <row r="87" spans="1:13">
      <c r="A87" s="262" t="s">
        <v>413</v>
      </c>
      <c r="B87" s="263" t="s">
        <v>315</v>
      </c>
      <c r="C87" s="210" t="s">
        <v>31</v>
      </c>
      <c r="D87" s="211">
        <v>30</v>
      </c>
      <c r="E87" s="263" t="s">
        <v>31</v>
      </c>
      <c r="F87" s="263" t="s">
        <v>31</v>
      </c>
      <c r="G87" s="212" t="s">
        <v>408</v>
      </c>
      <c r="H87" s="264">
        <v>68</v>
      </c>
      <c r="I87" s="264">
        <v>68</v>
      </c>
      <c r="J87" s="264" t="s">
        <v>405</v>
      </c>
      <c r="M87" s="21"/>
    </row>
    <row r="88" spans="1:13">
      <c r="A88" s="265" t="s">
        <v>414</v>
      </c>
      <c r="B88" s="266" t="s">
        <v>315</v>
      </c>
      <c r="C88" s="210" t="s">
        <v>31</v>
      </c>
      <c r="D88" s="211">
        <v>30</v>
      </c>
      <c r="E88" s="266" t="s">
        <v>31</v>
      </c>
      <c r="F88" s="266" t="s">
        <v>308</v>
      </c>
      <c r="G88" s="212" t="s">
        <v>408</v>
      </c>
      <c r="H88" s="267">
        <v>68</v>
      </c>
      <c r="I88" s="267">
        <v>68</v>
      </c>
      <c r="J88" s="267" t="s">
        <v>405</v>
      </c>
      <c r="M88" s="21"/>
    </row>
    <row r="89" spans="1:13">
      <c r="A89" s="268" t="s">
        <v>415</v>
      </c>
      <c r="B89" s="269" t="s">
        <v>31</v>
      </c>
      <c r="C89" s="210" t="s">
        <v>31</v>
      </c>
      <c r="D89" s="211" t="s">
        <v>31</v>
      </c>
      <c r="E89" s="269" t="s">
        <v>31</v>
      </c>
      <c r="F89" s="269" t="s">
        <v>31</v>
      </c>
      <c r="G89" s="212" t="s">
        <v>31</v>
      </c>
      <c r="H89" s="270" t="s">
        <v>31</v>
      </c>
      <c r="I89" s="270" t="s">
        <v>31</v>
      </c>
      <c r="J89" s="270"/>
      <c r="M89" s="21"/>
    </row>
    <row r="90" spans="1:13">
      <c r="A90" s="271" t="s">
        <v>416</v>
      </c>
      <c r="B90" s="272" t="s">
        <v>311</v>
      </c>
      <c r="C90" s="210">
        <v>2</v>
      </c>
      <c r="D90" s="211">
        <v>6</v>
      </c>
      <c r="E90" s="272" t="s">
        <v>31</v>
      </c>
      <c r="F90" s="272" t="s">
        <v>31</v>
      </c>
      <c r="G90" s="212" t="s">
        <v>31</v>
      </c>
      <c r="H90" s="273">
        <v>70</v>
      </c>
      <c r="I90" s="213">
        <v>75</v>
      </c>
      <c r="J90" s="273"/>
      <c r="M90" s="21"/>
    </row>
    <row r="91" spans="1:13">
      <c r="A91" s="274" t="s">
        <v>417</v>
      </c>
      <c r="B91" s="275" t="s">
        <v>311</v>
      </c>
      <c r="C91" s="210">
        <v>2</v>
      </c>
      <c r="D91" s="211">
        <v>6</v>
      </c>
      <c r="E91" s="275" t="s">
        <v>31</v>
      </c>
      <c r="F91" s="275" t="s">
        <v>31</v>
      </c>
      <c r="G91" s="212" t="s">
        <v>343</v>
      </c>
      <c r="H91" s="276">
        <v>72</v>
      </c>
      <c r="I91" s="213">
        <v>80</v>
      </c>
      <c r="J91" s="276"/>
      <c r="M91" s="21"/>
    </row>
    <row r="92" spans="1:13">
      <c r="A92" s="277" t="s">
        <v>418</v>
      </c>
      <c r="B92" s="278" t="s">
        <v>31</v>
      </c>
      <c r="C92" s="210">
        <v>2</v>
      </c>
      <c r="D92" s="211">
        <v>6</v>
      </c>
      <c r="E92" s="278" t="s">
        <v>307</v>
      </c>
      <c r="F92" s="278" t="s">
        <v>308</v>
      </c>
      <c r="G92" s="212" t="s">
        <v>333</v>
      </c>
      <c r="H92" s="279">
        <v>70</v>
      </c>
      <c r="I92" s="213">
        <v>75</v>
      </c>
      <c r="J92" s="279"/>
      <c r="M92" s="21"/>
    </row>
    <row r="93" spans="1:13">
      <c r="A93" s="280" t="s">
        <v>419</v>
      </c>
      <c r="B93" s="281" t="s">
        <v>311</v>
      </c>
      <c r="C93" s="210">
        <v>2</v>
      </c>
      <c r="D93" s="211">
        <v>12</v>
      </c>
      <c r="E93" s="281" t="s">
        <v>307</v>
      </c>
      <c r="F93" s="281" t="s">
        <v>31</v>
      </c>
      <c r="G93" s="212" t="s">
        <v>31</v>
      </c>
      <c r="H93" s="282" t="s">
        <v>31</v>
      </c>
      <c r="I93" s="282" t="s">
        <v>31</v>
      </c>
      <c r="J93" s="282" t="s">
        <v>459</v>
      </c>
      <c r="M93" s="21"/>
    </row>
    <row r="94" spans="1:13">
      <c r="A94" s="283" t="s">
        <v>420</v>
      </c>
      <c r="B94" s="284" t="s">
        <v>315</v>
      </c>
      <c r="C94" s="210">
        <v>3</v>
      </c>
      <c r="D94" s="211">
        <v>15</v>
      </c>
      <c r="E94" s="284" t="s">
        <v>31</v>
      </c>
      <c r="F94" s="284" t="s">
        <v>308</v>
      </c>
      <c r="G94" s="212" t="s">
        <v>333</v>
      </c>
      <c r="H94" s="285">
        <v>70</v>
      </c>
      <c r="I94" s="213">
        <v>75</v>
      </c>
      <c r="J94" s="285" t="s">
        <v>421</v>
      </c>
      <c r="M94" s="21"/>
    </row>
    <row r="95" spans="1:13">
      <c r="A95" s="286" t="s">
        <v>422</v>
      </c>
      <c r="B95" s="287" t="s">
        <v>423</v>
      </c>
      <c r="C95" s="210" t="s">
        <v>31</v>
      </c>
      <c r="D95" s="211">
        <v>10</v>
      </c>
      <c r="E95" s="287" t="s">
        <v>31</v>
      </c>
      <c r="F95" s="287" t="s">
        <v>308</v>
      </c>
      <c r="G95" s="212" t="s">
        <v>31</v>
      </c>
      <c r="H95" s="288" t="s">
        <v>31</v>
      </c>
      <c r="I95" s="288" t="s">
        <v>31</v>
      </c>
      <c r="J95" s="288" t="s">
        <v>424</v>
      </c>
      <c r="M95" s="21"/>
    </row>
    <row r="96" spans="1:13">
      <c r="A96" s="289" t="s">
        <v>425</v>
      </c>
      <c r="B96" s="290" t="s">
        <v>315</v>
      </c>
      <c r="C96" s="210">
        <v>2</v>
      </c>
      <c r="D96" s="211">
        <v>12</v>
      </c>
      <c r="E96" s="290" t="s">
        <v>31</v>
      </c>
      <c r="F96" s="290" t="s">
        <v>308</v>
      </c>
      <c r="G96" s="212" t="s">
        <v>312</v>
      </c>
      <c r="H96" s="291">
        <v>70</v>
      </c>
      <c r="I96" s="213">
        <v>75</v>
      </c>
      <c r="J96" s="291" t="s">
        <v>424</v>
      </c>
      <c r="M96" s="21"/>
    </row>
    <row r="97" spans="1:13">
      <c r="A97" s="292" t="s">
        <v>426</v>
      </c>
      <c r="B97" s="293" t="s">
        <v>311</v>
      </c>
      <c r="C97" s="210">
        <v>2</v>
      </c>
      <c r="D97" s="211">
        <v>12</v>
      </c>
      <c r="E97" s="293" t="s">
        <v>307</v>
      </c>
      <c r="F97" s="293" t="s">
        <v>31</v>
      </c>
      <c r="G97" s="212" t="s">
        <v>312</v>
      </c>
      <c r="H97" s="294">
        <v>70</v>
      </c>
      <c r="I97" s="213">
        <v>75</v>
      </c>
      <c r="J97" s="294" t="s">
        <v>460</v>
      </c>
      <c r="M97" s="21"/>
    </row>
    <row r="98" spans="1:13">
      <c r="A98" s="295" t="s">
        <v>427</v>
      </c>
      <c r="B98" s="296" t="s">
        <v>31</v>
      </c>
      <c r="C98" s="210">
        <v>2</v>
      </c>
      <c r="D98" s="211">
        <v>6</v>
      </c>
      <c r="E98" s="296" t="s">
        <v>31</v>
      </c>
      <c r="F98" s="296" t="s">
        <v>308</v>
      </c>
      <c r="G98" s="212" t="s">
        <v>333</v>
      </c>
      <c r="H98" s="297">
        <v>70</v>
      </c>
      <c r="I98" s="213">
        <v>75</v>
      </c>
      <c r="J98" s="297"/>
      <c r="M98" s="21"/>
    </row>
    <row r="99" spans="1:13">
      <c r="A99" s="298" t="s">
        <v>428</v>
      </c>
      <c r="B99" s="299" t="s">
        <v>31</v>
      </c>
      <c r="C99" s="210">
        <v>2</v>
      </c>
      <c r="D99" s="211">
        <v>6</v>
      </c>
      <c r="E99" s="299" t="s">
        <v>31</v>
      </c>
      <c r="F99" s="299" t="s">
        <v>31</v>
      </c>
      <c r="G99" s="212" t="s">
        <v>31</v>
      </c>
      <c r="H99" s="300" t="s">
        <v>31</v>
      </c>
      <c r="I99" s="300" t="s">
        <v>31</v>
      </c>
      <c r="J99" s="300"/>
      <c r="M99" s="21"/>
    </row>
    <row r="100" spans="1:13">
      <c r="A100" s="301" t="s">
        <v>429</v>
      </c>
      <c r="B100" s="302" t="s">
        <v>31</v>
      </c>
      <c r="C100" s="210">
        <v>4</v>
      </c>
      <c r="D100" s="211">
        <v>4</v>
      </c>
      <c r="E100" s="302" t="s">
        <v>31</v>
      </c>
      <c r="F100" s="302" t="s">
        <v>31</v>
      </c>
      <c r="G100" s="212" t="s">
        <v>31</v>
      </c>
      <c r="H100" s="303">
        <v>70</v>
      </c>
      <c r="I100" s="213">
        <v>75</v>
      </c>
      <c r="J100" s="303"/>
      <c r="M100" s="21"/>
    </row>
    <row r="101" spans="1:13">
      <c r="A101" s="304" t="s">
        <v>430</v>
      </c>
      <c r="B101" s="305" t="s">
        <v>31</v>
      </c>
      <c r="C101" s="210">
        <v>2</v>
      </c>
      <c r="D101" s="211">
        <v>2</v>
      </c>
      <c r="E101" s="305" t="s">
        <v>31</v>
      </c>
      <c r="F101" s="305" t="s">
        <v>31</v>
      </c>
      <c r="G101" s="212" t="s">
        <v>31</v>
      </c>
      <c r="H101" s="306">
        <v>70</v>
      </c>
      <c r="I101" s="213">
        <v>75</v>
      </c>
      <c r="J101" s="306"/>
      <c r="M101" s="21"/>
    </row>
    <row r="102" spans="1:13">
      <c r="A102" s="307" t="s">
        <v>431</v>
      </c>
      <c r="B102" s="308" t="s">
        <v>31</v>
      </c>
      <c r="C102" s="210" t="s">
        <v>31</v>
      </c>
      <c r="D102" s="211">
        <v>4</v>
      </c>
      <c r="E102" s="308" t="s">
        <v>31</v>
      </c>
      <c r="F102" s="308" t="s">
        <v>31</v>
      </c>
      <c r="G102" s="212" t="s">
        <v>31</v>
      </c>
      <c r="H102" s="309" t="s">
        <v>31</v>
      </c>
      <c r="I102" s="309" t="s">
        <v>31</v>
      </c>
      <c r="J102" s="309"/>
      <c r="M102" s="21"/>
    </row>
    <row r="103" spans="1:13">
      <c r="A103" s="310" t="s">
        <v>432</v>
      </c>
      <c r="B103" s="311" t="s">
        <v>31</v>
      </c>
      <c r="C103" s="210">
        <v>2</v>
      </c>
      <c r="D103" s="211">
        <v>6</v>
      </c>
      <c r="E103" s="311" t="s">
        <v>31</v>
      </c>
      <c r="F103" s="311" t="s">
        <v>31</v>
      </c>
      <c r="G103" s="212" t="s">
        <v>31</v>
      </c>
      <c r="H103" s="312" t="s">
        <v>31</v>
      </c>
      <c r="I103" s="312" t="s">
        <v>31</v>
      </c>
      <c r="J103" s="312"/>
      <c r="M103" s="21"/>
    </row>
    <row r="104" spans="1:13">
      <c r="A104" s="313" t="s">
        <v>433</v>
      </c>
      <c r="B104" s="314" t="s">
        <v>31</v>
      </c>
      <c r="C104" s="315">
        <v>2</v>
      </c>
      <c r="D104" s="316">
        <v>4</v>
      </c>
      <c r="E104" s="314" t="s">
        <v>31</v>
      </c>
      <c r="F104" s="314" t="s">
        <v>31</v>
      </c>
      <c r="G104" s="317" t="s">
        <v>31</v>
      </c>
      <c r="H104" s="312" t="s">
        <v>31</v>
      </c>
      <c r="I104" s="312" t="s">
        <v>31</v>
      </c>
      <c r="J104" s="213"/>
      <c r="M104" s="21"/>
    </row>
    <row r="105" spans="1:13">
      <c r="A105" s="313" t="s">
        <v>434</v>
      </c>
      <c r="B105" s="314" t="s">
        <v>311</v>
      </c>
      <c r="C105" s="315" t="s">
        <v>31</v>
      </c>
      <c r="D105" s="316">
        <v>10</v>
      </c>
      <c r="E105" s="314" t="s">
        <v>307</v>
      </c>
      <c r="F105" s="314" t="s">
        <v>308</v>
      </c>
      <c r="G105" s="317" t="s">
        <v>31</v>
      </c>
      <c r="H105" s="312" t="s">
        <v>31</v>
      </c>
      <c r="I105" s="312" t="s">
        <v>31</v>
      </c>
      <c r="J105" s="318"/>
      <c r="M105" s="21"/>
    </row>
    <row r="106" spans="1:13">
      <c r="A106" s="319" t="s">
        <v>435</v>
      </c>
      <c r="B106" s="320" t="s">
        <v>311</v>
      </c>
      <c r="C106" s="315" t="s">
        <v>31</v>
      </c>
      <c r="D106" s="316">
        <v>10</v>
      </c>
      <c r="E106" s="320" t="s">
        <v>307</v>
      </c>
      <c r="F106" s="320" t="s">
        <v>308</v>
      </c>
      <c r="G106" s="317" t="s">
        <v>31</v>
      </c>
      <c r="H106" s="312" t="s">
        <v>31</v>
      </c>
      <c r="I106" s="312" t="s">
        <v>31</v>
      </c>
      <c r="J106" s="318"/>
      <c r="M106" s="21"/>
    </row>
    <row r="107" spans="1:13">
      <c r="A107" s="319" t="s">
        <v>436</v>
      </c>
      <c r="B107" s="320" t="s">
        <v>311</v>
      </c>
      <c r="C107" s="315">
        <v>2</v>
      </c>
      <c r="D107" s="316">
        <v>6</v>
      </c>
      <c r="E107" s="320" t="s">
        <v>307</v>
      </c>
      <c r="F107" s="320" t="s">
        <v>308</v>
      </c>
      <c r="G107" s="317" t="s">
        <v>31</v>
      </c>
      <c r="H107" s="312">
        <v>72</v>
      </c>
      <c r="I107" s="321">
        <v>78</v>
      </c>
      <c r="J107" s="321"/>
      <c r="M107" s="21"/>
    </row>
    <row r="108" spans="1:13">
      <c r="A108" s="322" t="s">
        <v>437</v>
      </c>
      <c r="B108" s="323" t="s">
        <v>311</v>
      </c>
      <c r="C108" s="315">
        <v>2</v>
      </c>
      <c r="D108" s="316">
        <v>10</v>
      </c>
      <c r="E108" s="323" t="s">
        <v>307</v>
      </c>
      <c r="F108" s="323" t="s">
        <v>308</v>
      </c>
      <c r="G108" s="317" t="s">
        <v>31</v>
      </c>
      <c r="H108" s="312" t="s">
        <v>31</v>
      </c>
      <c r="I108" s="312" t="s">
        <v>31</v>
      </c>
      <c r="J108" s="321"/>
      <c r="M108" s="21"/>
    </row>
    <row r="109" spans="1:13">
      <c r="A109" s="322" t="s">
        <v>438</v>
      </c>
      <c r="B109" s="323" t="s">
        <v>31</v>
      </c>
      <c r="C109" s="315">
        <v>2</v>
      </c>
      <c r="D109" s="316">
        <v>6</v>
      </c>
      <c r="E109" s="323" t="s">
        <v>307</v>
      </c>
      <c r="F109" s="323" t="s">
        <v>31</v>
      </c>
      <c r="G109" s="317" t="s">
        <v>31</v>
      </c>
      <c r="H109" s="312" t="s">
        <v>31</v>
      </c>
      <c r="I109" s="312" t="s">
        <v>31</v>
      </c>
      <c r="J109" s="324"/>
      <c r="M109" s="21"/>
    </row>
    <row r="110" spans="1:13">
      <c r="A110" s="325" t="s">
        <v>439</v>
      </c>
      <c r="B110" s="326" t="s">
        <v>31</v>
      </c>
      <c r="C110" s="315">
        <v>2</v>
      </c>
      <c r="D110" s="316">
        <v>6</v>
      </c>
      <c r="E110" s="326" t="s">
        <v>31</v>
      </c>
      <c r="F110" s="326" t="s">
        <v>31</v>
      </c>
      <c r="G110" s="317" t="s">
        <v>31</v>
      </c>
      <c r="H110" s="312" t="s">
        <v>31</v>
      </c>
      <c r="I110" s="312" t="s">
        <v>31</v>
      </c>
      <c r="J110" s="324"/>
      <c r="M110" s="21"/>
    </row>
    <row r="111" spans="1:13">
      <c r="A111" s="325" t="s">
        <v>440</v>
      </c>
      <c r="B111" s="326" t="s">
        <v>315</v>
      </c>
      <c r="C111" s="315">
        <v>2</v>
      </c>
      <c r="D111" s="316">
        <v>4</v>
      </c>
      <c r="E111" s="326" t="s">
        <v>31</v>
      </c>
      <c r="F111" s="326" t="s">
        <v>31</v>
      </c>
      <c r="G111" s="317" t="s">
        <v>312</v>
      </c>
      <c r="H111" s="312">
        <v>72</v>
      </c>
      <c r="I111" s="327">
        <v>78</v>
      </c>
      <c r="J111" s="327"/>
      <c r="M111" s="21"/>
    </row>
    <row r="112" spans="1:13">
      <c r="A112" s="328" t="s">
        <v>441</v>
      </c>
      <c r="B112" s="326" t="s">
        <v>311</v>
      </c>
      <c r="C112" s="315" t="s">
        <v>31</v>
      </c>
      <c r="D112" s="316">
        <v>10</v>
      </c>
      <c r="E112" s="326" t="s">
        <v>307</v>
      </c>
      <c r="F112" s="326" t="s">
        <v>308</v>
      </c>
      <c r="G112" s="317" t="s">
        <v>31</v>
      </c>
      <c r="H112" s="312" t="s">
        <v>31</v>
      </c>
      <c r="I112" s="312" t="s">
        <v>31</v>
      </c>
      <c r="J112" s="327"/>
      <c r="M112" s="21"/>
    </row>
    <row r="113" spans="1:13">
      <c r="A113" s="328" t="s">
        <v>442</v>
      </c>
      <c r="B113" s="326" t="s">
        <v>31</v>
      </c>
      <c r="C113" s="315">
        <v>2</v>
      </c>
      <c r="D113" s="316">
        <v>6</v>
      </c>
      <c r="E113" s="326" t="s">
        <v>31</v>
      </c>
      <c r="F113" s="326" t="s">
        <v>308</v>
      </c>
      <c r="G113" s="317" t="s">
        <v>31</v>
      </c>
      <c r="H113" s="312" t="s">
        <v>31</v>
      </c>
      <c r="I113" s="312" t="s">
        <v>31</v>
      </c>
      <c r="J113" s="327"/>
      <c r="M113" s="21"/>
    </row>
    <row r="114" spans="1:13">
      <c r="A114" s="328" t="s">
        <v>443</v>
      </c>
      <c r="B114" s="326" t="s">
        <v>311</v>
      </c>
      <c r="C114" s="315" t="s">
        <v>31</v>
      </c>
      <c r="D114" s="316">
        <v>10</v>
      </c>
      <c r="E114" s="326" t="s">
        <v>307</v>
      </c>
      <c r="F114" s="326" t="s">
        <v>308</v>
      </c>
      <c r="G114" s="317" t="s">
        <v>31</v>
      </c>
      <c r="H114" s="312" t="s">
        <v>31</v>
      </c>
      <c r="I114" s="312" t="s">
        <v>31</v>
      </c>
      <c r="J114" s="327"/>
      <c r="M114" s="21"/>
    </row>
    <row r="115" spans="1:13">
      <c r="A115" s="328" t="s">
        <v>444</v>
      </c>
      <c r="B115" s="326" t="s">
        <v>315</v>
      </c>
      <c r="C115" s="315">
        <v>3</v>
      </c>
      <c r="D115" s="316">
        <v>15</v>
      </c>
      <c r="E115" s="326" t="s">
        <v>31</v>
      </c>
      <c r="F115" s="326" t="s">
        <v>308</v>
      </c>
      <c r="G115" s="317" t="s">
        <v>333</v>
      </c>
      <c r="H115" s="312">
        <v>70</v>
      </c>
      <c r="I115" s="327">
        <v>75</v>
      </c>
      <c r="J115" s="327" t="s">
        <v>445</v>
      </c>
      <c r="M115" s="21"/>
    </row>
    <row r="116" spans="1:13">
      <c r="A116" s="328" t="s">
        <v>446</v>
      </c>
      <c r="B116" s="326" t="s">
        <v>31</v>
      </c>
      <c r="C116" s="315">
        <v>2</v>
      </c>
      <c r="D116" s="316">
        <v>6</v>
      </c>
      <c r="E116" s="326" t="s">
        <v>31</v>
      </c>
      <c r="F116" s="326" t="s">
        <v>31</v>
      </c>
      <c r="G116" s="317" t="s">
        <v>333</v>
      </c>
      <c r="H116" s="312">
        <v>70</v>
      </c>
      <c r="I116" s="327">
        <v>75</v>
      </c>
      <c r="J116" s="327" t="s">
        <v>34</v>
      </c>
      <c r="M116" s="21"/>
    </row>
    <row r="117" spans="1:13">
      <c r="A117" s="328" t="s">
        <v>447</v>
      </c>
      <c r="B117" s="326" t="s">
        <v>31</v>
      </c>
      <c r="C117" s="315">
        <v>2</v>
      </c>
      <c r="D117" s="316">
        <v>6</v>
      </c>
      <c r="E117" s="326" t="s">
        <v>31</v>
      </c>
      <c r="F117" s="326" t="s">
        <v>31</v>
      </c>
      <c r="G117" s="317" t="s">
        <v>312</v>
      </c>
      <c r="H117" s="312">
        <v>70</v>
      </c>
      <c r="I117" s="327">
        <v>75</v>
      </c>
      <c r="J117" s="327" t="s">
        <v>350</v>
      </c>
      <c r="M117" s="21"/>
    </row>
    <row r="118" spans="1:13">
      <c r="A118" s="328" t="s">
        <v>448</v>
      </c>
      <c r="B118" s="326" t="s">
        <v>311</v>
      </c>
      <c r="C118" s="315">
        <v>2</v>
      </c>
      <c r="D118" s="316">
        <v>12</v>
      </c>
      <c r="E118" s="326" t="s">
        <v>307</v>
      </c>
      <c r="F118" s="326" t="s">
        <v>31</v>
      </c>
      <c r="G118" s="317" t="s">
        <v>312</v>
      </c>
      <c r="H118" s="312">
        <v>70</v>
      </c>
      <c r="I118" s="327">
        <v>75</v>
      </c>
      <c r="J118" s="327" t="s">
        <v>459</v>
      </c>
      <c r="M118" s="21"/>
    </row>
    <row r="119" spans="1:13">
      <c r="A119" s="328" t="s">
        <v>449</v>
      </c>
      <c r="B119" s="326" t="s">
        <v>31</v>
      </c>
      <c r="C119" s="315">
        <v>2</v>
      </c>
      <c r="D119" s="316">
        <v>6</v>
      </c>
      <c r="E119" s="326" t="s">
        <v>31</v>
      </c>
      <c r="F119" s="326" t="s">
        <v>31</v>
      </c>
      <c r="G119" s="317" t="s">
        <v>31</v>
      </c>
      <c r="H119" s="312" t="s">
        <v>31</v>
      </c>
      <c r="I119" s="312" t="s">
        <v>31</v>
      </c>
      <c r="J119" s="327"/>
      <c r="M119" s="21"/>
    </row>
    <row r="120" spans="1:13">
      <c r="A120" s="328" t="s">
        <v>450</v>
      </c>
      <c r="B120" s="326" t="s">
        <v>31</v>
      </c>
      <c r="C120" s="315">
        <v>2</v>
      </c>
      <c r="D120" s="316">
        <v>2</v>
      </c>
      <c r="E120" s="326" t="s">
        <v>31</v>
      </c>
      <c r="F120" s="326" t="s">
        <v>31</v>
      </c>
      <c r="G120" s="317" t="s">
        <v>31</v>
      </c>
      <c r="H120" s="312" t="s">
        <v>31</v>
      </c>
      <c r="I120" s="312" t="s">
        <v>31</v>
      </c>
      <c r="J120" s="327"/>
      <c r="M120" s="21"/>
    </row>
    <row r="121" spans="1:13">
      <c r="A121" s="328" t="s">
        <v>451</v>
      </c>
      <c r="B121" s="326" t="s">
        <v>311</v>
      </c>
      <c r="C121" s="315">
        <v>2</v>
      </c>
      <c r="D121" s="316">
        <v>12</v>
      </c>
      <c r="E121" s="326" t="s">
        <v>307</v>
      </c>
      <c r="F121" s="326" t="s">
        <v>308</v>
      </c>
      <c r="G121" s="317" t="s">
        <v>31</v>
      </c>
      <c r="H121" s="312" t="s">
        <v>31</v>
      </c>
      <c r="I121" s="312" t="s">
        <v>31</v>
      </c>
      <c r="J121" s="327"/>
      <c r="M121" s="21"/>
    </row>
    <row r="122" spans="1:13">
      <c r="A122" s="328" t="s">
        <v>452</v>
      </c>
      <c r="B122" s="326" t="s">
        <v>311</v>
      </c>
      <c r="C122" s="315">
        <v>2</v>
      </c>
      <c r="D122" s="316">
        <v>10</v>
      </c>
      <c r="E122" s="326" t="s">
        <v>307</v>
      </c>
      <c r="F122" s="326" t="s">
        <v>31</v>
      </c>
      <c r="G122" s="317" t="s">
        <v>31</v>
      </c>
      <c r="H122" s="312" t="s">
        <v>31</v>
      </c>
      <c r="I122" s="312" t="s">
        <v>31</v>
      </c>
      <c r="J122" s="327" t="s">
        <v>459</v>
      </c>
      <c r="M122" s="21"/>
    </row>
    <row r="123" spans="1:13">
      <c r="A123" s="328" t="s">
        <v>453</v>
      </c>
      <c r="B123" s="326" t="s">
        <v>311</v>
      </c>
      <c r="C123" s="315" t="s">
        <v>31</v>
      </c>
      <c r="D123" s="316">
        <v>10</v>
      </c>
      <c r="E123" s="326" t="s">
        <v>307</v>
      </c>
      <c r="F123" s="326" t="s">
        <v>308</v>
      </c>
      <c r="G123" s="317" t="s">
        <v>31</v>
      </c>
      <c r="H123" s="312" t="s">
        <v>31</v>
      </c>
      <c r="I123" s="312" t="s">
        <v>31</v>
      </c>
      <c r="J123" s="327"/>
      <c r="M123" s="21"/>
    </row>
    <row r="124" spans="1:13">
      <c r="A124" s="328" t="s">
        <v>454</v>
      </c>
      <c r="B124" s="326" t="s">
        <v>31</v>
      </c>
      <c r="C124" s="315">
        <v>2</v>
      </c>
      <c r="D124" s="316">
        <v>6</v>
      </c>
      <c r="E124" s="326" t="s">
        <v>31</v>
      </c>
      <c r="F124" s="326" t="s">
        <v>308</v>
      </c>
      <c r="G124" s="317" t="s">
        <v>455</v>
      </c>
      <c r="H124" s="312">
        <v>70</v>
      </c>
      <c r="I124" s="327">
        <v>75</v>
      </c>
      <c r="J124" s="327"/>
      <c r="M124" s="21"/>
    </row>
    <row r="125" spans="1:13">
      <c r="A125" s="329" t="s">
        <v>456</v>
      </c>
      <c r="B125" s="326" t="s">
        <v>31</v>
      </c>
      <c r="C125" s="315">
        <v>2</v>
      </c>
      <c r="D125" s="316">
        <v>6</v>
      </c>
      <c r="E125" s="326" t="s">
        <v>31</v>
      </c>
      <c r="F125" s="326" t="s">
        <v>31</v>
      </c>
      <c r="G125" s="317" t="s">
        <v>312</v>
      </c>
      <c r="H125" s="312">
        <v>72</v>
      </c>
      <c r="I125" s="327">
        <v>78</v>
      </c>
      <c r="J125" s="327"/>
      <c r="M125" s="21"/>
    </row>
    <row r="126" spans="1:13">
      <c r="A126" s="329" t="s">
        <v>457</v>
      </c>
      <c r="B126" s="326" t="s">
        <v>315</v>
      </c>
      <c r="C126" s="315">
        <v>3</v>
      </c>
      <c r="D126" s="316">
        <v>15</v>
      </c>
      <c r="E126" s="326" t="s">
        <v>31</v>
      </c>
      <c r="F126" s="326" t="s">
        <v>308</v>
      </c>
      <c r="G126" s="317" t="s">
        <v>312</v>
      </c>
      <c r="H126" s="327">
        <v>70</v>
      </c>
      <c r="I126" s="327">
        <v>75</v>
      </c>
      <c r="J126" s="327"/>
      <c r="M126" s="21"/>
    </row>
    <row r="127" spans="1:13">
      <c r="M127" s="21"/>
    </row>
    <row r="128" spans="1:13">
      <c r="M128" s="21"/>
    </row>
    <row r="129" spans="13:13">
      <c r="M129" s="21"/>
    </row>
    <row r="130" spans="13:13">
      <c r="M130" s="21"/>
    </row>
    <row r="131" spans="13:13">
      <c r="M131" s="21"/>
    </row>
  </sheetData>
  <sortState xmlns:xlrd2="http://schemas.microsoft.com/office/spreadsheetml/2017/richdata2" ref="A2:I131">
    <sortCondition ref="A2:A131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L15" sqref="L15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28" t="s">
        <v>150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pans="1:18">
      <c r="A5" s="375" t="s">
        <v>151</v>
      </c>
      <c r="B5" s="377" t="s">
        <v>152</v>
      </c>
      <c r="C5" s="378"/>
      <c r="D5" s="378"/>
      <c r="E5" s="378"/>
      <c r="F5" s="378"/>
      <c r="G5" s="378"/>
      <c r="H5" s="378"/>
      <c r="I5" s="378"/>
      <c r="J5" s="378"/>
      <c r="K5" s="379"/>
      <c r="P5" s="17" t="s">
        <v>165</v>
      </c>
    </row>
    <row r="6" spans="1:18">
      <c r="A6" s="376"/>
      <c r="B6" s="39">
        <v>0</v>
      </c>
      <c r="C6" s="30">
        <v>0.1</v>
      </c>
      <c r="D6" s="30">
        <v>0.2</v>
      </c>
      <c r="E6" s="30">
        <v>0.3</v>
      </c>
      <c r="F6" s="30">
        <v>0.4</v>
      </c>
      <c r="G6" s="30">
        <v>0.5</v>
      </c>
      <c r="H6" s="30">
        <v>0.6</v>
      </c>
      <c r="I6" s="30">
        <v>0.7</v>
      </c>
      <c r="J6" s="30">
        <v>0.8</v>
      </c>
      <c r="K6" s="30">
        <v>0.9</v>
      </c>
      <c r="M6" t="s">
        <v>156</v>
      </c>
    </row>
    <row r="7" spans="1:18" ht="14.25">
      <c r="A7" s="31">
        <v>35</v>
      </c>
      <c r="B7" s="32">
        <v>13.01</v>
      </c>
      <c r="C7" s="32">
        <v>13.05</v>
      </c>
      <c r="D7" s="32">
        <v>13.1</v>
      </c>
      <c r="E7" s="32">
        <v>13.14</v>
      </c>
      <c r="F7" s="32">
        <v>13.18</v>
      </c>
      <c r="G7" s="32">
        <v>13.23</v>
      </c>
      <c r="H7" s="32">
        <v>13.27</v>
      </c>
      <c r="I7" s="32">
        <v>13.31</v>
      </c>
      <c r="J7" s="32">
        <v>13.35</v>
      </c>
      <c r="K7" s="32">
        <v>13.4</v>
      </c>
      <c r="M7" t="s">
        <v>154</v>
      </c>
      <c r="N7">
        <f>FLOOR(AHU_Psych!Q12,1)</f>
        <v>63</v>
      </c>
      <c r="P7" s="380" t="s">
        <v>62</v>
      </c>
      <c r="Q7" s="381"/>
      <c r="R7" s="382"/>
    </row>
    <row r="8" spans="1:18" ht="14.25">
      <c r="A8" s="33">
        <v>36</v>
      </c>
      <c r="B8" s="34">
        <v>13.44</v>
      </c>
      <c r="C8" s="34">
        <v>13.48</v>
      </c>
      <c r="D8" s="34">
        <v>13.53</v>
      </c>
      <c r="E8" s="34">
        <v>13.57</v>
      </c>
      <c r="F8" s="34">
        <v>13.61</v>
      </c>
      <c r="G8" s="34">
        <v>13.66</v>
      </c>
      <c r="H8" s="34">
        <v>13.7</v>
      </c>
      <c r="I8" s="34">
        <v>13.75</v>
      </c>
      <c r="J8" s="34">
        <v>13.79</v>
      </c>
      <c r="K8" s="34">
        <v>13.83</v>
      </c>
      <c r="M8" t="s">
        <v>155</v>
      </c>
      <c r="N8" s="38">
        <f>ROUND(AHU_Psych!Q12 - N7,1)</f>
        <v>0.7</v>
      </c>
      <c r="P8" s="9" t="s">
        <v>38</v>
      </c>
      <c r="Q8" s="10" t="s">
        <v>63</v>
      </c>
      <c r="R8" s="10" t="s">
        <v>87</v>
      </c>
    </row>
    <row r="9" spans="1:18">
      <c r="A9" s="33">
        <v>37</v>
      </c>
      <c r="B9" s="34">
        <v>13.87</v>
      </c>
      <c r="C9" s="34">
        <v>13.91</v>
      </c>
      <c r="D9" s="34">
        <v>13.96</v>
      </c>
      <c r="E9" s="34">
        <v>14</v>
      </c>
      <c r="F9" s="34">
        <v>14.05</v>
      </c>
      <c r="G9" s="34">
        <v>14.09</v>
      </c>
      <c r="H9" s="34">
        <v>14.14</v>
      </c>
      <c r="I9" s="34">
        <v>14.18</v>
      </c>
      <c r="J9" s="34">
        <v>14.23</v>
      </c>
      <c r="K9" s="34">
        <v>14.27</v>
      </c>
      <c r="P9" s="4">
        <v>1</v>
      </c>
      <c r="Q9" s="11">
        <v>6</v>
      </c>
      <c r="R9" s="11">
        <v>30</v>
      </c>
    </row>
    <row r="10" spans="1:18">
      <c r="A10" s="33">
        <v>38</v>
      </c>
      <c r="B10" s="34">
        <v>14.32</v>
      </c>
      <c r="C10" s="34">
        <v>14.37</v>
      </c>
      <c r="D10" s="34">
        <v>14.41</v>
      </c>
      <c r="E10" s="34">
        <v>14.46</v>
      </c>
      <c r="F10" s="34">
        <v>14.5</v>
      </c>
      <c r="G10" s="34">
        <v>14.55</v>
      </c>
      <c r="H10" s="34">
        <v>14.59</v>
      </c>
      <c r="I10" s="34">
        <v>14.64</v>
      </c>
      <c r="J10" s="34">
        <v>14.68</v>
      </c>
      <c r="K10" s="34">
        <v>14.73</v>
      </c>
      <c r="P10" s="4">
        <v>400</v>
      </c>
      <c r="Q10" s="11">
        <v>8</v>
      </c>
      <c r="R10" s="11">
        <v>30</v>
      </c>
    </row>
    <row r="11" spans="1:18">
      <c r="A11" s="35">
        <v>39</v>
      </c>
      <c r="B11" s="36">
        <v>14.77</v>
      </c>
      <c r="C11" s="36">
        <v>14.82</v>
      </c>
      <c r="D11" s="36">
        <v>14.86</v>
      </c>
      <c r="E11" s="36">
        <v>14.91</v>
      </c>
      <c r="F11" s="36">
        <v>14.95</v>
      </c>
      <c r="G11" s="36">
        <v>15</v>
      </c>
      <c r="H11" s="36">
        <v>15.05</v>
      </c>
      <c r="I11" s="36">
        <v>15.09</v>
      </c>
      <c r="J11" s="36">
        <v>15.14</v>
      </c>
      <c r="K11" s="36">
        <v>15.18</v>
      </c>
      <c r="P11" s="4">
        <v>700</v>
      </c>
      <c r="Q11" s="11">
        <v>10</v>
      </c>
      <c r="R11" s="11">
        <v>35</v>
      </c>
    </row>
    <row r="12" spans="1:18">
      <c r="A12" s="31">
        <v>40</v>
      </c>
      <c r="B12" s="32">
        <v>15.23</v>
      </c>
      <c r="C12" s="32">
        <v>15.28</v>
      </c>
      <c r="D12" s="32">
        <v>15.32</v>
      </c>
      <c r="E12" s="32">
        <v>15.37</v>
      </c>
      <c r="F12" s="32">
        <v>15.42</v>
      </c>
      <c r="G12" s="32">
        <v>15.46</v>
      </c>
      <c r="H12" s="32">
        <v>15.51</v>
      </c>
      <c r="I12" s="32">
        <v>15.56</v>
      </c>
      <c r="J12" s="32">
        <v>15.6</v>
      </c>
      <c r="K12" s="32">
        <v>15.65</v>
      </c>
      <c r="P12" s="4">
        <v>1000</v>
      </c>
      <c r="Q12" s="11">
        <v>12</v>
      </c>
      <c r="R12" s="11">
        <v>45</v>
      </c>
    </row>
    <row r="13" spans="1:18">
      <c r="A13" s="33">
        <v>41</v>
      </c>
      <c r="B13" s="34">
        <v>15.7</v>
      </c>
      <c r="C13" s="34">
        <v>15.75</v>
      </c>
      <c r="D13" s="34">
        <v>15.8</v>
      </c>
      <c r="E13" s="34">
        <v>15.84</v>
      </c>
      <c r="F13" s="34">
        <v>15.89</v>
      </c>
      <c r="G13" s="34">
        <v>15.94</v>
      </c>
      <c r="H13" s="34">
        <v>15.99</v>
      </c>
      <c r="I13" s="34">
        <v>16.03</v>
      </c>
      <c r="J13" s="34">
        <v>16.079999999999998</v>
      </c>
      <c r="K13" s="34">
        <v>16.13</v>
      </c>
      <c r="P13" s="4">
        <v>1500</v>
      </c>
      <c r="Q13" s="11">
        <v>14</v>
      </c>
      <c r="R13" s="11">
        <v>55</v>
      </c>
    </row>
    <row r="14" spans="1:18" ht="13.5" thickBot="1">
      <c r="A14" s="33">
        <v>42</v>
      </c>
      <c r="B14" s="34">
        <v>16.170000000000002</v>
      </c>
      <c r="C14" s="34">
        <v>16.22</v>
      </c>
      <c r="D14" s="34">
        <v>16.27</v>
      </c>
      <c r="E14" s="34">
        <v>16.32</v>
      </c>
      <c r="F14" s="34">
        <v>16.36</v>
      </c>
      <c r="G14" s="34">
        <v>16.41</v>
      </c>
      <c r="H14" s="34">
        <v>16.46</v>
      </c>
      <c r="I14" s="34">
        <v>16.510000000000002</v>
      </c>
      <c r="J14" s="34">
        <v>16.559999999999999</v>
      </c>
      <c r="K14" s="34">
        <v>16.61</v>
      </c>
      <c r="P14" s="12">
        <v>2100</v>
      </c>
      <c r="Q14" s="13">
        <v>16</v>
      </c>
      <c r="R14" s="13">
        <v>60</v>
      </c>
    </row>
    <row r="15" spans="1:18">
      <c r="A15" s="33">
        <v>43</v>
      </c>
      <c r="B15" s="34">
        <v>16.66</v>
      </c>
      <c r="C15" s="34">
        <v>16.71</v>
      </c>
      <c r="D15" s="34">
        <v>16.760000000000002</v>
      </c>
      <c r="E15" s="34">
        <v>16.809999999999999</v>
      </c>
      <c r="F15" s="34">
        <v>16.86</v>
      </c>
      <c r="G15" s="34">
        <v>16.91</v>
      </c>
      <c r="H15" s="34">
        <v>16.96</v>
      </c>
      <c r="I15" s="34">
        <v>17</v>
      </c>
      <c r="J15" s="34">
        <v>17.05</v>
      </c>
      <c r="K15" s="34">
        <v>17.100000000000001</v>
      </c>
    </row>
    <row r="16" spans="1:18">
      <c r="A16" s="35">
        <v>44</v>
      </c>
      <c r="B16" s="36">
        <v>17.149999999999999</v>
      </c>
      <c r="C16" s="36">
        <v>17.2</v>
      </c>
      <c r="D16" s="36">
        <v>17.25</v>
      </c>
      <c r="E16" s="36">
        <v>17.3</v>
      </c>
      <c r="F16" s="36">
        <v>17.350000000000001</v>
      </c>
      <c r="G16" s="36">
        <v>17.399999999999999</v>
      </c>
      <c r="H16" s="36">
        <v>17.45</v>
      </c>
      <c r="I16" s="36">
        <v>17.5</v>
      </c>
      <c r="J16" s="36">
        <v>17.55</v>
      </c>
      <c r="K16" s="36">
        <v>17.600000000000001</v>
      </c>
    </row>
    <row r="17" spans="1:16">
      <c r="A17" s="31">
        <v>45</v>
      </c>
      <c r="B17" s="32">
        <v>17.649999999999999</v>
      </c>
      <c r="C17" s="32">
        <v>17.7</v>
      </c>
      <c r="D17" s="32">
        <v>17.75</v>
      </c>
      <c r="E17" s="32">
        <v>17.8</v>
      </c>
      <c r="F17" s="32">
        <v>17.850000000000001</v>
      </c>
      <c r="G17" s="32">
        <v>17.91</v>
      </c>
      <c r="H17" s="32">
        <v>17.96</v>
      </c>
      <c r="I17" s="32">
        <v>18.010000000000002</v>
      </c>
      <c r="J17" s="32">
        <v>18.059999999999999</v>
      </c>
      <c r="K17" s="32">
        <v>18.11</v>
      </c>
    </row>
    <row r="18" spans="1:16">
      <c r="A18" s="33">
        <v>46</v>
      </c>
      <c r="B18" s="34">
        <v>18.16</v>
      </c>
      <c r="C18" s="34">
        <v>18.21</v>
      </c>
      <c r="D18" s="34">
        <v>18.260000000000002</v>
      </c>
      <c r="E18" s="34">
        <v>18.32</v>
      </c>
      <c r="F18" s="34">
        <v>18.37</v>
      </c>
      <c r="G18" s="34">
        <v>18.420000000000002</v>
      </c>
      <c r="H18" s="34">
        <v>18.47</v>
      </c>
      <c r="I18" s="34">
        <v>18.52</v>
      </c>
      <c r="J18" s="34">
        <v>18.579999999999998</v>
      </c>
      <c r="K18" s="34">
        <v>18.63</v>
      </c>
      <c r="P18" s="17" t="s">
        <v>236</v>
      </c>
    </row>
    <row r="19" spans="1:16">
      <c r="A19" s="33">
        <v>47</v>
      </c>
      <c r="B19" s="34">
        <v>18.68</v>
      </c>
      <c r="C19" s="34">
        <v>18.73</v>
      </c>
      <c r="D19" s="34">
        <v>18.79</v>
      </c>
      <c r="E19" s="34">
        <v>18.84</v>
      </c>
      <c r="F19" s="34">
        <v>18.89</v>
      </c>
      <c r="G19" s="34">
        <v>18.95</v>
      </c>
      <c r="H19" s="34">
        <v>19</v>
      </c>
      <c r="I19" s="34">
        <v>19.05</v>
      </c>
      <c r="J19" s="34">
        <v>19.100000000000001</v>
      </c>
      <c r="K19" s="34">
        <v>19.16</v>
      </c>
    </row>
    <row r="20" spans="1:16">
      <c r="A20" s="33">
        <v>48</v>
      </c>
      <c r="B20" s="34">
        <v>19.21</v>
      </c>
      <c r="C20" s="34">
        <v>19.260000000000002</v>
      </c>
      <c r="D20" s="34">
        <v>19.32</v>
      </c>
      <c r="E20" s="34">
        <v>19.37</v>
      </c>
      <c r="F20" s="34">
        <v>19.43</v>
      </c>
      <c r="G20" s="34">
        <v>19.48</v>
      </c>
      <c r="H20" s="34">
        <v>19.53</v>
      </c>
      <c r="I20" s="34">
        <v>16.59</v>
      </c>
      <c r="J20" s="34">
        <v>19.64</v>
      </c>
      <c r="K20" s="34">
        <v>19.7</v>
      </c>
    </row>
    <row r="21" spans="1:16">
      <c r="A21" s="35">
        <v>49</v>
      </c>
      <c r="B21" s="36">
        <v>19.75</v>
      </c>
      <c r="C21" s="36">
        <v>19.809999999999999</v>
      </c>
      <c r="D21" s="36">
        <v>19.86</v>
      </c>
      <c r="E21" s="36">
        <v>19.920000000000002</v>
      </c>
      <c r="F21" s="36">
        <v>19.97</v>
      </c>
      <c r="G21" s="36">
        <v>20.03</v>
      </c>
      <c r="H21" s="36">
        <v>20.079999999999998</v>
      </c>
      <c r="I21" s="36">
        <v>20.14</v>
      </c>
      <c r="J21" s="36">
        <v>20.190000000000001</v>
      </c>
      <c r="K21" s="36">
        <v>20.25</v>
      </c>
    </row>
    <row r="22" spans="1:16">
      <c r="A22" s="31">
        <v>50</v>
      </c>
      <c r="B22" s="32">
        <v>20.3</v>
      </c>
      <c r="C22" s="32">
        <v>20.36</v>
      </c>
      <c r="D22" s="32">
        <v>20.41</v>
      </c>
      <c r="E22" s="32">
        <v>20.47</v>
      </c>
      <c r="F22" s="32">
        <v>20.52</v>
      </c>
      <c r="G22" s="32">
        <v>20.58</v>
      </c>
      <c r="H22" s="32">
        <v>20.64</v>
      </c>
      <c r="I22" s="32">
        <v>20.69</v>
      </c>
      <c r="J22" s="32">
        <v>20.75</v>
      </c>
      <c r="K22" s="32">
        <v>20.8</v>
      </c>
    </row>
    <row r="23" spans="1:16">
      <c r="A23" s="33">
        <v>51</v>
      </c>
      <c r="B23" s="34">
        <v>20.86</v>
      </c>
      <c r="C23" s="34">
        <v>20.92</v>
      </c>
      <c r="D23" s="34">
        <v>20.97</v>
      </c>
      <c r="E23" s="34">
        <v>21.03</v>
      </c>
      <c r="F23" s="34">
        <v>21.09</v>
      </c>
      <c r="G23" s="34">
        <v>21.15</v>
      </c>
      <c r="H23" s="34">
        <v>21.2</v>
      </c>
      <c r="I23" s="34">
        <v>21.26</v>
      </c>
      <c r="J23" s="34">
        <v>21.32</v>
      </c>
      <c r="K23" s="34">
        <v>21.38</v>
      </c>
    </row>
    <row r="24" spans="1:16">
      <c r="A24" s="33">
        <v>52</v>
      </c>
      <c r="B24" s="34">
        <v>21.44</v>
      </c>
      <c r="C24" s="34">
        <v>21.5</v>
      </c>
      <c r="D24" s="34">
        <v>21.56</v>
      </c>
      <c r="E24" s="34">
        <v>21.62</v>
      </c>
      <c r="F24" s="34">
        <v>21.67</v>
      </c>
      <c r="G24" s="34">
        <v>21.73</v>
      </c>
      <c r="H24" s="34">
        <v>21.79</v>
      </c>
      <c r="I24" s="34">
        <v>21.85</v>
      </c>
      <c r="J24" s="34">
        <v>21.91</v>
      </c>
      <c r="K24" s="34">
        <v>21.97</v>
      </c>
    </row>
    <row r="25" spans="1:16">
      <c r="A25" s="33">
        <v>53</v>
      </c>
      <c r="B25" s="34">
        <v>22.02</v>
      </c>
      <c r="C25" s="34">
        <v>22.08</v>
      </c>
      <c r="D25" s="34">
        <v>22.14</v>
      </c>
      <c r="E25" s="34">
        <v>22.2</v>
      </c>
      <c r="F25" s="34">
        <v>22.26</v>
      </c>
      <c r="G25" s="34">
        <v>22.32</v>
      </c>
      <c r="H25" s="34">
        <v>22.38</v>
      </c>
      <c r="I25" s="34">
        <v>22.44</v>
      </c>
      <c r="J25" s="34">
        <v>22.5</v>
      </c>
      <c r="K25" s="34">
        <v>22.56</v>
      </c>
    </row>
    <row r="26" spans="1:16">
      <c r="A26" s="35">
        <v>54</v>
      </c>
      <c r="B26" s="36">
        <v>22.62</v>
      </c>
      <c r="C26" s="36">
        <v>22.68</v>
      </c>
      <c r="D26" s="36">
        <v>22.74</v>
      </c>
      <c r="E26" s="36">
        <v>22.8</v>
      </c>
      <c r="F26" s="36">
        <v>22.86</v>
      </c>
      <c r="G26" s="36">
        <v>22.92</v>
      </c>
      <c r="H26" s="36">
        <v>22.98</v>
      </c>
      <c r="I26" s="36">
        <v>23.04</v>
      </c>
      <c r="J26" s="36">
        <v>23.1</v>
      </c>
      <c r="K26" s="36">
        <v>23.16</v>
      </c>
    </row>
    <row r="27" spans="1:16">
      <c r="A27" s="31">
        <v>55</v>
      </c>
      <c r="B27" s="32">
        <v>23.22</v>
      </c>
      <c r="C27" s="32">
        <v>23.28</v>
      </c>
      <c r="D27" s="32">
        <v>23.34</v>
      </c>
      <c r="E27" s="32">
        <v>23.41</v>
      </c>
      <c r="F27" s="32">
        <v>23.47</v>
      </c>
      <c r="G27" s="32">
        <v>23.53</v>
      </c>
      <c r="H27" s="32">
        <v>23.59</v>
      </c>
      <c r="I27" s="32">
        <v>23.65</v>
      </c>
      <c r="J27" s="32">
        <v>23.72</v>
      </c>
      <c r="K27" s="32">
        <v>23.78</v>
      </c>
    </row>
    <row r="28" spans="1:16">
      <c r="A28" s="33">
        <v>56</v>
      </c>
      <c r="B28" s="34">
        <v>23.84</v>
      </c>
      <c r="C28" s="34">
        <v>23.9</v>
      </c>
      <c r="D28" s="34">
        <v>23.97</v>
      </c>
      <c r="E28" s="34">
        <v>24.03</v>
      </c>
      <c r="F28" s="34">
        <v>24.1</v>
      </c>
      <c r="G28" s="34">
        <v>24.16</v>
      </c>
      <c r="H28" s="34">
        <v>24.22</v>
      </c>
      <c r="I28" s="34">
        <v>24.29</v>
      </c>
      <c r="J28" s="34">
        <v>24.35</v>
      </c>
      <c r="K28" s="34">
        <v>24.42</v>
      </c>
    </row>
    <row r="29" spans="1:16">
      <c r="A29" s="33">
        <v>57</v>
      </c>
      <c r="B29" s="34">
        <v>24.48</v>
      </c>
      <c r="C29" s="34">
        <v>24.54</v>
      </c>
      <c r="D29" s="34">
        <v>24.61</v>
      </c>
      <c r="E29" s="34">
        <v>24.67</v>
      </c>
      <c r="F29" s="34">
        <v>24.74</v>
      </c>
      <c r="G29" s="34">
        <v>24.8</v>
      </c>
      <c r="H29" s="34">
        <v>24.86</v>
      </c>
      <c r="I29" s="34">
        <v>24.93</v>
      </c>
      <c r="J29" s="34">
        <v>24.99</v>
      </c>
      <c r="K29" s="34">
        <v>25.06</v>
      </c>
    </row>
    <row r="30" spans="1:16">
      <c r="A30" s="33">
        <v>58</v>
      </c>
      <c r="B30" s="34">
        <v>25.12</v>
      </c>
      <c r="C30" s="34">
        <v>25.19</v>
      </c>
      <c r="D30" s="34">
        <v>25.25</v>
      </c>
      <c r="E30" s="34">
        <v>25.32</v>
      </c>
      <c r="F30" s="34">
        <v>25.38</v>
      </c>
      <c r="G30" s="34">
        <v>25.45</v>
      </c>
      <c r="H30" s="34">
        <v>25.52</v>
      </c>
      <c r="I30" s="34">
        <v>25.58</v>
      </c>
      <c r="J30" s="34">
        <v>25.65</v>
      </c>
      <c r="K30" s="34">
        <v>25.71</v>
      </c>
    </row>
    <row r="31" spans="1:16">
      <c r="A31" s="35">
        <v>59</v>
      </c>
      <c r="B31" s="36">
        <v>25.78</v>
      </c>
      <c r="C31" s="36">
        <v>25.85</v>
      </c>
      <c r="D31" s="36">
        <v>25.92</v>
      </c>
      <c r="E31" s="36">
        <v>25.98</v>
      </c>
      <c r="F31" s="36">
        <v>26.05</v>
      </c>
      <c r="G31" s="36">
        <v>26.12</v>
      </c>
      <c r="H31" s="36">
        <v>26.19</v>
      </c>
      <c r="I31" s="36">
        <v>26.26</v>
      </c>
      <c r="J31" s="36">
        <v>26.32</v>
      </c>
      <c r="K31" s="36">
        <v>26.39</v>
      </c>
    </row>
    <row r="32" spans="1:16">
      <c r="A32" s="31">
        <v>60</v>
      </c>
      <c r="B32" s="32">
        <v>26.46</v>
      </c>
      <c r="C32" s="32">
        <v>26.53</v>
      </c>
      <c r="D32" s="32">
        <v>26.6</v>
      </c>
      <c r="E32" s="32">
        <v>26.67</v>
      </c>
      <c r="F32" s="32">
        <v>26.74</v>
      </c>
      <c r="G32" s="32">
        <v>26.81</v>
      </c>
      <c r="H32" s="32">
        <v>26.87</v>
      </c>
      <c r="I32" s="32">
        <v>26.94</v>
      </c>
      <c r="J32" s="32">
        <v>27.01</v>
      </c>
      <c r="K32" s="32">
        <v>27.08</v>
      </c>
    </row>
    <row r="33" spans="1:11">
      <c r="A33" s="33">
        <v>61</v>
      </c>
      <c r="B33" s="34">
        <v>27.15</v>
      </c>
      <c r="C33" s="34">
        <v>27.22</v>
      </c>
      <c r="D33" s="34">
        <v>27.29</v>
      </c>
      <c r="E33" s="34">
        <v>27.36</v>
      </c>
      <c r="F33" s="34">
        <v>27.43</v>
      </c>
      <c r="G33" s="34">
        <v>27.5</v>
      </c>
      <c r="H33" s="34">
        <v>27.57</v>
      </c>
      <c r="I33" s="34">
        <v>27.64</v>
      </c>
      <c r="J33" s="34">
        <v>27.71</v>
      </c>
      <c r="K33" s="34">
        <v>27.78</v>
      </c>
    </row>
    <row r="34" spans="1:11">
      <c r="A34" s="33">
        <v>62</v>
      </c>
      <c r="B34" s="34">
        <v>27.85</v>
      </c>
      <c r="C34" s="34">
        <v>27.92</v>
      </c>
      <c r="D34" s="34">
        <v>27.99</v>
      </c>
      <c r="E34" s="34">
        <v>28.07</v>
      </c>
      <c r="F34" s="34">
        <v>28.14</v>
      </c>
      <c r="G34" s="34">
        <v>28.21</v>
      </c>
      <c r="H34" s="34">
        <v>28.28</v>
      </c>
      <c r="I34" s="34">
        <v>28.35</v>
      </c>
      <c r="J34" s="34">
        <v>28.43</v>
      </c>
      <c r="K34" s="34">
        <v>28.5</v>
      </c>
    </row>
    <row r="35" spans="1:11">
      <c r="A35" s="33">
        <v>63</v>
      </c>
      <c r="B35" s="34">
        <v>28.57</v>
      </c>
      <c r="C35" s="34">
        <v>28.64</v>
      </c>
      <c r="D35" s="34">
        <v>28.72</v>
      </c>
      <c r="E35" s="34">
        <v>28.79</v>
      </c>
      <c r="F35" s="34">
        <v>28.87</v>
      </c>
      <c r="G35" s="34">
        <v>28.94</v>
      </c>
      <c r="H35" s="34">
        <v>29.01</v>
      </c>
      <c r="I35" s="34">
        <v>29.09</v>
      </c>
      <c r="J35" s="34">
        <v>29.16</v>
      </c>
      <c r="K35" s="34">
        <v>29.24</v>
      </c>
    </row>
    <row r="36" spans="1:11">
      <c r="A36" s="35">
        <v>64</v>
      </c>
      <c r="B36" s="36">
        <v>29.31</v>
      </c>
      <c r="C36" s="36">
        <v>29.39</v>
      </c>
      <c r="D36" s="36">
        <v>29.46</v>
      </c>
      <c r="E36" s="36">
        <v>29.54</v>
      </c>
      <c r="F36" s="36">
        <v>29.61</v>
      </c>
      <c r="G36" s="36">
        <v>29.69</v>
      </c>
      <c r="H36" s="36">
        <v>29.76</v>
      </c>
      <c r="I36" s="36">
        <v>29.84</v>
      </c>
      <c r="J36" s="36">
        <v>29.91</v>
      </c>
      <c r="K36" s="36">
        <v>29.99</v>
      </c>
    </row>
    <row r="37" spans="1:11">
      <c r="A37" s="31">
        <v>65</v>
      </c>
      <c r="B37" s="32">
        <v>30.06</v>
      </c>
      <c r="C37" s="32">
        <v>30.14</v>
      </c>
      <c r="D37" s="32">
        <v>30.21</v>
      </c>
      <c r="E37" s="32">
        <v>30.29</v>
      </c>
      <c r="F37" s="32">
        <v>30.37</v>
      </c>
      <c r="G37" s="32">
        <v>30.45</v>
      </c>
      <c r="H37" s="32">
        <v>30.52</v>
      </c>
      <c r="I37" s="32">
        <v>30.6</v>
      </c>
      <c r="J37" s="32">
        <v>30.68</v>
      </c>
      <c r="K37" s="32">
        <v>30.75</v>
      </c>
    </row>
    <row r="38" spans="1:11">
      <c r="A38" s="33">
        <v>66</v>
      </c>
      <c r="B38" s="34">
        <v>30.83</v>
      </c>
      <c r="C38" s="34">
        <v>30.91</v>
      </c>
      <c r="D38" s="34">
        <v>30.99</v>
      </c>
      <c r="E38" s="34">
        <v>31.07</v>
      </c>
      <c r="F38" s="34">
        <v>31.15</v>
      </c>
      <c r="G38" s="34">
        <v>31.23</v>
      </c>
      <c r="H38" s="34">
        <v>31.3</v>
      </c>
      <c r="I38" s="34">
        <v>31.38</v>
      </c>
      <c r="J38" s="34">
        <v>31.46</v>
      </c>
      <c r="K38" s="34">
        <v>31.54</v>
      </c>
    </row>
    <row r="39" spans="1:11">
      <c r="A39" s="33">
        <v>67</v>
      </c>
      <c r="B39" s="34">
        <v>31.62</v>
      </c>
      <c r="C39" s="34">
        <v>31.7</v>
      </c>
      <c r="D39" s="34">
        <v>31.78</v>
      </c>
      <c r="E39" s="34">
        <v>31.86</v>
      </c>
      <c r="F39" s="34">
        <v>31.94</v>
      </c>
      <c r="G39" s="34">
        <v>32.020000000000003</v>
      </c>
      <c r="H39" s="34">
        <v>32.1</v>
      </c>
      <c r="I39" s="34">
        <v>32.18</v>
      </c>
      <c r="J39" s="34">
        <v>32.26</v>
      </c>
      <c r="K39" s="34">
        <v>32.340000000000003</v>
      </c>
    </row>
    <row r="40" spans="1:11">
      <c r="A40" s="33">
        <v>68</v>
      </c>
      <c r="B40" s="34">
        <v>32.42</v>
      </c>
      <c r="C40" s="34">
        <v>32.5</v>
      </c>
      <c r="D40" s="34">
        <v>32.590000000000003</v>
      </c>
      <c r="E40" s="34">
        <v>32.67</v>
      </c>
      <c r="F40" s="34">
        <v>32.75</v>
      </c>
      <c r="G40" s="34">
        <v>32.840000000000003</v>
      </c>
      <c r="H40" s="34">
        <v>32.92</v>
      </c>
      <c r="I40" s="34">
        <v>33</v>
      </c>
      <c r="J40" s="34">
        <v>33.08</v>
      </c>
      <c r="K40" s="34">
        <v>33.17</v>
      </c>
    </row>
    <row r="41" spans="1:11">
      <c r="A41" s="35">
        <v>69</v>
      </c>
      <c r="B41" s="36">
        <v>33.25</v>
      </c>
      <c r="C41" s="36">
        <v>33.33</v>
      </c>
      <c r="D41" s="36">
        <v>33.42</v>
      </c>
      <c r="E41" s="36">
        <v>33.5</v>
      </c>
      <c r="F41" s="36">
        <v>33.590000000000003</v>
      </c>
      <c r="G41" s="36">
        <v>33.67</v>
      </c>
      <c r="H41" s="36">
        <v>33.75</v>
      </c>
      <c r="I41" s="36">
        <v>33.840000000000003</v>
      </c>
      <c r="J41" s="36">
        <v>33.92</v>
      </c>
      <c r="K41" s="36">
        <v>34.01</v>
      </c>
    </row>
    <row r="42" spans="1:11">
      <c r="A42" s="31">
        <v>70</v>
      </c>
      <c r="B42" s="32">
        <v>34.090000000000003</v>
      </c>
      <c r="C42" s="32">
        <v>34.18</v>
      </c>
      <c r="D42" s="32">
        <v>34.26</v>
      </c>
      <c r="E42" s="32">
        <v>34.35</v>
      </c>
      <c r="F42" s="32">
        <v>34.43</v>
      </c>
      <c r="G42" s="32">
        <v>34.520000000000003</v>
      </c>
      <c r="H42" s="32">
        <v>34.61</v>
      </c>
      <c r="I42" s="32">
        <v>34.69</v>
      </c>
      <c r="J42" s="32">
        <v>34.78</v>
      </c>
      <c r="K42" s="32">
        <v>34.86</v>
      </c>
    </row>
    <row r="43" spans="1:11">
      <c r="A43" s="33">
        <v>71</v>
      </c>
      <c r="B43" s="34">
        <v>34.950000000000003</v>
      </c>
      <c r="C43" s="34">
        <v>35.04</v>
      </c>
      <c r="D43" s="34">
        <v>35.130000000000003</v>
      </c>
      <c r="E43" s="34">
        <v>35.21</v>
      </c>
      <c r="F43" s="34">
        <v>35.299999999999997</v>
      </c>
      <c r="G43" s="34">
        <v>35.39</v>
      </c>
      <c r="H43" s="34">
        <v>35.479999999999997</v>
      </c>
      <c r="I43" s="34">
        <v>35.57</v>
      </c>
      <c r="J43" s="34">
        <v>35.65</v>
      </c>
      <c r="K43" s="34">
        <v>35.74</v>
      </c>
    </row>
    <row r="44" spans="1:11">
      <c r="A44" s="33">
        <v>72</v>
      </c>
      <c r="B44" s="34">
        <v>35.83</v>
      </c>
      <c r="C44" s="34">
        <v>35.92</v>
      </c>
      <c r="D44" s="34">
        <v>36.01</v>
      </c>
      <c r="E44" s="34">
        <v>36.1</v>
      </c>
      <c r="F44" s="34">
        <v>36.19</v>
      </c>
      <c r="G44" s="34">
        <v>36.29</v>
      </c>
      <c r="H44" s="34">
        <v>36.380000000000003</v>
      </c>
      <c r="I44" s="34">
        <v>36.47</v>
      </c>
      <c r="J44" s="34">
        <v>36.56</v>
      </c>
      <c r="K44" s="34">
        <v>36.65</v>
      </c>
    </row>
    <row r="45" spans="1:11">
      <c r="A45" s="33">
        <v>73</v>
      </c>
      <c r="B45" s="34">
        <v>36.74</v>
      </c>
      <c r="C45" s="34">
        <v>36.83</v>
      </c>
      <c r="D45" s="34">
        <v>36.92</v>
      </c>
      <c r="E45" s="34">
        <v>37.020000000000003</v>
      </c>
      <c r="F45" s="34">
        <v>37.11</v>
      </c>
      <c r="G45" s="34">
        <v>37.200000000000003</v>
      </c>
      <c r="H45" s="34">
        <v>37.29</v>
      </c>
      <c r="I45" s="34">
        <v>37.380000000000003</v>
      </c>
      <c r="J45" s="34">
        <v>37.479999999999997</v>
      </c>
      <c r="K45" s="34">
        <v>37.57</v>
      </c>
    </row>
    <row r="46" spans="1:11">
      <c r="A46" s="35">
        <v>74</v>
      </c>
      <c r="B46" s="36">
        <v>37.659999999999997</v>
      </c>
      <c r="C46" s="36">
        <v>37.76</v>
      </c>
      <c r="D46" s="36">
        <v>37.85</v>
      </c>
      <c r="E46" s="36">
        <v>37.950000000000003</v>
      </c>
      <c r="F46" s="36">
        <v>38.04</v>
      </c>
      <c r="G46" s="36">
        <v>38.14</v>
      </c>
      <c r="H46" s="36">
        <v>38.229999999999997</v>
      </c>
      <c r="I46" s="36">
        <v>38.33</v>
      </c>
      <c r="J46" s="36">
        <v>38.42</v>
      </c>
      <c r="K46" s="36">
        <v>38.520000000000003</v>
      </c>
    </row>
    <row r="47" spans="1:11">
      <c r="A47" s="31">
        <v>75</v>
      </c>
      <c r="B47" s="32">
        <v>38.61</v>
      </c>
      <c r="C47" s="32">
        <v>38.71</v>
      </c>
      <c r="D47" s="32">
        <v>38.799999999999997</v>
      </c>
      <c r="E47" s="32">
        <v>38.9</v>
      </c>
      <c r="F47" s="32">
        <v>38.99</v>
      </c>
      <c r="G47" s="32">
        <v>39.090000000000003</v>
      </c>
      <c r="H47" s="32">
        <v>39.19</v>
      </c>
      <c r="I47" s="32">
        <v>39.28</v>
      </c>
      <c r="J47" s="32">
        <v>39.380000000000003</v>
      </c>
      <c r="K47" s="32">
        <v>39.47</v>
      </c>
    </row>
    <row r="48" spans="1:11">
      <c r="A48" s="33">
        <v>76</v>
      </c>
      <c r="B48" s="34">
        <v>39.57</v>
      </c>
      <c r="C48" s="34">
        <v>39.67</v>
      </c>
      <c r="D48" s="34">
        <v>39.770000000000003</v>
      </c>
      <c r="E48" s="34">
        <v>39.869999999999997</v>
      </c>
      <c r="F48" s="34">
        <v>39.97</v>
      </c>
      <c r="G48" s="34">
        <v>40.07</v>
      </c>
      <c r="H48" s="34">
        <v>40.17</v>
      </c>
      <c r="I48" s="34">
        <v>40.270000000000003</v>
      </c>
      <c r="J48" s="34">
        <v>40.369999999999997</v>
      </c>
      <c r="K48" s="34">
        <v>40.47</v>
      </c>
    </row>
    <row r="49" spans="1:11">
      <c r="A49" s="33">
        <v>77</v>
      </c>
      <c r="B49" s="34">
        <v>40.57</v>
      </c>
      <c r="C49" s="34">
        <v>40.67</v>
      </c>
      <c r="D49" s="34">
        <v>40.770000000000003</v>
      </c>
      <c r="E49" s="34">
        <v>40.869999999999997</v>
      </c>
      <c r="F49" s="34">
        <v>40.97</v>
      </c>
      <c r="G49" s="34">
        <v>41.08</v>
      </c>
      <c r="H49" s="34">
        <v>41.18</v>
      </c>
      <c r="I49" s="34">
        <v>41.28</v>
      </c>
      <c r="J49" s="34">
        <v>41.38</v>
      </c>
      <c r="K49" s="34">
        <v>41.48</v>
      </c>
    </row>
    <row r="50" spans="1:11">
      <c r="A50" s="33">
        <v>78</v>
      </c>
      <c r="B50" s="34">
        <v>41.58</v>
      </c>
      <c r="C50" s="34">
        <v>41.68</v>
      </c>
      <c r="D50" s="34">
        <v>41.79</v>
      </c>
      <c r="E50" s="34">
        <v>41.89</v>
      </c>
      <c r="F50" s="34">
        <v>42</v>
      </c>
      <c r="G50" s="34">
        <v>42.1</v>
      </c>
      <c r="H50" s="34">
        <v>42.2</v>
      </c>
      <c r="I50" s="34">
        <v>42.31</v>
      </c>
      <c r="J50" s="34">
        <v>42.41</v>
      </c>
      <c r="K50" s="34">
        <v>42.52</v>
      </c>
    </row>
    <row r="51" spans="1:11">
      <c r="A51" s="35">
        <v>79</v>
      </c>
      <c r="B51" s="36">
        <v>42.62</v>
      </c>
      <c r="C51" s="36">
        <v>42.73</v>
      </c>
      <c r="D51" s="36">
        <v>42.83</v>
      </c>
      <c r="E51" s="36">
        <v>42.94</v>
      </c>
      <c r="F51" s="36">
        <v>43.05</v>
      </c>
      <c r="G51" s="36">
        <v>43.16</v>
      </c>
      <c r="H51" s="36">
        <v>43.26</v>
      </c>
      <c r="I51" s="36">
        <v>43.37</v>
      </c>
      <c r="J51" s="36">
        <v>43.48</v>
      </c>
      <c r="K51" s="36">
        <v>43.58</v>
      </c>
    </row>
    <row r="52" spans="1:11">
      <c r="A52" s="31">
        <v>80</v>
      </c>
      <c r="B52" s="32">
        <v>43.69</v>
      </c>
      <c r="C52" s="32">
        <v>43.8</v>
      </c>
      <c r="D52" s="32">
        <v>43.91</v>
      </c>
      <c r="E52" s="32">
        <v>44.02</v>
      </c>
      <c r="F52" s="32">
        <v>44.13</v>
      </c>
      <c r="G52" s="32">
        <v>44.24</v>
      </c>
      <c r="H52" s="32">
        <v>44.34</v>
      </c>
      <c r="I52" s="32">
        <v>44.45</v>
      </c>
      <c r="J52" s="32">
        <v>44.56</v>
      </c>
      <c r="K52" s="32">
        <v>44.67</v>
      </c>
    </row>
    <row r="53" spans="1:11">
      <c r="A53" s="33">
        <v>81</v>
      </c>
      <c r="B53" s="34">
        <v>44.78</v>
      </c>
      <c r="C53" s="34">
        <v>44.89</v>
      </c>
      <c r="D53" s="34">
        <v>45</v>
      </c>
      <c r="E53" s="34">
        <v>45.12</v>
      </c>
      <c r="F53" s="34">
        <v>45.23</v>
      </c>
      <c r="G53" s="34">
        <v>45.34</v>
      </c>
      <c r="H53" s="34">
        <v>45.45</v>
      </c>
      <c r="I53" s="34">
        <v>45.56</v>
      </c>
      <c r="J53" s="34">
        <v>45.68</v>
      </c>
      <c r="K53" s="34">
        <v>45.79</v>
      </c>
    </row>
    <row r="54" spans="1:11">
      <c r="A54" s="33">
        <v>82</v>
      </c>
      <c r="B54" s="34">
        <v>45.9</v>
      </c>
      <c r="C54" s="34">
        <v>46.01</v>
      </c>
      <c r="D54" s="34">
        <v>46.13</v>
      </c>
      <c r="E54" s="34">
        <v>46.24</v>
      </c>
      <c r="F54" s="34">
        <v>46.36</v>
      </c>
      <c r="G54" s="34">
        <v>46.47</v>
      </c>
      <c r="H54" s="34">
        <v>46.58</v>
      </c>
      <c r="I54" s="34">
        <v>46.7</v>
      </c>
      <c r="J54" s="34">
        <v>46.81</v>
      </c>
      <c r="K54" s="34">
        <v>46.93</v>
      </c>
    </row>
    <row r="55" spans="1:11">
      <c r="A55" s="33">
        <v>83</v>
      </c>
      <c r="B55" s="34">
        <v>47.04</v>
      </c>
      <c r="C55" s="34">
        <v>47.16</v>
      </c>
      <c r="D55" s="34">
        <v>47.28</v>
      </c>
      <c r="E55" s="34">
        <v>47.39</v>
      </c>
      <c r="F55" s="34">
        <v>47.51</v>
      </c>
      <c r="G55" s="34">
        <v>47.63</v>
      </c>
      <c r="H55" s="34">
        <v>47.75</v>
      </c>
      <c r="I55" s="34">
        <v>47.87</v>
      </c>
      <c r="J55" s="34">
        <v>47.98</v>
      </c>
      <c r="K55" s="34">
        <v>48.1</v>
      </c>
    </row>
    <row r="56" spans="1:11">
      <c r="A56" s="33">
        <v>84</v>
      </c>
      <c r="B56" s="34">
        <v>48.22</v>
      </c>
      <c r="C56" s="34">
        <v>48.34</v>
      </c>
      <c r="D56" s="34">
        <v>48.46</v>
      </c>
      <c r="E56" s="34">
        <v>48.58</v>
      </c>
      <c r="F56" s="34">
        <v>48.7</v>
      </c>
      <c r="G56" s="34">
        <v>48.83</v>
      </c>
      <c r="H56" s="34">
        <v>48.95</v>
      </c>
      <c r="I56" s="34">
        <v>49.07</v>
      </c>
      <c r="J56" s="34">
        <v>49.19</v>
      </c>
      <c r="K56" s="34">
        <v>49.31</v>
      </c>
    </row>
    <row r="57" spans="1:11">
      <c r="A57" s="35">
        <v>85</v>
      </c>
      <c r="B57" s="36">
        <v>49.43</v>
      </c>
      <c r="C57" s="36">
        <v>49.55</v>
      </c>
      <c r="D57" s="36">
        <v>49.68</v>
      </c>
      <c r="E57" s="36">
        <v>49.8</v>
      </c>
      <c r="F57" s="36">
        <v>49.92</v>
      </c>
      <c r="G57" s="36">
        <v>50.05</v>
      </c>
      <c r="H57" s="36">
        <v>50.17</v>
      </c>
      <c r="I57" s="36">
        <v>50.29</v>
      </c>
      <c r="J57" s="36">
        <v>50.41</v>
      </c>
      <c r="K57" s="36">
        <v>50.54</v>
      </c>
    </row>
    <row r="58" spans="1:11">
      <c r="A58" s="37" t="s">
        <v>153</v>
      </c>
      <c r="B58" s="29"/>
      <c r="C58" s="29"/>
      <c r="D58" s="29"/>
      <c r="E58" s="29"/>
      <c r="F58" s="29"/>
      <c r="G58" s="29"/>
      <c r="H58" s="29"/>
      <c r="I58" s="29"/>
      <c r="J58" s="29"/>
      <c r="K58" s="29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INPUT_OUTPUTS</vt:lpstr>
      <vt:lpstr>AHU 1</vt:lpstr>
      <vt:lpstr>Generic</vt:lpstr>
      <vt:lpstr>AHU_Psych</vt:lpstr>
      <vt:lpstr>FCU_Psych</vt:lpstr>
      <vt:lpstr>UMC Table 4-A</vt:lpstr>
      <vt:lpstr>DO NOT TOUCH</vt:lpstr>
      <vt:lpstr>Generic!_CAV1.</vt:lpstr>
      <vt:lpstr>_CAV1.</vt:lpstr>
      <vt:lpstr>Generic!AHU_1AC_AV</vt:lpstr>
      <vt:lpstr>AHU_1AC_AV</vt:lpstr>
      <vt:lpstr>AHU_Psych!AHUs</vt:lpstr>
      <vt:lpstr>FCU_Psych!AHUs</vt:lpstr>
      <vt:lpstr>AHUs</vt:lpstr>
      <vt:lpstr>Generic!CAV_1A_SCHEDULE</vt:lpstr>
      <vt:lpstr>CAV_1A_SCHEDULE</vt:lpstr>
      <vt:lpstr>FCU</vt:lpstr>
      <vt:lpstr>'AHU 1'!Print_Area</vt:lpstr>
      <vt:lpstr>AHU_Psych!Print_Area</vt:lpstr>
      <vt:lpstr>FCU_Psych!Print_Area</vt:lpstr>
      <vt:lpstr>Generic!Print_Area</vt:lpstr>
      <vt:lpstr>'UMC Table 4-A'!Print_Area</vt:lpstr>
      <vt:lpstr>'AHU 1'!Print_Titles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 Patil</cp:lastModifiedBy>
  <cp:lastPrinted>2023-01-22T21:16:36Z</cp:lastPrinted>
  <dcterms:created xsi:type="dcterms:W3CDTF">2001-05-17T15:02:58Z</dcterms:created>
  <dcterms:modified xsi:type="dcterms:W3CDTF">2023-02-21T20:02:19Z</dcterms:modified>
  <cp:category/>
</cp:coreProperties>
</file>