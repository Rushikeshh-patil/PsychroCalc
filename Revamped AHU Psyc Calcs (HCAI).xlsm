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raddhapatil/Documents/PsychroCalc/"/>
    </mc:Choice>
  </mc:AlternateContent>
  <xr:revisionPtr revIDLastSave="0" documentId="13_ncr:1_{D42EDE81-4007-8C4A-934E-A64F557C61C9}" xr6:coauthVersionLast="47" xr6:coauthVersionMax="47" xr10:uidLastSave="{00000000-0000-0000-0000-000000000000}"/>
  <bookViews>
    <workbookView xWindow="0" yWindow="740" windowWidth="29400" windowHeight="17000" activeTab="4" xr2:uid="{00000000-000D-0000-FFFF-FFFF00000000}"/>
  </bookViews>
  <sheets>
    <sheet name="Generic" sheetId="99" state="hidden" r:id="rId1"/>
    <sheet name="INPUT_OUTPUTS" sheetId="64" r:id="rId2"/>
    <sheet name="AHU 1" sheetId="48" r:id="rId3"/>
    <sheet name="AHU 2" sheetId="102" r:id="rId4"/>
    <sheet name="Psych" sheetId="45" r:id="rId5"/>
    <sheet name="UMC Table 4-A" sheetId="37" state="hidden" r:id="rId6"/>
    <sheet name="DO NOT TOUCH" sheetId="63" state="hidden" r:id="rId7"/>
  </sheets>
  <definedNames>
    <definedName name="_CAV1">#REF!</definedName>
    <definedName name="_CAV1." localSheetId="3">'AHU 2'!$AD$5:$AT$48</definedName>
    <definedName name="_CAV1." localSheetId="0">Generic!$AD$5:$AT$48</definedName>
    <definedName name="_CAV1.">'AHU 1'!$AD$5:$AT$48</definedName>
    <definedName name="_CAV2">#REF!</definedName>
    <definedName name="_CAV3">#REF!</definedName>
    <definedName name="_CAV4">#REF!</definedName>
    <definedName name="AHU_1AC_AV" localSheetId="3">'AHU 2'!$AC$7:$AO$43</definedName>
    <definedName name="AHU_1AC_AV" localSheetId="0">Generic!$AC$7:$AO$43</definedName>
    <definedName name="AHU_1AC_AV">'AHU 1'!$AC$7:$AO$43</definedName>
    <definedName name="CAV_1A_SCHEDULE" localSheetId="3">'AHU 2'!$AD$5:$AT$48</definedName>
    <definedName name="CAV_1A_SCHEDULE" localSheetId="0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2">'AHU 1'!$D$4:$V$78</definedName>
    <definedName name="_xlnm.Print_Area" localSheetId="3">'AHU 2'!$D$4:$V$78</definedName>
    <definedName name="_xlnm.Print_Area" localSheetId="0">Generic!$D$4:$V$78</definedName>
    <definedName name="_xlnm.Print_Area" localSheetId="4">Psych!$A$8:$BF$14</definedName>
    <definedName name="_xlnm.Print_Area" localSheetId="5">'UMC Table 4-A'!$A$5:$E$139</definedName>
    <definedName name="_xlnm.Print_Titles" localSheetId="2">'AHU 1'!$3:$6</definedName>
    <definedName name="_xlnm.Print_Titles" localSheetId="3">'AHU 2'!$3:$6</definedName>
    <definedName name="_xlnm.Print_Titles" localSheetId="0">Generic!$3:$6</definedName>
    <definedName name="_xlnm.Print_Titles" localSheetId="5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3" i="45" l="1"/>
  <c r="BE13" i="45"/>
  <c r="H13" i="45"/>
  <c r="K13" i="45" s="1"/>
  <c r="BB13" i="45" s="1"/>
  <c r="D13" i="45"/>
  <c r="B13" i="45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2"/>
  <c r="Q78" i="102"/>
  <c r="O78" i="102"/>
  <c r="P78" i="102" s="1"/>
  <c r="N78" i="102"/>
  <c r="L78" i="102"/>
  <c r="H78" i="102"/>
  <c r="I78" i="102" s="1"/>
  <c r="G78" i="102"/>
  <c r="K78" i="102" s="1"/>
  <c r="Q77" i="102"/>
  <c r="P77" i="102"/>
  <c r="O77" i="102"/>
  <c r="N77" i="102"/>
  <c r="L77" i="102"/>
  <c r="I77" i="102"/>
  <c r="H77" i="102"/>
  <c r="G77" i="102"/>
  <c r="K77" i="102" s="1"/>
  <c r="U76" i="102"/>
  <c r="R76" i="102"/>
  <c r="Q76" i="102"/>
  <c r="P76" i="102"/>
  <c r="O76" i="102"/>
  <c r="N76" i="102"/>
  <c r="L76" i="102"/>
  <c r="K76" i="102"/>
  <c r="H76" i="102"/>
  <c r="I76" i="102" s="1"/>
  <c r="G76" i="102"/>
  <c r="U75" i="102"/>
  <c r="Q75" i="102"/>
  <c r="O75" i="102"/>
  <c r="P75" i="102" s="1"/>
  <c r="N75" i="102"/>
  <c r="L75" i="102"/>
  <c r="K75" i="102"/>
  <c r="I75" i="102"/>
  <c r="H75" i="102"/>
  <c r="G75" i="102"/>
  <c r="Q74" i="102"/>
  <c r="O74" i="102"/>
  <c r="P74" i="102" s="1"/>
  <c r="N74" i="102"/>
  <c r="R74" i="102" s="1"/>
  <c r="L74" i="102"/>
  <c r="H74" i="102"/>
  <c r="I74" i="102" s="1"/>
  <c r="G74" i="102"/>
  <c r="K74" i="102" s="1"/>
  <c r="Q73" i="102"/>
  <c r="P73" i="102"/>
  <c r="O73" i="102"/>
  <c r="N73" i="102"/>
  <c r="L73" i="102"/>
  <c r="I73" i="102"/>
  <c r="H73" i="102"/>
  <c r="G73" i="102"/>
  <c r="K73" i="102" s="1"/>
  <c r="U72" i="102"/>
  <c r="Q72" i="102"/>
  <c r="P72" i="102"/>
  <c r="O72" i="102"/>
  <c r="N72" i="102"/>
  <c r="L72" i="102"/>
  <c r="K72" i="102"/>
  <c r="H72" i="102"/>
  <c r="I72" i="102" s="1"/>
  <c r="G72" i="102"/>
  <c r="U71" i="102"/>
  <c r="Q71" i="102"/>
  <c r="O71" i="102"/>
  <c r="P71" i="102" s="1"/>
  <c r="N71" i="102"/>
  <c r="L71" i="102"/>
  <c r="K71" i="102"/>
  <c r="I71" i="102"/>
  <c r="H71" i="102"/>
  <c r="G71" i="102"/>
  <c r="R70" i="102"/>
  <c r="Q70" i="102"/>
  <c r="O70" i="102"/>
  <c r="P70" i="102" s="1"/>
  <c r="N70" i="102"/>
  <c r="L70" i="102"/>
  <c r="H70" i="102"/>
  <c r="I70" i="102" s="1"/>
  <c r="G70" i="102"/>
  <c r="K70" i="102" s="1"/>
  <c r="Q69" i="102"/>
  <c r="P69" i="102"/>
  <c r="O69" i="102"/>
  <c r="N69" i="102"/>
  <c r="L69" i="102"/>
  <c r="K69" i="102"/>
  <c r="I69" i="102"/>
  <c r="H69" i="102"/>
  <c r="G69" i="102"/>
  <c r="U68" i="102"/>
  <c r="R68" i="102"/>
  <c r="Q68" i="102"/>
  <c r="P68" i="102"/>
  <c r="O68" i="102"/>
  <c r="N68" i="102"/>
  <c r="L68" i="102"/>
  <c r="H68" i="102"/>
  <c r="I68" i="102" s="1"/>
  <c r="G68" i="102"/>
  <c r="K68" i="102" s="1"/>
  <c r="U67" i="102"/>
  <c r="Q67" i="102"/>
  <c r="O67" i="102"/>
  <c r="P67" i="102" s="1"/>
  <c r="N67" i="102"/>
  <c r="L67" i="102"/>
  <c r="K67" i="102"/>
  <c r="I67" i="102"/>
  <c r="H67" i="102"/>
  <c r="G67" i="102"/>
  <c r="R66" i="102"/>
  <c r="Q66" i="102"/>
  <c r="O66" i="102"/>
  <c r="P66" i="102" s="1"/>
  <c r="N66" i="102"/>
  <c r="L66" i="102"/>
  <c r="H66" i="102"/>
  <c r="I66" i="102" s="1"/>
  <c r="G66" i="102"/>
  <c r="K66" i="102" s="1"/>
  <c r="Q65" i="102"/>
  <c r="P65" i="102"/>
  <c r="O65" i="102"/>
  <c r="N65" i="102"/>
  <c r="L65" i="102"/>
  <c r="K65" i="102"/>
  <c r="I65" i="102"/>
  <c r="H65" i="102"/>
  <c r="G65" i="102"/>
  <c r="U64" i="102"/>
  <c r="S64" i="102"/>
  <c r="Q64" i="102"/>
  <c r="O64" i="102"/>
  <c r="P64" i="102" s="1"/>
  <c r="N64" i="102"/>
  <c r="L64" i="102"/>
  <c r="I64" i="102"/>
  <c r="H64" i="102"/>
  <c r="G64" i="102"/>
  <c r="K64" i="102" s="1"/>
  <c r="R64" i="102" s="1"/>
  <c r="U63" i="102"/>
  <c r="Q63" i="102"/>
  <c r="P63" i="102"/>
  <c r="O63" i="102"/>
  <c r="N63" i="102"/>
  <c r="R63" i="102" s="1"/>
  <c r="L63" i="102"/>
  <c r="K63" i="102"/>
  <c r="I63" i="102"/>
  <c r="H63" i="102"/>
  <c r="G63" i="102"/>
  <c r="Q62" i="102"/>
  <c r="O62" i="102"/>
  <c r="P62" i="102" s="1"/>
  <c r="N62" i="102"/>
  <c r="L62" i="102"/>
  <c r="H62" i="102"/>
  <c r="I62" i="102" s="1"/>
  <c r="G62" i="102"/>
  <c r="K62" i="102" s="1"/>
  <c r="R62" i="102" s="1"/>
  <c r="Q61" i="102"/>
  <c r="P61" i="102"/>
  <c r="O61" i="102"/>
  <c r="N61" i="102"/>
  <c r="L61" i="102"/>
  <c r="K61" i="102"/>
  <c r="I61" i="102"/>
  <c r="H61" i="102"/>
  <c r="G61" i="102"/>
  <c r="Z60" i="102"/>
  <c r="U60" i="102"/>
  <c r="Q60" i="102"/>
  <c r="O60" i="102"/>
  <c r="P60" i="102" s="1"/>
  <c r="N60" i="102"/>
  <c r="L60" i="102"/>
  <c r="I60" i="102"/>
  <c r="H60" i="102"/>
  <c r="G60" i="102"/>
  <c r="K60" i="102" s="1"/>
  <c r="R60" i="102" s="1"/>
  <c r="S60" i="102" s="1"/>
  <c r="U59" i="102"/>
  <c r="Q59" i="102"/>
  <c r="O59" i="102"/>
  <c r="P59" i="102" s="1"/>
  <c r="N59" i="102"/>
  <c r="R59" i="102" s="1"/>
  <c r="L59" i="102"/>
  <c r="K59" i="102"/>
  <c r="I59" i="102"/>
  <c r="H59" i="102"/>
  <c r="G59" i="102"/>
  <c r="Q58" i="102"/>
  <c r="O58" i="102"/>
  <c r="P58" i="102" s="1"/>
  <c r="N58" i="102"/>
  <c r="L58" i="102"/>
  <c r="H58" i="102"/>
  <c r="I58" i="102" s="1"/>
  <c r="G58" i="102"/>
  <c r="K58" i="102" s="1"/>
  <c r="Q57" i="102"/>
  <c r="P57" i="102"/>
  <c r="O57" i="102"/>
  <c r="N57" i="102"/>
  <c r="L57" i="102"/>
  <c r="I57" i="102"/>
  <c r="H57" i="102"/>
  <c r="G57" i="102"/>
  <c r="K57" i="102" s="1"/>
  <c r="U56" i="102"/>
  <c r="Q56" i="102"/>
  <c r="O56" i="102"/>
  <c r="P56" i="102" s="1"/>
  <c r="N56" i="102"/>
  <c r="L56" i="102"/>
  <c r="H56" i="102"/>
  <c r="I56" i="102" s="1"/>
  <c r="G56" i="102"/>
  <c r="K56" i="102" s="1"/>
  <c r="U55" i="102"/>
  <c r="Q55" i="102"/>
  <c r="P55" i="102"/>
  <c r="O55" i="102"/>
  <c r="N55" i="102"/>
  <c r="L55" i="102"/>
  <c r="K55" i="102"/>
  <c r="I55" i="102"/>
  <c r="H55" i="102"/>
  <c r="G55" i="102"/>
  <c r="Q54" i="102"/>
  <c r="O54" i="102"/>
  <c r="P54" i="102" s="1"/>
  <c r="N54" i="102"/>
  <c r="R54" i="102" s="1"/>
  <c r="L54" i="102"/>
  <c r="H54" i="102"/>
  <c r="I54" i="102" s="1"/>
  <c r="G54" i="102"/>
  <c r="K54" i="102" s="1"/>
  <c r="Q53" i="102"/>
  <c r="O53" i="102"/>
  <c r="P53" i="102" s="1"/>
  <c r="N53" i="102"/>
  <c r="L53" i="102"/>
  <c r="K53" i="102"/>
  <c r="I53" i="102"/>
  <c r="H53" i="102"/>
  <c r="G53" i="102"/>
  <c r="U52" i="102"/>
  <c r="Q52" i="102"/>
  <c r="O52" i="102"/>
  <c r="P52" i="102" s="1"/>
  <c r="N52" i="102"/>
  <c r="L52" i="102"/>
  <c r="H52" i="102"/>
  <c r="I52" i="102" s="1"/>
  <c r="G52" i="102"/>
  <c r="K52" i="102" s="1"/>
  <c r="R52" i="102" s="1"/>
  <c r="U51" i="102"/>
  <c r="Q51" i="102"/>
  <c r="O51" i="102"/>
  <c r="P51" i="102" s="1"/>
  <c r="N51" i="102"/>
  <c r="L51" i="102"/>
  <c r="K51" i="102"/>
  <c r="I51" i="102"/>
  <c r="H51" i="102"/>
  <c r="G51" i="102"/>
  <c r="Q50" i="102"/>
  <c r="P50" i="102"/>
  <c r="O50" i="102"/>
  <c r="N50" i="102"/>
  <c r="L50" i="102"/>
  <c r="H50" i="102"/>
  <c r="I50" i="102" s="1"/>
  <c r="G50" i="102"/>
  <c r="K50" i="102" s="1"/>
  <c r="X49" i="102"/>
  <c r="T49" i="102"/>
  <c r="Q49" i="102"/>
  <c r="U49" i="102" s="1"/>
  <c r="P49" i="102"/>
  <c r="O49" i="102"/>
  <c r="N49" i="102"/>
  <c r="L49" i="102"/>
  <c r="K49" i="102"/>
  <c r="R49" i="102" s="1"/>
  <c r="Z49" i="102" s="1"/>
  <c r="I49" i="102"/>
  <c r="H49" i="102"/>
  <c r="G49" i="102"/>
  <c r="U48" i="102"/>
  <c r="S48" i="102"/>
  <c r="Q48" i="102"/>
  <c r="O48" i="102"/>
  <c r="P48" i="102" s="1"/>
  <c r="N48" i="102"/>
  <c r="L48" i="102"/>
  <c r="K48" i="102"/>
  <c r="R48" i="102" s="1"/>
  <c r="I48" i="102"/>
  <c r="H48" i="102"/>
  <c r="G48" i="102"/>
  <c r="U47" i="102"/>
  <c r="Q47" i="102"/>
  <c r="O47" i="102"/>
  <c r="P47" i="102" s="1"/>
  <c r="N47" i="102"/>
  <c r="L47" i="102"/>
  <c r="K47" i="102"/>
  <c r="I47" i="102"/>
  <c r="H47" i="102"/>
  <c r="G47" i="102"/>
  <c r="U46" i="102"/>
  <c r="Q46" i="102"/>
  <c r="P46" i="102"/>
  <c r="O46" i="102"/>
  <c r="N46" i="102"/>
  <c r="L46" i="102"/>
  <c r="I46" i="102"/>
  <c r="H46" i="102"/>
  <c r="G46" i="102"/>
  <c r="K46" i="102" s="1"/>
  <c r="U45" i="102"/>
  <c r="Q45" i="102"/>
  <c r="O45" i="102"/>
  <c r="P45" i="102" s="1"/>
  <c r="N45" i="102"/>
  <c r="L45" i="102"/>
  <c r="K45" i="102"/>
  <c r="I45" i="102"/>
  <c r="H45" i="102"/>
  <c r="G45" i="102"/>
  <c r="AR44" i="102"/>
  <c r="AQ44" i="102"/>
  <c r="AJ44" i="102"/>
  <c r="AI44" i="102"/>
  <c r="AG44" i="102"/>
  <c r="AF44" i="102"/>
  <c r="Z44" i="102"/>
  <c r="T44" i="102"/>
  <c r="R44" i="102"/>
  <c r="Q44" i="102"/>
  <c r="U44" i="102" s="1"/>
  <c r="O44" i="102"/>
  <c r="P44" i="102" s="1"/>
  <c r="N44" i="102"/>
  <c r="L44" i="102"/>
  <c r="H44" i="102"/>
  <c r="I44" i="102" s="1"/>
  <c r="G44" i="102"/>
  <c r="K44" i="102" s="1"/>
  <c r="AR43" i="102"/>
  <c r="AJ43" i="102"/>
  <c r="AI43" i="102"/>
  <c r="AF43" i="102"/>
  <c r="AG43" i="102" s="1"/>
  <c r="AQ43" i="102" s="1"/>
  <c r="U43" i="102"/>
  <c r="Q43" i="102"/>
  <c r="O43" i="102"/>
  <c r="P43" i="102" s="1"/>
  <c r="N43" i="102"/>
  <c r="L43" i="102"/>
  <c r="K43" i="102"/>
  <c r="I43" i="102"/>
  <c r="H43" i="102"/>
  <c r="G43" i="102"/>
  <c r="AR42" i="102"/>
  <c r="AQ42" i="102"/>
  <c r="AJ42" i="102"/>
  <c r="AI42" i="102"/>
  <c r="AF42" i="102"/>
  <c r="AG42" i="102" s="1"/>
  <c r="Q42" i="102"/>
  <c r="U42" i="102" s="1"/>
  <c r="O42" i="102"/>
  <c r="P42" i="102" s="1"/>
  <c r="N42" i="102"/>
  <c r="L42" i="102"/>
  <c r="I42" i="102"/>
  <c r="H42" i="102"/>
  <c r="G42" i="102"/>
  <c r="K42" i="102" s="1"/>
  <c r="AR41" i="102"/>
  <c r="AJ41" i="102"/>
  <c r="AI41" i="102"/>
  <c r="AF41" i="102"/>
  <c r="AG41" i="102" s="1"/>
  <c r="AQ41" i="102" s="1"/>
  <c r="U41" i="102"/>
  <c r="Q41" i="102"/>
  <c r="O41" i="102"/>
  <c r="P41" i="102" s="1"/>
  <c r="N41" i="102"/>
  <c r="L41" i="102"/>
  <c r="K41" i="102"/>
  <c r="I41" i="102"/>
  <c r="H41" i="102"/>
  <c r="G41" i="102"/>
  <c r="AR40" i="102"/>
  <c r="AJ40" i="102"/>
  <c r="AI40" i="102"/>
  <c r="AF40" i="102"/>
  <c r="AG40" i="102" s="1"/>
  <c r="AQ40" i="102" s="1"/>
  <c r="T40" i="102"/>
  <c r="R40" i="102"/>
  <c r="Z40" i="102" s="1"/>
  <c r="Q40" i="102"/>
  <c r="U40" i="102" s="1"/>
  <c r="O40" i="102"/>
  <c r="P40" i="102" s="1"/>
  <c r="N40" i="102"/>
  <c r="L40" i="102"/>
  <c r="I40" i="102"/>
  <c r="H40" i="102"/>
  <c r="G40" i="102"/>
  <c r="K40" i="102" s="1"/>
  <c r="AR39" i="102"/>
  <c r="AJ39" i="102"/>
  <c r="AI39" i="102"/>
  <c r="AF39" i="102"/>
  <c r="AG39" i="102" s="1"/>
  <c r="AQ39" i="102" s="1"/>
  <c r="U39" i="102"/>
  <c r="Q39" i="102"/>
  <c r="O39" i="102"/>
  <c r="P39" i="102" s="1"/>
  <c r="N39" i="102"/>
  <c r="L39" i="102"/>
  <c r="K39" i="102"/>
  <c r="H39" i="102"/>
  <c r="I39" i="102" s="1"/>
  <c r="G39" i="102"/>
  <c r="AR38" i="102"/>
  <c r="AJ38" i="102"/>
  <c r="AI38" i="102"/>
  <c r="AF38" i="102"/>
  <c r="AG38" i="102" s="1"/>
  <c r="AQ38" i="102" s="1"/>
  <c r="U38" i="102"/>
  <c r="T38" i="102"/>
  <c r="Q38" i="102"/>
  <c r="O38" i="102"/>
  <c r="P38" i="102" s="1"/>
  <c r="N38" i="102"/>
  <c r="L38" i="102"/>
  <c r="K38" i="102"/>
  <c r="R38" i="102" s="1"/>
  <c r="S38" i="102" s="1"/>
  <c r="V38" i="102" s="1"/>
  <c r="H38" i="102"/>
  <c r="I38" i="102" s="1"/>
  <c r="G38" i="102"/>
  <c r="AR37" i="102"/>
  <c r="AJ37" i="102"/>
  <c r="AI37" i="102"/>
  <c r="AG37" i="102"/>
  <c r="AQ37" i="102" s="1"/>
  <c r="AF37" i="102"/>
  <c r="U37" i="102"/>
  <c r="S37" i="102"/>
  <c r="R37" i="102"/>
  <c r="Q37" i="102"/>
  <c r="O37" i="102"/>
  <c r="P37" i="102" s="1"/>
  <c r="N37" i="102"/>
  <c r="L37" i="102"/>
  <c r="K37" i="102"/>
  <c r="H37" i="102"/>
  <c r="I37" i="102" s="1"/>
  <c r="G37" i="102"/>
  <c r="AR36" i="102"/>
  <c r="AJ36" i="102"/>
  <c r="AI36" i="102"/>
  <c r="AF36" i="102"/>
  <c r="AG36" i="102" s="1"/>
  <c r="AQ36" i="102" s="1"/>
  <c r="U36" i="102"/>
  <c r="S36" i="102"/>
  <c r="R36" i="102"/>
  <c r="Q36" i="102"/>
  <c r="O36" i="102"/>
  <c r="P36" i="102" s="1"/>
  <c r="N36" i="102"/>
  <c r="L36" i="102"/>
  <c r="K36" i="102"/>
  <c r="H36" i="102"/>
  <c r="I36" i="102" s="1"/>
  <c r="G36" i="102"/>
  <c r="AR35" i="102"/>
  <c r="AJ35" i="102"/>
  <c r="AI35" i="102"/>
  <c r="AF35" i="102"/>
  <c r="AG35" i="102" s="1"/>
  <c r="AQ35" i="102" s="1"/>
  <c r="U35" i="102"/>
  <c r="S35" i="102"/>
  <c r="R35" i="102"/>
  <c r="Q35" i="102"/>
  <c r="O35" i="102"/>
  <c r="P35" i="102" s="1"/>
  <c r="N35" i="102"/>
  <c r="L35" i="102"/>
  <c r="K35" i="102"/>
  <c r="H35" i="102"/>
  <c r="I35" i="102" s="1"/>
  <c r="G35" i="102"/>
  <c r="AR34" i="102"/>
  <c r="AJ34" i="102"/>
  <c r="AI34" i="102"/>
  <c r="AF34" i="102"/>
  <c r="AG34" i="102" s="1"/>
  <c r="AQ34" i="102" s="1"/>
  <c r="U34" i="102"/>
  <c r="Q34" i="102"/>
  <c r="O34" i="102"/>
  <c r="P34" i="102" s="1"/>
  <c r="N34" i="102"/>
  <c r="L34" i="102"/>
  <c r="H34" i="102"/>
  <c r="I34" i="102" s="1"/>
  <c r="G34" i="102"/>
  <c r="K34" i="102" s="1"/>
  <c r="R34" i="102" s="1"/>
  <c r="AR33" i="102"/>
  <c r="AJ33" i="102"/>
  <c r="AI33" i="102"/>
  <c r="AG33" i="102"/>
  <c r="AQ33" i="102" s="1"/>
  <c r="AF33" i="102"/>
  <c r="U33" i="102"/>
  <c r="Q33" i="102"/>
  <c r="O33" i="102"/>
  <c r="P33" i="102" s="1"/>
  <c r="N33" i="102"/>
  <c r="L33" i="102"/>
  <c r="I33" i="102"/>
  <c r="H33" i="102"/>
  <c r="G33" i="102"/>
  <c r="K33" i="102" s="1"/>
  <c r="R33" i="102" s="1"/>
  <c r="AR32" i="102"/>
  <c r="AJ32" i="102"/>
  <c r="AI32" i="102"/>
  <c r="AG32" i="102"/>
  <c r="AQ32" i="102" s="1"/>
  <c r="AF32" i="102"/>
  <c r="U32" i="102"/>
  <c r="Q32" i="102"/>
  <c r="O32" i="102"/>
  <c r="P32" i="102" s="1"/>
  <c r="N32" i="102"/>
  <c r="L32" i="102"/>
  <c r="K32" i="102"/>
  <c r="I32" i="102"/>
  <c r="H32" i="102"/>
  <c r="G32" i="102"/>
  <c r="AR31" i="102"/>
  <c r="AJ31" i="102"/>
  <c r="AI31" i="102"/>
  <c r="AG31" i="102"/>
  <c r="AQ31" i="102" s="1"/>
  <c r="AF31" i="102"/>
  <c r="Q31" i="102"/>
  <c r="O31" i="102"/>
  <c r="P31" i="102" s="1"/>
  <c r="N31" i="102"/>
  <c r="L31" i="102"/>
  <c r="I31" i="102"/>
  <c r="H31" i="102"/>
  <c r="G31" i="102"/>
  <c r="K31" i="102" s="1"/>
  <c r="AR30" i="102"/>
  <c r="AJ30" i="102"/>
  <c r="AI30" i="102"/>
  <c r="AG30" i="102"/>
  <c r="AQ30" i="102" s="1"/>
  <c r="AF30" i="102"/>
  <c r="Z30" i="102"/>
  <c r="T30" i="102"/>
  <c r="R30" i="102"/>
  <c r="Q30" i="102"/>
  <c r="U30" i="102" s="1"/>
  <c r="O30" i="102"/>
  <c r="P30" i="102" s="1"/>
  <c r="N30" i="102"/>
  <c r="L30" i="102"/>
  <c r="H30" i="102"/>
  <c r="I30" i="102" s="1"/>
  <c r="G30" i="102"/>
  <c r="K30" i="102" s="1"/>
  <c r="AR29" i="102"/>
  <c r="AJ29" i="102"/>
  <c r="AI29" i="102"/>
  <c r="AG29" i="102"/>
  <c r="AQ29" i="102" s="1"/>
  <c r="AF29" i="102"/>
  <c r="U29" i="102"/>
  <c r="Q29" i="102"/>
  <c r="O29" i="102"/>
  <c r="P29" i="102" s="1"/>
  <c r="N29" i="102"/>
  <c r="L29" i="102"/>
  <c r="I29" i="102"/>
  <c r="H29" i="102"/>
  <c r="G29" i="102"/>
  <c r="K29" i="102" s="1"/>
  <c r="R29" i="102" s="1"/>
  <c r="AR28" i="102"/>
  <c r="AJ28" i="102"/>
  <c r="AI28" i="102"/>
  <c r="AG28" i="102"/>
  <c r="AQ28" i="102" s="1"/>
  <c r="AF28" i="102"/>
  <c r="U28" i="102"/>
  <c r="Q28" i="102"/>
  <c r="O28" i="102"/>
  <c r="P28" i="102" s="1"/>
  <c r="N28" i="102"/>
  <c r="R28" i="102" s="1"/>
  <c r="Z28" i="102" s="1"/>
  <c r="L28" i="102"/>
  <c r="K28" i="102"/>
  <c r="H28" i="102"/>
  <c r="I28" i="102" s="1"/>
  <c r="G28" i="102"/>
  <c r="AR27" i="102"/>
  <c r="AJ27" i="102"/>
  <c r="AI27" i="102"/>
  <c r="AG27" i="102"/>
  <c r="AQ27" i="102" s="1"/>
  <c r="AF27" i="102"/>
  <c r="U27" i="102"/>
  <c r="T27" i="102"/>
  <c r="S27" i="102"/>
  <c r="Q27" i="102"/>
  <c r="R27" i="102" s="1"/>
  <c r="Z27" i="102" s="1"/>
  <c r="O27" i="102"/>
  <c r="P27" i="102" s="1"/>
  <c r="Y27" i="102" s="1"/>
  <c r="N27" i="102"/>
  <c r="L27" i="102"/>
  <c r="K27" i="102"/>
  <c r="I27" i="102"/>
  <c r="H27" i="102"/>
  <c r="G27" i="102"/>
  <c r="AR26" i="102"/>
  <c r="AJ26" i="102"/>
  <c r="AI26" i="102"/>
  <c r="AG26" i="102"/>
  <c r="AQ26" i="102" s="1"/>
  <c r="AF26" i="102"/>
  <c r="U26" i="102"/>
  <c r="Q26" i="102"/>
  <c r="O26" i="102"/>
  <c r="P26" i="102" s="1"/>
  <c r="N26" i="102"/>
  <c r="R26" i="102" s="1"/>
  <c r="Z26" i="102" s="1"/>
  <c r="L26" i="102"/>
  <c r="K26" i="102"/>
  <c r="H26" i="102"/>
  <c r="I26" i="102" s="1"/>
  <c r="G26" i="102"/>
  <c r="AR25" i="102"/>
  <c r="AJ25" i="102"/>
  <c r="AI25" i="102"/>
  <c r="AG25" i="102"/>
  <c r="AQ25" i="102" s="1"/>
  <c r="AF25" i="102"/>
  <c r="U25" i="102"/>
  <c r="T25" i="102"/>
  <c r="Q25" i="102"/>
  <c r="R25" i="102" s="1"/>
  <c r="Z25" i="102" s="1"/>
  <c r="O25" i="102"/>
  <c r="P25" i="102" s="1"/>
  <c r="N25" i="102"/>
  <c r="L25" i="102"/>
  <c r="K25" i="102"/>
  <c r="I25" i="102"/>
  <c r="H25" i="102"/>
  <c r="G25" i="102"/>
  <c r="AR24" i="102"/>
  <c r="AJ24" i="102"/>
  <c r="AI24" i="102"/>
  <c r="AG24" i="102"/>
  <c r="AQ24" i="102" s="1"/>
  <c r="AF24" i="102"/>
  <c r="U24" i="102"/>
  <c r="Q24" i="102"/>
  <c r="O24" i="102"/>
  <c r="P24" i="102" s="1"/>
  <c r="N24" i="102"/>
  <c r="R24" i="102" s="1"/>
  <c r="Z24" i="102" s="1"/>
  <c r="L24" i="102"/>
  <c r="K24" i="102"/>
  <c r="H24" i="102"/>
  <c r="I24" i="102" s="1"/>
  <c r="G24" i="102"/>
  <c r="AR23" i="102"/>
  <c r="AJ23" i="102"/>
  <c r="AI23" i="102"/>
  <c r="AG23" i="102"/>
  <c r="AQ23" i="102" s="1"/>
  <c r="AF23" i="102"/>
  <c r="U23" i="102"/>
  <c r="T23" i="102"/>
  <c r="Q23" i="102"/>
  <c r="R23" i="102" s="1"/>
  <c r="Z23" i="102" s="1"/>
  <c r="O23" i="102"/>
  <c r="P23" i="102" s="1"/>
  <c r="N23" i="102"/>
  <c r="L23" i="102"/>
  <c r="K23" i="102"/>
  <c r="I23" i="102"/>
  <c r="H23" i="102"/>
  <c r="G23" i="102"/>
  <c r="AR22" i="102"/>
  <c r="AJ22" i="102"/>
  <c r="AI22" i="102"/>
  <c r="AG22" i="102"/>
  <c r="AQ22" i="102" s="1"/>
  <c r="AF22" i="102"/>
  <c r="U22" i="102"/>
  <c r="Q22" i="102"/>
  <c r="O22" i="102"/>
  <c r="P22" i="102" s="1"/>
  <c r="N22" i="102"/>
  <c r="R22" i="102" s="1"/>
  <c r="Z22" i="102" s="1"/>
  <c r="L22" i="102"/>
  <c r="K22" i="102"/>
  <c r="H22" i="102"/>
  <c r="I22" i="102" s="1"/>
  <c r="G22" i="102"/>
  <c r="AR21" i="102"/>
  <c r="AJ21" i="102"/>
  <c r="AI21" i="102"/>
  <c r="AG21" i="102"/>
  <c r="AQ21" i="102" s="1"/>
  <c r="AF21" i="102"/>
  <c r="U21" i="102"/>
  <c r="T21" i="102"/>
  <c r="Q21" i="102"/>
  <c r="R21" i="102" s="1"/>
  <c r="Z21" i="102" s="1"/>
  <c r="O21" i="102"/>
  <c r="P21" i="102" s="1"/>
  <c r="N21" i="102"/>
  <c r="L21" i="102"/>
  <c r="K21" i="102"/>
  <c r="I21" i="102"/>
  <c r="H21" i="102"/>
  <c r="G21" i="102"/>
  <c r="AR20" i="102"/>
  <c r="AJ20" i="102"/>
  <c r="AI20" i="102"/>
  <c r="AG20" i="102"/>
  <c r="AQ20" i="102" s="1"/>
  <c r="AF20" i="102"/>
  <c r="U20" i="102"/>
  <c r="Q20" i="102"/>
  <c r="O20" i="102"/>
  <c r="P20" i="102" s="1"/>
  <c r="N20" i="102"/>
  <c r="R20" i="102" s="1"/>
  <c r="Z20" i="102" s="1"/>
  <c r="L20" i="102"/>
  <c r="K20" i="102"/>
  <c r="H20" i="102"/>
  <c r="I20" i="102" s="1"/>
  <c r="G20" i="102"/>
  <c r="AR19" i="102"/>
  <c r="AJ19" i="102"/>
  <c r="AI19" i="102"/>
  <c r="AG19" i="102"/>
  <c r="AQ19" i="102" s="1"/>
  <c r="AF19" i="102"/>
  <c r="U19" i="102"/>
  <c r="T19" i="102"/>
  <c r="Q19" i="102"/>
  <c r="R19" i="102" s="1"/>
  <c r="Z19" i="102" s="1"/>
  <c r="O19" i="102"/>
  <c r="P19" i="102" s="1"/>
  <c r="N19" i="102"/>
  <c r="L19" i="102"/>
  <c r="K19" i="102"/>
  <c r="I19" i="102"/>
  <c r="H19" i="102"/>
  <c r="G19" i="102"/>
  <c r="AR18" i="102"/>
  <c r="AJ18" i="102"/>
  <c r="AI18" i="102"/>
  <c r="AG18" i="102"/>
  <c r="AQ18" i="102" s="1"/>
  <c r="AF18" i="102"/>
  <c r="U18" i="102"/>
  <c r="Q18" i="102"/>
  <c r="O18" i="102"/>
  <c r="P18" i="102" s="1"/>
  <c r="N18" i="102"/>
  <c r="R18" i="102" s="1"/>
  <c r="Z18" i="102" s="1"/>
  <c r="L18" i="102"/>
  <c r="K18" i="102"/>
  <c r="H18" i="102"/>
  <c r="I18" i="102" s="1"/>
  <c r="G18" i="102"/>
  <c r="AR17" i="102"/>
  <c r="AJ17" i="102"/>
  <c r="AI17" i="102"/>
  <c r="AG17" i="102"/>
  <c r="AQ17" i="102" s="1"/>
  <c r="AF17" i="102"/>
  <c r="U17" i="102"/>
  <c r="T17" i="102"/>
  <c r="Q17" i="102"/>
  <c r="R17" i="102" s="1"/>
  <c r="Z17" i="102" s="1"/>
  <c r="O17" i="102"/>
  <c r="P17" i="102" s="1"/>
  <c r="N17" i="102"/>
  <c r="L17" i="102"/>
  <c r="K17" i="102"/>
  <c r="I17" i="102"/>
  <c r="H17" i="102"/>
  <c r="G17" i="102"/>
  <c r="AR16" i="102"/>
  <c r="AJ16" i="102"/>
  <c r="AI16" i="102"/>
  <c r="AG16" i="102"/>
  <c r="AQ16" i="102" s="1"/>
  <c r="AF16" i="102"/>
  <c r="U16" i="102"/>
  <c r="Q16" i="102"/>
  <c r="O16" i="102"/>
  <c r="P16" i="102" s="1"/>
  <c r="N16" i="102"/>
  <c r="R16" i="102" s="1"/>
  <c r="Z16" i="102" s="1"/>
  <c r="L16" i="102"/>
  <c r="K16" i="102"/>
  <c r="H16" i="102"/>
  <c r="I16" i="102" s="1"/>
  <c r="G16" i="102"/>
  <c r="AR15" i="102"/>
  <c r="AJ15" i="102"/>
  <c r="AI15" i="102"/>
  <c r="AG15" i="102"/>
  <c r="AQ15" i="102" s="1"/>
  <c r="AF15" i="102"/>
  <c r="U15" i="102"/>
  <c r="T15" i="102"/>
  <c r="Q15" i="102"/>
  <c r="R15" i="102" s="1"/>
  <c r="Z15" i="102" s="1"/>
  <c r="O15" i="102"/>
  <c r="P15" i="102" s="1"/>
  <c r="N15" i="102"/>
  <c r="L15" i="102"/>
  <c r="K15" i="102"/>
  <c r="I15" i="102"/>
  <c r="H15" i="102"/>
  <c r="G15" i="102"/>
  <c r="AR14" i="102"/>
  <c r="AJ14" i="102"/>
  <c r="AI14" i="102"/>
  <c r="AG14" i="102"/>
  <c r="AQ14" i="102" s="1"/>
  <c r="AF14" i="102"/>
  <c r="U14" i="102"/>
  <c r="Q14" i="102"/>
  <c r="O14" i="102"/>
  <c r="P14" i="102" s="1"/>
  <c r="N14" i="102"/>
  <c r="R14" i="102" s="1"/>
  <c r="Z14" i="102" s="1"/>
  <c r="L14" i="102"/>
  <c r="K14" i="102"/>
  <c r="H14" i="102"/>
  <c r="I14" i="102" s="1"/>
  <c r="G14" i="102"/>
  <c r="AR13" i="102"/>
  <c r="AJ13" i="102"/>
  <c r="AI13" i="102"/>
  <c r="AG13" i="102"/>
  <c r="AQ13" i="102" s="1"/>
  <c r="AF13" i="102"/>
  <c r="U13" i="102"/>
  <c r="T13" i="102"/>
  <c r="Q13" i="102"/>
  <c r="R13" i="102" s="1"/>
  <c r="Z13" i="102" s="1"/>
  <c r="O13" i="102"/>
  <c r="P13" i="102" s="1"/>
  <c r="N13" i="102"/>
  <c r="L13" i="102"/>
  <c r="K13" i="102"/>
  <c r="I13" i="102"/>
  <c r="H13" i="102"/>
  <c r="G13" i="102"/>
  <c r="AR12" i="102"/>
  <c r="AJ12" i="102"/>
  <c r="AI12" i="102"/>
  <c r="AG12" i="102"/>
  <c r="AQ12" i="102" s="1"/>
  <c r="AF12" i="102"/>
  <c r="U12" i="102"/>
  <c r="Q12" i="102"/>
  <c r="O12" i="102"/>
  <c r="P12" i="102" s="1"/>
  <c r="N12" i="102"/>
  <c r="R12" i="102" s="1"/>
  <c r="Z12" i="102" s="1"/>
  <c r="L12" i="102"/>
  <c r="K12" i="102"/>
  <c r="H12" i="102"/>
  <c r="I12" i="102" s="1"/>
  <c r="G12" i="102"/>
  <c r="AR11" i="102"/>
  <c r="AJ11" i="102"/>
  <c r="AI11" i="102"/>
  <c r="AG11" i="102"/>
  <c r="AQ11" i="102" s="1"/>
  <c r="AF11" i="102"/>
  <c r="U11" i="102"/>
  <c r="T11" i="102"/>
  <c r="Q11" i="102"/>
  <c r="R11" i="102" s="1"/>
  <c r="Z11" i="102" s="1"/>
  <c r="O11" i="102"/>
  <c r="P11" i="102" s="1"/>
  <c r="N11" i="102"/>
  <c r="L11" i="102"/>
  <c r="K11" i="102"/>
  <c r="I11" i="102"/>
  <c r="H11" i="102"/>
  <c r="G11" i="102"/>
  <c r="AR10" i="102"/>
  <c r="AL10" i="102"/>
  <c r="AL11" i="102" s="1"/>
  <c r="AM11" i="102" s="1"/>
  <c r="AN11" i="102" s="1"/>
  <c r="AO11" i="102" s="1"/>
  <c r="AJ10" i="102"/>
  <c r="AI10" i="102"/>
  <c r="AG10" i="102"/>
  <c r="AQ10" i="102" s="1"/>
  <c r="AF10" i="102"/>
  <c r="U10" i="102"/>
  <c r="Q10" i="102"/>
  <c r="O10" i="102"/>
  <c r="P10" i="102" s="1"/>
  <c r="N10" i="102"/>
  <c r="R10" i="102" s="1"/>
  <c r="Z10" i="102" s="1"/>
  <c r="L10" i="102"/>
  <c r="K10" i="102"/>
  <c r="H10" i="102"/>
  <c r="I10" i="102" s="1"/>
  <c r="G10" i="102"/>
  <c r="AR9" i="102"/>
  <c r="AP9" i="102"/>
  <c r="AP10" i="102" s="1"/>
  <c r="AP11" i="102" s="1"/>
  <c r="AP12" i="102" s="1"/>
  <c r="AP13" i="102" s="1"/>
  <c r="AP14" i="102" s="1"/>
  <c r="AP15" i="102" s="1"/>
  <c r="AP16" i="102" s="1"/>
  <c r="AP17" i="102" s="1"/>
  <c r="AP18" i="102" s="1"/>
  <c r="AP19" i="102" s="1"/>
  <c r="AP20" i="102" s="1"/>
  <c r="AP21" i="102" s="1"/>
  <c r="AP22" i="102" s="1"/>
  <c r="AP23" i="102" s="1"/>
  <c r="AP24" i="102" s="1"/>
  <c r="AP25" i="102" s="1"/>
  <c r="AP26" i="102" s="1"/>
  <c r="AP27" i="102" s="1"/>
  <c r="AP28" i="102" s="1"/>
  <c r="AP29" i="102" s="1"/>
  <c r="AP30" i="102" s="1"/>
  <c r="AP31" i="102" s="1"/>
  <c r="AP32" i="102" s="1"/>
  <c r="AP33" i="102" s="1"/>
  <c r="AP34" i="102" s="1"/>
  <c r="AP35" i="102" s="1"/>
  <c r="AP36" i="102" s="1"/>
  <c r="AP37" i="102" s="1"/>
  <c r="AP38" i="102" s="1"/>
  <c r="AP39" i="102" s="1"/>
  <c r="AP40" i="102" s="1"/>
  <c r="AP41" i="102" s="1"/>
  <c r="AP42" i="102" s="1"/>
  <c r="AP43" i="102" s="1"/>
  <c r="AP44" i="102" s="1"/>
  <c r="AJ9" i="102"/>
  <c r="AI9" i="102"/>
  <c r="AH9" i="102"/>
  <c r="AH10" i="102" s="1"/>
  <c r="AH11" i="102" s="1"/>
  <c r="AH12" i="102" s="1"/>
  <c r="AH13" i="102" s="1"/>
  <c r="AH14" i="102" s="1"/>
  <c r="AH15" i="102" s="1"/>
  <c r="AH16" i="102" s="1"/>
  <c r="AH17" i="102" s="1"/>
  <c r="AH18" i="102" s="1"/>
  <c r="AH19" i="102" s="1"/>
  <c r="AH20" i="102" s="1"/>
  <c r="AH21" i="102" s="1"/>
  <c r="AH22" i="102" s="1"/>
  <c r="AH23" i="102" s="1"/>
  <c r="AH24" i="102" s="1"/>
  <c r="AH25" i="102" s="1"/>
  <c r="AH26" i="102" s="1"/>
  <c r="AH27" i="102" s="1"/>
  <c r="AH28" i="102" s="1"/>
  <c r="AH29" i="102" s="1"/>
  <c r="AH30" i="102" s="1"/>
  <c r="AH31" i="102" s="1"/>
  <c r="AH32" i="102" s="1"/>
  <c r="AH33" i="102" s="1"/>
  <c r="AH34" i="102" s="1"/>
  <c r="AH35" i="102" s="1"/>
  <c r="AH36" i="102" s="1"/>
  <c r="AH37" i="102" s="1"/>
  <c r="AH38" i="102" s="1"/>
  <c r="AH39" i="102" s="1"/>
  <c r="AH40" i="102" s="1"/>
  <c r="AH41" i="102" s="1"/>
  <c r="AH42" i="102" s="1"/>
  <c r="AH43" i="102" s="1"/>
  <c r="AH44" i="102" s="1"/>
  <c r="AG9" i="102"/>
  <c r="AQ9" i="102" s="1"/>
  <c r="AF9" i="102"/>
  <c r="U9" i="102"/>
  <c r="T9" i="102"/>
  <c r="Q9" i="102"/>
  <c r="R9" i="102" s="1"/>
  <c r="Z9" i="102" s="1"/>
  <c r="O9" i="102"/>
  <c r="P9" i="102" s="1"/>
  <c r="N9" i="102"/>
  <c r="L9" i="102"/>
  <c r="K9" i="102"/>
  <c r="I9" i="102"/>
  <c r="H9" i="102"/>
  <c r="G9" i="102"/>
  <c r="AS8" i="102"/>
  <c r="AS9" i="102" s="1"/>
  <c r="AS10" i="102" s="1"/>
  <c r="AS11" i="102" s="1"/>
  <c r="AS12" i="102" s="1"/>
  <c r="AS13" i="102" s="1"/>
  <c r="AS14" i="102" s="1"/>
  <c r="AS15" i="102" s="1"/>
  <c r="AS16" i="102" s="1"/>
  <c r="AS17" i="102" s="1"/>
  <c r="AS18" i="102" s="1"/>
  <c r="AS19" i="102" s="1"/>
  <c r="AS20" i="102" s="1"/>
  <c r="AS21" i="102" s="1"/>
  <c r="AS22" i="102" s="1"/>
  <c r="AS23" i="102" s="1"/>
  <c r="AS24" i="102" s="1"/>
  <c r="AS25" i="102" s="1"/>
  <c r="AS26" i="102" s="1"/>
  <c r="AS27" i="102" s="1"/>
  <c r="AS28" i="102" s="1"/>
  <c r="AS29" i="102" s="1"/>
  <c r="AS30" i="102" s="1"/>
  <c r="AS31" i="102" s="1"/>
  <c r="AS32" i="102" s="1"/>
  <c r="AS33" i="102" s="1"/>
  <c r="AS34" i="102" s="1"/>
  <c r="AS35" i="102" s="1"/>
  <c r="AS36" i="102" s="1"/>
  <c r="AS37" i="102" s="1"/>
  <c r="AS38" i="102" s="1"/>
  <c r="AS39" i="102" s="1"/>
  <c r="AS40" i="102" s="1"/>
  <c r="AS41" i="102" s="1"/>
  <c r="AS42" i="102" s="1"/>
  <c r="AS43" i="102" s="1"/>
  <c r="AS44" i="102" s="1"/>
  <c r="AR8" i="102"/>
  <c r="AP8" i="102"/>
  <c r="AM8" i="102"/>
  <c r="AN8" i="102" s="1"/>
  <c r="AO8" i="102" s="1"/>
  <c r="AL8" i="102"/>
  <c r="AL9" i="102" s="1"/>
  <c r="AM9" i="102" s="1"/>
  <c r="AN9" i="102" s="1"/>
  <c r="AO9" i="102" s="1"/>
  <c r="AK8" i="102"/>
  <c r="AK9" i="102" s="1"/>
  <c r="AK10" i="102" s="1"/>
  <c r="AK11" i="102" s="1"/>
  <c r="AK12" i="102" s="1"/>
  <c r="AK13" i="102" s="1"/>
  <c r="AK14" i="102" s="1"/>
  <c r="AK15" i="102" s="1"/>
  <c r="AK16" i="102" s="1"/>
  <c r="AK17" i="102" s="1"/>
  <c r="AK18" i="102" s="1"/>
  <c r="AK19" i="102" s="1"/>
  <c r="AK20" i="102" s="1"/>
  <c r="AK21" i="102" s="1"/>
  <c r="AK22" i="102" s="1"/>
  <c r="AK23" i="102" s="1"/>
  <c r="AK24" i="102" s="1"/>
  <c r="AK25" i="102" s="1"/>
  <c r="AK26" i="102" s="1"/>
  <c r="AK27" i="102" s="1"/>
  <c r="AK28" i="102" s="1"/>
  <c r="AK29" i="102" s="1"/>
  <c r="AK30" i="102" s="1"/>
  <c r="AK31" i="102" s="1"/>
  <c r="AK32" i="102" s="1"/>
  <c r="AK33" i="102" s="1"/>
  <c r="AK34" i="102" s="1"/>
  <c r="AK35" i="102" s="1"/>
  <c r="AK36" i="102" s="1"/>
  <c r="AK37" i="102" s="1"/>
  <c r="AK38" i="102" s="1"/>
  <c r="AK39" i="102" s="1"/>
  <c r="AK40" i="102" s="1"/>
  <c r="AK41" i="102" s="1"/>
  <c r="AK42" i="102" s="1"/>
  <c r="AK43" i="102" s="1"/>
  <c r="AK44" i="102" s="1"/>
  <c r="AJ8" i="102"/>
  <c r="AI8" i="102"/>
  <c r="AH8" i="102"/>
  <c r="AG8" i="102"/>
  <c r="AQ8" i="102" s="1"/>
  <c r="AF8" i="102"/>
  <c r="Q8" i="102"/>
  <c r="O8" i="102"/>
  <c r="P8" i="102" s="1"/>
  <c r="N8" i="102"/>
  <c r="R8" i="102" s="1"/>
  <c r="L8" i="102"/>
  <c r="H8" i="102"/>
  <c r="I8" i="102" s="1"/>
  <c r="G8" i="102"/>
  <c r="K8" i="102" s="1"/>
  <c r="AR7" i="102"/>
  <c r="AM7" i="102"/>
  <c r="AJ7" i="102"/>
  <c r="AI7" i="102"/>
  <c r="AG7" i="102"/>
  <c r="AQ7" i="102" s="1"/>
  <c r="AF7" i="102"/>
  <c r="U7" i="102"/>
  <c r="Q7" i="102"/>
  <c r="P7" i="102"/>
  <c r="P79" i="102" s="1"/>
  <c r="AY2" i="102" s="1"/>
  <c r="O7" i="102"/>
  <c r="N7" i="102"/>
  <c r="L7" i="102"/>
  <c r="H7" i="102"/>
  <c r="I7" i="102" s="1"/>
  <c r="G7" i="102"/>
  <c r="K7" i="102" s="1"/>
  <c r="R7" i="102" s="1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N8" i="99" s="1"/>
  <c r="AO8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AE12" i="45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O13" i="45" l="1"/>
  <c r="AT13" i="45"/>
  <c r="Q13" i="45"/>
  <c r="R13" i="45" s="1"/>
  <c r="W13" i="45" s="1"/>
  <c r="AU13" i="45"/>
  <c r="AC13" i="45"/>
  <c r="AD13" i="45" s="1"/>
  <c r="AL13" i="45" s="1"/>
  <c r="AB13" i="45"/>
  <c r="AK13" i="45" s="1"/>
  <c r="P13" i="45"/>
  <c r="V13" i="45" s="1"/>
  <c r="Y24" i="102"/>
  <c r="Y14" i="102"/>
  <c r="Y18" i="102"/>
  <c r="S7" i="102"/>
  <c r="X7" i="102"/>
  <c r="Z7" i="102"/>
  <c r="T7" i="102"/>
  <c r="X33" i="102"/>
  <c r="Z33" i="102"/>
  <c r="S33" i="102"/>
  <c r="T33" i="102"/>
  <c r="X29" i="102"/>
  <c r="Z29" i="102"/>
  <c r="S29" i="102"/>
  <c r="T29" i="102"/>
  <c r="X34" i="102"/>
  <c r="Z34" i="102"/>
  <c r="T34" i="102"/>
  <c r="S34" i="102"/>
  <c r="X8" i="102"/>
  <c r="S8" i="102"/>
  <c r="Z8" i="102"/>
  <c r="X30" i="102"/>
  <c r="W30" i="102"/>
  <c r="Y33" i="102"/>
  <c r="T10" i="102"/>
  <c r="T12" i="102"/>
  <c r="T14" i="102"/>
  <c r="T16" i="102"/>
  <c r="T18" i="102"/>
  <c r="T20" i="102"/>
  <c r="T22" i="102"/>
  <c r="T24" i="102"/>
  <c r="T26" i="102"/>
  <c r="T28" i="102"/>
  <c r="S30" i="102"/>
  <c r="V30" i="102" s="1"/>
  <c r="R32" i="102"/>
  <c r="X35" i="102"/>
  <c r="Z35" i="102"/>
  <c r="T35" i="102"/>
  <c r="V35" i="102" s="1"/>
  <c r="X36" i="102"/>
  <c r="Z36" i="102"/>
  <c r="T36" i="102"/>
  <c r="X37" i="102"/>
  <c r="W37" i="102"/>
  <c r="T37" i="102"/>
  <c r="Z37" i="102"/>
  <c r="X52" i="102"/>
  <c r="Z52" i="102"/>
  <c r="S52" i="102"/>
  <c r="X64" i="102"/>
  <c r="Z64" i="102"/>
  <c r="U31" i="102"/>
  <c r="V37" i="102"/>
  <c r="V48" i="102"/>
  <c r="W48" i="102" s="1"/>
  <c r="R43" i="102"/>
  <c r="T43" i="102"/>
  <c r="S70" i="102"/>
  <c r="X70" i="102"/>
  <c r="Z70" i="102"/>
  <c r="Y11" i="102"/>
  <c r="X11" i="102"/>
  <c r="W11" i="102"/>
  <c r="X15" i="102"/>
  <c r="X17" i="102"/>
  <c r="X19" i="102"/>
  <c r="X21" i="102"/>
  <c r="X23" i="102"/>
  <c r="X25" i="102"/>
  <c r="X27" i="102"/>
  <c r="W27" i="102"/>
  <c r="R41" i="102"/>
  <c r="T41" i="102"/>
  <c r="X48" i="102"/>
  <c r="Z48" i="102"/>
  <c r="T48" i="102"/>
  <c r="Y8" i="102"/>
  <c r="AM10" i="102"/>
  <c r="AN10" i="102" s="1"/>
  <c r="AO10" i="102" s="1"/>
  <c r="U8" i="102"/>
  <c r="U79" i="102" s="1"/>
  <c r="U81" i="102" s="1"/>
  <c r="T8" i="102"/>
  <c r="Y17" i="102"/>
  <c r="Y29" i="102"/>
  <c r="X38" i="102"/>
  <c r="W38" i="102"/>
  <c r="Z38" i="102"/>
  <c r="S54" i="102"/>
  <c r="X54" i="102"/>
  <c r="Z54" i="102"/>
  <c r="X9" i="102"/>
  <c r="X13" i="102"/>
  <c r="W13" i="102"/>
  <c r="S9" i="102"/>
  <c r="V9" i="102" s="1"/>
  <c r="W9" i="102" s="1"/>
  <c r="S11" i="102"/>
  <c r="V11" i="102" s="1"/>
  <c r="S13" i="102"/>
  <c r="V13" i="102" s="1"/>
  <c r="S15" i="102"/>
  <c r="V15" i="102" s="1"/>
  <c r="W15" i="102" s="1"/>
  <c r="S17" i="102"/>
  <c r="V17" i="102" s="1"/>
  <c r="W17" i="102" s="1"/>
  <c r="S19" i="102"/>
  <c r="V19" i="102" s="1"/>
  <c r="W19" i="102" s="1"/>
  <c r="S21" i="102"/>
  <c r="V21" i="102" s="1"/>
  <c r="W21" i="102" s="1"/>
  <c r="S23" i="102"/>
  <c r="V23" i="102" s="1"/>
  <c r="W23" i="102" s="1"/>
  <c r="S25" i="102"/>
  <c r="V25" i="102" s="1"/>
  <c r="W25" i="102" s="1"/>
  <c r="V27" i="102"/>
  <c r="Y30" i="102"/>
  <c r="T54" i="102"/>
  <c r="U54" i="102"/>
  <c r="AL12" i="102"/>
  <c r="R31" i="102"/>
  <c r="Y7" i="102"/>
  <c r="X10" i="102"/>
  <c r="S10" i="102"/>
  <c r="X12" i="102"/>
  <c r="S12" i="102"/>
  <c r="V12" i="102" s="1"/>
  <c r="X14" i="102"/>
  <c r="S14" i="102"/>
  <c r="V14" i="102" s="1"/>
  <c r="X16" i="102"/>
  <c r="S16" i="102"/>
  <c r="V16" i="102" s="1"/>
  <c r="X18" i="102"/>
  <c r="S18" i="102"/>
  <c r="X20" i="102"/>
  <c r="S20" i="102"/>
  <c r="V20" i="102" s="1"/>
  <c r="X22" i="102"/>
  <c r="S22" i="102"/>
  <c r="X24" i="102"/>
  <c r="S24" i="102"/>
  <c r="V24" i="102" s="1"/>
  <c r="X26" i="102"/>
  <c r="S26" i="102"/>
  <c r="X28" i="102"/>
  <c r="S28" i="102"/>
  <c r="Y34" i="102"/>
  <c r="Y35" i="102"/>
  <c r="Y36" i="102"/>
  <c r="Y37" i="102"/>
  <c r="X40" i="102"/>
  <c r="S40" i="102"/>
  <c r="V40" i="102" s="1"/>
  <c r="W40" i="102" s="1"/>
  <c r="V60" i="102"/>
  <c r="U73" i="102"/>
  <c r="R73" i="102"/>
  <c r="R45" i="102"/>
  <c r="T45" i="102"/>
  <c r="R51" i="102"/>
  <c r="Y54" i="102"/>
  <c r="Z59" i="102"/>
  <c r="S59" i="102"/>
  <c r="Y59" i="102" s="1"/>
  <c r="T59" i="102"/>
  <c r="X59" i="102"/>
  <c r="U57" i="102"/>
  <c r="R57" i="102"/>
  <c r="T57" i="102" s="1"/>
  <c r="Z63" i="102"/>
  <c r="S63" i="102"/>
  <c r="T63" i="102"/>
  <c r="X68" i="102"/>
  <c r="Z68" i="102"/>
  <c r="R72" i="102"/>
  <c r="X76" i="102"/>
  <c r="Z76" i="102"/>
  <c r="S76" i="102"/>
  <c r="Y49" i="102"/>
  <c r="S62" i="102"/>
  <c r="X62" i="102"/>
  <c r="S68" i="102"/>
  <c r="Y63" i="102"/>
  <c r="S66" i="102"/>
  <c r="X66" i="102"/>
  <c r="Z66" i="102"/>
  <c r="R46" i="102"/>
  <c r="T46" i="102" s="1"/>
  <c r="R50" i="102"/>
  <c r="Z62" i="102"/>
  <c r="S49" i="102"/>
  <c r="V49" i="102" s="1"/>
  <c r="T52" i="102"/>
  <c r="R56" i="102"/>
  <c r="T56" i="102" s="1"/>
  <c r="R67" i="102"/>
  <c r="S74" i="102"/>
  <c r="V74" i="102" s="1"/>
  <c r="Z74" i="102"/>
  <c r="X74" i="102"/>
  <c r="X44" i="102"/>
  <c r="Y48" i="102"/>
  <c r="R58" i="102"/>
  <c r="X60" i="102"/>
  <c r="Y70" i="102"/>
  <c r="Y74" i="102"/>
  <c r="R39" i="102"/>
  <c r="T39" i="102"/>
  <c r="AN7" i="102"/>
  <c r="AO7" i="102" s="1"/>
  <c r="Y38" i="102"/>
  <c r="R42" i="102"/>
  <c r="S44" i="102"/>
  <c r="V44" i="102" s="1"/>
  <c r="W44" i="102" s="1"/>
  <c r="W49" i="102"/>
  <c r="X63" i="102"/>
  <c r="T70" i="102"/>
  <c r="U70" i="102"/>
  <c r="T74" i="102"/>
  <c r="W74" i="102" s="1"/>
  <c r="U74" i="102"/>
  <c r="U53" i="102"/>
  <c r="R53" i="102"/>
  <c r="T64" i="102"/>
  <c r="T66" i="102"/>
  <c r="U66" i="102"/>
  <c r="U69" i="102"/>
  <c r="R69" i="102"/>
  <c r="T76" i="102"/>
  <c r="U78" i="102"/>
  <c r="R47" i="102"/>
  <c r="U61" i="102"/>
  <c r="R61" i="102"/>
  <c r="R71" i="102"/>
  <c r="R75" i="102"/>
  <c r="T58" i="102"/>
  <c r="U58" i="102"/>
  <c r="Y60" i="102"/>
  <c r="U65" i="102"/>
  <c r="R65" i="102"/>
  <c r="R78" i="102"/>
  <c r="T78" i="102" s="1"/>
  <c r="U50" i="102"/>
  <c r="R55" i="102"/>
  <c r="T60" i="102"/>
  <c r="W60" i="102" s="1"/>
  <c r="T62" i="102"/>
  <c r="U62" i="102"/>
  <c r="Y64" i="102"/>
  <c r="T68" i="102"/>
  <c r="U77" i="102"/>
  <c r="T77" i="102"/>
  <c r="R77" i="102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AW13" i="45" l="1"/>
  <c r="AZ13" i="45" s="1"/>
  <c r="X13" i="45"/>
  <c r="AA13" i="45"/>
  <c r="AP13" i="45"/>
  <c r="AM13" i="45"/>
  <c r="W7" i="102"/>
  <c r="W59" i="102"/>
  <c r="W68" i="102"/>
  <c r="W64" i="102"/>
  <c r="W34" i="102"/>
  <c r="W54" i="102"/>
  <c r="Z47" i="102"/>
  <c r="X47" i="102"/>
  <c r="T47" i="102"/>
  <c r="S47" i="102"/>
  <c r="S58" i="102"/>
  <c r="X58" i="102"/>
  <c r="Z58" i="102"/>
  <c r="Y68" i="102"/>
  <c r="V68" i="102"/>
  <c r="X72" i="102"/>
  <c r="S72" i="102"/>
  <c r="Z72" i="102"/>
  <c r="X31" i="102"/>
  <c r="S31" i="102"/>
  <c r="Z31" i="102"/>
  <c r="R79" i="102"/>
  <c r="Z53" i="102"/>
  <c r="X53" i="102"/>
  <c r="S53" i="102"/>
  <c r="T53" i="102"/>
  <c r="X39" i="102"/>
  <c r="S39" i="102"/>
  <c r="Z39" i="102"/>
  <c r="T72" i="102"/>
  <c r="V22" i="102"/>
  <c r="AL13" i="102"/>
  <c r="AM12" i="102"/>
  <c r="AN12" i="102" s="1"/>
  <c r="AO12" i="102" s="1"/>
  <c r="V54" i="102"/>
  <c r="Y15" i="102"/>
  <c r="Y9" i="102"/>
  <c r="X43" i="102"/>
  <c r="S43" i="102"/>
  <c r="Z43" i="102"/>
  <c r="W35" i="102"/>
  <c r="W24" i="102"/>
  <c r="V64" i="102"/>
  <c r="V34" i="102"/>
  <c r="V29" i="102"/>
  <c r="W29" i="102" s="1"/>
  <c r="Y22" i="102"/>
  <c r="Y62" i="102"/>
  <c r="V62" i="102"/>
  <c r="W62" i="102" s="1"/>
  <c r="Z46" i="102"/>
  <c r="X46" i="102"/>
  <c r="S46" i="102"/>
  <c r="W20" i="102"/>
  <c r="Z69" i="102"/>
  <c r="T69" i="102"/>
  <c r="S69" i="102"/>
  <c r="X69" i="102"/>
  <c r="X41" i="102"/>
  <c r="S41" i="102"/>
  <c r="Z41" i="102"/>
  <c r="X32" i="102"/>
  <c r="S32" i="102"/>
  <c r="Z32" i="102"/>
  <c r="T32" i="102"/>
  <c r="Y40" i="102"/>
  <c r="X45" i="102"/>
  <c r="S45" i="102"/>
  <c r="Z45" i="102"/>
  <c r="V26" i="102"/>
  <c r="W26" i="102" s="1"/>
  <c r="Y26" i="102"/>
  <c r="V18" i="102"/>
  <c r="W18" i="102" s="1"/>
  <c r="V10" i="102"/>
  <c r="W10" i="102" s="1"/>
  <c r="Y25" i="102"/>
  <c r="V70" i="102"/>
  <c r="W70" i="102" s="1"/>
  <c r="V36" i="102"/>
  <c r="W36" i="102" s="1"/>
  <c r="W16" i="102"/>
  <c r="Y20" i="102"/>
  <c r="Z75" i="102"/>
  <c r="X75" i="102"/>
  <c r="S75" i="102"/>
  <c r="T75" i="102"/>
  <c r="W22" i="102"/>
  <c r="Z71" i="102"/>
  <c r="S71" i="102"/>
  <c r="X71" i="102"/>
  <c r="T71" i="102"/>
  <c r="Z67" i="102"/>
  <c r="S67" i="102"/>
  <c r="T67" i="102"/>
  <c r="X67" i="102"/>
  <c r="Z51" i="102"/>
  <c r="T51" i="102"/>
  <c r="S51" i="102"/>
  <c r="X51" i="102"/>
  <c r="Z61" i="102"/>
  <c r="T61" i="102"/>
  <c r="S61" i="102"/>
  <c r="X61" i="102"/>
  <c r="X42" i="102"/>
  <c r="T42" i="102"/>
  <c r="Z42" i="102"/>
  <c r="S42" i="102"/>
  <c r="X56" i="102"/>
  <c r="S56" i="102"/>
  <c r="Z56" i="102"/>
  <c r="V76" i="102"/>
  <c r="W76" i="102" s="1"/>
  <c r="Y76" i="102"/>
  <c r="Y52" i="102"/>
  <c r="V52" i="102"/>
  <c r="W52" i="102" s="1"/>
  <c r="Y66" i="102"/>
  <c r="V66" i="102"/>
  <c r="W66" i="102" s="1"/>
  <c r="Z73" i="102"/>
  <c r="X73" i="102"/>
  <c r="S73" i="102"/>
  <c r="Y23" i="102"/>
  <c r="Y21" i="102"/>
  <c r="W14" i="102"/>
  <c r="V8" i="102"/>
  <c r="W8" i="102" s="1"/>
  <c r="Y10" i="102"/>
  <c r="V33" i="102"/>
  <c r="W33" i="102" s="1"/>
  <c r="Y16" i="102"/>
  <c r="S78" i="102"/>
  <c r="Z78" i="102"/>
  <c r="X78" i="102"/>
  <c r="S50" i="102"/>
  <c r="Z50" i="102"/>
  <c r="X50" i="102"/>
  <c r="Z57" i="102"/>
  <c r="X57" i="102"/>
  <c r="S57" i="102"/>
  <c r="V28" i="102"/>
  <c r="W28" i="102" s="1"/>
  <c r="Y28" i="102"/>
  <c r="Z65" i="102"/>
  <c r="S65" i="102"/>
  <c r="T65" i="102"/>
  <c r="X65" i="102"/>
  <c r="Z77" i="102"/>
  <c r="S77" i="102"/>
  <c r="X77" i="102"/>
  <c r="Z55" i="102"/>
  <c r="X55" i="102"/>
  <c r="T55" i="102"/>
  <c r="S55" i="102"/>
  <c r="T50" i="102"/>
  <c r="Y44" i="102"/>
  <c r="V63" i="102"/>
  <c r="W63" i="102" s="1"/>
  <c r="V59" i="102"/>
  <c r="T73" i="102"/>
  <c r="Y19" i="102"/>
  <c r="Y13" i="102"/>
  <c r="T31" i="102"/>
  <c r="W12" i="102"/>
  <c r="V7" i="102"/>
  <c r="Y12" i="102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AS13" i="45" l="1"/>
  <c r="AQ13" i="45"/>
  <c r="AR13" i="45"/>
  <c r="W61" i="102"/>
  <c r="W31" i="102"/>
  <c r="W32" i="102"/>
  <c r="W47" i="102"/>
  <c r="V77" i="102"/>
  <c r="W77" i="102" s="1"/>
  <c r="Y77" i="102"/>
  <c r="T79" i="102"/>
  <c r="AX2" i="102" s="1"/>
  <c r="P82" i="102" s="1"/>
  <c r="V32" i="102"/>
  <c r="Y32" i="102"/>
  <c r="AM13" i="102"/>
  <c r="AL14" i="102"/>
  <c r="V53" i="102"/>
  <c r="W53" i="102" s="1"/>
  <c r="Y53" i="102"/>
  <c r="V67" i="102"/>
  <c r="W67" i="102" s="1"/>
  <c r="Y67" i="102"/>
  <c r="V45" i="102"/>
  <c r="W45" i="102" s="1"/>
  <c r="Y45" i="102"/>
  <c r="V31" i="102"/>
  <c r="Y31" i="102"/>
  <c r="V55" i="102"/>
  <c r="W55" i="102" s="1"/>
  <c r="Y55" i="102"/>
  <c r="V43" i="102"/>
  <c r="W43" i="102" s="1"/>
  <c r="Y43" i="102"/>
  <c r="V57" i="102"/>
  <c r="W57" i="102" s="1"/>
  <c r="Y57" i="102"/>
  <c r="V51" i="102"/>
  <c r="W51" i="102" s="1"/>
  <c r="Y51" i="102"/>
  <c r="V75" i="102"/>
  <c r="W75" i="102" s="1"/>
  <c r="Y75" i="102"/>
  <c r="Y72" i="102"/>
  <c r="V72" i="102"/>
  <c r="W72" i="102" s="1"/>
  <c r="V58" i="102"/>
  <c r="W58" i="102" s="1"/>
  <c r="Y58" i="102"/>
  <c r="V65" i="102"/>
  <c r="W65" i="102" s="1"/>
  <c r="Y65" i="102"/>
  <c r="V61" i="102"/>
  <c r="Y61" i="102"/>
  <c r="V46" i="102"/>
  <c r="W46" i="102" s="1"/>
  <c r="Y46" i="102"/>
  <c r="Y39" i="102"/>
  <c r="V39" i="102"/>
  <c r="W39" i="102" s="1"/>
  <c r="V47" i="102"/>
  <c r="Y47" i="102"/>
  <c r="V50" i="102"/>
  <c r="W50" i="102" s="1"/>
  <c r="Y50" i="102"/>
  <c r="V56" i="102"/>
  <c r="W56" i="102" s="1"/>
  <c r="Y56" i="102"/>
  <c r="V41" i="102"/>
  <c r="W41" i="102" s="1"/>
  <c r="Y41" i="102"/>
  <c r="Y78" i="102"/>
  <c r="V78" i="102"/>
  <c r="W78" i="102" s="1"/>
  <c r="V73" i="102"/>
  <c r="W73" i="102" s="1"/>
  <c r="Y73" i="102"/>
  <c r="V71" i="102"/>
  <c r="W71" i="102" s="1"/>
  <c r="Y71" i="102"/>
  <c r="S79" i="102"/>
  <c r="AW2" i="102" s="1"/>
  <c r="V42" i="102"/>
  <c r="W42" i="102" s="1"/>
  <c r="Y42" i="102"/>
  <c r="V69" i="102"/>
  <c r="W69" i="102" s="1"/>
  <c r="Y69" i="102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V79" i="102" l="1"/>
  <c r="V81" i="102" s="1"/>
  <c r="AN13" i="102"/>
  <c r="AO13" i="102" s="1"/>
  <c r="AL15" i="102"/>
  <c r="AM14" i="102"/>
  <c r="AN14" i="102" s="1"/>
  <c r="AO14" i="102" s="1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AM15" i="102" l="1"/>
  <c r="AN15" i="102" s="1"/>
  <c r="AO15" i="102" s="1"/>
  <c r="AL16" i="102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L17" i="102" l="1"/>
  <c r="AM16" i="102"/>
  <c r="AN16" i="102" s="1"/>
  <c r="AO16" i="102" s="1"/>
  <c r="AM14" i="99"/>
  <c r="AL15" i="99"/>
  <c r="P79" i="48"/>
  <c r="AY2" i="48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5" i="48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M17" i="102" l="1"/>
  <c r="AN17" i="102" s="1"/>
  <c r="AO17" i="102" s="1"/>
  <c r="AL18" i="102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H12" i="45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L19" i="102" l="1"/>
  <c r="AM18" i="102"/>
  <c r="AN18" i="102" s="1"/>
  <c r="AO18" i="102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T79" i="48"/>
  <c r="AX2" i="48" s="1"/>
  <c r="AG31" i="48"/>
  <c r="AQ31" i="48" s="1"/>
  <c r="AG26" i="48"/>
  <c r="AQ26" i="48" s="1"/>
  <c r="AG22" i="48"/>
  <c r="AQ22" i="48" s="1"/>
  <c r="AG25" i="48"/>
  <c r="AQ25" i="48" s="1"/>
  <c r="AG8" i="48"/>
  <c r="AQ8" i="48" s="1"/>
  <c r="AM7" i="48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M19" i="102" l="1"/>
  <c r="AN19" i="102" s="1"/>
  <c r="AO19" i="102" s="1"/>
  <c r="AL20" i="102"/>
  <c r="AL18" i="99"/>
  <c r="AM17" i="99"/>
  <c r="AN17" i="99" s="1"/>
  <c r="AO17" i="99" s="1"/>
  <c r="D12" i="45"/>
  <c r="B12" i="45"/>
  <c r="B14" i="45" s="1"/>
  <c r="W7" i="48"/>
  <c r="V79" i="48"/>
  <c r="V81" i="48" s="1"/>
  <c r="AN7" i="48"/>
  <c r="AO7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21" i="102" l="1"/>
  <c r="AM20" i="102"/>
  <c r="AN20" i="102" s="1"/>
  <c r="AO20" i="102" s="1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M21" i="102" l="1"/>
  <c r="AN21" i="102" s="1"/>
  <c r="AO21" i="102" s="1"/>
  <c r="AL22" i="102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AU12" i="45"/>
  <c r="N7" i="63"/>
  <c r="AL23" i="102" l="1"/>
  <c r="AM22" i="102"/>
  <c r="AN22" i="102" s="1"/>
  <c r="AO22" i="102" s="1"/>
  <c r="AM20" i="99"/>
  <c r="AN20" i="99" s="1"/>
  <c r="AO20" i="99" s="1"/>
  <c r="AL21" i="99"/>
  <c r="AA14" i="45"/>
  <c r="N8" i="63"/>
  <c r="AK20" i="48"/>
  <c r="AM19" i="48"/>
  <c r="AN19" i="48" s="1"/>
  <c r="AO19" i="48" s="1"/>
  <c r="AL23" i="48"/>
  <c r="AM12" i="45"/>
  <c r="AR12" i="45" s="1"/>
  <c r="AP12" i="45"/>
  <c r="X12" i="45"/>
  <c r="AW12" i="45"/>
  <c r="AW14" i="45" s="1"/>
  <c r="AM23" i="102" l="1"/>
  <c r="AN23" i="102" s="1"/>
  <c r="AO23" i="102" s="1"/>
  <c r="AL24" i="102"/>
  <c r="AL22" i="99"/>
  <c r="AM21" i="99"/>
  <c r="AN21" i="99" s="1"/>
  <c r="AO21" i="99" s="1"/>
  <c r="AP14" i="45"/>
  <c r="AS12" i="45"/>
  <c r="AS14" i="45" s="1"/>
  <c r="K5" i="64" s="1"/>
  <c r="AL24" i="48"/>
  <c r="AK21" i="48"/>
  <c r="AM20" i="48"/>
  <c r="AN20" i="48" s="1"/>
  <c r="AO20" i="48" s="1"/>
  <c r="AQ12" i="45"/>
  <c r="AQ14" i="45" s="1"/>
  <c r="K4" i="64" s="1"/>
  <c r="AZ12" i="45"/>
  <c r="AZ14" i="45" s="1"/>
  <c r="AL25" i="102" l="1"/>
  <c r="AM24" i="102"/>
  <c r="AN24" i="102" s="1"/>
  <c r="AO24" i="102" s="1"/>
  <c r="AM22" i="99"/>
  <c r="AN22" i="99" s="1"/>
  <c r="AO22" i="99" s="1"/>
  <c r="AL23" i="99"/>
  <c r="AK22" i="48"/>
  <c r="AM21" i="48"/>
  <c r="AN21" i="48" s="1"/>
  <c r="AO21" i="48" s="1"/>
  <c r="AL25" i="48"/>
  <c r="AM25" i="102" l="1"/>
  <c r="AN25" i="102" s="1"/>
  <c r="AO25" i="102" s="1"/>
  <c r="AL26" i="102"/>
  <c r="AL24" i="99"/>
  <c r="AM23" i="99"/>
  <c r="AN23" i="99" s="1"/>
  <c r="AO23" i="99" s="1"/>
  <c r="AL26" i="48"/>
  <c r="AK23" i="48"/>
  <c r="AM22" i="48"/>
  <c r="AN22" i="48" s="1"/>
  <c r="AO22" i="48" s="1"/>
  <c r="AL27" i="102" l="1"/>
  <c r="AM26" i="102"/>
  <c r="AN26" i="102" s="1"/>
  <c r="AO26" i="102" s="1"/>
  <c r="AM24" i="99"/>
  <c r="AN24" i="99" s="1"/>
  <c r="AO24" i="99" s="1"/>
  <c r="AL25" i="99"/>
  <c r="AK24" i="48"/>
  <c r="AM23" i="48"/>
  <c r="AN23" i="48" s="1"/>
  <c r="AO23" i="48" s="1"/>
  <c r="AL27" i="48"/>
  <c r="AM27" i="102" l="1"/>
  <c r="AN27" i="102" s="1"/>
  <c r="AO27" i="102" s="1"/>
  <c r="AL28" i="102"/>
  <c r="AL26" i="99"/>
  <c r="AM25" i="99"/>
  <c r="AN25" i="99" s="1"/>
  <c r="AO25" i="99" s="1"/>
  <c r="AL28" i="48"/>
  <c r="AK25" i="48"/>
  <c r="AM24" i="48"/>
  <c r="AN24" i="48" s="1"/>
  <c r="AO24" i="48" s="1"/>
  <c r="AM28" i="102" l="1"/>
  <c r="AN28" i="102" s="1"/>
  <c r="AO28" i="102" s="1"/>
  <c r="AL29" i="102"/>
  <c r="AL27" i="99"/>
  <c r="AM26" i="99"/>
  <c r="AN26" i="99" s="1"/>
  <c r="AO26" i="99" s="1"/>
  <c r="AK26" i="48"/>
  <c r="AM25" i="48"/>
  <c r="AN25" i="48" s="1"/>
  <c r="AO25" i="48" s="1"/>
  <c r="AL29" i="48"/>
  <c r="AL30" i="102" l="1"/>
  <c r="AM29" i="102"/>
  <c r="AN29" i="102" s="1"/>
  <c r="AO29" i="102" s="1"/>
  <c r="AL28" i="99"/>
  <c r="AM27" i="99"/>
  <c r="AN27" i="99" s="1"/>
  <c r="AO27" i="99" s="1"/>
  <c r="AL30" i="48"/>
  <c r="AK27" i="48"/>
  <c r="AM26" i="48"/>
  <c r="AN26" i="48" s="1"/>
  <c r="AO26" i="48" s="1"/>
  <c r="AM30" i="102" l="1"/>
  <c r="AN30" i="102" s="1"/>
  <c r="AO30" i="102" s="1"/>
  <c r="AL31" i="102"/>
  <c r="AL29" i="99"/>
  <c r="AM28" i="99"/>
  <c r="AN28" i="99" s="1"/>
  <c r="AO28" i="99" s="1"/>
  <c r="AK28" i="48"/>
  <c r="AM27" i="48"/>
  <c r="AN27" i="48" s="1"/>
  <c r="AO27" i="48" s="1"/>
  <c r="AL31" i="48"/>
  <c r="AM31" i="102" l="1"/>
  <c r="AN31" i="102" s="1"/>
  <c r="AO31" i="102" s="1"/>
  <c r="AL32" i="102"/>
  <c r="AL30" i="99"/>
  <c r="AM29" i="99"/>
  <c r="AN29" i="99" s="1"/>
  <c r="AO29" i="99" s="1"/>
  <c r="AL32" i="48"/>
  <c r="AK29" i="48"/>
  <c r="AM28" i="48"/>
  <c r="AN28" i="48" s="1"/>
  <c r="AO28" i="48" s="1"/>
  <c r="AL33" i="102" l="1"/>
  <c r="AM32" i="102"/>
  <c r="AN32" i="102" s="1"/>
  <c r="AO32" i="102" s="1"/>
  <c r="AL31" i="99"/>
  <c r="AM30" i="99"/>
  <c r="AN30" i="99" s="1"/>
  <c r="AO30" i="99" s="1"/>
  <c r="AK30" i="48"/>
  <c r="AM29" i="48"/>
  <c r="AN29" i="48" s="1"/>
  <c r="AO29" i="48" s="1"/>
  <c r="AL33" i="48"/>
  <c r="AL34" i="102" l="1"/>
  <c r="AM33" i="102"/>
  <c r="AN33" i="102" s="1"/>
  <c r="AO33" i="102" s="1"/>
  <c r="AL32" i="99"/>
  <c r="AM31" i="99"/>
  <c r="AN31" i="99" s="1"/>
  <c r="AO31" i="99" s="1"/>
  <c r="AL34" i="48"/>
  <c r="AK31" i="48"/>
  <c r="AM30" i="48"/>
  <c r="AN30" i="48" s="1"/>
  <c r="AO30" i="48" s="1"/>
  <c r="AL35" i="102" l="1"/>
  <c r="AM34" i="102"/>
  <c r="AN34" i="102" s="1"/>
  <c r="AO34" i="102" s="1"/>
  <c r="AM32" i="99"/>
  <c r="AN32" i="99" s="1"/>
  <c r="AO32" i="99" s="1"/>
  <c r="AL33" i="99"/>
  <c r="AK32" i="48"/>
  <c r="AM31" i="48"/>
  <c r="AN31" i="48" s="1"/>
  <c r="AO31" i="48" s="1"/>
  <c r="AL35" i="48"/>
  <c r="AL36" i="102" l="1"/>
  <c r="AM35" i="102"/>
  <c r="AN35" i="102" s="1"/>
  <c r="AO35" i="102" s="1"/>
  <c r="AL34" i="99"/>
  <c r="AM33" i="99"/>
  <c r="AN33" i="99" s="1"/>
  <c r="AO33" i="99" s="1"/>
  <c r="AL36" i="48"/>
  <c r="AK33" i="48"/>
  <c r="AM32" i="48"/>
  <c r="AN32" i="48" s="1"/>
  <c r="AO32" i="48" s="1"/>
  <c r="AL37" i="102" l="1"/>
  <c r="AM36" i="102"/>
  <c r="AN36" i="102" s="1"/>
  <c r="AO36" i="102" s="1"/>
  <c r="AL35" i="99"/>
  <c r="AM34" i="99"/>
  <c r="AN34" i="99" s="1"/>
  <c r="AO34" i="99" s="1"/>
  <c r="AK34" i="48"/>
  <c r="AM33" i="48"/>
  <c r="AN33" i="48" s="1"/>
  <c r="AO33" i="48" s="1"/>
  <c r="AL37" i="48"/>
  <c r="AL38" i="102" l="1"/>
  <c r="AM37" i="102"/>
  <c r="AN37" i="102" s="1"/>
  <c r="AO37" i="102" s="1"/>
  <c r="AL36" i="99"/>
  <c r="AM35" i="99"/>
  <c r="AN35" i="99" s="1"/>
  <c r="AO35" i="99" s="1"/>
  <c r="AL38" i="48"/>
  <c r="AK35" i="48"/>
  <c r="AM34" i="48"/>
  <c r="AN34" i="48" s="1"/>
  <c r="AO34" i="48" s="1"/>
  <c r="AM38" i="102" l="1"/>
  <c r="AN38" i="102" s="1"/>
  <c r="AO38" i="102" s="1"/>
  <c r="AL39" i="102"/>
  <c r="AL37" i="99"/>
  <c r="AM36" i="99"/>
  <c r="AN36" i="99" s="1"/>
  <c r="AO36" i="99" s="1"/>
  <c r="AK36" i="48"/>
  <c r="AM35" i="48"/>
  <c r="AN35" i="48" s="1"/>
  <c r="AO35" i="48" s="1"/>
  <c r="AL39" i="48"/>
  <c r="AL40" i="102" l="1"/>
  <c r="AM39" i="102"/>
  <c r="AN39" i="102" s="1"/>
  <c r="AO39" i="102" s="1"/>
  <c r="AM37" i="99"/>
  <c r="AN37" i="99" s="1"/>
  <c r="AO37" i="99" s="1"/>
  <c r="AL38" i="99"/>
  <c r="AL40" i="48"/>
  <c r="AK37" i="48"/>
  <c r="AM36" i="48"/>
  <c r="AN36" i="48" s="1"/>
  <c r="AO36" i="48" s="1"/>
  <c r="AM40" i="102" l="1"/>
  <c r="AN40" i="102" s="1"/>
  <c r="AO40" i="102" s="1"/>
  <c r="AL41" i="102"/>
  <c r="AM38" i="99"/>
  <c r="AN38" i="99" s="1"/>
  <c r="AO38" i="99" s="1"/>
  <c r="AL39" i="99"/>
  <c r="AK38" i="48"/>
  <c r="AM37" i="48"/>
  <c r="AN37" i="48" s="1"/>
  <c r="AO37" i="48" s="1"/>
  <c r="AL41" i="48"/>
  <c r="AL42" i="102" l="1"/>
  <c r="AM41" i="102"/>
  <c r="AN41" i="102" s="1"/>
  <c r="AO41" i="102" s="1"/>
  <c r="AM39" i="99"/>
  <c r="AN39" i="99" s="1"/>
  <c r="AO39" i="99" s="1"/>
  <c r="AL40" i="99"/>
  <c r="AL42" i="48"/>
  <c r="AK39" i="48"/>
  <c r="AM38" i="48"/>
  <c r="AN38" i="48" s="1"/>
  <c r="AO38" i="48" s="1"/>
  <c r="AM42" i="102" l="1"/>
  <c r="AN42" i="102" s="1"/>
  <c r="AO42" i="102" s="1"/>
  <c r="AL43" i="102"/>
  <c r="AM40" i="99"/>
  <c r="AN40" i="99" s="1"/>
  <c r="AO40" i="99" s="1"/>
  <c r="AL41" i="99"/>
  <c r="AK40" i="48"/>
  <c r="AM39" i="48"/>
  <c r="AN39" i="48" s="1"/>
  <c r="AO39" i="48" s="1"/>
  <c r="AL43" i="48"/>
  <c r="AL44" i="48" s="1"/>
  <c r="AL44" i="102" l="1"/>
  <c r="AM44" i="102" s="1"/>
  <c r="AM43" i="102"/>
  <c r="AN43" i="102" s="1"/>
  <c r="AO43" i="102" s="1"/>
  <c r="AM41" i="99"/>
  <c r="AN41" i="99" s="1"/>
  <c r="AO41" i="99" s="1"/>
  <c r="AL42" i="99"/>
  <c r="AK41" i="48"/>
  <c r="AM40" i="48"/>
  <c r="AN40" i="48" s="1"/>
  <c r="AO40" i="48" s="1"/>
  <c r="AN44" i="102" l="1"/>
  <c r="AO44" i="102" s="1"/>
  <c r="AO45" i="102" s="1"/>
  <c r="BA2" i="102" s="1"/>
  <c r="AM45" i="102"/>
  <c r="BB2" i="102" s="1"/>
  <c r="AM42" i="99"/>
  <c r="AN42" i="99" s="1"/>
  <c r="AO42" i="99" s="1"/>
  <c r="AL43" i="99"/>
  <c r="AK42" i="48"/>
  <c r="AM41" i="48"/>
  <c r="AN41" i="48" s="1"/>
  <c r="AO41" i="48" s="1"/>
  <c r="AM43" i="99" l="1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99" l="1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4" i="45" l="1"/>
  <c r="K6" i="64" s="1"/>
  <c r="BE14" i="45"/>
  <c r="K7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7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tc={FDC006C2-572A-9A4A-BECF-70EE873AB92F}</author>
    <author>tc={F73EAE09-E266-C146-AE12-4FE3D52D5264}</author>
    <author>tc={D8E9BB69-ADEC-DE40-B9D0-2C45BBE11980}</author>
    <author>tc={13652258-8D47-2F45-944C-1BE34E2EFBAB}</author>
    <author>tc={F88E1B68-E5FC-8A43-AD2C-0DA1B4D61207}</author>
    <author>tc={69F22033-AE0C-2448-B829-E8D728F9D3DD}</author>
    <author>tc={B96FD918-2090-9C46-BE82-2A53D855965E}</author>
    <author>tc={0B2915EF-F940-F24D-BAB6-1D79BA0963D8}</author>
    <author>tc={94C3A7AD-2265-B344-B052-C5FECA2DD46C}</author>
    <author>tc={37B832F3-3F20-4B41-B6A6-9CE0491B53BB}</author>
    <author>tc={D32E6257-936E-D748-98B9-62D94B975F96}</author>
    <author>tc={C0819507-112C-584A-806B-785D603EB79B}</author>
  </authors>
  <commentList>
    <comment ref="B6" authorId="0" shapeId="0" xr:uid="{FDC006C2-572A-9A4A-BECF-70EE873AB92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73EAE09-E266-C146-AE12-4FE3D52D526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D8E9BB69-ADEC-DE40-B9D0-2C45BBE119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13652258-8D47-2F45-944C-1BE34E2EFBA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F88E1B68-E5FC-8A43-AD2C-0DA1B4D6120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69F22033-AE0C-2448-B829-E8D728F9D3D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B96FD918-2090-9C46-BE82-2A53D85596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0B2915EF-F940-F24D-BAB6-1D79BA0963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94C3A7AD-2265-B344-B052-C5FECA2DD46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37B832F3-3F20-4B41-B6A6-9CE0491B53BB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D32E6257-936E-D748-98B9-62D94B975F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C0819507-112C-584A-806B-785D603EB79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<sst xmlns="http://schemas.openxmlformats.org/spreadsheetml/2006/main" count="1408" uniqueCount="400">
  <si>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</si>
  <si>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</si>
  <si>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</si>
  <si>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</si>
  <si>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</si>
  <si>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</si>
  <si>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</si>
  <si>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</si>
  <si>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</si>
  <si>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</si>
  <si>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</si>
  <si>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</si>
  <si>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</si>
  <si>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</si>
  <si>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</si>
  <si>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</si>
  <si>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</si>
  <si>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</si>
  <si>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</si>
  <si>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</si>
  <si>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</si>
  <si>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</si>
  <si>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</si>
  <si>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</si>
  <si>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</si>
  <si>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</si>
  <si>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</si>
  <si>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</si>
  <si>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</si>
  <si>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</si>
  <si>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</si>
  <si>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</si>
  <si>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</si>
  <si>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</si>
  <si>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</si>
  <si>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</si>
  <si>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</si>
  <si>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</si>
  <si>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</si>
  <si>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</si>
  <si>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</si>
  <si>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</si>
  <si>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</si>
  <si>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</si>
  <si>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</si>
  <si>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</si>
  <si>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</si>
  <si>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</si>
  <si>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</si>
  <si>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</si>
  <si>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</si>
  <si>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</si>
  <si>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</si>
  <si>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</si>
  <si>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</si>
  <si>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</si>
  <si>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</si>
  <si>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</si>
  <si>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</si>
  <si>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</si>
  <si>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</si>
  <si>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</si>
  <si>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</si>
  <si>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</si>
  <si>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</si>
  <si>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</si>
  <si>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</si>
  <si>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</si>
  <si>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</si>
  <si>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</si>
  <si>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</si>
  <si>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</si>
  <si>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</si>
  <si>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</si>
  <si>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</si>
  <si>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</si>
  <si>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</si>
  <si>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</si>
  <si>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</si>
  <si>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</si>
  <si>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</si>
  <si>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</si>
  <si>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</si>
  <si>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</si>
  <si>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</si>
  <si>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</si>
  <si>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</si>
  <si>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</si>
  <si>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</si>
  <si>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</si>
  <si>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</si>
  <si>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</si>
  <si>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</si>
  <si>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</si>
  <si>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</si>
  <si>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</si>
  <si>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</si>
  <si>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</si>
  <si>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</si>
  <si>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</si>
  <si>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</si>
  <si>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</si>
  <si>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</si>
  <si>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</si>
  <si>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</si>
  <si>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</si>
  <si>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</si>
  <si>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</si>
  <si>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</si>
  <si>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</si>
  <si>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</si>
  <si>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</si>
  <si>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</si>
  <si>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</si>
  <si>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</si>
  <si>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</si>
  <si>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</si>
  <si>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</si>
  <si>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</si>
  <si>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</si>
  <si>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</si>
  <si>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</si>
  <si>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</si>
  <si>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</si>
  <si>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</si>
  <si>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</si>
  <si>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</si>
  <si>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</si>
  <si>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</si>
  <si>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</si>
  <si>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</si>
  <si>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</si>
  <si>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</si>
  <si>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</si>
  <si>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</si>
  <si>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</si>
  <si>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</si>
  <si>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</si>
  <si>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</si>
  <si>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</si>
  <si>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</si>
  <si>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</si>
  <si>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</si>
  <si>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</si>
  <si>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</si>
  <si>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</si>
  <si>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</si>
  <si>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</si>
  <si>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</si>
  <si>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</si>
  <si>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</si>
  <si>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</si>
  <si>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</si>
  <si>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</si>
  <si>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</si>
  <si>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</si>
  <si>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</si>
  <si>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</si>
  <si>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</si>
  <si>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</si>
  <si>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</si>
  <si>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</si>
  <si>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</si>
  <si>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</si>
  <si>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</si>
  <si>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</si>
  <si>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</si>
  <si>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</si>
  <si>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</si>
  <si>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</si>
  <si>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</si>
  <si>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</si>
  <si>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</si>
  <si>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</si>
  <si>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</si>
  <si>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</si>
  <si>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</si>
  <si>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</si>
  <si>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</si>
  <si>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</si>
  <si>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</si>
  <si>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</si>
  <si>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</si>
  <si>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</si>
  <si>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</si>
  <si>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</si>
  <si>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</si>
  <si>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</si>
  <si>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</si>
  <si>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</si>
  <si>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</si>
  <si>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</si>
  <si>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</si>
  <si>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</si>
  <si>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</si>
  <si>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</si>
  <si>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</si>
  <si>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</si>
  <si>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</si>
  <si>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</si>
  <si>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</si>
  <si>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</si>
  <si>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</si>
  <si>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</si>
  <si>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</si>
  <si>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</si>
  <si>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</si>
  <si>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</si>
  <si>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</si>
  <si>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</si>
  <si>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</si>
  <si>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</si>
  <si>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</si>
  <si>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</si>
  <si>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</si>
  <si>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</si>
  <si>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</si>
  <si>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</si>
  <si>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</si>
  <si>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</si>
  <si>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</si>
  <si>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</si>
  <si>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</si>
  <si>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</si>
  <si>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</si>
  <si>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</si>
  <si>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</si>
  <si>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</si>
  <si>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</si>
  <si>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</si>
  <si>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</si>
  <si>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</si>
  <si>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</si>
  <si>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</si>
  <si>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</si>
  <si>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</si>
  <si>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</si>
  <si>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</si>
  <si>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</si>
  <si>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</si>
  <si>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</si>
  <si>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</si>
  <si>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</si>
  <si>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</si>
  <si>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</si>
  <si>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</si>
  <si>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</si>
  <si>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</si>
  <si>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</si>
  <si>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</si>
  <si>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</si>
  <si>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</si>
  <si>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</si>
  <si>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</si>
  <si>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</si>
  <si>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</si>
  <si>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</si>
  <si>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</si>
  <si>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</si>
  <si>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</si>
  <si>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</si>
  <si>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</si>
  <si>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</si>
  <si>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</si>
  <si>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</si>
  <si>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</si>
  <si>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</si>
  <si>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</si>
  <si>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</si>
  <si>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</si>
  <si>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</si>
  <si>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</si>
  <si>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</si>
  <si>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</si>
  <si>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</si>
  <si>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</si>
  <si>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</si>
  <si>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</si>
  <si>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</si>
  <si>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</si>
  <si>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</si>
  <si>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</si>
  <si>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</si>
  <si>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</si>
  <si>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</si>
  <si>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</si>
  <si>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</si>
  <si>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</si>
  <si>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</si>
  <si>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</si>
  <si>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</si>
  <si>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</si>
  <si>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</si>
  <si>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</si>
  <si>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</si>
  <si>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</si>
  <si>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</si>
  <si>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</si>
  <si>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</si>
  <si>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</si>
  <si>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</si>
  <si>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</si>
  <si>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</si>
  <si>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</si>
  <si>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</si>
  <si>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</si>
  <si>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</si>
  <si>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OUTSIDE AIR TABLE - MUST BE FROM ASHRAE OR RFP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</si>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</sst>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4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3" tint="0.39997558519241921"/>
      <name val="Calibri (Body)"/>
    </font>
    <font>
      <b/>
      <sz val="8"/>
      <color theme="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8" fillId="7" borderId="0"/>
    <xf numFmtId="0" fontId="22" fillId="10" borderId="0" applyNumberFormat="0" applyBorder="0" applyAlignment="0" applyProtection="0"/>
    <xf numFmtId="9" fontId="33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0" fillId="4" borderId="0" xfId="0" applyFont="1" applyFill="1" applyAlignment="1">
      <alignment horizontal="right"/>
    </xf>
    <xf numFmtId="0" fontId="20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1" fillId="4" borderId="17" xfId="0" applyFont="1" applyFill="1" applyBorder="1" applyAlignment="1">
      <alignment horizontal="center" vertical="center" wrapText="1"/>
    </xf>
    <xf numFmtId="3" fontId="21" fillId="4" borderId="14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1" fontId="19" fillId="0" borderId="25" xfId="0" applyNumberFormat="1" applyFont="1" applyBorder="1" applyAlignment="1">
      <alignment horizontal="center" vertical="center" wrapText="1"/>
    </xf>
    <xf numFmtId="1" fontId="19" fillId="0" borderId="13" xfId="0" applyNumberFormat="1" applyFont="1" applyBorder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 vertical="center"/>
    </xf>
    <xf numFmtId="0" fontId="19" fillId="6" borderId="0" xfId="0" applyFont="1" applyFill="1"/>
    <xf numFmtId="0" fontId="25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/>
    </xf>
    <xf numFmtId="164" fontId="25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5" fillId="0" borderId="19" xfId="0" applyFont="1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164" fontId="25" fillId="0" borderId="19" xfId="0" applyNumberFormat="1" applyFont="1" applyBorder="1" applyAlignment="1">
      <alignment horizontal="right" shrinkToFit="1"/>
    </xf>
    <xf numFmtId="0" fontId="24" fillId="0" borderId="25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/>
    </xf>
    <xf numFmtId="164" fontId="25" fillId="0" borderId="19" xfId="0" applyNumberFormat="1" applyFont="1" applyBorder="1" applyAlignment="1">
      <alignment horizontal="center" vertical="center" shrinkToFit="1"/>
    </xf>
    <xf numFmtId="164" fontId="25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30" fillId="0" borderId="53" xfId="0" applyNumberFormat="1" applyFont="1" applyBorder="1" applyAlignment="1">
      <alignment horizontal="center" vertical="top" shrinkToFit="1"/>
    </xf>
    <xf numFmtId="1" fontId="31" fillId="0" borderId="48" xfId="0" applyNumberFormat="1" applyFont="1" applyBorder="1" applyAlignment="1">
      <alignment horizontal="center" vertical="top" shrinkToFit="1"/>
    </xf>
    <xf numFmtId="2" fontId="31" fillId="0" borderId="48" xfId="0" applyNumberFormat="1" applyFont="1" applyBorder="1" applyAlignment="1">
      <alignment horizontal="center" vertical="top" shrinkToFit="1"/>
    </xf>
    <xf numFmtId="1" fontId="31" fillId="0" borderId="54" xfId="0" applyNumberFormat="1" applyFont="1" applyBorder="1" applyAlignment="1">
      <alignment horizontal="center" vertical="top" shrinkToFit="1"/>
    </xf>
    <xf numFmtId="2" fontId="31" fillId="0" borderId="54" xfId="0" applyNumberFormat="1" applyFont="1" applyBorder="1" applyAlignment="1">
      <alignment horizontal="center" vertical="top" shrinkToFit="1"/>
    </xf>
    <xf numFmtId="1" fontId="31" fillId="0" borderId="52" xfId="0" applyNumberFormat="1" applyFont="1" applyBorder="1" applyAlignment="1">
      <alignment horizontal="center" vertical="top" shrinkToFit="1"/>
    </xf>
    <xf numFmtId="2" fontId="31" fillId="0" borderId="52" xfId="0" applyNumberFormat="1" applyFont="1" applyBorder="1" applyAlignment="1">
      <alignment horizontal="center" vertical="top" shrinkToFit="1"/>
    </xf>
    <xf numFmtId="0" fontId="32" fillId="0" borderId="0" xfId="0" applyFont="1" applyAlignment="1">
      <alignment horizontal="left" vertical="top"/>
    </xf>
    <xf numFmtId="0" fontId="0" fillId="0" borderId="0" xfId="0" quotePrefix="1"/>
    <xf numFmtId="1" fontId="30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164" fontId="36" fillId="0" borderId="19" xfId="0" applyNumberFormat="1" applyFont="1" applyBorder="1" applyAlignment="1">
      <alignment horizontal="center" shrinkToFit="1"/>
    </xf>
    <xf numFmtId="164" fontId="36" fillId="0" borderId="13" xfId="0" applyNumberFormat="1" applyFont="1" applyBorder="1" applyAlignment="1">
      <alignment horizontal="center" shrinkToFit="1"/>
    </xf>
    <xf numFmtId="164" fontId="36" fillId="0" borderId="13" xfId="0" applyNumberFormat="1" applyFont="1" applyBorder="1" applyAlignment="1" applyProtection="1">
      <alignment horizontal="center" vertical="center" wrapText="1"/>
      <protection locked="0"/>
    </xf>
    <xf numFmtId="1" fontId="36" fillId="0" borderId="13" xfId="0" applyNumberFormat="1" applyFont="1" applyBorder="1" applyAlignment="1" applyProtection="1">
      <alignment horizontal="center" vertical="center" wrapText="1"/>
      <protection locked="0"/>
    </xf>
    <xf numFmtId="0" fontId="35" fillId="0" borderId="27" xfId="0" applyFont="1" applyBorder="1" applyAlignment="1">
      <alignment horizontal="center" vertical="center" wrapText="1"/>
    </xf>
    <xf numFmtId="0" fontId="36" fillId="0" borderId="39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shrinkToFit="1"/>
    </xf>
    <xf numFmtId="0" fontId="25" fillId="0" borderId="39" xfId="0" applyFont="1" applyBorder="1" applyAlignment="1">
      <alignment horizontal="center"/>
    </xf>
    <xf numFmtId="0" fontId="25" fillId="0" borderId="39" xfId="0" applyFont="1" applyBorder="1" applyAlignment="1">
      <alignment horizontal="center" vertical="center" wrapText="1"/>
    </xf>
    <xf numFmtId="0" fontId="28" fillId="0" borderId="39" xfId="0" applyFont="1" applyBorder="1" applyAlignment="1">
      <alignment horizontal="center" shrinkToFit="1"/>
    </xf>
    <xf numFmtId="0" fontId="25" fillId="0" borderId="39" xfId="0" applyFont="1" applyBorder="1" applyAlignment="1">
      <alignment horizontal="right" shrinkToFit="1"/>
    </xf>
    <xf numFmtId="0" fontId="28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9" fillId="6" borderId="13" xfId="0" applyFont="1" applyFill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165" fontId="25" fillId="0" borderId="13" xfId="0" applyNumberFormat="1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 wrapText="1"/>
      <protection locked="0"/>
    </xf>
    <xf numFmtId="0" fontId="25" fillId="0" borderId="22" xfId="0" applyFont="1" applyBorder="1" applyAlignment="1" applyProtection="1">
      <alignment horizontal="center" vertical="center"/>
      <protection locked="0"/>
    </xf>
    <xf numFmtId="0" fontId="24" fillId="0" borderId="4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 wrapText="1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165" fontId="25" fillId="0" borderId="37" xfId="0" applyNumberFormat="1" applyFont="1" applyBorder="1" applyAlignment="1" applyProtection="1">
      <alignment horizontal="center" vertical="center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19" fillId="6" borderId="12" xfId="0" applyFont="1" applyFill="1" applyBorder="1" applyAlignment="1" applyProtection="1">
      <alignment horizontal="center" vertical="center"/>
      <protection locked="0"/>
    </xf>
    <xf numFmtId="0" fontId="24" fillId="6" borderId="12" xfId="0" applyFont="1" applyFill="1" applyBorder="1" applyAlignment="1" applyProtection="1">
      <alignment horizontal="left" vertical="center"/>
      <protection locked="0"/>
    </xf>
    <xf numFmtId="0" fontId="24" fillId="6" borderId="27" xfId="0" applyFont="1" applyFill="1" applyBorder="1" applyAlignment="1" applyProtection="1">
      <alignment horizontal="center" vertical="center"/>
      <protection locked="0"/>
    </xf>
    <xf numFmtId="0" fontId="24" fillId="6" borderId="39" xfId="0" applyFont="1" applyFill="1" applyBorder="1" applyAlignment="1" applyProtection="1">
      <alignment horizontal="center" vertical="center" wrapText="1"/>
      <protection locked="0"/>
    </xf>
    <xf numFmtId="0" fontId="24" fillId="6" borderId="24" xfId="0" applyFont="1" applyFill="1" applyBorder="1" applyAlignment="1" applyProtection="1">
      <alignment horizontal="center" vertical="center" wrapText="1"/>
      <protection locked="0"/>
    </xf>
    <xf numFmtId="0" fontId="24" fillId="6" borderId="12" xfId="0" applyFont="1" applyFill="1" applyBorder="1" applyAlignment="1" applyProtection="1">
      <alignment horizontal="center" vertical="center" wrapText="1"/>
      <protection locked="0"/>
    </xf>
    <xf numFmtId="9" fontId="24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4" fillId="11" borderId="24" xfId="0" applyFont="1" applyFill="1" applyBorder="1" applyAlignment="1" applyProtection="1">
      <alignment horizontal="center" vertical="center" wrapText="1"/>
      <protection locked="0"/>
    </xf>
    <xf numFmtId="0" fontId="24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12" xfId="0" applyFont="1" applyFill="1" applyBorder="1" applyAlignment="1" applyProtection="1">
      <alignment horizontal="center" vertical="center" wrapText="1"/>
      <protection locked="0"/>
    </xf>
    <xf numFmtId="0" fontId="19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40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4" fillId="0" borderId="57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 wrapText="1"/>
      <protection locked="0"/>
    </xf>
    <xf numFmtId="0" fontId="25" fillId="0" borderId="56" xfId="0" applyFont="1" applyBorder="1" applyAlignment="1" applyProtection="1">
      <alignment horizontal="center" vertical="center"/>
      <protection locked="0"/>
    </xf>
    <xf numFmtId="0" fontId="25" fillId="0" borderId="58" xfId="0" applyFont="1" applyBorder="1" applyAlignment="1" applyProtection="1">
      <alignment horizontal="center" vertical="center"/>
      <protection locked="0"/>
    </xf>
    <xf numFmtId="165" fontId="25" fillId="0" borderId="56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left"/>
    </xf>
    <xf numFmtId="0" fontId="41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9" fontId="41" fillId="0" borderId="0" xfId="3" applyFont="1" applyAlignment="1" applyProtection="1">
      <alignment horizontal="center" vertical="center"/>
      <protection locked="0"/>
    </xf>
    <xf numFmtId="0" fontId="17" fillId="0" borderId="13" xfId="0" applyFont="1" applyBorder="1" applyAlignment="1">
      <alignment horizontal="center" vertical="center"/>
    </xf>
    <xf numFmtId="165" fontId="41" fillId="0" borderId="13" xfId="0" applyNumberFormat="1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0" fontId="17" fillId="0" borderId="0" xfId="0" applyFont="1"/>
    <xf numFmtId="165" fontId="17" fillId="0" borderId="0" xfId="0" applyNumberFormat="1" applyFont="1"/>
    <xf numFmtId="1" fontId="17" fillId="0" borderId="0" xfId="0" applyNumberFormat="1" applyFont="1"/>
    <xf numFmtId="0" fontId="43" fillId="0" borderId="0" xfId="0" applyFont="1"/>
    <xf numFmtId="49" fontId="19" fillId="0" borderId="13" xfId="0" applyNumberFormat="1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8" fillId="0" borderId="13" xfId="0" applyNumberFormat="1" applyFont="1" applyBorder="1" applyAlignment="1">
      <alignment horizontal="center" vertical="center"/>
    </xf>
    <xf numFmtId="1" fontId="19" fillId="0" borderId="13" xfId="0" applyNumberFormat="1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3" fontId="34" fillId="0" borderId="55" xfId="0" applyNumberFormat="1" applyFont="1" applyBorder="1" applyAlignment="1">
      <alignment horizontal="center" vertical="center"/>
    </xf>
    <xf numFmtId="0" fontId="34" fillId="0" borderId="55" xfId="0" applyFont="1" applyBorder="1" applyAlignment="1" applyProtection="1">
      <alignment horizontal="center" vertical="center"/>
      <protection locked="0"/>
    </xf>
    <xf numFmtId="165" fontId="34" fillId="0" borderId="55" xfId="0" applyNumberFormat="1" applyFont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/>
    </xf>
    <xf numFmtId="1" fontId="34" fillId="0" borderId="55" xfId="0" applyNumberFormat="1" applyFont="1" applyBorder="1" applyAlignment="1">
      <alignment horizontal="center" vertical="center"/>
    </xf>
    <xf numFmtId="164" fontId="25" fillId="0" borderId="39" xfId="0" applyNumberFormat="1" applyFont="1" applyBorder="1" applyAlignment="1">
      <alignment horizontal="center" shrinkToFit="1"/>
    </xf>
    <xf numFmtId="1" fontId="36" fillId="0" borderId="39" xfId="0" applyNumberFormat="1" applyFont="1" applyBorder="1" applyAlignment="1" applyProtection="1">
      <alignment horizontal="center" vertical="center" wrapText="1"/>
      <protection locked="0"/>
    </xf>
    <xf numFmtId="1" fontId="28" fillId="0" borderId="39" xfId="0" applyNumberFormat="1" applyFont="1" applyBorder="1" applyAlignment="1">
      <alignment horizontal="center" vertical="center" wrapText="1"/>
    </xf>
    <xf numFmtId="1" fontId="19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44" xfId="0" applyFont="1" applyBorder="1" applyAlignment="1" applyProtection="1">
      <alignment horizontal="left" vertical="top" wrapText="1"/>
      <protection locked="0"/>
    </xf>
    <xf numFmtId="0" fontId="24" fillId="0" borderId="45" xfId="0" applyFont="1" applyBorder="1" applyAlignment="1" applyProtection="1">
      <alignment horizontal="left" vertical="top" wrapText="1"/>
      <protection locked="0"/>
    </xf>
    <xf numFmtId="0" fontId="24" fillId="0" borderId="34" xfId="0" applyFont="1" applyBorder="1" applyAlignment="1" applyProtection="1">
      <alignment horizontal="left" vertical="top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0" fontId="24" fillId="0" borderId="41" xfId="0" applyFont="1" applyBorder="1" applyAlignment="1" applyProtection="1">
      <alignment horizontal="left" vertical="top" wrapText="1"/>
      <protection locked="0"/>
    </xf>
    <xf numFmtId="0" fontId="24" fillId="0" borderId="43" xfId="0" applyFont="1" applyBorder="1" applyAlignment="1" applyProtection="1">
      <alignment horizontal="left" vertical="top" wrapText="1"/>
      <protection locked="0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5" fillId="0" borderId="22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6" fillId="0" borderId="13" xfId="0" applyFont="1" applyBorder="1" applyAlignment="1">
      <alignment horizontal="left" vertical="center"/>
    </xf>
    <xf numFmtId="0" fontId="16" fillId="0" borderId="13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7" fillId="0" borderId="13" xfId="0" applyFont="1" applyBorder="1" applyAlignment="1">
      <alignment horizontal="center" vertical="center"/>
    </xf>
    <xf numFmtId="165" fontId="41" fillId="0" borderId="37" xfId="0" applyNumberFormat="1" applyFont="1" applyBorder="1" applyAlignment="1" applyProtection="1">
      <alignment horizontal="center" vertical="center"/>
      <protection locked="0"/>
    </xf>
    <xf numFmtId="165" fontId="41" fillId="0" borderId="15" xfId="0" applyNumberFormat="1" applyFont="1" applyBorder="1" applyAlignment="1" applyProtection="1">
      <alignment horizontal="center" vertical="center"/>
      <protection locked="0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9" fillId="0" borderId="49" xfId="0" applyFont="1" applyBorder="1" applyAlignment="1">
      <alignment horizontal="left" vertical="top" wrapText="1" indent="18"/>
    </xf>
    <xf numFmtId="0" fontId="29" fillId="0" borderId="50" xfId="0" applyFont="1" applyBorder="1" applyAlignment="1">
      <alignment horizontal="left" vertical="top" wrapText="1" indent="18"/>
    </xf>
    <xf numFmtId="0" fontId="29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2" fillId="0" borderId="16" xfId="0" applyFont="1" applyBorder="1" applyAlignment="1">
      <alignment horizontal="center" vertical="center"/>
    </xf>
    <xf numFmtId="165" fontId="39" fillId="0" borderId="13" xfId="0" applyNumberFormat="1" applyFont="1" applyBorder="1" applyAlignment="1">
      <alignment horizontal="center" vertical="center"/>
    </xf>
    <xf numFmtId="165" fontId="12" fillId="0" borderId="13" xfId="0" applyNumberFormat="1" applyFont="1" applyBorder="1" applyAlignment="1" applyProtection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</cellXfs>
  <cellStyles count="4">
    <cellStyle name="DiRootsParameterNotFound" xfId="1" xr:uid="{104907A8-2D4D-4252-804C-87DEA72DE229}"/>
    <cellStyle name="Neutral" xfId="2" builtinId="28"/>
    <cellStyle name="Normal" xfId="0" builtinId="0"/>
    <cellStyle name="Percent" xfId="3" builtinId="5"/>
  </cellStyles>
  <dxfs count="3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66340</xdr:colOff>
          <xdr:row>1</xdr:row>
          <xdr:rowOff>12875</xdr:rowOff>
        </xdr:from>
        <xdr:to>
          <xdr:col>3</xdr:col>
          <xdr:colOff>236937</xdr:colOff>
          <xdr:row>2</xdr:row>
          <xdr:rowOff>132685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2464</xdr:colOff>
          <xdr:row>2</xdr:row>
          <xdr:rowOff>151642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9478</xdr:colOff>
          <xdr:row>1</xdr:row>
          <xdr:rowOff>9479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51C1C4E1-E9CD-728E-CEBF-58FD9C18D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AHU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676132</xdr:colOff>
          <xdr:row>0</xdr:row>
          <xdr:rowOff>136099</xdr:rowOff>
        </xdr:from>
        <xdr:to>
          <xdr:col>16</xdr:col>
          <xdr:colOff>79232</xdr:colOff>
          <xdr:row>3</xdr:row>
          <xdr:rowOff>25780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3779DF67-EDD6-0CEC-3E03-6101289E6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242" tableBorderDxfId="24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239" totalsRowDxfId="240"/>
    <tableColumn id="3" xr3:uid="{62F86706-BFED-8849-B203-1462C07A11D1}" name="ROOM" dataDxfId="237" totalsRowDxfId="238"/>
    <tableColumn id="4" xr3:uid="{BA8CC09C-8989-7449-815E-02DA3EBCCE73}" name="ROOM #" dataDxfId="235" totalsRowDxfId="236"/>
    <tableColumn id="5" xr3:uid="{2A5847B7-C8C2-7D4C-9B9E-AF0D4F961528}" name="AREA (FT²)" totalsRowFunction="sum" dataDxfId="233" totalsRowDxfId="234"/>
    <tableColumn id="6" xr3:uid="{6F4863D2-E26C-4B4A-8A7E-6808FF9E98AF}" name="HG_x000a_(FT)" dataDxfId="231" totalsRowDxfId="232"/>
    <tableColumn id="7" xr3:uid="{D114EF5A-EB4D-E240-9D9D-BD8D88BBD5D0}" name="TOTAL AC/HR" dataDxfId="229" totalsRowDxfId="230">
      <calculatedColumnFormula>VLOOKUP($M7,'UMC Table 4-A'!$A$10:$E$139,4,FALSE)</calculatedColumnFormula>
    </tableColumn>
    <tableColumn id="8" xr3:uid="{C41C1A8A-07D2-F847-ADC4-523F6DA3A59A}" name="100%_x000a_EA" dataDxfId="227" totalsRowDxfId="228">
      <calculatedColumnFormula>VLOOKUP($M7,'UMC Table 4-A'!$A$10:$E$139,5,FALSE)</calculatedColumnFormula>
    </tableColumn>
    <tableColumn id="9" xr3:uid="{C2F85DE3-5208-7A42-B5B3-6BD44EDE360A}" name="CRICU_x000a_EA" dataDxfId="225" totalsRowDxfId="226">
      <calculatedColumnFormula>IF(H7="Yes",K7,"-")</calculatedColumnFormula>
    </tableColumn>
    <tableColumn id="10" xr3:uid="{DB9587E5-51D0-9E49-B476-3D1DEB286854}" name="LOAD CFM" dataDxfId="223" totalsRowDxfId="224"/>
    <tableColumn id="11" xr3:uid="{C2B72E76-A1B2-864A-8E40-94D30E0904B2}" name="AC/HR CFM" dataDxfId="221" totalsRowDxfId="222">
      <calculatedColumnFormula>IF(G7&lt;&gt;"NR",ROUNDUP((E7*F7*G7)/60,-1),0)</calculatedColumnFormula>
    </tableColumn>
    <tableColumn id="12" xr3:uid="{4166323B-03BF-624D-B936-3007427F886B}" name="1 CFM/SF" dataDxfId="219" totalsRowDxfId="220">
      <calculatedColumnFormula>E7</calculatedColumnFormula>
    </tableColumn>
    <tableColumn id="13" xr3:uid="{EF99C6F8-178D-B74B-9494-D87EECB93536}" name="4-A DESIGNATION" dataDxfId="217" totalsRowDxfId="218"/>
    <tableColumn id="14" xr3:uid="{58966974-3F49-C846-8C54-D89C6D09D35B}" name="AIRBALANCE RELATIONSHIP" dataDxfId="215" totalsRowDxfId="216">
      <calculatedColumnFormula>VLOOKUP($M7,'UMC Table 4-A'!$A$10:$E$139,2,FALSE)</calculatedColumnFormula>
    </tableColumn>
    <tableColumn id="15" xr3:uid="{5E77F12B-AF22-DE47-96B1-F2CCA63C5F3B}" name="MINIMUM OSA CHANGES PER HOUR" dataDxfId="213" totalsRowDxfId="214">
      <calculatedColumnFormula>VLOOKUP($M7,'UMC Table 4-A'!$A$10:$E$139,3,FALSE)</calculatedColumnFormula>
    </tableColumn>
    <tableColumn id="16" xr3:uid="{EB149268-2DAB-9145-9B3F-A075A9E0BB62}" name="OSA CFM" totalsRowFunction="sum" dataDxfId="211" totalsRowDxfId="212">
      <calculatedColumnFormula>IF(O7&lt;&gt;"NR",ROUNDUP((E7*F7*O7)/60,-1),0)</calculatedColumnFormula>
    </tableColumn>
    <tableColumn id="17" xr3:uid="{D7D5D4AD-5D2F-1947-A1EC-864FB51133D3}" name="ALL AIR EXHAUSTED" dataDxfId="209" totalsRowDxfId="210">
      <calculatedColumnFormula>VLOOKUP($M7,'UMC Table 4-A'!$A$10:$E$139,5,FALSE)</calculatedColumnFormula>
    </tableColumn>
    <tableColumn id="18" xr3:uid="{8E64C3DD-B984-C34D-950D-988E6756EC90}" name="CALCULATED SA CFM" totalsRowFunction="sum" dataDxfId="207" totalsRowDxfId="208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05" totalsRowDxfId="206">
      <calculatedColumnFormula>R7</calculatedColumnFormula>
    </tableColumn>
    <tableColumn id="20" xr3:uid="{DD8A54C1-53C5-BC42-BBC6-13ABBEB44ADF}" name="RA CFM" totalsRowFunction="sum" dataDxfId="203" totalsRowDxfId="204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01" totalsRowDxfId="202">
      <calculatedColumnFormula>IF(Q7="Yes",I7,0)</calculatedColumnFormula>
    </tableColumn>
    <tableColumn id="22" xr3:uid="{D9078ABF-02C8-5649-BF43-2635E4E43CD3}" name="Transfer Air CFM" totalsRowFunction="sum" dataDxfId="199" totalsRowDxfId="200">
      <calculatedColumnFormula>S7-T7-U7</calculatedColumnFormula>
    </tableColumn>
    <tableColumn id="23" xr3:uid="{420D3664-0F81-6346-9798-DAAD4438D382}" name="Balance?" dataDxfId="197" totalsRowDxfId="198">
      <calculatedColumnFormula>IF(R7-T7-U7+V7=0,"Yes","No")</calculatedColumnFormula>
    </tableColumn>
    <tableColumn id="24" xr3:uid="{2B06E20E-4173-5744-A06B-F45C3B6E4E06}" name="CFM/SF" dataDxfId="195" totalsRowDxfId="196">
      <calculatedColumnFormula>IFERROR(R7/E7,"-")</calculatedColumnFormula>
    </tableColumn>
    <tableColumn id="25" xr3:uid="{1CCCE25F-6BF2-294F-9C7E-94799BF60C61}" name="OSA PERCENT" dataDxfId="193" totalsRowDxfId="194"/>
    <tableColumn id="26" xr3:uid="{A9787315-1554-5F47-9583-71F6447BADE7}" name="ACH/hr" dataDxfId="191" totalsRowDxfId="19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190" dataDxfId="189" headerRowBorderDxfId="187" tableBorderDxfId="188" totalsRowBorderDxfId="186">
  <autoFilter ref="AC6:AS44" xr:uid="{2A2B6BA6-0EAB-2349-A085-FD569408EC9D}"/>
  <tableColumns count="17">
    <tableColumn id="1" xr3:uid="{C25C46EE-18B7-234F-90BC-9CFAECF0D77B}" name="ZONE" totalsRowLabel="Total" dataDxfId="184" totalsRowDxfId="185"/>
    <tableColumn id="2" xr3:uid="{FF1D057E-CF59-234B-BE6D-5179D70CBEFE}" name="BASIS OF DESIGN _x000a_MANUFACTURER" dataDxfId="182" totalsRowDxfId="183"/>
    <tableColumn id="3" xr3:uid="{76C3F628-FC7A-644D-A84B-B7D2DF32CB78}" name="DESCRIPTION" dataDxfId="180" totalsRowDxfId="181"/>
    <tableColumn id="4" xr3:uid="{648F5A5B-AB00-7445-B77F-BC8AA4FAF8E5}" name="CFM" dataDxfId="178" totalsRowDxfId="179">
      <calculatedColumnFormula>SUMIF($B$7:$B$78,AC7,$S$7:$S$78)</calculatedColumnFormula>
    </tableColumn>
    <tableColumn id="5" xr3:uid="{B8C6F18E-27B7-5C47-A6AA-896E053D5DD5}" name="CAV INLET SIZE" dataDxfId="176" totalsRowDxfId="177">
      <calculatedColumnFormula>IFERROR((VLOOKUP(AF7,'DO NOT TOUCH'!$P$9:$Q$14,2,TRUE)),"TBD")</calculatedColumnFormula>
    </tableColumn>
    <tableColumn id="6" xr3:uid="{9B933B17-72C0-114F-B80C-4F0E9DEE45DA}" name="MAX TOTAL CAV PD _x000a_(IN W.G.)" dataDxfId="174" totalsRowDxfId="175">
      <calculatedColumnFormula>AH6</calculatedColumnFormula>
    </tableColumn>
    <tableColumn id="7" xr3:uid="{B18295A8-1F00-1048-BB1F-85CE741F6991}" name="EWT" dataDxfId="172" totalsRowDxfId="173">
      <calculatedColumnFormula>INPUT_OUTPUTS!$C$13</calculatedColumnFormula>
    </tableColumn>
    <tableColumn id="8" xr3:uid="{71AC2984-1F71-FE45-8BF4-5C296E523C25}" name="DESIGN _x000a_LWT" dataDxfId="170" totalsRowDxfId="171">
      <calculatedColumnFormula>INPUT_OUTPUTS!$C$14</calculatedColumnFormula>
    </tableColumn>
    <tableColumn id="9" xr3:uid="{ECBF8CE3-146D-7E4C-B125-10414FE35F41}" name="EAT" dataDxfId="168" totalsRowDxfId="169">
      <calculatedColumnFormula>AK6</calculatedColumnFormula>
    </tableColumn>
    <tableColumn id="10" xr3:uid="{15F58DEE-0A56-6E49-9C7C-E911663EA507}" name="DESIGN _x000a_LAT" dataDxfId="166" totalsRowDxfId="167">
      <calculatedColumnFormula>AL6</calculatedColumnFormula>
    </tableColumn>
    <tableColumn id="11" xr3:uid="{914895A5-B38D-0743-8A44-8F92020558DF}" name="MIN MBH" totalsRowFunction="sum" dataDxfId="164" totalsRowDxfId="165">
      <calculatedColumnFormula>MROUND((1.08*(AL7-AK7)*AF7)/1000,0.1)</calculatedColumnFormula>
    </tableColumn>
    <tableColumn id="12" xr3:uid="{CD0348BA-B462-F447-A201-4DC3F6D405EA}" name="AGPM" dataDxfId="162" totalsRowDxfId="163">
      <calculatedColumnFormula>(AM7*1000)/(500*(AI7-AJ7))</calculatedColumnFormula>
    </tableColumn>
    <tableColumn id="13" xr3:uid="{08FCAA37-BE69-A645-B7B4-97E57511637E}" name="GPM" totalsRowFunction="sum" dataDxfId="160" totalsRowDxfId="161">
      <calculatedColumnFormula>IF(AN7&lt;0.5,0.5,AN7)</calculatedColumnFormula>
    </tableColumn>
    <tableColumn id="14" xr3:uid="{36DECC85-96C7-1F40-8C0A-6358A371661E}" name="MAX WATER _x000a_PD (FT)" dataDxfId="158" totalsRowDxfId="159">
      <calculatedColumnFormula>AP6</calculatedColumnFormula>
    </tableColumn>
    <tableColumn id="15" xr3:uid="{40BE04EB-CA2B-BD46-A2A8-B5618F6EB628}" name="OPER _x000a_WEIGHT_x000a_(LBS)" dataDxfId="156" totalsRowDxfId="157">
      <calculatedColumnFormula>IFERROR((_xlfn.XLOOKUP(AG7,'DO NOT TOUCH'!$Q$9:$Q$14,'DO NOT TOUCH'!$R$9:$R$14,)),"TBD")</calculatedColumnFormula>
    </tableColumn>
    <tableColumn id="16" xr3:uid="{FCE60676-46C3-2C4E-9399-C8250EC74D56}" name="MTG _x000a_DETAIL" dataDxfId="154" totalsRowDxfId="155">
      <calculatedColumnFormula>INPUT_OUTPUTS!$C$16</calculatedColumnFormula>
    </tableColumn>
    <tableColumn id="17" xr3:uid="{F5AE1D75-89DB-1E44-A1ED-A1A5537714F6}" name="REMARKS" dataDxfId="152" totalsRowDxfId="153">
      <calculatedColumnFormula>AS6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395" tableBorderDxfId="394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393" totalsRowDxfId="392"/>
    <tableColumn id="3" xr3:uid="{49758621-BBD6-4E64-B5EB-30AAEEEAC7DB}" name="ROOM" dataDxfId="391" totalsRowDxfId="390"/>
    <tableColumn id="4" xr3:uid="{07AB65A5-3070-4259-B9E3-B3A0821D46DB}" name="ROOM #" dataDxfId="389" totalsRowDxfId="388"/>
    <tableColumn id="5" xr3:uid="{6BD4501F-F2C8-4DE6-94B2-70EECF81DC26}" name="AREA (FT²)" totalsRowFunction="sum" dataDxfId="387" totalsRowDxfId="386"/>
    <tableColumn id="6" xr3:uid="{0305DB12-480F-4DBE-B0BB-D944D44E3761}" name="HG_x000a_(FT)" dataDxfId="385" totalsRowDxfId="384"/>
    <tableColumn id="7" xr3:uid="{0E2CEBD9-8207-49B7-828E-FED991A3EF1B}" name="TOTAL AC/HR" dataDxfId="383" totalsRowDxfId="382"/>
    <tableColumn id="8" xr3:uid="{B39F50FE-C65C-4C16-996E-B6A311DB49BB}" name="100%_x000a_EA" dataDxfId="381" totalsRowDxfId="380"/>
    <tableColumn id="9" xr3:uid="{8D97FF71-56B9-4380-92A5-7F58032041F8}" name="CRICU_x000a_EA" dataDxfId="379" totalsRowDxfId="378"/>
    <tableColumn id="10" xr3:uid="{DF05C704-DE23-4E47-A5C6-4F757C38BE24}" name="LOAD CFM" dataDxfId="377" totalsRowDxfId="376"/>
    <tableColumn id="11" xr3:uid="{C013AEA1-36DC-4A80-866F-AF6BEEE8A018}" name="AC/HR CFM" dataDxfId="375" totalsRowDxfId="374"/>
    <tableColumn id="12" xr3:uid="{2DFD819A-C977-4FA7-9725-9D06ABE7E8E7}" name="1 CFM/SF" dataDxfId="373" totalsRowDxfId="372"/>
    <tableColumn id="13" xr3:uid="{A50C5E1C-6A55-44C9-8312-028575630C03}" name="4-A DESIGNATION" dataDxfId="371" totalsRowDxfId="370"/>
    <tableColumn id="14" xr3:uid="{7C4ABC5D-F6B9-4FFF-9A67-D601283681B7}" name="AIRBALANCE RELATIONSHIP" dataDxfId="369" totalsRowDxfId="368"/>
    <tableColumn id="15" xr3:uid="{D17D3851-5B53-4906-9ED4-998CD7BF6D54}" name="MINIMUM OSA CHANGES PER HOUR" dataDxfId="367" totalsRowDxfId="366"/>
    <tableColumn id="16" xr3:uid="{5712ECF0-F7FD-4E19-ABEA-95FC2E37BF38}" name="OSA CFM" totalsRowFunction="sum" dataDxfId="365" totalsRowDxfId="364"/>
    <tableColumn id="17" xr3:uid="{CCE3CBFF-D4D8-46EC-83F1-4E5A27EE107F}" name="ALL AIR EXHAUSTED" dataDxfId="363" totalsRowDxfId="362"/>
    <tableColumn id="18" xr3:uid="{AC02FE2F-24A9-4273-9C14-9BADDC50ABF2}" name="CALCULATED SA CFM" totalsRowFunction="sum" dataDxfId="361" totalsRowDxfId="360"/>
    <tableColumn id="19" xr3:uid="{D2E7ABF0-6C07-417C-B186-691CC143A6B0}" name="DESIGN SA CFM" totalsRowFunction="sum" dataDxfId="359" totalsRowDxfId="358"/>
    <tableColumn id="20" xr3:uid="{DF4B9159-EFFC-40F0-9FC4-33EA3C26F8BE}" name="RA CFM" totalsRowFunction="sum" dataDxfId="357" totalsRowDxfId="356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355" totalsRowDxfId="354"/>
    <tableColumn id="22" xr3:uid="{6B6AF6EB-931D-4C93-89A9-561F9C32BB12}" name="Transfer Air CFM" totalsRowFunction="sum" dataDxfId="353" totalsRowDxfId="352"/>
    <tableColumn id="23" xr3:uid="{39003D3E-BBD2-4F77-B42A-2E9AAC1B3F5F}" name="Balance?" dataDxfId="351" totalsRowDxfId="350"/>
    <tableColumn id="24" xr3:uid="{624F2EC9-EDEF-4331-8F08-3623018EE046}" name="CFM/SF" dataDxfId="349" totalsRowDxfId="348"/>
    <tableColumn id="25" xr3:uid="{224933E3-CC52-4D9F-904F-939C4C4561E9}" name="OSA PERCENT" dataDxfId="347" totalsRowDxfId="346"/>
    <tableColumn id="26" xr3:uid="{3F8BC55D-461B-40F9-A13B-0B2D7B2DEE28}" name="ACH/hr" dataDxfId="345" totalsRowDxfId="34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343" dataDxfId="341" headerRowBorderDxfId="342" tableBorderDxfId="340" totalsRowBorderDxfId="339">
  <autoFilter ref="AC6:AS44" xr:uid="{2A2B6BA6-0EAB-2349-A085-FD569408EC9D}"/>
  <tableColumns count="17">
    <tableColumn id="1" xr3:uid="{95D9C8F3-85BF-7348-B9D8-30B40B154BA0}" name="ZONE" totalsRowLabel="Total" dataDxfId="338" totalsRowDxfId="337"/>
    <tableColumn id="2" xr3:uid="{34C7498F-5EF8-014B-8B1C-DCBE6607BBC2}" name="BASIS OF DESIGN _x000a_MANUFACTURER" dataDxfId="336" totalsRowDxfId="335"/>
    <tableColumn id="3" xr3:uid="{8D44A577-B62E-C643-BDBD-7C71640AF7DD}" name="DESCRIPTION" dataDxfId="334" totalsRowDxfId="333"/>
    <tableColumn id="4" xr3:uid="{A85908E5-E973-6C41-AED9-F99DFF123237}" name="CFM" dataDxfId="332" totalsRowDxfId="331">
      <calculatedColumnFormula>SUMIF($B$7:$B$78,AC7,$S$7:$S$78)</calculatedColumnFormula>
    </tableColumn>
    <tableColumn id="5" xr3:uid="{C26D28ED-C133-154D-B0D2-6FAC49106BF4}" name="CAV INLET SIZE" dataDxfId="330" totalsRowDxfId="329">
      <calculatedColumnFormula>IFERROR((VLOOKUP(AF7,'DO NOT TOUCH'!$P$9:$Q$14,2,TRUE)),"TBD")</calculatedColumnFormula>
    </tableColumn>
    <tableColumn id="6" xr3:uid="{6ECDE356-225C-A24E-86F4-F7792C922A11}" name="MAX TOTAL CAV PD _x000a_(IN W.G.)" dataDxfId="328" totalsRowDxfId="327">
      <calculatedColumnFormula>AH6</calculatedColumnFormula>
    </tableColumn>
    <tableColumn id="7" xr3:uid="{6F655F52-D807-FF44-9E81-17EE8D10DF07}" name="EWT" dataDxfId="326" totalsRowDxfId="325">
      <calculatedColumnFormula>INPUT_OUTPUTS!$C$13</calculatedColumnFormula>
    </tableColumn>
    <tableColumn id="8" xr3:uid="{B969B290-D7B8-B049-BD43-F28721191F95}" name="DESIGN _x000a_LWT" dataDxfId="324" totalsRowDxfId="323">
      <calculatedColumnFormula>INPUT_OUTPUTS!$C$14</calculatedColumnFormula>
    </tableColumn>
    <tableColumn id="9" xr3:uid="{B1987597-E6E5-0645-B303-001D7440884A}" name="EAT" dataDxfId="322" totalsRowDxfId="321">
      <calculatedColumnFormula>AK6</calculatedColumnFormula>
    </tableColumn>
    <tableColumn id="10" xr3:uid="{23D60126-7A10-3A4F-A6F6-8D88FC3D7BF2}" name="DESIGN _x000a_LAT" dataDxfId="320" totalsRowDxfId="319">
      <calculatedColumnFormula>AL6</calculatedColumnFormula>
    </tableColumn>
    <tableColumn id="11" xr3:uid="{FCA3CDCB-EF7A-AF4E-A008-4CE5DE083146}" name="MIN MBH" totalsRowFunction="sum" dataDxfId="318" totalsRowDxfId="317">
      <calculatedColumnFormula>MROUND((1.08*(AL7-AK7)*AF7)/1000,0.1)</calculatedColumnFormula>
    </tableColumn>
    <tableColumn id="12" xr3:uid="{E12D8355-62CD-9A45-8AA8-A6C3960814AB}" name="AGPM" dataDxfId="316" totalsRowDxfId="315">
      <calculatedColumnFormula>(AM7*1000)/(500*(AI7-AJ7))</calculatedColumnFormula>
    </tableColumn>
    <tableColumn id="13" xr3:uid="{8B58FDB3-AB0C-084D-93CC-883797C9E61A}" name="GPM" totalsRowFunction="sum" dataDxfId="314" totalsRowDxfId="313">
      <calculatedColumnFormula>IF(AN7&lt;0.5,0.5,AN7)</calculatedColumnFormula>
    </tableColumn>
    <tableColumn id="14" xr3:uid="{16D8B3A9-2DD2-EA40-91A2-B427BDC9DA7F}" name="MAX WATER _x000a_PD (FT)" dataDxfId="312" totalsRowDxfId="311">
      <calculatedColumnFormula>AP6</calculatedColumnFormula>
    </tableColumn>
    <tableColumn id="15" xr3:uid="{12A7883C-5AA1-F34A-AF87-208908C77F47}" name="OPER _x000a_WEIGHT_x000a_(LBS)" dataDxfId="310" totalsRowDxfId="309">
      <calculatedColumnFormula>IFERROR((_xlfn.XLOOKUP(AG7,'DO NOT TOUCH'!$Q$9:$Q$14,'DO NOT TOUCH'!$R$9:$R$14,)),"TBD")</calculatedColumnFormula>
    </tableColumn>
    <tableColumn id="16" xr3:uid="{1DEE7EFC-9697-DF4F-9AB3-B7AA6F3AD8F6}" name="MTG _x000a_DETAIL" dataDxfId="308" totalsRowDxfId="307">
      <calculatedColumnFormula>INPUT_OUTPUTS!$C$16</calculatedColumnFormula>
    </tableColumn>
    <tableColumn id="17" xr3:uid="{4FFF90F0-EA71-194F-A327-10021D7AF629}" name="REMARKS" dataDxfId="306" totalsRowDxfId="305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FE32AF6-F1D0-8F42-8FD2-D68A7D7E75A7}" name="AHU1_TABLE_4A4349" displayName="AHU1_TABLE_4A4349" ref="B6:Z79" totalsRowCount="1" headerRowDxfId="151" tableBorderDxfId="150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EF5A08D5-FE67-FE46-85B7-28CF18AFA2D5}" name="Zone" dataDxfId="148" totalsRowDxfId="149"/>
    <tableColumn id="3" xr3:uid="{D06CAEE4-8B6D-3A4A-B873-54F1CF9EA013}" name="ROOM" dataDxfId="146" totalsRowDxfId="147"/>
    <tableColumn id="4" xr3:uid="{63983AFE-CD62-CB48-BC44-509380AA7106}" name="ROOM #" dataDxfId="144" totalsRowDxfId="145"/>
    <tableColumn id="5" xr3:uid="{3045D721-A8BC-FC40-BA6B-D27F5EFAB7C9}" name="AREA (FT²)" totalsRowFunction="sum" dataDxfId="142" totalsRowDxfId="143"/>
    <tableColumn id="6" xr3:uid="{8702941F-C339-CF48-A65C-7D92AC883322}" name="HG_x000a_(FT)" dataDxfId="140" totalsRowDxfId="141"/>
    <tableColumn id="7" xr3:uid="{93608ED7-91E2-7149-BB64-3AC256E8FA9A}" name="TOTAL AC/HR" dataDxfId="138" totalsRowDxfId="139">
      <calculatedColumnFormula>VLOOKUP($M7,'UMC Table 4-A'!$A$10:$E$139,4,FALSE)</calculatedColumnFormula>
    </tableColumn>
    <tableColumn id="8" xr3:uid="{1559DC6C-A294-904C-97E2-A5651DB81104}" name="100%_x000a_EA" dataDxfId="136" totalsRowDxfId="137">
      <calculatedColumnFormula>VLOOKUP($M7,'UMC Table 4-A'!$A$10:$E$139,5,FALSE)</calculatedColumnFormula>
    </tableColumn>
    <tableColumn id="9" xr3:uid="{B42324E9-34FD-2E4A-846B-A832E5D05890}" name="CRICU_x000a_EA" dataDxfId="134" totalsRowDxfId="135">
      <calculatedColumnFormula>IF(H7="Yes",K7,"-")</calculatedColumnFormula>
    </tableColumn>
    <tableColumn id="10" xr3:uid="{624382EA-51A8-7C4F-8E55-AB7BC451DEE7}" name="LOAD CFM" dataDxfId="132" totalsRowDxfId="133"/>
    <tableColumn id="11" xr3:uid="{52D9E67E-A777-7547-83BA-39F5D31774EF}" name="AC/HR CFM" dataDxfId="130" totalsRowDxfId="131">
      <calculatedColumnFormula>IF(G7&lt;&gt;"NR",ROUNDUP((E7*F7*G7)/60,-1),0)</calculatedColumnFormula>
    </tableColumn>
    <tableColumn id="12" xr3:uid="{DEE0BB05-AC23-214A-8D79-A99BF5A754A5}" name="1 CFM/SF" dataDxfId="128" totalsRowDxfId="129">
      <calculatedColumnFormula>E7</calculatedColumnFormula>
    </tableColumn>
    <tableColumn id="13" xr3:uid="{C58F4BF7-E040-A943-9FC1-00A47088E9CC}" name="4-A DESIGNATION" dataDxfId="126" totalsRowDxfId="127"/>
    <tableColumn id="14" xr3:uid="{090CBA8C-81EA-414B-9ECC-5C1BAB73E463}" name="AIRBALANCE RELATIONSHIP" dataDxfId="124" totalsRowDxfId="125">
      <calculatedColumnFormula>VLOOKUP($M7,'UMC Table 4-A'!$A$10:$E$139,2,FALSE)</calculatedColumnFormula>
    </tableColumn>
    <tableColumn id="15" xr3:uid="{19B80B75-9768-EF45-A84B-7BE9C9A8654C}" name="MINIMUM OSA CHANGES PER HOUR" dataDxfId="122" totalsRowDxfId="123">
      <calculatedColumnFormula>VLOOKUP($M7,'UMC Table 4-A'!$A$10:$E$139,3,FALSE)</calculatedColumnFormula>
    </tableColumn>
    <tableColumn id="16" xr3:uid="{8148C7E2-FFB7-9842-A7A3-016D86FA2EB8}" name="OSA CFM" totalsRowFunction="sum" dataDxfId="120" totalsRowDxfId="121">
      <calculatedColumnFormula>IF(O7&lt;&gt;"NR",ROUNDUP((E7*F7*O7)/60,-1),0)</calculatedColumnFormula>
    </tableColumn>
    <tableColumn id="17" xr3:uid="{7381F846-E417-9A4D-8DF1-44F35159568D}" name="ALL AIR EXHAUSTED" dataDxfId="118" totalsRowDxfId="119">
      <calculatedColumnFormula>VLOOKUP($M7,'UMC Table 4-A'!$A$10:$E$139,5,FALSE)</calculatedColumnFormula>
    </tableColumn>
    <tableColumn id="18" xr3:uid="{7A67133C-1E45-CD43-9100-2BA5FADB6E46}" name="CALCULATED SA CFM" totalsRowFunction="sum" dataDxfId="116" totalsRowDxfId="117">
      <calculatedColumnFormula>IF(N7="Negative",IF(OR(M7="Toilet room",M7="Janitor's closet, housekeeping"),0,IF(0.1*U7&gt;50,220-0.1*U7,U7-50)),IF(Q7="Yes",0,CEILING(MAX(J7:L7),5)))</calculatedColumnFormula>
    </tableColumn>
    <tableColumn id="19" xr3:uid="{759BFFE8-3835-4948-9C7C-A0C96E175864}" name="DESIGN SA CFM" totalsRowFunction="sum" dataDxfId="114" totalsRowDxfId="115">
      <calculatedColumnFormula>R7</calculatedColumnFormula>
    </tableColumn>
    <tableColumn id="20" xr3:uid="{1884C1FF-3CF8-1A4C-8AFB-A5A6149B7F4E}" name="RA CFM" totalsRowFunction="sum" dataDxfId="112" totalsRowDxfId="113">
      <calculatedColumnFormula>IF(Q7="Yes",0,IF(N7="Positive",IF(0.1*R7&gt;50,R7-0.1*R7,R7-50),IF(N7="Negative",IF(0.1*R7&gt;50,R7+0.1*R7,R7+50),R7)))</calculatedColumnFormula>
    </tableColumn>
    <tableColumn id="21" xr3:uid="{DF7B6E5F-6DF8-3F40-9D0A-BF49716062A0}" name="EA CFM" totalsRowFunction="sum" dataDxfId="110" totalsRowDxfId="111">
      <calculatedColumnFormula>IF(Q7="Yes",I7,0)</calculatedColumnFormula>
    </tableColumn>
    <tableColumn id="22" xr3:uid="{1BB8E605-F1EF-4B40-A734-806EDA2353A9}" name="Transfer Air CFM" totalsRowFunction="sum" dataDxfId="108" totalsRowDxfId="109">
      <calculatedColumnFormula>S7-T7-U7</calculatedColumnFormula>
    </tableColumn>
    <tableColumn id="23" xr3:uid="{0A52BF35-A9C7-794E-8782-1ABED63D134B}" name="Balance?" dataDxfId="106" totalsRowDxfId="107">
      <calculatedColumnFormula>IF(R7-T7-U7+V7=0,"Yes","No")</calculatedColumnFormula>
    </tableColumn>
    <tableColumn id="24" xr3:uid="{73270951-3CA9-6342-AEB2-E6F5595AFE46}" name="CFM/SF" dataDxfId="104" totalsRowDxfId="105">
      <calculatedColumnFormula>IFERROR(R7/E7,"-")</calculatedColumnFormula>
    </tableColumn>
    <tableColumn id="25" xr3:uid="{90E4E6A3-6EC4-8540-A9B2-EEF69EFD8F07}" name="OSA PERCENT" dataDxfId="102" totalsRowDxfId="103"/>
    <tableColumn id="26" xr3:uid="{06BF80AD-C092-B641-B823-2A424E2177AF}" name="ACH/hr" dataDxfId="100" totalsRowDxfId="10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2FDC5E-4471-4D41-A0C3-AE1C798884FE}" name="AHU1_CAV_SCHEDULE4450" displayName="AHU1_CAV_SCHEDULE4450" ref="AC6:AS45" totalsRowCount="1" headerRowDxfId="99" dataDxfId="98" headerRowBorderDxfId="96" tableBorderDxfId="97" totalsRowBorderDxfId="95">
  <autoFilter ref="AC6:AS44" xr:uid="{2A2B6BA6-0EAB-2349-A085-FD569408EC9D}"/>
  <tableColumns count="17">
    <tableColumn id="1" xr3:uid="{11447D75-6B61-EE42-A049-DC9578A152CB}" name="ZONE" totalsRowLabel="Total" dataDxfId="93" totalsRowDxfId="94"/>
    <tableColumn id="2" xr3:uid="{76933283-CA90-8B4B-BDA9-5C96F99ADDC7}" name="BASIS OF DESIGN _x000a_MANUFACTURER" dataDxfId="91" totalsRowDxfId="92"/>
    <tableColumn id="3" xr3:uid="{2B6D70F4-1DB2-604C-9792-640F06DDD445}" name="DESCRIPTION" dataDxfId="89" totalsRowDxfId="90"/>
    <tableColumn id="4" xr3:uid="{9EB4174D-5367-B54B-AA4E-71C350EEADF8}" name="CFM" dataDxfId="87" totalsRowDxfId="88">
      <calculatedColumnFormula>SUMIF($B$7:$B$78,AC7,$S$7:$S$78)</calculatedColumnFormula>
    </tableColumn>
    <tableColumn id="5" xr3:uid="{6A13E3E9-3836-7549-BF9F-D47EE4892287}" name="CAV INLET SIZE" dataDxfId="85" totalsRowDxfId="86">
      <calculatedColumnFormula>IFERROR((VLOOKUP(AF7,'DO NOT TOUCH'!$P$9:$Q$14,2,TRUE)),"TBD")</calculatedColumnFormula>
    </tableColumn>
    <tableColumn id="6" xr3:uid="{B6881152-51B5-E049-A13F-0122B88F0853}" name="MAX TOTAL CAV PD _x000a_(IN W.G.)" dataDxfId="83" totalsRowDxfId="84">
      <calculatedColumnFormula>AH6</calculatedColumnFormula>
    </tableColumn>
    <tableColumn id="7" xr3:uid="{1711A25A-3686-664D-9C81-993D64446738}" name="EWT" dataDxfId="81" totalsRowDxfId="82">
      <calculatedColumnFormula>INPUT_OUTPUTS!$C$13</calculatedColumnFormula>
    </tableColumn>
    <tableColumn id="8" xr3:uid="{84CEAD1A-2D21-C544-A84F-6198657FCB04}" name="DESIGN _x000a_LWT" dataDxfId="79" totalsRowDxfId="80">
      <calculatedColumnFormula>INPUT_OUTPUTS!$C$14</calculatedColumnFormula>
    </tableColumn>
    <tableColumn id="9" xr3:uid="{C899DA13-643E-FE40-9AEB-8726F940A4EA}" name="EAT" dataDxfId="77" totalsRowDxfId="78">
      <calculatedColumnFormula>AK6</calculatedColumnFormula>
    </tableColumn>
    <tableColumn id="10" xr3:uid="{15C074D0-5C89-574D-BCBA-8BF1BA7B49B2}" name="DESIGN _x000a_LAT" dataDxfId="75" totalsRowDxfId="76">
      <calculatedColumnFormula>AL6</calculatedColumnFormula>
    </tableColumn>
    <tableColumn id="11" xr3:uid="{9563C540-9DAA-D541-A4DF-E48B3CA5B84C}" name="MIN MBH" totalsRowFunction="sum" dataDxfId="73" totalsRowDxfId="74">
      <calculatedColumnFormula>MROUND((1.08*(AL7-AK7)*AF7)/1000,0.1)</calculatedColumnFormula>
    </tableColumn>
    <tableColumn id="12" xr3:uid="{6BAC80D2-2359-4743-B3AF-D07AFE1DF7BC}" name="AGPM" dataDxfId="71" totalsRowDxfId="72">
      <calculatedColumnFormula>(AM7*1000)/(500*(AI7-AJ7))</calculatedColumnFormula>
    </tableColumn>
    <tableColumn id="13" xr3:uid="{3C96DB7B-5B5D-544F-BE91-FD7B4BC1BAFB}" name="GPM" totalsRowFunction="sum" dataDxfId="69" totalsRowDxfId="70">
      <calculatedColumnFormula>IF(AN7&lt;0.5,0.5,AN7)</calculatedColumnFormula>
    </tableColumn>
    <tableColumn id="14" xr3:uid="{0C4B4A56-36E7-6741-851C-551A54C8EE3A}" name="MAX WATER _x000a_PD (FT)" dataDxfId="67" totalsRowDxfId="68">
      <calculatedColumnFormula>AP6</calculatedColumnFormula>
    </tableColumn>
    <tableColumn id="15" xr3:uid="{97BB91BA-83EE-7342-9C6E-1D92AD5DED8A}" name="OPER _x000a_WEIGHT_x000a_(LBS)" dataDxfId="65" totalsRowDxfId="66">
      <calculatedColumnFormula>IFERROR((_xlfn.XLOOKUP(AG7,'DO NOT TOUCH'!$Q$9:$Q$14,'DO NOT TOUCH'!$R$9:$R$14,)),"TBD")</calculatedColumnFormula>
    </tableColumn>
    <tableColumn id="16" xr3:uid="{EFE558C2-2EB0-F545-89BB-DAC84B43EBCF}" name="MTG _x000a_DETAIL" dataDxfId="63" totalsRowDxfId="64">
      <calculatedColumnFormula>INPUT_OUTPUTS!$C$16</calculatedColumnFormula>
    </tableColumn>
    <tableColumn id="17" xr3:uid="{5B3DB916-0852-014C-A2FA-30A4D2577D35}" name="REMARKS" dataDxfId="61" totalsRowDxfId="62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304" dataDxfId="302" headerRowBorderDxfId="303" tableBorderDxfId="301">
  <autoFilter ref="A11:BF13" xr:uid="{E6D9D33A-2DE5-364A-B78C-5DD7A614D29B}"/>
  <tableColumns count="58">
    <tableColumn id="1" xr3:uid="{75084425-A44B-8E45-87AE-08AECD33E09D}" name="TAG" totalsRowLabel="Total" dataDxfId="300" totalsRowDxfId="60"/>
    <tableColumn id="2" xr3:uid="{C741F4EF-D022-3147-B8E2-8A68ED8EF0CC}" name="(CFM)" totalsRowFunction="sum" dataDxfId="299" totalsRowDxfId="59">
      <calculatedColumnFormula>'AHU 1'!AX2</calculatedColumnFormula>
    </tableColumn>
    <tableColumn id="3" xr3:uid="{C6A2D6A3-4809-A245-A511-1795421C653D}" name="SF ESP" dataDxfId="298" totalsRowDxfId="58"/>
    <tableColumn id="4" xr3:uid="{8F33E354-148B-E049-A9AB-2FEBF1D2ABCF}" name="(CFM)2" dataDxfId="297" totalsRowDxfId="57">
      <calculatedColumnFormula>'AHU 1'!AX2</calculatedColumnFormula>
    </tableColumn>
    <tableColumn id="5" xr3:uid="{484AF528-CB4D-ED45-8EAC-187579FFF5C8}" name="RF ESP" dataDxfId="296" totalsRowDxfId="56"/>
    <tableColumn id="6" xr3:uid="{44289BD7-7B7A-5040-A9C3-A81E708605BA}" name="(˚F db)" dataDxfId="295" totalsRowDxfId="55"/>
    <tableColumn id="7" xr3:uid="{A118C93B-9473-8340-A213-7536CC01FA69}" name="(˚F wb)" dataDxfId="294" totalsRowDxfId="54"/>
    <tableColumn id="8" xr3:uid="{BA4E1C0D-A98F-C94F-B5DE-2C36AC9D0BA3}" name="(CFM)3" dataDxfId="293" totalsRowDxfId="53">
      <calculatedColumnFormula>'AHU 1'!AY2</calculatedColumnFormula>
    </tableColumn>
    <tableColumn id="9" xr3:uid="{8E2A683D-7B4C-954E-A75A-56B4A8A15F0B}" name="(˚F db)4" dataDxfId="292" totalsRowDxfId="52">
      <calculatedColumnFormula>INPUT_OUTPUTS!$C$5</calculatedColumnFormula>
    </tableColumn>
    <tableColumn id="10" xr3:uid="{D83D5AD6-51F5-5E4B-BE3C-C238ECC50CFF}" name="(˚F wb)5" dataDxfId="291" totalsRowDxfId="51">
      <calculatedColumnFormula>INPUT_OUTPUTS!$C$6</calculatedColumnFormula>
    </tableColumn>
    <tableColumn id="11" xr3:uid="{58DDBF84-EFFA-734F-B069-FD929AE8505B}" name="(CFM)6" dataDxfId="290" totalsRowDxfId="50">
      <calculatedColumnFormula>Table7[[#This Row],[(CFM)3]]</calculatedColumnFormula>
    </tableColumn>
    <tableColumn id="12" xr3:uid="{7D7925B1-33E7-A84F-AAEC-67A01BBE986C}" name="(˚F db)7" dataDxfId="289" totalsRowDxfId="49">
      <calculatedColumnFormula>INPUT_OUTPUTS!$C$7</calculatedColumnFormula>
    </tableColumn>
    <tableColumn id="13" xr3:uid="{9E21E0BF-E9C5-C54C-9B8C-005C0935E109}" name="(˚F wb)8" dataDxfId="288" totalsRowDxfId="48">
      <calculatedColumnFormula>INPUT_OUTPUTS!$C$8</calculatedColumnFormula>
    </tableColumn>
    <tableColumn id="14" xr3:uid="{AC23D981-3B01-5147-97B6-3252A7FC953B}" name="(˚F db)9" dataDxfId="287" totalsRowDxfId="47">
      <calculatedColumnFormula>INPUT_OUTPUTS!$F$5</calculatedColumnFormula>
    </tableColumn>
    <tableColumn id="15" xr3:uid="{DB54E7DD-3A47-6447-A89B-94C85E52BE7D}" name="(CFM)10" dataDxfId="286" totalsRowDxfId="46">
      <calculatedColumnFormula>D12+H12-B12</calculatedColumnFormula>
    </tableColumn>
    <tableColumn id="16" xr3:uid="{4FEC2D7C-9758-744F-A9BF-FBA46547E062}" name="(˚F db)11" dataDxfId="285" totalsRowDxfId="45">
      <calculatedColumnFormula>F12*((D12-O12)/B12) + I12*(H12/B12)</calculatedColumnFormula>
    </tableColumn>
    <tableColumn id="17" xr3:uid="{B005BDD5-39CF-2B47-842F-C982BA9FC7E1}" name="(˚F wb)12" dataDxfId="284" totalsRowDxfId="44">
      <calculatedColumnFormula>TRUNC(G12*((D12-O12)/B12) + J12*(H12/B12),1)</calculatedColumnFormula>
    </tableColumn>
    <tableColumn id="18" xr3:uid="{5AC4E564-0F72-0E49-B041-B5DE3FD4DD18}" name="(h)" dataDxfId="283" totalsRowDxfId="43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282" totalsRowDxfId="42"/>
    <tableColumn id="20" xr3:uid="{069031AB-30B0-304F-BA24-44B4C6E6101C}" name="(˚F wb)14" dataDxfId="281" totalsRowDxfId="41"/>
    <tableColumn id="21" xr3:uid="{1EA24A2B-BE77-6945-9098-6C4501A9902F}" name="(h)15" dataDxfId="280" totalsRowDxfId="40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279" totalsRowDxfId="39">
      <calculatedColumnFormula>B12*1.085*(P12-S12)</calculatedColumnFormula>
    </tableColumn>
    <tableColumn id="23" xr3:uid="{02C21CA2-732A-8C4C-93ED-640017544BD3}" name="(Btu/hr)16" dataDxfId="278" totalsRowDxfId="38">
      <calculatedColumnFormula>4.5*B12*(R12-U12)</calculatedColumnFormula>
    </tableColumn>
    <tableColumn id="24" xr3:uid="{80183150-6317-2C46-B9FB-5600693E1D79}" name="(Tons)" dataDxfId="277" totalsRowDxfId="37">
      <calculatedColumnFormula>W12/12000</calculatedColumnFormula>
    </tableColumn>
    <tableColumn id="25" xr3:uid="{8AF1DEDF-1446-A54C-A718-1F4A80DCED1F}" name="(˚F db)17" dataDxfId="276" totalsRowDxfId="36">
      <calculatedColumnFormula>INPUT_OUTPUTS!$C$11</calculatedColumnFormula>
    </tableColumn>
    <tableColumn id="26" xr3:uid="{30713AF6-10A7-A640-9A81-7C9C656F28C6}" name="(˚F db)18" dataDxfId="275" totalsRowDxfId="35">
      <calculatedColumnFormula>INPUT_OUTPUTS!$C$12</calculatedColumnFormula>
    </tableColumn>
    <tableColumn id="27" xr3:uid="{07E9B9A3-68BD-0040-B64A-445B4F7DB78B}" name="GPM" totalsRowFunction="sum" dataDxfId="274" totalsRowDxfId="34">
      <calculatedColumnFormula>W12/(500*(Z12-Y12))</calculatedColumnFormula>
    </tableColumn>
    <tableColumn id="28" xr3:uid="{63A1C04A-F0C1-344B-9C91-CDCBB09CC808}" name="(˚F db)19" dataDxfId="273" totalsRowDxfId="33">
      <calculatedColumnFormula>F12*((D12-O12)/B12) + L12*(H12/B12)</calculatedColumnFormula>
    </tableColumn>
    <tableColumn id="29" xr3:uid="{6B8C516D-DE70-BF40-8E5C-0B23062187E5}" name="(˚F wb)20" dataDxfId="272" totalsRowDxfId="32">
      <calculatedColumnFormula>G12*((D12-O12)/B12) + M12*(H12/B12)</calculatedColumnFormula>
    </tableColumn>
    <tableColumn id="30" xr3:uid="{045EE11E-9647-ED4C-9652-8752BBE74982}" name="(h)21" dataDxfId="271" totalsRowDxfId="31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270" totalsRowDxfId="30">
      <calculatedColumnFormula>Table7[[#This Row],[(˚F db)13]]</calculatedColumnFormula>
    </tableColumn>
    <tableColumn id="32" xr3:uid="{5E7C32E8-28E9-554C-93A3-4ED479273F5C}" name="(˚F wb)23" dataDxfId="269" totalsRowDxfId="29">
      <calculatedColumnFormula>Table7[[#This Row],[(˚F wb)14]]</calculatedColumnFormula>
    </tableColumn>
    <tableColumn id="33" xr3:uid="{7EB81F19-A30A-5844-B465-95995C2169F1}" name="(h)24" dataDxfId="268" totalsRowDxfId="28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267" totalsRowDxfId="27"/>
    <tableColumn id="35" xr3:uid="{7A2C2E1E-1049-4241-8E5F-76BCC1035FE0}" name="(Btu/hr)26" dataDxfId="266" totalsRowDxfId="26"/>
    <tableColumn id="36" xr3:uid="{E80AE8D9-52CE-214F-8CAE-BBC7A25C1206}" name="(Btu/hr)27" dataDxfId="265" totalsRowDxfId="25">
      <calculatedColumnFormula>AI12+AH12</calculatedColumnFormula>
    </tableColumn>
    <tableColumn id="37" xr3:uid="{B86C10F8-CA05-8945-8F0F-F9E339D5FA04}" name="(Btu/hr)28" dataDxfId="264" totalsRowDxfId="24">
      <calculatedColumnFormula>B12*1.085*(AB12-AE12)</calculatedColumnFormula>
    </tableColumn>
    <tableColumn id="38" xr3:uid="{3C9101C2-66E5-5844-8571-55FD8B0FA8E4}" name="(Btu/hr)29" dataDxfId="263" totalsRowDxfId="23">
      <calculatedColumnFormula>4.5*B12*(AD12-AG12)</calculatedColumnFormula>
    </tableColumn>
    <tableColumn id="39" xr3:uid="{611DF507-C49C-8E40-9B22-204394B4D484}" name="(Tons)30" dataDxfId="262" totalsRowDxfId="22">
      <calculatedColumnFormula>AL12/12000</calculatedColumnFormula>
    </tableColumn>
    <tableColumn id="40" xr3:uid="{8D69DAB9-C665-1C40-8BEE-2F67013BDA9E}" name="(˚F db)31" dataDxfId="261" totalsRowDxfId="21">
      <calculatedColumnFormula>INPUT_OUTPUTS!$C$11</calculatedColumnFormula>
    </tableColumn>
    <tableColumn id="41" xr3:uid="{2C7A8B9E-09E2-C245-8AD4-9B511603B988}" name="(˚F db)32" dataDxfId="260" totalsRowDxfId="20">
      <calculatedColumnFormula>INPUT_OUTPUTS!$C$12</calculatedColumnFormula>
    </tableColumn>
    <tableColumn id="42" xr3:uid="{97B72D8E-BA89-4E4A-B5D1-F02C61433D68}" name="GPM33" totalsRowFunction="sum" dataDxfId="259" totalsRowDxfId="19">
      <calculatedColumnFormula>AL12/(500*(AO12-AN12))</calculatedColumnFormula>
    </tableColumn>
    <tableColumn id="43" xr3:uid="{EE7A438B-ECC2-DF4B-9129-EA55728EFC2E}" name="(Tons)34" totalsRowFunction="sum" dataDxfId="258" totalsRowDxfId="18">
      <calculatedColumnFormula>MAX(AM12,X12)</calculatedColumnFormula>
    </tableColumn>
    <tableColumn id="44" xr3:uid="{B68CC7E9-570D-A84E-8670-D3C2DEA54479}" name="(CFM)35" dataDxfId="257" totalsRowDxfId="17">
      <calculatedColumnFormula>B12/AM12</calculatedColumnFormula>
    </tableColumn>
    <tableColumn id="59" xr3:uid="{2F2BA6E3-EE55-BA45-94DB-4A9361068B22}" name="GPM MAX" totalsRowFunction="sum" dataDxfId="256" totalsRowDxfId="16">
      <calculatedColumnFormula>MAX(Table7[[#This Row],[GPM33]],Table7[[#This Row],[GPM]])</calculatedColumnFormula>
    </tableColumn>
    <tableColumn id="45" xr3:uid="{033D6B36-8B19-EB4B-A1E7-E7585C21489B}" name="(CFM)36" dataDxfId="255" totalsRowDxfId="15">
      <calculatedColumnFormula>B12</calculatedColumnFormula>
    </tableColumn>
    <tableColumn id="46" xr3:uid="{940C5796-789D-5B4A-9FCD-445173CBE38B}" name="(˚F db)37" dataDxfId="254" totalsRowDxfId="14">
      <calculatedColumnFormula>F12*((D12-O12)/B12) + N12*(H12/B12)</calculatedColumnFormula>
    </tableColumn>
    <tableColumn id="47" xr3:uid="{33252E21-E95C-E84B-AA5C-160823174238}" name="(˚F db)38" dataDxfId="253" totalsRowDxfId="13"/>
    <tableColumn id="48" xr3:uid="{F5FF0CC7-9CD6-DC4B-9AC8-6CF9532FE75F}" name="(MBH)" totalsRowFunction="sum" dataDxfId="252" totalsRowDxfId="12">
      <calculatedColumnFormula>AT12*1.085*(AV12-AU12)/1000</calculatedColumnFormula>
    </tableColumn>
    <tableColumn id="49" xr3:uid="{41191CD7-30B2-EE4D-850D-B2169746F6D6}" name="(˚F db)39" dataDxfId="251" totalsRowDxfId="11">
      <calculatedColumnFormula>INPUT_OUTPUTS!$C$13</calculatedColumnFormula>
    </tableColumn>
    <tableColumn id="50" xr3:uid="{4D3CE10E-9198-0E44-849F-6C7B4A36B8CE}" name="(˚F db)40" dataDxfId="250" totalsRowDxfId="10">
      <calculatedColumnFormula>INPUT_OUTPUTS!$C$14</calculatedColumnFormula>
    </tableColumn>
    <tableColumn id="51" xr3:uid="{01E8F924-565C-4D42-9E39-E87365245FFA}" name="GPM41" totalsRowFunction="sum" dataDxfId="249" totalsRowDxfId="9">
      <calculatedColumnFormula>(AW12*1000)/(500*(AX12-AY12))</calculatedColumnFormula>
    </tableColumn>
    <tableColumn id="52" xr3:uid="{682AB22E-7AB3-E544-B158-3A216817586F}" name="LBS/HR" dataDxfId="248" totalsRowDxfId="8"/>
    <tableColumn id="53" xr3:uid="{9FA51183-6547-7247-B2B7-FE2572F6FDB0}" name="LBS/HR42" dataDxfId="247" totalsRowDxfId="7">
      <calculatedColumnFormula>BA12*(K12/1000)</calculatedColumnFormula>
    </tableColumn>
    <tableColumn id="54" xr3:uid="{D0D7EAE6-3EA2-E244-8B8D-01899554629D}" name="(˚F db)43" dataDxfId="246" totalsRowDxfId="6"/>
    <tableColumn id="56" xr3:uid="{0D1DB506-119B-7043-BE7D-652B0413152C}" name="(˚F db)45" dataDxfId="245" totalsRowDxfId="5"/>
    <tableColumn id="60" xr3:uid="{3575FFB4-394C-DC4E-9487-884A377EB86A}" name="(˚F db)46" totalsRowFunction="sum" dataDxfId="244" totalsRowDxfId="4">
      <calculatedColumnFormula>AHU1_CAV_SCHEDULE[[#Totals],[GPM]]</calculatedColumnFormula>
    </tableColumn>
    <tableColumn id="57" xr3:uid="{C012C8FF-93AB-B94F-BC98-7474F441DD8E}" name="(mbh)46" totalsRowFunction="sum" dataDxfId="243" totalsRowDxfId="3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FDC006C2-572A-9A4A-BECF-70EE873AB92F}">
    <text>Import zone from Revit</text>
  </threadedComment>
  <threadedComment ref="C6" dT="2023-01-20T01:59:19.81" personId="{4EB4B6F3-1969-DB48-B081-3832009A33BA}" id="{F73EAE09-E266-C146-AE12-4FE3D52D5264}">
    <text>Import room from Revit</text>
  </threadedComment>
  <threadedComment ref="D6" dT="2023-01-20T01:59:37.35" personId="{4EB4B6F3-1969-DB48-B081-3832009A33BA}" id="{D8E9BB69-ADEC-DE40-B9D0-2C45BBE11980}">
    <text>Import room number from Revit</text>
  </threadedComment>
  <threadedComment ref="E6" dT="2023-01-20T01:59:56.66" personId="{4EB4B6F3-1969-DB48-B081-3832009A33BA}" id="{13652258-8D47-2F45-944C-1BE34E2EFBAB}">
    <text>Import Area from Revit</text>
  </threadedComment>
  <threadedComment ref="F6" dT="2023-01-20T02:00:11.73" personId="{4EB4B6F3-1969-DB48-B081-3832009A33BA}" id="{F88E1B68-E5FC-8A43-AD2C-0DA1B4D61207}">
    <text>Import height from Revit</text>
  </threadedComment>
  <threadedComment ref="S6" dT="2023-01-20T02:57:22.76" personId="{4EB4B6F3-1969-DB48-B081-3832009A33BA}" id="{69F22033-AE0C-2448-B829-E8D728F9D3D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B96FD918-2090-9C46-BE82-2A53D85596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0B2915EF-F940-F24D-BAB6-1D79BA0963D8}">
    <text xml:space="preserve">Usually automatic, but check and edit as necessary. </text>
  </threadedComment>
  <threadedComment ref="Y6" dT="2023-01-20T02:57:47.98" personId="{4EB4B6F3-1969-DB48-B081-3832009A33BA}" id="{94C3A7AD-2265-B344-B052-C5FECA2DD46C}">
    <text>All cells in this column must be green</text>
  </threadedComment>
  <threadedComment ref="AC6" dT="2023-01-20T03:02:14.75" personId="{4EB4B6F3-1969-DB48-B081-3832009A33BA}" id="{37B832F3-3F20-4B41-B6A6-9CE0491B53BB}">
    <text>Increase or decrease number of rows in this table to match the number of zones.</text>
  </threadedComment>
  <threadedComment ref="P80" dT="2023-01-20T02:10:44.44" personId="{4EB4B6F3-1969-DB48-B081-3832009A33BA}" id="{D32E6257-936E-D748-98B9-62D94B975F96}">
    <text xml:space="preserve">This is a manual number added here when the percent outside air needs to be increased. </text>
  </threadedComment>
  <threadedComment ref="V81" dT="2023-01-20T04:37:46.99" personId="{4EB4B6F3-1969-DB48-B081-3832009A33BA}" id="{C0819507-112C-584A-806B-785D603EB79B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4.xml"/><Relationship Id="rId4" Type="http://schemas.openxmlformats.org/officeDocument/2006/relationships/ctrlProp" Target="../ctrlProps/ctrlProp1.xml"/><Relationship Id="rId9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132000</v>
      </c>
      <c r="AX2" s="66">
        <f>ROUNDUP(T79*INPUT_OUTPUTS!$C$15,-2)</f>
        <v>132000</v>
      </c>
      <c r="AY2" s="65">
        <f>ROUNDUP((P79*INPUT_OUTPUTS!C15)+P80,-2)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2" t="s">
        <v>297</v>
      </c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4"/>
      <c r="W4" s="69"/>
      <c r="Y4"/>
      <c r="Z4"/>
      <c r="AA4"/>
    </row>
    <row r="5" spans="1:54" ht="30">
      <c r="B5" s="86"/>
      <c r="C5" s="86"/>
      <c r="D5" s="205" t="s">
        <v>88</v>
      </c>
      <c r="E5" s="206"/>
      <c r="F5" s="206"/>
      <c r="G5" s="207"/>
      <c r="H5" s="208" t="s">
        <v>89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5" t="s">
        <v>87</v>
      </c>
      <c r="T5" s="206"/>
      <c r="U5" s="206"/>
      <c r="V5" s="207"/>
      <c r="W5" s="86"/>
      <c r="X5" s="209" t="s">
        <v>86</v>
      </c>
      <c r="Y5" s="210"/>
      <c r="Z5" s="211"/>
      <c r="AC5" s="212" t="s">
        <v>124</v>
      </c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1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2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>SUMIF($B$7:$B$78,AC8,$S$7:$S$78)</f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3">AK7</f>
        <v>55</v>
      </c>
      <c r="AL8" s="132">
        <f t="shared" si="13"/>
        <v>85</v>
      </c>
      <c r="AM8" s="132">
        <f t="shared" si="11"/>
        <v>0</v>
      </c>
      <c r="AN8" s="133">
        <f>(AM8*1000)/(500*(AI8-AJ8))</f>
        <v>0</v>
      </c>
      <c r="AO8" s="133">
        <f t="shared" ref="AO8:AO44" si="14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2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5">IFERROR(R9/E9,"-")</f>
        <v>1</v>
      </c>
      <c r="Y9" s="56">
        <f t="shared" ref="Y9:Y72" si="16">IFERROR(((P9/S9)*100),"-")</f>
        <v>33.4</v>
      </c>
      <c r="Z9" s="28">
        <f t="shared" ref="Z9:Z72" si="17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>SUMIF($B$7:$B$78,AC9,$S$7:$S$78)</f>
        <v>0</v>
      </c>
      <c r="AG9" s="132" t="str">
        <f>IFERROR((VLOOKUP(AF9,'DO NOT TOUCH'!$P$9:$Q$14,2,TRUE)),"TBD")</f>
        <v>TBD</v>
      </c>
      <c r="AH9" s="132">
        <f t="shared" ref="AH9:AH44" si="18">AH8</f>
        <v>0.5</v>
      </c>
      <c r="AI9" s="132">
        <f>INPUT_OUTPUTS!$C$13</f>
        <v>140</v>
      </c>
      <c r="AJ9" s="132">
        <f>INPUT_OUTPUTS!$C$14</f>
        <v>100</v>
      </c>
      <c r="AK9" s="132">
        <f t="shared" si="13"/>
        <v>55</v>
      </c>
      <c r="AL9" s="132">
        <f t="shared" si="13"/>
        <v>85</v>
      </c>
      <c r="AM9" s="132">
        <f t="shared" si="11"/>
        <v>0</v>
      </c>
      <c r="AN9" s="133">
        <f t="shared" ref="AN9:AN44" si="19">(AM9*1000)/(500*(AI9-AJ9))</f>
        <v>0</v>
      </c>
      <c r="AO9" s="133">
        <f t="shared" si="14"/>
        <v>0.5</v>
      </c>
      <c r="AP9" s="133">
        <f t="shared" ref="AP9:AP44" si="20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1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2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5"/>
        <v>1</v>
      </c>
      <c r="Y10" s="56">
        <f t="shared" si="16"/>
        <v>33.4</v>
      </c>
      <c r="Z10" s="28">
        <f t="shared" si="17"/>
        <v>6</v>
      </c>
      <c r="AC10" s="131" t="s">
        <v>262</v>
      </c>
      <c r="AD10" s="131" t="s">
        <v>122</v>
      </c>
      <c r="AE10" s="131" t="s">
        <v>128</v>
      </c>
      <c r="AF10" s="132">
        <f>SUMIF($B$7:$B$78,AC10,$S$7:$S$78)</f>
        <v>0</v>
      </c>
      <c r="AG10" s="132" t="str">
        <f>IFERROR((VLOOKUP(AF10,'DO NOT TOUCH'!$P$9:$Q$14,2,TRUE)),"TBD")</f>
        <v>TBD</v>
      </c>
      <c r="AH10" s="132">
        <f t="shared" si="18"/>
        <v>0.5</v>
      </c>
      <c r="AI10" s="132">
        <f>INPUT_OUTPUTS!$C$13</f>
        <v>140</v>
      </c>
      <c r="AJ10" s="132">
        <f>INPUT_OUTPUTS!$C$14</f>
        <v>100</v>
      </c>
      <c r="AK10" s="132">
        <f t="shared" si="13"/>
        <v>55</v>
      </c>
      <c r="AL10" s="132">
        <f t="shared" si="13"/>
        <v>85</v>
      </c>
      <c r="AM10" s="132">
        <f t="shared" si="11"/>
        <v>0</v>
      </c>
      <c r="AN10" s="133">
        <f t="shared" si="19"/>
        <v>0</v>
      </c>
      <c r="AO10" s="133">
        <f t="shared" si="14"/>
        <v>0.5</v>
      </c>
      <c r="AP10" s="133">
        <f t="shared" si="20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1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2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5"/>
        <v>1</v>
      </c>
      <c r="Y11" s="56">
        <f t="shared" si="16"/>
        <v>33.4</v>
      </c>
      <c r="Z11" s="28">
        <f t="shared" si="17"/>
        <v>6</v>
      </c>
      <c r="AC11" s="131" t="s">
        <v>263</v>
      </c>
      <c r="AD11" s="131" t="s">
        <v>122</v>
      </c>
      <c r="AE11" s="131" t="s">
        <v>128</v>
      </c>
      <c r="AF11" s="132">
        <f>SUMIF($B$7:$B$78,AC11,$S$7:$S$78)</f>
        <v>0</v>
      </c>
      <c r="AG11" s="132" t="str">
        <f>IFERROR((VLOOKUP(AF11,'DO NOT TOUCH'!$P$9:$Q$14,2,TRUE)),"TBD")</f>
        <v>TBD</v>
      </c>
      <c r="AH11" s="132">
        <f t="shared" si="18"/>
        <v>0.5</v>
      </c>
      <c r="AI11" s="132">
        <f>INPUT_OUTPUTS!$C$13</f>
        <v>140</v>
      </c>
      <c r="AJ11" s="132">
        <f>INPUT_OUTPUTS!$C$14</f>
        <v>100</v>
      </c>
      <c r="AK11" s="132">
        <f t="shared" si="13"/>
        <v>55</v>
      </c>
      <c r="AL11" s="132">
        <f t="shared" si="13"/>
        <v>85</v>
      </c>
      <c r="AM11" s="132">
        <f t="shared" si="11"/>
        <v>0</v>
      </c>
      <c r="AN11" s="133">
        <f t="shared" si="19"/>
        <v>0</v>
      </c>
      <c r="AO11" s="133">
        <f t="shared" si="14"/>
        <v>0.5</v>
      </c>
      <c r="AP11" s="133">
        <f t="shared" si="20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1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2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5"/>
        <v>1</v>
      </c>
      <c r="Y12" s="56">
        <f t="shared" si="16"/>
        <v>33.4</v>
      </c>
      <c r="Z12" s="28">
        <f t="shared" si="17"/>
        <v>6</v>
      </c>
      <c r="AC12" s="131" t="s">
        <v>264</v>
      </c>
      <c r="AD12" s="131" t="s">
        <v>122</v>
      </c>
      <c r="AE12" s="131" t="s">
        <v>128</v>
      </c>
      <c r="AF12" s="132">
        <f>SUMIF($B$7:$B$78,AC12,$S$7:$S$78)</f>
        <v>0</v>
      </c>
      <c r="AG12" s="132" t="str">
        <f>IFERROR((VLOOKUP(AF12,'DO NOT TOUCH'!$P$9:$Q$14,2,TRUE)),"TBD")</f>
        <v>TBD</v>
      </c>
      <c r="AH12" s="132">
        <f t="shared" si="18"/>
        <v>0.5</v>
      </c>
      <c r="AI12" s="132">
        <f>INPUT_OUTPUTS!$C$13</f>
        <v>140</v>
      </c>
      <c r="AJ12" s="132">
        <f>INPUT_OUTPUTS!$C$14</f>
        <v>100</v>
      </c>
      <c r="AK12" s="132">
        <f t="shared" si="13"/>
        <v>55</v>
      </c>
      <c r="AL12" s="132">
        <f t="shared" si="13"/>
        <v>85</v>
      </c>
      <c r="AM12" s="132">
        <f t="shared" si="11"/>
        <v>0</v>
      </c>
      <c r="AN12" s="133">
        <f t="shared" si="19"/>
        <v>0</v>
      </c>
      <c r="AO12" s="133">
        <f t="shared" si="14"/>
        <v>0.5</v>
      </c>
      <c r="AP12" s="133">
        <f t="shared" si="20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1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2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5"/>
        <v>1</v>
      </c>
      <c r="Y13" s="56">
        <f t="shared" si="16"/>
        <v>33.4</v>
      </c>
      <c r="Z13" s="28">
        <f t="shared" si="17"/>
        <v>6</v>
      </c>
      <c r="AC13" s="134" t="s">
        <v>265</v>
      </c>
      <c r="AD13" s="131" t="s">
        <v>122</v>
      </c>
      <c r="AE13" s="131" t="s">
        <v>128</v>
      </c>
      <c r="AF13" s="132">
        <f>SUMIF($B$7:$B$78,AC13,$S$7:$S$78)</f>
        <v>0</v>
      </c>
      <c r="AG13" s="132" t="str">
        <f>IFERROR((VLOOKUP(AF13,'DO NOT TOUCH'!$P$9:$Q$14,2,TRUE)),"TBD")</f>
        <v>TBD</v>
      </c>
      <c r="AH13" s="132">
        <f t="shared" si="18"/>
        <v>0.5</v>
      </c>
      <c r="AI13" s="132">
        <f>INPUT_OUTPUTS!$C$13</f>
        <v>140</v>
      </c>
      <c r="AJ13" s="132">
        <f>INPUT_OUTPUTS!$C$14</f>
        <v>100</v>
      </c>
      <c r="AK13" s="132">
        <f t="shared" si="13"/>
        <v>55</v>
      </c>
      <c r="AL13" s="132">
        <f t="shared" si="13"/>
        <v>85</v>
      </c>
      <c r="AM13" s="132">
        <f t="shared" si="11"/>
        <v>0</v>
      </c>
      <c r="AN13" s="133">
        <f t="shared" si="19"/>
        <v>0</v>
      </c>
      <c r="AO13" s="133">
        <f t="shared" si="14"/>
        <v>0.5</v>
      </c>
      <c r="AP13" s="133">
        <f t="shared" si="20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1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2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5"/>
        <v>1</v>
      </c>
      <c r="Y14" s="56">
        <f t="shared" si="16"/>
        <v>33.4</v>
      </c>
      <c r="Z14" s="28">
        <f t="shared" si="17"/>
        <v>6</v>
      </c>
      <c r="AC14" s="134" t="s">
        <v>266</v>
      </c>
      <c r="AD14" s="131" t="s">
        <v>122</v>
      </c>
      <c r="AE14" s="131" t="s">
        <v>128</v>
      </c>
      <c r="AF14" s="132">
        <f>SUMIF($B$7:$B$78,AC14,$S$7:$S$78)</f>
        <v>0</v>
      </c>
      <c r="AG14" s="132" t="str">
        <f>IFERROR((VLOOKUP(AF14,'DO NOT TOUCH'!$P$9:$Q$14,2,TRUE)),"TBD")</f>
        <v>TBD</v>
      </c>
      <c r="AH14" s="132">
        <f t="shared" si="18"/>
        <v>0.5</v>
      </c>
      <c r="AI14" s="132">
        <f>INPUT_OUTPUTS!$C$13</f>
        <v>140</v>
      </c>
      <c r="AJ14" s="132">
        <f>INPUT_OUTPUTS!$C$14</f>
        <v>100</v>
      </c>
      <c r="AK14" s="132">
        <f t="shared" si="13"/>
        <v>55</v>
      </c>
      <c r="AL14" s="132">
        <f t="shared" si="13"/>
        <v>85</v>
      </c>
      <c r="AM14" s="132">
        <f t="shared" si="11"/>
        <v>0</v>
      </c>
      <c r="AN14" s="133">
        <f t="shared" si="19"/>
        <v>0</v>
      </c>
      <c r="AO14" s="133">
        <f t="shared" si="14"/>
        <v>0.5</v>
      </c>
      <c r="AP14" s="133">
        <f t="shared" si="20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1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2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5"/>
        <v>1</v>
      </c>
      <c r="Y15" s="56">
        <f t="shared" si="16"/>
        <v>33.4</v>
      </c>
      <c r="Z15" s="28">
        <f t="shared" si="17"/>
        <v>6</v>
      </c>
      <c r="AC15" s="134" t="s">
        <v>267</v>
      </c>
      <c r="AD15" s="131" t="s">
        <v>122</v>
      </c>
      <c r="AE15" s="131" t="s">
        <v>128</v>
      </c>
      <c r="AF15" s="132">
        <f>SUMIF($B$7:$B$78,AC15,$S$7:$S$78)</f>
        <v>0</v>
      </c>
      <c r="AG15" s="132" t="str">
        <f>IFERROR((VLOOKUP(AF15,'DO NOT TOUCH'!$P$9:$Q$14,2,TRUE)),"TBD")</f>
        <v>TBD</v>
      </c>
      <c r="AH15" s="132">
        <f t="shared" si="18"/>
        <v>0.5</v>
      </c>
      <c r="AI15" s="132">
        <f>INPUT_OUTPUTS!$C$13</f>
        <v>140</v>
      </c>
      <c r="AJ15" s="132">
        <f>INPUT_OUTPUTS!$C$14</f>
        <v>100</v>
      </c>
      <c r="AK15" s="132">
        <f t="shared" si="13"/>
        <v>55</v>
      </c>
      <c r="AL15" s="132">
        <f t="shared" si="13"/>
        <v>85</v>
      </c>
      <c r="AM15" s="132">
        <f t="shared" si="11"/>
        <v>0</v>
      </c>
      <c r="AN15" s="133">
        <f t="shared" si="19"/>
        <v>0</v>
      </c>
      <c r="AO15" s="133">
        <f t="shared" si="14"/>
        <v>0.5</v>
      </c>
      <c r="AP15" s="133">
        <f t="shared" si="20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1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2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5"/>
        <v>1</v>
      </c>
      <c r="Y16" s="56">
        <f t="shared" si="16"/>
        <v>33.4</v>
      </c>
      <c r="Z16" s="28">
        <f t="shared" si="17"/>
        <v>6</v>
      </c>
      <c r="AC16" s="134" t="s">
        <v>268</v>
      </c>
      <c r="AD16" s="131" t="s">
        <v>122</v>
      </c>
      <c r="AE16" s="131" t="s">
        <v>128</v>
      </c>
      <c r="AF16" s="132">
        <f>SUMIF($B$7:$B$78,AC16,$S$7:$S$78)</f>
        <v>0</v>
      </c>
      <c r="AG16" s="132" t="str">
        <f>IFERROR((VLOOKUP(AF16,'DO NOT TOUCH'!$P$9:$Q$14,2,TRUE)),"TBD")</f>
        <v>TBD</v>
      </c>
      <c r="AH16" s="132">
        <f t="shared" si="18"/>
        <v>0.5</v>
      </c>
      <c r="AI16" s="132">
        <f>INPUT_OUTPUTS!$C$13</f>
        <v>140</v>
      </c>
      <c r="AJ16" s="132">
        <f>INPUT_OUTPUTS!$C$14</f>
        <v>100</v>
      </c>
      <c r="AK16" s="132">
        <f t="shared" si="13"/>
        <v>55</v>
      </c>
      <c r="AL16" s="132">
        <f t="shared" si="13"/>
        <v>85</v>
      </c>
      <c r="AM16" s="132">
        <f t="shared" si="11"/>
        <v>0</v>
      </c>
      <c r="AN16" s="133">
        <f t="shared" si="19"/>
        <v>0</v>
      </c>
      <c r="AO16" s="133">
        <f t="shared" si="14"/>
        <v>0.5</v>
      </c>
      <c r="AP16" s="133">
        <f t="shared" si="20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1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2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5"/>
        <v>1</v>
      </c>
      <c r="Y17" s="56">
        <f t="shared" si="16"/>
        <v>33.4</v>
      </c>
      <c r="Z17" s="28">
        <f t="shared" si="17"/>
        <v>6</v>
      </c>
      <c r="AC17" s="134" t="s">
        <v>269</v>
      </c>
      <c r="AD17" s="131" t="s">
        <v>122</v>
      </c>
      <c r="AE17" s="131" t="s">
        <v>128</v>
      </c>
      <c r="AF17" s="132">
        <f>SUMIF($B$7:$B$78,AC17,$S$7:$S$78)</f>
        <v>0</v>
      </c>
      <c r="AG17" s="132" t="str">
        <f>IFERROR((VLOOKUP(AF17,'DO NOT TOUCH'!$P$9:$Q$14,2,TRUE)),"TBD")</f>
        <v>TBD</v>
      </c>
      <c r="AH17" s="132">
        <f t="shared" si="18"/>
        <v>0.5</v>
      </c>
      <c r="AI17" s="132">
        <f>INPUT_OUTPUTS!$C$13</f>
        <v>140</v>
      </c>
      <c r="AJ17" s="132">
        <f>INPUT_OUTPUTS!$C$14</f>
        <v>100</v>
      </c>
      <c r="AK17" s="132">
        <f t="shared" si="13"/>
        <v>55</v>
      </c>
      <c r="AL17" s="132">
        <f t="shared" si="13"/>
        <v>85</v>
      </c>
      <c r="AM17" s="132">
        <f t="shared" si="11"/>
        <v>0</v>
      </c>
      <c r="AN17" s="133">
        <f t="shared" si="19"/>
        <v>0</v>
      </c>
      <c r="AO17" s="133">
        <f t="shared" si="14"/>
        <v>0.5</v>
      </c>
      <c r="AP17" s="133">
        <f t="shared" si="20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1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2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5"/>
        <v>-</v>
      </c>
      <c r="Y18" s="56" t="str">
        <f t="shared" si="16"/>
        <v>-</v>
      </c>
      <c r="Z18" s="28" t="str">
        <f t="shared" si="17"/>
        <v>-</v>
      </c>
      <c r="AC18" s="134" t="s">
        <v>270</v>
      </c>
      <c r="AD18" s="131" t="s">
        <v>122</v>
      </c>
      <c r="AE18" s="131" t="s">
        <v>128</v>
      </c>
      <c r="AF18" s="132">
        <f>SUMIF($B$7:$B$78,AC18,$S$7:$S$78)</f>
        <v>0</v>
      </c>
      <c r="AG18" s="132" t="str">
        <f>IFERROR((VLOOKUP(AF18,'DO NOT TOUCH'!$P$9:$Q$14,2,TRUE)),"TBD")</f>
        <v>TBD</v>
      </c>
      <c r="AH18" s="132">
        <f t="shared" si="18"/>
        <v>0.5</v>
      </c>
      <c r="AI18" s="132">
        <f>INPUT_OUTPUTS!$C$13</f>
        <v>140</v>
      </c>
      <c r="AJ18" s="132">
        <f>INPUT_OUTPUTS!$C$14</f>
        <v>100</v>
      </c>
      <c r="AK18" s="132">
        <f t="shared" si="13"/>
        <v>55</v>
      </c>
      <c r="AL18" s="132">
        <f t="shared" si="13"/>
        <v>85</v>
      </c>
      <c r="AM18" s="132">
        <f t="shared" si="11"/>
        <v>0</v>
      </c>
      <c r="AN18" s="133">
        <f t="shared" si="19"/>
        <v>0</v>
      </c>
      <c r="AO18" s="133">
        <f t="shared" si="14"/>
        <v>0.5</v>
      </c>
      <c r="AP18" s="133">
        <f t="shared" si="20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1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2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5"/>
        <v>-</v>
      </c>
      <c r="Y19" s="56" t="str">
        <f t="shared" si="16"/>
        <v>-</v>
      </c>
      <c r="Z19" s="28" t="str">
        <f t="shared" si="17"/>
        <v>-</v>
      </c>
      <c r="AC19" s="134" t="s">
        <v>271</v>
      </c>
      <c r="AD19" s="131" t="s">
        <v>122</v>
      </c>
      <c r="AE19" s="131" t="s">
        <v>128</v>
      </c>
      <c r="AF19" s="132">
        <f>SUMIF($B$7:$B$78,AC19,$S$7:$S$78)</f>
        <v>0</v>
      </c>
      <c r="AG19" s="132" t="str">
        <f>IFERROR((VLOOKUP(AF19,'DO NOT TOUCH'!$P$9:$Q$14,2,TRUE)),"TBD")</f>
        <v>TBD</v>
      </c>
      <c r="AH19" s="132">
        <f t="shared" si="18"/>
        <v>0.5</v>
      </c>
      <c r="AI19" s="132">
        <f>INPUT_OUTPUTS!$C$13</f>
        <v>140</v>
      </c>
      <c r="AJ19" s="132">
        <f>INPUT_OUTPUTS!$C$14</f>
        <v>100</v>
      </c>
      <c r="AK19" s="132">
        <f t="shared" si="13"/>
        <v>55</v>
      </c>
      <c r="AL19" s="132">
        <f t="shared" si="13"/>
        <v>85</v>
      </c>
      <c r="AM19" s="132">
        <f t="shared" si="11"/>
        <v>0</v>
      </c>
      <c r="AN19" s="133">
        <f t="shared" si="19"/>
        <v>0</v>
      </c>
      <c r="AO19" s="133">
        <f t="shared" si="14"/>
        <v>0.5</v>
      </c>
      <c r="AP19" s="133">
        <f t="shared" si="20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1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2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5"/>
        <v>-</v>
      </c>
      <c r="Y20" s="56" t="str">
        <f t="shared" si="16"/>
        <v>-</v>
      </c>
      <c r="Z20" s="28" t="str">
        <f t="shared" si="17"/>
        <v>-</v>
      </c>
      <c r="AC20" s="134" t="s">
        <v>272</v>
      </c>
      <c r="AD20" s="131" t="s">
        <v>122</v>
      </c>
      <c r="AE20" s="131" t="s">
        <v>128</v>
      </c>
      <c r="AF20" s="132">
        <f>SUMIF($B$7:$B$78,AC20,$S$7:$S$78)</f>
        <v>0</v>
      </c>
      <c r="AG20" s="132" t="str">
        <f>IFERROR((VLOOKUP(AF20,'DO NOT TOUCH'!$P$9:$Q$14,2,TRUE)),"TBD")</f>
        <v>TBD</v>
      </c>
      <c r="AH20" s="132">
        <f t="shared" si="18"/>
        <v>0.5</v>
      </c>
      <c r="AI20" s="132">
        <f>INPUT_OUTPUTS!$C$13</f>
        <v>140</v>
      </c>
      <c r="AJ20" s="132">
        <f>INPUT_OUTPUTS!$C$14</f>
        <v>100</v>
      </c>
      <c r="AK20" s="132">
        <f t="shared" si="13"/>
        <v>55</v>
      </c>
      <c r="AL20" s="132">
        <f t="shared" si="13"/>
        <v>85</v>
      </c>
      <c r="AM20" s="132">
        <f t="shared" si="11"/>
        <v>0</v>
      </c>
      <c r="AN20" s="133">
        <f t="shared" si="19"/>
        <v>0</v>
      </c>
      <c r="AO20" s="133">
        <f t="shared" si="14"/>
        <v>0.5</v>
      </c>
      <c r="AP20" s="133">
        <f t="shared" si="20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1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2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5"/>
        <v>-</v>
      </c>
      <c r="Y21" s="56" t="str">
        <f t="shared" si="16"/>
        <v>-</v>
      </c>
      <c r="Z21" s="28" t="str">
        <f t="shared" si="17"/>
        <v>-</v>
      </c>
      <c r="AC21" s="134" t="s">
        <v>273</v>
      </c>
      <c r="AD21" s="131" t="s">
        <v>122</v>
      </c>
      <c r="AE21" s="131" t="s">
        <v>128</v>
      </c>
      <c r="AF21" s="132">
        <f>SUMIF($B$7:$B$78,AC21,$S$7:$S$78)</f>
        <v>0</v>
      </c>
      <c r="AG21" s="132" t="str">
        <f>IFERROR((VLOOKUP(AF21,'DO NOT TOUCH'!$P$9:$Q$14,2,TRUE)),"TBD")</f>
        <v>TBD</v>
      </c>
      <c r="AH21" s="132">
        <f t="shared" si="18"/>
        <v>0.5</v>
      </c>
      <c r="AI21" s="132">
        <f>INPUT_OUTPUTS!$C$13</f>
        <v>140</v>
      </c>
      <c r="AJ21" s="132">
        <f>INPUT_OUTPUTS!$C$14</f>
        <v>100</v>
      </c>
      <c r="AK21" s="132">
        <f t="shared" si="13"/>
        <v>55</v>
      </c>
      <c r="AL21" s="132">
        <f t="shared" si="13"/>
        <v>85</v>
      </c>
      <c r="AM21" s="132">
        <f t="shared" si="11"/>
        <v>0</v>
      </c>
      <c r="AN21" s="133">
        <f t="shared" si="19"/>
        <v>0</v>
      </c>
      <c r="AO21" s="133">
        <f t="shared" si="14"/>
        <v>0.5</v>
      </c>
      <c r="AP21" s="133">
        <f t="shared" si="20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1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2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5"/>
        <v>-</v>
      </c>
      <c r="Y22" s="56" t="str">
        <f t="shared" si="16"/>
        <v>-</v>
      </c>
      <c r="Z22" s="28" t="str">
        <f t="shared" si="17"/>
        <v>-</v>
      </c>
      <c r="AC22" s="134" t="s">
        <v>274</v>
      </c>
      <c r="AD22" s="131" t="s">
        <v>122</v>
      </c>
      <c r="AE22" s="131" t="s">
        <v>128</v>
      </c>
      <c r="AF22" s="132">
        <f>SUMIF($B$7:$B$78,AC22,$S$7:$S$78)</f>
        <v>0</v>
      </c>
      <c r="AG22" s="132" t="str">
        <f>IFERROR((VLOOKUP(AF22,'DO NOT TOUCH'!$P$9:$Q$14,2,TRUE)),"TBD")</f>
        <v>TBD</v>
      </c>
      <c r="AH22" s="132">
        <f t="shared" si="18"/>
        <v>0.5</v>
      </c>
      <c r="AI22" s="132">
        <f>INPUT_OUTPUTS!$C$13</f>
        <v>140</v>
      </c>
      <c r="AJ22" s="132">
        <f>INPUT_OUTPUTS!$C$14</f>
        <v>100</v>
      </c>
      <c r="AK22" s="132">
        <f t="shared" si="13"/>
        <v>55</v>
      </c>
      <c r="AL22" s="132">
        <f t="shared" si="13"/>
        <v>85</v>
      </c>
      <c r="AM22" s="132">
        <f t="shared" si="11"/>
        <v>0</v>
      </c>
      <c r="AN22" s="133">
        <f t="shared" si="19"/>
        <v>0</v>
      </c>
      <c r="AO22" s="133">
        <f t="shared" si="14"/>
        <v>0.5</v>
      </c>
      <c r="AP22" s="133">
        <f t="shared" si="20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1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2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5"/>
        <v>-</v>
      </c>
      <c r="Y23" s="56" t="str">
        <f t="shared" si="16"/>
        <v>-</v>
      </c>
      <c r="Z23" s="28" t="str">
        <f t="shared" si="17"/>
        <v>-</v>
      </c>
      <c r="AC23" s="134" t="s">
        <v>275</v>
      </c>
      <c r="AD23" s="131" t="s">
        <v>122</v>
      </c>
      <c r="AE23" s="131" t="s">
        <v>128</v>
      </c>
      <c r="AF23" s="132">
        <f>SUMIF($B$7:$B$78,AC23,$S$7:$S$78)</f>
        <v>0</v>
      </c>
      <c r="AG23" s="132" t="str">
        <f>IFERROR((VLOOKUP(AF23,'DO NOT TOUCH'!$P$9:$Q$14,2,TRUE)),"TBD")</f>
        <v>TBD</v>
      </c>
      <c r="AH23" s="132">
        <f t="shared" si="18"/>
        <v>0.5</v>
      </c>
      <c r="AI23" s="132">
        <f>INPUT_OUTPUTS!$C$13</f>
        <v>140</v>
      </c>
      <c r="AJ23" s="132">
        <f>INPUT_OUTPUTS!$C$14</f>
        <v>100</v>
      </c>
      <c r="AK23" s="132">
        <f t="shared" si="13"/>
        <v>55</v>
      </c>
      <c r="AL23" s="132">
        <f t="shared" si="13"/>
        <v>85</v>
      </c>
      <c r="AM23" s="132">
        <f t="shared" si="11"/>
        <v>0</v>
      </c>
      <c r="AN23" s="133">
        <f t="shared" si="19"/>
        <v>0</v>
      </c>
      <c r="AO23" s="133">
        <f t="shared" si="14"/>
        <v>0.5</v>
      </c>
      <c r="AP23" s="133">
        <f t="shared" si="20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1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2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5"/>
        <v>-</v>
      </c>
      <c r="Y24" s="56" t="str">
        <f t="shared" si="16"/>
        <v>-</v>
      </c>
      <c r="Z24" s="28" t="str">
        <f t="shared" si="17"/>
        <v>-</v>
      </c>
      <c r="AC24" s="134" t="s">
        <v>276</v>
      </c>
      <c r="AD24" s="131" t="s">
        <v>122</v>
      </c>
      <c r="AE24" s="131" t="s">
        <v>128</v>
      </c>
      <c r="AF24" s="132">
        <f>SUMIF($B$7:$B$78,AC24,$S$7:$S$78)</f>
        <v>0</v>
      </c>
      <c r="AG24" s="132" t="str">
        <f>IFERROR((VLOOKUP(AF24,'DO NOT TOUCH'!$P$9:$Q$14,2,TRUE)),"TBD")</f>
        <v>TBD</v>
      </c>
      <c r="AH24" s="132">
        <f t="shared" si="18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2">AK23</f>
        <v>55</v>
      </c>
      <c r="AL24" s="132">
        <f t="shared" si="22"/>
        <v>85</v>
      </c>
      <c r="AM24" s="132">
        <f t="shared" si="11"/>
        <v>0</v>
      </c>
      <c r="AN24" s="133">
        <f t="shared" si="19"/>
        <v>0</v>
      </c>
      <c r="AO24" s="133">
        <f t="shared" si="14"/>
        <v>0.5</v>
      </c>
      <c r="AP24" s="133">
        <f t="shared" si="20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1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2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5"/>
        <v>-</v>
      </c>
      <c r="Y25" s="56" t="str">
        <f t="shared" si="16"/>
        <v>-</v>
      </c>
      <c r="Z25" s="28" t="str">
        <f t="shared" si="17"/>
        <v>-</v>
      </c>
      <c r="AC25" s="134" t="s">
        <v>277</v>
      </c>
      <c r="AD25" s="131" t="s">
        <v>122</v>
      </c>
      <c r="AE25" s="131" t="s">
        <v>128</v>
      </c>
      <c r="AF25" s="132">
        <f>SUMIF($B$7:$B$78,AC25,$S$7:$S$78)</f>
        <v>0</v>
      </c>
      <c r="AG25" s="132" t="str">
        <f>IFERROR((VLOOKUP(AF25,'DO NOT TOUCH'!$P$9:$Q$14,2,TRUE)),"TBD")</f>
        <v>TBD</v>
      </c>
      <c r="AH25" s="132">
        <f t="shared" si="18"/>
        <v>0.5</v>
      </c>
      <c r="AI25" s="132">
        <f>INPUT_OUTPUTS!$C$13</f>
        <v>140</v>
      </c>
      <c r="AJ25" s="132">
        <f>INPUT_OUTPUTS!$C$14</f>
        <v>100</v>
      </c>
      <c r="AK25" s="132">
        <f t="shared" si="22"/>
        <v>55</v>
      </c>
      <c r="AL25" s="132">
        <f t="shared" si="22"/>
        <v>85</v>
      </c>
      <c r="AM25" s="132">
        <f t="shared" si="11"/>
        <v>0</v>
      </c>
      <c r="AN25" s="133">
        <f t="shared" si="19"/>
        <v>0</v>
      </c>
      <c r="AO25" s="133">
        <f t="shared" si="14"/>
        <v>0.5</v>
      </c>
      <c r="AP25" s="133">
        <f t="shared" si="20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1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2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5"/>
        <v>-</v>
      </c>
      <c r="Y26" s="56" t="str">
        <f t="shared" si="16"/>
        <v>-</v>
      </c>
      <c r="Z26" s="28" t="str">
        <f t="shared" si="17"/>
        <v>-</v>
      </c>
      <c r="AC26" s="134" t="s">
        <v>278</v>
      </c>
      <c r="AD26" s="131" t="s">
        <v>122</v>
      </c>
      <c r="AE26" s="131" t="s">
        <v>128</v>
      </c>
      <c r="AF26" s="132">
        <f>SUMIF($B$7:$B$78,AC26,$S$7:$S$78)</f>
        <v>0</v>
      </c>
      <c r="AG26" s="132" t="str">
        <f>IFERROR((VLOOKUP(AF26,'DO NOT TOUCH'!$P$9:$Q$14,2,TRUE)),"TBD")</f>
        <v>TBD</v>
      </c>
      <c r="AH26" s="132">
        <f t="shared" si="18"/>
        <v>0.5</v>
      </c>
      <c r="AI26" s="132">
        <f>INPUT_OUTPUTS!$C$13</f>
        <v>140</v>
      </c>
      <c r="AJ26" s="132">
        <f>INPUT_OUTPUTS!$C$14</f>
        <v>100</v>
      </c>
      <c r="AK26" s="132">
        <f t="shared" si="22"/>
        <v>55</v>
      </c>
      <c r="AL26" s="132">
        <f t="shared" si="22"/>
        <v>85</v>
      </c>
      <c r="AM26" s="132">
        <f t="shared" si="11"/>
        <v>0</v>
      </c>
      <c r="AN26" s="133">
        <f t="shared" si="19"/>
        <v>0</v>
      </c>
      <c r="AO26" s="133">
        <f t="shared" si="14"/>
        <v>0.5</v>
      </c>
      <c r="AP26" s="133">
        <f t="shared" si="20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1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2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5"/>
        <v>-</v>
      </c>
      <c r="Y27" s="56" t="str">
        <f t="shared" si="16"/>
        <v>-</v>
      </c>
      <c r="Z27" s="28" t="str">
        <f t="shared" si="17"/>
        <v>-</v>
      </c>
      <c r="AC27" s="134" t="s">
        <v>279</v>
      </c>
      <c r="AD27" s="131" t="s">
        <v>122</v>
      </c>
      <c r="AE27" s="131" t="s">
        <v>128</v>
      </c>
      <c r="AF27" s="132">
        <f>SUMIF($B$7:$B$78,AC27,$S$7:$S$78)</f>
        <v>0</v>
      </c>
      <c r="AG27" s="132" t="str">
        <f>IFERROR((VLOOKUP(AF27,'DO NOT TOUCH'!$P$9:$Q$14,2,TRUE)),"TBD")</f>
        <v>TBD</v>
      </c>
      <c r="AH27" s="132">
        <f t="shared" si="18"/>
        <v>0.5</v>
      </c>
      <c r="AI27" s="132">
        <f>INPUT_OUTPUTS!$C$13</f>
        <v>140</v>
      </c>
      <c r="AJ27" s="132">
        <f>INPUT_OUTPUTS!$C$14</f>
        <v>100</v>
      </c>
      <c r="AK27" s="132">
        <f t="shared" si="22"/>
        <v>55</v>
      </c>
      <c r="AL27" s="132">
        <f t="shared" si="22"/>
        <v>85</v>
      </c>
      <c r="AM27" s="132">
        <f t="shared" si="11"/>
        <v>0</v>
      </c>
      <c r="AN27" s="133">
        <f t="shared" si="19"/>
        <v>0</v>
      </c>
      <c r="AO27" s="133">
        <f t="shared" si="14"/>
        <v>0.5</v>
      </c>
      <c r="AP27" s="133">
        <f t="shared" si="20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1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2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5"/>
        <v>-</v>
      </c>
      <c r="Y28" s="56" t="str">
        <f t="shared" si="16"/>
        <v>-</v>
      </c>
      <c r="Z28" s="28" t="str">
        <f t="shared" si="17"/>
        <v>-</v>
      </c>
      <c r="AC28" s="134" t="s">
        <v>280</v>
      </c>
      <c r="AD28" s="131" t="s">
        <v>122</v>
      </c>
      <c r="AE28" s="131" t="s">
        <v>128</v>
      </c>
      <c r="AF28" s="132">
        <f>SUMIF($B$7:$B$78,AC28,$S$7:$S$78)</f>
        <v>0</v>
      </c>
      <c r="AG28" s="132" t="str">
        <f>IFERROR((VLOOKUP(AF28,'DO NOT TOUCH'!$P$9:$Q$14,2,TRUE)),"TBD")</f>
        <v>TBD</v>
      </c>
      <c r="AH28" s="132">
        <f t="shared" si="18"/>
        <v>0.5</v>
      </c>
      <c r="AI28" s="132">
        <f>INPUT_OUTPUTS!$C$13</f>
        <v>140</v>
      </c>
      <c r="AJ28" s="132">
        <f>INPUT_OUTPUTS!$C$14</f>
        <v>100</v>
      </c>
      <c r="AK28" s="132">
        <f t="shared" si="22"/>
        <v>55</v>
      </c>
      <c r="AL28" s="132">
        <f t="shared" si="22"/>
        <v>85</v>
      </c>
      <c r="AM28" s="132">
        <f t="shared" si="11"/>
        <v>0</v>
      </c>
      <c r="AN28" s="133">
        <f t="shared" si="19"/>
        <v>0</v>
      </c>
      <c r="AO28" s="133">
        <f t="shared" si="14"/>
        <v>0.5</v>
      </c>
      <c r="AP28" s="133">
        <f t="shared" si="20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1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2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5"/>
        <v>-</v>
      </c>
      <c r="Y29" s="56" t="str">
        <f t="shared" si="16"/>
        <v>-</v>
      </c>
      <c r="Z29" s="28" t="str">
        <f t="shared" si="17"/>
        <v>-</v>
      </c>
      <c r="AC29" s="134" t="s">
        <v>281</v>
      </c>
      <c r="AD29" s="131" t="s">
        <v>122</v>
      </c>
      <c r="AE29" s="131" t="s">
        <v>128</v>
      </c>
      <c r="AF29" s="132">
        <f>SUMIF($B$7:$B$78,AC29,$S$7:$S$78)</f>
        <v>0</v>
      </c>
      <c r="AG29" s="132" t="str">
        <f>IFERROR((VLOOKUP(AF29,'DO NOT TOUCH'!$P$9:$Q$14,2,TRUE)),"TBD")</f>
        <v>TBD</v>
      </c>
      <c r="AH29" s="132">
        <f t="shared" si="18"/>
        <v>0.5</v>
      </c>
      <c r="AI29" s="132">
        <f>INPUT_OUTPUTS!$C$13</f>
        <v>140</v>
      </c>
      <c r="AJ29" s="132">
        <f>INPUT_OUTPUTS!$C$14</f>
        <v>100</v>
      </c>
      <c r="AK29" s="132">
        <f t="shared" si="22"/>
        <v>55</v>
      </c>
      <c r="AL29" s="132">
        <f t="shared" si="22"/>
        <v>85</v>
      </c>
      <c r="AM29" s="132">
        <f t="shared" si="11"/>
        <v>0</v>
      </c>
      <c r="AN29" s="133">
        <f t="shared" si="19"/>
        <v>0</v>
      </c>
      <c r="AO29" s="133">
        <f t="shared" si="14"/>
        <v>0.5</v>
      </c>
      <c r="AP29" s="133">
        <f t="shared" si="20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1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2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5"/>
        <v>-</v>
      </c>
      <c r="Y30" s="56" t="str">
        <f t="shared" si="16"/>
        <v>-</v>
      </c>
      <c r="Z30" s="28" t="str">
        <f t="shared" si="17"/>
        <v>-</v>
      </c>
      <c r="AC30" s="134" t="s">
        <v>282</v>
      </c>
      <c r="AD30" s="131" t="s">
        <v>122</v>
      </c>
      <c r="AE30" s="131" t="s">
        <v>128</v>
      </c>
      <c r="AF30" s="132">
        <f>SUMIF($B$7:$B$78,AC30,$S$7:$S$78)</f>
        <v>0</v>
      </c>
      <c r="AG30" s="132" t="str">
        <f>IFERROR((VLOOKUP(AF30,'DO NOT TOUCH'!$P$9:$Q$14,2,TRUE)),"TBD")</f>
        <v>TBD</v>
      </c>
      <c r="AH30" s="132">
        <f t="shared" si="18"/>
        <v>0.5</v>
      </c>
      <c r="AI30" s="132">
        <f>INPUT_OUTPUTS!$C$13</f>
        <v>140</v>
      </c>
      <c r="AJ30" s="132">
        <f>INPUT_OUTPUTS!$C$14</f>
        <v>100</v>
      </c>
      <c r="AK30" s="132">
        <f t="shared" si="22"/>
        <v>55</v>
      </c>
      <c r="AL30" s="132">
        <f t="shared" si="22"/>
        <v>85</v>
      </c>
      <c r="AM30" s="132">
        <f t="shared" si="11"/>
        <v>0</v>
      </c>
      <c r="AN30" s="133">
        <f t="shared" si="19"/>
        <v>0</v>
      </c>
      <c r="AO30" s="133">
        <f t="shared" si="14"/>
        <v>0.5</v>
      </c>
      <c r="AP30" s="133">
        <f t="shared" si="20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1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2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5"/>
        <v>-</v>
      </c>
      <c r="Y31" s="56" t="str">
        <f t="shared" si="16"/>
        <v>-</v>
      </c>
      <c r="Z31" s="28" t="str">
        <f t="shared" si="17"/>
        <v>-</v>
      </c>
      <c r="AC31" s="134" t="s">
        <v>283</v>
      </c>
      <c r="AD31" s="131" t="s">
        <v>122</v>
      </c>
      <c r="AE31" s="131" t="s">
        <v>128</v>
      </c>
      <c r="AF31" s="132">
        <f>SUMIF($B$7:$B$78,AC31,$S$7:$S$78)</f>
        <v>0</v>
      </c>
      <c r="AG31" s="132" t="str">
        <f>IFERROR((VLOOKUP(AF31,'DO NOT TOUCH'!$P$9:$Q$14,2,TRUE)),"TBD")</f>
        <v>TBD</v>
      </c>
      <c r="AH31" s="132">
        <f t="shared" si="18"/>
        <v>0.5</v>
      </c>
      <c r="AI31" s="132">
        <f>INPUT_OUTPUTS!$C$13</f>
        <v>140</v>
      </c>
      <c r="AJ31" s="132">
        <f>INPUT_OUTPUTS!$C$14</f>
        <v>100</v>
      </c>
      <c r="AK31" s="132">
        <f t="shared" si="22"/>
        <v>55</v>
      </c>
      <c r="AL31" s="132">
        <f t="shared" si="22"/>
        <v>85</v>
      </c>
      <c r="AM31" s="132">
        <f t="shared" si="11"/>
        <v>0</v>
      </c>
      <c r="AN31" s="133">
        <f t="shared" si="19"/>
        <v>0</v>
      </c>
      <c r="AO31" s="133">
        <f t="shared" si="14"/>
        <v>0.5</v>
      </c>
      <c r="AP31" s="133">
        <f t="shared" si="20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1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2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5"/>
        <v>-</v>
      </c>
      <c r="Y32" s="56" t="str">
        <f t="shared" si="16"/>
        <v>-</v>
      </c>
      <c r="Z32" s="28" t="str">
        <f t="shared" si="17"/>
        <v>-</v>
      </c>
      <c r="AC32" s="134" t="s">
        <v>284</v>
      </c>
      <c r="AD32" s="131" t="s">
        <v>122</v>
      </c>
      <c r="AE32" s="131" t="s">
        <v>128</v>
      </c>
      <c r="AF32" s="132">
        <f>SUMIF($B$7:$B$78,AC32,$S$7:$S$78)</f>
        <v>0</v>
      </c>
      <c r="AG32" s="132" t="str">
        <f>IFERROR((VLOOKUP(AF32,'DO NOT TOUCH'!$P$9:$Q$14,2,TRUE)),"TBD")</f>
        <v>TBD</v>
      </c>
      <c r="AH32" s="132">
        <f t="shared" si="18"/>
        <v>0.5</v>
      </c>
      <c r="AI32" s="132">
        <f>INPUT_OUTPUTS!$C$13</f>
        <v>140</v>
      </c>
      <c r="AJ32" s="132">
        <f>INPUT_OUTPUTS!$C$14</f>
        <v>100</v>
      </c>
      <c r="AK32" s="132">
        <f t="shared" si="22"/>
        <v>55</v>
      </c>
      <c r="AL32" s="132">
        <f t="shared" si="22"/>
        <v>85</v>
      </c>
      <c r="AM32" s="132">
        <f t="shared" si="11"/>
        <v>0</v>
      </c>
      <c r="AN32" s="133">
        <f t="shared" si="19"/>
        <v>0</v>
      </c>
      <c r="AO32" s="133">
        <f t="shared" si="14"/>
        <v>0.5</v>
      </c>
      <c r="AP32" s="133">
        <f t="shared" si="20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1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2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5"/>
        <v>-</v>
      </c>
      <c r="Y33" s="56" t="str">
        <f t="shared" si="16"/>
        <v>-</v>
      </c>
      <c r="Z33" s="28" t="str">
        <f t="shared" si="17"/>
        <v>-</v>
      </c>
      <c r="AC33" s="134" t="s">
        <v>285</v>
      </c>
      <c r="AD33" s="131" t="s">
        <v>122</v>
      </c>
      <c r="AE33" s="131" t="s">
        <v>128</v>
      </c>
      <c r="AF33" s="132">
        <f>SUMIF($B$7:$B$78,AC33,$S$7:$S$78)</f>
        <v>0</v>
      </c>
      <c r="AG33" s="132" t="str">
        <f>IFERROR((VLOOKUP(AF33,'DO NOT TOUCH'!$P$9:$Q$14,2,TRUE)),"TBD")</f>
        <v>TBD</v>
      </c>
      <c r="AH33" s="132">
        <f t="shared" si="18"/>
        <v>0.5</v>
      </c>
      <c r="AI33" s="132">
        <f>INPUT_OUTPUTS!$C$13</f>
        <v>140</v>
      </c>
      <c r="AJ33" s="132">
        <f>INPUT_OUTPUTS!$C$14</f>
        <v>100</v>
      </c>
      <c r="AK33" s="132">
        <f t="shared" si="22"/>
        <v>55</v>
      </c>
      <c r="AL33" s="132">
        <f t="shared" si="22"/>
        <v>85</v>
      </c>
      <c r="AM33" s="132">
        <f t="shared" si="11"/>
        <v>0</v>
      </c>
      <c r="AN33" s="133">
        <f t="shared" si="19"/>
        <v>0</v>
      </c>
      <c r="AO33" s="133">
        <f t="shared" si="14"/>
        <v>0.5</v>
      </c>
      <c r="AP33" s="133">
        <f t="shared" si="20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1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2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5"/>
        <v>-</v>
      </c>
      <c r="Y34" s="56" t="str">
        <f t="shared" si="16"/>
        <v>-</v>
      </c>
      <c r="Z34" s="28" t="str">
        <f t="shared" si="17"/>
        <v>-</v>
      </c>
      <c r="AC34" s="134" t="s">
        <v>286</v>
      </c>
      <c r="AD34" s="131" t="s">
        <v>122</v>
      </c>
      <c r="AE34" s="131" t="s">
        <v>128</v>
      </c>
      <c r="AF34" s="132">
        <f>SUMIF($B$7:$B$78,AC34,$S$7:$S$78)</f>
        <v>0</v>
      </c>
      <c r="AG34" s="132" t="str">
        <f>IFERROR((VLOOKUP(AF34,'DO NOT TOUCH'!$P$9:$Q$14,2,TRUE)),"TBD")</f>
        <v>TBD</v>
      </c>
      <c r="AH34" s="132">
        <f t="shared" si="18"/>
        <v>0.5</v>
      </c>
      <c r="AI34" s="132">
        <f>INPUT_OUTPUTS!$C$13</f>
        <v>140</v>
      </c>
      <c r="AJ34" s="132">
        <f>INPUT_OUTPUTS!$C$14</f>
        <v>100</v>
      </c>
      <c r="AK34" s="132">
        <f t="shared" si="22"/>
        <v>55</v>
      </c>
      <c r="AL34" s="132">
        <f t="shared" si="22"/>
        <v>85</v>
      </c>
      <c r="AM34" s="132">
        <f t="shared" si="11"/>
        <v>0</v>
      </c>
      <c r="AN34" s="133">
        <f t="shared" si="19"/>
        <v>0</v>
      </c>
      <c r="AO34" s="133">
        <f t="shared" si="14"/>
        <v>0.5</v>
      </c>
      <c r="AP34" s="133">
        <f t="shared" si="20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1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2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5"/>
        <v>-</v>
      </c>
      <c r="Y35" s="56" t="str">
        <f t="shared" si="16"/>
        <v>-</v>
      </c>
      <c r="Z35" s="28" t="str">
        <f t="shared" si="17"/>
        <v>-</v>
      </c>
      <c r="AC35" s="134" t="s">
        <v>287</v>
      </c>
      <c r="AD35" s="131" t="s">
        <v>122</v>
      </c>
      <c r="AE35" s="131" t="s">
        <v>128</v>
      </c>
      <c r="AF35" s="132">
        <f>SUMIF($B$7:$B$78,AC35,$S$7:$S$78)</f>
        <v>0</v>
      </c>
      <c r="AG35" s="132" t="str">
        <f>IFERROR((VLOOKUP(AF35,'DO NOT TOUCH'!$P$9:$Q$14,2,TRUE)),"TBD")</f>
        <v>TBD</v>
      </c>
      <c r="AH35" s="132">
        <f t="shared" si="18"/>
        <v>0.5</v>
      </c>
      <c r="AI35" s="132">
        <f>INPUT_OUTPUTS!$C$13</f>
        <v>140</v>
      </c>
      <c r="AJ35" s="132">
        <f>INPUT_OUTPUTS!$C$14</f>
        <v>100</v>
      </c>
      <c r="AK35" s="132">
        <f t="shared" si="22"/>
        <v>55</v>
      </c>
      <c r="AL35" s="132">
        <f t="shared" si="22"/>
        <v>85</v>
      </c>
      <c r="AM35" s="132">
        <f t="shared" si="11"/>
        <v>0</v>
      </c>
      <c r="AN35" s="133">
        <f t="shared" si="19"/>
        <v>0</v>
      </c>
      <c r="AO35" s="133">
        <f t="shared" si="14"/>
        <v>0.5</v>
      </c>
      <c r="AP35" s="133">
        <f t="shared" si="20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1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2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5"/>
        <v>-</v>
      </c>
      <c r="Y36" s="56" t="str">
        <f t="shared" si="16"/>
        <v>-</v>
      </c>
      <c r="Z36" s="28" t="str">
        <f t="shared" si="17"/>
        <v>-</v>
      </c>
      <c r="AC36" s="134" t="s">
        <v>288</v>
      </c>
      <c r="AD36" s="131" t="s">
        <v>122</v>
      </c>
      <c r="AE36" s="131" t="s">
        <v>128</v>
      </c>
      <c r="AF36" s="132">
        <f>SUMIF($B$7:$B$78,AC36,$S$7:$S$78)</f>
        <v>0</v>
      </c>
      <c r="AG36" s="132" t="str">
        <f>IFERROR((VLOOKUP(AF36,'DO NOT TOUCH'!$P$9:$Q$14,2,TRUE)),"TBD")</f>
        <v>TBD</v>
      </c>
      <c r="AH36" s="132">
        <f t="shared" si="18"/>
        <v>0.5</v>
      </c>
      <c r="AI36" s="132">
        <f>INPUT_OUTPUTS!$C$13</f>
        <v>140</v>
      </c>
      <c r="AJ36" s="132">
        <f>INPUT_OUTPUTS!$C$14</f>
        <v>100</v>
      </c>
      <c r="AK36" s="132">
        <f t="shared" si="22"/>
        <v>55</v>
      </c>
      <c r="AL36" s="132">
        <f t="shared" si="22"/>
        <v>85</v>
      </c>
      <c r="AM36" s="132">
        <f t="shared" si="11"/>
        <v>0</v>
      </c>
      <c r="AN36" s="133">
        <f t="shared" si="19"/>
        <v>0</v>
      </c>
      <c r="AO36" s="133">
        <f t="shared" si="14"/>
        <v>0.5</v>
      </c>
      <c r="AP36" s="133">
        <f t="shared" si="20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1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2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5"/>
        <v>-</v>
      </c>
      <c r="Y37" s="56" t="str">
        <f t="shared" si="16"/>
        <v>-</v>
      </c>
      <c r="Z37" s="28" t="str">
        <f t="shared" si="17"/>
        <v>-</v>
      </c>
      <c r="AC37" s="134" t="s">
        <v>289</v>
      </c>
      <c r="AD37" s="131" t="s">
        <v>122</v>
      </c>
      <c r="AE37" s="131" t="s">
        <v>128</v>
      </c>
      <c r="AF37" s="132">
        <f>SUMIF($B$7:$B$78,AC37,$S$7:$S$78)</f>
        <v>0</v>
      </c>
      <c r="AG37" s="132" t="str">
        <f>IFERROR((VLOOKUP(AF37,'DO NOT TOUCH'!$P$9:$Q$14,2,TRUE)),"TBD")</f>
        <v>TBD</v>
      </c>
      <c r="AH37" s="132">
        <f t="shared" si="18"/>
        <v>0.5</v>
      </c>
      <c r="AI37" s="132">
        <f>INPUT_OUTPUTS!$C$13</f>
        <v>140</v>
      </c>
      <c r="AJ37" s="132">
        <f>INPUT_OUTPUTS!$C$14</f>
        <v>100</v>
      </c>
      <c r="AK37" s="132">
        <f t="shared" si="22"/>
        <v>55</v>
      </c>
      <c r="AL37" s="132">
        <f t="shared" si="22"/>
        <v>85</v>
      </c>
      <c r="AM37" s="132">
        <f t="shared" si="11"/>
        <v>0</v>
      </c>
      <c r="AN37" s="133">
        <f t="shared" si="19"/>
        <v>0</v>
      </c>
      <c r="AO37" s="133">
        <f t="shared" si="14"/>
        <v>0.5</v>
      </c>
      <c r="AP37" s="133">
        <f t="shared" si="20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1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2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5"/>
        <v>-</v>
      </c>
      <c r="Y38" s="56" t="str">
        <f t="shared" si="16"/>
        <v>-</v>
      </c>
      <c r="Z38" s="28" t="str">
        <f t="shared" si="17"/>
        <v>-</v>
      </c>
      <c r="AC38" s="134" t="s">
        <v>290</v>
      </c>
      <c r="AD38" s="131" t="s">
        <v>122</v>
      </c>
      <c r="AE38" s="131" t="s">
        <v>128</v>
      </c>
      <c r="AF38" s="132">
        <f>SUMIF($B$7:$B$78,AC38,$S$7:$S$78)</f>
        <v>0</v>
      </c>
      <c r="AG38" s="132" t="str">
        <f>IFERROR((VLOOKUP(AF38,'DO NOT TOUCH'!$P$9:$Q$14,2,TRUE)),"TBD")</f>
        <v>TBD</v>
      </c>
      <c r="AH38" s="132">
        <f t="shared" si="18"/>
        <v>0.5</v>
      </c>
      <c r="AI38" s="132">
        <f>INPUT_OUTPUTS!$C$13</f>
        <v>140</v>
      </c>
      <c r="AJ38" s="132">
        <f>INPUT_OUTPUTS!$C$14</f>
        <v>100</v>
      </c>
      <c r="AK38" s="132">
        <f t="shared" si="22"/>
        <v>55</v>
      </c>
      <c r="AL38" s="132">
        <f t="shared" si="22"/>
        <v>85</v>
      </c>
      <c r="AM38" s="132">
        <f t="shared" si="11"/>
        <v>0</v>
      </c>
      <c r="AN38" s="133">
        <f t="shared" si="19"/>
        <v>0</v>
      </c>
      <c r="AO38" s="133">
        <f t="shared" si="14"/>
        <v>0.5</v>
      </c>
      <c r="AP38" s="133">
        <f t="shared" si="20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1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2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5"/>
        <v>-</v>
      </c>
      <c r="Y39" s="56" t="str">
        <f t="shared" si="16"/>
        <v>-</v>
      </c>
      <c r="Z39" s="28" t="str">
        <f t="shared" si="17"/>
        <v>-</v>
      </c>
      <c r="AC39" s="134" t="s">
        <v>291</v>
      </c>
      <c r="AD39" s="131" t="s">
        <v>122</v>
      </c>
      <c r="AE39" s="131" t="s">
        <v>128</v>
      </c>
      <c r="AF39" s="132">
        <f>SUMIF($B$7:$B$78,AC39,$S$7:$S$78)</f>
        <v>0</v>
      </c>
      <c r="AG39" s="132" t="str">
        <f>IFERROR((VLOOKUP(AF39,'DO NOT TOUCH'!$P$9:$Q$14,2,TRUE)),"TBD")</f>
        <v>TBD</v>
      </c>
      <c r="AH39" s="132">
        <f t="shared" si="18"/>
        <v>0.5</v>
      </c>
      <c r="AI39" s="132">
        <f>INPUT_OUTPUTS!$C$13</f>
        <v>140</v>
      </c>
      <c r="AJ39" s="132">
        <f>INPUT_OUTPUTS!$C$14</f>
        <v>100</v>
      </c>
      <c r="AK39" s="132">
        <f t="shared" si="22"/>
        <v>55</v>
      </c>
      <c r="AL39" s="132">
        <f t="shared" si="22"/>
        <v>85</v>
      </c>
      <c r="AM39" s="132">
        <f t="shared" si="11"/>
        <v>0</v>
      </c>
      <c r="AN39" s="133">
        <f t="shared" si="19"/>
        <v>0</v>
      </c>
      <c r="AO39" s="133">
        <f t="shared" si="14"/>
        <v>0.5</v>
      </c>
      <c r="AP39" s="133">
        <f t="shared" si="20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1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2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5"/>
        <v>-</v>
      </c>
      <c r="Y40" s="56" t="str">
        <f t="shared" si="16"/>
        <v>-</v>
      </c>
      <c r="Z40" s="28" t="str">
        <f t="shared" si="17"/>
        <v>-</v>
      </c>
      <c r="AC40" s="134" t="s">
        <v>292</v>
      </c>
      <c r="AD40" s="131" t="s">
        <v>122</v>
      </c>
      <c r="AE40" s="131" t="s">
        <v>128</v>
      </c>
      <c r="AF40" s="132">
        <f>SUMIF($B$7:$B$78,AC40,$S$7:$S$78)</f>
        <v>0</v>
      </c>
      <c r="AG40" s="132" t="str">
        <f>IFERROR((VLOOKUP(AF40,'DO NOT TOUCH'!$P$9:$Q$14,2,TRUE)),"TBD")</f>
        <v>TBD</v>
      </c>
      <c r="AH40" s="132">
        <f t="shared" si="18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3">AK39</f>
        <v>55</v>
      </c>
      <c r="AL40" s="132">
        <f t="shared" si="23"/>
        <v>85</v>
      </c>
      <c r="AM40" s="132">
        <f t="shared" si="11"/>
        <v>0</v>
      </c>
      <c r="AN40" s="133">
        <f t="shared" si="19"/>
        <v>0</v>
      </c>
      <c r="AO40" s="133">
        <f t="shared" si="14"/>
        <v>0.5</v>
      </c>
      <c r="AP40" s="133">
        <f t="shared" si="20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1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2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5"/>
        <v>-</v>
      </c>
      <c r="Y41" s="56" t="str">
        <f t="shared" si="16"/>
        <v>-</v>
      </c>
      <c r="Z41" s="28" t="str">
        <f t="shared" si="17"/>
        <v>-</v>
      </c>
      <c r="AC41" s="134" t="s">
        <v>293</v>
      </c>
      <c r="AD41" s="131" t="s">
        <v>122</v>
      </c>
      <c r="AE41" s="131" t="s">
        <v>128</v>
      </c>
      <c r="AF41" s="132">
        <f>SUMIF($B$7:$B$78,AC41,$S$7:$S$78)</f>
        <v>0</v>
      </c>
      <c r="AG41" s="132" t="str">
        <f>IFERROR((VLOOKUP(AF41,'DO NOT TOUCH'!$P$9:$Q$14,2,TRUE)),"TBD")</f>
        <v>TBD</v>
      </c>
      <c r="AH41" s="132">
        <f t="shared" si="18"/>
        <v>0.5</v>
      </c>
      <c r="AI41" s="132">
        <f>INPUT_OUTPUTS!$C$13</f>
        <v>140</v>
      </c>
      <c r="AJ41" s="132">
        <f>INPUT_OUTPUTS!$C$14</f>
        <v>100</v>
      </c>
      <c r="AK41" s="132">
        <f t="shared" si="23"/>
        <v>55</v>
      </c>
      <c r="AL41" s="132">
        <f t="shared" si="23"/>
        <v>85</v>
      </c>
      <c r="AM41" s="132">
        <f t="shared" si="11"/>
        <v>0</v>
      </c>
      <c r="AN41" s="133">
        <f t="shared" si="19"/>
        <v>0</v>
      </c>
      <c r="AO41" s="133">
        <f t="shared" si="14"/>
        <v>0.5</v>
      </c>
      <c r="AP41" s="133">
        <f t="shared" si="20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1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2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5"/>
        <v>-</v>
      </c>
      <c r="Y42" s="56" t="str">
        <f t="shared" si="16"/>
        <v>-</v>
      </c>
      <c r="Z42" s="28" t="str">
        <f t="shared" si="17"/>
        <v>-</v>
      </c>
      <c r="AC42" s="134" t="s">
        <v>294</v>
      </c>
      <c r="AD42" s="131" t="s">
        <v>122</v>
      </c>
      <c r="AE42" s="131" t="s">
        <v>128</v>
      </c>
      <c r="AF42" s="132">
        <f>SUMIF($B$7:$B$78,AC42,$S$7:$S$78)</f>
        <v>0</v>
      </c>
      <c r="AG42" s="132" t="str">
        <f>IFERROR((VLOOKUP(AF42,'DO NOT TOUCH'!$P$9:$Q$14,2,TRUE)),"TBD")</f>
        <v>TBD</v>
      </c>
      <c r="AH42" s="132">
        <f t="shared" si="18"/>
        <v>0.5</v>
      </c>
      <c r="AI42" s="132">
        <f>INPUT_OUTPUTS!$C$13</f>
        <v>140</v>
      </c>
      <c r="AJ42" s="132">
        <f>INPUT_OUTPUTS!$C$14</f>
        <v>100</v>
      </c>
      <c r="AK42" s="132">
        <f t="shared" si="23"/>
        <v>55</v>
      </c>
      <c r="AL42" s="132">
        <f t="shared" si="23"/>
        <v>85</v>
      </c>
      <c r="AM42" s="132">
        <f t="shared" si="11"/>
        <v>0</v>
      </c>
      <c r="AN42" s="133">
        <f t="shared" si="19"/>
        <v>0</v>
      </c>
      <c r="AO42" s="133">
        <f t="shared" si="14"/>
        <v>0.5</v>
      </c>
      <c r="AP42" s="133">
        <f t="shared" si="20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1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2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5"/>
        <v>-</v>
      </c>
      <c r="Y43" s="56" t="str">
        <f t="shared" si="16"/>
        <v>-</v>
      </c>
      <c r="Z43" s="28" t="str">
        <f t="shared" si="17"/>
        <v>-</v>
      </c>
      <c r="AC43" s="134" t="s">
        <v>295</v>
      </c>
      <c r="AD43" s="131" t="s">
        <v>122</v>
      </c>
      <c r="AE43" s="131" t="s">
        <v>128</v>
      </c>
      <c r="AF43" s="132">
        <f>SUMIF($B$7:$B$78,AC43,$S$7:$S$78)</f>
        <v>0</v>
      </c>
      <c r="AG43" s="132" t="str">
        <f>IFERROR((VLOOKUP(AF43,'DO NOT TOUCH'!$P$9:$Q$14,2,TRUE)),"TBD")</f>
        <v>TBD</v>
      </c>
      <c r="AH43" s="132">
        <f t="shared" si="18"/>
        <v>0.5</v>
      </c>
      <c r="AI43" s="132">
        <f>INPUT_OUTPUTS!$C$13</f>
        <v>140</v>
      </c>
      <c r="AJ43" s="132">
        <f>INPUT_OUTPUTS!$C$14</f>
        <v>100</v>
      </c>
      <c r="AK43" s="132">
        <f t="shared" si="23"/>
        <v>55</v>
      </c>
      <c r="AL43" s="132">
        <f t="shared" si="23"/>
        <v>85</v>
      </c>
      <c r="AM43" s="132">
        <f t="shared" si="11"/>
        <v>0</v>
      </c>
      <c r="AN43" s="133">
        <f t="shared" si="19"/>
        <v>0</v>
      </c>
      <c r="AO43" s="133">
        <f t="shared" si="14"/>
        <v>0.5</v>
      </c>
      <c r="AP43" s="133">
        <f t="shared" si="20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1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2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5"/>
        <v>-</v>
      </c>
      <c r="Y44" s="56" t="str">
        <f t="shared" si="16"/>
        <v>-</v>
      </c>
      <c r="Z44" s="28" t="str">
        <f t="shared" si="17"/>
        <v>-</v>
      </c>
      <c r="AC44" s="136" t="s">
        <v>298</v>
      </c>
      <c r="AD44" s="137" t="s">
        <v>122</v>
      </c>
      <c r="AE44" s="137" t="s">
        <v>128</v>
      </c>
      <c r="AF44" s="138">
        <f>SUMIF($B$7:$B$78,AC44,$S$7:$S$78)</f>
        <v>0</v>
      </c>
      <c r="AG44" s="138" t="str">
        <f>IFERROR((VLOOKUP(AF44,'DO NOT TOUCH'!$P$9:$Q$14,2,TRUE)),"TBD")</f>
        <v>TBD</v>
      </c>
      <c r="AH44" s="138">
        <f t="shared" si="18"/>
        <v>0.5</v>
      </c>
      <c r="AI44" s="138">
        <f>INPUT_OUTPUTS!$C$13</f>
        <v>140</v>
      </c>
      <c r="AJ44" s="138">
        <f>INPUT_OUTPUTS!$C$14</f>
        <v>100</v>
      </c>
      <c r="AK44" s="138">
        <f t="shared" si="23"/>
        <v>55</v>
      </c>
      <c r="AL44" s="138">
        <f t="shared" si="23"/>
        <v>85</v>
      </c>
      <c r="AM44" s="138">
        <f t="shared" si="11"/>
        <v>0</v>
      </c>
      <c r="AN44" s="139">
        <f t="shared" si="19"/>
        <v>0</v>
      </c>
      <c r="AO44" s="139">
        <f t="shared" si="14"/>
        <v>0.5</v>
      </c>
      <c r="AP44" s="139">
        <f t="shared" si="20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1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2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5"/>
        <v>-</v>
      </c>
      <c r="Y45" s="56" t="str">
        <f t="shared" si="16"/>
        <v>-</v>
      </c>
      <c r="Z45" s="28" t="str">
        <f t="shared" si="17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2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5"/>
        <v>-</v>
      </c>
      <c r="Y46" s="56" t="str">
        <f t="shared" si="16"/>
        <v>-</v>
      </c>
      <c r="Z46" s="28" t="str">
        <f t="shared" si="17"/>
        <v>-</v>
      </c>
      <c r="AC46" s="193" t="s">
        <v>126</v>
      </c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5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2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5"/>
        <v>-</v>
      </c>
      <c r="Y47" s="56" t="str">
        <f t="shared" si="16"/>
        <v>-</v>
      </c>
      <c r="Z47" s="28" t="str">
        <f t="shared" si="17"/>
        <v>-</v>
      </c>
      <c r="AC47" s="196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8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2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5"/>
        <v>-</v>
      </c>
      <c r="Y48" s="56" t="str">
        <f t="shared" si="16"/>
        <v>-</v>
      </c>
      <c r="Z48" s="28" t="str">
        <f t="shared" si="17"/>
        <v>-</v>
      </c>
      <c r="AC48" s="196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8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2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5"/>
        <v>-</v>
      </c>
      <c r="Y49" s="56" t="str">
        <f t="shared" si="16"/>
        <v>-</v>
      </c>
      <c r="Z49" s="28" t="str">
        <f t="shared" si="17"/>
        <v>-</v>
      </c>
      <c r="AC49" s="199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1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2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5"/>
        <v>-</v>
      </c>
      <c r="Y50" s="56" t="str">
        <f t="shared" si="16"/>
        <v>-</v>
      </c>
      <c r="Z50" s="28" t="str">
        <f t="shared" si="17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2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5"/>
        <v>-</v>
      </c>
      <c r="Y51" s="56" t="str">
        <f t="shared" si="16"/>
        <v>-</v>
      </c>
      <c r="Z51" s="28" t="str">
        <f t="shared" si="17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2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5"/>
        <v>-</v>
      </c>
      <c r="Y52" s="56" t="str">
        <f t="shared" si="16"/>
        <v>-</v>
      </c>
      <c r="Z52" s="28" t="str">
        <f t="shared" si="17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2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5"/>
        <v>-</v>
      </c>
      <c r="Y53" s="56" t="str">
        <f t="shared" si="16"/>
        <v>-</v>
      </c>
      <c r="Z53" s="28" t="str">
        <f t="shared" si="17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2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5"/>
        <v>-</v>
      </c>
      <c r="Y54" s="56" t="str">
        <f t="shared" si="16"/>
        <v>-</v>
      </c>
      <c r="Z54" s="28" t="str">
        <f t="shared" si="17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2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5"/>
        <v>-</v>
      </c>
      <c r="Y55" s="56" t="str">
        <f t="shared" si="16"/>
        <v>-</v>
      </c>
      <c r="Z55" s="28" t="str">
        <f t="shared" si="17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2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5"/>
        <v>-</v>
      </c>
      <c r="Y56" s="56" t="str">
        <f t="shared" si="16"/>
        <v>-</v>
      </c>
      <c r="Z56" s="28" t="str">
        <f t="shared" si="17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2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5"/>
        <v>-</v>
      </c>
      <c r="Y57" s="56" t="str">
        <f t="shared" si="16"/>
        <v>-</v>
      </c>
      <c r="Z57" s="28" t="str">
        <f t="shared" si="17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2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5"/>
        <v>-</v>
      </c>
      <c r="Y58" s="56" t="str">
        <f t="shared" si="16"/>
        <v>-</v>
      </c>
      <c r="Z58" s="28" t="str">
        <f t="shared" si="17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2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5"/>
        <v>-</v>
      </c>
      <c r="Y59" s="56" t="str">
        <f t="shared" si="16"/>
        <v>-</v>
      </c>
      <c r="Z59" s="28" t="str">
        <f t="shared" si="17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2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5"/>
        <v>-</v>
      </c>
      <c r="Y60" s="56" t="str">
        <f t="shared" si="16"/>
        <v>-</v>
      </c>
      <c r="Z60" s="28" t="str">
        <f t="shared" si="17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2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5"/>
        <v>-</v>
      </c>
      <c r="Y61" s="56" t="str">
        <f t="shared" si="16"/>
        <v>-</v>
      </c>
      <c r="Z61" s="28" t="str">
        <f t="shared" si="17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2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5"/>
        <v>-</v>
      </c>
      <c r="Y62" s="56" t="str">
        <f t="shared" si="16"/>
        <v>-</v>
      </c>
      <c r="Z62" s="28" t="str">
        <f t="shared" si="17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2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5"/>
        <v>-</v>
      </c>
      <c r="Y63" s="56" t="str">
        <f t="shared" si="16"/>
        <v>-</v>
      </c>
      <c r="Z63" s="28" t="str">
        <f t="shared" si="17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2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5"/>
        <v>-</v>
      </c>
      <c r="Y64" s="56" t="str">
        <f t="shared" si="16"/>
        <v>-</v>
      </c>
      <c r="Z64" s="28" t="str">
        <f t="shared" si="17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2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5"/>
        <v>-</v>
      </c>
      <c r="Y65" s="56" t="str">
        <f t="shared" si="16"/>
        <v>-</v>
      </c>
      <c r="Z65" s="28" t="str">
        <f t="shared" si="17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2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5"/>
        <v>-</v>
      </c>
      <c r="Y66" s="56" t="str">
        <f t="shared" si="16"/>
        <v>-</v>
      </c>
      <c r="Z66" s="28" t="str">
        <f t="shared" si="17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2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5"/>
        <v>-</v>
      </c>
      <c r="Y67" s="56" t="str">
        <f t="shared" si="16"/>
        <v>-</v>
      </c>
      <c r="Z67" s="28" t="str">
        <f t="shared" si="17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2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5"/>
        <v>-</v>
      </c>
      <c r="Y68" s="56" t="str">
        <f t="shared" si="16"/>
        <v>-</v>
      </c>
      <c r="Z68" s="28" t="str">
        <f t="shared" si="17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2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5"/>
        <v>-</v>
      </c>
      <c r="Y69" s="56" t="str">
        <f t="shared" si="16"/>
        <v>-</v>
      </c>
      <c r="Z69" s="28" t="str">
        <f t="shared" si="17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2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5"/>
        <v>-</v>
      </c>
      <c r="Y70" s="56" t="str">
        <f t="shared" si="16"/>
        <v>-</v>
      </c>
      <c r="Z70" s="28" t="str">
        <f t="shared" si="17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9" si="24">IF(H71="Yes",K71,"-")</f>
        <v>-</v>
      </c>
      <c r="J71" s="117">
        <v>0</v>
      </c>
      <c r="K71" s="93">
        <f t="shared" ref="K71:K79" si="25">IF(G71&lt;&gt;"NR",ROUNDUP((E71*F71*G71)/60,-1),0)</f>
        <v>0</v>
      </c>
      <c r="L71" s="84">
        <f t="shared" si="12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9" si="26">IF(O71&lt;&gt;"NR",ROUNDUP((E71*F71*O71)/60,-1),0)</f>
        <v>0</v>
      </c>
      <c r="Q71" s="81" t="str">
        <f>VLOOKUP($M71,'UMC Table 4-A'!$A$10:$E$139,5,FALSE)</f>
        <v>NR</v>
      </c>
      <c r="R71" s="82">
        <f t="shared" ref="R71:R79" si="27">IF(N71="Negative",IF(OR(M71="Toilet room",M71="Janitor's closet, housekeeping"),0,IF(0.1*U71&gt;50,220-0.1*U71,U71-50)),IF(Q71="Yes",0,CEILING(MAX(J71:L71),5)))</f>
        <v>0</v>
      </c>
      <c r="S71" s="119">
        <f t="shared" ref="S71:S110" si="28">R71</f>
        <v>0</v>
      </c>
      <c r="T71" s="119">
        <f t="shared" ref="T71:T78" si="29">IF(Q71="Yes",0,IF(N71="Positive",IF(0.1*R71&gt;50,R71-0.1*R71,R71-50),IF(N71="Negative",IF(0.1*R71&gt;50,R71+0.1*R71,R71+50),R71)))</f>
        <v>0</v>
      </c>
      <c r="U71" s="119">
        <f t="shared" ref="U71:U110" si="30">IF(Q71="Yes",I71,0)</f>
        <v>0</v>
      </c>
      <c r="V71" s="71">
        <f t="shared" ref="V71:V79" si="31">S71-T71-U71</f>
        <v>0</v>
      </c>
      <c r="W71" s="27" t="str">
        <f t="shared" ref="W71:W79" si="32">IF(R71-T71-U71+V71=0,"Yes","No")</f>
        <v>Yes</v>
      </c>
      <c r="X71" s="28" t="str">
        <f t="shared" si="15"/>
        <v>-</v>
      </c>
      <c r="Y71" s="56" t="str">
        <f t="shared" si="16"/>
        <v>-</v>
      </c>
      <c r="Z71" s="28" t="str">
        <f t="shared" si="17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4"/>
        <v>-</v>
      </c>
      <c r="J72" s="117">
        <v>0</v>
      </c>
      <c r="K72" s="93">
        <f t="shared" si="25"/>
        <v>0</v>
      </c>
      <c r="L72" s="84">
        <f t="shared" ref="L72:L78" si="33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6"/>
        <v>0</v>
      </c>
      <c r="Q72" s="81" t="str">
        <f>VLOOKUP($M72,'UMC Table 4-A'!$A$10:$E$139,5,FALSE)</f>
        <v>NR</v>
      </c>
      <c r="R72" s="82">
        <f t="shared" si="27"/>
        <v>0</v>
      </c>
      <c r="S72" s="119">
        <f t="shared" si="28"/>
        <v>0</v>
      </c>
      <c r="T72" s="119">
        <f t="shared" si="29"/>
        <v>0</v>
      </c>
      <c r="U72" s="119">
        <f t="shared" si="30"/>
        <v>0</v>
      </c>
      <c r="V72" s="71">
        <f t="shared" si="31"/>
        <v>0</v>
      </c>
      <c r="W72" s="27" t="str">
        <f t="shared" si="32"/>
        <v>Yes</v>
      </c>
      <c r="X72" s="28" t="str">
        <f t="shared" si="15"/>
        <v>-</v>
      </c>
      <c r="Y72" s="56" t="str">
        <f t="shared" si="16"/>
        <v>-</v>
      </c>
      <c r="Z72" s="28" t="str">
        <f t="shared" si="17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4"/>
        <v>-</v>
      </c>
      <c r="J73" s="117">
        <v>0</v>
      </c>
      <c r="K73" s="93">
        <f t="shared" si="25"/>
        <v>0</v>
      </c>
      <c r="L73" s="84">
        <f t="shared" si="33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6"/>
        <v>0</v>
      </c>
      <c r="Q73" s="81" t="str">
        <f>VLOOKUP($M73,'UMC Table 4-A'!$A$10:$E$139,5,FALSE)</f>
        <v>NR</v>
      </c>
      <c r="R73" s="82">
        <f t="shared" si="27"/>
        <v>0</v>
      </c>
      <c r="S73" s="119">
        <f t="shared" si="28"/>
        <v>0</v>
      </c>
      <c r="T73" s="119">
        <f t="shared" si="29"/>
        <v>0</v>
      </c>
      <c r="U73" s="119">
        <f t="shared" si="30"/>
        <v>0</v>
      </c>
      <c r="V73" s="71">
        <f t="shared" si="31"/>
        <v>0</v>
      </c>
      <c r="W73" s="27" t="str">
        <f t="shared" si="32"/>
        <v>Yes</v>
      </c>
      <c r="X73" s="28" t="str">
        <f t="shared" ref="X73:X78" si="34">IFERROR(R73/E73,"-")</f>
        <v>-</v>
      </c>
      <c r="Y73" s="56" t="str">
        <f t="shared" ref="Y73:Y78" si="35">IFERROR(((P73/S73)*100),"-")</f>
        <v>-</v>
      </c>
      <c r="Z73" s="28" t="str">
        <f t="shared" ref="Z73:Z78" si="36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4"/>
        <v>-</v>
      </c>
      <c r="J74" s="117">
        <v>0</v>
      </c>
      <c r="K74" s="93">
        <f t="shared" si="25"/>
        <v>0</v>
      </c>
      <c r="L74" s="84">
        <f t="shared" si="33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6"/>
        <v>0</v>
      </c>
      <c r="Q74" s="81" t="str">
        <f>VLOOKUP($M74,'UMC Table 4-A'!$A$10:$E$139,5,FALSE)</f>
        <v>NR</v>
      </c>
      <c r="R74" s="82">
        <f t="shared" si="27"/>
        <v>0</v>
      </c>
      <c r="S74" s="119">
        <f t="shared" si="28"/>
        <v>0</v>
      </c>
      <c r="T74" s="119">
        <f t="shared" si="29"/>
        <v>0</v>
      </c>
      <c r="U74" s="119">
        <f t="shared" si="30"/>
        <v>0</v>
      </c>
      <c r="V74" s="71">
        <f t="shared" si="31"/>
        <v>0</v>
      </c>
      <c r="W74" s="27" t="str">
        <f t="shared" si="32"/>
        <v>Yes</v>
      </c>
      <c r="X74" s="28" t="str">
        <f t="shared" si="34"/>
        <v>-</v>
      </c>
      <c r="Y74" s="56" t="str">
        <f t="shared" si="35"/>
        <v>-</v>
      </c>
      <c r="Z74" s="28" t="str">
        <f t="shared" si="36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4"/>
        <v>-</v>
      </c>
      <c r="J75" s="117">
        <v>0</v>
      </c>
      <c r="K75" s="93">
        <f t="shared" si="25"/>
        <v>0</v>
      </c>
      <c r="L75" s="84">
        <f t="shared" si="33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6"/>
        <v>0</v>
      </c>
      <c r="Q75" s="81" t="str">
        <f>VLOOKUP($M75,'UMC Table 4-A'!$A$10:$E$139,5,FALSE)</f>
        <v>NR</v>
      </c>
      <c r="R75" s="82">
        <f t="shared" si="27"/>
        <v>0</v>
      </c>
      <c r="S75" s="119">
        <f t="shared" si="28"/>
        <v>0</v>
      </c>
      <c r="T75" s="119">
        <f t="shared" si="29"/>
        <v>0</v>
      </c>
      <c r="U75" s="119">
        <f t="shared" si="30"/>
        <v>0</v>
      </c>
      <c r="V75" s="71">
        <f t="shared" si="31"/>
        <v>0</v>
      </c>
      <c r="W75" s="27" t="str">
        <f t="shared" si="32"/>
        <v>Yes</v>
      </c>
      <c r="X75" s="28" t="str">
        <f t="shared" si="34"/>
        <v>-</v>
      </c>
      <c r="Y75" s="56" t="str">
        <f t="shared" si="35"/>
        <v>-</v>
      </c>
      <c r="Z75" s="28" t="str">
        <f t="shared" si="36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4"/>
        <v>-</v>
      </c>
      <c r="J76" s="117">
        <v>0</v>
      </c>
      <c r="K76" s="93">
        <f t="shared" si="25"/>
        <v>0</v>
      </c>
      <c r="L76" s="84">
        <f t="shared" si="33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6"/>
        <v>0</v>
      </c>
      <c r="Q76" s="81" t="str">
        <f>VLOOKUP($M76,'UMC Table 4-A'!$A$10:$E$139,5,FALSE)</f>
        <v>NR</v>
      </c>
      <c r="R76" s="82">
        <f t="shared" si="27"/>
        <v>0</v>
      </c>
      <c r="S76" s="119">
        <f t="shared" si="28"/>
        <v>0</v>
      </c>
      <c r="T76" s="119">
        <f t="shared" si="29"/>
        <v>0</v>
      </c>
      <c r="U76" s="119">
        <f t="shared" si="30"/>
        <v>0</v>
      </c>
      <c r="V76" s="71">
        <f t="shared" si="31"/>
        <v>0</v>
      </c>
      <c r="W76" s="27" t="str">
        <f t="shared" si="32"/>
        <v>Yes</v>
      </c>
      <c r="X76" s="28" t="str">
        <f t="shared" si="34"/>
        <v>-</v>
      </c>
      <c r="Y76" s="56" t="str">
        <f t="shared" si="35"/>
        <v>-</v>
      </c>
      <c r="Z76" s="28" t="str">
        <f t="shared" si="36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4"/>
        <v>-</v>
      </c>
      <c r="J77" s="117">
        <v>0</v>
      </c>
      <c r="K77" s="93">
        <f t="shared" si="25"/>
        <v>0</v>
      </c>
      <c r="L77" s="84">
        <f t="shared" si="33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6"/>
        <v>0</v>
      </c>
      <c r="Q77" s="81" t="str">
        <f>VLOOKUP($M77,'UMC Table 4-A'!$A$10:$E$139,5,FALSE)</f>
        <v>NR</v>
      </c>
      <c r="R77" s="82">
        <f t="shared" si="27"/>
        <v>0</v>
      </c>
      <c r="S77" s="119">
        <f t="shared" si="28"/>
        <v>0</v>
      </c>
      <c r="T77" s="119">
        <f t="shared" si="29"/>
        <v>0</v>
      </c>
      <c r="U77" s="119">
        <f t="shared" si="30"/>
        <v>0</v>
      </c>
      <c r="V77" s="71">
        <f t="shared" si="31"/>
        <v>0</v>
      </c>
      <c r="W77" s="27" t="str">
        <f t="shared" si="32"/>
        <v>Yes</v>
      </c>
      <c r="X77" s="28" t="str">
        <f t="shared" si="34"/>
        <v>-</v>
      </c>
      <c r="Y77" s="56" t="str">
        <f t="shared" si="35"/>
        <v>-</v>
      </c>
      <c r="Z77" s="28" t="str">
        <f t="shared" si="36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4"/>
        <v>-</v>
      </c>
      <c r="J78" s="117">
        <v>0</v>
      </c>
      <c r="K78" s="93">
        <f t="shared" si="25"/>
        <v>0</v>
      </c>
      <c r="L78" s="84">
        <f t="shared" si="33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6"/>
        <v>0</v>
      </c>
      <c r="Q78" s="81" t="str">
        <f>VLOOKUP($M78,'UMC Table 4-A'!$A$10:$E$139,5,FALSE)</f>
        <v>NR</v>
      </c>
      <c r="R78" s="82">
        <f t="shared" si="27"/>
        <v>0</v>
      </c>
      <c r="S78" s="119">
        <f t="shared" si="28"/>
        <v>0</v>
      </c>
      <c r="T78" s="119">
        <f t="shared" si="29"/>
        <v>0</v>
      </c>
      <c r="U78" s="119">
        <f t="shared" si="30"/>
        <v>0</v>
      </c>
      <c r="V78" s="71">
        <f t="shared" si="31"/>
        <v>0</v>
      </c>
      <c r="W78" s="27" t="str">
        <f t="shared" si="32"/>
        <v>Yes</v>
      </c>
      <c r="X78" s="28" t="str">
        <f t="shared" si="34"/>
        <v>-</v>
      </c>
      <c r="Y78" s="56" t="str">
        <f t="shared" si="35"/>
        <v>-</v>
      </c>
      <c r="Z78" s="28" t="str">
        <f t="shared" si="36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SUBTOTAL(109,AHU1_TABLE_4A43[OSA CFM])</f>
        <v>36740</v>
      </c>
      <c r="Q79" s="123"/>
      <c r="R79" s="128">
        <f>SUBTOTAL(109,AHU1_TABLE_4A43[CALCULATED SA CFM])</f>
        <v>110000</v>
      </c>
      <c r="S79" s="188">
        <f>SUBTOTAL(109,AHU1_TABLE_4A43[DESIGN SA CFM])</f>
        <v>110000</v>
      </c>
      <c r="T79" s="188">
        <f>SUBTOTAL(109,AHU1_TABLE_4A43[RA CFM])</f>
        <v>110000</v>
      </c>
      <c r="U79" s="189">
        <f>SUBTOTAL(109,AHU1_TABLE_4A43[EA CFM])</f>
        <v>0</v>
      </c>
      <c r="V79" s="190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1:L16"/>
  <sheetViews>
    <sheetView zoomScale="177" workbookViewId="0">
      <selection activeCell="C22" sqref="C22"/>
    </sheetView>
  </sheetViews>
  <sheetFormatPr baseColWidth="10" defaultColWidth="8.83203125" defaultRowHeight="13"/>
  <cols>
    <col min="2" max="2" width="14.33203125" bestFit="1" customWidth="1"/>
    <col min="3" max="3" width="8.6640625" bestFit="1" customWidth="1"/>
    <col min="4" max="4" width="6.5" bestFit="1" customWidth="1"/>
    <col min="5" max="5" width="15.6640625" bestFit="1" customWidth="1"/>
    <col min="6" max="6" width="5" bestFit="1" customWidth="1"/>
    <col min="7" max="7" width="6.5" bestFit="1" customWidth="1"/>
    <col min="10" max="10" width="11" bestFit="1" customWidth="1"/>
  </cols>
  <sheetData>
    <row r="1" spans="2:12">
      <c r="B1" s="213" t="s">
        <v>376</v>
      </c>
      <c r="C1" s="213"/>
      <c r="D1" s="213"/>
      <c r="J1" s="213" t="s">
        <v>378</v>
      </c>
      <c r="K1" s="213"/>
      <c r="L1" s="213"/>
    </row>
    <row r="2" spans="2:12">
      <c r="B2" s="214" t="s">
        <v>307</v>
      </c>
      <c r="C2" s="214"/>
      <c r="D2" s="214"/>
      <c r="E2" s="214"/>
      <c r="F2" s="214"/>
      <c r="G2" s="214"/>
    </row>
    <row r="3" spans="2:12">
      <c r="B3" s="14"/>
      <c r="D3" s="17"/>
      <c r="E3" s="17"/>
      <c r="F3" s="14"/>
    </row>
    <row r="4" spans="2:12">
      <c r="B4" s="213" t="s">
        <v>66</v>
      </c>
      <c r="C4" s="213"/>
      <c r="D4" s="213"/>
      <c r="E4" s="213" t="s">
        <v>67</v>
      </c>
      <c r="F4" s="213"/>
      <c r="G4" s="213"/>
      <c r="J4" s="171" t="s">
        <v>379</v>
      </c>
      <c r="K4" s="173">
        <f>Table7[[#Totals],[(Tons)34]]</f>
        <v>857.34</v>
      </c>
      <c r="L4" s="171" t="s">
        <v>380</v>
      </c>
    </row>
    <row r="5" spans="2:12">
      <c r="B5" s="215" t="s">
        <v>68</v>
      </c>
      <c r="C5" s="169">
        <v>93.1</v>
      </c>
      <c r="D5" s="168" t="s">
        <v>9</v>
      </c>
      <c r="E5" s="215" t="s">
        <v>54</v>
      </c>
      <c r="F5" s="216">
        <v>38.9</v>
      </c>
      <c r="G5" s="215" t="s">
        <v>69</v>
      </c>
      <c r="J5" s="171" t="s">
        <v>383</v>
      </c>
      <c r="K5" s="173">
        <f>Table7[[#Totals],[GPM MAX]]</f>
        <v>1469.7257142857143</v>
      </c>
      <c r="L5" s="171" t="s">
        <v>384</v>
      </c>
    </row>
    <row r="6" spans="2:12">
      <c r="B6" s="215"/>
      <c r="C6" s="169">
        <v>71</v>
      </c>
      <c r="D6" s="168" t="s">
        <v>32</v>
      </c>
      <c r="E6" s="215"/>
      <c r="F6" s="217"/>
      <c r="G6" s="215"/>
      <c r="J6" s="171" t="s">
        <v>381</v>
      </c>
      <c r="K6" s="172">
        <f>Table7[[#Totals],[(mbh)46]]</f>
        <v>0</v>
      </c>
      <c r="L6" s="171" t="s">
        <v>382</v>
      </c>
    </row>
    <row r="7" spans="2:12">
      <c r="B7" s="215" t="s">
        <v>389</v>
      </c>
      <c r="C7" s="170">
        <v>80.400000000000006</v>
      </c>
      <c r="D7" s="168" t="s">
        <v>69</v>
      </c>
      <c r="E7" s="215" t="s">
        <v>91</v>
      </c>
      <c r="F7" s="169">
        <v>57.2</v>
      </c>
      <c r="G7" s="168" t="s">
        <v>69</v>
      </c>
      <c r="J7" s="171" t="s">
        <v>385</v>
      </c>
      <c r="K7" s="172">
        <f>Table7[[#Totals],[(˚F db)46]]</f>
        <v>38</v>
      </c>
      <c r="L7" s="171" t="s">
        <v>384</v>
      </c>
    </row>
    <row r="8" spans="2:12">
      <c r="B8" s="215"/>
      <c r="C8" s="170">
        <v>68.900000000000006</v>
      </c>
      <c r="D8" s="168" t="s">
        <v>32</v>
      </c>
      <c r="E8" s="215"/>
      <c r="F8" s="169">
        <v>12.7</v>
      </c>
      <c r="G8" s="168" t="s">
        <v>70</v>
      </c>
      <c r="J8" s="171"/>
      <c r="K8" s="171"/>
      <c r="L8" s="171"/>
    </row>
    <row r="9" spans="2:12">
      <c r="B9" s="14"/>
      <c r="D9" s="17"/>
      <c r="E9" s="17"/>
      <c r="J9" s="171"/>
      <c r="K9" s="171"/>
      <c r="L9" s="171"/>
    </row>
    <row r="10" spans="2:12">
      <c r="B10" s="213" t="s">
        <v>377</v>
      </c>
      <c r="C10" s="213"/>
      <c r="D10" s="213"/>
    </row>
    <row r="11" spans="2:12">
      <c r="B11" s="164" t="s">
        <v>308</v>
      </c>
      <c r="C11" s="165">
        <v>42</v>
      </c>
      <c r="D11" s="166" t="s">
        <v>309</v>
      </c>
    </row>
    <row r="12" spans="2:12">
      <c r="B12" s="164" t="s">
        <v>310</v>
      </c>
      <c r="C12" s="165">
        <v>56</v>
      </c>
      <c r="D12" s="166" t="s">
        <v>309</v>
      </c>
    </row>
    <row r="13" spans="2:12">
      <c r="B13" s="164" t="s">
        <v>311</v>
      </c>
      <c r="C13" s="165">
        <v>140</v>
      </c>
      <c r="D13" s="166" t="s">
        <v>309</v>
      </c>
    </row>
    <row r="14" spans="2:12">
      <c r="B14" s="164" t="s">
        <v>312</v>
      </c>
      <c r="C14" s="165">
        <v>100</v>
      </c>
      <c r="D14" s="166" t="s">
        <v>309</v>
      </c>
    </row>
    <row r="15" spans="2:12">
      <c r="B15" s="164" t="s">
        <v>313</v>
      </c>
      <c r="C15" s="167">
        <v>1.2</v>
      </c>
      <c r="D15" s="166" t="s">
        <v>314</v>
      </c>
    </row>
    <row r="16" spans="2:12">
      <c r="B16" s="164" t="s">
        <v>318</v>
      </c>
      <c r="C16" s="167" t="s">
        <v>319</v>
      </c>
      <c r="D16" s="166" t="s">
        <v>299</v>
      </c>
    </row>
  </sheetData>
  <mergeCells count="12">
    <mergeCell ref="B1:D1"/>
    <mergeCell ref="B10:D10"/>
    <mergeCell ref="J1:L1"/>
    <mergeCell ref="B2:G2"/>
    <mergeCell ref="E4:G4"/>
    <mergeCell ref="B7:B8"/>
    <mergeCell ref="B4:D4"/>
    <mergeCell ref="B5:B6"/>
    <mergeCell ref="G5:G6"/>
    <mergeCell ref="E5:E6"/>
    <mergeCell ref="E7:E8"/>
    <mergeCell ref="F5:F6"/>
  </mergeCells>
  <pageMargins left="0.7" right="0.7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F1" zoomScale="62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132000</v>
      </c>
      <c r="AX2" s="66">
        <f>ROUNDUP(T79*INPUT_OUTPUTS!$C$15,-2)</f>
        <v>132000</v>
      </c>
      <c r="AY2" s="65">
        <f>ROUNDUP((P79*INPUT_OUTPUTS!C15)+P80,-2)</f>
        <v>47300</v>
      </c>
      <c r="BA2" s="76">
        <f>AHU1_CAV_SCHEDULE[[#Totals],[GPM]]</f>
        <v>19</v>
      </c>
      <c r="BB2" s="75">
        <f>AHU1_CAV_SCHEDULE[[#Totals],[MIN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2" t="s">
        <v>297</v>
      </c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4"/>
      <c r="W4" s="69"/>
      <c r="Y4"/>
      <c r="Z4"/>
      <c r="AA4"/>
    </row>
    <row r="5" spans="1:54" ht="30">
      <c r="B5" s="86"/>
      <c r="C5" s="86"/>
      <c r="D5" s="205" t="s">
        <v>88</v>
      </c>
      <c r="E5" s="206"/>
      <c r="F5" s="206"/>
      <c r="G5" s="207"/>
      <c r="H5" s="208" t="s">
        <v>89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5" t="s">
        <v>87</v>
      </c>
      <c r="T5" s="206"/>
      <c r="U5" s="206"/>
      <c r="V5" s="207"/>
      <c r="W5" s="86"/>
      <c r="X5" s="209" t="s">
        <v>86</v>
      </c>
      <c r="Y5" s="210"/>
      <c r="Z5" s="211"/>
      <c r="AC5" s="212" t="s">
        <v>124</v>
      </c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10000</v>
      </c>
      <c r="S7" s="119">
        <f t="shared" ref="S7:S38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1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2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>SUMIF($B$7:$B$78,AC8,$S$7:$S$78)</f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8" si="13">AK7</f>
        <v>55</v>
      </c>
      <c r="AL8" s="132">
        <f t="shared" si="13"/>
        <v>85</v>
      </c>
      <c r="AM8" s="132">
        <f t="shared" si="11"/>
        <v>0</v>
      </c>
      <c r="AN8" s="133">
        <f>(AM8*1000)/(500*(AI8-AJ8))</f>
        <v>0</v>
      </c>
      <c r="AO8" s="133">
        <f t="shared" ref="AO8:AO43" si="14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2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5">IFERROR(R9/E9,"-")</f>
        <v>1</v>
      </c>
      <c r="Y9" s="56">
        <f t="shared" ref="Y9:Y72" si="16">IFERROR(((P9/S9)*100),"-")</f>
        <v>33.4</v>
      </c>
      <c r="Z9" s="28">
        <f t="shared" ref="Z9:Z72" si="17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>SUMIF($B$7:$B$78,AC9,$S$7:$S$78)</f>
        <v>0</v>
      </c>
      <c r="AG9" s="132" t="str">
        <f>IFERROR((VLOOKUP(AF9,'DO NOT TOUCH'!$P$9:$Q$14,2,TRUE)),"TBD")</f>
        <v>TBD</v>
      </c>
      <c r="AH9" s="132">
        <f t="shared" ref="AH9:AH44" si="18">AH8</f>
        <v>0.5</v>
      </c>
      <c r="AI9" s="132">
        <f>INPUT_OUTPUTS!$C$13</f>
        <v>140</v>
      </c>
      <c r="AJ9" s="132">
        <f>INPUT_OUTPUTS!$C$14</f>
        <v>100</v>
      </c>
      <c r="AK9" s="132">
        <f t="shared" ref="AK9:AL9" si="19">AK8</f>
        <v>55</v>
      </c>
      <c r="AL9" s="132">
        <f t="shared" si="19"/>
        <v>85</v>
      </c>
      <c r="AM9" s="132">
        <f t="shared" si="11"/>
        <v>0</v>
      </c>
      <c r="AN9" s="133">
        <f t="shared" ref="AN9:AN43" si="20">(AM9*1000)/(500*(AI9-AJ9))</f>
        <v>0</v>
      </c>
      <c r="AO9" s="133">
        <f t="shared" si="14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2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5"/>
        <v>1</v>
      </c>
      <c r="Y10" s="56">
        <f t="shared" si="16"/>
        <v>33.4</v>
      </c>
      <c r="Z10" s="28">
        <f t="shared" si="17"/>
        <v>6</v>
      </c>
      <c r="AC10" s="131" t="s">
        <v>262</v>
      </c>
      <c r="AD10" s="131" t="s">
        <v>122</v>
      </c>
      <c r="AE10" s="131" t="s">
        <v>128</v>
      </c>
      <c r="AF10" s="132">
        <f>SUMIF($B$7:$B$78,AC10,$S$7:$S$78)</f>
        <v>0</v>
      </c>
      <c r="AG10" s="132" t="str">
        <f>IFERROR((VLOOKUP(AF10,'DO NOT TOUCH'!$P$9:$Q$14,2,TRUE)),"TBD")</f>
        <v>TBD</v>
      </c>
      <c r="AH10" s="132">
        <f t="shared" si="18"/>
        <v>0.5</v>
      </c>
      <c r="AI10" s="132">
        <f>INPUT_OUTPUTS!$C$13</f>
        <v>140</v>
      </c>
      <c r="AJ10" s="132">
        <f>INPUT_OUTPUTS!$C$14</f>
        <v>100</v>
      </c>
      <c r="AK10" s="132">
        <f t="shared" ref="AK10:AL10" si="23">AK9</f>
        <v>55</v>
      </c>
      <c r="AL10" s="132">
        <f t="shared" si="23"/>
        <v>85</v>
      </c>
      <c r="AM10" s="132">
        <f t="shared" si="11"/>
        <v>0</v>
      </c>
      <c r="AN10" s="133">
        <f t="shared" si="20"/>
        <v>0</v>
      </c>
      <c r="AO10" s="133">
        <f t="shared" si="14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2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5"/>
        <v>1</v>
      </c>
      <c r="Y11" s="56">
        <f t="shared" si="16"/>
        <v>33.4</v>
      </c>
      <c r="Z11" s="28">
        <f t="shared" si="17"/>
        <v>6</v>
      </c>
      <c r="AC11" s="131" t="s">
        <v>263</v>
      </c>
      <c r="AD11" s="131" t="s">
        <v>122</v>
      </c>
      <c r="AE11" s="131" t="s">
        <v>128</v>
      </c>
      <c r="AF11" s="132">
        <f>SUMIF($B$7:$B$78,AC11,$S$7:$S$78)</f>
        <v>0</v>
      </c>
      <c r="AG11" s="132" t="str">
        <f>IFERROR((VLOOKUP(AF11,'DO NOT TOUCH'!$P$9:$Q$14,2,TRUE)),"TBD")</f>
        <v>TBD</v>
      </c>
      <c r="AH11" s="132">
        <f t="shared" si="18"/>
        <v>0.5</v>
      </c>
      <c r="AI11" s="132">
        <f>INPUT_OUTPUTS!$C$13</f>
        <v>140</v>
      </c>
      <c r="AJ11" s="132">
        <f>INPUT_OUTPUTS!$C$14</f>
        <v>100</v>
      </c>
      <c r="AK11" s="132">
        <f t="shared" ref="AK11:AL11" si="24">AK10</f>
        <v>55</v>
      </c>
      <c r="AL11" s="132">
        <f t="shared" si="24"/>
        <v>85</v>
      </c>
      <c r="AM11" s="132">
        <f t="shared" si="11"/>
        <v>0</v>
      </c>
      <c r="AN11" s="133">
        <f t="shared" si="20"/>
        <v>0</v>
      </c>
      <c r="AO11" s="133">
        <f t="shared" si="14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2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5"/>
        <v>1</v>
      </c>
      <c r="Y12" s="56">
        <f t="shared" si="16"/>
        <v>33.4</v>
      </c>
      <c r="Z12" s="28">
        <f t="shared" si="17"/>
        <v>6</v>
      </c>
      <c r="AC12" s="131" t="s">
        <v>264</v>
      </c>
      <c r="AD12" s="131" t="s">
        <v>122</v>
      </c>
      <c r="AE12" s="131" t="s">
        <v>128</v>
      </c>
      <c r="AF12" s="132">
        <f>SUMIF($B$7:$B$78,AC12,$S$7:$S$78)</f>
        <v>0</v>
      </c>
      <c r="AG12" s="132" t="str">
        <f>IFERROR((VLOOKUP(AF12,'DO NOT TOUCH'!$P$9:$Q$14,2,TRUE)),"TBD")</f>
        <v>TBD</v>
      </c>
      <c r="AH12" s="132">
        <f t="shared" si="18"/>
        <v>0.5</v>
      </c>
      <c r="AI12" s="132">
        <f>INPUT_OUTPUTS!$C$13</f>
        <v>140</v>
      </c>
      <c r="AJ12" s="132">
        <f>INPUT_OUTPUTS!$C$14</f>
        <v>100</v>
      </c>
      <c r="AK12" s="132">
        <f t="shared" ref="AK12:AL12" si="25">AK11</f>
        <v>55</v>
      </c>
      <c r="AL12" s="132">
        <f t="shared" si="25"/>
        <v>85</v>
      </c>
      <c r="AM12" s="132">
        <f t="shared" si="11"/>
        <v>0</v>
      </c>
      <c r="AN12" s="133">
        <f t="shared" si="20"/>
        <v>0</v>
      </c>
      <c r="AO12" s="133">
        <f t="shared" si="14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2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5"/>
        <v>1</v>
      </c>
      <c r="Y13" s="56">
        <f t="shared" si="16"/>
        <v>33.4</v>
      </c>
      <c r="Z13" s="28">
        <f t="shared" si="17"/>
        <v>6</v>
      </c>
      <c r="AC13" s="134" t="s">
        <v>265</v>
      </c>
      <c r="AD13" s="131" t="s">
        <v>122</v>
      </c>
      <c r="AE13" s="131" t="s">
        <v>128</v>
      </c>
      <c r="AF13" s="132">
        <f>SUMIF($B$7:$B$78,AC13,$S$7:$S$78)</f>
        <v>0</v>
      </c>
      <c r="AG13" s="132" t="str">
        <f>IFERROR((VLOOKUP(AF13,'DO NOT TOUCH'!$P$9:$Q$14,2,TRUE)),"TBD")</f>
        <v>TBD</v>
      </c>
      <c r="AH13" s="132">
        <f t="shared" si="18"/>
        <v>0.5</v>
      </c>
      <c r="AI13" s="132">
        <f>INPUT_OUTPUTS!$C$13</f>
        <v>140</v>
      </c>
      <c r="AJ13" s="132">
        <f>INPUT_OUTPUTS!$C$14</f>
        <v>100</v>
      </c>
      <c r="AK13" s="132">
        <f t="shared" ref="AK13:AL13" si="26">AK12</f>
        <v>55</v>
      </c>
      <c r="AL13" s="132">
        <f t="shared" si="26"/>
        <v>85</v>
      </c>
      <c r="AM13" s="132">
        <f t="shared" si="11"/>
        <v>0</v>
      </c>
      <c r="AN13" s="133">
        <f t="shared" si="20"/>
        <v>0</v>
      </c>
      <c r="AO13" s="133">
        <f t="shared" si="14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2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5"/>
        <v>1</v>
      </c>
      <c r="Y14" s="56">
        <f t="shared" si="16"/>
        <v>33.4</v>
      </c>
      <c r="Z14" s="28">
        <f t="shared" si="17"/>
        <v>6</v>
      </c>
      <c r="AC14" s="134" t="s">
        <v>266</v>
      </c>
      <c r="AD14" s="131" t="s">
        <v>122</v>
      </c>
      <c r="AE14" s="131" t="s">
        <v>128</v>
      </c>
      <c r="AF14" s="132">
        <f>SUMIF($B$7:$B$78,AC14,$S$7:$S$78)</f>
        <v>0</v>
      </c>
      <c r="AG14" s="132" t="str">
        <f>IFERROR((VLOOKUP(AF14,'DO NOT TOUCH'!$P$9:$Q$14,2,TRUE)),"TBD")</f>
        <v>TBD</v>
      </c>
      <c r="AH14" s="132">
        <f t="shared" si="18"/>
        <v>0.5</v>
      </c>
      <c r="AI14" s="132">
        <f>INPUT_OUTPUTS!$C$13</f>
        <v>140</v>
      </c>
      <c r="AJ14" s="132">
        <f>INPUT_OUTPUTS!$C$14</f>
        <v>100</v>
      </c>
      <c r="AK14" s="132">
        <f t="shared" ref="AK14:AL14" si="27">AK13</f>
        <v>55</v>
      </c>
      <c r="AL14" s="132">
        <f t="shared" si="27"/>
        <v>85</v>
      </c>
      <c r="AM14" s="132">
        <f t="shared" si="11"/>
        <v>0</v>
      </c>
      <c r="AN14" s="133">
        <f t="shared" si="20"/>
        <v>0</v>
      </c>
      <c r="AO14" s="133">
        <f t="shared" si="14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2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5"/>
        <v>1</v>
      </c>
      <c r="Y15" s="56">
        <f t="shared" si="16"/>
        <v>33.4</v>
      </c>
      <c r="Z15" s="28">
        <f t="shared" si="17"/>
        <v>6</v>
      </c>
      <c r="AC15" s="134" t="s">
        <v>267</v>
      </c>
      <c r="AD15" s="131" t="s">
        <v>122</v>
      </c>
      <c r="AE15" s="131" t="s">
        <v>128</v>
      </c>
      <c r="AF15" s="132">
        <f>SUMIF($B$7:$B$78,AC15,$S$7:$S$78)</f>
        <v>0</v>
      </c>
      <c r="AG15" s="132" t="str">
        <f>IFERROR((VLOOKUP(AF15,'DO NOT TOUCH'!$P$9:$Q$14,2,TRUE)),"TBD")</f>
        <v>TBD</v>
      </c>
      <c r="AH15" s="132">
        <f t="shared" si="18"/>
        <v>0.5</v>
      </c>
      <c r="AI15" s="132">
        <f>INPUT_OUTPUTS!$C$13</f>
        <v>140</v>
      </c>
      <c r="AJ15" s="132">
        <f>INPUT_OUTPUTS!$C$14</f>
        <v>100</v>
      </c>
      <c r="AK15" s="132">
        <f t="shared" ref="AK15:AL15" si="28">AK14</f>
        <v>55</v>
      </c>
      <c r="AL15" s="132">
        <f t="shared" si="28"/>
        <v>85</v>
      </c>
      <c r="AM15" s="132">
        <f t="shared" si="11"/>
        <v>0</v>
      </c>
      <c r="AN15" s="133">
        <f t="shared" si="20"/>
        <v>0</v>
      </c>
      <c r="AO15" s="133">
        <f t="shared" si="14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2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5"/>
        <v>1</v>
      </c>
      <c r="Y16" s="56">
        <f t="shared" si="16"/>
        <v>33.4</v>
      </c>
      <c r="Z16" s="28">
        <f t="shared" si="17"/>
        <v>6</v>
      </c>
      <c r="AC16" s="134" t="s">
        <v>268</v>
      </c>
      <c r="AD16" s="131" t="s">
        <v>122</v>
      </c>
      <c r="AE16" s="131" t="s">
        <v>128</v>
      </c>
      <c r="AF16" s="132">
        <f>SUMIF($B$7:$B$78,AC16,$S$7:$S$78)</f>
        <v>0</v>
      </c>
      <c r="AG16" s="132" t="str">
        <f>IFERROR((VLOOKUP(AF16,'DO NOT TOUCH'!$P$9:$Q$14,2,TRUE)),"TBD")</f>
        <v>TBD</v>
      </c>
      <c r="AH16" s="132">
        <f t="shared" si="18"/>
        <v>0.5</v>
      </c>
      <c r="AI16" s="132">
        <f>INPUT_OUTPUTS!$C$13</f>
        <v>140</v>
      </c>
      <c r="AJ16" s="132">
        <f>INPUT_OUTPUTS!$C$14</f>
        <v>100</v>
      </c>
      <c r="AK16" s="132">
        <f t="shared" ref="AK16:AL16" si="29">AK15</f>
        <v>55</v>
      </c>
      <c r="AL16" s="132">
        <f t="shared" si="29"/>
        <v>85</v>
      </c>
      <c r="AM16" s="132">
        <f t="shared" si="11"/>
        <v>0</v>
      </c>
      <c r="AN16" s="133">
        <f t="shared" si="20"/>
        <v>0</v>
      </c>
      <c r="AO16" s="133">
        <f t="shared" si="14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2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5"/>
        <v>1</v>
      </c>
      <c r="Y17" s="56">
        <f t="shared" si="16"/>
        <v>33.4</v>
      </c>
      <c r="Z17" s="28">
        <f t="shared" si="17"/>
        <v>6</v>
      </c>
      <c r="AC17" s="134" t="s">
        <v>269</v>
      </c>
      <c r="AD17" s="131" t="s">
        <v>122</v>
      </c>
      <c r="AE17" s="131" t="s">
        <v>128</v>
      </c>
      <c r="AF17" s="132">
        <f>SUMIF($B$7:$B$78,AC17,$S$7:$S$78)</f>
        <v>0</v>
      </c>
      <c r="AG17" s="132" t="str">
        <f>IFERROR((VLOOKUP(AF17,'DO NOT TOUCH'!$P$9:$Q$14,2,TRUE)),"TBD")</f>
        <v>TBD</v>
      </c>
      <c r="AH17" s="132">
        <f t="shared" si="18"/>
        <v>0.5</v>
      </c>
      <c r="AI17" s="132">
        <f>INPUT_OUTPUTS!$C$13</f>
        <v>140</v>
      </c>
      <c r="AJ17" s="132">
        <f>INPUT_OUTPUTS!$C$14</f>
        <v>100</v>
      </c>
      <c r="AK17" s="132">
        <f t="shared" ref="AK17:AL17" si="30">AK16</f>
        <v>55</v>
      </c>
      <c r="AL17" s="132">
        <f t="shared" si="30"/>
        <v>85</v>
      </c>
      <c r="AM17" s="132">
        <f t="shared" si="11"/>
        <v>0</v>
      </c>
      <c r="AN17" s="133">
        <f t="shared" si="20"/>
        <v>0</v>
      </c>
      <c r="AO17" s="133">
        <f t="shared" si="14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2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5"/>
        <v>-</v>
      </c>
      <c r="Y18" s="56" t="str">
        <f t="shared" si="16"/>
        <v>-</v>
      </c>
      <c r="Z18" s="28" t="str">
        <f t="shared" si="17"/>
        <v>-</v>
      </c>
      <c r="AC18" s="134" t="s">
        <v>270</v>
      </c>
      <c r="AD18" s="131" t="s">
        <v>122</v>
      </c>
      <c r="AE18" s="131" t="s">
        <v>128</v>
      </c>
      <c r="AF18" s="132">
        <f>SUMIF($B$7:$B$78,AC18,$S$7:$S$78)</f>
        <v>0</v>
      </c>
      <c r="AG18" s="132" t="str">
        <f>IFERROR((VLOOKUP(AF18,'DO NOT TOUCH'!$P$9:$Q$14,2,TRUE)),"TBD")</f>
        <v>TBD</v>
      </c>
      <c r="AH18" s="132">
        <f t="shared" si="18"/>
        <v>0.5</v>
      </c>
      <c r="AI18" s="132">
        <f>INPUT_OUTPUTS!$C$13</f>
        <v>140</v>
      </c>
      <c r="AJ18" s="132">
        <f>INPUT_OUTPUTS!$C$14</f>
        <v>100</v>
      </c>
      <c r="AK18" s="132">
        <f t="shared" ref="AK18:AL18" si="31">AK17</f>
        <v>55</v>
      </c>
      <c r="AL18" s="132">
        <f t="shared" si="31"/>
        <v>85</v>
      </c>
      <c r="AM18" s="132">
        <f t="shared" si="11"/>
        <v>0</v>
      </c>
      <c r="AN18" s="133">
        <f t="shared" si="20"/>
        <v>0</v>
      </c>
      <c r="AO18" s="133">
        <f t="shared" si="14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2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5"/>
        <v>-</v>
      </c>
      <c r="Y19" s="56" t="str">
        <f t="shared" si="16"/>
        <v>-</v>
      </c>
      <c r="Z19" s="28" t="str">
        <f t="shared" si="17"/>
        <v>-</v>
      </c>
      <c r="AC19" s="134" t="s">
        <v>271</v>
      </c>
      <c r="AD19" s="131" t="s">
        <v>122</v>
      </c>
      <c r="AE19" s="131" t="s">
        <v>128</v>
      </c>
      <c r="AF19" s="132">
        <f>SUMIF($B$7:$B$78,AC19,$S$7:$S$78)</f>
        <v>0</v>
      </c>
      <c r="AG19" s="132" t="str">
        <f>IFERROR((VLOOKUP(AF19,'DO NOT TOUCH'!$P$9:$Q$14,2,TRUE)),"TBD")</f>
        <v>TBD</v>
      </c>
      <c r="AH19" s="132">
        <f t="shared" si="18"/>
        <v>0.5</v>
      </c>
      <c r="AI19" s="132">
        <f>INPUT_OUTPUTS!$C$13</f>
        <v>140</v>
      </c>
      <c r="AJ19" s="132">
        <f>INPUT_OUTPUTS!$C$14</f>
        <v>100</v>
      </c>
      <c r="AK19" s="132">
        <f t="shared" ref="AK19:AL19" si="32">AK18</f>
        <v>55</v>
      </c>
      <c r="AL19" s="132">
        <f t="shared" si="32"/>
        <v>85</v>
      </c>
      <c r="AM19" s="132">
        <f t="shared" si="11"/>
        <v>0</v>
      </c>
      <c r="AN19" s="133">
        <f t="shared" si="20"/>
        <v>0</v>
      </c>
      <c r="AO19" s="133">
        <f t="shared" si="14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2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5"/>
        <v>-</v>
      </c>
      <c r="Y20" s="56" t="str">
        <f t="shared" si="16"/>
        <v>-</v>
      </c>
      <c r="Z20" s="28" t="str">
        <f t="shared" si="17"/>
        <v>-</v>
      </c>
      <c r="AC20" s="134" t="s">
        <v>272</v>
      </c>
      <c r="AD20" s="131" t="s">
        <v>122</v>
      </c>
      <c r="AE20" s="131" t="s">
        <v>128</v>
      </c>
      <c r="AF20" s="132">
        <f>SUMIF($B$7:$B$78,AC20,$S$7:$S$78)</f>
        <v>0</v>
      </c>
      <c r="AG20" s="132" t="str">
        <f>IFERROR((VLOOKUP(AF20,'DO NOT TOUCH'!$P$9:$Q$14,2,TRUE)),"TBD")</f>
        <v>TBD</v>
      </c>
      <c r="AH20" s="132">
        <f t="shared" si="18"/>
        <v>0.5</v>
      </c>
      <c r="AI20" s="132">
        <f>INPUT_OUTPUTS!$C$13</f>
        <v>140</v>
      </c>
      <c r="AJ20" s="132">
        <f>INPUT_OUTPUTS!$C$14</f>
        <v>100</v>
      </c>
      <c r="AK20" s="132">
        <f t="shared" ref="AK20:AL20" si="33">AK19</f>
        <v>55</v>
      </c>
      <c r="AL20" s="132">
        <f t="shared" si="33"/>
        <v>85</v>
      </c>
      <c r="AM20" s="132">
        <f t="shared" si="11"/>
        <v>0</v>
      </c>
      <c r="AN20" s="133">
        <f t="shared" si="20"/>
        <v>0</v>
      </c>
      <c r="AO20" s="133">
        <f t="shared" si="14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2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5"/>
        <v>-</v>
      </c>
      <c r="Y21" s="56" t="str">
        <f t="shared" si="16"/>
        <v>-</v>
      </c>
      <c r="Z21" s="28" t="str">
        <f t="shared" si="17"/>
        <v>-</v>
      </c>
      <c r="AC21" s="134" t="s">
        <v>273</v>
      </c>
      <c r="AD21" s="131" t="s">
        <v>122</v>
      </c>
      <c r="AE21" s="131" t="s">
        <v>128</v>
      </c>
      <c r="AF21" s="132">
        <f>SUMIF($B$7:$B$78,AC21,$S$7:$S$78)</f>
        <v>0</v>
      </c>
      <c r="AG21" s="132" t="str">
        <f>IFERROR((VLOOKUP(AF21,'DO NOT TOUCH'!$P$9:$Q$14,2,TRUE)),"TBD")</f>
        <v>TBD</v>
      </c>
      <c r="AH21" s="132">
        <f t="shared" si="18"/>
        <v>0.5</v>
      </c>
      <c r="AI21" s="132">
        <f>INPUT_OUTPUTS!$C$13</f>
        <v>140</v>
      </c>
      <c r="AJ21" s="132">
        <f>INPUT_OUTPUTS!$C$14</f>
        <v>100</v>
      </c>
      <c r="AK21" s="132">
        <f t="shared" ref="AK21:AL21" si="34">AK20</f>
        <v>55</v>
      </c>
      <c r="AL21" s="132">
        <f t="shared" si="34"/>
        <v>85</v>
      </c>
      <c r="AM21" s="132">
        <f t="shared" si="11"/>
        <v>0</v>
      </c>
      <c r="AN21" s="133">
        <f t="shared" si="20"/>
        <v>0</v>
      </c>
      <c r="AO21" s="133">
        <f t="shared" si="14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2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5"/>
        <v>-</v>
      </c>
      <c r="Y22" s="56" t="str">
        <f t="shared" si="16"/>
        <v>-</v>
      </c>
      <c r="Z22" s="28" t="str">
        <f t="shared" si="17"/>
        <v>-</v>
      </c>
      <c r="AC22" s="134" t="s">
        <v>274</v>
      </c>
      <c r="AD22" s="131" t="s">
        <v>122</v>
      </c>
      <c r="AE22" s="131" t="s">
        <v>128</v>
      </c>
      <c r="AF22" s="132">
        <f>SUMIF($B$7:$B$78,AC22,$S$7:$S$78)</f>
        <v>0</v>
      </c>
      <c r="AG22" s="132" t="str">
        <f>IFERROR((VLOOKUP(AF22,'DO NOT TOUCH'!$P$9:$Q$14,2,TRUE)),"TBD")</f>
        <v>TBD</v>
      </c>
      <c r="AH22" s="132">
        <f t="shared" si="18"/>
        <v>0.5</v>
      </c>
      <c r="AI22" s="132">
        <f>INPUT_OUTPUTS!$C$13</f>
        <v>140</v>
      </c>
      <c r="AJ22" s="132">
        <f>INPUT_OUTPUTS!$C$14</f>
        <v>100</v>
      </c>
      <c r="AK22" s="132">
        <f t="shared" ref="AK22:AL22" si="35">AK21</f>
        <v>55</v>
      </c>
      <c r="AL22" s="132">
        <f t="shared" si="35"/>
        <v>85</v>
      </c>
      <c r="AM22" s="132">
        <f t="shared" si="11"/>
        <v>0</v>
      </c>
      <c r="AN22" s="133">
        <f t="shared" si="20"/>
        <v>0</v>
      </c>
      <c r="AO22" s="133">
        <f t="shared" si="14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2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5"/>
        <v>-</v>
      </c>
      <c r="Y23" s="56" t="str">
        <f t="shared" si="16"/>
        <v>-</v>
      </c>
      <c r="Z23" s="28" t="str">
        <f t="shared" si="17"/>
        <v>-</v>
      </c>
      <c r="AC23" s="134" t="s">
        <v>275</v>
      </c>
      <c r="AD23" s="131" t="s">
        <v>122</v>
      </c>
      <c r="AE23" s="131" t="s">
        <v>128</v>
      </c>
      <c r="AF23" s="132">
        <f>SUMIF($B$7:$B$78,AC23,$S$7:$S$78)</f>
        <v>0</v>
      </c>
      <c r="AG23" s="132" t="str">
        <f>IFERROR((VLOOKUP(AF23,'DO NOT TOUCH'!$P$9:$Q$14,2,TRUE)),"TBD")</f>
        <v>TBD</v>
      </c>
      <c r="AH23" s="132">
        <f t="shared" si="18"/>
        <v>0.5</v>
      </c>
      <c r="AI23" s="132">
        <f>INPUT_OUTPUTS!$C$13</f>
        <v>140</v>
      </c>
      <c r="AJ23" s="132">
        <f>INPUT_OUTPUTS!$C$14</f>
        <v>100</v>
      </c>
      <c r="AK23" s="132">
        <f t="shared" ref="AK23:AL23" si="36">AK22</f>
        <v>55</v>
      </c>
      <c r="AL23" s="132">
        <f t="shared" si="36"/>
        <v>85</v>
      </c>
      <c r="AM23" s="132">
        <f t="shared" si="11"/>
        <v>0</v>
      </c>
      <c r="AN23" s="133">
        <f t="shared" si="20"/>
        <v>0</v>
      </c>
      <c r="AO23" s="133">
        <f t="shared" si="14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2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5"/>
        <v>-</v>
      </c>
      <c r="Y24" s="56" t="str">
        <f t="shared" si="16"/>
        <v>-</v>
      </c>
      <c r="Z24" s="28" t="str">
        <f t="shared" si="17"/>
        <v>-</v>
      </c>
      <c r="AC24" s="134" t="s">
        <v>276</v>
      </c>
      <c r="AD24" s="131" t="s">
        <v>122</v>
      </c>
      <c r="AE24" s="131" t="s">
        <v>128</v>
      </c>
      <c r="AF24" s="132">
        <f>SUMIF($B$7:$B$78,AC24,$S$7:$S$78)</f>
        <v>0</v>
      </c>
      <c r="AG24" s="132" t="str">
        <f>IFERROR((VLOOKUP(AF24,'DO NOT TOUCH'!$P$9:$Q$14,2,TRUE)),"TBD")</f>
        <v>TBD</v>
      </c>
      <c r="AH24" s="132">
        <f t="shared" si="18"/>
        <v>0.5</v>
      </c>
      <c r="AI24" s="132">
        <f>INPUT_OUTPUTS!$C$13</f>
        <v>140</v>
      </c>
      <c r="AJ24" s="132">
        <f>INPUT_OUTPUTS!$C$14</f>
        <v>100</v>
      </c>
      <c r="AK24" s="132">
        <f t="shared" ref="AK24:AL24" si="37">AK23</f>
        <v>55</v>
      </c>
      <c r="AL24" s="132">
        <f t="shared" si="37"/>
        <v>85</v>
      </c>
      <c r="AM24" s="132">
        <f t="shared" si="11"/>
        <v>0</v>
      </c>
      <c r="AN24" s="133">
        <f t="shared" si="20"/>
        <v>0</v>
      </c>
      <c r="AO24" s="133">
        <f t="shared" si="14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2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5"/>
        <v>-</v>
      </c>
      <c r="Y25" s="56" t="str">
        <f t="shared" si="16"/>
        <v>-</v>
      </c>
      <c r="Z25" s="28" t="str">
        <f t="shared" si="17"/>
        <v>-</v>
      </c>
      <c r="AC25" s="134" t="s">
        <v>277</v>
      </c>
      <c r="AD25" s="131" t="s">
        <v>122</v>
      </c>
      <c r="AE25" s="131" t="s">
        <v>128</v>
      </c>
      <c r="AF25" s="132">
        <f>SUMIF($B$7:$B$78,AC25,$S$7:$S$78)</f>
        <v>0</v>
      </c>
      <c r="AG25" s="132" t="str">
        <f>IFERROR((VLOOKUP(AF25,'DO NOT TOUCH'!$P$9:$Q$14,2,TRUE)),"TBD")</f>
        <v>TBD</v>
      </c>
      <c r="AH25" s="132">
        <f t="shared" si="18"/>
        <v>0.5</v>
      </c>
      <c r="AI25" s="132">
        <f>INPUT_OUTPUTS!$C$13</f>
        <v>140</v>
      </c>
      <c r="AJ25" s="132">
        <f>INPUT_OUTPUTS!$C$14</f>
        <v>100</v>
      </c>
      <c r="AK25" s="132">
        <f t="shared" ref="AK25:AL25" si="38">AK24</f>
        <v>55</v>
      </c>
      <c r="AL25" s="132">
        <f t="shared" si="38"/>
        <v>85</v>
      </c>
      <c r="AM25" s="132">
        <f t="shared" si="11"/>
        <v>0</v>
      </c>
      <c r="AN25" s="133">
        <f t="shared" si="20"/>
        <v>0</v>
      </c>
      <c r="AO25" s="133">
        <f t="shared" si="14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2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5"/>
        <v>-</v>
      </c>
      <c r="Y26" s="56" t="str">
        <f t="shared" si="16"/>
        <v>-</v>
      </c>
      <c r="Z26" s="28" t="str">
        <f t="shared" si="17"/>
        <v>-</v>
      </c>
      <c r="AC26" s="134" t="s">
        <v>278</v>
      </c>
      <c r="AD26" s="131" t="s">
        <v>122</v>
      </c>
      <c r="AE26" s="131" t="s">
        <v>128</v>
      </c>
      <c r="AF26" s="132">
        <f>SUMIF($B$7:$B$78,AC26,$S$7:$S$78)</f>
        <v>0</v>
      </c>
      <c r="AG26" s="132" t="str">
        <f>IFERROR((VLOOKUP(AF26,'DO NOT TOUCH'!$P$9:$Q$14,2,TRUE)),"TBD")</f>
        <v>TBD</v>
      </c>
      <c r="AH26" s="132">
        <f t="shared" si="18"/>
        <v>0.5</v>
      </c>
      <c r="AI26" s="132">
        <f>INPUT_OUTPUTS!$C$13</f>
        <v>140</v>
      </c>
      <c r="AJ26" s="132">
        <f>INPUT_OUTPUTS!$C$14</f>
        <v>100</v>
      </c>
      <c r="AK26" s="132">
        <f t="shared" ref="AK26:AL26" si="39">AK25</f>
        <v>55</v>
      </c>
      <c r="AL26" s="132">
        <f t="shared" si="39"/>
        <v>85</v>
      </c>
      <c r="AM26" s="132">
        <f t="shared" si="11"/>
        <v>0</v>
      </c>
      <c r="AN26" s="133">
        <f t="shared" si="20"/>
        <v>0</v>
      </c>
      <c r="AO26" s="133">
        <f t="shared" si="14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2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5"/>
        <v>-</v>
      </c>
      <c r="Y27" s="56" t="str">
        <f t="shared" si="16"/>
        <v>-</v>
      </c>
      <c r="Z27" s="28" t="str">
        <f t="shared" si="17"/>
        <v>-</v>
      </c>
      <c r="AC27" s="134" t="s">
        <v>279</v>
      </c>
      <c r="AD27" s="131" t="s">
        <v>122</v>
      </c>
      <c r="AE27" s="131" t="s">
        <v>128</v>
      </c>
      <c r="AF27" s="132">
        <f>SUMIF($B$7:$B$78,AC27,$S$7:$S$78)</f>
        <v>0</v>
      </c>
      <c r="AG27" s="132" t="str">
        <f>IFERROR((VLOOKUP(AF27,'DO NOT TOUCH'!$P$9:$Q$14,2,TRUE)),"TBD")</f>
        <v>TBD</v>
      </c>
      <c r="AH27" s="132">
        <f t="shared" si="18"/>
        <v>0.5</v>
      </c>
      <c r="AI27" s="132">
        <f>INPUT_OUTPUTS!$C$13</f>
        <v>140</v>
      </c>
      <c r="AJ27" s="132">
        <f>INPUT_OUTPUTS!$C$14</f>
        <v>100</v>
      </c>
      <c r="AK27" s="132">
        <f t="shared" ref="AK27:AL27" si="40">AK26</f>
        <v>55</v>
      </c>
      <c r="AL27" s="132">
        <f t="shared" si="40"/>
        <v>85</v>
      </c>
      <c r="AM27" s="132">
        <f t="shared" si="11"/>
        <v>0</v>
      </c>
      <c r="AN27" s="133">
        <f t="shared" si="20"/>
        <v>0</v>
      </c>
      <c r="AO27" s="133">
        <f t="shared" si="14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2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5"/>
        <v>-</v>
      </c>
      <c r="Y28" s="56" t="str">
        <f t="shared" si="16"/>
        <v>-</v>
      </c>
      <c r="Z28" s="28" t="str">
        <f t="shared" si="17"/>
        <v>-</v>
      </c>
      <c r="AC28" s="134" t="s">
        <v>280</v>
      </c>
      <c r="AD28" s="131" t="s">
        <v>122</v>
      </c>
      <c r="AE28" s="131" t="s">
        <v>128</v>
      </c>
      <c r="AF28" s="132">
        <f>SUMIF($B$7:$B$78,AC28,$S$7:$S$78)</f>
        <v>0</v>
      </c>
      <c r="AG28" s="132" t="str">
        <f>IFERROR((VLOOKUP(AF28,'DO NOT TOUCH'!$P$9:$Q$14,2,TRUE)),"TBD")</f>
        <v>TBD</v>
      </c>
      <c r="AH28" s="132">
        <f t="shared" si="18"/>
        <v>0.5</v>
      </c>
      <c r="AI28" s="132">
        <f>INPUT_OUTPUTS!$C$13</f>
        <v>140</v>
      </c>
      <c r="AJ28" s="132">
        <f>INPUT_OUTPUTS!$C$14</f>
        <v>100</v>
      </c>
      <c r="AK28" s="132">
        <f t="shared" ref="AK28:AL28" si="41">AK27</f>
        <v>55</v>
      </c>
      <c r="AL28" s="132">
        <f t="shared" si="41"/>
        <v>85</v>
      </c>
      <c r="AM28" s="132">
        <f t="shared" si="11"/>
        <v>0</v>
      </c>
      <c r="AN28" s="133">
        <f t="shared" si="20"/>
        <v>0</v>
      </c>
      <c r="AO28" s="133">
        <f t="shared" si="14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2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5"/>
        <v>-</v>
      </c>
      <c r="Y29" s="56" t="str">
        <f t="shared" si="16"/>
        <v>-</v>
      </c>
      <c r="Z29" s="28" t="str">
        <f t="shared" si="17"/>
        <v>-</v>
      </c>
      <c r="AC29" s="134" t="s">
        <v>281</v>
      </c>
      <c r="AD29" s="131" t="s">
        <v>122</v>
      </c>
      <c r="AE29" s="131" t="s">
        <v>128</v>
      </c>
      <c r="AF29" s="132">
        <f>SUMIF($B$7:$B$78,AC29,$S$7:$S$78)</f>
        <v>0</v>
      </c>
      <c r="AG29" s="132" t="str">
        <f>IFERROR((VLOOKUP(AF29,'DO NOT TOUCH'!$P$9:$Q$14,2,TRUE)),"TBD")</f>
        <v>TBD</v>
      </c>
      <c r="AH29" s="132">
        <f t="shared" si="18"/>
        <v>0.5</v>
      </c>
      <c r="AI29" s="132">
        <f>INPUT_OUTPUTS!$C$13</f>
        <v>140</v>
      </c>
      <c r="AJ29" s="132">
        <f>INPUT_OUTPUTS!$C$14</f>
        <v>100</v>
      </c>
      <c r="AK29" s="132">
        <f t="shared" ref="AK29:AL29" si="42">AK28</f>
        <v>55</v>
      </c>
      <c r="AL29" s="132">
        <f t="shared" si="42"/>
        <v>85</v>
      </c>
      <c r="AM29" s="132">
        <f t="shared" si="11"/>
        <v>0</v>
      </c>
      <c r="AN29" s="133">
        <f t="shared" si="20"/>
        <v>0</v>
      </c>
      <c r="AO29" s="133">
        <f t="shared" si="14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2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5"/>
        <v>-</v>
      </c>
      <c r="Y30" s="56" t="str">
        <f t="shared" si="16"/>
        <v>-</v>
      </c>
      <c r="Z30" s="28" t="str">
        <f t="shared" si="17"/>
        <v>-</v>
      </c>
      <c r="AC30" s="134" t="s">
        <v>282</v>
      </c>
      <c r="AD30" s="131" t="s">
        <v>122</v>
      </c>
      <c r="AE30" s="131" t="s">
        <v>128</v>
      </c>
      <c r="AF30" s="132">
        <f>SUMIF($B$7:$B$78,AC30,$S$7:$S$78)</f>
        <v>0</v>
      </c>
      <c r="AG30" s="132" t="str">
        <f>IFERROR((VLOOKUP(AF30,'DO NOT TOUCH'!$P$9:$Q$14,2,TRUE)),"TBD")</f>
        <v>TBD</v>
      </c>
      <c r="AH30" s="132">
        <f t="shared" si="18"/>
        <v>0.5</v>
      </c>
      <c r="AI30" s="132">
        <f>INPUT_OUTPUTS!$C$13</f>
        <v>140</v>
      </c>
      <c r="AJ30" s="132">
        <f>INPUT_OUTPUTS!$C$14</f>
        <v>100</v>
      </c>
      <c r="AK30" s="132">
        <f t="shared" ref="AK30:AL30" si="43">AK29</f>
        <v>55</v>
      </c>
      <c r="AL30" s="132">
        <f t="shared" si="43"/>
        <v>85</v>
      </c>
      <c r="AM30" s="132">
        <f t="shared" si="11"/>
        <v>0</v>
      </c>
      <c r="AN30" s="133">
        <f t="shared" si="20"/>
        <v>0</v>
      </c>
      <c r="AO30" s="133">
        <f t="shared" si="14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2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5"/>
        <v>-</v>
      </c>
      <c r="Y31" s="56" t="str">
        <f t="shared" si="16"/>
        <v>-</v>
      </c>
      <c r="Z31" s="28" t="str">
        <f t="shared" si="17"/>
        <v>-</v>
      </c>
      <c r="AC31" s="134" t="s">
        <v>283</v>
      </c>
      <c r="AD31" s="131" t="s">
        <v>122</v>
      </c>
      <c r="AE31" s="131" t="s">
        <v>128</v>
      </c>
      <c r="AF31" s="132">
        <f>SUMIF($B$7:$B$78,AC31,$S$7:$S$78)</f>
        <v>0</v>
      </c>
      <c r="AG31" s="132" t="str">
        <f>IFERROR((VLOOKUP(AF31,'DO NOT TOUCH'!$P$9:$Q$14,2,TRUE)),"TBD")</f>
        <v>TBD</v>
      </c>
      <c r="AH31" s="132">
        <f t="shared" si="18"/>
        <v>0.5</v>
      </c>
      <c r="AI31" s="132">
        <f>INPUT_OUTPUTS!$C$13</f>
        <v>140</v>
      </c>
      <c r="AJ31" s="132">
        <f>INPUT_OUTPUTS!$C$14</f>
        <v>100</v>
      </c>
      <c r="AK31" s="132">
        <f t="shared" ref="AK31:AL31" si="44">AK30</f>
        <v>55</v>
      </c>
      <c r="AL31" s="132">
        <f t="shared" si="44"/>
        <v>85</v>
      </c>
      <c r="AM31" s="132">
        <f t="shared" si="11"/>
        <v>0</v>
      </c>
      <c r="AN31" s="133">
        <f t="shared" si="20"/>
        <v>0</v>
      </c>
      <c r="AO31" s="133">
        <f t="shared" si="14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2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5"/>
        <v>-</v>
      </c>
      <c r="Y32" s="56" t="str">
        <f t="shared" si="16"/>
        <v>-</v>
      </c>
      <c r="Z32" s="28" t="str">
        <f t="shared" si="17"/>
        <v>-</v>
      </c>
      <c r="AC32" s="134" t="s">
        <v>284</v>
      </c>
      <c r="AD32" s="131" t="s">
        <v>122</v>
      </c>
      <c r="AE32" s="131" t="s">
        <v>128</v>
      </c>
      <c r="AF32" s="132">
        <f>SUMIF($B$7:$B$78,AC32,$S$7:$S$78)</f>
        <v>0</v>
      </c>
      <c r="AG32" s="132" t="str">
        <f>IFERROR((VLOOKUP(AF32,'DO NOT TOUCH'!$P$9:$Q$14,2,TRUE)),"TBD")</f>
        <v>TBD</v>
      </c>
      <c r="AH32" s="132">
        <f t="shared" si="18"/>
        <v>0.5</v>
      </c>
      <c r="AI32" s="132">
        <f>INPUT_OUTPUTS!$C$13</f>
        <v>140</v>
      </c>
      <c r="AJ32" s="132">
        <f>INPUT_OUTPUTS!$C$14</f>
        <v>100</v>
      </c>
      <c r="AK32" s="132">
        <f t="shared" ref="AK32:AL32" si="45">AK31</f>
        <v>55</v>
      </c>
      <c r="AL32" s="132">
        <f t="shared" si="45"/>
        <v>85</v>
      </c>
      <c r="AM32" s="132">
        <f t="shared" si="11"/>
        <v>0</v>
      </c>
      <c r="AN32" s="133">
        <f t="shared" si="20"/>
        <v>0</v>
      </c>
      <c r="AO32" s="133">
        <f t="shared" si="14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2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5"/>
        <v>-</v>
      </c>
      <c r="Y33" s="56" t="str">
        <f t="shared" si="16"/>
        <v>-</v>
      </c>
      <c r="Z33" s="28" t="str">
        <f t="shared" si="17"/>
        <v>-</v>
      </c>
      <c r="AC33" s="134" t="s">
        <v>285</v>
      </c>
      <c r="AD33" s="131" t="s">
        <v>122</v>
      </c>
      <c r="AE33" s="131" t="s">
        <v>128</v>
      </c>
      <c r="AF33" s="132">
        <f>SUMIF($B$7:$B$78,AC33,$S$7:$S$78)</f>
        <v>0</v>
      </c>
      <c r="AG33" s="132" t="str">
        <f>IFERROR((VLOOKUP(AF33,'DO NOT TOUCH'!$P$9:$Q$14,2,TRUE)),"TBD")</f>
        <v>TBD</v>
      </c>
      <c r="AH33" s="132">
        <f t="shared" si="18"/>
        <v>0.5</v>
      </c>
      <c r="AI33" s="132">
        <f>INPUT_OUTPUTS!$C$13</f>
        <v>140</v>
      </c>
      <c r="AJ33" s="132">
        <f>INPUT_OUTPUTS!$C$14</f>
        <v>100</v>
      </c>
      <c r="AK33" s="132">
        <f t="shared" ref="AK33:AL33" si="46">AK32</f>
        <v>55</v>
      </c>
      <c r="AL33" s="132">
        <f t="shared" si="46"/>
        <v>85</v>
      </c>
      <c r="AM33" s="132">
        <f t="shared" si="11"/>
        <v>0</v>
      </c>
      <c r="AN33" s="133">
        <f t="shared" si="20"/>
        <v>0</v>
      </c>
      <c r="AO33" s="133">
        <f t="shared" si="14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2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5"/>
        <v>-</v>
      </c>
      <c r="Y34" s="56" t="str">
        <f t="shared" si="16"/>
        <v>-</v>
      </c>
      <c r="Z34" s="28" t="str">
        <f t="shared" si="17"/>
        <v>-</v>
      </c>
      <c r="AC34" s="134" t="s">
        <v>286</v>
      </c>
      <c r="AD34" s="131" t="s">
        <v>122</v>
      </c>
      <c r="AE34" s="131" t="s">
        <v>128</v>
      </c>
      <c r="AF34" s="132">
        <f>SUMIF($B$7:$B$78,AC34,$S$7:$S$78)</f>
        <v>0</v>
      </c>
      <c r="AG34" s="132" t="str">
        <f>IFERROR((VLOOKUP(AF34,'DO NOT TOUCH'!$P$9:$Q$14,2,TRUE)),"TBD")</f>
        <v>TBD</v>
      </c>
      <c r="AH34" s="132">
        <f t="shared" si="18"/>
        <v>0.5</v>
      </c>
      <c r="AI34" s="132">
        <f>INPUT_OUTPUTS!$C$13</f>
        <v>140</v>
      </c>
      <c r="AJ34" s="132">
        <f>INPUT_OUTPUTS!$C$14</f>
        <v>100</v>
      </c>
      <c r="AK34" s="132">
        <f t="shared" ref="AK34:AL34" si="47">AK33</f>
        <v>55</v>
      </c>
      <c r="AL34" s="132">
        <f t="shared" si="47"/>
        <v>85</v>
      </c>
      <c r="AM34" s="132">
        <f t="shared" si="11"/>
        <v>0</v>
      </c>
      <c r="AN34" s="133">
        <f t="shared" si="20"/>
        <v>0</v>
      </c>
      <c r="AO34" s="133">
        <f t="shared" si="14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2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5"/>
        <v>-</v>
      </c>
      <c r="Y35" s="56" t="str">
        <f t="shared" si="16"/>
        <v>-</v>
      </c>
      <c r="Z35" s="28" t="str">
        <f t="shared" si="17"/>
        <v>-</v>
      </c>
      <c r="AC35" s="134" t="s">
        <v>287</v>
      </c>
      <c r="AD35" s="131" t="s">
        <v>122</v>
      </c>
      <c r="AE35" s="131" t="s">
        <v>128</v>
      </c>
      <c r="AF35" s="132">
        <f>SUMIF($B$7:$B$78,AC35,$S$7:$S$78)</f>
        <v>0</v>
      </c>
      <c r="AG35" s="132" t="str">
        <f>IFERROR((VLOOKUP(AF35,'DO NOT TOUCH'!$P$9:$Q$14,2,TRUE)),"TBD")</f>
        <v>TBD</v>
      </c>
      <c r="AH35" s="132">
        <f t="shared" si="18"/>
        <v>0.5</v>
      </c>
      <c r="AI35" s="132">
        <f>INPUT_OUTPUTS!$C$13</f>
        <v>140</v>
      </c>
      <c r="AJ35" s="132">
        <f>INPUT_OUTPUTS!$C$14</f>
        <v>100</v>
      </c>
      <c r="AK35" s="132">
        <f t="shared" ref="AK35:AL35" si="48">AK34</f>
        <v>55</v>
      </c>
      <c r="AL35" s="132">
        <f t="shared" si="48"/>
        <v>85</v>
      </c>
      <c r="AM35" s="132">
        <f t="shared" si="11"/>
        <v>0</v>
      </c>
      <c r="AN35" s="133">
        <f t="shared" si="20"/>
        <v>0</v>
      </c>
      <c r="AO35" s="133">
        <f t="shared" si="14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2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5"/>
        <v>-</v>
      </c>
      <c r="Y36" s="56" t="str">
        <f t="shared" si="16"/>
        <v>-</v>
      </c>
      <c r="Z36" s="28" t="str">
        <f t="shared" si="17"/>
        <v>-</v>
      </c>
      <c r="AC36" s="134" t="s">
        <v>288</v>
      </c>
      <c r="AD36" s="131" t="s">
        <v>122</v>
      </c>
      <c r="AE36" s="131" t="s">
        <v>128</v>
      </c>
      <c r="AF36" s="132">
        <f>SUMIF($B$7:$B$78,AC36,$S$7:$S$78)</f>
        <v>0</v>
      </c>
      <c r="AG36" s="132" t="str">
        <f>IFERROR((VLOOKUP(AF36,'DO NOT TOUCH'!$P$9:$Q$14,2,TRUE)),"TBD")</f>
        <v>TBD</v>
      </c>
      <c r="AH36" s="132">
        <f t="shared" si="18"/>
        <v>0.5</v>
      </c>
      <c r="AI36" s="132">
        <f>INPUT_OUTPUTS!$C$13</f>
        <v>140</v>
      </c>
      <c r="AJ36" s="132">
        <f>INPUT_OUTPUTS!$C$14</f>
        <v>100</v>
      </c>
      <c r="AK36" s="132">
        <f t="shared" ref="AK36:AL36" si="49">AK35</f>
        <v>55</v>
      </c>
      <c r="AL36" s="132">
        <f t="shared" si="49"/>
        <v>85</v>
      </c>
      <c r="AM36" s="132">
        <f t="shared" si="11"/>
        <v>0</v>
      </c>
      <c r="AN36" s="133">
        <f t="shared" si="20"/>
        <v>0</v>
      </c>
      <c r="AO36" s="133">
        <f t="shared" si="14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2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5"/>
        <v>-</v>
      </c>
      <c r="Y37" s="56" t="str">
        <f t="shared" si="16"/>
        <v>-</v>
      </c>
      <c r="Z37" s="28" t="str">
        <f t="shared" si="17"/>
        <v>-</v>
      </c>
      <c r="AC37" s="134" t="s">
        <v>289</v>
      </c>
      <c r="AD37" s="131" t="s">
        <v>122</v>
      </c>
      <c r="AE37" s="131" t="s">
        <v>128</v>
      </c>
      <c r="AF37" s="132">
        <f>SUMIF($B$7:$B$78,AC37,$S$7:$S$78)</f>
        <v>0</v>
      </c>
      <c r="AG37" s="132" t="str">
        <f>IFERROR((VLOOKUP(AF37,'DO NOT TOUCH'!$P$9:$Q$14,2,TRUE)),"TBD")</f>
        <v>TBD</v>
      </c>
      <c r="AH37" s="132">
        <f t="shared" si="18"/>
        <v>0.5</v>
      </c>
      <c r="AI37" s="132">
        <f>INPUT_OUTPUTS!$C$13</f>
        <v>140</v>
      </c>
      <c r="AJ37" s="132">
        <f>INPUT_OUTPUTS!$C$14</f>
        <v>100</v>
      </c>
      <c r="AK37" s="132">
        <f t="shared" ref="AK37:AL37" si="50">AK36</f>
        <v>55</v>
      </c>
      <c r="AL37" s="132">
        <f t="shared" si="50"/>
        <v>85</v>
      </c>
      <c r="AM37" s="132">
        <f t="shared" si="11"/>
        <v>0</v>
      </c>
      <c r="AN37" s="133">
        <f t="shared" si="20"/>
        <v>0</v>
      </c>
      <c r="AO37" s="133">
        <f t="shared" si="14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2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5"/>
        <v>-</v>
      </c>
      <c r="Y38" s="56" t="str">
        <f t="shared" si="16"/>
        <v>-</v>
      </c>
      <c r="Z38" s="28" t="str">
        <f t="shared" si="17"/>
        <v>-</v>
      </c>
      <c r="AC38" s="134" t="s">
        <v>290</v>
      </c>
      <c r="AD38" s="131" t="s">
        <v>122</v>
      </c>
      <c r="AE38" s="131" t="s">
        <v>128</v>
      </c>
      <c r="AF38" s="132">
        <f>SUMIF($B$7:$B$78,AC38,$S$7:$S$78)</f>
        <v>0</v>
      </c>
      <c r="AG38" s="132" t="str">
        <f>IFERROR((VLOOKUP(AF38,'DO NOT TOUCH'!$P$9:$Q$14,2,TRUE)),"TBD")</f>
        <v>TBD</v>
      </c>
      <c r="AH38" s="132">
        <f t="shared" si="18"/>
        <v>0.5</v>
      </c>
      <c r="AI38" s="132">
        <f>INPUT_OUTPUTS!$C$13</f>
        <v>140</v>
      </c>
      <c r="AJ38" s="132">
        <f>INPUT_OUTPUTS!$C$14</f>
        <v>100</v>
      </c>
      <c r="AK38" s="132">
        <f t="shared" ref="AK38:AL38" si="51">AK37</f>
        <v>55</v>
      </c>
      <c r="AL38" s="132">
        <f t="shared" si="51"/>
        <v>85</v>
      </c>
      <c r="AM38" s="132">
        <f t="shared" si="11"/>
        <v>0</v>
      </c>
      <c r="AN38" s="133">
        <f t="shared" si="20"/>
        <v>0</v>
      </c>
      <c r="AO38" s="133">
        <f t="shared" si="14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2">IF(H39="Yes",K39,"-")</f>
        <v>-</v>
      </c>
      <c r="J39" s="117">
        <v>0</v>
      </c>
      <c r="K39" s="93">
        <f t="shared" ref="K39:K69" si="53">IF(G39&lt;&gt;"NR",ROUNDUP((E39*F39*G39)/60,-1),0)</f>
        <v>0</v>
      </c>
      <c r="L39" s="84">
        <f t="shared" si="12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4">IF(O39&lt;&gt;"NR",ROUNDUP((E39*F39*O39)/60,-1),0)</f>
        <v>0</v>
      </c>
      <c r="Q39" s="81" t="str">
        <f>VLOOKUP($M39,'UMC Table 4-A'!$A$10:$E$139,5,FALSE)</f>
        <v>NR</v>
      </c>
      <c r="R39" s="82">
        <f t="shared" ref="R39:R69" si="55">IF(N39="Negative",IF(OR(M39="Toilet room",M39="Janitor's closet, housekeeping"),0,IF(0.1*U39&gt;50,220-0.1*U39,U39-50)),IF(Q39="Yes",0,CEILING(MAX(J39:L39),5)))</f>
        <v>0</v>
      </c>
      <c r="S39" s="119">
        <f t="shared" ref="S39:S78" si="56">R39</f>
        <v>0</v>
      </c>
      <c r="T39" s="119">
        <f t="shared" si="5"/>
        <v>0</v>
      </c>
      <c r="U39" s="119">
        <f t="shared" ref="U39:U78" si="57">IF(Q39="Yes",I39,0)</f>
        <v>0</v>
      </c>
      <c r="V39" s="71">
        <f t="shared" ref="V39:V69" si="58">S39-T39-U39</f>
        <v>0</v>
      </c>
      <c r="W39" s="27" t="str">
        <f t="shared" ref="W39:W69" si="59">IF(R39-T39-U39+V39=0,"Yes","No")</f>
        <v>Yes</v>
      </c>
      <c r="X39" s="28" t="str">
        <f t="shared" si="15"/>
        <v>-</v>
      </c>
      <c r="Y39" s="56" t="str">
        <f t="shared" si="16"/>
        <v>-</v>
      </c>
      <c r="Z39" s="28" t="str">
        <f t="shared" si="17"/>
        <v>-</v>
      </c>
      <c r="AC39" s="134" t="s">
        <v>291</v>
      </c>
      <c r="AD39" s="131" t="s">
        <v>122</v>
      </c>
      <c r="AE39" s="131" t="s">
        <v>128</v>
      </c>
      <c r="AF39" s="132">
        <f>SUMIF($B$7:$B$78,AC39,$S$7:$S$78)</f>
        <v>0</v>
      </c>
      <c r="AG39" s="132" t="str">
        <f>IFERROR((VLOOKUP(AF39,'DO NOT TOUCH'!$P$9:$Q$14,2,TRUE)),"TBD")</f>
        <v>TBD</v>
      </c>
      <c r="AH39" s="132">
        <f t="shared" si="18"/>
        <v>0.5</v>
      </c>
      <c r="AI39" s="132">
        <f>INPUT_OUTPUTS!$C$13</f>
        <v>140</v>
      </c>
      <c r="AJ39" s="132">
        <f>INPUT_OUTPUTS!$C$14</f>
        <v>100</v>
      </c>
      <c r="AK39" s="132">
        <f t="shared" ref="AK39:AL39" si="60">AK38</f>
        <v>55</v>
      </c>
      <c r="AL39" s="132">
        <f t="shared" si="60"/>
        <v>85</v>
      </c>
      <c r="AM39" s="132">
        <f t="shared" si="11"/>
        <v>0</v>
      </c>
      <c r="AN39" s="133">
        <f t="shared" si="20"/>
        <v>0</v>
      </c>
      <c r="AO39" s="133">
        <f t="shared" si="14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2"/>
        <v>-</v>
      </c>
      <c r="J40" s="117">
        <v>0</v>
      </c>
      <c r="K40" s="93">
        <f t="shared" si="53"/>
        <v>0</v>
      </c>
      <c r="L40" s="84">
        <f t="shared" si="12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4"/>
        <v>0</v>
      </c>
      <c r="Q40" s="81" t="str">
        <f>VLOOKUP($M40,'UMC Table 4-A'!$A$10:$E$139,5,FALSE)</f>
        <v>NR</v>
      </c>
      <c r="R40" s="82">
        <f t="shared" si="55"/>
        <v>0</v>
      </c>
      <c r="S40" s="119">
        <f t="shared" si="56"/>
        <v>0</v>
      </c>
      <c r="T40" s="119">
        <f t="shared" si="5"/>
        <v>0</v>
      </c>
      <c r="U40" s="119">
        <f t="shared" si="57"/>
        <v>0</v>
      </c>
      <c r="V40" s="71">
        <f t="shared" si="58"/>
        <v>0</v>
      </c>
      <c r="W40" s="27" t="str">
        <f t="shared" si="59"/>
        <v>Yes</v>
      </c>
      <c r="X40" s="28" t="str">
        <f t="shared" si="15"/>
        <v>-</v>
      </c>
      <c r="Y40" s="56" t="str">
        <f t="shared" si="16"/>
        <v>-</v>
      </c>
      <c r="Z40" s="28" t="str">
        <f t="shared" si="17"/>
        <v>-</v>
      </c>
      <c r="AC40" s="134" t="s">
        <v>292</v>
      </c>
      <c r="AD40" s="131" t="s">
        <v>122</v>
      </c>
      <c r="AE40" s="131" t="s">
        <v>128</v>
      </c>
      <c r="AF40" s="132">
        <f>SUMIF($B$7:$B$78,AC40,$S$7:$S$78)</f>
        <v>0</v>
      </c>
      <c r="AG40" s="132" t="str">
        <f>IFERROR((VLOOKUP(AF40,'DO NOT TOUCH'!$P$9:$Q$14,2,TRUE)),"TBD")</f>
        <v>TBD</v>
      </c>
      <c r="AH40" s="132">
        <f t="shared" si="18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0" si="61">AK39</f>
        <v>55</v>
      </c>
      <c r="AL40" s="132">
        <f t="shared" si="61"/>
        <v>85</v>
      </c>
      <c r="AM40" s="132">
        <f t="shared" si="11"/>
        <v>0</v>
      </c>
      <c r="AN40" s="133">
        <f t="shared" si="20"/>
        <v>0</v>
      </c>
      <c r="AO40" s="133">
        <f t="shared" si="14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2"/>
        <v>-</v>
      </c>
      <c r="J41" s="117">
        <v>0</v>
      </c>
      <c r="K41" s="93">
        <f t="shared" si="53"/>
        <v>0</v>
      </c>
      <c r="L41" s="84">
        <f t="shared" si="12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4"/>
        <v>0</v>
      </c>
      <c r="Q41" s="81" t="str">
        <f>VLOOKUP($M41,'UMC Table 4-A'!$A$10:$E$139,5,FALSE)</f>
        <v>NR</v>
      </c>
      <c r="R41" s="82">
        <f t="shared" si="55"/>
        <v>0</v>
      </c>
      <c r="S41" s="119">
        <f t="shared" si="56"/>
        <v>0</v>
      </c>
      <c r="T41" s="119">
        <f t="shared" si="5"/>
        <v>0</v>
      </c>
      <c r="U41" s="119">
        <f t="shared" si="57"/>
        <v>0</v>
      </c>
      <c r="V41" s="71">
        <f t="shared" si="58"/>
        <v>0</v>
      </c>
      <c r="W41" s="27" t="str">
        <f t="shared" si="59"/>
        <v>Yes</v>
      </c>
      <c r="X41" s="28" t="str">
        <f t="shared" si="15"/>
        <v>-</v>
      </c>
      <c r="Y41" s="56" t="str">
        <f t="shared" si="16"/>
        <v>-</v>
      </c>
      <c r="Z41" s="28" t="str">
        <f t="shared" si="17"/>
        <v>-</v>
      </c>
      <c r="AC41" s="134" t="s">
        <v>293</v>
      </c>
      <c r="AD41" s="131" t="s">
        <v>122</v>
      </c>
      <c r="AE41" s="131" t="s">
        <v>128</v>
      </c>
      <c r="AF41" s="132">
        <f>SUMIF($B$7:$B$78,AC41,$S$7:$S$78)</f>
        <v>0</v>
      </c>
      <c r="AG41" s="132" t="str">
        <f>IFERROR((VLOOKUP(AF41,'DO NOT TOUCH'!$P$9:$Q$14,2,TRUE)),"TBD")</f>
        <v>TBD</v>
      </c>
      <c r="AH41" s="132">
        <f t="shared" si="18"/>
        <v>0.5</v>
      </c>
      <c r="AI41" s="132">
        <f>INPUT_OUTPUTS!$C$13</f>
        <v>140</v>
      </c>
      <c r="AJ41" s="132">
        <f>INPUT_OUTPUTS!$C$14</f>
        <v>100</v>
      </c>
      <c r="AK41" s="132">
        <f t="shared" ref="AK41:AL41" si="62">AK40</f>
        <v>55</v>
      </c>
      <c r="AL41" s="132">
        <f t="shared" si="62"/>
        <v>85</v>
      </c>
      <c r="AM41" s="132">
        <f t="shared" si="11"/>
        <v>0</v>
      </c>
      <c r="AN41" s="133">
        <f t="shared" si="20"/>
        <v>0</v>
      </c>
      <c r="AO41" s="133">
        <f t="shared" si="14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2"/>
        <v>-</v>
      </c>
      <c r="J42" s="117">
        <v>0</v>
      </c>
      <c r="K42" s="93">
        <f t="shared" si="53"/>
        <v>0</v>
      </c>
      <c r="L42" s="84">
        <f t="shared" si="12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4"/>
        <v>0</v>
      </c>
      <c r="Q42" s="81" t="str">
        <f>VLOOKUP($M42,'UMC Table 4-A'!$A$10:$E$139,5,FALSE)</f>
        <v>NR</v>
      </c>
      <c r="R42" s="82">
        <f t="shared" si="55"/>
        <v>0</v>
      </c>
      <c r="S42" s="119">
        <f t="shared" si="56"/>
        <v>0</v>
      </c>
      <c r="T42" s="119">
        <f t="shared" si="5"/>
        <v>0</v>
      </c>
      <c r="U42" s="119">
        <f t="shared" si="57"/>
        <v>0</v>
      </c>
      <c r="V42" s="71">
        <f t="shared" si="58"/>
        <v>0</v>
      </c>
      <c r="W42" s="27" t="str">
        <f t="shared" si="59"/>
        <v>Yes</v>
      </c>
      <c r="X42" s="28" t="str">
        <f t="shared" si="15"/>
        <v>-</v>
      </c>
      <c r="Y42" s="56" t="str">
        <f t="shared" si="16"/>
        <v>-</v>
      </c>
      <c r="Z42" s="28" t="str">
        <f t="shared" si="17"/>
        <v>-</v>
      </c>
      <c r="AC42" s="134" t="s">
        <v>294</v>
      </c>
      <c r="AD42" s="131" t="s">
        <v>122</v>
      </c>
      <c r="AE42" s="131" t="s">
        <v>128</v>
      </c>
      <c r="AF42" s="132">
        <f>SUMIF($B$7:$B$78,AC42,$S$7:$S$78)</f>
        <v>0</v>
      </c>
      <c r="AG42" s="132" t="str">
        <f>IFERROR((VLOOKUP(AF42,'DO NOT TOUCH'!$P$9:$Q$14,2,TRUE)),"TBD")</f>
        <v>TBD</v>
      </c>
      <c r="AH42" s="132">
        <f t="shared" si="18"/>
        <v>0.5</v>
      </c>
      <c r="AI42" s="132">
        <f>INPUT_OUTPUTS!$C$13</f>
        <v>140</v>
      </c>
      <c r="AJ42" s="132">
        <f>INPUT_OUTPUTS!$C$14</f>
        <v>100</v>
      </c>
      <c r="AK42" s="132">
        <f t="shared" ref="AK42:AL42" si="63">AK41</f>
        <v>55</v>
      </c>
      <c r="AL42" s="132">
        <f t="shared" si="63"/>
        <v>85</v>
      </c>
      <c r="AM42" s="132">
        <f t="shared" si="11"/>
        <v>0</v>
      </c>
      <c r="AN42" s="133">
        <f t="shared" si="20"/>
        <v>0</v>
      </c>
      <c r="AO42" s="133">
        <f t="shared" si="14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2"/>
        <v>-</v>
      </c>
      <c r="J43" s="117">
        <v>0</v>
      </c>
      <c r="K43" s="93">
        <f t="shared" si="53"/>
        <v>0</v>
      </c>
      <c r="L43" s="84">
        <f t="shared" si="12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4"/>
        <v>0</v>
      </c>
      <c r="Q43" s="81" t="str">
        <f>VLOOKUP($M43,'UMC Table 4-A'!$A$10:$E$139,5,FALSE)</f>
        <v>NR</v>
      </c>
      <c r="R43" s="82">
        <f t="shared" si="55"/>
        <v>0</v>
      </c>
      <c r="S43" s="119">
        <f t="shared" si="56"/>
        <v>0</v>
      </c>
      <c r="T43" s="119">
        <f t="shared" si="5"/>
        <v>0</v>
      </c>
      <c r="U43" s="119">
        <f t="shared" si="57"/>
        <v>0</v>
      </c>
      <c r="V43" s="71">
        <f t="shared" si="58"/>
        <v>0</v>
      </c>
      <c r="W43" s="27" t="str">
        <f t="shared" si="59"/>
        <v>Yes</v>
      </c>
      <c r="X43" s="28" t="str">
        <f t="shared" si="15"/>
        <v>-</v>
      </c>
      <c r="Y43" s="56" t="str">
        <f t="shared" si="16"/>
        <v>-</v>
      </c>
      <c r="Z43" s="28" t="str">
        <f t="shared" si="17"/>
        <v>-</v>
      </c>
      <c r="AC43" s="134" t="s">
        <v>295</v>
      </c>
      <c r="AD43" s="131" t="s">
        <v>122</v>
      </c>
      <c r="AE43" s="131" t="s">
        <v>128</v>
      </c>
      <c r="AF43" s="132">
        <f>SUMIF($B$7:$B$78,AC43,$S$7:$S$78)</f>
        <v>0</v>
      </c>
      <c r="AG43" s="132" t="str">
        <f>IFERROR((VLOOKUP(AF43,'DO NOT TOUCH'!$P$9:$Q$14,2,TRUE)),"TBD")</f>
        <v>TBD</v>
      </c>
      <c r="AH43" s="132">
        <f t="shared" si="18"/>
        <v>0.5</v>
      </c>
      <c r="AI43" s="132">
        <f>INPUT_OUTPUTS!$C$13</f>
        <v>140</v>
      </c>
      <c r="AJ43" s="132">
        <f>INPUT_OUTPUTS!$C$14</f>
        <v>100</v>
      </c>
      <c r="AK43" s="132">
        <f t="shared" ref="AK43:AL44" si="64">AK42</f>
        <v>55</v>
      </c>
      <c r="AL43" s="132">
        <f t="shared" si="64"/>
        <v>85</v>
      </c>
      <c r="AM43" s="132">
        <f t="shared" si="11"/>
        <v>0</v>
      </c>
      <c r="AN43" s="133">
        <f t="shared" si="20"/>
        <v>0</v>
      </c>
      <c r="AO43" s="133">
        <f t="shared" si="14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2"/>
        <v>-</v>
      </c>
      <c r="J44" s="117">
        <v>0</v>
      </c>
      <c r="K44" s="93">
        <f t="shared" si="53"/>
        <v>0</v>
      </c>
      <c r="L44" s="84">
        <f t="shared" si="12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4"/>
        <v>0</v>
      </c>
      <c r="Q44" s="81" t="str">
        <f>VLOOKUP($M44,'UMC Table 4-A'!$A$10:$E$139,5,FALSE)</f>
        <v>NR</v>
      </c>
      <c r="R44" s="82">
        <f t="shared" si="55"/>
        <v>0</v>
      </c>
      <c r="S44" s="119">
        <f t="shared" si="56"/>
        <v>0</v>
      </c>
      <c r="T44" s="119">
        <f t="shared" si="5"/>
        <v>0</v>
      </c>
      <c r="U44" s="119">
        <f t="shared" si="57"/>
        <v>0</v>
      </c>
      <c r="V44" s="71">
        <f t="shared" si="58"/>
        <v>0</v>
      </c>
      <c r="W44" s="27" t="str">
        <f t="shared" si="59"/>
        <v>Yes</v>
      </c>
      <c r="X44" s="28" t="str">
        <f t="shared" si="15"/>
        <v>-</v>
      </c>
      <c r="Y44" s="56" t="str">
        <f t="shared" si="16"/>
        <v>-</v>
      </c>
      <c r="Z44" s="28" t="str">
        <f t="shared" si="17"/>
        <v>-</v>
      </c>
      <c r="AC44" s="136" t="s">
        <v>298</v>
      </c>
      <c r="AD44" s="137" t="s">
        <v>122</v>
      </c>
      <c r="AE44" s="137" t="s">
        <v>128</v>
      </c>
      <c r="AF44" s="138">
        <f>SUMIF($B$7:$B$78,AC44,$S$7:$S$78)</f>
        <v>0</v>
      </c>
      <c r="AG44" s="138" t="str">
        <f>IFERROR((VLOOKUP(AF44,'DO NOT TOUCH'!$P$9:$Q$14,2,TRUE)),"TBD")</f>
        <v>TBD</v>
      </c>
      <c r="AH44" s="138">
        <f t="shared" si="18"/>
        <v>0.5</v>
      </c>
      <c r="AI44" s="138">
        <f>INPUT_OUTPUTS!$C$13</f>
        <v>140</v>
      </c>
      <c r="AJ44" s="138">
        <f>INPUT_OUTPUTS!$C$14</f>
        <v>100</v>
      </c>
      <c r="AK44" s="138">
        <f t="shared" si="64"/>
        <v>55</v>
      </c>
      <c r="AL44" s="138">
        <f t="shared" si="64"/>
        <v>85</v>
      </c>
      <c r="AM44" s="138">
        <f t="shared" si="11"/>
        <v>0</v>
      </c>
      <c r="AN44" s="139">
        <f t="shared" ref="AN44" si="65">(AM44*1000)/(500*(AI44-AJ44))</f>
        <v>0</v>
      </c>
      <c r="AO44" s="139">
        <f t="shared" ref="AO44" si="66">IF(AN44&lt;0.5,0.5,AN44)</f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2"/>
        <v>-</v>
      </c>
      <c r="J45" s="117">
        <v>0</v>
      </c>
      <c r="K45" s="93">
        <f t="shared" si="53"/>
        <v>0</v>
      </c>
      <c r="L45" s="84">
        <f t="shared" si="12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4"/>
        <v>0</v>
      </c>
      <c r="Q45" s="81" t="str">
        <f>VLOOKUP($M45,'UMC Table 4-A'!$A$10:$E$139,5,FALSE)</f>
        <v>NR</v>
      </c>
      <c r="R45" s="82">
        <f t="shared" si="55"/>
        <v>0</v>
      </c>
      <c r="S45" s="119">
        <f t="shared" si="56"/>
        <v>0</v>
      </c>
      <c r="T45" s="119">
        <f t="shared" si="5"/>
        <v>0</v>
      </c>
      <c r="U45" s="119">
        <f t="shared" si="57"/>
        <v>0</v>
      </c>
      <c r="V45" s="71">
        <f t="shared" si="58"/>
        <v>0</v>
      </c>
      <c r="W45" s="27" t="str">
        <f t="shared" si="59"/>
        <v>Yes</v>
      </c>
      <c r="X45" s="28" t="str">
        <f t="shared" si="15"/>
        <v>-</v>
      </c>
      <c r="Y45" s="56" t="str">
        <f t="shared" si="16"/>
        <v>-</v>
      </c>
      <c r="Z45" s="28" t="str">
        <f t="shared" si="17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0</v>
      </c>
      <c r="AN45" s="161"/>
      <c r="AO45" s="163">
        <f>SUBTOTAL(109,AHU1_CAV_SCHEDULE[GPM])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2"/>
        <v>-</v>
      </c>
      <c r="J46" s="117">
        <v>0</v>
      </c>
      <c r="K46" s="93">
        <f t="shared" si="53"/>
        <v>0</v>
      </c>
      <c r="L46" s="84">
        <f t="shared" si="12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4"/>
        <v>0</v>
      </c>
      <c r="Q46" s="81" t="str">
        <f>VLOOKUP($M46,'UMC Table 4-A'!$A$10:$E$139,5,FALSE)</f>
        <v>NR</v>
      </c>
      <c r="R46" s="82">
        <f t="shared" si="55"/>
        <v>0</v>
      </c>
      <c r="S46" s="119">
        <f t="shared" si="56"/>
        <v>0</v>
      </c>
      <c r="T46" s="119">
        <f t="shared" si="5"/>
        <v>0</v>
      </c>
      <c r="U46" s="119">
        <f t="shared" si="57"/>
        <v>0</v>
      </c>
      <c r="V46" s="71">
        <f t="shared" si="58"/>
        <v>0</v>
      </c>
      <c r="W46" s="27" t="str">
        <f t="shared" si="59"/>
        <v>Yes</v>
      </c>
      <c r="X46" s="28" t="str">
        <f t="shared" si="15"/>
        <v>-</v>
      </c>
      <c r="Y46" s="56" t="str">
        <f t="shared" si="16"/>
        <v>-</v>
      </c>
      <c r="Z46" s="28" t="str">
        <f t="shared" si="17"/>
        <v>-</v>
      </c>
      <c r="AC46" s="193" t="s">
        <v>126</v>
      </c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5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2"/>
        <v>-</v>
      </c>
      <c r="J47" s="117">
        <v>0</v>
      </c>
      <c r="K47" s="93">
        <f t="shared" si="53"/>
        <v>0</v>
      </c>
      <c r="L47" s="84">
        <f t="shared" si="12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4"/>
        <v>0</v>
      </c>
      <c r="Q47" s="81" t="str">
        <f>VLOOKUP($M47,'UMC Table 4-A'!$A$10:$E$139,5,FALSE)</f>
        <v>NR</v>
      </c>
      <c r="R47" s="82">
        <f t="shared" si="55"/>
        <v>0</v>
      </c>
      <c r="S47" s="119">
        <f t="shared" si="56"/>
        <v>0</v>
      </c>
      <c r="T47" s="119">
        <f t="shared" si="5"/>
        <v>0</v>
      </c>
      <c r="U47" s="119">
        <f t="shared" si="57"/>
        <v>0</v>
      </c>
      <c r="V47" s="71">
        <f t="shared" si="58"/>
        <v>0</v>
      </c>
      <c r="W47" s="27" t="str">
        <f t="shared" si="59"/>
        <v>Yes</v>
      </c>
      <c r="X47" s="28" t="str">
        <f t="shared" si="15"/>
        <v>-</v>
      </c>
      <c r="Y47" s="56" t="str">
        <f t="shared" si="16"/>
        <v>-</v>
      </c>
      <c r="Z47" s="28" t="str">
        <f t="shared" si="17"/>
        <v>-</v>
      </c>
      <c r="AC47" s="196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8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2"/>
        <v>-</v>
      </c>
      <c r="J48" s="117">
        <v>0</v>
      </c>
      <c r="K48" s="93">
        <f t="shared" si="53"/>
        <v>0</v>
      </c>
      <c r="L48" s="84">
        <f t="shared" si="12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4"/>
        <v>0</v>
      </c>
      <c r="Q48" s="81" t="str">
        <f>VLOOKUP($M48,'UMC Table 4-A'!$A$10:$E$139,5,FALSE)</f>
        <v>NR</v>
      </c>
      <c r="R48" s="82">
        <f t="shared" si="55"/>
        <v>0</v>
      </c>
      <c r="S48" s="119">
        <f t="shared" si="56"/>
        <v>0</v>
      </c>
      <c r="T48" s="119">
        <f t="shared" si="5"/>
        <v>0</v>
      </c>
      <c r="U48" s="119">
        <f t="shared" si="57"/>
        <v>0</v>
      </c>
      <c r="V48" s="71">
        <f t="shared" si="58"/>
        <v>0</v>
      </c>
      <c r="W48" s="27" t="str">
        <f t="shared" si="59"/>
        <v>Yes</v>
      </c>
      <c r="X48" s="28" t="str">
        <f t="shared" si="15"/>
        <v>-</v>
      </c>
      <c r="Y48" s="56" t="str">
        <f t="shared" si="16"/>
        <v>-</v>
      </c>
      <c r="Z48" s="28" t="str">
        <f t="shared" si="17"/>
        <v>-</v>
      </c>
      <c r="AC48" s="196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8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2"/>
        <v>-</v>
      </c>
      <c r="J49" s="117">
        <v>0</v>
      </c>
      <c r="K49" s="93">
        <f t="shared" si="53"/>
        <v>0</v>
      </c>
      <c r="L49" s="84">
        <f t="shared" si="12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4"/>
        <v>0</v>
      </c>
      <c r="Q49" s="81" t="str">
        <f>VLOOKUP($M49,'UMC Table 4-A'!$A$10:$E$139,5,FALSE)</f>
        <v>NR</v>
      </c>
      <c r="R49" s="82">
        <f t="shared" si="55"/>
        <v>0</v>
      </c>
      <c r="S49" s="119">
        <f t="shared" si="56"/>
        <v>0</v>
      </c>
      <c r="T49" s="119">
        <f t="shared" si="5"/>
        <v>0</v>
      </c>
      <c r="U49" s="119">
        <f t="shared" si="57"/>
        <v>0</v>
      </c>
      <c r="V49" s="71">
        <f t="shared" si="58"/>
        <v>0</v>
      </c>
      <c r="W49" s="27" t="str">
        <f t="shared" si="59"/>
        <v>Yes</v>
      </c>
      <c r="X49" s="28" t="str">
        <f t="shared" si="15"/>
        <v>-</v>
      </c>
      <c r="Y49" s="56" t="str">
        <f t="shared" si="16"/>
        <v>-</v>
      </c>
      <c r="Z49" s="28" t="str">
        <f t="shared" si="17"/>
        <v>-</v>
      </c>
      <c r="AC49" s="199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1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2"/>
        <v>-</v>
      </c>
      <c r="J50" s="117">
        <v>0</v>
      </c>
      <c r="K50" s="93">
        <f t="shared" si="53"/>
        <v>0</v>
      </c>
      <c r="L50" s="84">
        <f t="shared" si="12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4"/>
        <v>0</v>
      </c>
      <c r="Q50" s="81" t="str">
        <f>VLOOKUP($M50,'UMC Table 4-A'!$A$10:$E$139,5,FALSE)</f>
        <v>NR</v>
      </c>
      <c r="R50" s="82">
        <f t="shared" si="55"/>
        <v>0</v>
      </c>
      <c r="S50" s="119">
        <f t="shared" si="56"/>
        <v>0</v>
      </c>
      <c r="T50" s="119">
        <f t="shared" si="5"/>
        <v>0</v>
      </c>
      <c r="U50" s="119">
        <f t="shared" si="57"/>
        <v>0</v>
      </c>
      <c r="V50" s="71">
        <f t="shared" si="58"/>
        <v>0</v>
      </c>
      <c r="W50" s="27" t="str">
        <f t="shared" si="59"/>
        <v>Yes</v>
      </c>
      <c r="X50" s="28" t="str">
        <f t="shared" si="15"/>
        <v>-</v>
      </c>
      <c r="Y50" s="56" t="str">
        <f t="shared" si="16"/>
        <v>-</v>
      </c>
      <c r="Z50" s="28" t="str">
        <f t="shared" si="17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2"/>
        <v>-</v>
      </c>
      <c r="J51" s="117">
        <v>0</v>
      </c>
      <c r="K51" s="93">
        <f t="shared" si="53"/>
        <v>0</v>
      </c>
      <c r="L51" s="84">
        <f t="shared" si="12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4"/>
        <v>0</v>
      </c>
      <c r="Q51" s="81" t="str">
        <f>VLOOKUP($M51,'UMC Table 4-A'!$A$10:$E$139,5,FALSE)</f>
        <v>NR</v>
      </c>
      <c r="R51" s="82">
        <f t="shared" si="55"/>
        <v>0</v>
      </c>
      <c r="S51" s="119">
        <f t="shared" si="56"/>
        <v>0</v>
      </c>
      <c r="T51" s="119">
        <f t="shared" si="5"/>
        <v>0</v>
      </c>
      <c r="U51" s="119">
        <f t="shared" si="57"/>
        <v>0</v>
      </c>
      <c r="V51" s="71">
        <f t="shared" si="58"/>
        <v>0</v>
      </c>
      <c r="W51" s="27" t="str">
        <f t="shared" si="59"/>
        <v>Yes</v>
      </c>
      <c r="X51" s="28" t="str">
        <f t="shared" si="15"/>
        <v>-</v>
      </c>
      <c r="Y51" s="56" t="str">
        <f t="shared" si="16"/>
        <v>-</v>
      </c>
      <c r="Z51" s="28" t="str">
        <f t="shared" si="17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2"/>
        <v>-</v>
      </c>
      <c r="J52" s="117">
        <v>0</v>
      </c>
      <c r="K52" s="93">
        <f t="shared" si="53"/>
        <v>0</v>
      </c>
      <c r="L52" s="84">
        <f t="shared" si="12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4"/>
        <v>0</v>
      </c>
      <c r="Q52" s="81" t="str">
        <f>VLOOKUP($M52,'UMC Table 4-A'!$A$10:$E$139,5,FALSE)</f>
        <v>NR</v>
      </c>
      <c r="R52" s="82">
        <f t="shared" si="55"/>
        <v>0</v>
      </c>
      <c r="S52" s="119">
        <f t="shared" si="56"/>
        <v>0</v>
      </c>
      <c r="T52" s="119">
        <f t="shared" si="5"/>
        <v>0</v>
      </c>
      <c r="U52" s="119">
        <f t="shared" si="57"/>
        <v>0</v>
      </c>
      <c r="V52" s="71">
        <f t="shared" si="58"/>
        <v>0</v>
      </c>
      <c r="W52" s="27" t="str">
        <f t="shared" si="59"/>
        <v>Yes</v>
      </c>
      <c r="X52" s="28" t="str">
        <f t="shared" si="15"/>
        <v>-</v>
      </c>
      <c r="Y52" s="56" t="str">
        <f t="shared" si="16"/>
        <v>-</v>
      </c>
      <c r="Z52" s="28" t="str">
        <f t="shared" si="17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2"/>
        <v>-</v>
      </c>
      <c r="J53" s="117">
        <v>0</v>
      </c>
      <c r="K53" s="93">
        <f t="shared" si="53"/>
        <v>0</v>
      </c>
      <c r="L53" s="84">
        <f t="shared" si="12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4"/>
        <v>0</v>
      </c>
      <c r="Q53" s="81" t="str">
        <f>VLOOKUP($M53,'UMC Table 4-A'!$A$10:$E$139,5,FALSE)</f>
        <v>NR</v>
      </c>
      <c r="R53" s="82">
        <f t="shared" si="55"/>
        <v>0</v>
      </c>
      <c r="S53" s="119">
        <f t="shared" si="56"/>
        <v>0</v>
      </c>
      <c r="T53" s="119">
        <f t="shared" si="5"/>
        <v>0</v>
      </c>
      <c r="U53" s="119">
        <f t="shared" si="57"/>
        <v>0</v>
      </c>
      <c r="V53" s="71">
        <f t="shared" si="58"/>
        <v>0</v>
      </c>
      <c r="W53" s="27" t="str">
        <f t="shared" si="59"/>
        <v>Yes</v>
      </c>
      <c r="X53" s="28" t="str">
        <f t="shared" si="15"/>
        <v>-</v>
      </c>
      <c r="Y53" s="56" t="str">
        <f t="shared" si="16"/>
        <v>-</v>
      </c>
      <c r="Z53" s="28" t="str">
        <f t="shared" si="17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2"/>
        <v>-</v>
      </c>
      <c r="J54" s="117">
        <v>0</v>
      </c>
      <c r="K54" s="93">
        <f t="shared" si="53"/>
        <v>0</v>
      </c>
      <c r="L54" s="84">
        <f t="shared" si="12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4"/>
        <v>0</v>
      </c>
      <c r="Q54" s="81" t="str">
        <f>VLOOKUP($M54,'UMC Table 4-A'!$A$10:$E$139,5,FALSE)</f>
        <v>NR</v>
      </c>
      <c r="R54" s="82">
        <f t="shared" si="55"/>
        <v>0</v>
      </c>
      <c r="S54" s="119">
        <f t="shared" si="56"/>
        <v>0</v>
      </c>
      <c r="T54" s="119">
        <f t="shared" si="5"/>
        <v>0</v>
      </c>
      <c r="U54" s="119">
        <f t="shared" si="57"/>
        <v>0</v>
      </c>
      <c r="V54" s="71">
        <f t="shared" si="58"/>
        <v>0</v>
      </c>
      <c r="W54" s="27" t="str">
        <f t="shared" si="59"/>
        <v>Yes</v>
      </c>
      <c r="X54" s="28" t="str">
        <f t="shared" si="15"/>
        <v>-</v>
      </c>
      <c r="Y54" s="56" t="str">
        <f t="shared" si="16"/>
        <v>-</v>
      </c>
      <c r="Z54" s="28" t="str">
        <f t="shared" si="17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2"/>
        <v>-</v>
      </c>
      <c r="J55" s="117">
        <v>0</v>
      </c>
      <c r="K55" s="93">
        <f t="shared" si="53"/>
        <v>0</v>
      </c>
      <c r="L55" s="84">
        <f t="shared" si="12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4"/>
        <v>0</v>
      </c>
      <c r="Q55" s="81" t="str">
        <f>VLOOKUP($M55,'UMC Table 4-A'!$A$10:$E$139,5,FALSE)</f>
        <v>NR</v>
      </c>
      <c r="R55" s="82">
        <f t="shared" si="55"/>
        <v>0</v>
      </c>
      <c r="S55" s="119">
        <f t="shared" si="56"/>
        <v>0</v>
      </c>
      <c r="T55" s="119">
        <f t="shared" si="5"/>
        <v>0</v>
      </c>
      <c r="U55" s="119">
        <f t="shared" si="57"/>
        <v>0</v>
      </c>
      <c r="V55" s="71">
        <f t="shared" si="58"/>
        <v>0</v>
      </c>
      <c r="W55" s="27" t="str">
        <f t="shared" si="59"/>
        <v>Yes</v>
      </c>
      <c r="X55" s="28" t="str">
        <f t="shared" si="15"/>
        <v>-</v>
      </c>
      <c r="Y55" s="56" t="str">
        <f t="shared" si="16"/>
        <v>-</v>
      </c>
      <c r="Z55" s="28" t="str">
        <f t="shared" si="17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2"/>
        <v>-</v>
      </c>
      <c r="J56" s="117">
        <v>0</v>
      </c>
      <c r="K56" s="93">
        <f t="shared" si="53"/>
        <v>0</v>
      </c>
      <c r="L56" s="84">
        <f t="shared" si="12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4"/>
        <v>0</v>
      </c>
      <c r="Q56" s="81" t="str">
        <f>VLOOKUP($M56,'UMC Table 4-A'!$A$10:$E$139,5,FALSE)</f>
        <v>NR</v>
      </c>
      <c r="R56" s="82">
        <f t="shared" si="55"/>
        <v>0</v>
      </c>
      <c r="S56" s="119">
        <f t="shared" si="56"/>
        <v>0</v>
      </c>
      <c r="T56" s="119">
        <f t="shared" si="5"/>
        <v>0</v>
      </c>
      <c r="U56" s="119">
        <f t="shared" si="57"/>
        <v>0</v>
      </c>
      <c r="V56" s="71">
        <f t="shared" si="58"/>
        <v>0</v>
      </c>
      <c r="W56" s="27" t="str">
        <f t="shared" si="59"/>
        <v>Yes</v>
      </c>
      <c r="X56" s="28" t="str">
        <f t="shared" si="15"/>
        <v>-</v>
      </c>
      <c r="Y56" s="56" t="str">
        <f t="shared" si="16"/>
        <v>-</v>
      </c>
      <c r="Z56" s="28" t="str">
        <f t="shared" si="17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2"/>
        <v>-</v>
      </c>
      <c r="J57" s="117">
        <v>0</v>
      </c>
      <c r="K57" s="93">
        <f t="shared" si="53"/>
        <v>0</v>
      </c>
      <c r="L57" s="84">
        <f t="shared" si="12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4"/>
        <v>0</v>
      </c>
      <c r="Q57" s="81" t="str">
        <f>VLOOKUP($M57,'UMC Table 4-A'!$A$10:$E$139,5,FALSE)</f>
        <v>NR</v>
      </c>
      <c r="R57" s="82">
        <f t="shared" si="55"/>
        <v>0</v>
      </c>
      <c r="S57" s="119">
        <f t="shared" si="56"/>
        <v>0</v>
      </c>
      <c r="T57" s="119">
        <f t="shared" si="5"/>
        <v>0</v>
      </c>
      <c r="U57" s="119">
        <f t="shared" si="57"/>
        <v>0</v>
      </c>
      <c r="V57" s="71">
        <f t="shared" si="58"/>
        <v>0</v>
      </c>
      <c r="W57" s="27" t="str">
        <f t="shared" si="59"/>
        <v>Yes</v>
      </c>
      <c r="X57" s="28" t="str">
        <f t="shared" si="15"/>
        <v>-</v>
      </c>
      <c r="Y57" s="56" t="str">
        <f t="shared" si="16"/>
        <v>-</v>
      </c>
      <c r="Z57" s="28" t="str">
        <f t="shared" si="17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2"/>
        <v>-</v>
      </c>
      <c r="J58" s="117">
        <v>0</v>
      </c>
      <c r="K58" s="93">
        <f t="shared" si="53"/>
        <v>0</v>
      </c>
      <c r="L58" s="84">
        <f t="shared" si="12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4"/>
        <v>0</v>
      </c>
      <c r="Q58" s="81" t="str">
        <f>VLOOKUP($M58,'UMC Table 4-A'!$A$10:$E$139,5,FALSE)</f>
        <v>NR</v>
      </c>
      <c r="R58" s="82">
        <f t="shared" si="55"/>
        <v>0</v>
      </c>
      <c r="S58" s="119">
        <f t="shared" si="56"/>
        <v>0</v>
      </c>
      <c r="T58" s="119">
        <f t="shared" si="5"/>
        <v>0</v>
      </c>
      <c r="U58" s="119">
        <f t="shared" si="57"/>
        <v>0</v>
      </c>
      <c r="V58" s="71">
        <f t="shared" si="58"/>
        <v>0</v>
      </c>
      <c r="W58" s="27" t="str">
        <f t="shared" si="59"/>
        <v>Yes</v>
      </c>
      <c r="X58" s="28" t="str">
        <f t="shared" si="15"/>
        <v>-</v>
      </c>
      <c r="Y58" s="56" t="str">
        <f t="shared" si="16"/>
        <v>-</v>
      </c>
      <c r="Z58" s="28" t="str">
        <f t="shared" si="17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2"/>
        <v>-</v>
      </c>
      <c r="J59" s="117">
        <v>0</v>
      </c>
      <c r="K59" s="93">
        <f t="shared" si="53"/>
        <v>0</v>
      </c>
      <c r="L59" s="84">
        <f t="shared" si="12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4"/>
        <v>0</v>
      </c>
      <c r="Q59" s="81" t="str">
        <f>VLOOKUP($M59,'UMC Table 4-A'!$A$10:$E$139,5,FALSE)</f>
        <v>NR</v>
      </c>
      <c r="R59" s="82">
        <f t="shared" si="55"/>
        <v>0</v>
      </c>
      <c r="S59" s="119">
        <f t="shared" si="56"/>
        <v>0</v>
      </c>
      <c r="T59" s="119">
        <f t="shared" si="5"/>
        <v>0</v>
      </c>
      <c r="U59" s="119">
        <f t="shared" si="57"/>
        <v>0</v>
      </c>
      <c r="V59" s="71">
        <f t="shared" si="58"/>
        <v>0</v>
      </c>
      <c r="W59" s="27" t="str">
        <f t="shared" si="59"/>
        <v>Yes</v>
      </c>
      <c r="X59" s="28" t="str">
        <f t="shared" si="15"/>
        <v>-</v>
      </c>
      <c r="Y59" s="56" t="str">
        <f t="shared" si="16"/>
        <v>-</v>
      </c>
      <c r="Z59" s="28" t="str">
        <f t="shared" si="17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2"/>
        <v>-</v>
      </c>
      <c r="J60" s="117">
        <v>0</v>
      </c>
      <c r="K60" s="93">
        <f t="shared" si="53"/>
        <v>0</v>
      </c>
      <c r="L60" s="84">
        <f t="shared" si="12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4"/>
        <v>0</v>
      </c>
      <c r="Q60" s="81" t="str">
        <f>VLOOKUP($M60,'UMC Table 4-A'!$A$10:$E$139,5,FALSE)</f>
        <v>NR</v>
      </c>
      <c r="R60" s="82">
        <f t="shared" si="55"/>
        <v>0</v>
      </c>
      <c r="S60" s="119">
        <f t="shared" si="56"/>
        <v>0</v>
      </c>
      <c r="T60" s="119">
        <f t="shared" si="5"/>
        <v>0</v>
      </c>
      <c r="U60" s="119">
        <f t="shared" si="57"/>
        <v>0</v>
      </c>
      <c r="V60" s="71">
        <f t="shared" si="58"/>
        <v>0</v>
      </c>
      <c r="W60" s="27" t="str">
        <f t="shared" si="59"/>
        <v>Yes</v>
      </c>
      <c r="X60" s="28" t="str">
        <f t="shared" si="15"/>
        <v>-</v>
      </c>
      <c r="Y60" s="56" t="str">
        <f t="shared" si="16"/>
        <v>-</v>
      </c>
      <c r="Z60" s="28" t="str">
        <f t="shared" si="17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2"/>
        <v>-</v>
      </c>
      <c r="J61" s="117">
        <v>0</v>
      </c>
      <c r="K61" s="93">
        <f t="shared" si="53"/>
        <v>0</v>
      </c>
      <c r="L61" s="84">
        <f t="shared" si="12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4"/>
        <v>0</v>
      </c>
      <c r="Q61" s="81" t="str">
        <f>VLOOKUP($M61,'UMC Table 4-A'!$A$10:$E$139,5,FALSE)</f>
        <v>NR</v>
      </c>
      <c r="R61" s="82">
        <f t="shared" si="55"/>
        <v>0</v>
      </c>
      <c r="S61" s="119">
        <f t="shared" si="56"/>
        <v>0</v>
      </c>
      <c r="T61" s="119">
        <f t="shared" si="5"/>
        <v>0</v>
      </c>
      <c r="U61" s="119">
        <f t="shared" si="57"/>
        <v>0</v>
      </c>
      <c r="V61" s="71">
        <f t="shared" si="58"/>
        <v>0</v>
      </c>
      <c r="W61" s="27" t="str">
        <f t="shared" si="59"/>
        <v>Yes</v>
      </c>
      <c r="X61" s="28" t="str">
        <f t="shared" si="15"/>
        <v>-</v>
      </c>
      <c r="Y61" s="56" t="str">
        <f t="shared" si="16"/>
        <v>-</v>
      </c>
      <c r="Z61" s="28" t="str">
        <f t="shared" si="17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2"/>
        <v>-</v>
      </c>
      <c r="J62" s="117">
        <v>0</v>
      </c>
      <c r="K62" s="93">
        <f t="shared" si="53"/>
        <v>0</v>
      </c>
      <c r="L62" s="84">
        <f t="shared" si="12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4"/>
        <v>0</v>
      </c>
      <c r="Q62" s="81" t="str">
        <f>VLOOKUP($M62,'UMC Table 4-A'!$A$10:$E$139,5,FALSE)</f>
        <v>NR</v>
      </c>
      <c r="R62" s="82">
        <f t="shared" si="55"/>
        <v>0</v>
      </c>
      <c r="S62" s="119">
        <f t="shared" si="56"/>
        <v>0</v>
      </c>
      <c r="T62" s="119">
        <f t="shared" si="5"/>
        <v>0</v>
      </c>
      <c r="U62" s="119">
        <f t="shared" si="57"/>
        <v>0</v>
      </c>
      <c r="V62" s="71">
        <f t="shared" si="58"/>
        <v>0</v>
      </c>
      <c r="W62" s="27" t="str">
        <f t="shared" si="59"/>
        <v>Yes</v>
      </c>
      <c r="X62" s="28" t="str">
        <f t="shared" si="15"/>
        <v>-</v>
      </c>
      <c r="Y62" s="56" t="str">
        <f t="shared" si="16"/>
        <v>-</v>
      </c>
      <c r="Z62" s="28" t="str">
        <f t="shared" si="17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2"/>
        <v>-</v>
      </c>
      <c r="J63" s="117">
        <v>0</v>
      </c>
      <c r="K63" s="93">
        <f t="shared" si="53"/>
        <v>0</v>
      </c>
      <c r="L63" s="84">
        <f t="shared" si="12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4"/>
        <v>0</v>
      </c>
      <c r="Q63" s="81" t="str">
        <f>VLOOKUP($M63,'UMC Table 4-A'!$A$10:$E$139,5,FALSE)</f>
        <v>NR</v>
      </c>
      <c r="R63" s="82">
        <f t="shared" si="55"/>
        <v>0</v>
      </c>
      <c r="S63" s="119">
        <f t="shared" si="56"/>
        <v>0</v>
      </c>
      <c r="T63" s="119">
        <f t="shared" si="5"/>
        <v>0</v>
      </c>
      <c r="U63" s="119">
        <f t="shared" si="57"/>
        <v>0</v>
      </c>
      <c r="V63" s="71">
        <f t="shared" si="58"/>
        <v>0</v>
      </c>
      <c r="W63" s="27" t="str">
        <f t="shared" si="59"/>
        <v>Yes</v>
      </c>
      <c r="X63" s="28" t="str">
        <f t="shared" si="15"/>
        <v>-</v>
      </c>
      <c r="Y63" s="56" t="str">
        <f t="shared" si="16"/>
        <v>-</v>
      </c>
      <c r="Z63" s="28" t="str">
        <f t="shared" si="17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2"/>
        <v>-</v>
      </c>
      <c r="J64" s="117">
        <v>0</v>
      </c>
      <c r="K64" s="93">
        <f t="shared" si="53"/>
        <v>0</v>
      </c>
      <c r="L64" s="84">
        <f t="shared" si="12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4"/>
        <v>0</v>
      </c>
      <c r="Q64" s="81" t="str">
        <f>VLOOKUP($M64,'UMC Table 4-A'!$A$10:$E$139,5,FALSE)</f>
        <v>NR</v>
      </c>
      <c r="R64" s="82">
        <f t="shared" si="55"/>
        <v>0</v>
      </c>
      <c r="S64" s="119">
        <f t="shared" si="56"/>
        <v>0</v>
      </c>
      <c r="T64" s="119">
        <f t="shared" si="5"/>
        <v>0</v>
      </c>
      <c r="U64" s="119">
        <f t="shared" si="57"/>
        <v>0</v>
      </c>
      <c r="V64" s="71">
        <f t="shared" si="58"/>
        <v>0</v>
      </c>
      <c r="W64" s="27" t="str">
        <f t="shared" si="59"/>
        <v>Yes</v>
      </c>
      <c r="X64" s="28" t="str">
        <f t="shared" si="15"/>
        <v>-</v>
      </c>
      <c r="Y64" s="56" t="str">
        <f t="shared" si="16"/>
        <v>-</v>
      </c>
      <c r="Z64" s="28" t="str">
        <f t="shared" si="17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2"/>
        <v>-</v>
      </c>
      <c r="J65" s="117">
        <v>0</v>
      </c>
      <c r="K65" s="93">
        <f t="shared" si="53"/>
        <v>0</v>
      </c>
      <c r="L65" s="84">
        <f t="shared" si="12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4"/>
        <v>0</v>
      </c>
      <c r="Q65" s="81" t="str">
        <f>VLOOKUP($M65,'UMC Table 4-A'!$A$10:$E$139,5,FALSE)</f>
        <v>NR</v>
      </c>
      <c r="R65" s="82">
        <f t="shared" si="55"/>
        <v>0</v>
      </c>
      <c r="S65" s="119">
        <f t="shared" si="56"/>
        <v>0</v>
      </c>
      <c r="T65" s="119">
        <f t="shared" si="5"/>
        <v>0</v>
      </c>
      <c r="U65" s="119">
        <f t="shared" si="57"/>
        <v>0</v>
      </c>
      <c r="V65" s="71">
        <f t="shared" si="58"/>
        <v>0</v>
      </c>
      <c r="W65" s="27" t="str">
        <f t="shared" si="59"/>
        <v>Yes</v>
      </c>
      <c r="X65" s="28" t="str">
        <f t="shared" si="15"/>
        <v>-</v>
      </c>
      <c r="Y65" s="56" t="str">
        <f t="shared" si="16"/>
        <v>-</v>
      </c>
      <c r="Z65" s="28" t="str">
        <f t="shared" si="17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2"/>
        <v>-</v>
      </c>
      <c r="J66" s="117">
        <v>0</v>
      </c>
      <c r="K66" s="93">
        <f t="shared" si="53"/>
        <v>0</v>
      </c>
      <c r="L66" s="84">
        <f t="shared" si="12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4"/>
        <v>0</v>
      </c>
      <c r="Q66" s="81" t="str">
        <f>VLOOKUP($M66,'UMC Table 4-A'!$A$10:$E$139,5,FALSE)</f>
        <v>NR</v>
      </c>
      <c r="R66" s="82">
        <f t="shared" si="55"/>
        <v>0</v>
      </c>
      <c r="S66" s="119">
        <f t="shared" si="56"/>
        <v>0</v>
      </c>
      <c r="T66" s="119">
        <f t="shared" si="5"/>
        <v>0</v>
      </c>
      <c r="U66" s="119">
        <f t="shared" si="57"/>
        <v>0</v>
      </c>
      <c r="V66" s="71">
        <f t="shared" si="58"/>
        <v>0</v>
      </c>
      <c r="W66" s="27" t="str">
        <f t="shared" si="59"/>
        <v>Yes</v>
      </c>
      <c r="X66" s="28" t="str">
        <f t="shared" si="15"/>
        <v>-</v>
      </c>
      <c r="Y66" s="56" t="str">
        <f t="shared" si="16"/>
        <v>-</v>
      </c>
      <c r="Z66" s="28" t="str">
        <f t="shared" si="17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2"/>
        <v>-</v>
      </c>
      <c r="J67" s="117">
        <v>0</v>
      </c>
      <c r="K67" s="93">
        <f t="shared" si="53"/>
        <v>0</v>
      </c>
      <c r="L67" s="84">
        <f t="shared" si="12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4"/>
        <v>0</v>
      </c>
      <c r="Q67" s="81" t="str">
        <f>VLOOKUP($M67,'UMC Table 4-A'!$A$10:$E$139,5,FALSE)</f>
        <v>NR</v>
      </c>
      <c r="R67" s="82">
        <f t="shared" si="55"/>
        <v>0</v>
      </c>
      <c r="S67" s="119">
        <f t="shared" si="56"/>
        <v>0</v>
      </c>
      <c r="T67" s="119">
        <f t="shared" si="5"/>
        <v>0</v>
      </c>
      <c r="U67" s="119">
        <f t="shared" si="57"/>
        <v>0</v>
      </c>
      <c r="V67" s="71">
        <f t="shared" si="58"/>
        <v>0</v>
      </c>
      <c r="W67" s="27" t="str">
        <f t="shared" si="59"/>
        <v>Yes</v>
      </c>
      <c r="X67" s="28" t="str">
        <f t="shared" si="15"/>
        <v>-</v>
      </c>
      <c r="Y67" s="56" t="str">
        <f t="shared" si="16"/>
        <v>-</v>
      </c>
      <c r="Z67" s="28" t="str">
        <f t="shared" si="17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2"/>
        <v>-</v>
      </c>
      <c r="J68" s="117">
        <v>0</v>
      </c>
      <c r="K68" s="93">
        <f t="shared" si="53"/>
        <v>0</v>
      </c>
      <c r="L68" s="84">
        <f t="shared" si="12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4"/>
        <v>0</v>
      </c>
      <c r="Q68" s="81" t="str">
        <f>VLOOKUP($M68,'UMC Table 4-A'!$A$10:$E$139,5,FALSE)</f>
        <v>NR</v>
      </c>
      <c r="R68" s="82">
        <f t="shared" si="55"/>
        <v>0</v>
      </c>
      <c r="S68" s="119">
        <f t="shared" si="56"/>
        <v>0</v>
      </c>
      <c r="T68" s="119">
        <f t="shared" si="5"/>
        <v>0</v>
      </c>
      <c r="U68" s="119">
        <f t="shared" si="57"/>
        <v>0</v>
      </c>
      <c r="V68" s="71">
        <f t="shared" si="58"/>
        <v>0</v>
      </c>
      <c r="W68" s="27" t="str">
        <f t="shared" si="59"/>
        <v>Yes</v>
      </c>
      <c r="X68" s="28" t="str">
        <f t="shared" si="15"/>
        <v>-</v>
      </c>
      <c r="Y68" s="56" t="str">
        <f t="shared" si="16"/>
        <v>-</v>
      </c>
      <c r="Z68" s="28" t="str">
        <f t="shared" si="17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2"/>
        <v>-</v>
      </c>
      <c r="J69" s="117">
        <v>0</v>
      </c>
      <c r="K69" s="93">
        <f t="shared" si="53"/>
        <v>0</v>
      </c>
      <c r="L69" s="84">
        <f t="shared" si="12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4"/>
        <v>0</v>
      </c>
      <c r="Q69" s="81" t="str">
        <f>VLOOKUP($M69,'UMC Table 4-A'!$A$10:$E$139,5,FALSE)</f>
        <v>NR</v>
      </c>
      <c r="R69" s="82">
        <f t="shared" si="55"/>
        <v>0</v>
      </c>
      <c r="S69" s="119">
        <f t="shared" si="56"/>
        <v>0</v>
      </c>
      <c r="T69" s="119">
        <f t="shared" si="5"/>
        <v>0</v>
      </c>
      <c r="U69" s="119">
        <f t="shared" si="57"/>
        <v>0</v>
      </c>
      <c r="V69" s="71">
        <f t="shared" si="58"/>
        <v>0</v>
      </c>
      <c r="W69" s="27" t="str">
        <f t="shared" si="59"/>
        <v>Yes</v>
      </c>
      <c r="X69" s="28" t="str">
        <f t="shared" si="15"/>
        <v>-</v>
      </c>
      <c r="Y69" s="56" t="str">
        <f t="shared" si="16"/>
        <v>-</v>
      </c>
      <c r="Z69" s="28" t="str">
        <f t="shared" si="17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7">IF(H70="Yes",K70,"-")</f>
        <v>-</v>
      </c>
      <c r="J70" s="117">
        <v>0</v>
      </c>
      <c r="K70" s="93">
        <f t="shared" ref="K70:K78" si="68">IF(G70&lt;&gt;"NR",ROUNDUP((E70*F70*G70)/60,-1),0)</f>
        <v>0</v>
      </c>
      <c r="L70" s="84">
        <f t="shared" si="12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69">IF(O70&lt;&gt;"NR",ROUNDUP((E70*F70*O70)/60,-1),0)</f>
        <v>0</v>
      </c>
      <c r="Q70" s="81" t="str">
        <f>VLOOKUP($M70,'UMC Table 4-A'!$A$10:$E$139,5,FALSE)</f>
        <v>NR</v>
      </c>
      <c r="R70" s="82">
        <f t="shared" ref="R70:R78" si="70">IF(N70="Negative",IF(OR(M70="Toilet room",M70="Janitor's closet, housekeeping"),0,IF(0.1*U70&gt;50,220-0.1*U70,U70-50)),IF(Q70="Yes",0,CEILING(MAX(J70:L70),5)))</f>
        <v>0</v>
      </c>
      <c r="S70" s="119">
        <f t="shared" si="56"/>
        <v>0</v>
      </c>
      <c r="T70" s="119">
        <f t="shared" si="5"/>
        <v>0</v>
      </c>
      <c r="U70" s="119">
        <f t="shared" si="57"/>
        <v>0</v>
      </c>
      <c r="V70" s="71">
        <f t="shared" ref="V70:V78" si="71">S70-T70-U70</f>
        <v>0</v>
      </c>
      <c r="W70" s="27" t="str">
        <f t="shared" ref="W70:W78" si="72">IF(R70-T70-U70+V70=0,"Yes","No")</f>
        <v>Yes</v>
      </c>
      <c r="X70" s="28" t="str">
        <f t="shared" si="15"/>
        <v>-</v>
      </c>
      <c r="Y70" s="56" t="str">
        <f t="shared" si="16"/>
        <v>-</v>
      </c>
      <c r="Z70" s="28" t="str">
        <f t="shared" si="17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7"/>
        <v>-</v>
      </c>
      <c r="J71" s="117">
        <v>0</v>
      </c>
      <c r="K71" s="93">
        <f t="shared" si="68"/>
        <v>0</v>
      </c>
      <c r="L71" s="84">
        <f t="shared" si="12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69"/>
        <v>0</v>
      </c>
      <c r="Q71" s="81" t="str">
        <f>VLOOKUP($M71,'UMC Table 4-A'!$A$10:$E$139,5,FALSE)</f>
        <v>NR</v>
      </c>
      <c r="R71" s="82">
        <f t="shared" si="70"/>
        <v>0</v>
      </c>
      <c r="S71" s="119">
        <f t="shared" si="56"/>
        <v>0</v>
      </c>
      <c r="T71" s="119">
        <f t="shared" ref="T71:T78" si="73">IF(Q71="Yes",0,IF(N71="Positive",IF(0.1*R71&gt;50,R71-0.1*R71,R71-50),IF(N71="Negative",IF(0.1*R71&gt;50,R71+0.1*R71,R71+50),R71)))</f>
        <v>0</v>
      </c>
      <c r="U71" s="119">
        <f t="shared" si="57"/>
        <v>0</v>
      </c>
      <c r="V71" s="71">
        <f t="shared" si="71"/>
        <v>0</v>
      </c>
      <c r="W71" s="27" t="str">
        <f t="shared" si="72"/>
        <v>Yes</v>
      </c>
      <c r="X71" s="28" t="str">
        <f t="shared" si="15"/>
        <v>-</v>
      </c>
      <c r="Y71" s="56" t="str">
        <f t="shared" si="16"/>
        <v>-</v>
      </c>
      <c r="Z71" s="28" t="str">
        <f t="shared" si="17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7"/>
        <v>-</v>
      </c>
      <c r="J72" s="117">
        <v>0</v>
      </c>
      <c r="K72" s="93">
        <f t="shared" si="68"/>
        <v>0</v>
      </c>
      <c r="L72" s="84">
        <f t="shared" ref="L72:L78" si="7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69"/>
        <v>0</v>
      </c>
      <c r="Q72" s="81" t="str">
        <f>VLOOKUP($M72,'UMC Table 4-A'!$A$10:$E$139,5,FALSE)</f>
        <v>NR</v>
      </c>
      <c r="R72" s="82">
        <f t="shared" si="70"/>
        <v>0</v>
      </c>
      <c r="S72" s="119">
        <f t="shared" si="56"/>
        <v>0</v>
      </c>
      <c r="T72" s="119">
        <f t="shared" si="73"/>
        <v>0</v>
      </c>
      <c r="U72" s="119">
        <f t="shared" si="57"/>
        <v>0</v>
      </c>
      <c r="V72" s="71">
        <f t="shared" si="71"/>
        <v>0</v>
      </c>
      <c r="W72" s="27" t="str">
        <f t="shared" si="72"/>
        <v>Yes</v>
      </c>
      <c r="X72" s="28" t="str">
        <f t="shared" si="15"/>
        <v>-</v>
      </c>
      <c r="Y72" s="56" t="str">
        <f t="shared" si="16"/>
        <v>-</v>
      </c>
      <c r="Z72" s="28" t="str">
        <f t="shared" si="17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7"/>
        <v>-</v>
      </c>
      <c r="J73" s="117">
        <v>0</v>
      </c>
      <c r="K73" s="93">
        <f t="shared" si="68"/>
        <v>0</v>
      </c>
      <c r="L73" s="84">
        <f t="shared" si="7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69"/>
        <v>0</v>
      </c>
      <c r="Q73" s="81" t="str">
        <f>VLOOKUP($M73,'UMC Table 4-A'!$A$10:$E$139,5,FALSE)</f>
        <v>NR</v>
      </c>
      <c r="R73" s="82">
        <f t="shared" si="70"/>
        <v>0</v>
      </c>
      <c r="S73" s="119">
        <f t="shared" si="56"/>
        <v>0</v>
      </c>
      <c r="T73" s="119">
        <f t="shared" si="73"/>
        <v>0</v>
      </c>
      <c r="U73" s="119">
        <f t="shared" si="57"/>
        <v>0</v>
      </c>
      <c r="V73" s="71">
        <f t="shared" si="71"/>
        <v>0</v>
      </c>
      <c r="W73" s="27" t="str">
        <f t="shared" si="72"/>
        <v>Yes</v>
      </c>
      <c r="X73" s="28" t="str">
        <f t="shared" ref="X73:X78" si="75">IFERROR(R73/E73,"-")</f>
        <v>-</v>
      </c>
      <c r="Y73" s="56" t="str">
        <f t="shared" ref="Y73:Y78" si="76">IFERROR(((P73/S73)*100),"-")</f>
        <v>-</v>
      </c>
      <c r="Z73" s="28" t="str">
        <f t="shared" ref="Z73:Z78" si="7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7"/>
        <v>-</v>
      </c>
      <c r="J74" s="117">
        <v>0</v>
      </c>
      <c r="K74" s="93">
        <f t="shared" si="68"/>
        <v>0</v>
      </c>
      <c r="L74" s="84">
        <f t="shared" si="7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69"/>
        <v>0</v>
      </c>
      <c r="Q74" s="81" t="str">
        <f>VLOOKUP($M74,'UMC Table 4-A'!$A$10:$E$139,5,FALSE)</f>
        <v>NR</v>
      </c>
      <c r="R74" s="82">
        <f t="shared" si="70"/>
        <v>0</v>
      </c>
      <c r="S74" s="119">
        <f t="shared" si="56"/>
        <v>0</v>
      </c>
      <c r="T74" s="119">
        <f t="shared" si="73"/>
        <v>0</v>
      </c>
      <c r="U74" s="119">
        <f t="shared" si="57"/>
        <v>0</v>
      </c>
      <c r="V74" s="71">
        <f t="shared" si="71"/>
        <v>0</v>
      </c>
      <c r="W74" s="27" t="str">
        <f t="shared" si="72"/>
        <v>Yes</v>
      </c>
      <c r="X74" s="28" t="str">
        <f t="shared" si="75"/>
        <v>-</v>
      </c>
      <c r="Y74" s="56" t="str">
        <f t="shared" si="76"/>
        <v>-</v>
      </c>
      <c r="Z74" s="28" t="str">
        <f t="shared" si="7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7"/>
        <v>-</v>
      </c>
      <c r="J75" s="117">
        <v>0</v>
      </c>
      <c r="K75" s="93">
        <f t="shared" si="68"/>
        <v>0</v>
      </c>
      <c r="L75" s="84">
        <f t="shared" si="7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69"/>
        <v>0</v>
      </c>
      <c r="Q75" s="81" t="str">
        <f>VLOOKUP($M75,'UMC Table 4-A'!$A$10:$E$139,5,FALSE)</f>
        <v>NR</v>
      </c>
      <c r="R75" s="82">
        <f t="shared" si="70"/>
        <v>0</v>
      </c>
      <c r="S75" s="119">
        <f t="shared" si="56"/>
        <v>0</v>
      </c>
      <c r="T75" s="119">
        <f t="shared" si="73"/>
        <v>0</v>
      </c>
      <c r="U75" s="119">
        <f t="shared" si="57"/>
        <v>0</v>
      </c>
      <c r="V75" s="71">
        <f t="shared" si="71"/>
        <v>0</v>
      </c>
      <c r="W75" s="27" t="str">
        <f t="shared" si="72"/>
        <v>Yes</v>
      </c>
      <c r="X75" s="28" t="str">
        <f t="shared" si="75"/>
        <v>-</v>
      </c>
      <c r="Y75" s="56" t="str">
        <f t="shared" si="76"/>
        <v>-</v>
      </c>
      <c r="Z75" s="28" t="str">
        <f t="shared" si="7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7"/>
        <v>-</v>
      </c>
      <c r="J76" s="117">
        <v>0</v>
      </c>
      <c r="K76" s="93">
        <f t="shared" si="68"/>
        <v>0</v>
      </c>
      <c r="L76" s="84">
        <f t="shared" si="7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69"/>
        <v>0</v>
      </c>
      <c r="Q76" s="81" t="str">
        <f>VLOOKUP($M76,'UMC Table 4-A'!$A$10:$E$139,5,FALSE)</f>
        <v>NR</v>
      </c>
      <c r="R76" s="82">
        <f t="shared" si="70"/>
        <v>0</v>
      </c>
      <c r="S76" s="119">
        <f t="shared" si="56"/>
        <v>0</v>
      </c>
      <c r="T76" s="119">
        <f t="shared" si="73"/>
        <v>0</v>
      </c>
      <c r="U76" s="119">
        <f t="shared" si="57"/>
        <v>0</v>
      </c>
      <c r="V76" s="71">
        <f t="shared" si="71"/>
        <v>0</v>
      </c>
      <c r="W76" s="27" t="str">
        <f t="shared" si="72"/>
        <v>Yes</v>
      </c>
      <c r="X76" s="28" t="str">
        <f t="shared" si="75"/>
        <v>-</v>
      </c>
      <c r="Y76" s="56" t="str">
        <f t="shared" si="76"/>
        <v>-</v>
      </c>
      <c r="Z76" s="28" t="str">
        <f t="shared" si="7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7"/>
        <v>-</v>
      </c>
      <c r="J77" s="117">
        <v>0</v>
      </c>
      <c r="K77" s="93">
        <f t="shared" si="68"/>
        <v>0</v>
      </c>
      <c r="L77" s="84">
        <f t="shared" si="7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69"/>
        <v>0</v>
      </c>
      <c r="Q77" s="81" t="str">
        <f>VLOOKUP($M77,'UMC Table 4-A'!$A$10:$E$139,5,FALSE)</f>
        <v>NR</v>
      </c>
      <c r="R77" s="82">
        <f t="shared" si="70"/>
        <v>0</v>
      </c>
      <c r="S77" s="119">
        <f t="shared" si="56"/>
        <v>0</v>
      </c>
      <c r="T77" s="119">
        <f t="shared" si="73"/>
        <v>0</v>
      </c>
      <c r="U77" s="119">
        <f t="shared" si="57"/>
        <v>0</v>
      </c>
      <c r="V77" s="71">
        <f t="shared" si="71"/>
        <v>0</v>
      </c>
      <c r="W77" s="27" t="str">
        <f t="shared" si="72"/>
        <v>Yes</v>
      </c>
      <c r="X77" s="28" t="str">
        <f t="shared" si="75"/>
        <v>-</v>
      </c>
      <c r="Y77" s="56" t="str">
        <f t="shared" si="76"/>
        <v>-</v>
      </c>
      <c r="Z77" s="28" t="str">
        <f t="shared" si="7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7"/>
        <v>-</v>
      </c>
      <c r="J78" s="117">
        <v>0</v>
      </c>
      <c r="K78" s="93">
        <f t="shared" si="68"/>
        <v>0</v>
      </c>
      <c r="L78" s="84">
        <f t="shared" si="7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69"/>
        <v>0</v>
      </c>
      <c r="Q78" s="81" t="str">
        <f>VLOOKUP($M78,'UMC Table 4-A'!$A$10:$E$139,5,FALSE)</f>
        <v>NR</v>
      </c>
      <c r="R78" s="82">
        <f t="shared" si="70"/>
        <v>0</v>
      </c>
      <c r="S78" s="119">
        <f t="shared" si="56"/>
        <v>0</v>
      </c>
      <c r="T78" s="119">
        <f t="shared" si="73"/>
        <v>0</v>
      </c>
      <c r="U78" s="119">
        <f t="shared" si="57"/>
        <v>0</v>
      </c>
      <c r="V78" s="71">
        <f t="shared" si="71"/>
        <v>0</v>
      </c>
      <c r="W78" s="27" t="str">
        <f t="shared" si="72"/>
        <v>Yes</v>
      </c>
      <c r="X78" s="28" t="str">
        <f t="shared" si="75"/>
        <v>-</v>
      </c>
      <c r="Y78" s="56" t="str">
        <f t="shared" si="76"/>
        <v>-</v>
      </c>
      <c r="Z78" s="28" t="str">
        <f t="shared" si="7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SUBTOTAL(109,AHU1_TABLE_4A[OSA CFM])</f>
        <v>36740</v>
      </c>
      <c r="Q79" s="123"/>
      <c r="R79" s="128">
        <f>SUBTOTAL(109,AHU1_TABLE_4A[CALCULATED SA CFM])</f>
        <v>110000</v>
      </c>
      <c r="S79" s="188">
        <f>SUBTOTAL(109,AHU1_TABLE_4A[DESIGN SA CFM])</f>
        <v>110000</v>
      </c>
      <c r="T79" s="188">
        <f>SUBTOTAL(109,AHU1_TABLE_4A[RA CFM])</f>
        <v>110000</v>
      </c>
      <c r="U79" s="189">
        <f>SUBTOTAL(109,AHU1_TABLE_4A[EA CFM])</f>
        <v>0</v>
      </c>
      <c r="V79" s="190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7" type="noConversion"/>
  <conditionalFormatting sqref="Y7:Y78">
    <cfRule type="cellIs" dxfId="1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E65CB-1CB6-A546-9F2D-42EA75AC6A0C}">
  <sheetPr codeName="Sheet8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132000</v>
      </c>
      <c r="AX2" s="66">
        <f>ROUNDUP(T79*INPUT_OUTPUTS!$C$15,-2)</f>
        <v>132000</v>
      </c>
      <c r="AY2" s="65">
        <f>ROUNDUP((P79*INPUT_OUTPUTS!C15)+P80,-2)</f>
        <v>47300</v>
      </c>
      <c r="BA2" s="76">
        <f>AHU1_CAV_SCHEDULE4450[[#Totals],[GPM]]</f>
        <v>19</v>
      </c>
      <c r="BB2" s="75">
        <f>AHU1_CAV_SCHEDULE4450[[#Totals],[MIN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2" t="s">
        <v>297</v>
      </c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4"/>
      <c r="W4" s="69"/>
      <c r="Y4"/>
      <c r="Z4"/>
      <c r="AA4"/>
    </row>
    <row r="5" spans="1:54" ht="30">
      <c r="B5" s="86"/>
      <c r="C5" s="86"/>
      <c r="D5" s="205" t="s">
        <v>88</v>
      </c>
      <c r="E5" s="206"/>
      <c r="F5" s="206"/>
      <c r="G5" s="207"/>
      <c r="H5" s="208" t="s">
        <v>89</v>
      </c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5" t="s">
        <v>87</v>
      </c>
      <c r="T5" s="206"/>
      <c r="U5" s="206"/>
      <c r="V5" s="207"/>
      <c r="W5" s="86"/>
      <c r="X5" s="209" t="s">
        <v>86</v>
      </c>
      <c r="Y5" s="210"/>
      <c r="Z5" s="211"/>
      <c r="AC5" s="212" t="s">
        <v>124</v>
      </c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1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2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>SUMIF($B$7:$B$78,AC8,$S$7:$S$78)</f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3">AK7</f>
        <v>55</v>
      </c>
      <c r="AL8" s="132">
        <f t="shared" si="13"/>
        <v>85</v>
      </c>
      <c r="AM8" s="132">
        <f t="shared" si="11"/>
        <v>0</v>
      </c>
      <c r="AN8" s="133">
        <f>(AM8*1000)/(500*(AI8-AJ8))</f>
        <v>0</v>
      </c>
      <c r="AO8" s="133">
        <f t="shared" ref="AO8:AO44" si="14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2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5">IFERROR(R9/E9,"-")</f>
        <v>1</v>
      </c>
      <c r="Y9" s="56">
        <f t="shared" ref="Y9:Y72" si="16">IFERROR(((P9/S9)*100),"-")</f>
        <v>33.4</v>
      </c>
      <c r="Z9" s="28">
        <f t="shared" ref="Z9:Z72" si="17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>SUMIF($B$7:$B$78,AC9,$S$7:$S$78)</f>
        <v>0</v>
      </c>
      <c r="AG9" s="132" t="str">
        <f>IFERROR((VLOOKUP(AF9,'DO NOT TOUCH'!$P$9:$Q$14,2,TRUE)),"TBD")</f>
        <v>TBD</v>
      </c>
      <c r="AH9" s="132">
        <f t="shared" ref="AH9:AH44" si="18">AH8</f>
        <v>0.5</v>
      </c>
      <c r="AI9" s="132">
        <f>INPUT_OUTPUTS!$C$13</f>
        <v>140</v>
      </c>
      <c r="AJ9" s="132">
        <f>INPUT_OUTPUTS!$C$14</f>
        <v>100</v>
      </c>
      <c r="AK9" s="132">
        <f t="shared" si="13"/>
        <v>55</v>
      </c>
      <c r="AL9" s="132">
        <f t="shared" si="13"/>
        <v>85</v>
      </c>
      <c r="AM9" s="132">
        <f t="shared" si="11"/>
        <v>0</v>
      </c>
      <c r="AN9" s="133">
        <f t="shared" ref="AN9:AN44" si="19">(AM9*1000)/(500*(AI9-AJ9))</f>
        <v>0</v>
      </c>
      <c r="AO9" s="133">
        <f t="shared" si="14"/>
        <v>0.5</v>
      </c>
      <c r="AP9" s="133">
        <f t="shared" ref="AP9:AP44" si="20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1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2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5"/>
        <v>1</v>
      </c>
      <c r="Y10" s="56">
        <f t="shared" si="16"/>
        <v>33.4</v>
      </c>
      <c r="Z10" s="28">
        <f t="shared" si="17"/>
        <v>6</v>
      </c>
      <c r="AC10" s="131" t="s">
        <v>262</v>
      </c>
      <c r="AD10" s="131" t="s">
        <v>122</v>
      </c>
      <c r="AE10" s="131" t="s">
        <v>128</v>
      </c>
      <c r="AF10" s="132">
        <f>SUMIF($B$7:$B$78,AC10,$S$7:$S$78)</f>
        <v>0</v>
      </c>
      <c r="AG10" s="132" t="str">
        <f>IFERROR((VLOOKUP(AF10,'DO NOT TOUCH'!$P$9:$Q$14,2,TRUE)),"TBD")</f>
        <v>TBD</v>
      </c>
      <c r="AH10" s="132">
        <f t="shared" si="18"/>
        <v>0.5</v>
      </c>
      <c r="AI10" s="132">
        <f>INPUT_OUTPUTS!$C$13</f>
        <v>140</v>
      </c>
      <c r="AJ10" s="132">
        <f>INPUT_OUTPUTS!$C$14</f>
        <v>100</v>
      </c>
      <c r="AK10" s="132">
        <f t="shared" si="13"/>
        <v>55</v>
      </c>
      <c r="AL10" s="132">
        <f t="shared" si="13"/>
        <v>85</v>
      </c>
      <c r="AM10" s="132">
        <f t="shared" si="11"/>
        <v>0</v>
      </c>
      <c r="AN10" s="133">
        <f t="shared" si="19"/>
        <v>0</v>
      </c>
      <c r="AO10" s="133">
        <f t="shared" si="14"/>
        <v>0.5</v>
      </c>
      <c r="AP10" s="133">
        <f t="shared" si="20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1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2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5"/>
        <v>1</v>
      </c>
      <c r="Y11" s="56">
        <f t="shared" si="16"/>
        <v>33.4</v>
      </c>
      <c r="Z11" s="28">
        <f t="shared" si="17"/>
        <v>6</v>
      </c>
      <c r="AC11" s="131" t="s">
        <v>263</v>
      </c>
      <c r="AD11" s="131" t="s">
        <v>122</v>
      </c>
      <c r="AE11" s="131" t="s">
        <v>128</v>
      </c>
      <c r="AF11" s="132">
        <f>SUMIF($B$7:$B$78,AC11,$S$7:$S$78)</f>
        <v>0</v>
      </c>
      <c r="AG11" s="132" t="str">
        <f>IFERROR((VLOOKUP(AF11,'DO NOT TOUCH'!$P$9:$Q$14,2,TRUE)),"TBD")</f>
        <v>TBD</v>
      </c>
      <c r="AH11" s="132">
        <f t="shared" si="18"/>
        <v>0.5</v>
      </c>
      <c r="AI11" s="132">
        <f>INPUT_OUTPUTS!$C$13</f>
        <v>140</v>
      </c>
      <c r="AJ11" s="132">
        <f>INPUT_OUTPUTS!$C$14</f>
        <v>100</v>
      </c>
      <c r="AK11" s="132">
        <f t="shared" si="13"/>
        <v>55</v>
      </c>
      <c r="AL11" s="132">
        <f t="shared" si="13"/>
        <v>85</v>
      </c>
      <c r="AM11" s="132">
        <f t="shared" si="11"/>
        <v>0</v>
      </c>
      <c r="AN11" s="133">
        <f t="shared" si="19"/>
        <v>0</v>
      </c>
      <c r="AO11" s="133">
        <f t="shared" si="14"/>
        <v>0.5</v>
      </c>
      <c r="AP11" s="133">
        <f t="shared" si="20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1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2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5"/>
        <v>1</v>
      </c>
      <c r="Y12" s="56">
        <f t="shared" si="16"/>
        <v>33.4</v>
      </c>
      <c r="Z12" s="28">
        <f t="shared" si="17"/>
        <v>6</v>
      </c>
      <c r="AC12" s="131" t="s">
        <v>264</v>
      </c>
      <c r="AD12" s="131" t="s">
        <v>122</v>
      </c>
      <c r="AE12" s="131" t="s">
        <v>128</v>
      </c>
      <c r="AF12" s="132">
        <f>SUMIF($B$7:$B$78,AC12,$S$7:$S$78)</f>
        <v>0</v>
      </c>
      <c r="AG12" s="132" t="str">
        <f>IFERROR((VLOOKUP(AF12,'DO NOT TOUCH'!$P$9:$Q$14,2,TRUE)),"TBD")</f>
        <v>TBD</v>
      </c>
      <c r="AH12" s="132">
        <f t="shared" si="18"/>
        <v>0.5</v>
      </c>
      <c r="AI12" s="132">
        <f>INPUT_OUTPUTS!$C$13</f>
        <v>140</v>
      </c>
      <c r="AJ12" s="132">
        <f>INPUT_OUTPUTS!$C$14</f>
        <v>100</v>
      </c>
      <c r="AK12" s="132">
        <f t="shared" si="13"/>
        <v>55</v>
      </c>
      <c r="AL12" s="132">
        <f t="shared" si="13"/>
        <v>85</v>
      </c>
      <c r="AM12" s="132">
        <f t="shared" si="11"/>
        <v>0</v>
      </c>
      <c r="AN12" s="133">
        <f t="shared" si="19"/>
        <v>0</v>
      </c>
      <c r="AO12" s="133">
        <f t="shared" si="14"/>
        <v>0.5</v>
      </c>
      <c r="AP12" s="133">
        <f t="shared" si="20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1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2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5"/>
        <v>1</v>
      </c>
      <c r="Y13" s="56">
        <f t="shared" si="16"/>
        <v>33.4</v>
      </c>
      <c r="Z13" s="28">
        <f t="shared" si="17"/>
        <v>6</v>
      </c>
      <c r="AC13" s="134" t="s">
        <v>265</v>
      </c>
      <c r="AD13" s="131" t="s">
        <v>122</v>
      </c>
      <c r="AE13" s="131" t="s">
        <v>128</v>
      </c>
      <c r="AF13" s="132">
        <f>SUMIF($B$7:$B$78,AC13,$S$7:$S$78)</f>
        <v>0</v>
      </c>
      <c r="AG13" s="132" t="str">
        <f>IFERROR((VLOOKUP(AF13,'DO NOT TOUCH'!$P$9:$Q$14,2,TRUE)),"TBD")</f>
        <v>TBD</v>
      </c>
      <c r="AH13" s="132">
        <f t="shared" si="18"/>
        <v>0.5</v>
      </c>
      <c r="AI13" s="132">
        <f>INPUT_OUTPUTS!$C$13</f>
        <v>140</v>
      </c>
      <c r="AJ13" s="132">
        <f>INPUT_OUTPUTS!$C$14</f>
        <v>100</v>
      </c>
      <c r="AK13" s="132">
        <f t="shared" si="13"/>
        <v>55</v>
      </c>
      <c r="AL13" s="132">
        <f t="shared" si="13"/>
        <v>85</v>
      </c>
      <c r="AM13" s="132">
        <f t="shared" si="11"/>
        <v>0</v>
      </c>
      <c r="AN13" s="133">
        <f t="shared" si="19"/>
        <v>0</v>
      </c>
      <c r="AO13" s="133">
        <f t="shared" si="14"/>
        <v>0.5</v>
      </c>
      <c r="AP13" s="133">
        <f t="shared" si="20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1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2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5"/>
        <v>1</v>
      </c>
      <c r="Y14" s="56">
        <f t="shared" si="16"/>
        <v>33.4</v>
      </c>
      <c r="Z14" s="28">
        <f t="shared" si="17"/>
        <v>6</v>
      </c>
      <c r="AC14" s="134" t="s">
        <v>266</v>
      </c>
      <c r="AD14" s="131" t="s">
        <v>122</v>
      </c>
      <c r="AE14" s="131" t="s">
        <v>128</v>
      </c>
      <c r="AF14" s="132">
        <f>SUMIF($B$7:$B$78,AC14,$S$7:$S$78)</f>
        <v>0</v>
      </c>
      <c r="AG14" s="132" t="str">
        <f>IFERROR((VLOOKUP(AF14,'DO NOT TOUCH'!$P$9:$Q$14,2,TRUE)),"TBD")</f>
        <v>TBD</v>
      </c>
      <c r="AH14" s="132">
        <f t="shared" si="18"/>
        <v>0.5</v>
      </c>
      <c r="AI14" s="132">
        <f>INPUT_OUTPUTS!$C$13</f>
        <v>140</v>
      </c>
      <c r="AJ14" s="132">
        <f>INPUT_OUTPUTS!$C$14</f>
        <v>100</v>
      </c>
      <c r="AK14" s="132">
        <f t="shared" si="13"/>
        <v>55</v>
      </c>
      <c r="AL14" s="132">
        <f t="shared" si="13"/>
        <v>85</v>
      </c>
      <c r="AM14" s="132">
        <f t="shared" si="11"/>
        <v>0</v>
      </c>
      <c r="AN14" s="133">
        <f t="shared" si="19"/>
        <v>0</v>
      </c>
      <c r="AO14" s="133">
        <f t="shared" si="14"/>
        <v>0.5</v>
      </c>
      <c r="AP14" s="133">
        <f t="shared" si="20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1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2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5"/>
        <v>1</v>
      </c>
      <c r="Y15" s="56">
        <f t="shared" si="16"/>
        <v>33.4</v>
      </c>
      <c r="Z15" s="28">
        <f t="shared" si="17"/>
        <v>6</v>
      </c>
      <c r="AC15" s="134" t="s">
        <v>267</v>
      </c>
      <c r="AD15" s="131" t="s">
        <v>122</v>
      </c>
      <c r="AE15" s="131" t="s">
        <v>128</v>
      </c>
      <c r="AF15" s="132">
        <f>SUMIF($B$7:$B$78,AC15,$S$7:$S$78)</f>
        <v>0</v>
      </c>
      <c r="AG15" s="132" t="str">
        <f>IFERROR((VLOOKUP(AF15,'DO NOT TOUCH'!$P$9:$Q$14,2,TRUE)),"TBD")</f>
        <v>TBD</v>
      </c>
      <c r="AH15" s="132">
        <f t="shared" si="18"/>
        <v>0.5</v>
      </c>
      <c r="AI15" s="132">
        <f>INPUT_OUTPUTS!$C$13</f>
        <v>140</v>
      </c>
      <c r="AJ15" s="132">
        <f>INPUT_OUTPUTS!$C$14</f>
        <v>100</v>
      </c>
      <c r="AK15" s="132">
        <f t="shared" si="13"/>
        <v>55</v>
      </c>
      <c r="AL15" s="132">
        <f t="shared" si="13"/>
        <v>85</v>
      </c>
      <c r="AM15" s="132">
        <f t="shared" si="11"/>
        <v>0</v>
      </c>
      <c r="AN15" s="133">
        <f t="shared" si="19"/>
        <v>0</v>
      </c>
      <c r="AO15" s="133">
        <f t="shared" si="14"/>
        <v>0.5</v>
      </c>
      <c r="AP15" s="133">
        <f t="shared" si="20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1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2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5"/>
        <v>1</v>
      </c>
      <c r="Y16" s="56">
        <f t="shared" si="16"/>
        <v>33.4</v>
      </c>
      <c r="Z16" s="28">
        <f t="shared" si="17"/>
        <v>6</v>
      </c>
      <c r="AC16" s="134" t="s">
        <v>268</v>
      </c>
      <c r="AD16" s="131" t="s">
        <v>122</v>
      </c>
      <c r="AE16" s="131" t="s">
        <v>128</v>
      </c>
      <c r="AF16" s="132">
        <f>SUMIF($B$7:$B$78,AC16,$S$7:$S$78)</f>
        <v>0</v>
      </c>
      <c r="AG16" s="132" t="str">
        <f>IFERROR((VLOOKUP(AF16,'DO NOT TOUCH'!$P$9:$Q$14,2,TRUE)),"TBD")</f>
        <v>TBD</v>
      </c>
      <c r="AH16" s="132">
        <f t="shared" si="18"/>
        <v>0.5</v>
      </c>
      <c r="AI16" s="132">
        <f>INPUT_OUTPUTS!$C$13</f>
        <v>140</v>
      </c>
      <c r="AJ16" s="132">
        <f>INPUT_OUTPUTS!$C$14</f>
        <v>100</v>
      </c>
      <c r="AK16" s="132">
        <f t="shared" si="13"/>
        <v>55</v>
      </c>
      <c r="AL16" s="132">
        <f t="shared" si="13"/>
        <v>85</v>
      </c>
      <c r="AM16" s="132">
        <f t="shared" si="11"/>
        <v>0</v>
      </c>
      <c r="AN16" s="133">
        <f t="shared" si="19"/>
        <v>0</v>
      </c>
      <c r="AO16" s="133">
        <f t="shared" si="14"/>
        <v>0.5</v>
      </c>
      <c r="AP16" s="133">
        <f t="shared" si="20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1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2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5"/>
        <v>1</v>
      </c>
      <c r="Y17" s="56">
        <f t="shared" si="16"/>
        <v>33.4</v>
      </c>
      <c r="Z17" s="28">
        <f t="shared" si="17"/>
        <v>6</v>
      </c>
      <c r="AC17" s="134" t="s">
        <v>269</v>
      </c>
      <c r="AD17" s="131" t="s">
        <v>122</v>
      </c>
      <c r="AE17" s="131" t="s">
        <v>128</v>
      </c>
      <c r="AF17" s="132">
        <f>SUMIF($B$7:$B$78,AC17,$S$7:$S$78)</f>
        <v>0</v>
      </c>
      <c r="AG17" s="132" t="str">
        <f>IFERROR((VLOOKUP(AF17,'DO NOT TOUCH'!$P$9:$Q$14,2,TRUE)),"TBD")</f>
        <v>TBD</v>
      </c>
      <c r="AH17" s="132">
        <f t="shared" si="18"/>
        <v>0.5</v>
      </c>
      <c r="AI17" s="132">
        <f>INPUT_OUTPUTS!$C$13</f>
        <v>140</v>
      </c>
      <c r="AJ17" s="132">
        <f>INPUT_OUTPUTS!$C$14</f>
        <v>100</v>
      </c>
      <c r="AK17" s="132">
        <f t="shared" si="13"/>
        <v>55</v>
      </c>
      <c r="AL17" s="132">
        <f t="shared" si="13"/>
        <v>85</v>
      </c>
      <c r="AM17" s="132">
        <f t="shared" si="11"/>
        <v>0</v>
      </c>
      <c r="AN17" s="133">
        <f t="shared" si="19"/>
        <v>0</v>
      </c>
      <c r="AO17" s="133">
        <f t="shared" si="14"/>
        <v>0.5</v>
      </c>
      <c r="AP17" s="133">
        <f t="shared" si="20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1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2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5"/>
        <v>-</v>
      </c>
      <c r="Y18" s="56" t="str">
        <f t="shared" si="16"/>
        <v>-</v>
      </c>
      <c r="Z18" s="28" t="str">
        <f t="shared" si="17"/>
        <v>-</v>
      </c>
      <c r="AC18" s="134" t="s">
        <v>270</v>
      </c>
      <c r="AD18" s="131" t="s">
        <v>122</v>
      </c>
      <c r="AE18" s="131" t="s">
        <v>128</v>
      </c>
      <c r="AF18" s="132">
        <f>SUMIF($B$7:$B$78,AC18,$S$7:$S$78)</f>
        <v>0</v>
      </c>
      <c r="AG18" s="132" t="str">
        <f>IFERROR((VLOOKUP(AF18,'DO NOT TOUCH'!$P$9:$Q$14,2,TRUE)),"TBD")</f>
        <v>TBD</v>
      </c>
      <c r="AH18" s="132">
        <f t="shared" si="18"/>
        <v>0.5</v>
      </c>
      <c r="AI18" s="132">
        <f>INPUT_OUTPUTS!$C$13</f>
        <v>140</v>
      </c>
      <c r="AJ18" s="132">
        <f>INPUT_OUTPUTS!$C$14</f>
        <v>100</v>
      </c>
      <c r="AK18" s="132">
        <f t="shared" si="13"/>
        <v>55</v>
      </c>
      <c r="AL18" s="132">
        <f t="shared" si="13"/>
        <v>85</v>
      </c>
      <c r="AM18" s="132">
        <f t="shared" si="11"/>
        <v>0</v>
      </c>
      <c r="AN18" s="133">
        <f t="shared" si="19"/>
        <v>0</v>
      </c>
      <c r="AO18" s="133">
        <f t="shared" si="14"/>
        <v>0.5</v>
      </c>
      <c r="AP18" s="133">
        <f t="shared" si="20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1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2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5"/>
        <v>-</v>
      </c>
      <c r="Y19" s="56" t="str">
        <f t="shared" si="16"/>
        <v>-</v>
      </c>
      <c r="Z19" s="28" t="str">
        <f t="shared" si="17"/>
        <v>-</v>
      </c>
      <c r="AC19" s="134" t="s">
        <v>271</v>
      </c>
      <c r="AD19" s="131" t="s">
        <v>122</v>
      </c>
      <c r="AE19" s="131" t="s">
        <v>128</v>
      </c>
      <c r="AF19" s="132">
        <f>SUMIF($B$7:$B$78,AC19,$S$7:$S$78)</f>
        <v>0</v>
      </c>
      <c r="AG19" s="132" t="str">
        <f>IFERROR((VLOOKUP(AF19,'DO NOT TOUCH'!$P$9:$Q$14,2,TRUE)),"TBD")</f>
        <v>TBD</v>
      </c>
      <c r="AH19" s="132">
        <f t="shared" si="18"/>
        <v>0.5</v>
      </c>
      <c r="AI19" s="132">
        <f>INPUT_OUTPUTS!$C$13</f>
        <v>140</v>
      </c>
      <c r="AJ19" s="132">
        <f>INPUT_OUTPUTS!$C$14</f>
        <v>100</v>
      </c>
      <c r="AK19" s="132">
        <f t="shared" si="13"/>
        <v>55</v>
      </c>
      <c r="AL19" s="132">
        <f t="shared" si="13"/>
        <v>85</v>
      </c>
      <c r="AM19" s="132">
        <f t="shared" si="11"/>
        <v>0</v>
      </c>
      <c r="AN19" s="133">
        <f t="shared" si="19"/>
        <v>0</v>
      </c>
      <c r="AO19" s="133">
        <f t="shared" si="14"/>
        <v>0.5</v>
      </c>
      <c r="AP19" s="133">
        <f t="shared" si="20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1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2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5"/>
        <v>-</v>
      </c>
      <c r="Y20" s="56" t="str">
        <f t="shared" si="16"/>
        <v>-</v>
      </c>
      <c r="Z20" s="28" t="str">
        <f t="shared" si="17"/>
        <v>-</v>
      </c>
      <c r="AC20" s="134" t="s">
        <v>272</v>
      </c>
      <c r="AD20" s="131" t="s">
        <v>122</v>
      </c>
      <c r="AE20" s="131" t="s">
        <v>128</v>
      </c>
      <c r="AF20" s="132">
        <f>SUMIF($B$7:$B$78,AC20,$S$7:$S$78)</f>
        <v>0</v>
      </c>
      <c r="AG20" s="132" t="str">
        <f>IFERROR((VLOOKUP(AF20,'DO NOT TOUCH'!$P$9:$Q$14,2,TRUE)),"TBD")</f>
        <v>TBD</v>
      </c>
      <c r="AH20" s="132">
        <f t="shared" si="18"/>
        <v>0.5</v>
      </c>
      <c r="AI20" s="132">
        <f>INPUT_OUTPUTS!$C$13</f>
        <v>140</v>
      </c>
      <c r="AJ20" s="132">
        <f>INPUT_OUTPUTS!$C$14</f>
        <v>100</v>
      </c>
      <c r="AK20" s="132">
        <f t="shared" si="13"/>
        <v>55</v>
      </c>
      <c r="AL20" s="132">
        <f t="shared" si="13"/>
        <v>85</v>
      </c>
      <c r="AM20" s="132">
        <f t="shared" si="11"/>
        <v>0</v>
      </c>
      <c r="AN20" s="133">
        <f t="shared" si="19"/>
        <v>0</v>
      </c>
      <c r="AO20" s="133">
        <f t="shared" si="14"/>
        <v>0.5</v>
      </c>
      <c r="AP20" s="133">
        <f t="shared" si="20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1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2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5"/>
        <v>-</v>
      </c>
      <c r="Y21" s="56" t="str">
        <f t="shared" si="16"/>
        <v>-</v>
      </c>
      <c r="Z21" s="28" t="str">
        <f t="shared" si="17"/>
        <v>-</v>
      </c>
      <c r="AC21" s="134" t="s">
        <v>273</v>
      </c>
      <c r="AD21" s="131" t="s">
        <v>122</v>
      </c>
      <c r="AE21" s="131" t="s">
        <v>128</v>
      </c>
      <c r="AF21" s="132">
        <f>SUMIF($B$7:$B$78,AC21,$S$7:$S$78)</f>
        <v>0</v>
      </c>
      <c r="AG21" s="132" t="str">
        <f>IFERROR((VLOOKUP(AF21,'DO NOT TOUCH'!$P$9:$Q$14,2,TRUE)),"TBD")</f>
        <v>TBD</v>
      </c>
      <c r="AH21" s="132">
        <f t="shared" si="18"/>
        <v>0.5</v>
      </c>
      <c r="AI21" s="132">
        <f>INPUT_OUTPUTS!$C$13</f>
        <v>140</v>
      </c>
      <c r="AJ21" s="132">
        <f>INPUT_OUTPUTS!$C$14</f>
        <v>100</v>
      </c>
      <c r="AK21" s="132">
        <f t="shared" si="13"/>
        <v>55</v>
      </c>
      <c r="AL21" s="132">
        <f t="shared" si="13"/>
        <v>85</v>
      </c>
      <c r="AM21" s="132">
        <f t="shared" si="11"/>
        <v>0</v>
      </c>
      <c r="AN21" s="133">
        <f t="shared" si="19"/>
        <v>0</v>
      </c>
      <c r="AO21" s="133">
        <f t="shared" si="14"/>
        <v>0.5</v>
      </c>
      <c r="AP21" s="133">
        <f t="shared" si="20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1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2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5"/>
        <v>-</v>
      </c>
      <c r="Y22" s="56" t="str">
        <f t="shared" si="16"/>
        <v>-</v>
      </c>
      <c r="Z22" s="28" t="str">
        <f t="shared" si="17"/>
        <v>-</v>
      </c>
      <c r="AC22" s="134" t="s">
        <v>274</v>
      </c>
      <c r="AD22" s="131" t="s">
        <v>122</v>
      </c>
      <c r="AE22" s="131" t="s">
        <v>128</v>
      </c>
      <c r="AF22" s="132">
        <f>SUMIF($B$7:$B$78,AC22,$S$7:$S$78)</f>
        <v>0</v>
      </c>
      <c r="AG22" s="132" t="str">
        <f>IFERROR((VLOOKUP(AF22,'DO NOT TOUCH'!$P$9:$Q$14,2,TRUE)),"TBD")</f>
        <v>TBD</v>
      </c>
      <c r="AH22" s="132">
        <f t="shared" si="18"/>
        <v>0.5</v>
      </c>
      <c r="AI22" s="132">
        <f>INPUT_OUTPUTS!$C$13</f>
        <v>140</v>
      </c>
      <c r="AJ22" s="132">
        <f>INPUT_OUTPUTS!$C$14</f>
        <v>100</v>
      </c>
      <c r="AK22" s="132">
        <f t="shared" si="13"/>
        <v>55</v>
      </c>
      <c r="AL22" s="132">
        <f t="shared" si="13"/>
        <v>85</v>
      </c>
      <c r="AM22" s="132">
        <f t="shared" si="11"/>
        <v>0</v>
      </c>
      <c r="AN22" s="133">
        <f t="shared" si="19"/>
        <v>0</v>
      </c>
      <c r="AO22" s="133">
        <f t="shared" si="14"/>
        <v>0.5</v>
      </c>
      <c r="AP22" s="133">
        <f t="shared" si="20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1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2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5"/>
        <v>-</v>
      </c>
      <c r="Y23" s="56" t="str">
        <f t="shared" si="16"/>
        <v>-</v>
      </c>
      <c r="Z23" s="28" t="str">
        <f t="shared" si="17"/>
        <v>-</v>
      </c>
      <c r="AC23" s="134" t="s">
        <v>275</v>
      </c>
      <c r="AD23" s="131" t="s">
        <v>122</v>
      </c>
      <c r="AE23" s="131" t="s">
        <v>128</v>
      </c>
      <c r="AF23" s="132">
        <f>SUMIF($B$7:$B$78,AC23,$S$7:$S$78)</f>
        <v>0</v>
      </c>
      <c r="AG23" s="132" t="str">
        <f>IFERROR((VLOOKUP(AF23,'DO NOT TOUCH'!$P$9:$Q$14,2,TRUE)),"TBD")</f>
        <v>TBD</v>
      </c>
      <c r="AH23" s="132">
        <f t="shared" si="18"/>
        <v>0.5</v>
      </c>
      <c r="AI23" s="132">
        <f>INPUT_OUTPUTS!$C$13</f>
        <v>140</v>
      </c>
      <c r="AJ23" s="132">
        <f>INPUT_OUTPUTS!$C$14</f>
        <v>100</v>
      </c>
      <c r="AK23" s="132">
        <f t="shared" si="13"/>
        <v>55</v>
      </c>
      <c r="AL23" s="132">
        <f t="shared" si="13"/>
        <v>85</v>
      </c>
      <c r="AM23" s="132">
        <f t="shared" si="11"/>
        <v>0</v>
      </c>
      <c r="AN23" s="133">
        <f t="shared" si="19"/>
        <v>0</v>
      </c>
      <c r="AO23" s="133">
        <f t="shared" si="14"/>
        <v>0.5</v>
      </c>
      <c r="AP23" s="133">
        <f t="shared" si="20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1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2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5"/>
        <v>-</v>
      </c>
      <c r="Y24" s="56" t="str">
        <f t="shared" si="16"/>
        <v>-</v>
      </c>
      <c r="Z24" s="28" t="str">
        <f t="shared" si="17"/>
        <v>-</v>
      </c>
      <c r="AC24" s="134" t="s">
        <v>276</v>
      </c>
      <c r="AD24" s="131" t="s">
        <v>122</v>
      </c>
      <c r="AE24" s="131" t="s">
        <v>128</v>
      </c>
      <c r="AF24" s="132">
        <f>SUMIF($B$7:$B$78,AC24,$S$7:$S$78)</f>
        <v>0</v>
      </c>
      <c r="AG24" s="132" t="str">
        <f>IFERROR((VLOOKUP(AF24,'DO NOT TOUCH'!$P$9:$Q$14,2,TRUE)),"TBD")</f>
        <v>TBD</v>
      </c>
      <c r="AH24" s="132">
        <f t="shared" si="18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2">AK23</f>
        <v>55</v>
      </c>
      <c r="AL24" s="132">
        <f t="shared" si="22"/>
        <v>85</v>
      </c>
      <c r="AM24" s="132">
        <f t="shared" si="11"/>
        <v>0</v>
      </c>
      <c r="AN24" s="133">
        <f t="shared" si="19"/>
        <v>0</v>
      </c>
      <c r="AO24" s="133">
        <f t="shared" si="14"/>
        <v>0.5</v>
      </c>
      <c r="AP24" s="133">
        <f t="shared" si="20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1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2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5"/>
        <v>-</v>
      </c>
      <c r="Y25" s="56" t="str">
        <f t="shared" si="16"/>
        <v>-</v>
      </c>
      <c r="Z25" s="28" t="str">
        <f t="shared" si="17"/>
        <v>-</v>
      </c>
      <c r="AC25" s="134" t="s">
        <v>277</v>
      </c>
      <c r="AD25" s="131" t="s">
        <v>122</v>
      </c>
      <c r="AE25" s="131" t="s">
        <v>128</v>
      </c>
      <c r="AF25" s="132">
        <f>SUMIF($B$7:$B$78,AC25,$S$7:$S$78)</f>
        <v>0</v>
      </c>
      <c r="AG25" s="132" t="str">
        <f>IFERROR((VLOOKUP(AF25,'DO NOT TOUCH'!$P$9:$Q$14,2,TRUE)),"TBD")</f>
        <v>TBD</v>
      </c>
      <c r="AH25" s="132">
        <f t="shared" si="18"/>
        <v>0.5</v>
      </c>
      <c r="AI25" s="132">
        <f>INPUT_OUTPUTS!$C$13</f>
        <v>140</v>
      </c>
      <c r="AJ25" s="132">
        <f>INPUT_OUTPUTS!$C$14</f>
        <v>100</v>
      </c>
      <c r="AK25" s="132">
        <f t="shared" si="22"/>
        <v>55</v>
      </c>
      <c r="AL25" s="132">
        <f t="shared" si="22"/>
        <v>85</v>
      </c>
      <c r="AM25" s="132">
        <f t="shared" si="11"/>
        <v>0</v>
      </c>
      <c r="AN25" s="133">
        <f t="shared" si="19"/>
        <v>0</v>
      </c>
      <c r="AO25" s="133">
        <f t="shared" si="14"/>
        <v>0.5</v>
      </c>
      <c r="AP25" s="133">
        <f t="shared" si="20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1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2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5"/>
        <v>-</v>
      </c>
      <c r="Y26" s="56" t="str">
        <f t="shared" si="16"/>
        <v>-</v>
      </c>
      <c r="Z26" s="28" t="str">
        <f t="shared" si="17"/>
        <v>-</v>
      </c>
      <c r="AC26" s="134" t="s">
        <v>278</v>
      </c>
      <c r="AD26" s="131" t="s">
        <v>122</v>
      </c>
      <c r="AE26" s="131" t="s">
        <v>128</v>
      </c>
      <c r="AF26" s="132">
        <f>SUMIF($B$7:$B$78,AC26,$S$7:$S$78)</f>
        <v>0</v>
      </c>
      <c r="AG26" s="132" t="str">
        <f>IFERROR((VLOOKUP(AF26,'DO NOT TOUCH'!$P$9:$Q$14,2,TRUE)),"TBD")</f>
        <v>TBD</v>
      </c>
      <c r="AH26" s="132">
        <f t="shared" si="18"/>
        <v>0.5</v>
      </c>
      <c r="AI26" s="132">
        <f>INPUT_OUTPUTS!$C$13</f>
        <v>140</v>
      </c>
      <c r="AJ26" s="132">
        <f>INPUT_OUTPUTS!$C$14</f>
        <v>100</v>
      </c>
      <c r="AK26" s="132">
        <f t="shared" si="22"/>
        <v>55</v>
      </c>
      <c r="AL26" s="132">
        <f t="shared" si="22"/>
        <v>85</v>
      </c>
      <c r="AM26" s="132">
        <f t="shared" si="11"/>
        <v>0</v>
      </c>
      <c r="AN26" s="133">
        <f t="shared" si="19"/>
        <v>0</v>
      </c>
      <c r="AO26" s="133">
        <f t="shared" si="14"/>
        <v>0.5</v>
      </c>
      <c r="AP26" s="133">
        <f t="shared" si="20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1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2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5"/>
        <v>-</v>
      </c>
      <c r="Y27" s="56" t="str">
        <f t="shared" si="16"/>
        <v>-</v>
      </c>
      <c r="Z27" s="28" t="str">
        <f t="shared" si="17"/>
        <v>-</v>
      </c>
      <c r="AC27" s="134" t="s">
        <v>279</v>
      </c>
      <c r="AD27" s="131" t="s">
        <v>122</v>
      </c>
      <c r="AE27" s="131" t="s">
        <v>128</v>
      </c>
      <c r="AF27" s="132">
        <f>SUMIF($B$7:$B$78,AC27,$S$7:$S$78)</f>
        <v>0</v>
      </c>
      <c r="AG27" s="132" t="str">
        <f>IFERROR((VLOOKUP(AF27,'DO NOT TOUCH'!$P$9:$Q$14,2,TRUE)),"TBD")</f>
        <v>TBD</v>
      </c>
      <c r="AH27" s="132">
        <f t="shared" si="18"/>
        <v>0.5</v>
      </c>
      <c r="AI27" s="132">
        <f>INPUT_OUTPUTS!$C$13</f>
        <v>140</v>
      </c>
      <c r="AJ27" s="132">
        <f>INPUT_OUTPUTS!$C$14</f>
        <v>100</v>
      </c>
      <c r="AK27" s="132">
        <f t="shared" si="22"/>
        <v>55</v>
      </c>
      <c r="AL27" s="132">
        <f t="shared" si="22"/>
        <v>85</v>
      </c>
      <c r="AM27" s="132">
        <f t="shared" si="11"/>
        <v>0</v>
      </c>
      <c r="AN27" s="133">
        <f t="shared" si="19"/>
        <v>0</v>
      </c>
      <c r="AO27" s="133">
        <f t="shared" si="14"/>
        <v>0.5</v>
      </c>
      <c r="AP27" s="133">
        <f t="shared" si="20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1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2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5"/>
        <v>-</v>
      </c>
      <c r="Y28" s="56" t="str">
        <f t="shared" si="16"/>
        <v>-</v>
      </c>
      <c r="Z28" s="28" t="str">
        <f t="shared" si="17"/>
        <v>-</v>
      </c>
      <c r="AC28" s="134" t="s">
        <v>280</v>
      </c>
      <c r="AD28" s="131" t="s">
        <v>122</v>
      </c>
      <c r="AE28" s="131" t="s">
        <v>128</v>
      </c>
      <c r="AF28" s="132">
        <f>SUMIF($B$7:$B$78,AC28,$S$7:$S$78)</f>
        <v>0</v>
      </c>
      <c r="AG28" s="132" t="str">
        <f>IFERROR((VLOOKUP(AF28,'DO NOT TOUCH'!$P$9:$Q$14,2,TRUE)),"TBD")</f>
        <v>TBD</v>
      </c>
      <c r="AH28" s="132">
        <f t="shared" si="18"/>
        <v>0.5</v>
      </c>
      <c r="AI28" s="132">
        <f>INPUT_OUTPUTS!$C$13</f>
        <v>140</v>
      </c>
      <c r="AJ28" s="132">
        <f>INPUT_OUTPUTS!$C$14</f>
        <v>100</v>
      </c>
      <c r="AK28" s="132">
        <f t="shared" si="22"/>
        <v>55</v>
      </c>
      <c r="AL28" s="132">
        <f t="shared" si="22"/>
        <v>85</v>
      </c>
      <c r="AM28" s="132">
        <f t="shared" si="11"/>
        <v>0</v>
      </c>
      <c r="AN28" s="133">
        <f t="shared" si="19"/>
        <v>0</v>
      </c>
      <c r="AO28" s="133">
        <f t="shared" si="14"/>
        <v>0.5</v>
      </c>
      <c r="AP28" s="133">
        <f t="shared" si="20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1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2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5"/>
        <v>-</v>
      </c>
      <c r="Y29" s="56" t="str">
        <f t="shared" si="16"/>
        <v>-</v>
      </c>
      <c r="Z29" s="28" t="str">
        <f t="shared" si="17"/>
        <v>-</v>
      </c>
      <c r="AC29" s="134" t="s">
        <v>281</v>
      </c>
      <c r="AD29" s="131" t="s">
        <v>122</v>
      </c>
      <c r="AE29" s="131" t="s">
        <v>128</v>
      </c>
      <c r="AF29" s="132">
        <f>SUMIF($B$7:$B$78,AC29,$S$7:$S$78)</f>
        <v>0</v>
      </c>
      <c r="AG29" s="132" t="str">
        <f>IFERROR((VLOOKUP(AF29,'DO NOT TOUCH'!$P$9:$Q$14,2,TRUE)),"TBD")</f>
        <v>TBD</v>
      </c>
      <c r="AH29" s="132">
        <f t="shared" si="18"/>
        <v>0.5</v>
      </c>
      <c r="AI29" s="132">
        <f>INPUT_OUTPUTS!$C$13</f>
        <v>140</v>
      </c>
      <c r="AJ29" s="132">
        <f>INPUT_OUTPUTS!$C$14</f>
        <v>100</v>
      </c>
      <c r="AK29" s="132">
        <f t="shared" si="22"/>
        <v>55</v>
      </c>
      <c r="AL29" s="132">
        <f t="shared" si="22"/>
        <v>85</v>
      </c>
      <c r="AM29" s="132">
        <f t="shared" si="11"/>
        <v>0</v>
      </c>
      <c r="AN29" s="133">
        <f t="shared" si="19"/>
        <v>0</v>
      </c>
      <c r="AO29" s="133">
        <f t="shared" si="14"/>
        <v>0.5</v>
      </c>
      <c r="AP29" s="133">
        <f t="shared" si="20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1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2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5"/>
        <v>-</v>
      </c>
      <c r="Y30" s="56" t="str">
        <f t="shared" si="16"/>
        <v>-</v>
      </c>
      <c r="Z30" s="28" t="str">
        <f t="shared" si="17"/>
        <v>-</v>
      </c>
      <c r="AC30" s="134" t="s">
        <v>282</v>
      </c>
      <c r="AD30" s="131" t="s">
        <v>122</v>
      </c>
      <c r="AE30" s="131" t="s">
        <v>128</v>
      </c>
      <c r="AF30" s="132">
        <f>SUMIF($B$7:$B$78,AC30,$S$7:$S$78)</f>
        <v>0</v>
      </c>
      <c r="AG30" s="132" t="str">
        <f>IFERROR((VLOOKUP(AF30,'DO NOT TOUCH'!$P$9:$Q$14,2,TRUE)),"TBD")</f>
        <v>TBD</v>
      </c>
      <c r="AH30" s="132">
        <f t="shared" si="18"/>
        <v>0.5</v>
      </c>
      <c r="AI30" s="132">
        <f>INPUT_OUTPUTS!$C$13</f>
        <v>140</v>
      </c>
      <c r="AJ30" s="132">
        <f>INPUT_OUTPUTS!$C$14</f>
        <v>100</v>
      </c>
      <c r="AK30" s="132">
        <f t="shared" si="22"/>
        <v>55</v>
      </c>
      <c r="AL30" s="132">
        <f t="shared" si="22"/>
        <v>85</v>
      </c>
      <c r="AM30" s="132">
        <f t="shared" si="11"/>
        <v>0</v>
      </c>
      <c r="AN30" s="133">
        <f t="shared" si="19"/>
        <v>0</v>
      </c>
      <c r="AO30" s="133">
        <f t="shared" si="14"/>
        <v>0.5</v>
      </c>
      <c r="AP30" s="133">
        <f t="shared" si="20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1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2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5"/>
        <v>-</v>
      </c>
      <c r="Y31" s="56" t="str">
        <f t="shared" si="16"/>
        <v>-</v>
      </c>
      <c r="Z31" s="28" t="str">
        <f t="shared" si="17"/>
        <v>-</v>
      </c>
      <c r="AC31" s="134" t="s">
        <v>283</v>
      </c>
      <c r="AD31" s="131" t="s">
        <v>122</v>
      </c>
      <c r="AE31" s="131" t="s">
        <v>128</v>
      </c>
      <c r="AF31" s="132">
        <f>SUMIF($B$7:$B$78,AC31,$S$7:$S$78)</f>
        <v>0</v>
      </c>
      <c r="AG31" s="132" t="str">
        <f>IFERROR((VLOOKUP(AF31,'DO NOT TOUCH'!$P$9:$Q$14,2,TRUE)),"TBD")</f>
        <v>TBD</v>
      </c>
      <c r="AH31" s="132">
        <f t="shared" si="18"/>
        <v>0.5</v>
      </c>
      <c r="AI31" s="132">
        <f>INPUT_OUTPUTS!$C$13</f>
        <v>140</v>
      </c>
      <c r="AJ31" s="132">
        <f>INPUT_OUTPUTS!$C$14</f>
        <v>100</v>
      </c>
      <c r="AK31" s="132">
        <f t="shared" si="22"/>
        <v>55</v>
      </c>
      <c r="AL31" s="132">
        <f t="shared" si="22"/>
        <v>85</v>
      </c>
      <c r="AM31" s="132">
        <f t="shared" si="11"/>
        <v>0</v>
      </c>
      <c r="AN31" s="133">
        <f t="shared" si="19"/>
        <v>0</v>
      </c>
      <c r="AO31" s="133">
        <f t="shared" si="14"/>
        <v>0.5</v>
      </c>
      <c r="AP31" s="133">
        <f t="shared" si="20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1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2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5"/>
        <v>-</v>
      </c>
      <c r="Y32" s="56" t="str">
        <f t="shared" si="16"/>
        <v>-</v>
      </c>
      <c r="Z32" s="28" t="str">
        <f t="shared" si="17"/>
        <v>-</v>
      </c>
      <c r="AC32" s="134" t="s">
        <v>284</v>
      </c>
      <c r="AD32" s="131" t="s">
        <v>122</v>
      </c>
      <c r="AE32" s="131" t="s">
        <v>128</v>
      </c>
      <c r="AF32" s="132">
        <f>SUMIF($B$7:$B$78,AC32,$S$7:$S$78)</f>
        <v>0</v>
      </c>
      <c r="AG32" s="132" t="str">
        <f>IFERROR((VLOOKUP(AF32,'DO NOT TOUCH'!$P$9:$Q$14,2,TRUE)),"TBD")</f>
        <v>TBD</v>
      </c>
      <c r="AH32" s="132">
        <f t="shared" si="18"/>
        <v>0.5</v>
      </c>
      <c r="AI32" s="132">
        <f>INPUT_OUTPUTS!$C$13</f>
        <v>140</v>
      </c>
      <c r="AJ32" s="132">
        <f>INPUT_OUTPUTS!$C$14</f>
        <v>100</v>
      </c>
      <c r="AK32" s="132">
        <f t="shared" si="22"/>
        <v>55</v>
      </c>
      <c r="AL32" s="132">
        <f t="shared" si="22"/>
        <v>85</v>
      </c>
      <c r="AM32" s="132">
        <f t="shared" si="11"/>
        <v>0</v>
      </c>
      <c r="AN32" s="133">
        <f t="shared" si="19"/>
        <v>0</v>
      </c>
      <c r="AO32" s="133">
        <f t="shared" si="14"/>
        <v>0.5</v>
      </c>
      <c r="AP32" s="133">
        <f t="shared" si="20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1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2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5"/>
        <v>-</v>
      </c>
      <c r="Y33" s="56" t="str">
        <f t="shared" si="16"/>
        <v>-</v>
      </c>
      <c r="Z33" s="28" t="str">
        <f t="shared" si="17"/>
        <v>-</v>
      </c>
      <c r="AC33" s="134" t="s">
        <v>285</v>
      </c>
      <c r="AD33" s="131" t="s">
        <v>122</v>
      </c>
      <c r="AE33" s="131" t="s">
        <v>128</v>
      </c>
      <c r="AF33" s="132">
        <f>SUMIF($B$7:$B$78,AC33,$S$7:$S$78)</f>
        <v>0</v>
      </c>
      <c r="AG33" s="132" t="str">
        <f>IFERROR((VLOOKUP(AF33,'DO NOT TOUCH'!$P$9:$Q$14,2,TRUE)),"TBD")</f>
        <v>TBD</v>
      </c>
      <c r="AH33" s="132">
        <f t="shared" si="18"/>
        <v>0.5</v>
      </c>
      <c r="AI33" s="132">
        <f>INPUT_OUTPUTS!$C$13</f>
        <v>140</v>
      </c>
      <c r="AJ33" s="132">
        <f>INPUT_OUTPUTS!$C$14</f>
        <v>100</v>
      </c>
      <c r="AK33" s="132">
        <f t="shared" si="22"/>
        <v>55</v>
      </c>
      <c r="AL33" s="132">
        <f t="shared" si="22"/>
        <v>85</v>
      </c>
      <c r="AM33" s="132">
        <f t="shared" si="11"/>
        <v>0</v>
      </c>
      <c r="AN33" s="133">
        <f t="shared" si="19"/>
        <v>0</v>
      </c>
      <c r="AO33" s="133">
        <f t="shared" si="14"/>
        <v>0.5</v>
      </c>
      <c r="AP33" s="133">
        <f t="shared" si="20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1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2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5"/>
        <v>-</v>
      </c>
      <c r="Y34" s="56" t="str">
        <f t="shared" si="16"/>
        <v>-</v>
      </c>
      <c r="Z34" s="28" t="str">
        <f t="shared" si="17"/>
        <v>-</v>
      </c>
      <c r="AC34" s="134" t="s">
        <v>286</v>
      </c>
      <c r="AD34" s="131" t="s">
        <v>122</v>
      </c>
      <c r="AE34" s="131" t="s">
        <v>128</v>
      </c>
      <c r="AF34" s="132">
        <f>SUMIF($B$7:$B$78,AC34,$S$7:$S$78)</f>
        <v>0</v>
      </c>
      <c r="AG34" s="132" t="str">
        <f>IFERROR((VLOOKUP(AF34,'DO NOT TOUCH'!$P$9:$Q$14,2,TRUE)),"TBD")</f>
        <v>TBD</v>
      </c>
      <c r="AH34" s="132">
        <f t="shared" si="18"/>
        <v>0.5</v>
      </c>
      <c r="AI34" s="132">
        <f>INPUT_OUTPUTS!$C$13</f>
        <v>140</v>
      </c>
      <c r="AJ34" s="132">
        <f>INPUT_OUTPUTS!$C$14</f>
        <v>100</v>
      </c>
      <c r="AK34" s="132">
        <f t="shared" si="22"/>
        <v>55</v>
      </c>
      <c r="AL34" s="132">
        <f t="shared" si="22"/>
        <v>85</v>
      </c>
      <c r="AM34" s="132">
        <f t="shared" si="11"/>
        <v>0</v>
      </c>
      <c r="AN34" s="133">
        <f t="shared" si="19"/>
        <v>0</v>
      </c>
      <c r="AO34" s="133">
        <f t="shared" si="14"/>
        <v>0.5</v>
      </c>
      <c r="AP34" s="133">
        <f t="shared" si="20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1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2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5"/>
        <v>-</v>
      </c>
      <c r="Y35" s="56" t="str">
        <f t="shared" si="16"/>
        <v>-</v>
      </c>
      <c r="Z35" s="28" t="str">
        <f t="shared" si="17"/>
        <v>-</v>
      </c>
      <c r="AC35" s="134" t="s">
        <v>287</v>
      </c>
      <c r="AD35" s="131" t="s">
        <v>122</v>
      </c>
      <c r="AE35" s="131" t="s">
        <v>128</v>
      </c>
      <c r="AF35" s="132">
        <f>SUMIF($B$7:$B$78,AC35,$S$7:$S$78)</f>
        <v>0</v>
      </c>
      <c r="AG35" s="132" t="str">
        <f>IFERROR((VLOOKUP(AF35,'DO NOT TOUCH'!$P$9:$Q$14,2,TRUE)),"TBD")</f>
        <v>TBD</v>
      </c>
      <c r="AH35" s="132">
        <f t="shared" si="18"/>
        <v>0.5</v>
      </c>
      <c r="AI35" s="132">
        <f>INPUT_OUTPUTS!$C$13</f>
        <v>140</v>
      </c>
      <c r="AJ35" s="132">
        <f>INPUT_OUTPUTS!$C$14</f>
        <v>100</v>
      </c>
      <c r="AK35" s="132">
        <f t="shared" si="22"/>
        <v>55</v>
      </c>
      <c r="AL35" s="132">
        <f t="shared" si="22"/>
        <v>85</v>
      </c>
      <c r="AM35" s="132">
        <f t="shared" si="11"/>
        <v>0</v>
      </c>
      <c r="AN35" s="133">
        <f t="shared" si="19"/>
        <v>0</v>
      </c>
      <c r="AO35" s="133">
        <f t="shared" si="14"/>
        <v>0.5</v>
      </c>
      <c r="AP35" s="133">
        <f t="shared" si="20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1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2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5"/>
        <v>-</v>
      </c>
      <c r="Y36" s="56" t="str">
        <f t="shared" si="16"/>
        <v>-</v>
      </c>
      <c r="Z36" s="28" t="str">
        <f t="shared" si="17"/>
        <v>-</v>
      </c>
      <c r="AC36" s="134" t="s">
        <v>288</v>
      </c>
      <c r="AD36" s="131" t="s">
        <v>122</v>
      </c>
      <c r="AE36" s="131" t="s">
        <v>128</v>
      </c>
      <c r="AF36" s="132">
        <f>SUMIF($B$7:$B$78,AC36,$S$7:$S$78)</f>
        <v>0</v>
      </c>
      <c r="AG36" s="132" t="str">
        <f>IFERROR((VLOOKUP(AF36,'DO NOT TOUCH'!$P$9:$Q$14,2,TRUE)),"TBD")</f>
        <v>TBD</v>
      </c>
      <c r="AH36" s="132">
        <f t="shared" si="18"/>
        <v>0.5</v>
      </c>
      <c r="AI36" s="132">
        <f>INPUT_OUTPUTS!$C$13</f>
        <v>140</v>
      </c>
      <c r="AJ36" s="132">
        <f>INPUT_OUTPUTS!$C$14</f>
        <v>100</v>
      </c>
      <c r="AK36" s="132">
        <f t="shared" si="22"/>
        <v>55</v>
      </c>
      <c r="AL36" s="132">
        <f t="shared" si="22"/>
        <v>85</v>
      </c>
      <c r="AM36" s="132">
        <f t="shared" si="11"/>
        <v>0</v>
      </c>
      <c r="AN36" s="133">
        <f t="shared" si="19"/>
        <v>0</v>
      </c>
      <c r="AO36" s="133">
        <f t="shared" si="14"/>
        <v>0.5</v>
      </c>
      <c r="AP36" s="133">
        <f t="shared" si="20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1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2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5"/>
        <v>-</v>
      </c>
      <c r="Y37" s="56" t="str">
        <f t="shared" si="16"/>
        <v>-</v>
      </c>
      <c r="Z37" s="28" t="str">
        <f t="shared" si="17"/>
        <v>-</v>
      </c>
      <c r="AC37" s="134" t="s">
        <v>289</v>
      </c>
      <c r="AD37" s="131" t="s">
        <v>122</v>
      </c>
      <c r="AE37" s="131" t="s">
        <v>128</v>
      </c>
      <c r="AF37" s="132">
        <f>SUMIF($B$7:$B$78,AC37,$S$7:$S$78)</f>
        <v>0</v>
      </c>
      <c r="AG37" s="132" t="str">
        <f>IFERROR((VLOOKUP(AF37,'DO NOT TOUCH'!$P$9:$Q$14,2,TRUE)),"TBD")</f>
        <v>TBD</v>
      </c>
      <c r="AH37" s="132">
        <f t="shared" si="18"/>
        <v>0.5</v>
      </c>
      <c r="AI37" s="132">
        <f>INPUT_OUTPUTS!$C$13</f>
        <v>140</v>
      </c>
      <c r="AJ37" s="132">
        <f>INPUT_OUTPUTS!$C$14</f>
        <v>100</v>
      </c>
      <c r="AK37" s="132">
        <f t="shared" si="22"/>
        <v>55</v>
      </c>
      <c r="AL37" s="132">
        <f t="shared" si="22"/>
        <v>85</v>
      </c>
      <c r="AM37" s="132">
        <f t="shared" si="11"/>
        <v>0</v>
      </c>
      <c r="AN37" s="133">
        <f t="shared" si="19"/>
        <v>0</v>
      </c>
      <c r="AO37" s="133">
        <f t="shared" si="14"/>
        <v>0.5</v>
      </c>
      <c r="AP37" s="133">
        <f t="shared" si="20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1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2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5"/>
        <v>-</v>
      </c>
      <c r="Y38" s="56" t="str">
        <f t="shared" si="16"/>
        <v>-</v>
      </c>
      <c r="Z38" s="28" t="str">
        <f t="shared" si="17"/>
        <v>-</v>
      </c>
      <c r="AC38" s="134" t="s">
        <v>290</v>
      </c>
      <c r="AD38" s="131" t="s">
        <v>122</v>
      </c>
      <c r="AE38" s="131" t="s">
        <v>128</v>
      </c>
      <c r="AF38" s="132">
        <f>SUMIF($B$7:$B$78,AC38,$S$7:$S$78)</f>
        <v>0</v>
      </c>
      <c r="AG38" s="132" t="str">
        <f>IFERROR((VLOOKUP(AF38,'DO NOT TOUCH'!$P$9:$Q$14,2,TRUE)),"TBD")</f>
        <v>TBD</v>
      </c>
      <c r="AH38" s="132">
        <f t="shared" si="18"/>
        <v>0.5</v>
      </c>
      <c r="AI38" s="132">
        <f>INPUT_OUTPUTS!$C$13</f>
        <v>140</v>
      </c>
      <c r="AJ38" s="132">
        <f>INPUT_OUTPUTS!$C$14</f>
        <v>100</v>
      </c>
      <c r="AK38" s="132">
        <f t="shared" si="22"/>
        <v>55</v>
      </c>
      <c r="AL38" s="132">
        <f t="shared" si="22"/>
        <v>85</v>
      </c>
      <c r="AM38" s="132">
        <f t="shared" si="11"/>
        <v>0</v>
      </c>
      <c r="AN38" s="133">
        <f t="shared" si="19"/>
        <v>0</v>
      </c>
      <c r="AO38" s="133">
        <f t="shared" si="14"/>
        <v>0.5</v>
      </c>
      <c r="AP38" s="133">
        <f t="shared" si="20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1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2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5"/>
        <v>-</v>
      </c>
      <c r="Y39" s="56" t="str">
        <f t="shared" si="16"/>
        <v>-</v>
      </c>
      <c r="Z39" s="28" t="str">
        <f t="shared" si="17"/>
        <v>-</v>
      </c>
      <c r="AC39" s="134" t="s">
        <v>291</v>
      </c>
      <c r="AD39" s="131" t="s">
        <v>122</v>
      </c>
      <c r="AE39" s="131" t="s">
        <v>128</v>
      </c>
      <c r="AF39" s="132">
        <f>SUMIF($B$7:$B$78,AC39,$S$7:$S$78)</f>
        <v>0</v>
      </c>
      <c r="AG39" s="132" t="str">
        <f>IFERROR((VLOOKUP(AF39,'DO NOT TOUCH'!$P$9:$Q$14,2,TRUE)),"TBD")</f>
        <v>TBD</v>
      </c>
      <c r="AH39" s="132">
        <f t="shared" si="18"/>
        <v>0.5</v>
      </c>
      <c r="AI39" s="132">
        <f>INPUT_OUTPUTS!$C$13</f>
        <v>140</v>
      </c>
      <c r="AJ39" s="132">
        <f>INPUT_OUTPUTS!$C$14</f>
        <v>100</v>
      </c>
      <c r="AK39" s="132">
        <f t="shared" si="22"/>
        <v>55</v>
      </c>
      <c r="AL39" s="132">
        <f t="shared" si="22"/>
        <v>85</v>
      </c>
      <c r="AM39" s="132">
        <f t="shared" si="11"/>
        <v>0</v>
      </c>
      <c r="AN39" s="133">
        <f t="shared" si="19"/>
        <v>0</v>
      </c>
      <c r="AO39" s="133">
        <f t="shared" si="14"/>
        <v>0.5</v>
      </c>
      <c r="AP39" s="133">
        <f t="shared" si="20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1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2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5"/>
        <v>-</v>
      </c>
      <c r="Y40" s="56" t="str">
        <f t="shared" si="16"/>
        <v>-</v>
      </c>
      <c r="Z40" s="28" t="str">
        <f t="shared" si="17"/>
        <v>-</v>
      </c>
      <c r="AC40" s="134" t="s">
        <v>292</v>
      </c>
      <c r="AD40" s="131" t="s">
        <v>122</v>
      </c>
      <c r="AE40" s="131" t="s">
        <v>128</v>
      </c>
      <c r="AF40" s="132">
        <f>SUMIF($B$7:$B$78,AC40,$S$7:$S$78)</f>
        <v>0</v>
      </c>
      <c r="AG40" s="132" t="str">
        <f>IFERROR((VLOOKUP(AF40,'DO NOT TOUCH'!$P$9:$Q$14,2,TRUE)),"TBD")</f>
        <v>TBD</v>
      </c>
      <c r="AH40" s="132">
        <f t="shared" si="18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3">AK39</f>
        <v>55</v>
      </c>
      <c r="AL40" s="132">
        <f t="shared" si="23"/>
        <v>85</v>
      </c>
      <c r="AM40" s="132">
        <f t="shared" si="11"/>
        <v>0</v>
      </c>
      <c r="AN40" s="133">
        <f t="shared" si="19"/>
        <v>0</v>
      </c>
      <c r="AO40" s="133">
        <f t="shared" si="14"/>
        <v>0.5</v>
      </c>
      <c r="AP40" s="133">
        <f t="shared" si="20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1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2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5"/>
        <v>-</v>
      </c>
      <c r="Y41" s="56" t="str">
        <f t="shared" si="16"/>
        <v>-</v>
      </c>
      <c r="Z41" s="28" t="str">
        <f t="shared" si="17"/>
        <v>-</v>
      </c>
      <c r="AC41" s="134" t="s">
        <v>293</v>
      </c>
      <c r="AD41" s="131" t="s">
        <v>122</v>
      </c>
      <c r="AE41" s="131" t="s">
        <v>128</v>
      </c>
      <c r="AF41" s="132">
        <f>SUMIF($B$7:$B$78,AC41,$S$7:$S$78)</f>
        <v>0</v>
      </c>
      <c r="AG41" s="132" t="str">
        <f>IFERROR((VLOOKUP(AF41,'DO NOT TOUCH'!$P$9:$Q$14,2,TRUE)),"TBD")</f>
        <v>TBD</v>
      </c>
      <c r="AH41" s="132">
        <f t="shared" si="18"/>
        <v>0.5</v>
      </c>
      <c r="AI41" s="132">
        <f>INPUT_OUTPUTS!$C$13</f>
        <v>140</v>
      </c>
      <c r="AJ41" s="132">
        <f>INPUT_OUTPUTS!$C$14</f>
        <v>100</v>
      </c>
      <c r="AK41" s="132">
        <f t="shared" si="23"/>
        <v>55</v>
      </c>
      <c r="AL41" s="132">
        <f t="shared" si="23"/>
        <v>85</v>
      </c>
      <c r="AM41" s="132">
        <f t="shared" si="11"/>
        <v>0</v>
      </c>
      <c r="AN41" s="133">
        <f t="shared" si="19"/>
        <v>0</v>
      </c>
      <c r="AO41" s="133">
        <f t="shared" si="14"/>
        <v>0.5</v>
      </c>
      <c r="AP41" s="133">
        <f t="shared" si="20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1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2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5"/>
        <v>-</v>
      </c>
      <c r="Y42" s="56" t="str">
        <f t="shared" si="16"/>
        <v>-</v>
      </c>
      <c r="Z42" s="28" t="str">
        <f t="shared" si="17"/>
        <v>-</v>
      </c>
      <c r="AC42" s="134" t="s">
        <v>294</v>
      </c>
      <c r="AD42" s="131" t="s">
        <v>122</v>
      </c>
      <c r="AE42" s="131" t="s">
        <v>128</v>
      </c>
      <c r="AF42" s="132">
        <f>SUMIF($B$7:$B$78,AC42,$S$7:$S$78)</f>
        <v>0</v>
      </c>
      <c r="AG42" s="132" t="str">
        <f>IFERROR((VLOOKUP(AF42,'DO NOT TOUCH'!$P$9:$Q$14,2,TRUE)),"TBD")</f>
        <v>TBD</v>
      </c>
      <c r="AH42" s="132">
        <f t="shared" si="18"/>
        <v>0.5</v>
      </c>
      <c r="AI42" s="132">
        <f>INPUT_OUTPUTS!$C$13</f>
        <v>140</v>
      </c>
      <c r="AJ42" s="132">
        <f>INPUT_OUTPUTS!$C$14</f>
        <v>100</v>
      </c>
      <c r="AK42" s="132">
        <f t="shared" si="23"/>
        <v>55</v>
      </c>
      <c r="AL42" s="132">
        <f t="shared" si="23"/>
        <v>85</v>
      </c>
      <c r="AM42" s="132">
        <f t="shared" si="11"/>
        <v>0</v>
      </c>
      <c r="AN42" s="133">
        <f t="shared" si="19"/>
        <v>0</v>
      </c>
      <c r="AO42" s="133">
        <f t="shared" si="14"/>
        <v>0.5</v>
      </c>
      <c r="AP42" s="133">
        <f t="shared" si="20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1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2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5"/>
        <v>-</v>
      </c>
      <c r="Y43" s="56" t="str">
        <f t="shared" si="16"/>
        <v>-</v>
      </c>
      <c r="Z43" s="28" t="str">
        <f t="shared" si="17"/>
        <v>-</v>
      </c>
      <c r="AC43" s="134" t="s">
        <v>295</v>
      </c>
      <c r="AD43" s="131" t="s">
        <v>122</v>
      </c>
      <c r="AE43" s="131" t="s">
        <v>128</v>
      </c>
      <c r="AF43" s="132">
        <f>SUMIF($B$7:$B$78,AC43,$S$7:$S$78)</f>
        <v>0</v>
      </c>
      <c r="AG43" s="132" t="str">
        <f>IFERROR((VLOOKUP(AF43,'DO NOT TOUCH'!$P$9:$Q$14,2,TRUE)),"TBD")</f>
        <v>TBD</v>
      </c>
      <c r="AH43" s="132">
        <f t="shared" si="18"/>
        <v>0.5</v>
      </c>
      <c r="AI43" s="132">
        <f>INPUT_OUTPUTS!$C$13</f>
        <v>140</v>
      </c>
      <c r="AJ43" s="132">
        <f>INPUT_OUTPUTS!$C$14</f>
        <v>100</v>
      </c>
      <c r="AK43" s="132">
        <f t="shared" si="23"/>
        <v>55</v>
      </c>
      <c r="AL43" s="132">
        <f t="shared" si="23"/>
        <v>85</v>
      </c>
      <c r="AM43" s="132">
        <f t="shared" si="11"/>
        <v>0</v>
      </c>
      <c r="AN43" s="133">
        <f t="shared" si="19"/>
        <v>0</v>
      </c>
      <c r="AO43" s="133">
        <f t="shared" si="14"/>
        <v>0.5</v>
      </c>
      <c r="AP43" s="133">
        <f t="shared" si="20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1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2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5"/>
        <v>-</v>
      </c>
      <c r="Y44" s="56" t="str">
        <f t="shared" si="16"/>
        <v>-</v>
      </c>
      <c r="Z44" s="28" t="str">
        <f t="shared" si="17"/>
        <v>-</v>
      </c>
      <c r="AC44" s="136" t="s">
        <v>298</v>
      </c>
      <c r="AD44" s="137" t="s">
        <v>122</v>
      </c>
      <c r="AE44" s="137" t="s">
        <v>128</v>
      </c>
      <c r="AF44" s="138">
        <f>SUMIF($B$7:$B$78,AC44,$S$7:$S$78)</f>
        <v>0</v>
      </c>
      <c r="AG44" s="138" t="str">
        <f>IFERROR((VLOOKUP(AF44,'DO NOT TOUCH'!$P$9:$Q$14,2,TRUE)),"TBD")</f>
        <v>TBD</v>
      </c>
      <c r="AH44" s="138">
        <f t="shared" si="18"/>
        <v>0.5</v>
      </c>
      <c r="AI44" s="138">
        <f>INPUT_OUTPUTS!$C$13</f>
        <v>140</v>
      </c>
      <c r="AJ44" s="138">
        <f>INPUT_OUTPUTS!$C$14</f>
        <v>100</v>
      </c>
      <c r="AK44" s="138">
        <f t="shared" si="23"/>
        <v>55</v>
      </c>
      <c r="AL44" s="138">
        <f t="shared" si="23"/>
        <v>85</v>
      </c>
      <c r="AM44" s="138">
        <f t="shared" si="11"/>
        <v>0</v>
      </c>
      <c r="AN44" s="139">
        <f t="shared" si="19"/>
        <v>0</v>
      </c>
      <c r="AO44" s="139">
        <f t="shared" si="14"/>
        <v>0.5</v>
      </c>
      <c r="AP44" s="139">
        <f t="shared" si="20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1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2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5"/>
        <v>-</v>
      </c>
      <c r="Y45" s="56" t="str">
        <f t="shared" si="16"/>
        <v>-</v>
      </c>
      <c r="Z45" s="28" t="str">
        <f t="shared" si="17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SUBTOTAL(109,AHU1_CAV_SCHEDULE4450[MIN MBH])</f>
        <v>0</v>
      </c>
      <c r="AN45" s="161"/>
      <c r="AO45" s="163">
        <f>SUBTOTAL(109,AHU1_CAV_SCHEDULE4450[GPM])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2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5"/>
        <v>-</v>
      </c>
      <c r="Y46" s="56" t="str">
        <f t="shared" si="16"/>
        <v>-</v>
      </c>
      <c r="Z46" s="28" t="str">
        <f t="shared" si="17"/>
        <v>-</v>
      </c>
      <c r="AC46" s="193" t="s">
        <v>126</v>
      </c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5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2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5"/>
        <v>-</v>
      </c>
      <c r="Y47" s="56" t="str">
        <f t="shared" si="16"/>
        <v>-</v>
      </c>
      <c r="Z47" s="28" t="str">
        <f t="shared" si="17"/>
        <v>-</v>
      </c>
      <c r="AC47" s="196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8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2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5"/>
        <v>-</v>
      </c>
      <c r="Y48" s="56" t="str">
        <f t="shared" si="16"/>
        <v>-</v>
      </c>
      <c r="Z48" s="28" t="str">
        <f t="shared" si="17"/>
        <v>-</v>
      </c>
      <c r="AC48" s="196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8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2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5"/>
        <v>-</v>
      </c>
      <c r="Y49" s="56" t="str">
        <f t="shared" si="16"/>
        <v>-</v>
      </c>
      <c r="Z49" s="28" t="str">
        <f t="shared" si="17"/>
        <v>-</v>
      </c>
      <c r="AC49" s="199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1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2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5"/>
        <v>-</v>
      </c>
      <c r="Y50" s="56" t="str">
        <f t="shared" si="16"/>
        <v>-</v>
      </c>
      <c r="Z50" s="28" t="str">
        <f t="shared" si="17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2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5"/>
        <v>-</v>
      </c>
      <c r="Y51" s="56" t="str">
        <f t="shared" si="16"/>
        <v>-</v>
      </c>
      <c r="Z51" s="28" t="str">
        <f t="shared" si="17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2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5"/>
        <v>-</v>
      </c>
      <c r="Y52" s="56" t="str">
        <f t="shared" si="16"/>
        <v>-</v>
      </c>
      <c r="Z52" s="28" t="str">
        <f t="shared" si="17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2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5"/>
        <v>-</v>
      </c>
      <c r="Y53" s="56" t="str">
        <f t="shared" si="16"/>
        <v>-</v>
      </c>
      <c r="Z53" s="28" t="str">
        <f t="shared" si="17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2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5"/>
        <v>-</v>
      </c>
      <c r="Y54" s="56" t="str">
        <f t="shared" si="16"/>
        <v>-</v>
      </c>
      <c r="Z54" s="28" t="str">
        <f t="shared" si="17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2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5"/>
        <v>-</v>
      </c>
      <c r="Y55" s="56" t="str">
        <f t="shared" si="16"/>
        <v>-</v>
      </c>
      <c r="Z55" s="28" t="str">
        <f t="shared" si="17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2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5"/>
        <v>-</v>
      </c>
      <c r="Y56" s="56" t="str">
        <f t="shared" si="16"/>
        <v>-</v>
      </c>
      <c r="Z56" s="28" t="str">
        <f t="shared" si="17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2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5"/>
        <v>-</v>
      </c>
      <c r="Y57" s="56" t="str">
        <f t="shared" si="16"/>
        <v>-</v>
      </c>
      <c r="Z57" s="28" t="str">
        <f t="shared" si="17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2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5"/>
        <v>-</v>
      </c>
      <c r="Y58" s="56" t="str">
        <f t="shared" si="16"/>
        <v>-</v>
      </c>
      <c r="Z58" s="28" t="str">
        <f t="shared" si="17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2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5"/>
        <v>-</v>
      </c>
      <c r="Y59" s="56" t="str">
        <f t="shared" si="16"/>
        <v>-</v>
      </c>
      <c r="Z59" s="28" t="str">
        <f t="shared" si="17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2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5"/>
        <v>-</v>
      </c>
      <c r="Y60" s="56" t="str">
        <f t="shared" si="16"/>
        <v>-</v>
      </c>
      <c r="Z60" s="28" t="str">
        <f t="shared" si="17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2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5"/>
        <v>-</v>
      </c>
      <c r="Y61" s="56" t="str">
        <f t="shared" si="16"/>
        <v>-</v>
      </c>
      <c r="Z61" s="28" t="str">
        <f t="shared" si="17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2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5"/>
        <v>-</v>
      </c>
      <c r="Y62" s="56" t="str">
        <f t="shared" si="16"/>
        <v>-</v>
      </c>
      <c r="Z62" s="28" t="str">
        <f t="shared" si="17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2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5"/>
        <v>-</v>
      </c>
      <c r="Y63" s="56" t="str">
        <f t="shared" si="16"/>
        <v>-</v>
      </c>
      <c r="Z63" s="28" t="str">
        <f t="shared" si="17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2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5"/>
        <v>-</v>
      </c>
      <c r="Y64" s="56" t="str">
        <f t="shared" si="16"/>
        <v>-</v>
      </c>
      <c r="Z64" s="28" t="str">
        <f t="shared" si="17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2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5"/>
        <v>-</v>
      </c>
      <c r="Y65" s="56" t="str">
        <f t="shared" si="16"/>
        <v>-</v>
      </c>
      <c r="Z65" s="28" t="str">
        <f t="shared" si="17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2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5"/>
        <v>-</v>
      </c>
      <c r="Y66" s="56" t="str">
        <f t="shared" si="16"/>
        <v>-</v>
      </c>
      <c r="Z66" s="28" t="str">
        <f t="shared" si="17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2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5"/>
        <v>-</v>
      </c>
      <c r="Y67" s="56" t="str">
        <f t="shared" si="16"/>
        <v>-</v>
      </c>
      <c r="Z67" s="28" t="str">
        <f t="shared" si="17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2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5"/>
        <v>-</v>
      </c>
      <c r="Y68" s="56" t="str">
        <f t="shared" si="16"/>
        <v>-</v>
      </c>
      <c r="Z68" s="28" t="str">
        <f t="shared" si="17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2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5"/>
        <v>-</v>
      </c>
      <c r="Y69" s="56" t="str">
        <f t="shared" si="16"/>
        <v>-</v>
      </c>
      <c r="Z69" s="28" t="str">
        <f t="shared" si="17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2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5"/>
        <v>-</v>
      </c>
      <c r="Y70" s="56" t="str">
        <f t="shared" si="16"/>
        <v>-</v>
      </c>
      <c r="Z70" s="28" t="str">
        <f t="shared" si="17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9" si="24">IF(H71="Yes",K71,"-")</f>
        <v>-</v>
      </c>
      <c r="J71" s="117">
        <v>0</v>
      </c>
      <c r="K71" s="93">
        <f t="shared" ref="K71:K79" si="25">IF(G71&lt;&gt;"NR",ROUNDUP((E71*F71*G71)/60,-1),0)</f>
        <v>0</v>
      </c>
      <c r="L71" s="84">
        <f t="shared" si="12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9" si="26">IF(O71&lt;&gt;"NR",ROUNDUP((E71*F71*O71)/60,-1),0)</f>
        <v>0</v>
      </c>
      <c r="Q71" s="81" t="str">
        <f>VLOOKUP($M71,'UMC Table 4-A'!$A$10:$E$139,5,FALSE)</f>
        <v>NR</v>
      </c>
      <c r="R71" s="82">
        <f t="shared" ref="R71:R79" si="27">IF(N71="Negative",IF(OR(M71="Toilet room",M71="Janitor's closet, housekeeping"),0,IF(0.1*U71&gt;50,220-0.1*U71,U71-50)),IF(Q71="Yes",0,CEILING(MAX(J71:L71),5)))</f>
        <v>0</v>
      </c>
      <c r="S71" s="119">
        <f t="shared" ref="S71:S110" si="28">R71</f>
        <v>0</v>
      </c>
      <c r="T71" s="119">
        <f t="shared" ref="T71:T78" si="29">IF(Q71="Yes",0,IF(N71="Positive",IF(0.1*R71&gt;50,R71-0.1*R71,R71-50),IF(N71="Negative",IF(0.1*R71&gt;50,R71+0.1*R71,R71+50),R71)))</f>
        <v>0</v>
      </c>
      <c r="U71" s="119">
        <f t="shared" ref="U71:U110" si="30">IF(Q71="Yes",I71,0)</f>
        <v>0</v>
      </c>
      <c r="V71" s="71">
        <f t="shared" ref="V71:V79" si="31">S71-T71-U71</f>
        <v>0</v>
      </c>
      <c r="W71" s="27" t="str">
        <f t="shared" ref="W71:W79" si="32">IF(R71-T71-U71+V71=0,"Yes","No")</f>
        <v>Yes</v>
      </c>
      <c r="X71" s="28" t="str">
        <f t="shared" si="15"/>
        <v>-</v>
      </c>
      <c r="Y71" s="56" t="str">
        <f t="shared" si="16"/>
        <v>-</v>
      </c>
      <c r="Z71" s="28" t="str">
        <f t="shared" si="17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4"/>
        <v>-</v>
      </c>
      <c r="J72" s="117">
        <v>0</v>
      </c>
      <c r="K72" s="93">
        <f t="shared" si="25"/>
        <v>0</v>
      </c>
      <c r="L72" s="84">
        <f t="shared" ref="L72:L78" si="33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6"/>
        <v>0</v>
      </c>
      <c r="Q72" s="81" t="str">
        <f>VLOOKUP($M72,'UMC Table 4-A'!$A$10:$E$139,5,FALSE)</f>
        <v>NR</v>
      </c>
      <c r="R72" s="82">
        <f t="shared" si="27"/>
        <v>0</v>
      </c>
      <c r="S72" s="119">
        <f t="shared" si="28"/>
        <v>0</v>
      </c>
      <c r="T72" s="119">
        <f t="shared" si="29"/>
        <v>0</v>
      </c>
      <c r="U72" s="119">
        <f t="shared" si="30"/>
        <v>0</v>
      </c>
      <c r="V72" s="71">
        <f t="shared" si="31"/>
        <v>0</v>
      </c>
      <c r="W72" s="27" t="str">
        <f t="shared" si="32"/>
        <v>Yes</v>
      </c>
      <c r="X72" s="28" t="str">
        <f t="shared" si="15"/>
        <v>-</v>
      </c>
      <c r="Y72" s="56" t="str">
        <f t="shared" si="16"/>
        <v>-</v>
      </c>
      <c r="Z72" s="28" t="str">
        <f t="shared" si="17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4"/>
        <v>-</v>
      </c>
      <c r="J73" s="117">
        <v>0</v>
      </c>
      <c r="K73" s="93">
        <f t="shared" si="25"/>
        <v>0</v>
      </c>
      <c r="L73" s="84">
        <f t="shared" si="33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6"/>
        <v>0</v>
      </c>
      <c r="Q73" s="81" t="str">
        <f>VLOOKUP($M73,'UMC Table 4-A'!$A$10:$E$139,5,FALSE)</f>
        <v>NR</v>
      </c>
      <c r="R73" s="82">
        <f t="shared" si="27"/>
        <v>0</v>
      </c>
      <c r="S73" s="119">
        <f t="shared" si="28"/>
        <v>0</v>
      </c>
      <c r="T73" s="119">
        <f t="shared" si="29"/>
        <v>0</v>
      </c>
      <c r="U73" s="119">
        <f t="shared" si="30"/>
        <v>0</v>
      </c>
      <c r="V73" s="71">
        <f t="shared" si="31"/>
        <v>0</v>
      </c>
      <c r="W73" s="27" t="str">
        <f t="shared" si="32"/>
        <v>Yes</v>
      </c>
      <c r="X73" s="28" t="str">
        <f t="shared" ref="X73:X78" si="34">IFERROR(R73/E73,"-")</f>
        <v>-</v>
      </c>
      <c r="Y73" s="56" t="str">
        <f t="shared" ref="Y73:Y78" si="35">IFERROR(((P73/S73)*100),"-")</f>
        <v>-</v>
      </c>
      <c r="Z73" s="28" t="str">
        <f t="shared" ref="Z73:Z78" si="36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4"/>
        <v>-</v>
      </c>
      <c r="J74" s="117">
        <v>0</v>
      </c>
      <c r="K74" s="93">
        <f t="shared" si="25"/>
        <v>0</v>
      </c>
      <c r="L74" s="84">
        <f t="shared" si="33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6"/>
        <v>0</v>
      </c>
      <c r="Q74" s="81" t="str">
        <f>VLOOKUP($M74,'UMC Table 4-A'!$A$10:$E$139,5,FALSE)</f>
        <v>NR</v>
      </c>
      <c r="R74" s="82">
        <f t="shared" si="27"/>
        <v>0</v>
      </c>
      <c r="S74" s="119">
        <f t="shared" si="28"/>
        <v>0</v>
      </c>
      <c r="T74" s="119">
        <f t="shared" si="29"/>
        <v>0</v>
      </c>
      <c r="U74" s="119">
        <f t="shared" si="30"/>
        <v>0</v>
      </c>
      <c r="V74" s="71">
        <f t="shared" si="31"/>
        <v>0</v>
      </c>
      <c r="W74" s="27" t="str">
        <f t="shared" si="32"/>
        <v>Yes</v>
      </c>
      <c r="X74" s="28" t="str">
        <f t="shared" si="34"/>
        <v>-</v>
      </c>
      <c r="Y74" s="56" t="str">
        <f t="shared" si="35"/>
        <v>-</v>
      </c>
      <c r="Z74" s="28" t="str">
        <f t="shared" si="36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4"/>
        <v>-</v>
      </c>
      <c r="J75" s="117">
        <v>0</v>
      </c>
      <c r="K75" s="93">
        <f t="shared" si="25"/>
        <v>0</v>
      </c>
      <c r="L75" s="84">
        <f t="shared" si="33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6"/>
        <v>0</v>
      </c>
      <c r="Q75" s="81" t="str">
        <f>VLOOKUP($M75,'UMC Table 4-A'!$A$10:$E$139,5,FALSE)</f>
        <v>NR</v>
      </c>
      <c r="R75" s="82">
        <f t="shared" si="27"/>
        <v>0</v>
      </c>
      <c r="S75" s="119">
        <f t="shared" si="28"/>
        <v>0</v>
      </c>
      <c r="T75" s="119">
        <f t="shared" si="29"/>
        <v>0</v>
      </c>
      <c r="U75" s="119">
        <f t="shared" si="30"/>
        <v>0</v>
      </c>
      <c r="V75" s="71">
        <f t="shared" si="31"/>
        <v>0</v>
      </c>
      <c r="W75" s="27" t="str">
        <f t="shared" si="32"/>
        <v>Yes</v>
      </c>
      <c r="X75" s="28" t="str">
        <f t="shared" si="34"/>
        <v>-</v>
      </c>
      <c r="Y75" s="56" t="str">
        <f t="shared" si="35"/>
        <v>-</v>
      </c>
      <c r="Z75" s="28" t="str">
        <f t="shared" si="36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4"/>
        <v>-</v>
      </c>
      <c r="J76" s="117">
        <v>0</v>
      </c>
      <c r="K76" s="93">
        <f t="shared" si="25"/>
        <v>0</v>
      </c>
      <c r="L76" s="84">
        <f t="shared" si="33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6"/>
        <v>0</v>
      </c>
      <c r="Q76" s="81" t="str">
        <f>VLOOKUP($M76,'UMC Table 4-A'!$A$10:$E$139,5,FALSE)</f>
        <v>NR</v>
      </c>
      <c r="R76" s="82">
        <f t="shared" si="27"/>
        <v>0</v>
      </c>
      <c r="S76" s="119">
        <f t="shared" si="28"/>
        <v>0</v>
      </c>
      <c r="T76" s="119">
        <f t="shared" si="29"/>
        <v>0</v>
      </c>
      <c r="U76" s="119">
        <f t="shared" si="30"/>
        <v>0</v>
      </c>
      <c r="V76" s="71">
        <f t="shared" si="31"/>
        <v>0</v>
      </c>
      <c r="W76" s="27" t="str">
        <f t="shared" si="32"/>
        <v>Yes</v>
      </c>
      <c r="X76" s="28" t="str">
        <f t="shared" si="34"/>
        <v>-</v>
      </c>
      <c r="Y76" s="56" t="str">
        <f t="shared" si="35"/>
        <v>-</v>
      </c>
      <c r="Z76" s="28" t="str">
        <f t="shared" si="36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4"/>
        <v>-</v>
      </c>
      <c r="J77" s="117">
        <v>0</v>
      </c>
      <c r="K77" s="93">
        <f t="shared" si="25"/>
        <v>0</v>
      </c>
      <c r="L77" s="84">
        <f t="shared" si="33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6"/>
        <v>0</v>
      </c>
      <c r="Q77" s="81" t="str">
        <f>VLOOKUP($M77,'UMC Table 4-A'!$A$10:$E$139,5,FALSE)</f>
        <v>NR</v>
      </c>
      <c r="R77" s="82">
        <f t="shared" si="27"/>
        <v>0</v>
      </c>
      <c r="S77" s="119">
        <f t="shared" si="28"/>
        <v>0</v>
      </c>
      <c r="T77" s="119">
        <f t="shared" si="29"/>
        <v>0</v>
      </c>
      <c r="U77" s="119">
        <f t="shared" si="30"/>
        <v>0</v>
      </c>
      <c r="V77" s="71">
        <f t="shared" si="31"/>
        <v>0</v>
      </c>
      <c r="W77" s="27" t="str">
        <f t="shared" si="32"/>
        <v>Yes</v>
      </c>
      <c r="X77" s="28" t="str">
        <f t="shared" si="34"/>
        <v>-</v>
      </c>
      <c r="Y77" s="56" t="str">
        <f t="shared" si="35"/>
        <v>-</v>
      </c>
      <c r="Z77" s="28" t="str">
        <f t="shared" si="36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4"/>
        <v>-</v>
      </c>
      <c r="J78" s="117">
        <v>0</v>
      </c>
      <c r="K78" s="93">
        <f t="shared" si="25"/>
        <v>0</v>
      </c>
      <c r="L78" s="84">
        <f t="shared" si="33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6"/>
        <v>0</v>
      </c>
      <c r="Q78" s="81" t="str">
        <f>VLOOKUP($M78,'UMC Table 4-A'!$A$10:$E$139,5,FALSE)</f>
        <v>NR</v>
      </c>
      <c r="R78" s="82">
        <f t="shared" si="27"/>
        <v>0</v>
      </c>
      <c r="S78" s="119">
        <f t="shared" si="28"/>
        <v>0</v>
      </c>
      <c r="T78" s="119">
        <f t="shared" si="29"/>
        <v>0</v>
      </c>
      <c r="U78" s="119">
        <f t="shared" si="30"/>
        <v>0</v>
      </c>
      <c r="V78" s="71">
        <f t="shared" si="31"/>
        <v>0</v>
      </c>
      <c r="W78" s="27" t="str">
        <f t="shared" si="32"/>
        <v>Yes</v>
      </c>
      <c r="X78" s="28" t="str">
        <f t="shared" si="34"/>
        <v>-</v>
      </c>
      <c r="Y78" s="56" t="str">
        <f t="shared" si="35"/>
        <v>-</v>
      </c>
      <c r="Z78" s="28" t="str">
        <f t="shared" si="36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SUBTOTAL(109,AHU1_TABLE_4A4349[AREA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SUBTOTAL(109,AHU1_TABLE_4A4349[OSA CFM])</f>
        <v>36740</v>
      </c>
      <c r="Q79" s="123"/>
      <c r="R79" s="128">
        <f>SUBTOTAL(109,AHU1_TABLE_4A4349[CALCULATED SA CFM])</f>
        <v>110000</v>
      </c>
      <c r="S79" s="188">
        <f>SUBTOTAL(109,AHU1_TABLE_4A4349[DESIGN SA CFM])</f>
        <v>110000</v>
      </c>
      <c r="T79" s="188">
        <f>SUBTOTAL(109,AHU1_TABLE_4A4349[RA CFM])</f>
        <v>110000</v>
      </c>
      <c r="U79" s="189">
        <f>SUBTOTAL(109,AHU1_TABLE_4A4349[EA CFM])</f>
        <v>0</v>
      </c>
      <c r="V79" s="190">
        <f>SUBTOTAL(109,AHU1_TABLE_4A4349[Transfer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0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729800A2-5D54-E443-BB37-0C5E3866537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5"/>
  <sheetViews>
    <sheetView tabSelected="1" zoomScale="13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3" sqref="B23"/>
    </sheetView>
  </sheetViews>
  <sheetFormatPr baseColWidth="10" defaultColWidth="8.83203125" defaultRowHeight="13" outlineLevelCol="2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9.5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9.33203125" customWidth="1"/>
    <col min="40" max="41" width="9.5" hidden="1" customWidth="1"/>
    <col min="42" max="42" width="12" bestFit="1" customWidth="1"/>
    <col min="43" max="43" width="13.6640625" bestFit="1" customWidth="1"/>
    <col min="44" max="44" width="9.1640625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customWidth="1" outlineLevel="2"/>
    <col min="54" max="54" width="10.1640625" customWidth="1" outlineLevel="2" collapsed="1"/>
    <col min="55" max="55" width="9.33203125" customWidth="1"/>
    <col min="56" max="57" width="22.5" customWidth="1"/>
    <col min="58" max="58" width="10.6640625" bestFit="1" customWidth="1"/>
  </cols>
  <sheetData>
    <row r="2" spans="1:58">
      <c r="B2" s="192"/>
      <c r="D2" s="192"/>
    </row>
    <row r="8" spans="1:58" s="174" customFormat="1" ht="13" customHeight="1">
      <c r="A8" s="218"/>
      <c r="B8" s="220" t="s">
        <v>50</v>
      </c>
      <c r="C8" s="220"/>
      <c r="D8" s="220"/>
      <c r="E8" s="220"/>
      <c r="F8" s="220"/>
      <c r="G8" s="220"/>
      <c r="H8" s="220"/>
      <c r="I8" s="220"/>
      <c r="J8" s="220"/>
      <c r="K8" s="220"/>
      <c r="L8" s="220"/>
      <c r="M8" s="220"/>
      <c r="N8" s="220"/>
      <c r="O8" s="220"/>
      <c r="P8" s="220" t="s">
        <v>51</v>
      </c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 t="s">
        <v>52</v>
      </c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 t="s">
        <v>53</v>
      </c>
      <c r="AR8" s="220"/>
      <c r="AS8" s="220"/>
      <c r="AT8" s="220" t="s">
        <v>107</v>
      </c>
      <c r="AU8" s="220"/>
      <c r="AV8" s="220"/>
      <c r="AW8" s="220"/>
      <c r="AX8" s="220"/>
      <c r="AY8" s="220"/>
      <c r="AZ8" s="220"/>
      <c r="BA8" s="220" t="s">
        <v>91</v>
      </c>
      <c r="BB8" s="220"/>
      <c r="BC8" s="220" t="s">
        <v>55</v>
      </c>
      <c r="BD8" s="220"/>
      <c r="BE8" s="220"/>
      <c r="BF8" s="220"/>
    </row>
    <row r="9" spans="1:58" s="74" customFormat="1" ht="32.25" customHeight="1">
      <c r="A9" s="218"/>
      <c r="B9" s="219" t="s">
        <v>19</v>
      </c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8" t="s">
        <v>56</v>
      </c>
      <c r="P9" s="219" t="s">
        <v>57</v>
      </c>
      <c r="Q9" s="219"/>
      <c r="R9" s="219"/>
      <c r="S9" s="219"/>
      <c r="T9" s="219"/>
      <c r="U9" s="219"/>
      <c r="V9" s="222" t="s">
        <v>59</v>
      </c>
      <c r="W9" s="222"/>
      <c r="X9" s="221" t="s">
        <v>392</v>
      </c>
      <c r="Y9" s="218" t="s">
        <v>391</v>
      </c>
      <c r="Z9" s="218"/>
      <c r="AA9" s="218"/>
      <c r="AB9" s="219" t="s">
        <v>57</v>
      </c>
      <c r="AC9" s="219"/>
      <c r="AD9" s="219"/>
      <c r="AE9" s="219"/>
      <c r="AF9" s="219"/>
      <c r="AG9" s="219"/>
      <c r="AH9" s="219" t="s">
        <v>58</v>
      </c>
      <c r="AI9" s="219"/>
      <c r="AJ9" s="219"/>
      <c r="AK9" s="222" t="s">
        <v>60</v>
      </c>
      <c r="AL9" s="222"/>
      <c r="AM9" s="221" t="s">
        <v>392</v>
      </c>
      <c r="AN9" s="218" t="s">
        <v>255</v>
      </c>
      <c r="AO9" s="218"/>
      <c r="AP9" s="218"/>
      <c r="AQ9" s="221" t="s">
        <v>393</v>
      </c>
      <c r="AR9" s="219" t="s">
        <v>33</v>
      </c>
      <c r="AS9" s="219" t="s">
        <v>375</v>
      </c>
      <c r="AT9" s="94"/>
      <c r="AU9" s="219" t="s">
        <v>36</v>
      </c>
      <c r="AV9" s="219"/>
      <c r="AW9" s="94" t="s">
        <v>20</v>
      </c>
      <c r="AX9" s="218" t="s">
        <v>258</v>
      </c>
      <c r="AY9" s="218"/>
      <c r="AZ9" s="218"/>
      <c r="BA9" s="222" t="s">
        <v>94</v>
      </c>
      <c r="BB9" s="219" t="s">
        <v>93</v>
      </c>
      <c r="BC9" s="94"/>
      <c r="BD9" s="94"/>
      <c r="BE9" s="94"/>
      <c r="BF9" s="52"/>
    </row>
    <row r="10" spans="1:58" s="74" customFormat="1" ht="28">
      <c r="A10" s="218"/>
      <c r="B10" s="108" t="s">
        <v>21</v>
      </c>
      <c r="C10" s="108"/>
      <c r="D10" s="218" t="s">
        <v>61</v>
      </c>
      <c r="E10" s="218"/>
      <c r="F10" s="218"/>
      <c r="G10" s="218"/>
      <c r="H10" s="218" t="s">
        <v>390</v>
      </c>
      <c r="I10" s="218"/>
      <c r="J10" s="218"/>
      <c r="K10" s="218" t="s">
        <v>62</v>
      </c>
      <c r="L10" s="218"/>
      <c r="M10" s="218"/>
      <c r="N10" s="108" t="s">
        <v>63</v>
      </c>
      <c r="O10" s="218"/>
      <c r="P10" s="218" t="s">
        <v>22</v>
      </c>
      <c r="Q10" s="218"/>
      <c r="R10" s="218"/>
      <c r="S10" s="218" t="s">
        <v>23</v>
      </c>
      <c r="T10" s="218"/>
      <c r="U10" s="218"/>
      <c r="V10" s="108" t="s">
        <v>24</v>
      </c>
      <c r="W10" s="108" t="s">
        <v>25</v>
      </c>
      <c r="X10" s="221"/>
      <c r="Y10" s="218"/>
      <c r="Z10" s="218"/>
      <c r="AA10" s="218"/>
      <c r="AB10" s="218" t="s">
        <v>22</v>
      </c>
      <c r="AC10" s="218"/>
      <c r="AD10" s="218"/>
      <c r="AE10" s="218" t="s">
        <v>23</v>
      </c>
      <c r="AF10" s="218"/>
      <c r="AG10" s="218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21"/>
      <c r="AN10" s="55" t="s">
        <v>46</v>
      </c>
      <c r="AO10" s="55" t="s">
        <v>256</v>
      </c>
      <c r="AP10" s="108" t="s">
        <v>257</v>
      </c>
      <c r="AQ10" s="221"/>
      <c r="AR10" s="219"/>
      <c r="AS10" s="219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22"/>
      <c r="BB10" s="219"/>
      <c r="BC10" s="108" t="s">
        <v>22</v>
      </c>
      <c r="BD10" s="108" t="s">
        <v>23</v>
      </c>
      <c r="BE10" s="108" t="s">
        <v>387</v>
      </c>
      <c r="BF10" s="108" t="s">
        <v>24</v>
      </c>
    </row>
    <row r="11" spans="1:58" s="69" customFormat="1" ht="15">
      <c r="A11" s="175" t="s">
        <v>329</v>
      </c>
      <c r="B11" s="176" t="s">
        <v>26</v>
      </c>
      <c r="C11" s="176" t="s">
        <v>104</v>
      </c>
      <c r="D11" s="176" t="s">
        <v>330</v>
      </c>
      <c r="E11" s="176" t="s">
        <v>105</v>
      </c>
      <c r="F11" s="177" t="s">
        <v>27</v>
      </c>
      <c r="G11" s="177" t="s">
        <v>28</v>
      </c>
      <c r="H11" s="176" t="s">
        <v>331</v>
      </c>
      <c r="I11" s="178" t="s">
        <v>332</v>
      </c>
      <c r="J11" s="178" t="s">
        <v>333</v>
      </c>
      <c r="K11" s="176" t="s">
        <v>334</v>
      </c>
      <c r="L11" s="178" t="s">
        <v>335</v>
      </c>
      <c r="M11" s="178" t="s">
        <v>336</v>
      </c>
      <c r="N11" s="178" t="s">
        <v>337</v>
      </c>
      <c r="O11" s="176" t="s">
        <v>338</v>
      </c>
      <c r="P11" s="178" t="s">
        <v>339</v>
      </c>
      <c r="Q11" s="178" t="s">
        <v>340</v>
      </c>
      <c r="R11" s="178" t="s">
        <v>29</v>
      </c>
      <c r="S11" s="177" t="s">
        <v>341</v>
      </c>
      <c r="T11" s="177" t="s">
        <v>342</v>
      </c>
      <c r="U11" s="178" t="s">
        <v>343</v>
      </c>
      <c r="V11" s="176" t="s">
        <v>30</v>
      </c>
      <c r="W11" s="176" t="s">
        <v>344</v>
      </c>
      <c r="X11" s="179" t="s">
        <v>31</v>
      </c>
      <c r="Y11" s="179" t="s">
        <v>345</v>
      </c>
      <c r="Z11" s="179" t="s">
        <v>346</v>
      </c>
      <c r="AA11" s="179" t="s">
        <v>45</v>
      </c>
      <c r="AB11" s="178" t="s">
        <v>347</v>
      </c>
      <c r="AC11" s="178" t="s">
        <v>348</v>
      </c>
      <c r="AD11" s="178" t="s">
        <v>349</v>
      </c>
      <c r="AE11" s="178" t="s">
        <v>350</v>
      </c>
      <c r="AF11" s="178" t="s">
        <v>351</v>
      </c>
      <c r="AG11" s="178" t="s">
        <v>352</v>
      </c>
      <c r="AH11" s="176" t="s">
        <v>353</v>
      </c>
      <c r="AI11" s="176" t="s">
        <v>354</v>
      </c>
      <c r="AJ11" s="176" t="s">
        <v>355</v>
      </c>
      <c r="AK11" s="176" t="s">
        <v>356</v>
      </c>
      <c r="AL11" s="176" t="s">
        <v>357</v>
      </c>
      <c r="AM11" s="176" t="s">
        <v>358</v>
      </c>
      <c r="AN11" s="179" t="s">
        <v>359</v>
      </c>
      <c r="AO11" s="179" t="s">
        <v>360</v>
      </c>
      <c r="AP11" s="179" t="s">
        <v>361</v>
      </c>
      <c r="AQ11" s="176" t="s">
        <v>362</v>
      </c>
      <c r="AR11" s="180" t="s">
        <v>363</v>
      </c>
      <c r="AS11" s="180" t="s">
        <v>374</v>
      </c>
      <c r="AT11" s="176" t="s">
        <v>364</v>
      </c>
      <c r="AU11" s="178" t="s">
        <v>365</v>
      </c>
      <c r="AV11" s="178" t="s">
        <v>366</v>
      </c>
      <c r="AW11" s="176" t="s">
        <v>65</v>
      </c>
      <c r="AX11" s="179" t="s">
        <v>367</v>
      </c>
      <c r="AY11" s="179" t="s">
        <v>368</v>
      </c>
      <c r="AZ11" s="179" t="s">
        <v>369</v>
      </c>
      <c r="BA11" s="176" t="s">
        <v>92</v>
      </c>
      <c r="BB11" s="176" t="s">
        <v>370</v>
      </c>
      <c r="BC11" s="178" t="s">
        <v>371</v>
      </c>
      <c r="BD11" s="178" t="s">
        <v>372</v>
      </c>
      <c r="BE11" s="178" t="s">
        <v>386</v>
      </c>
      <c r="BF11" s="176" t="s">
        <v>373</v>
      </c>
    </row>
    <row r="12" spans="1:58" s="74" customFormat="1" ht="15">
      <c r="A12" s="54" t="s">
        <v>394</v>
      </c>
      <c r="B12" s="109">
        <f>'AHU 1'!AX2</f>
        <v>132000</v>
      </c>
      <c r="C12" s="110"/>
      <c r="D12" s="109">
        <f>'AHU 1'!AX2</f>
        <v>132000</v>
      </c>
      <c r="E12" s="52"/>
      <c r="F12" s="156">
        <v>72</v>
      </c>
      <c r="G12" s="156">
        <v>60</v>
      </c>
      <c r="H12" s="109">
        <f>'AHU 1'!AY2</f>
        <v>47300</v>
      </c>
      <c r="I12" s="52">
        <f>INPUT_OUTPUTS!$C$5</f>
        <v>93.1</v>
      </c>
      <c r="J12" s="52">
        <f>INPUT_OUTPUTS!$C$6</f>
        <v>71</v>
      </c>
      <c r="K12" s="109">
        <f>Table7[[#This Row],[(CFM)3]]</f>
        <v>47300</v>
      </c>
      <c r="L12" s="52">
        <f>INPUT_OUTPUTS!$C$7</f>
        <v>80.400000000000006</v>
      </c>
      <c r="M12" s="52">
        <f>INPUT_OUTPUTS!$C$8</f>
        <v>68.900000000000006</v>
      </c>
      <c r="N12" s="52">
        <f>INPUT_OUTPUTS!$F$5</f>
        <v>38.9</v>
      </c>
      <c r="O12" s="109">
        <f>D12+H12-B12</f>
        <v>47300</v>
      </c>
      <c r="P12" s="52">
        <f>F12*((D12-O12)/B12) + I12*(H12/B12)</f>
        <v>79.560833333333335</v>
      </c>
      <c r="Q12" s="52">
        <f>TRUNC(G12*((D12-O12)/B12) + J12*(H12/B12),1)</f>
        <v>63.9</v>
      </c>
      <c r="R12" s="107">
        <f>VLOOKUP(FLOOR(Q12,1),'DO NOT TOUCH'!$A$7:$K$57,MATCH(ROUND((Q12-FLOOR(Q12,1)),1),'DO NOT TOUCH'!$A$6:$K$6,0),FALSE)</f>
        <v>29.24</v>
      </c>
      <c r="S12" s="177">
        <v>53</v>
      </c>
      <c r="T12" s="177">
        <v>50.5</v>
      </c>
      <c r="U12" s="52">
        <f>VLOOKUP(FLOOR(T12,1),'DO NOT TOUCH'!$A$7:$K$57,MATCH(ROUND((T12-FLOOR(T12,1)),1),'DO NOT TOUCH'!$A$6:$K$6,0),FALSE)</f>
        <v>20.58</v>
      </c>
      <c r="V12" s="55">
        <f>B12*1.085*(P12-S12)</f>
        <v>3804042.5500000003</v>
      </c>
      <c r="W12" s="55">
        <f>4.5*B12*(R12-U12)</f>
        <v>5144040</v>
      </c>
      <c r="X12" s="55">
        <f>W12/12000</f>
        <v>428.67</v>
      </c>
      <c r="Y12" s="55">
        <f>INPUT_OUTPUTS!$C$11</f>
        <v>42</v>
      </c>
      <c r="Z12" s="55">
        <f>INPUT_OUTPUTS!$C$12</f>
        <v>56</v>
      </c>
      <c r="AA12" s="157">
        <f t="shared" ref="AA12" si="0">W12/(500*(Z12-Y12))</f>
        <v>734.86285714285714</v>
      </c>
      <c r="AB12" s="52">
        <f>F12*((D12-O12)/B12) + L12*(H12/B12)</f>
        <v>75.010000000000005</v>
      </c>
      <c r="AC12" s="52">
        <f>G12*((D12-O12)/B12) + M12*(H12/B12)</f>
        <v>63.189166666666665</v>
      </c>
      <c r="AD12" s="52">
        <f>VLOOKUP(FLOOR(AC12,1),'DO NOT TOUCH'!$A$7:$K$57,MATCH(ROUND((AC12-FLOOR(AC12,1)),1),'DO NOT TOUCH'!$A$6:$K$6,0),FALSE)</f>
        <v>28.72</v>
      </c>
      <c r="AE12" s="52">
        <f>Table7[[#This Row],[(˚F db)13]]</f>
        <v>53</v>
      </c>
      <c r="AF12" s="52">
        <f>Table7[[#This Row],[(˚F wb)14]]</f>
        <v>50.5</v>
      </c>
      <c r="AG12" s="52">
        <f>VLOOKUP(FLOOR(AF12,1),'DO NOT TOUCH'!$A$7:$K$57,MATCH(ROUND((AF12-FLOOR(AF12,1)),1),'DO NOT TOUCH'!$A$6:$K$6,0),FALSE)</f>
        <v>20.58</v>
      </c>
      <c r="AH12" s="53">
        <v>0</v>
      </c>
      <c r="AI12" s="53">
        <v>0</v>
      </c>
      <c r="AJ12" s="54">
        <f>AI12+AH12</f>
        <v>0</v>
      </c>
      <c r="AK12" s="55">
        <f>B12*1.085*(AB12-AE12)</f>
        <v>3152272.2000000007</v>
      </c>
      <c r="AL12" s="55">
        <f>4.5*B12*(AD12-AG12)</f>
        <v>4835160</v>
      </c>
      <c r="AM12" s="52">
        <f>AL12/12000</f>
        <v>402.93</v>
      </c>
      <c r="AN12" s="55">
        <f>INPUT_OUTPUTS!$C$11</f>
        <v>42</v>
      </c>
      <c r="AO12" s="55">
        <f>INPUT_OUTPUTS!$C$12</f>
        <v>56</v>
      </c>
      <c r="AP12" s="157">
        <f>AL12/(500*(AO12-AN12))</f>
        <v>690.73714285714289</v>
      </c>
      <c r="AQ12" s="52">
        <f>MAX(AM12,X12)</f>
        <v>428.67</v>
      </c>
      <c r="AR12" s="158">
        <f>B12/AM12</f>
        <v>327.6003276003276</v>
      </c>
      <c r="AS12" s="158">
        <f>MAX(Table7[[#This Row],[GPM33]],Table7[[#This Row],[GPM]])</f>
        <v>734.86285714285714</v>
      </c>
      <c r="AT12" s="109">
        <f>B12</f>
        <v>132000</v>
      </c>
      <c r="AU12" s="52">
        <f>F12*((D12-O12)/B12) + N12*(H12/B12)</f>
        <v>60.139166666666668</v>
      </c>
      <c r="AV12" s="52">
        <v>65</v>
      </c>
      <c r="AW12" s="55">
        <f>AT12*1.085*(AV12-AU12)/1000</f>
        <v>696.16854999999987</v>
      </c>
      <c r="AX12" s="55">
        <f>INPUT_OUTPUTS!$C$13</f>
        <v>140</v>
      </c>
      <c r="AY12" s="55">
        <f>INPUT_OUTPUTS!$C$14</f>
        <v>100</v>
      </c>
      <c r="AZ12" s="157">
        <f>(AW12*1000)/(500*(AX12-AY12))</f>
        <v>34.808427499999993</v>
      </c>
      <c r="BA12" s="111"/>
      <c r="BB12" s="55">
        <f>BA12*(K12/1000)</f>
        <v>0</v>
      </c>
      <c r="BC12" s="177">
        <v>55</v>
      </c>
      <c r="BD12" s="52" t="s">
        <v>296</v>
      </c>
      <c r="BE12" s="52">
        <f>'AHU 1'!BA2</f>
        <v>19</v>
      </c>
      <c r="BF12" s="52">
        <f>'AHU 1'!BB2</f>
        <v>0</v>
      </c>
    </row>
    <row r="13" spans="1:58" ht="15">
      <c r="A13" s="243" t="s">
        <v>395</v>
      </c>
      <c r="B13" s="109">
        <f>'AHU 2'!$AW$2</f>
        <v>132000</v>
      </c>
      <c r="C13" s="110"/>
      <c r="D13" s="109">
        <f>'AHU 2'!$AX$2</f>
        <v>132000</v>
      </c>
      <c r="E13" s="52"/>
      <c r="F13" s="156">
        <v>72</v>
      </c>
      <c r="G13" s="156">
        <v>60</v>
      </c>
      <c r="H13" s="109">
        <f>'AHU 2'!$AY$2</f>
        <v>47300</v>
      </c>
      <c r="I13" s="52">
        <f>INPUT_OUTPUTS!$C$5</f>
        <v>93.1</v>
      </c>
      <c r="J13" s="52">
        <f>INPUT_OUTPUTS!$C$6</f>
        <v>71</v>
      </c>
      <c r="K13" s="109">
        <f>Table7[[#This Row],[(CFM)3]]</f>
        <v>47300</v>
      </c>
      <c r="L13" s="52">
        <f>INPUT_OUTPUTS!$C$7</f>
        <v>80.400000000000006</v>
      </c>
      <c r="M13" s="52">
        <f>INPUT_OUTPUTS!$C$8</f>
        <v>68.900000000000006</v>
      </c>
      <c r="N13" s="52">
        <f>INPUT_OUTPUTS!$F$5</f>
        <v>38.9</v>
      </c>
      <c r="O13" s="109">
        <f>D13+H13-B13</f>
        <v>47300</v>
      </c>
      <c r="P13" s="52">
        <f>F13*((D13-O13)/B13) + I13*(H13/B13)</f>
        <v>79.560833333333335</v>
      </c>
      <c r="Q13" s="52">
        <f>TRUNC(G13*((D13-O13)/B13) + J13*(H13/B13),1)</f>
        <v>63.9</v>
      </c>
      <c r="R13" s="107">
        <f>VLOOKUP(FLOOR(Q13,1),'DO NOT TOUCH'!$A$7:$K$57,MATCH(ROUND((Q13-FLOOR(Q13,1)),1),'DO NOT TOUCH'!$A$6:$K$6,0),FALSE)</f>
        <v>29.24</v>
      </c>
      <c r="S13" s="244">
        <v>53</v>
      </c>
      <c r="T13" s="244">
        <v>50.5</v>
      </c>
      <c r="U13" s="52">
        <f>VLOOKUP(FLOOR(T13,1),'DO NOT TOUCH'!$A$7:$K$57,MATCH(ROUND((T13-FLOOR(T13,1)),1),'DO NOT TOUCH'!$A$6:$K$6,0),FALSE)</f>
        <v>20.58</v>
      </c>
      <c r="V13" s="55">
        <f>B13*1.085*(P13-S13)</f>
        <v>3804042.5500000003</v>
      </c>
      <c r="W13" s="55">
        <f>4.5*B13*(R13-U13)</f>
        <v>5144040</v>
      </c>
      <c r="X13" s="55">
        <f>W13/12000</f>
        <v>428.67</v>
      </c>
      <c r="Y13" s="55">
        <f>INPUT_OUTPUTS!$C$11</f>
        <v>42</v>
      </c>
      <c r="Z13" s="55">
        <f>INPUT_OUTPUTS!$C$12</f>
        <v>56</v>
      </c>
      <c r="AA13" s="157">
        <f>W13/(500*(Z13-Y13))</f>
        <v>734.86285714285714</v>
      </c>
      <c r="AB13" s="52">
        <f>F13*((D13-O13)/B13) + L13*(H13/B13)</f>
        <v>75.010000000000005</v>
      </c>
      <c r="AC13" s="52">
        <f>G13*((D13-O13)/B13) + M13*(H13/B13)</f>
        <v>63.189166666666665</v>
      </c>
      <c r="AD13" s="52">
        <f>VLOOKUP(FLOOR(AC13,1),'DO NOT TOUCH'!$A$7:$K$57,MATCH(ROUND((AC13-FLOOR(AC13,1)),1),'DO NOT TOUCH'!$A$6:$K$6,0),FALSE)</f>
        <v>28.72</v>
      </c>
      <c r="AE13" s="245">
        <f>Table7[[#This Row],[(˚F db)13]]</f>
        <v>53</v>
      </c>
      <c r="AF13" s="245">
        <f>Table7[[#This Row],[(˚F wb)14]]</f>
        <v>50.5</v>
      </c>
      <c r="AG13" s="52">
        <f>VLOOKUP(FLOOR(AF13,1),'DO NOT TOUCH'!$A$7:$K$57,MATCH(ROUND((AF13-FLOOR(AF13,1)),1),'DO NOT TOUCH'!$A$6:$K$6,0),FALSE)</f>
        <v>20.58</v>
      </c>
      <c r="AH13" s="53"/>
      <c r="AI13" s="53"/>
      <c r="AJ13" s="54">
        <f>AI13+AH13</f>
        <v>0</v>
      </c>
      <c r="AK13" s="55">
        <f>B13*1.085*(AB13-AE13)</f>
        <v>3152272.2000000007</v>
      </c>
      <c r="AL13" s="55">
        <f>4.5*B13*(AD13-AG13)</f>
        <v>4835160</v>
      </c>
      <c r="AM13" s="52">
        <f>AL13/12000</f>
        <v>402.93</v>
      </c>
      <c r="AN13" s="55">
        <f>INPUT_OUTPUTS!$C$11</f>
        <v>42</v>
      </c>
      <c r="AO13" s="55">
        <f>INPUT_OUTPUTS!$C$12</f>
        <v>56</v>
      </c>
      <c r="AP13" s="157">
        <f>AL13/(500*(AO13-AN13))</f>
        <v>690.73714285714289</v>
      </c>
      <c r="AQ13" s="52">
        <f>MAX(AM13,X13)</f>
        <v>428.67</v>
      </c>
      <c r="AR13" s="158">
        <f>B13/AM13</f>
        <v>327.6003276003276</v>
      </c>
      <c r="AS13" s="158">
        <f>MAX(Table7[[#This Row],[GPM33]],Table7[[#This Row],[GPM]])</f>
        <v>734.86285714285714</v>
      </c>
      <c r="AT13" s="109">
        <f>B13</f>
        <v>132000</v>
      </c>
      <c r="AU13" s="52">
        <f>F13*((D13-O13)/B13) + N13*(H13/B13)</f>
        <v>60.139166666666668</v>
      </c>
      <c r="AV13" s="52"/>
      <c r="AW13" s="55">
        <f>AT13*1.085*(AV13-AU13)/1000</f>
        <v>-8613.1314500000008</v>
      </c>
      <c r="AX13" s="55">
        <f>INPUT_OUTPUTS!$C$13</f>
        <v>140</v>
      </c>
      <c r="AY13" s="55">
        <f>INPUT_OUTPUTS!$C$14</f>
        <v>100</v>
      </c>
      <c r="AZ13" s="157">
        <f>(AW13*1000)/(500*(AX13-AY13))</f>
        <v>-430.65657250000004</v>
      </c>
      <c r="BA13" s="111"/>
      <c r="BB13" s="55">
        <f>BA13*(K13/1000)</f>
        <v>0</v>
      </c>
      <c r="BC13" s="244">
        <v>55</v>
      </c>
      <c r="BD13" s="52" t="s">
        <v>296</v>
      </c>
      <c r="BE13" s="52">
        <f>'AHU 2'!$BA$2</f>
        <v>19</v>
      </c>
      <c r="BF13" s="246">
        <f>'AHU 2'!$BB$2</f>
        <v>0</v>
      </c>
    </row>
    <row r="14" spans="1:58" ht="17" thickBot="1">
      <c r="A14" s="181" t="s">
        <v>317</v>
      </c>
      <c r="B14" s="182">
        <f>SUBTOTAL(109,Table7[(CFM)])</f>
        <v>264000</v>
      </c>
      <c r="C14" s="181"/>
      <c r="D14" s="181"/>
      <c r="E14" s="181"/>
      <c r="F14" s="183"/>
      <c r="G14" s="183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4">
        <f>SUBTOTAL(109,Table7[GPM])</f>
        <v>1469.7257142857143</v>
      </c>
      <c r="AB14" s="181"/>
      <c r="AC14" s="181"/>
      <c r="AD14" s="181"/>
      <c r="AE14" s="183"/>
      <c r="AF14" s="183"/>
      <c r="AG14" s="181"/>
      <c r="AH14" s="185"/>
      <c r="AI14" s="185"/>
      <c r="AJ14" s="181"/>
      <c r="AK14" s="181"/>
      <c r="AL14" s="181"/>
      <c r="AM14" s="181"/>
      <c r="AN14" s="181"/>
      <c r="AO14" s="181"/>
      <c r="AP14" s="184">
        <f>SUBTOTAL(109,Table7[GPM33])</f>
        <v>1381.4742857142858</v>
      </c>
      <c r="AQ14" s="184">
        <f>SUBTOTAL(109,Table7[(Tons)34])</f>
        <v>857.34</v>
      </c>
      <c r="AR14" s="181"/>
      <c r="AS14" s="186">
        <f>SUBTOTAL(109,Table7[GPM MAX])</f>
        <v>1469.7257142857143</v>
      </c>
      <c r="AT14" s="181"/>
      <c r="AU14" s="181"/>
      <c r="AV14" s="181"/>
      <c r="AW14" s="186">
        <f>SUBTOTAL(109,Table7[(MBH)])</f>
        <v>-7916.9629000000004</v>
      </c>
      <c r="AX14" s="181"/>
      <c r="AY14" s="181"/>
      <c r="AZ14" s="184">
        <f>SUBTOTAL(109,Table7[GPM41])</f>
        <v>-395.84814500000005</v>
      </c>
      <c r="BA14" s="183"/>
      <c r="BB14" s="181"/>
      <c r="BC14" s="181"/>
      <c r="BD14" s="181"/>
      <c r="BE14" s="184">
        <f>SUBTOTAL(109,Table7[(˚F db)46])</f>
        <v>38</v>
      </c>
      <c r="BF14" s="184">
        <f>SUBTOTAL(109,Table7[(mbh)46])</f>
        <v>0</v>
      </c>
    </row>
    <row r="15" spans="1:58" ht="16" thickTop="1">
      <c r="AL15" s="114"/>
    </row>
    <row r="16" spans="1:58" ht="15">
      <c r="T16" s="113"/>
      <c r="U16" s="113"/>
      <c r="AA16" s="153"/>
      <c r="AF16" s="113"/>
      <c r="AG16" s="113"/>
      <c r="AH16" s="112"/>
      <c r="AM16" s="153"/>
      <c r="AP16" s="153"/>
      <c r="AQ16" s="153"/>
      <c r="AZ16" s="153"/>
    </row>
    <row r="17" spans="1:58" ht="15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21" spans="1:58">
      <c r="O21" s="153"/>
    </row>
    <row r="24" spans="1:58">
      <c r="G24" s="191"/>
    </row>
    <row r="31" spans="1:58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</row>
    <row r="32" spans="1:58">
      <c r="A32" s="154"/>
      <c r="B32" s="154"/>
      <c r="E32" s="155"/>
    </row>
    <row r="33" spans="1:5">
      <c r="A33" s="154"/>
      <c r="B33" s="153"/>
      <c r="E33" s="155"/>
    </row>
    <row r="34" spans="1:5">
      <c r="A34" s="154"/>
      <c r="E34" s="155"/>
    </row>
    <row r="35" spans="1:5">
      <c r="E35" s="155"/>
    </row>
  </sheetData>
  <sheetProtection sheet="1" objects="1" scenarios="1"/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23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1</xdr:col>
                    <xdr:colOff>63500</xdr:colOff>
                    <xdr:row>1</xdr:row>
                    <xdr:rowOff>12700</xdr:rowOff>
                  </from>
                  <to>
                    <xdr:col>3</xdr:col>
                    <xdr:colOff>241300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673100</xdr:colOff>
                    <xdr:row>0</xdr:row>
                    <xdr:rowOff>139700</xdr:rowOff>
                  </from>
                  <to>
                    <xdr:col>16</xdr:col>
                    <xdr:colOff>76200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29" t="s">
        <v>1</v>
      </c>
      <c r="B1" s="229"/>
      <c r="C1" s="22"/>
      <c r="D1" s="22"/>
      <c r="F1" s="23" t="s">
        <v>2</v>
      </c>
    </row>
    <row r="2" spans="1:13" ht="16">
      <c r="A2" s="229"/>
      <c r="B2" s="229"/>
      <c r="C2" s="22"/>
      <c r="D2" s="22"/>
      <c r="F2" s="24" t="s">
        <v>49</v>
      </c>
    </row>
    <row r="3" spans="1:13">
      <c r="A3" s="230" t="s">
        <v>11</v>
      </c>
      <c r="B3" s="230"/>
      <c r="C3" s="230"/>
      <c r="D3" s="230"/>
      <c r="E3" s="230"/>
      <c r="F3" s="231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25" t="s">
        <v>3</v>
      </c>
      <c r="B6" s="223" t="s">
        <v>4</v>
      </c>
      <c r="C6" s="232" t="s">
        <v>5</v>
      </c>
      <c r="D6" s="232"/>
      <c r="E6" s="233" t="s">
        <v>6</v>
      </c>
    </row>
    <row r="7" spans="1:13">
      <c r="A7" s="226"/>
      <c r="B7" s="223"/>
      <c r="C7" s="223" t="s">
        <v>7</v>
      </c>
      <c r="D7" s="223" t="s">
        <v>8</v>
      </c>
      <c r="E7" s="233"/>
    </row>
    <row r="8" spans="1:13">
      <c r="A8" s="227"/>
      <c r="B8" s="223"/>
      <c r="C8" s="223"/>
      <c r="D8" s="223"/>
      <c r="E8" s="233"/>
    </row>
    <row r="9" spans="1:13">
      <c r="A9" s="228"/>
      <c r="B9" s="224"/>
      <c r="C9" s="224"/>
      <c r="D9" s="224"/>
      <c r="E9" s="234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topLeftCell="A4" zoomScale="174" workbookViewId="0">
      <selection activeCell="A20" sqref="A20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35" t="s">
        <v>301</v>
      </c>
      <c r="B5" s="237" t="s">
        <v>302</v>
      </c>
      <c r="C5" s="238"/>
      <c r="D5" s="238"/>
      <c r="E5" s="238"/>
      <c r="F5" s="238"/>
      <c r="G5" s="238"/>
      <c r="H5" s="238"/>
      <c r="I5" s="238"/>
      <c r="J5" s="238"/>
      <c r="K5" s="239"/>
      <c r="P5" s="74" t="s">
        <v>316</v>
      </c>
    </row>
    <row r="6" spans="1:18">
      <c r="A6" s="236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63</v>
      </c>
      <c r="P7" s="240" t="s">
        <v>73</v>
      </c>
      <c r="Q7" s="241"/>
      <c r="R7" s="242"/>
    </row>
    <row r="8" spans="1:18" ht="1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0.9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388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Generic</vt:lpstr>
      <vt:lpstr>INPUT_OUTPUTS</vt:lpstr>
      <vt:lpstr>AHU 1</vt:lpstr>
      <vt:lpstr>AHU 2</vt:lpstr>
      <vt:lpstr>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2'!CAV_1A_SCHEDULE</vt:lpstr>
      <vt:lpstr>Generic!CAV_1A_SCHEDULE</vt:lpstr>
      <vt:lpstr>CAV_1A_SCHEDULE</vt:lpstr>
      <vt:lpstr>'AHU 1'!Print_Area</vt:lpstr>
      <vt:lpstr>'AHU 2'!Print_Area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Shraddha Patil</cp:lastModifiedBy>
  <cp:lastPrinted>2023-01-21T17:53:48Z</cp:lastPrinted>
  <dcterms:created xsi:type="dcterms:W3CDTF">2001-05-17T15:02:58Z</dcterms:created>
  <dcterms:modified xsi:type="dcterms:W3CDTF">2023-01-22T04:54:40Z</dcterms:modified>
  <cp:category/>
</cp:coreProperties>
</file>