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 Projects\PsychroCalc\"/>
    </mc:Choice>
  </mc:AlternateContent>
  <xr:revisionPtr revIDLastSave="0" documentId="13_ncr:1_{ED1854D4-5F22-43F6-9834-A605192AE2F2}" xr6:coauthVersionLast="47" xr6:coauthVersionMax="47" xr10:uidLastSave="{00000000-0000-0000-0000-000000000000}"/>
  <bookViews>
    <workbookView xWindow="-108" yWindow="-108" windowWidth="23256" windowHeight="13896" xr2:uid="{39F4179F-5A6E-494D-A56B-F2419FDDBD16}"/>
  </bookViews>
  <sheets>
    <sheet name="AH11_CAV_SCHEDULES" sheetId="2" r:id="rId1"/>
    <sheet name="Sheet1" sheetId="1" r:id="rId2"/>
  </sheets>
  <externalReferences>
    <externalReference r:id="rId3"/>
  </externalReferences>
  <definedNames>
    <definedName name="_CAV1">#REF!</definedName>
    <definedName name="_CAV1.">#REF!</definedName>
    <definedName name="_CAV2">#REF!</definedName>
    <definedName name="_CAV3">#REF!</definedName>
    <definedName name="_CAV4">#REF!</definedName>
    <definedName name="AHU_1AC_AV">#REF!</definedName>
    <definedName name="CAV_1A_SCHEDULE">#REF!</definedName>
    <definedName name="CAV_1B_SCHEDULE">#REF!</definedName>
    <definedName name="CAV_1C_SCHEDULE">#REF!</definedName>
    <definedName name="CAV_2_SCHEDULE">#REF!</definedName>
    <definedName name="CAV_3_SCHEDULE">#REF!</definedName>
    <definedName name="FCU">#REF!</definedName>
    <definedName name="VENTILATION_SCHEDULE_AHU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K6" i="2" s="1"/>
  <c r="L6" i="2" s="1"/>
  <c r="M6" i="2" s="1"/>
  <c r="Q6" i="2"/>
  <c r="P6" i="2"/>
  <c r="N6" i="2"/>
  <c r="J6" i="2"/>
  <c r="I6" i="2"/>
  <c r="H6" i="2"/>
  <c r="G6" i="2"/>
  <c r="F6" i="2"/>
  <c r="E6" i="2"/>
  <c r="O6" i="2" s="1"/>
  <c r="P5" i="2"/>
  <c r="H5" i="2"/>
  <c r="G5" i="2"/>
  <c r="D5" i="2" l="1"/>
  <c r="K5" i="2" l="1"/>
  <c r="E5" i="2"/>
  <c r="O5" i="2" s="1"/>
  <c r="K7" i="2" l="1"/>
  <c r="L5" i="2"/>
  <c r="M5" i="2" s="1"/>
  <c r="M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tc={52A27669-F117-4E17-86A8-9CF9A901CDA3}</author>
  </authors>
  <commentList>
    <comment ref="A4" authorId="0" shapeId="0" xr:uid="{52A27669-F117-4E17-86A8-9CF9A901CDA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or decrease number of rows in this table to match the number of zones.</t>
      </text>
    </comment>
  </commentList>
</comments>
</file>

<file path=xl/sharedStrings.xml><?xml version="1.0" encoding="utf-8"?>
<sst xmlns="http://schemas.openxmlformats.org/spreadsheetml/2006/main" count="25" uniqueCount="23">
  <si>
    <t>ZONE</t>
  </si>
  <si>
    <t>BASIS OF DESIGN 
MANUFACTURER</t>
  </si>
  <si>
    <t>DESCRIPTION</t>
  </si>
  <si>
    <t>CFM</t>
  </si>
  <si>
    <t>CAV INLET SIZE</t>
  </si>
  <si>
    <t>MAX TOTAL CAV PD 
(IN W.G.)</t>
  </si>
  <si>
    <t>EWT</t>
  </si>
  <si>
    <t>DESIGN 
LWT</t>
  </si>
  <si>
    <t>EAT</t>
  </si>
  <si>
    <t>DESIGN 
LAT</t>
  </si>
  <si>
    <t>MIN MBH</t>
  </si>
  <si>
    <t>AGPM</t>
  </si>
  <si>
    <t>GPM</t>
  </si>
  <si>
    <t>MAX WATER 
PD (FT)</t>
  </si>
  <si>
    <t>OPER 
WEIGHT
(LBS)</t>
  </si>
  <si>
    <t>MTG 
DETAIL</t>
  </si>
  <si>
    <t>REMARKS</t>
  </si>
  <si>
    <t>CAV-1-01</t>
  </si>
  <si>
    <t>TITUS</t>
  </si>
  <si>
    <t>SINGLE DUCT REHEAT ZONE</t>
  </si>
  <si>
    <t>1, 2</t>
  </si>
  <si>
    <t>CAV-1-02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</si>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</sst>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2"/>
      <color rgb="FF00B050"/>
      <name val="Calibri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0" borderId="0" xfId="1"/>
    <xf numFmtId="0" fontId="3" fillId="0" borderId="1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3" fillId="0" borderId="3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/>
      <protection locked="0"/>
    </xf>
    <xf numFmtId="164" fontId="4" fillId="0" borderId="3" xfId="1" applyNumberFormat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FA5EAF1C-273A-472A-A555-49CF3468E9E1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2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335280</xdr:colOff>
          <xdr:row>0</xdr:row>
          <xdr:rowOff>76200</xdr:rowOff>
        </xdr:from>
        <xdr:to>
          <xdr:col>1</xdr:col>
          <xdr:colOff>876300</xdr:colOff>
          <xdr:row>2</xdr:row>
          <xdr:rowOff>106680</xdr:rowOff>
        </xdr:to>
        <xdr:sp macro="" textlink="">
          <xdr:nvSpPr>
            <xdr:cNvPr id="2049" name="Button 1" descr="HUMIDIFICATION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97841501-38D8-4E97-9F68-1207EF01D8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B050"/>
                  </a:solidFill>
                  <a:latin typeface="Calibri"/>
                  <a:ea typeface="Calibri"/>
                  <a:cs typeface="Calibri"/>
                </a:rPr>
                <a:t>ADD ROWS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%20Projects\PsychroCalc\AHU%20Calc%20Sheet.xlsm" TargetMode="External"/><Relationship Id="rId1" Type="http://schemas.openxmlformats.org/officeDocument/2006/relationships/externalLinkPath" Target="AHU%20Calc%20She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_OUTPUTS"/>
      <sheetName val="Humidifier_Schedule"/>
      <sheetName val="AshraeTable4a"/>
      <sheetName val="CAV_SCHEDULES"/>
      <sheetName val="62.1_MULTI_ZONE"/>
      <sheetName val="VAV_SCHEDULES"/>
      <sheetName val="Room Temperature"/>
      <sheetName val="AH11"/>
      <sheetName val="AHU_SCHEDULES"/>
      <sheetName val="62.1_SINGLE_ZONE"/>
      <sheetName val="CH_and_Boiler_Schedule "/>
      <sheetName val="Misc_Rooms"/>
      <sheetName val="FCU_SCHEDULES"/>
      <sheetName val="ASHRAE Table"/>
      <sheetName val="UMC Table 4-A"/>
      <sheetName val="DO NOT TOUCH"/>
    </sheetNames>
    <definedNames>
      <definedName name="AddRowsToTableWithUserInput"/>
    </definedNames>
    <sheetDataSet>
      <sheetData sheetId="0">
        <row r="16">
          <cell r="C16">
            <v>140</v>
          </cell>
        </row>
        <row r="17">
          <cell r="C17">
            <v>110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">
          <cell r="C9">
            <v>1</v>
          </cell>
          <cell r="D9">
            <v>6</v>
          </cell>
          <cell r="E9">
            <v>30</v>
          </cell>
        </row>
        <row r="10">
          <cell r="C10">
            <v>400</v>
          </cell>
          <cell r="D10">
            <v>8</v>
          </cell>
          <cell r="E10">
            <v>30</v>
          </cell>
        </row>
        <row r="11">
          <cell r="C11">
            <v>700</v>
          </cell>
          <cell r="D11">
            <v>10</v>
          </cell>
          <cell r="E11">
            <v>35</v>
          </cell>
        </row>
        <row r="12">
          <cell r="C12">
            <v>1000</v>
          </cell>
          <cell r="D12">
            <v>12</v>
          </cell>
          <cell r="E12">
            <v>45</v>
          </cell>
        </row>
        <row r="13">
          <cell r="C13">
            <v>1500</v>
          </cell>
          <cell r="D13">
            <v>14</v>
          </cell>
          <cell r="E13">
            <v>55</v>
          </cell>
        </row>
        <row r="14">
          <cell r="C14">
            <v>2100</v>
          </cell>
          <cell r="D14">
            <v>16</v>
          </cell>
          <cell r="E14">
            <v>60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ushikesh Patil" id="{FF1B84F7-8A45-40B5-9A0B-1BDF7DD09D33}" userId="S::rdp352@nyu.edu::e20300c4-5136-4b7e-8e5f-b0b27a3a319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C7E2B-85E4-4865-A305-45E11F7855BA}" name="AH11_CAV_table" displayName="AH11_CAV_table" ref="A4:Q7" totalsRowCount="1" headerRowDxfId="39" dataDxfId="38" totalsRowDxfId="37" headerRowBorderDxfId="35" tableBorderDxfId="36" totalsRowBorderDxfId="34">
  <autoFilter ref="A4:Q6" xr:uid="{2A2B6BA6-0EAB-2349-A085-FD569408EC9D}"/>
  <tableColumns count="17">
    <tableColumn id="1" xr3:uid="{31960E7A-6D30-4107-B8EA-C4A29C1C36E8}" name="ZONE" totalsRowLabel="Total" dataDxfId="33" totalsRowDxfId="16" totalsRowCellStyle="Normal 2"/>
    <tableColumn id="2" xr3:uid="{052C26A6-698D-4888-98DE-59C4A0357C61}" name="BASIS OF DESIGN _x000a_MANUFACTURER" dataDxfId="32" totalsRowDxfId="15" totalsRowCellStyle="Normal 2"/>
    <tableColumn id="3" xr3:uid="{B3303B0A-0E89-4CCE-B4CA-F3D8BBF28A6C}" name="DESCRIPTION" dataDxfId="31" totalsRowDxfId="14" totalsRowCellStyle="Normal 2"/>
    <tableColumn id="4" xr3:uid="{7994DCC2-CF4C-4AD6-A8F1-3FA15B7EF032}" name="CFM" dataDxfId="30" totalsRowDxfId="13" totalsRowCellStyle="Normal 2">
      <calculatedColumnFormula>SUMIF([1]!TABLE4A4398[ZONE],AH11_CAV_table[[#This Row],[ZONE]],[1]!TABLE4A4398[DESIGN SA (CFM)])</calculatedColumnFormula>
    </tableColumn>
    <tableColumn id="5" xr3:uid="{E3797648-D408-41E3-B52F-180E15A4146F}" name="CAV INLET SIZE" dataDxfId="29" totalsRowDxfId="12" totalsRowCellStyle="Normal 2">
      <calculatedColumnFormula>IFERROR((VLOOKUP(D5,'[1]DO NOT TOUCH'!$C$9:$D$14,2,TRUE)),"TBD")</calculatedColumnFormula>
    </tableColumn>
    <tableColumn id="6" xr3:uid="{4856FF0A-9642-4AF9-90A3-537F1B8F1830}" name="MAX TOTAL CAV PD _x000a_(IN W.G.)" dataDxfId="28" totalsRowDxfId="11" totalsRowCellStyle="Normal 2">
      <calculatedColumnFormula>F4</calculatedColumnFormula>
    </tableColumn>
    <tableColumn id="7" xr3:uid="{5F523B27-A4F5-4574-BECF-D824E20DA54F}" name="EWT" dataDxfId="27" totalsRowDxfId="10" totalsRowCellStyle="Normal 2">
      <calculatedColumnFormula>[1]INPUT_OUTPUTS!$C$16</calculatedColumnFormula>
    </tableColumn>
    <tableColumn id="8" xr3:uid="{B43F1306-7BF6-452A-AA5B-9751FEF0C406}" name="DESIGN _x000a_LWT" dataDxfId="26" totalsRowDxfId="9" totalsRowCellStyle="Normal 2">
      <calculatedColumnFormula>[1]INPUT_OUTPUTS!$C$17</calculatedColumnFormula>
    </tableColumn>
    <tableColumn id="9" xr3:uid="{2AB48A80-68F1-47D9-A8D7-6FFD186D8AF8}" name="EAT" dataDxfId="25" totalsRowDxfId="8" totalsRowCellStyle="Normal 2">
      <calculatedColumnFormula>I4</calculatedColumnFormula>
    </tableColumn>
    <tableColumn id="10" xr3:uid="{D44FE3E3-A7A6-4A5F-8353-254BB7C2F591}" name="DESIGN _x000a_LAT" dataDxfId="24" totalsRowDxfId="7" totalsRowCellStyle="Normal 2">
      <calculatedColumnFormula>J4</calculatedColumnFormula>
    </tableColumn>
    <tableColumn id="11" xr3:uid="{D686E94D-C072-4D9D-8782-3E5855246CFA}" name="MIN MBH" totalsRowFunction="sum" dataDxfId="23" totalsRowDxfId="6" totalsRowCellStyle="Normal 2">
      <calculatedColumnFormula>MROUND((1.08*(J5-I5)*D5)/1000,0.1)</calculatedColumnFormula>
    </tableColumn>
    <tableColumn id="12" xr3:uid="{4DB34323-7423-4213-A7DC-0F1B517C80D2}" name="AGPM" dataDxfId="22" totalsRowDxfId="5" totalsRowCellStyle="Normal 2">
      <calculatedColumnFormula>(K5*1000)/(500*(G5-H5))</calculatedColumnFormula>
    </tableColumn>
    <tableColumn id="13" xr3:uid="{DB14E1C2-9B67-49A1-B20F-A29A6CC61DE0}" name="GPM" totalsRowFunction="sum" dataDxfId="21" totalsRowDxfId="4" totalsRowCellStyle="Normal 2">
      <calculatedColumnFormula>IF(L5&lt;0.5,0.5,L5)</calculatedColumnFormula>
    </tableColumn>
    <tableColumn id="14" xr3:uid="{5E70F2C7-940F-4EEE-9244-A2F444AA14F5}" name="MAX WATER _x000a_PD (FT)" dataDxfId="20" totalsRowDxfId="3" totalsRowCellStyle="Normal 2">
      <calculatedColumnFormula>N4</calculatedColumnFormula>
    </tableColumn>
    <tableColumn id="15" xr3:uid="{A1B4D28D-F4F5-4A83-99DF-9274A1B952E1}" name="OPER _x000a_WEIGHT_x000a_(LBS)" dataDxfId="19" totalsRowDxfId="2" totalsRowCellStyle="Normal 2">
      <calculatedColumnFormula>IFERROR((_xlfn.XLOOKUP(E5,'[1]DO NOT TOUCH'!$D$9:$D$14,'[1]DO NOT TOUCH'!$E$9:$E$14,)),"TBD")</calculatedColumnFormula>
    </tableColumn>
    <tableColumn id="16" xr3:uid="{AAFA6998-B808-4C35-9537-1A829A818130}" name="MTG _x000a_DETAIL" dataDxfId="18" totalsRowDxfId="1" totalsRowCellStyle="Normal 2">
      <calculatedColumnFormula>[1]INPUT_OUTPUTS!$C$19</calculatedColumnFormula>
    </tableColumn>
    <tableColumn id="17" xr3:uid="{EC6CD023-6D5D-4A9A-A23B-9908F437C66D}" name="REMARKS" dataDxfId="17" totalsRowDxfId="0" totalsRowCellStyle="Normal 2">
      <calculatedColumnFormula>Q4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3-01-20T03:02:14.75" personId="{FF1B84F7-8A45-40B5-9A0B-1BDF7DD09D33}" id="{52A27669-F117-4E17-86A8-9CF9A901CDA3}">
    <text>Increase or decrease number of rows in this table to match the number of zones.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01AA1-4F19-40A3-A528-AF7B30EA9117}">
  <sheetPr codeName="Sheet8">
    <tabColor rgb="FF0000FF"/>
  </sheetPr>
  <dimension ref="A4:Q7"/>
  <sheetViews>
    <sheetView showGridLines="0" showRowColHeaders="0" tabSelected="1" workbookViewId="0">
      <selection activeCell="D16" sqref="D16"/>
    </sheetView>
  </sheetViews>
  <sheetFormatPr defaultRowHeight="13.2" x14ac:dyDescent="0.25"/>
  <cols>
    <col min="1" max="1" width="11.44140625" style="2" bestFit="1" customWidth="1"/>
    <col min="2" max="2" width="22.33203125" style="2" customWidth="1"/>
    <col min="3" max="3" width="38.44140625" style="2" customWidth="1"/>
    <col min="4" max="4" width="10.21875" style="2" bestFit="1" customWidth="1"/>
    <col min="5" max="5" width="11.77734375" style="2" bestFit="1" customWidth="1"/>
    <col min="6" max="6" width="19.6640625" style="2" customWidth="1"/>
    <col min="7" max="7" width="10.44140625" style="2" bestFit="1" customWidth="1"/>
    <col min="8" max="8" width="12.21875" style="2" bestFit="1" customWidth="1"/>
    <col min="9" max="9" width="9.77734375" style="2" bestFit="1" customWidth="1"/>
    <col min="10" max="10" width="12.21875" style="2" bestFit="1" customWidth="1"/>
    <col min="11" max="11" width="10.44140625" style="2" bestFit="1" customWidth="1"/>
    <col min="12" max="12" width="12" style="2" bestFit="1" customWidth="1"/>
    <col min="13" max="13" width="10.5546875" style="2" bestFit="1" customWidth="1"/>
    <col min="14" max="14" width="11.88671875" style="2" bestFit="1" customWidth="1"/>
    <col min="15" max="15" width="12.88671875" style="2" bestFit="1" customWidth="1"/>
    <col min="16" max="16" width="13.21875" style="2" bestFit="1" customWidth="1"/>
    <col min="17" max="17" width="13.33203125" style="2" bestFit="1" customWidth="1"/>
    <col min="18" max="16384" width="8.88671875" style="2"/>
  </cols>
  <sheetData>
    <row r="4" spans="1:17" ht="4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 ht="15" x14ac:dyDescent="0.25">
      <c r="A5" s="3" t="s">
        <v>17</v>
      </c>
      <c r="B5" s="3" t="s">
        <v>18</v>
      </c>
      <c r="C5" s="3" t="s">
        <v>19</v>
      </c>
      <c r="D5" s="4">
        <f ca="1">SUMIF([1]!AH11Table4a_Ashrae[ZONE],AH11_CAV_table[[#This Row],[ZONE]],[1]!AH11Table4a_Ashrae[DESIGN SA (CFM)])</f>
        <v>9500</v>
      </c>
      <c r="E5" s="4">
        <f ca="1">IFERROR((VLOOKUP(D5,'[1]DO NOT TOUCH'!$C$9:$D$14,2,TRUE)),"TBD")</f>
        <v>16</v>
      </c>
      <c r="F5" s="4">
        <v>0.5</v>
      </c>
      <c r="G5" s="4">
        <f>[1]INPUT_OUTPUTS!$C$16</f>
        <v>140</v>
      </c>
      <c r="H5" s="4">
        <f>[1]INPUT_OUTPUTS!$C$17</f>
        <v>110</v>
      </c>
      <c r="I5" s="4">
        <v>55</v>
      </c>
      <c r="J5" s="4">
        <v>85</v>
      </c>
      <c r="K5" s="4">
        <f ca="1">MROUND((1.08*(J5-I5)*D5)/1000,0.1)</f>
        <v>307.8</v>
      </c>
      <c r="L5" s="5">
        <f ca="1">(K5*1000)/(500*(G5-H5))</f>
        <v>20.52</v>
      </c>
      <c r="M5" s="5">
        <f ca="1">IF(L5&lt;0.5,0.5,L5)</f>
        <v>20.52</v>
      </c>
      <c r="N5" s="5">
        <v>5</v>
      </c>
      <c r="O5" s="5">
        <f ca="1">IFERROR((_xlfn.XLOOKUP(E5,'[1]DO NOT TOUCH'!$D$9:$D$14,'[1]DO NOT TOUCH'!$E$9:$E$14,)),"TBD")</f>
        <v>60</v>
      </c>
      <c r="P5" s="5">
        <f>[1]INPUT_OUTPUTS!$C$19</f>
        <v>0</v>
      </c>
      <c r="Q5" s="4" t="s">
        <v>20</v>
      </c>
    </row>
    <row r="6" spans="1:17" ht="15" x14ac:dyDescent="0.25">
      <c r="A6" s="3" t="s">
        <v>21</v>
      </c>
      <c r="B6" s="3" t="s">
        <v>18</v>
      </c>
      <c r="C6" s="3" t="s">
        <v>19</v>
      </c>
      <c r="D6" s="4">
        <f>SUMIF([1]!AH11Table4a_Ashrae[ZONE],AH11_CAV_table[[#This Row],[ZONE]],[1]!AH11Table4a_Ashrae[DESIGN SA (CFM)])</f>
        <v>0</v>
      </c>
      <c r="E6" s="4" t="str">
        <f>IFERROR((VLOOKUP(D6,'[1]DO NOT TOUCH'!$C$9:$D$14,2,TRUE)),"TBD")</f>
        <v>TBD</v>
      </c>
      <c r="F6" s="4">
        <f>F5</f>
        <v>0.5</v>
      </c>
      <c r="G6" s="4">
        <f>[1]INPUT_OUTPUTS!$C$16</f>
        <v>140</v>
      </c>
      <c r="H6" s="4">
        <f>[1]INPUT_OUTPUTS!$C$17</f>
        <v>110</v>
      </c>
      <c r="I6" s="4">
        <f>I5</f>
        <v>55</v>
      </c>
      <c r="J6" s="4">
        <f>J5</f>
        <v>85</v>
      </c>
      <c r="K6" s="4">
        <f>MROUND((1.08*(J6-I6)*D6)/1000,0.1)</f>
        <v>0</v>
      </c>
      <c r="L6" s="5">
        <f>(K6*1000)/(500*(G6-H6))</f>
        <v>0</v>
      </c>
      <c r="M6" s="5">
        <f>IF(L6&lt;0.5,0.5,L6)</f>
        <v>0.5</v>
      </c>
      <c r="N6" s="5">
        <f>N5</f>
        <v>5</v>
      </c>
      <c r="O6" s="5" t="str">
        <f>IFERROR((_xlfn.XLOOKUP(E6,'[1]DO NOT TOUCH'!$D$9:$D$14,'[1]DO NOT TOUCH'!$E$9:$E$14,)),"TBD")</f>
        <v>TBD</v>
      </c>
      <c r="P6" s="5">
        <f>[1]INPUT_OUTPUTS!$C$19</f>
        <v>0</v>
      </c>
      <c r="Q6" s="4" t="str">
        <f>Q5</f>
        <v>1, 2</v>
      </c>
    </row>
    <row r="7" spans="1:17" ht="15" x14ac:dyDescent="0.25">
      <c r="A7" s="6" t="s">
        <v>22</v>
      </c>
      <c r="B7" s="7"/>
      <c r="C7" s="7"/>
      <c r="D7" s="8"/>
      <c r="E7" s="8"/>
      <c r="F7" s="8"/>
      <c r="G7" s="8"/>
      <c r="H7" s="8"/>
      <c r="I7" s="8"/>
      <c r="J7" s="8"/>
      <c r="K7" s="8">
        <f ca="1">SUBTOTAL(109,AH11_CAV_table[MIN MBH])</f>
        <v>307.8</v>
      </c>
      <c r="L7" s="8"/>
      <c r="M7" s="9">
        <f ca="1">SUBTOTAL(109,AH11_CAV_table[GPM])</f>
        <v>21.02</v>
      </c>
      <c r="N7" s="8"/>
      <c r="O7" s="8"/>
      <c r="P7" s="8"/>
      <c r="Q7" s="10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AddRowsToTableWithUserInput" altText="HUMIDIFICATION">
                <anchor moveWithCells="1" sizeWithCells="1">
                  <from>
                    <xdr:col>0</xdr:col>
                    <xdr:colOff>335280</xdr:colOff>
                    <xdr:row>0</xdr:row>
                    <xdr:rowOff>76200</xdr:rowOff>
                  </from>
                  <to>
                    <xdr:col>1</xdr:col>
                    <xdr:colOff>876300</xdr:colOff>
                    <xdr:row>2</xdr:row>
                    <xdr:rowOff>106680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4231-DDF3-4479-9D20-54F1D7B763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AH11_CAV_SCHEDULES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Patil</dc:creator>
  <cp:lastModifiedBy>Rushikesh Patil</cp:lastModifiedBy>
  <dcterms:created xsi:type="dcterms:W3CDTF">2024-05-06T19:24:13Z</dcterms:created>
  <dcterms:modified xsi:type="dcterms:W3CDTF">2024-05-06T19:24:13Z</dcterms:modified>
</cp:coreProperties>
</file>