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 Projects\PsychroCalc\"/>
    </mc:Choice>
  </mc:AlternateContent>
  <xr:revisionPtr revIDLastSave="0" documentId="13_ncr:1_{3B90C051-37CF-4B7C-9579-ADE7C505F88A}" xr6:coauthVersionLast="47" xr6:coauthVersionMax="47" xr10:uidLastSave="{00000000-0000-0000-0000-000000000000}"/>
  <bookViews>
    <workbookView xWindow="768" yWindow="768" windowWidth="25224" windowHeight="15372" xr2:uid="{FEA30A23-4686-4E04-97C6-A99903D72D45}"/>
  </bookViews>
  <sheets>
    <sheet name="AH1_VAV_SCHEDULES" sheetId="2" r:id="rId1"/>
    <sheet name="Sheet1" sheetId="1" r:id="rId2"/>
  </sheets>
  <externalReferences>
    <externalReference r:id="rId3"/>
  </externalReferences>
  <definedNames>
    <definedName name="_CAV1">#REF!</definedName>
    <definedName name="_CAV1.">#REF!</definedName>
    <definedName name="_CAV2">#REF!</definedName>
    <definedName name="_CAV3">#REF!</definedName>
    <definedName name="_CAV4">#REF!</definedName>
    <definedName name="AHU_1AC_AV">#REF!</definedName>
    <definedName name="CAV_1A_SCHEDULE">#REF!</definedName>
    <definedName name="CAV_1B_SCHEDULE">#REF!</definedName>
    <definedName name="CAV_1C_SCHEDULE">#REF!</definedName>
    <definedName name="CAV_2_SCHEDULE">#REF!</definedName>
    <definedName name="CAV_3_SCHEDULE">#REF!</definedName>
    <definedName name="FCU">#REF!</definedName>
    <definedName name="Space_air_rates">#REF!</definedName>
    <definedName name="Space_index">#REF!</definedName>
    <definedName name="VAV" localSheetId="0">AH1_VAV_table[[#All],[DESCRIPTION]:[REMARKS]]</definedName>
    <definedName name="VENTILATION_SCHEDULE_AHU_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" i="2" l="1"/>
  <c r="J22" i="2"/>
  <c r="I22" i="2"/>
  <c r="R21" i="2"/>
  <c r="J21" i="2"/>
  <c r="I21" i="2"/>
  <c r="R20" i="2"/>
  <c r="J20" i="2"/>
  <c r="I20" i="2"/>
  <c r="R19" i="2"/>
  <c r="J19" i="2"/>
  <c r="I19" i="2"/>
  <c r="R18" i="2"/>
  <c r="J18" i="2"/>
  <c r="I18" i="2"/>
  <c r="R17" i="2"/>
  <c r="J17" i="2"/>
  <c r="I17" i="2"/>
  <c r="R16" i="2"/>
  <c r="J16" i="2"/>
  <c r="I16" i="2"/>
  <c r="R15" i="2"/>
  <c r="J15" i="2"/>
  <c r="I15" i="2"/>
  <c r="R14" i="2"/>
  <c r="J14" i="2"/>
  <c r="I14" i="2"/>
  <c r="R13" i="2"/>
  <c r="J13" i="2"/>
  <c r="I13" i="2"/>
  <c r="R12" i="2"/>
  <c r="J12" i="2"/>
  <c r="I12" i="2"/>
  <c r="R11" i="2"/>
  <c r="J11" i="2"/>
  <c r="I11" i="2"/>
  <c r="R10" i="2"/>
  <c r="J10" i="2"/>
  <c r="I10" i="2"/>
  <c r="R9" i="2"/>
  <c r="J9" i="2"/>
  <c r="I9" i="2"/>
  <c r="R8" i="2"/>
  <c r="J8" i="2"/>
  <c r="I8" i="2"/>
  <c r="R7" i="2"/>
  <c r="J7" i="2"/>
  <c r="I7" i="2"/>
  <c r="S6" i="2" l="1"/>
  <c r="R6" i="2"/>
  <c r="P6" i="2"/>
  <c r="L6" i="2"/>
  <c r="K6" i="2"/>
  <c r="J6" i="2"/>
  <c r="I6" i="2"/>
  <c r="G6" i="2"/>
  <c r="R5" i="2"/>
  <c r="J5" i="2"/>
  <c r="I5" i="2"/>
  <c r="E22" i="2" l="1"/>
  <c r="F22" i="2" s="1"/>
  <c r="Q22" i="2" s="1"/>
  <c r="E21" i="2"/>
  <c r="F21" i="2" s="1"/>
  <c r="Q21" i="2" s="1"/>
  <c r="E18" i="2"/>
  <c r="F18" i="2" s="1"/>
  <c r="Q18" i="2" s="1"/>
  <c r="E19" i="2"/>
  <c r="F19" i="2" s="1"/>
  <c r="Q19" i="2" s="1"/>
  <c r="E6" i="2" l="1"/>
  <c r="F6" i="2" s="1"/>
  <c r="Q6" i="2" s="1"/>
  <c r="D22" i="2"/>
  <c r="H22" i="2" s="1"/>
  <c r="M22" i="2" s="1"/>
  <c r="N22" i="2" s="1"/>
  <c r="O22" i="2" s="1"/>
  <c r="D21" i="2"/>
  <c r="H21" i="2" s="1"/>
  <c r="M21" i="2" s="1"/>
  <c r="N21" i="2" s="1"/>
  <c r="O21" i="2" s="1"/>
  <c r="E16" i="2"/>
  <c r="F16" i="2" s="1"/>
  <c r="Q16" i="2" s="1"/>
  <c r="E8" i="2"/>
  <c r="F8" i="2" s="1"/>
  <c r="Q8" i="2" s="1"/>
  <c r="E20" i="2"/>
  <c r="F20" i="2" s="1"/>
  <c r="Q20" i="2" s="1"/>
  <c r="E10" i="2"/>
  <c r="F10" i="2" s="1"/>
  <c r="Q10" i="2" s="1"/>
  <c r="D19" i="2"/>
  <c r="H19" i="2" s="1"/>
  <c r="M19" i="2" s="1"/>
  <c r="N19" i="2" s="1"/>
  <c r="O19" i="2" s="1"/>
  <c r="E14" i="2"/>
  <c r="F14" i="2" s="1"/>
  <c r="Q14" i="2" s="1"/>
  <c r="E15" i="2"/>
  <c r="F15" i="2" s="1"/>
  <c r="Q15" i="2" s="1"/>
  <c r="D18" i="2"/>
  <c r="H18" i="2" s="1"/>
  <c r="M18" i="2" s="1"/>
  <c r="N18" i="2" s="1"/>
  <c r="O18" i="2" s="1"/>
  <c r="E13" i="2"/>
  <c r="F13" i="2" s="1"/>
  <c r="Q13" i="2" s="1"/>
  <c r="E9" i="2"/>
  <c r="F9" i="2" s="1"/>
  <c r="Q9" i="2" s="1"/>
  <c r="E12" i="2"/>
  <c r="F12" i="2" s="1"/>
  <c r="Q12" i="2" s="1"/>
  <c r="E7" i="2"/>
  <c r="F7" i="2" s="1"/>
  <c r="Q7" i="2" s="1"/>
  <c r="D20" i="2" l="1"/>
  <c r="H20" i="2" s="1"/>
  <c r="M20" i="2" s="1"/>
  <c r="N20" i="2" s="1"/>
  <c r="O20" i="2" s="1"/>
  <c r="D9" i="2"/>
  <c r="H9" i="2" s="1"/>
  <c r="M9" i="2" s="1"/>
  <c r="N9" i="2" s="1"/>
  <c r="O9" i="2" s="1"/>
  <c r="D6" i="2"/>
  <c r="H6" i="2" s="1"/>
  <c r="M6" i="2" s="1"/>
  <c r="N6" i="2" s="1"/>
  <c r="O6" i="2" s="1"/>
  <c r="E11" i="2"/>
  <c r="F11" i="2" s="1"/>
  <c r="Q11" i="2" s="1"/>
  <c r="D16" i="2"/>
  <c r="H16" i="2" s="1"/>
  <c r="M16" i="2" s="1"/>
  <c r="N16" i="2" s="1"/>
  <c r="O16" i="2" s="1"/>
  <c r="D15" i="2"/>
  <c r="H15" i="2" s="1"/>
  <c r="M15" i="2" s="1"/>
  <c r="N15" i="2" s="1"/>
  <c r="O15" i="2" s="1"/>
  <c r="D10" i="2"/>
  <c r="H10" i="2" s="1"/>
  <c r="M10" i="2" s="1"/>
  <c r="N10" i="2" s="1"/>
  <c r="O10" i="2" s="1"/>
  <c r="D7" i="2"/>
  <c r="H7" i="2" s="1"/>
  <c r="M7" i="2" s="1"/>
  <c r="N7" i="2" s="1"/>
  <c r="O7" i="2" s="1"/>
  <c r="E5" i="2"/>
  <c r="F5" i="2" s="1"/>
  <c r="Q5" i="2" s="1"/>
  <c r="D13" i="2"/>
  <c r="H13" i="2" s="1"/>
  <c r="M13" i="2" s="1"/>
  <c r="N13" i="2" s="1"/>
  <c r="O13" i="2" s="1"/>
  <c r="D14" i="2"/>
  <c r="H14" i="2" s="1"/>
  <c r="M14" i="2" s="1"/>
  <c r="N14" i="2" s="1"/>
  <c r="O14" i="2" s="1"/>
  <c r="D8" i="2"/>
  <c r="H8" i="2" s="1"/>
  <c r="M8" i="2" s="1"/>
  <c r="N8" i="2" s="1"/>
  <c r="O8" i="2" s="1"/>
  <c r="E17" i="2"/>
  <c r="F17" i="2" s="1"/>
  <c r="Q17" i="2" s="1"/>
  <c r="D12" i="2"/>
  <c r="H12" i="2" s="1"/>
  <c r="M12" i="2" s="1"/>
  <c r="N12" i="2" s="1"/>
  <c r="O12" i="2" s="1"/>
  <c r="D11" i="2" l="1"/>
  <c r="H11" i="2" s="1"/>
  <c r="M11" i="2" s="1"/>
  <c r="N11" i="2" s="1"/>
  <c r="O11" i="2" s="1"/>
  <c r="D17" i="2"/>
  <c r="H17" i="2" s="1"/>
  <c r="M17" i="2" s="1"/>
  <c r="N17" i="2" s="1"/>
  <c r="O17" i="2" s="1"/>
  <c r="D5" i="2"/>
  <c r="H5" i="2" s="1"/>
  <c r="M5" i="2" s="1"/>
  <c r="M23" i="2" l="1"/>
  <c r="N5" i="2"/>
  <c r="O5" i="2" s="1"/>
  <c r="O2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tc={6FDB9193-F9C1-4957-B5F3-4D0863FD0B0F}</author>
  </authors>
  <commentList>
    <comment ref="A4" authorId="0" shapeId="0" xr:uid="{6FDB9193-F9C1-4957-B5F3-4D0863FD0B0F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or decrease number of rows in this table to match the number of zones.</t>
      </text>
    </comment>
  </commentList>
</comments>
</file>

<file path=xl/sharedStrings.xml><?xml version="1.0" encoding="utf-8"?>
<sst xmlns="http://schemas.openxmlformats.org/spreadsheetml/2006/main" count="91" uniqueCount="41">
  <si>
    <t>ZONE</t>
  </si>
  <si>
    <t>BASIS OF DESIGN 
MANUFACTURER</t>
  </si>
  <si>
    <t>DESCRIPTION</t>
  </si>
  <si>
    <t>MIN VAV
(CFM)</t>
  </si>
  <si>
    <t>MAX VAV
(CFM)</t>
  </si>
  <si>
    <t>VAV INLET SIZE
(IN)</t>
  </si>
  <si>
    <t>MAX TOTAL VAV PD 
(IN W.G.)</t>
  </si>
  <si>
    <t>HEATING AIRFLOW 
(CFM)</t>
  </si>
  <si>
    <t>EWT</t>
  </si>
  <si>
    <t>DESIGN 
LWT</t>
  </si>
  <si>
    <t>EAT</t>
  </si>
  <si>
    <t>DESIGN 
LAT</t>
  </si>
  <si>
    <t>MIN MBH</t>
  </si>
  <si>
    <t>AGPM</t>
  </si>
  <si>
    <t>GPM</t>
  </si>
  <si>
    <t>MAX WATER 
PD (FT)</t>
  </si>
  <si>
    <t>OPER 
WEIGHT
(LBS)</t>
  </si>
  <si>
    <t>MTG 
DETAIL</t>
  </si>
  <si>
    <t>REMARKS</t>
  </si>
  <si>
    <t>VAV-1-01</t>
  </si>
  <si>
    <t>TITUS</t>
  </si>
  <si>
    <t>SINGLE DUCT REHEAT ZONE</t>
  </si>
  <si>
    <t>1, 2</t>
  </si>
  <si>
    <t>VAV-1-02</t>
  </si>
  <si>
    <t>Total</t>
  </si>
  <si>
    <t>VAV-1-03</t>
  </si>
  <si>
    <t>VAV-1-04</t>
  </si>
  <si>
    <t>VAV-1-05</t>
  </si>
  <si>
    <t>VAV-1-06</t>
  </si>
  <si>
    <t>VAV-1-07</t>
  </si>
  <si>
    <t>VAV-1-08</t>
  </si>
  <si>
    <t>VAV-1-09</t>
  </si>
  <si>
    <t>VAV-1-10</t>
  </si>
  <si>
    <t>VAV-1-11</t>
  </si>
  <si>
    <t>VAV-1-12</t>
  </si>
  <si>
    <t>VAV-1-13</t>
  </si>
  <si>
    <t>VAV-1-14</t>
  </si>
  <si>
    <t>VAV-1-15</t>
  </si>
  <si>
    <t>VAV-1-16</t>
  </si>
  <si>
    <t>VAV-1-17</t>
  </si>
  <si>
    <t>VAV-1-18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</si>
</sst>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2"/>
      <color rgb="FF00B050"/>
      <name val="Calibri"/>
      <family val="2"/>
    </font>
    <font>
      <sz val="1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2" borderId="1" xfId="1" applyFont="1" applyFill="1" applyBorder="1" applyAlignment="1" applyProtection="1">
      <alignment horizontal="center" vertical="center" wrapText="1"/>
      <protection locked="0"/>
    </xf>
    <xf numFmtId="0" fontId="2" fillId="0" borderId="0" xfId="1"/>
    <xf numFmtId="0" fontId="3" fillId="0" borderId="1" xfId="1" applyFont="1" applyBorder="1" applyAlignment="1" applyProtection="1">
      <alignment horizontal="center" vertical="center"/>
      <protection locked="0"/>
    </xf>
    <xf numFmtId="1" fontId="3" fillId="0" borderId="1" xfId="1" applyNumberFormat="1" applyFont="1" applyBorder="1" applyAlignment="1" applyProtection="1">
      <alignment horizontal="center" vertical="center"/>
      <protection locked="0"/>
    </xf>
    <xf numFmtId="0" fontId="4" fillId="0" borderId="1" xfId="1" applyFont="1" applyBorder="1" applyAlignment="1" applyProtection="1">
      <alignment horizontal="center" vertical="center"/>
      <protection locked="0"/>
    </xf>
    <xf numFmtId="164" fontId="4" fillId="0" borderId="1" xfId="1" applyNumberFormat="1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164" fontId="4" fillId="0" borderId="3" xfId="0" applyNumberFormat="1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561EB819-1ED4-4961-AE32-33B0788CA058}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 outline="0">
        <top style="thin">
          <color rgb="FF000000"/>
        </top>
      </border>
    </dxf>
    <dxf>
      <font>
        <strike val="0"/>
        <outline val="0"/>
        <shadow val="0"/>
        <vertAlign val="baseline"/>
        <sz val="12"/>
        <family val="2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579120</xdr:colOff>
          <xdr:row>0</xdr:row>
          <xdr:rowOff>60960</xdr:rowOff>
        </xdr:from>
        <xdr:to>
          <xdr:col>1</xdr:col>
          <xdr:colOff>1074420</xdr:colOff>
          <xdr:row>2</xdr:row>
          <xdr:rowOff>91440</xdr:rowOff>
        </xdr:to>
        <xdr:sp macro="" textlink="">
          <xdr:nvSpPr>
            <xdr:cNvPr id="2049" name="Button 1" descr="HUMIDIFICATION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200" b="0" i="0" u="none" strike="noStrike" baseline="0">
                  <a:solidFill>
                    <a:srgbClr val="00B050"/>
                  </a:solidFill>
                  <a:latin typeface="Calibri"/>
                  <a:ea typeface="Calibri"/>
                  <a:cs typeface="Calibri"/>
                </a:rPr>
                <a:t>ADD ROWS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Git%20Projects\PsychroCalc\AHU%20Calc%20Sheet.xlsm" TargetMode="External"/><Relationship Id="rId1" Type="http://schemas.openxmlformats.org/officeDocument/2006/relationships/externalLinkPath" Target="AHU%20Calc%20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_OUTPUTS"/>
      <sheetName val="Humidifier_Schedule"/>
      <sheetName val="AshraeTable4a"/>
      <sheetName val="CAV_SCHEDULES"/>
      <sheetName val="62.1_MULTI_ZONE"/>
      <sheetName val="VAV_SCHEDULES"/>
      <sheetName val="Room Temperature"/>
      <sheetName val="AH1"/>
      <sheetName val="AHU_SCHEDULES"/>
      <sheetName val="62.1_SINGLE_ZONE"/>
      <sheetName val="Title_24"/>
      <sheetName val="CH_and_Boiler_Schedule "/>
      <sheetName val="Misc_Rooms"/>
      <sheetName val="FCU_SCHEDULES"/>
      <sheetName val="CALIFORNIA_TABLE"/>
      <sheetName val="ASHRAE Table"/>
      <sheetName val="UMC Table 4-A"/>
      <sheetName val="DO NOT TOUCH"/>
    </sheetNames>
    <definedNames>
      <definedName name="AddRowsToTableWithUserInput"/>
    </definedNames>
    <sheetDataSet>
      <sheetData sheetId="0">
        <row r="16">
          <cell r="C16">
            <v>140</v>
          </cell>
        </row>
        <row r="17">
          <cell r="C17">
            <v>110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9">
          <cell r="C9">
            <v>1</v>
          </cell>
          <cell r="D9">
            <v>6</v>
          </cell>
          <cell r="E9">
            <v>30</v>
          </cell>
        </row>
        <row r="10">
          <cell r="C10">
            <v>400</v>
          </cell>
          <cell r="D10">
            <v>8</v>
          </cell>
          <cell r="E10">
            <v>30</v>
          </cell>
        </row>
        <row r="11">
          <cell r="C11">
            <v>700</v>
          </cell>
          <cell r="D11">
            <v>10</v>
          </cell>
          <cell r="E11">
            <v>35</v>
          </cell>
        </row>
        <row r="12">
          <cell r="C12">
            <v>1000</v>
          </cell>
          <cell r="D12">
            <v>12</v>
          </cell>
          <cell r="E12">
            <v>45</v>
          </cell>
        </row>
        <row r="13">
          <cell r="C13">
            <v>1500</v>
          </cell>
          <cell r="D13">
            <v>14</v>
          </cell>
          <cell r="E13">
            <v>55</v>
          </cell>
        </row>
        <row r="14">
          <cell r="C14">
            <v>2100</v>
          </cell>
          <cell r="D14">
            <v>16</v>
          </cell>
          <cell r="E14">
            <v>60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ushikesh Patil" id="{C5CD77A2-A593-4389-852A-8A0614FACAE6}" userId="S::rdp352@nyu.edu::e20300c4-5136-4b7e-8e5f-b0b27a3a3193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0A3707-679C-44E1-8017-06867ABC8887}" name="AH1_VAV_table" displayName="AH1_VAV_table" ref="A4:S23" totalsRowCount="1" headerRowDxfId="43" dataDxfId="41" totalsRowDxfId="39" headerRowBorderDxfId="42" tableBorderDxfId="40" totalsRowBorderDxfId="38">
  <autoFilter ref="A4:S22" xr:uid="{13D566E9-CE9D-4920-9557-440C01DE1A40}"/>
  <tableColumns count="19">
    <tableColumn id="1" xr3:uid="{8001F64A-B637-471E-874C-04B0F7C75127}" name="ZONE" totalsRowLabel="Total" dataDxfId="37" totalsRowDxfId="36"/>
    <tableColumn id="2" xr3:uid="{A13F6D93-13F4-44AD-8158-8E5621C6E706}" name="BASIS OF DESIGN _x000a_MANUFACTURER" dataDxfId="35" totalsRowDxfId="34"/>
    <tableColumn id="3" xr3:uid="{3309ECD7-ECC1-46D1-9C88-9144FF2DAD2D}" name="DESCRIPTION" dataDxfId="33" totalsRowDxfId="32"/>
    <tableColumn id="18" xr3:uid="{D5F276E9-4CDD-4E56-A0D0-843320A8DEED}" name="MIN VAV_x000a_(CFM)" dataDxfId="31" totalsRowDxfId="30">
      <calculatedColumnFormula>SUMIF([1]!Ahu_Ashrae_Generic[Zone],AH1_VAV_table[[#This Row],[ZONE]],[1]!Ahu_Ashrae_Generic[DESIGN VAV MIN SA(CFM)])</calculatedColumnFormula>
    </tableColumn>
    <tableColumn id="20" xr3:uid="{7DB37756-E803-4A82-87A4-F7ACFEF208C9}" name="MAX VAV_x000a_(CFM)" dataDxfId="29" totalsRowDxfId="28">
      <calculatedColumnFormula>SUMIF([1]!Ahu_Ashrae_Generic[Zone],AH1_VAV_table[[#This Row],[ZONE]],[1]!Ahu_Ashrae_Generic[DESIGN VAV MAX SA(CFM)])</calculatedColumnFormula>
    </tableColumn>
    <tableColumn id="5" xr3:uid="{1761E75F-D322-4793-B494-E2F4F59C30F9}" name="VAV INLET SIZE_x000a_(IN)" dataDxfId="27" totalsRowDxfId="26">
      <calculatedColumnFormula>IFERROR((VLOOKUP(AH1_VAV_table[[#This Row],[MAX VAV
(CFM)]],'[1]DO NOT TOUCH'!$C$9:$D$14,2,TRUE)),"TBD")</calculatedColumnFormula>
    </tableColumn>
    <tableColumn id="6" xr3:uid="{E891CC81-0240-4481-A65C-AB2E009EBC3C}" name="MAX TOTAL VAV PD _x000a_(IN W.G.)" dataDxfId="25" totalsRowDxfId="24">
      <calculatedColumnFormula>G4</calculatedColumnFormula>
    </tableColumn>
    <tableColumn id="19" xr3:uid="{AAAA720B-5067-4F98-945B-A67D13E3FD53}" name="HEATING AIRFLOW _x000a_(CFM)" dataDxfId="23" totalsRowDxfId="22">
      <calculatedColumnFormula>AH1_VAV_table[[#This Row],[MIN VAV
(CFM)]]</calculatedColumnFormula>
    </tableColumn>
    <tableColumn id="7" xr3:uid="{0E470501-D3AA-4BA9-B05B-28F744D0A5AD}" name="EWT" dataDxfId="21" totalsRowDxfId="20">
      <calculatedColumnFormula>[1]INPUT_OUTPUTS!$C$16</calculatedColumnFormula>
    </tableColumn>
    <tableColumn id="8" xr3:uid="{C77703F7-7CC4-44A9-AD25-ED2ECBD9003B}" name="DESIGN _x000a_LWT" dataDxfId="19" totalsRowDxfId="18">
      <calculatedColumnFormula>[1]INPUT_OUTPUTS!$C$17</calculatedColumnFormula>
    </tableColumn>
    <tableColumn id="9" xr3:uid="{FFAF42B2-A09F-408D-8736-CCD6B6981540}" name="EAT" dataDxfId="17" totalsRowDxfId="16">
      <calculatedColumnFormula>K4</calculatedColumnFormula>
    </tableColumn>
    <tableColumn id="10" xr3:uid="{B7202F19-57A6-4E7A-82F4-E7B0C5FA5ED1}" name="DESIGN _x000a_LAT" dataDxfId="15" totalsRowDxfId="14">
      <calculatedColumnFormula>L4</calculatedColumnFormula>
    </tableColumn>
    <tableColumn id="11" xr3:uid="{83E4B17F-89B4-4A2D-839D-32C81A5C5464}" name="MIN MBH" totalsRowFunction="sum" dataDxfId="13" totalsRowDxfId="12">
      <calculatedColumnFormula>MROUND((1.08*(L5-K5)*AH1_VAV_table[[#This Row],[HEATING AIRFLOW 
(CFM)]])/1000,0.1)</calculatedColumnFormula>
    </tableColumn>
    <tableColumn id="12" xr3:uid="{E67F4592-0ADC-43A3-A935-71EFDCD49C79}" name="AGPM" dataDxfId="11" totalsRowDxfId="10">
      <calculatedColumnFormula>(M5*1000)/(500*(I5-J5))</calculatedColumnFormula>
    </tableColumn>
    <tableColumn id="13" xr3:uid="{4C81A281-F60B-4C9F-B280-E3F236142E0A}" name="GPM" totalsRowFunction="sum" dataDxfId="9" totalsRowDxfId="8">
      <calculatedColumnFormula>IF(N5&lt;0.5,0.5,N5)</calculatedColumnFormula>
    </tableColumn>
    <tableColumn id="14" xr3:uid="{FB6F9E15-C982-4CFA-AECB-9A2A9C7700B6}" name="MAX WATER _x000a_PD (FT)" dataDxfId="7" totalsRowDxfId="6">
      <calculatedColumnFormula>P4</calculatedColumnFormula>
    </tableColumn>
    <tableColumn id="15" xr3:uid="{95275D6A-A6C7-43A9-B7AE-56EE9CAE0A1C}" name="OPER _x000a_WEIGHT_x000a_(LBS)" dataDxfId="5" totalsRowDxfId="4">
      <calculatedColumnFormula>IFERROR((_xlfn.XLOOKUP(F5,'[1]DO NOT TOUCH'!$D$9:$D$14,'[1]DO NOT TOUCH'!$E$9:$E$14,)),"TBD")</calculatedColumnFormula>
    </tableColumn>
    <tableColumn id="16" xr3:uid="{EE4B9891-2CBF-433A-8EFF-1E86E8132927}" name="MTG _x000a_DETAIL" dataDxfId="3" totalsRowDxfId="2">
      <calculatedColumnFormula>[1]INPUT_OUTPUTS!$C$19</calculatedColumnFormula>
    </tableColumn>
    <tableColumn id="17" xr3:uid="{342214C0-4502-483E-BD54-EB32181B94F7}" name="REMARKS" dataDxfId="1" totalsRowDxfId="0">
      <calculatedColumnFormula>S4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" dT="2023-01-20T03:02:14.75" personId="{C5CD77A2-A593-4389-852A-8A0614FACAE6}" id="{6FDB9193-F9C1-4957-B5F3-4D0863FD0B0F}">
    <text>Increase or decrease number of rows in this table to match the number of zones.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microsoft.com/office/2017/10/relationships/threadedComment" Target="../threadedComments/threadedComment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713F7-3045-4D78-84B6-D5DFF8428AE1}">
  <sheetPr codeName="Sheet14">
    <tabColor rgb="FF0000FF"/>
  </sheetPr>
  <dimension ref="A4:S23"/>
  <sheetViews>
    <sheetView tabSelected="1" zoomScale="90" zoomScaleNormal="85" workbookViewId="0">
      <selection activeCell="H32" sqref="H32"/>
    </sheetView>
  </sheetViews>
  <sheetFormatPr defaultRowHeight="13.2" x14ac:dyDescent="0.25"/>
  <cols>
    <col min="1" max="1" width="12.109375" style="2" bestFit="1" customWidth="1"/>
    <col min="2" max="2" width="26.5546875" style="2" bestFit="1" customWidth="1"/>
    <col min="3" max="3" width="33.44140625" style="2" bestFit="1" customWidth="1"/>
    <col min="4" max="4" width="15.33203125" style="2" bestFit="1" customWidth="1"/>
    <col min="5" max="5" width="16.109375" style="2" bestFit="1" customWidth="1"/>
    <col min="6" max="6" width="12.5546875" style="2" bestFit="1" customWidth="1"/>
    <col min="7" max="7" width="15.109375" style="2" bestFit="1" customWidth="1"/>
    <col min="8" max="8" width="16.44140625" style="2" bestFit="1" customWidth="1"/>
    <col min="9" max="9" width="11" style="2" bestFit="1" customWidth="1"/>
    <col min="10" max="10" width="13" style="2" bestFit="1" customWidth="1"/>
    <col min="11" max="11" width="10.44140625" style="2" bestFit="1" customWidth="1"/>
    <col min="12" max="12" width="13" style="2" bestFit="1" customWidth="1"/>
    <col min="13" max="13" width="11.109375" style="2" bestFit="1" customWidth="1"/>
    <col min="14" max="14" width="12.5546875" style="2" bestFit="1" customWidth="1"/>
    <col min="15" max="15" width="11" style="2" bestFit="1" customWidth="1"/>
    <col min="16" max="16" width="12.5546875" style="2" bestFit="1" customWidth="1"/>
    <col min="17" max="17" width="13.5546875" style="2" bestFit="1" customWidth="1"/>
    <col min="18" max="18" width="12.6640625" style="2" bestFit="1" customWidth="1"/>
    <col min="19" max="19" width="12.5546875" style="2" bestFit="1" customWidth="1"/>
    <col min="20" max="16384" width="8.88671875" style="2"/>
  </cols>
  <sheetData>
    <row r="4" spans="1:19" ht="4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 t="s">
        <v>17</v>
      </c>
      <c r="S4" s="1" t="s">
        <v>18</v>
      </c>
    </row>
    <row r="5" spans="1:19" ht="15" x14ac:dyDescent="0.25">
      <c r="A5" s="3" t="s">
        <v>19</v>
      </c>
      <c r="B5" s="3" t="s">
        <v>20</v>
      </c>
      <c r="C5" s="3" t="s">
        <v>21</v>
      </c>
      <c r="D5" s="4">
        <f ca="1">SUMIF([1]!AH1_Ashrae_table[Zone],AH1_VAV_table[[#This Row],[ZONE]],[1]!AH1_Ashrae_table[DESIGN VAV MIN SA(CFM)])</f>
        <v>75</v>
      </c>
      <c r="E5" s="3">
        <f ca="1">SUMIF([1]!AH1_Ashrae_table[Zone],AH1_VAV_table[[#This Row],[ZONE]],[1]!AH1_Ashrae_table[DESIGN VAV MAX SA(CFM)])</f>
        <v>250</v>
      </c>
      <c r="F5" s="5">
        <f ca="1">IFERROR((VLOOKUP(AH1_VAV_table[[#This Row],[MAX VAV
(CFM)]],'[1]DO NOT TOUCH'!$C$9:$D$14,2,TRUE)),"TBD")</f>
        <v>6</v>
      </c>
      <c r="G5" s="5">
        <v>0.5</v>
      </c>
      <c r="H5" s="5">
        <f ca="1">AH1_VAV_table[[#This Row],[MIN VAV
(CFM)]]</f>
        <v>75</v>
      </c>
      <c r="I5" s="5">
        <f>[1]INPUT_OUTPUTS!$C$16</f>
        <v>140</v>
      </c>
      <c r="J5" s="5">
        <f>[1]INPUT_OUTPUTS!$C$17</f>
        <v>110</v>
      </c>
      <c r="K5" s="5">
        <v>55</v>
      </c>
      <c r="L5" s="5">
        <v>80</v>
      </c>
      <c r="M5" s="5">
        <f ca="1">MROUND((1.08*(L5-K5)*AH1_VAV_table[[#This Row],[HEATING AIRFLOW 
(CFM)]])/1000,0.1)</f>
        <v>2</v>
      </c>
      <c r="N5" s="6">
        <f t="shared" ref="N5:N22" ca="1" si="0">(M5*1000)/(500*(I5-J5))</f>
        <v>0.13333333333333333</v>
      </c>
      <c r="O5" s="6">
        <f t="shared" ref="O5:O22" ca="1" si="1">IF(N5&lt;0.5,0.5,N5)</f>
        <v>0.5</v>
      </c>
      <c r="P5" s="6">
        <v>5</v>
      </c>
      <c r="Q5" s="6">
        <f ca="1">IFERROR((_xlfn.XLOOKUP(F5,'[1]DO NOT TOUCH'!$D$9:$D$14,'[1]DO NOT TOUCH'!$E$9:$E$14,)),"TBD")</f>
        <v>30</v>
      </c>
      <c r="R5" s="6">
        <f>[1]INPUT_OUTPUTS!$C$19</f>
        <v>0</v>
      </c>
      <c r="S5" s="5" t="s">
        <v>22</v>
      </c>
    </row>
    <row r="6" spans="1:19" ht="15" x14ac:dyDescent="0.25">
      <c r="A6" s="3" t="s">
        <v>23</v>
      </c>
      <c r="B6" s="3" t="s">
        <v>20</v>
      </c>
      <c r="C6" s="3" t="s">
        <v>21</v>
      </c>
      <c r="D6" s="4">
        <f ca="1">SUMIF([1]!AH1_Ashrae_table[Zone],AH1_VAV_table[[#This Row],[ZONE]],[1]!AH1_Ashrae_table[DESIGN VAV MIN SA(CFM)])</f>
        <v>165</v>
      </c>
      <c r="E6" s="3">
        <f ca="1">SUMIF([1]!AH1_Ashrae_table[Zone],AH1_VAV_table[[#This Row],[ZONE]],[1]!AH1_Ashrae_table[DESIGN VAV MAX SA(CFM)])</f>
        <v>550</v>
      </c>
      <c r="F6" s="5">
        <f ca="1">IFERROR((VLOOKUP(AH1_VAV_table[[#This Row],[MAX VAV
(CFM)]],'[1]DO NOT TOUCH'!$C$9:$D$14,2,TRUE)),"TBD")</f>
        <v>8</v>
      </c>
      <c r="G6" s="5">
        <f>G5</f>
        <v>0.5</v>
      </c>
      <c r="H6" s="5">
        <f ca="1">AH1_VAV_table[[#This Row],[MIN VAV
(CFM)]]</f>
        <v>165</v>
      </c>
      <c r="I6" s="5">
        <f>[1]INPUT_OUTPUTS!$C$16</f>
        <v>140</v>
      </c>
      <c r="J6" s="5">
        <f>[1]INPUT_OUTPUTS!$C$17</f>
        <v>110</v>
      </c>
      <c r="K6" s="5">
        <f>K5</f>
        <v>55</v>
      </c>
      <c r="L6" s="5">
        <f>L5</f>
        <v>80</v>
      </c>
      <c r="M6" s="5">
        <f ca="1">MROUND((1.08*(L6-K6)*AH1_VAV_table[[#This Row],[HEATING AIRFLOW 
(CFM)]])/1000,0.1)</f>
        <v>4.5</v>
      </c>
      <c r="N6" s="6">
        <f t="shared" ca="1" si="0"/>
        <v>0.3</v>
      </c>
      <c r="O6" s="6">
        <f t="shared" ca="1" si="1"/>
        <v>0.5</v>
      </c>
      <c r="P6" s="6">
        <f>P5</f>
        <v>5</v>
      </c>
      <c r="Q6" s="6">
        <f ca="1">IFERROR((_xlfn.XLOOKUP(F6,'[1]DO NOT TOUCH'!$D$9:$D$14,'[1]DO NOT TOUCH'!$E$9:$E$14,)),"TBD")</f>
        <v>30</v>
      </c>
      <c r="R6" s="6">
        <f>[1]INPUT_OUTPUTS!$C$19</f>
        <v>0</v>
      </c>
      <c r="S6" s="5" t="str">
        <f>S5</f>
        <v>1, 2</v>
      </c>
    </row>
    <row r="7" spans="1:19" ht="15" x14ac:dyDescent="0.25">
      <c r="A7" s="3" t="s">
        <v>25</v>
      </c>
      <c r="B7" s="3" t="s">
        <v>20</v>
      </c>
      <c r="C7" s="3" t="s">
        <v>21</v>
      </c>
      <c r="D7" s="4">
        <f ca="1">SUMIF([1]!AH1_Ashrae_table[Zone],AH1_VAV_table[[#This Row],[ZONE]],[1]!AH1_Ashrae_table[DESIGN VAV MIN SA(CFM)])</f>
        <v>165</v>
      </c>
      <c r="E7" s="3">
        <f ca="1">SUMIF([1]!AH1_Ashrae_table[Zone],AH1_VAV_table[[#This Row],[ZONE]],[1]!AH1_Ashrae_table[DESIGN VAV MAX SA(CFM)])</f>
        <v>550</v>
      </c>
      <c r="F7" s="5">
        <f ca="1">IFERROR((VLOOKUP(AH1_VAV_table[[#This Row],[MAX VAV
(CFM)]],'[1]DO NOT TOUCH'!$C$9:$D$14,2,TRUE)),"TBD")</f>
        <v>8</v>
      </c>
      <c r="G7" s="5">
        <v>0.5</v>
      </c>
      <c r="H7" s="5">
        <f ca="1">AH1_VAV_table[[#This Row],[MIN VAV
(CFM)]]</f>
        <v>165</v>
      </c>
      <c r="I7" s="5">
        <f>[1]INPUT_OUTPUTS!$C$16</f>
        <v>140</v>
      </c>
      <c r="J7" s="5">
        <f>[1]INPUT_OUTPUTS!$C$17</f>
        <v>110</v>
      </c>
      <c r="K7" s="5">
        <v>55</v>
      </c>
      <c r="L7" s="5">
        <v>80</v>
      </c>
      <c r="M7" s="5">
        <f ca="1">MROUND((1.08*(L7-K7)*AH1_VAV_table[[#This Row],[HEATING AIRFLOW 
(CFM)]])/1000,0.1)</f>
        <v>4.5</v>
      </c>
      <c r="N7" s="6">
        <f t="shared" ca="1" si="0"/>
        <v>0.3</v>
      </c>
      <c r="O7" s="6">
        <f t="shared" ca="1" si="1"/>
        <v>0.5</v>
      </c>
      <c r="P7" s="6">
        <v>5</v>
      </c>
      <c r="Q7" s="6">
        <f ca="1">IFERROR((_xlfn.XLOOKUP(F7,'[1]DO NOT TOUCH'!$D$9:$D$14,'[1]DO NOT TOUCH'!$E$9:$E$14,)),"TBD")</f>
        <v>30</v>
      </c>
      <c r="R7" s="6">
        <f>[1]INPUT_OUTPUTS!$C$19</f>
        <v>0</v>
      </c>
      <c r="S7" s="5" t="s">
        <v>22</v>
      </c>
    </row>
    <row r="8" spans="1:19" ht="15" x14ac:dyDescent="0.25">
      <c r="A8" s="3" t="s">
        <v>26</v>
      </c>
      <c r="B8" s="3" t="s">
        <v>20</v>
      </c>
      <c r="C8" s="3" t="s">
        <v>21</v>
      </c>
      <c r="D8" s="4">
        <f ca="1">SUMIF([1]!AH1_Ashrae_table[Zone],AH1_VAV_table[[#This Row],[ZONE]],[1]!AH1_Ashrae_table[DESIGN VAV MIN SA(CFM)])</f>
        <v>165</v>
      </c>
      <c r="E8" s="3">
        <f ca="1">SUMIF([1]!AH1_Ashrae_table[Zone],AH1_VAV_table[[#This Row],[ZONE]],[1]!AH1_Ashrae_table[DESIGN VAV MAX SA(CFM)])</f>
        <v>550</v>
      </c>
      <c r="F8" s="5">
        <f ca="1">IFERROR((VLOOKUP(AH1_VAV_table[[#This Row],[MAX VAV
(CFM)]],'[1]DO NOT TOUCH'!$C$9:$D$14,2,TRUE)),"TBD")</f>
        <v>8</v>
      </c>
      <c r="G8" s="5">
        <v>0.5</v>
      </c>
      <c r="H8" s="5">
        <f ca="1">AH1_VAV_table[[#This Row],[MIN VAV
(CFM)]]</f>
        <v>165</v>
      </c>
      <c r="I8" s="5">
        <f>[1]INPUT_OUTPUTS!$C$16</f>
        <v>140</v>
      </c>
      <c r="J8" s="5">
        <f>[1]INPUT_OUTPUTS!$C$17</f>
        <v>110</v>
      </c>
      <c r="K8" s="5">
        <v>55</v>
      </c>
      <c r="L8" s="5">
        <v>80</v>
      </c>
      <c r="M8" s="5">
        <f ca="1">MROUND((1.08*(L8-K8)*AH1_VAV_table[[#This Row],[HEATING AIRFLOW 
(CFM)]])/1000,0.1)</f>
        <v>4.5</v>
      </c>
      <c r="N8" s="6">
        <f t="shared" ca="1" si="0"/>
        <v>0.3</v>
      </c>
      <c r="O8" s="6">
        <f t="shared" ca="1" si="1"/>
        <v>0.5</v>
      </c>
      <c r="P8" s="6">
        <v>5</v>
      </c>
      <c r="Q8" s="6">
        <f ca="1">IFERROR((_xlfn.XLOOKUP(F8,'[1]DO NOT TOUCH'!$D$9:$D$14,'[1]DO NOT TOUCH'!$E$9:$E$14,)),"TBD")</f>
        <v>30</v>
      </c>
      <c r="R8" s="6">
        <f>[1]INPUT_OUTPUTS!$C$19</f>
        <v>0</v>
      </c>
      <c r="S8" s="5" t="s">
        <v>22</v>
      </c>
    </row>
    <row r="9" spans="1:19" ht="15" x14ac:dyDescent="0.25">
      <c r="A9" s="3" t="s">
        <v>27</v>
      </c>
      <c r="B9" s="3" t="s">
        <v>20</v>
      </c>
      <c r="C9" s="3" t="s">
        <v>21</v>
      </c>
      <c r="D9" s="4">
        <f ca="1">SUMIF([1]!AH1_Ashrae_table[Zone],AH1_VAV_table[[#This Row],[ZONE]],[1]!AH1_Ashrae_table[DESIGN VAV MIN SA(CFM)])</f>
        <v>165</v>
      </c>
      <c r="E9" s="3">
        <f ca="1">SUMIF([1]!AH1_Ashrae_table[Zone],AH1_VAV_table[[#This Row],[ZONE]],[1]!AH1_Ashrae_table[DESIGN VAV MAX SA(CFM)])</f>
        <v>550</v>
      </c>
      <c r="F9" s="5">
        <f ca="1">IFERROR((VLOOKUP(AH1_VAV_table[[#This Row],[MAX VAV
(CFM)]],'[1]DO NOT TOUCH'!$C$9:$D$14,2,TRUE)),"TBD")</f>
        <v>8</v>
      </c>
      <c r="G9" s="5">
        <v>0.5</v>
      </c>
      <c r="H9" s="5">
        <f ca="1">AH1_VAV_table[[#This Row],[MIN VAV
(CFM)]]</f>
        <v>165</v>
      </c>
      <c r="I9" s="5">
        <f>[1]INPUT_OUTPUTS!$C$16</f>
        <v>140</v>
      </c>
      <c r="J9" s="5">
        <f>[1]INPUT_OUTPUTS!$C$17</f>
        <v>110</v>
      </c>
      <c r="K9" s="5">
        <v>55</v>
      </c>
      <c r="L9" s="5">
        <v>80</v>
      </c>
      <c r="M9" s="5">
        <f ca="1">MROUND((1.08*(L9-K9)*AH1_VAV_table[[#This Row],[HEATING AIRFLOW 
(CFM)]])/1000,0.1)</f>
        <v>4.5</v>
      </c>
      <c r="N9" s="6">
        <f t="shared" ca="1" si="0"/>
        <v>0.3</v>
      </c>
      <c r="O9" s="6">
        <f t="shared" ca="1" si="1"/>
        <v>0.5</v>
      </c>
      <c r="P9" s="6">
        <v>5</v>
      </c>
      <c r="Q9" s="6">
        <f ca="1">IFERROR((_xlfn.XLOOKUP(F9,'[1]DO NOT TOUCH'!$D$9:$D$14,'[1]DO NOT TOUCH'!$E$9:$E$14,)),"TBD")</f>
        <v>30</v>
      </c>
      <c r="R9" s="6">
        <f>[1]INPUT_OUTPUTS!$C$19</f>
        <v>0</v>
      </c>
      <c r="S9" s="5" t="s">
        <v>22</v>
      </c>
    </row>
    <row r="10" spans="1:19" ht="15" x14ac:dyDescent="0.25">
      <c r="A10" s="3" t="s">
        <v>28</v>
      </c>
      <c r="B10" s="3" t="s">
        <v>20</v>
      </c>
      <c r="C10" s="3" t="s">
        <v>21</v>
      </c>
      <c r="D10" s="4">
        <f ca="1">SUMIF([1]!AH1_Ashrae_table[Zone],AH1_VAV_table[[#This Row],[ZONE]],[1]!AH1_Ashrae_table[DESIGN VAV MIN SA(CFM)])</f>
        <v>165</v>
      </c>
      <c r="E10" s="3">
        <f ca="1">SUMIF([1]!AH1_Ashrae_table[Zone],AH1_VAV_table[[#This Row],[ZONE]],[1]!AH1_Ashrae_table[DESIGN VAV MAX SA(CFM)])</f>
        <v>550</v>
      </c>
      <c r="F10" s="5">
        <f ca="1">IFERROR((VLOOKUP(AH1_VAV_table[[#This Row],[MAX VAV
(CFM)]],'[1]DO NOT TOUCH'!$C$9:$D$14,2,TRUE)),"TBD")</f>
        <v>8</v>
      </c>
      <c r="G10" s="5">
        <v>0.5</v>
      </c>
      <c r="H10" s="5">
        <f ca="1">AH1_VAV_table[[#This Row],[MIN VAV
(CFM)]]</f>
        <v>165</v>
      </c>
      <c r="I10" s="5">
        <f>[1]INPUT_OUTPUTS!$C$16</f>
        <v>140</v>
      </c>
      <c r="J10" s="5">
        <f>[1]INPUT_OUTPUTS!$C$17</f>
        <v>110</v>
      </c>
      <c r="K10" s="5">
        <v>55</v>
      </c>
      <c r="L10" s="5">
        <v>80</v>
      </c>
      <c r="M10" s="5">
        <f ca="1">MROUND((1.08*(L10-K10)*AH1_VAV_table[[#This Row],[HEATING AIRFLOW 
(CFM)]])/1000,0.1)</f>
        <v>4.5</v>
      </c>
      <c r="N10" s="6">
        <f t="shared" ca="1" si="0"/>
        <v>0.3</v>
      </c>
      <c r="O10" s="6">
        <f t="shared" ca="1" si="1"/>
        <v>0.5</v>
      </c>
      <c r="P10" s="6">
        <v>5</v>
      </c>
      <c r="Q10" s="6">
        <f ca="1">IFERROR((_xlfn.XLOOKUP(F10,'[1]DO NOT TOUCH'!$D$9:$D$14,'[1]DO NOT TOUCH'!$E$9:$E$14,)),"TBD")</f>
        <v>30</v>
      </c>
      <c r="R10" s="6">
        <f>[1]INPUT_OUTPUTS!$C$19</f>
        <v>0</v>
      </c>
      <c r="S10" s="5" t="s">
        <v>22</v>
      </c>
    </row>
    <row r="11" spans="1:19" ht="15" x14ac:dyDescent="0.25">
      <c r="A11" s="3" t="s">
        <v>29</v>
      </c>
      <c r="B11" s="3" t="s">
        <v>20</v>
      </c>
      <c r="C11" s="3" t="s">
        <v>21</v>
      </c>
      <c r="D11" s="4">
        <f ca="1">SUMIF([1]!AH1_Ashrae_table[Zone],AH1_VAV_table[[#This Row],[ZONE]],[1]!AH1_Ashrae_table[DESIGN VAV MIN SA(CFM)])</f>
        <v>165</v>
      </c>
      <c r="E11" s="3">
        <f ca="1">SUMIF([1]!AH1_Ashrae_table[Zone],AH1_VAV_table[[#This Row],[ZONE]],[1]!AH1_Ashrae_table[DESIGN VAV MAX SA(CFM)])</f>
        <v>550</v>
      </c>
      <c r="F11" s="5">
        <f ca="1">IFERROR((VLOOKUP(AH1_VAV_table[[#This Row],[MAX VAV
(CFM)]],'[1]DO NOT TOUCH'!$C$9:$D$14,2,TRUE)),"TBD")</f>
        <v>8</v>
      </c>
      <c r="G11" s="5">
        <v>0.5</v>
      </c>
      <c r="H11" s="5">
        <f ca="1">AH1_VAV_table[[#This Row],[MIN VAV
(CFM)]]</f>
        <v>165</v>
      </c>
      <c r="I11" s="5">
        <f>[1]INPUT_OUTPUTS!$C$16</f>
        <v>140</v>
      </c>
      <c r="J11" s="5">
        <f>[1]INPUT_OUTPUTS!$C$17</f>
        <v>110</v>
      </c>
      <c r="K11" s="5">
        <v>55</v>
      </c>
      <c r="L11" s="5">
        <v>80</v>
      </c>
      <c r="M11" s="5">
        <f ca="1">MROUND((1.08*(L11-K11)*AH1_VAV_table[[#This Row],[HEATING AIRFLOW 
(CFM)]])/1000,0.1)</f>
        <v>4.5</v>
      </c>
      <c r="N11" s="6">
        <f t="shared" ca="1" si="0"/>
        <v>0.3</v>
      </c>
      <c r="O11" s="6">
        <f t="shared" ca="1" si="1"/>
        <v>0.5</v>
      </c>
      <c r="P11" s="6">
        <v>5</v>
      </c>
      <c r="Q11" s="6">
        <f ca="1">IFERROR((_xlfn.XLOOKUP(F11,'[1]DO NOT TOUCH'!$D$9:$D$14,'[1]DO NOT TOUCH'!$E$9:$E$14,)),"TBD")</f>
        <v>30</v>
      </c>
      <c r="R11" s="6">
        <f>[1]INPUT_OUTPUTS!$C$19</f>
        <v>0</v>
      </c>
      <c r="S11" s="5" t="s">
        <v>22</v>
      </c>
    </row>
    <row r="12" spans="1:19" ht="15" x14ac:dyDescent="0.25">
      <c r="A12" s="3" t="s">
        <v>30</v>
      </c>
      <c r="B12" s="3" t="s">
        <v>20</v>
      </c>
      <c r="C12" s="3" t="s">
        <v>21</v>
      </c>
      <c r="D12" s="4">
        <f ca="1">SUMIF([1]!AH1_Ashrae_table[Zone],AH1_VAV_table[[#This Row],[ZONE]],[1]!AH1_Ashrae_table[DESIGN VAV MIN SA(CFM)])</f>
        <v>325</v>
      </c>
      <c r="E12" s="3">
        <f ca="1">SUMIF([1]!AH1_Ashrae_table[Zone],AH1_VAV_table[[#This Row],[ZONE]],[1]!AH1_Ashrae_table[DESIGN VAV MAX SA(CFM)])</f>
        <v>550</v>
      </c>
      <c r="F12" s="5">
        <f ca="1">IFERROR((VLOOKUP(AH1_VAV_table[[#This Row],[MAX VAV
(CFM)]],'[1]DO NOT TOUCH'!$C$9:$D$14,2,TRUE)),"TBD")</f>
        <v>8</v>
      </c>
      <c r="G12" s="5">
        <v>0.5</v>
      </c>
      <c r="H12" s="5">
        <f ca="1">AH1_VAV_table[[#This Row],[MIN VAV
(CFM)]]</f>
        <v>325</v>
      </c>
      <c r="I12" s="5">
        <f>[1]INPUT_OUTPUTS!$C$16</f>
        <v>140</v>
      </c>
      <c r="J12" s="5">
        <f>[1]INPUT_OUTPUTS!$C$17</f>
        <v>110</v>
      </c>
      <c r="K12" s="5">
        <v>55</v>
      </c>
      <c r="L12" s="5">
        <v>80</v>
      </c>
      <c r="M12" s="5">
        <f ca="1">MROUND((1.08*(L12-K12)*AH1_VAV_table[[#This Row],[HEATING AIRFLOW 
(CFM)]])/1000,0.1)</f>
        <v>8.8000000000000007</v>
      </c>
      <c r="N12" s="6">
        <f t="shared" ca="1" si="0"/>
        <v>0.58666666666666667</v>
      </c>
      <c r="O12" s="6">
        <f t="shared" ca="1" si="1"/>
        <v>0.58666666666666667</v>
      </c>
      <c r="P12" s="6">
        <v>5</v>
      </c>
      <c r="Q12" s="6">
        <f ca="1">IFERROR((_xlfn.XLOOKUP(F12,'[1]DO NOT TOUCH'!$D$9:$D$14,'[1]DO NOT TOUCH'!$E$9:$E$14,)),"TBD")</f>
        <v>30</v>
      </c>
      <c r="R12" s="6">
        <f>[1]INPUT_OUTPUTS!$C$19</f>
        <v>0</v>
      </c>
      <c r="S12" s="5" t="s">
        <v>22</v>
      </c>
    </row>
    <row r="13" spans="1:19" ht="15" x14ac:dyDescent="0.25">
      <c r="A13" s="3" t="s">
        <v>31</v>
      </c>
      <c r="B13" s="3" t="s">
        <v>20</v>
      </c>
      <c r="C13" s="3" t="s">
        <v>21</v>
      </c>
      <c r="D13" s="4">
        <f ca="1">SUMIF([1]!AH1_Ashrae_table[Zone],AH1_VAV_table[[#This Row],[ZONE]],[1]!AH1_Ashrae_table[DESIGN VAV MIN SA(CFM)])</f>
        <v>325</v>
      </c>
      <c r="E13" s="3">
        <f ca="1">SUMIF([1]!AH1_Ashrae_table[Zone],AH1_VAV_table[[#This Row],[ZONE]],[1]!AH1_Ashrae_table[DESIGN VAV MAX SA(CFM)])</f>
        <v>550</v>
      </c>
      <c r="F13" s="5">
        <f ca="1">IFERROR((VLOOKUP(AH1_VAV_table[[#This Row],[MAX VAV
(CFM)]],'[1]DO NOT TOUCH'!$C$9:$D$14,2,TRUE)),"TBD")</f>
        <v>8</v>
      </c>
      <c r="G13" s="5">
        <v>0.5</v>
      </c>
      <c r="H13" s="5">
        <f ca="1">AH1_VAV_table[[#This Row],[MIN VAV
(CFM)]]</f>
        <v>325</v>
      </c>
      <c r="I13" s="5">
        <f>[1]INPUT_OUTPUTS!$C$16</f>
        <v>140</v>
      </c>
      <c r="J13" s="5">
        <f>[1]INPUT_OUTPUTS!$C$17</f>
        <v>110</v>
      </c>
      <c r="K13" s="5">
        <v>55</v>
      </c>
      <c r="L13" s="5">
        <v>80</v>
      </c>
      <c r="M13" s="5">
        <f ca="1">MROUND((1.08*(L13-K13)*AH1_VAV_table[[#This Row],[HEATING AIRFLOW 
(CFM)]])/1000,0.1)</f>
        <v>8.8000000000000007</v>
      </c>
      <c r="N13" s="6">
        <f t="shared" ca="1" si="0"/>
        <v>0.58666666666666667</v>
      </c>
      <c r="O13" s="6">
        <f t="shared" ca="1" si="1"/>
        <v>0.58666666666666667</v>
      </c>
      <c r="P13" s="6">
        <v>5</v>
      </c>
      <c r="Q13" s="6">
        <f ca="1">IFERROR((_xlfn.XLOOKUP(F13,'[1]DO NOT TOUCH'!$D$9:$D$14,'[1]DO NOT TOUCH'!$E$9:$E$14,)),"TBD")</f>
        <v>30</v>
      </c>
      <c r="R13" s="6">
        <f>[1]INPUT_OUTPUTS!$C$19</f>
        <v>0</v>
      </c>
      <c r="S13" s="5" t="s">
        <v>22</v>
      </c>
    </row>
    <row r="14" spans="1:19" ht="15" x14ac:dyDescent="0.25">
      <c r="A14" s="3" t="s">
        <v>32</v>
      </c>
      <c r="B14" s="3" t="s">
        <v>20</v>
      </c>
      <c r="C14" s="3" t="s">
        <v>21</v>
      </c>
      <c r="D14" s="4">
        <f ca="1">SUMIF([1]!AH1_Ashrae_table[Zone],AH1_VAV_table[[#This Row],[ZONE]],[1]!AH1_Ashrae_table[DESIGN VAV MIN SA(CFM)])</f>
        <v>325</v>
      </c>
      <c r="E14" s="3">
        <f ca="1">SUMIF([1]!AH1_Ashrae_table[Zone],AH1_VAV_table[[#This Row],[ZONE]],[1]!AH1_Ashrae_table[DESIGN VAV MAX SA(CFM)])</f>
        <v>550</v>
      </c>
      <c r="F14" s="5">
        <f ca="1">IFERROR((VLOOKUP(AH1_VAV_table[[#This Row],[MAX VAV
(CFM)]],'[1]DO NOT TOUCH'!$C$9:$D$14,2,TRUE)),"TBD")</f>
        <v>8</v>
      </c>
      <c r="G14" s="5">
        <v>0.5</v>
      </c>
      <c r="H14" s="5">
        <f ca="1">AH1_VAV_table[[#This Row],[MIN VAV
(CFM)]]</f>
        <v>325</v>
      </c>
      <c r="I14" s="5">
        <f>[1]INPUT_OUTPUTS!$C$16</f>
        <v>140</v>
      </c>
      <c r="J14" s="5">
        <f>[1]INPUT_OUTPUTS!$C$17</f>
        <v>110</v>
      </c>
      <c r="K14" s="5">
        <v>55</v>
      </c>
      <c r="L14" s="5">
        <v>80</v>
      </c>
      <c r="M14" s="5">
        <f ca="1">MROUND((1.08*(L14-K14)*AH1_VAV_table[[#This Row],[HEATING AIRFLOW 
(CFM)]])/1000,0.1)</f>
        <v>8.8000000000000007</v>
      </c>
      <c r="N14" s="6">
        <f t="shared" ca="1" si="0"/>
        <v>0.58666666666666667</v>
      </c>
      <c r="O14" s="6">
        <f t="shared" ca="1" si="1"/>
        <v>0.58666666666666667</v>
      </c>
      <c r="P14" s="6">
        <v>5</v>
      </c>
      <c r="Q14" s="6">
        <f ca="1">IFERROR((_xlfn.XLOOKUP(F14,'[1]DO NOT TOUCH'!$D$9:$D$14,'[1]DO NOT TOUCH'!$E$9:$E$14,)),"TBD")</f>
        <v>30</v>
      </c>
      <c r="R14" s="6">
        <f>[1]INPUT_OUTPUTS!$C$19</f>
        <v>0</v>
      </c>
      <c r="S14" s="5" t="s">
        <v>22</v>
      </c>
    </row>
    <row r="15" spans="1:19" ht="15" x14ac:dyDescent="0.25">
      <c r="A15" s="3" t="s">
        <v>33</v>
      </c>
      <c r="B15" s="3" t="s">
        <v>20</v>
      </c>
      <c r="C15" s="3" t="s">
        <v>21</v>
      </c>
      <c r="D15" s="4">
        <f ca="1">SUMIF([1]!AH1_Ashrae_table[Zone],AH1_VAV_table[[#This Row],[ZONE]],[1]!AH1_Ashrae_table[DESIGN VAV MIN SA(CFM)])</f>
        <v>325</v>
      </c>
      <c r="E15" s="3">
        <f ca="1">SUMIF([1]!AH1_Ashrae_table[Zone],AH1_VAV_table[[#This Row],[ZONE]],[1]!AH1_Ashrae_table[DESIGN VAV MAX SA(CFM)])</f>
        <v>550</v>
      </c>
      <c r="F15" s="5">
        <f ca="1">IFERROR((VLOOKUP(AH1_VAV_table[[#This Row],[MAX VAV
(CFM)]],'[1]DO NOT TOUCH'!$C$9:$D$14,2,TRUE)),"TBD")</f>
        <v>8</v>
      </c>
      <c r="G15" s="5">
        <v>0.5</v>
      </c>
      <c r="H15" s="5">
        <f ca="1">AH1_VAV_table[[#This Row],[MIN VAV
(CFM)]]</f>
        <v>325</v>
      </c>
      <c r="I15" s="5">
        <f>[1]INPUT_OUTPUTS!$C$16</f>
        <v>140</v>
      </c>
      <c r="J15" s="5">
        <f>[1]INPUT_OUTPUTS!$C$17</f>
        <v>110</v>
      </c>
      <c r="K15" s="5">
        <v>55</v>
      </c>
      <c r="L15" s="5">
        <v>80</v>
      </c>
      <c r="M15" s="5">
        <f ca="1">MROUND((1.08*(L15-K15)*AH1_VAV_table[[#This Row],[HEATING AIRFLOW 
(CFM)]])/1000,0.1)</f>
        <v>8.8000000000000007</v>
      </c>
      <c r="N15" s="6">
        <f t="shared" ca="1" si="0"/>
        <v>0.58666666666666667</v>
      </c>
      <c r="O15" s="6">
        <f t="shared" ca="1" si="1"/>
        <v>0.58666666666666667</v>
      </c>
      <c r="P15" s="6">
        <v>5</v>
      </c>
      <c r="Q15" s="6">
        <f ca="1">IFERROR((_xlfn.XLOOKUP(F15,'[1]DO NOT TOUCH'!$D$9:$D$14,'[1]DO NOT TOUCH'!$E$9:$E$14,)),"TBD")</f>
        <v>30</v>
      </c>
      <c r="R15" s="6">
        <f>[1]INPUT_OUTPUTS!$C$19</f>
        <v>0</v>
      </c>
      <c r="S15" s="5" t="s">
        <v>22</v>
      </c>
    </row>
    <row r="16" spans="1:19" ht="15" x14ac:dyDescent="0.25">
      <c r="A16" s="3" t="s">
        <v>34</v>
      </c>
      <c r="B16" s="3" t="s">
        <v>20</v>
      </c>
      <c r="C16" s="3" t="s">
        <v>21</v>
      </c>
      <c r="D16" s="4">
        <f ca="1">SUMIF([1]!AH1_Ashrae_table[Zone],AH1_VAV_table[[#This Row],[ZONE]],[1]!AH1_Ashrae_table[DESIGN VAV MIN SA(CFM)])</f>
        <v>325</v>
      </c>
      <c r="E16" s="3">
        <f ca="1">SUMIF([1]!AH1_Ashrae_table[Zone],AH1_VAV_table[[#This Row],[ZONE]],[1]!AH1_Ashrae_table[DESIGN VAV MAX SA(CFM)])</f>
        <v>550</v>
      </c>
      <c r="F16" s="5">
        <f ca="1">IFERROR((VLOOKUP(AH1_VAV_table[[#This Row],[MAX VAV
(CFM)]],'[1]DO NOT TOUCH'!$C$9:$D$14,2,TRUE)),"TBD")</f>
        <v>8</v>
      </c>
      <c r="G16" s="5">
        <v>0.5</v>
      </c>
      <c r="H16" s="5">
        <f ca="1">AH1_VAV_table[[#This Row],[MIN VAV
(CFM)]]</f>
        <v>325</v>
      </c>
      <c r="I16" s="5">
        <f>[1]INPUT_OUTPUTS!$C$16</f>
        <v>140</v>
      </c>
      <c r="J16" s="5">
        <f>[1]INPUT_OUTPUTS!$C$17</f>
        <v>110</v>
      </c>
      <c r="K16" s="5">
        <v>55</v>
      </c>
      <c r="L16" s="5">
        <v>80</v>
      </c>
      <c r="M16" s="5">
        <f ca="1">MROUND((1.08*(L16-K16)*AH1_VAV_table[[#This Row],[HEATING AIRFLOW 
(CFM)]])/1000,0.1)</f>
        <v>8.8000000000000007</v>
      </c>
      <c r="N16" s="6">
        <f t="shared" ca="1" si="0"/>
        <v>0.58666666666666667</v>
      </c>
      <c r="O16" s="6">
        <f t="shared" ca="1" si="1"/>
        <v>0.58666666666666667</v>
      </c>
      <c r="P16" s="6">
        <v>5</v>
      </c>
      <c r="Q16" s="6">
        <f ca="1">IFERROR((_xlfn.XLOOKUP(F16,'[1]DO NOT TOUCH'!$D$9:$D$14,'[1]DO NOT TOUCH'!$E$9:$E$14,)),"TBD")</f>
        <v>30</v>
      </c>
      <c r="R16" s="6">
        <f>[1]INPUT_OUTPUTS!$C$19</f>
        <v>0</v>
      </c>
      <c r="S16" s="5" t="s">
        <v>22</v>
      </c>
    </row>
    <row r="17" spans="1:19" ht="15" x14ac:dyDescent="0.25">
      <c r="A17" s="3" t="s">
        <v>35</v>
      </c>
      <c r="B17" s="3" t="s">
        <v>20</v>
      </c>
      <c r="C17" s="3" t="s">
        <v>21</v>
      </c>
      <c r="D17" s="4">
        <f ca="1">SUMIF([1]!AH1_Ashrae_table[Zone],AH1_VAV_table[[#This Row],[ZONE]],[1]!AH1_Ashrae_table[DESIGN VAV MIN SA(CFM)])</f>
        <v>325</v>
      </c>
      <c r="E17" s="3">
        <f ca="1">SUMIF([1]!AH1_Ashrae_table[Zone],AH1_VAV_table[[#This Row],[ZONE]],[1]!AH1_Ashrae_table[DESIGN VAV MAX SA(CFM)])</f>
        <v>550</v>
      </c>
      <c r="F17" s="5">
        <f ca="1">IFERROR((VLOOKUP(AH1_VAV_table[[#This Row],[MAX VAV
(CFM)]],'[1]DO NOT TOUCH'!$C$9:$D$14,2,TRUE)),"TBD")</f>
        <v>8</v>
      </c>
      <c r="G17" s="5">
        <v>0.5</v>
      </c>
      <c r="H17" s="5">
        <f ca="1">AH1_VAV_table[[#This Row],[MIN VAV
(CFM)]]</f>
        <v>325</v>
      </c>
      <c r="I17" s="5">
        <f>[1]INPUT_OUTPUTS!$C$16</f>
        <v>140</v>
      </c>
      <c r="J17" s="5">
        <f>[1]INPUT_OUTPUTS!$C$17</f>
        <v>110</v>
      </c>
      <c r="K17" s="5">
        <v>55</v>
      </c>
      <c r="L17" s="5">
        <v>80</v>
      </c>
      <c r="M17" s="5">
        <f ca="1">MROUND((1.08*(L17-K17)*AH1_VAV_table[[#This Row],[HEATING AIRFLOW 
(CFM)]])/1000,0.1)</f>
        <v>8.8000000000000007</v>
      </c>
      <c r="N17" s="6">
        <f t="shared" ca="1" si="0"/>
        <v>0.58666666666666667</v>
      </c>
      <c r="O17" s="6">
        <f t="shared" ca="1" si="1"/>
        <v>0.58666666666666667</v>
      </c>
      <c r="P17" s="6">
        <v>5</v>
      </c>
      <c r="Q17" s="6">
        <f ca="1">IFERROR((_xlfn.XLOOKUP(F17,'[1]DO NOT TOUCH'!$D$9:$D$14,'[1]DO NOT TOUCH'!$E$9:$E$14,)),"TBD")</f>
        <v>30</v>
      </c>
      <c r="R17" s="6">
        <f>[1]INPUT_OUTPUTS!$C$19</f>
        <v>0</v>
      </c>
      <c r="S17" s="5" t="s">
        <v>22</v>
      </c>
    </row>
    <row r="18" spans="1:19" ht="15" x14ac:dyDescent="0.25">
      <c r="A18" s="3" t="s">
        <v>36</v>
      </c>
      <c r="B18" s="3" t="s">
        <v>20</v>
      </c>
      <c r="C18" s="3" t="s">
        <v>21</v>
      </c>
      <c r="D18" s="4">
        <f ca="1">SUMIF([1]!AH1_Ashrae_table[Zone],AH1_VAV_table[[#This Row],[ZONE]],[1]!AH1_Ashrae_table[DESIGN VAV MIN SA(CFM)])</f>
        <v>75</v>
      </c>
      <c r="E18" s="3">
        <f ca="1">SUMIF([1]!AH1_Ashrae_table[Zone],AH1_VAV_table[[#This Row],[ZONE]],[1]!AH1_Ashrae_table[DESIGN VAV MAX SA(CFM)])</f>
        <v>250</v>
      </c>
      <c r="F18" s="5">
        <f ca="1">IFERROR((VLOOKUP(AH1_VAV_table[[#This Row],[MAX VAV
(CFM)]],'[1]DO NOT TOUCH'!$C$9:$D$14,2,TRUE)),"TBD")</f>
        <v>6</v>
      </c>
      <c r="G18" s="5">
        <v>0.5</v>
      </c>
      <c r="H18" s="5">
        <f ca="1">AH1_VAV_table[[#This Row],[MIN VAV
(CFM)]]</f>
        <v>75</v>
      </c>
      <c r="I18" s="5">
        <f>[1]INPUT_OUTPUTS!$C$16</f>
        <v>140</v>
      </c>
      <c r="J18" s="5">
        <f>[1]INPUT_OUTPUTS!$C$17</f>
        <v>110</v>
      </c>
      <c r="K18" s="5">
        <v>55</v>
      </c>
      <c r="L18" s="5">
        <v>80</v>
      </c>
      <c r="M18" s="5">
        <f ca="1">MROUND((1.08*(L18-K18)*AH1_VAV_table[[#This Row],[HEATING AIRFLOW 
(CFM)]])/1000,0.1)</f>
        <v>2</v>
      </c>
      <c r="N18" s="6">
        <f t="shared" ca="1" si="0"/>
        <v>0.13333333333333333</v>
      </c>
      <c r="O18" s="6">
        <f t="shared" ca="1" si="1"/>
        <v>0.5</v>
      </c>
      <c r="P18" s="6">
        <v>5</v>
      </c>
      <c r="Q18" s="6">
        <f ca="1">IFERROR((_xlfn.XLOOKUP(F18,'[1]DO NOT TOUCH'!$D$9:$D$14,'[1]DO NOT TOUCH'!$E$9:$E$14,)),"TBD")</f>
        <v>30</v>
      </c>
      <c r="R18" s="6">
        <f>[1]INPUT_OUTPUTS!$C$19</f>
        <v>0</v>
      </c>
      <c r="S18" s="5" t="s">
        <v>22</v>
      </c>
    </row>
    <row r="19" spans="1:19" ht="15" x14ac:dyDescent="0.25">
      <c r="A19" s="3" t="s">
        <v>37</v>
      </c>
      <c r="B19" s="3" t="s">
        <v>20</v>
      </c>
      <c r="C19" s="3" t="s">
        <v>21</v>
      </c>
      <c r="D19" s="4">
        <f ca="1">SUMIF([1]!AH1_Ashrae_table[Zone],AH1_VAV_table[[#This Row],[ZONE]],[1]!AH1_Ashrae_table[DESIGN VAV MIN SA(CFM)])</f>
        <v>75</v>
      </c>
      <c r="E19" s="3">
        <f ca="1">SUMIF([1]!AH1_Ashrae_table[Zone],AH1_VAV_table[[#This Row],[ZONE]],[1]!AH1_Ashrae_table[DESIGN VAV MAX SA(CFM)])</f>
        <v>250</v>
      </c>
      <c r="F19" s="5">
        <f ca="1">IFERROR((VLOOKUP(AH1_VAV_table[[#This Row],[MAX VAV
(CFM)]],'[1]DO NOT TOUCH'!$C$9:$D$14,2,TRUE)),"TBD")</f>
        <v>6</v>
      </c>
      <c r="G19" s="5">
        <v>0.5</v>
      </c>
      <c r="H19" s="5">
        <f ca="1">AH1_VAV_table[[#This Row],[MIN VAV
(CFM)]]</f>
        <v>75</v>
      </c>
      <c r="I19" s="5">
        <f>[1]INPUT_OUTPUTS!$C$16</f>
        <v>140</v>
      </c>
      <c r="J19" s="5">
        <f>[1]INPUT_OUTPUTS!$C$17</f>
        <v>110</v>
      </c>
      <c r="K19" s="5">
        <v>55</v>
      </c>
      <c r="L19" s="5">
        <v>80</v>
      </c>
      <c r="M19" s="5">
        <f ca="1">MROUND((1.08*(L19-K19)*AH1_VAV_table[[#This Row],[HEATING AIRFLOW 
(CFM)]])/1000,0.1)</f>
        <v>2</v>
      </c>
      <c r="N19" s="6">
        <f t="shared" ca="1" si="0"/>
        <v>0.13333333333333333</v>
      </c>
      <c r="O19" s="6">
        <f t="shared" ca="1" si="1"/>
        <v>0.5</v>
      </c>
      <c r="P19" s="6">
        <v>5</v>
      </c>
      <c r="Q19" s="6">
        <f ca="1">IFERROR((_xlfn.XLOOKUP(F19,'[1]DO NOT TOUCH'!$D$9:$D$14,'[1]DO NOT TOUCH'!$E$9:$E$14,)),"TBD")</f>
        <v>30</v>
      </c>
      <c r="R19" s="6">
        <f>[1]INPUT_OUTPUTS!$C$19</f>
        <v>0</v>
      </c>
      <c r="S19" s="5" t="s">
        <v>22</v>
      </c>
    </row>
    <row r="20" spans="1:19" ht="15" x14ac:dyDescent="0.25">
      <c r="A20" s="3" t="s">
        <v>38</v>
      </c>
      <c r="B20" s="3" t="s">
        <v>20</v>
      </c>
      <c r="C20" s="3" t="s">
        <v>21</v>
      </c>
      <c r="D20" s="4">
        <f ca="1">SUMIF([1]!AH1_Ashrae_table[Zone],AH1_VAV_table[[#This Row],[ZONE]],[1]!AH1_Ashrae_table[DESIGN VAV MIN SA(CFM)])</f>
        <v>75</v>
      </c>
      <c r="E20" s="3">
        <f ca="1">SUMIF([1]!AH1_Ashrae_table[Zone],AH1_VAV_table[[#This Row],[ZONE]],[1]!AH1_Ashrae_table[DESIGN VAV MAX SA(CFM)])</f>
        <v>250</v>
      </c>
      <c r="F20" s="5">
        <f ca="1">IFERROR((VLOOKUP(AH1_VAV_table[[#This Row],[MAX VAV
(CFM)]],'[1]DO NOT TOUCH'!$C$9:$D$14,2,TRUE)),"TBD")</f>
        <v>6</v>
      </c>
      <c r="G20" s="5">
        <v>0.5</v>
      </c>
      <c r="H20" s="5">
        <f ca="1">AH1_VAV_table[[#This Row],[MIN VAV
(CFM)]]</f>
        <v>75</v>
      </c>
      <c r="I20" s="5">
        <f>[1]INPUT_OUTPUTS!$C$16</f>
        <v>140</v>
      </c>
      <c r="J20" s="5">
        <f>[1]INPUT_OUTPUTS!$C$17</f>
        <v>110</v>
      </c>
      <c r="K20" s="5">
        <v>55</v>
      </c>
      <c r="L20" s="5">
        <v>80</v>
      </c>
      <c r="M20" s="5">
        <f ca="1">MROUND((1.08*(L20-K20)*AH1_VAV_table[[#This Row],[HEATING AIRFLOW 
(CFM)]])/1000,0.1)</f>
        <v>2</v>
      </c>
      <c r="N20" s="6">
        <f t="shared" ca="1" si="0"/>
        <v>0.13333333333333333</v>
      </c>
      <c r="O20" s="6">
        <f t="shared" ca="1" si="1"/>
        <v>0.5</v>
      </c>
      <c r="P20" s="6">
        <v>5</v>
      </c>
      <c r="Q20" s="6">
        <f ca="1">IFERROR((_xlfn.XLOOKUP(F20,'[1]DO NOT TOUCH'!$D$9:$D$14,'[1]DO NOT TOUCH'!$E$9:$E$14,)),"TBD")</f>
        <v>30</v>
      </c>
      <c r="R20" s="6">
        <f>[1]INPUT_OUTPUTS!$C$19</f>
        <v>0</v>
      </c>
      <c r="S20" s="5" t="s">
        <v>22</v>
      </c>
    </row>
    <row r="21" spans="1:19" ht="15" x14ac:dyDescent="0.25">
      <c r="A21" s="3" t="s">
        <v>39</v>
      </c>
      <c r="B21" s="3" t="s">
        <v>20</v>
      </c>
      <c r="C21" s="3" t="s">
        <v>21</v>
      </c>
      <c r="D21" s="4">
        <f ca="1">SUMIF([1]!AH1_Ashrae_table[Zone],AH1_VAV_table[[#This Row],[ZONE]],[1]!AH1_Ashrae_table[DESIGN VAV MIN SA(CFM)])</f>
        <v>75</v>
      </c>
      <c r="E21" s="3">
        <f ca="1">SUMIF([1]!AH1_Ashrae_table[Zone],AH1_VAV_table[[#This Row],[ZONE]],[1]!AH1_Ashrae_table[DESIGN VAV MAX SA(CFM)])</f>
        <v>250</v>
      </c>
      <c r="F21" s="5">
        <f ca="1">IFERROR((VLOOKUP(AH1_VAV_table[[#This Row],[MAX VAV
(CFM)]],'[1]DO NOT TOUCH'!$C$9:$D$14,2,TRUE)),"TBD")</f>
        <v>6</v>
      </c>
      <c r="G21" s="5">
        <v>0.5</v>
      </c>
      <c r="H21" s="5">
        <f ca="1">AH1_VAV_table[[#This Row],[MIN VAV
(CFM)]]</f>
        <v>75</v>
      </c>
      <c r="I21" s="5">
        <f>[1]INPUT_OUTPUTS!$C$16</f>
        <v>140</v>
      </c>
      <c r="J21" s="5">
        <f>[1]INPUT_OUTPUTS!$C$17</f>
        <v>110</v>
      </c>
      <c r="K21" s="5">
        <v>55</v>
      </c>
      <c r="L21" s="5">
        <v>80</v>
      </c>
      <c r="M21" s="5">
        <f ca="1">MROUND((1.08*(L21-K21)*AH1_VAV_table[[#This Row],[HEATING AIRFLOW 
(CFM)]])/1000,0.1)</f>
        <v>2</v>
      </c>
      <c r="N21" s="6">
        <f t="shared" ca="1" si="0"/>
        <v>0.13333333333333333</v>
      </c>
      <c r="O21" s="6">
        <f t="shared" ca="1" si="1"/>
        <v>0.5</v>
      </c>
      <c r="P21" s="6">
        <v>5</v>
      </c>
      <c r="Q21" s="6">
        <f ca="1">IFERROR((_xlfn.XLOOKUP(F21,'[1]DO NOT TOUCH'!$D$9:$D$14,'[1]DO NOT TOUCH'!$E$9:$E$14,)),"TBD")</f>
        <v>30</v>
      </c>
      <c r="R21" s="6">
        <f>[1]INPUT_OUTPUTS!$C$19</f>
        <v>0</v>
      </c>
      <c r="S21" s="5" t="s">
        <v>22</v>
      </c>
    </row>
    <row r="22" spans="1:19" ht="15" x14ac:dyDescent="0.25">
      <c r="A22" s="3" t="s">
        <v>40</v>
      </c>
      <c r="B22" s="3" t="s">
        <v>20</v>
      </c>
      <c r="C22" s="3" t="s">
        <v>21</v>
      </c>
      <c r="D22" s="4">
        <f ca="1">SUMIF([1]!AH1_Ashrae_table[Zone],AH1_VAV_table[[#This Row],[ZONE]],[1]!AH1_Ashrae_table[DESIGN VAV MIN SA(CFM)])</f>
        <v>75</v>
      </c>
      <c r="E22" s="3">
        <f ca="1">SUMIF([1]!AH1_Ashrae_table[Zone],AH1_VAV_table[[#This Row],[ZONE]],[1]!AH1_Ashrae_table[DESIGN VAV MAX SA(CFM)])</f>
        <v>250</v>
      </c>
      <c r="F22" s="5">
        <f ca="1">IFERROR((VLOOKUP(AH1_VAV_table[[#This Row],[MAX VAV
(CFM)]],'[1]DO NOT TOUCH'!$C$9:$D$14,2,TRUE)),"TBD")</f>
        <v>6</v>
      </c>
      <c r="G22" s="5">
        <v>0.5</v>
      </c>
      <c r="H22" s="5">
        <f ca="1">AH1_VAV_table[[#This Row],[MIN VAV
(CFM)]]</f>
        <v>75</v>
      </c>
      <c r="I22" s="5">
        <f>[1]INPUT_OUTPUTS!$C$16</f>
        <v>140</v>
      </c>
      <c r="J22" s="5">
        <f>[1]INPUT_OUTPUTS!$C$17</f>
        <v>110</v>
      </c>
      <c r="K22" s="5">
        <v>55</v>
      </c>
      <c r="L22" s="5">
        <v>80</v>
      </c>
      <c r="M22" s="5">
        <f ca="1">MROUND((1.08*(L22-K22)*AH1_VAV_table[[#This Row],[HEATING AIRFLOW 
(CFM)]])/1000,0.1)</f>
        <v>2</v>
      </c>
      <c r="N22" s="6">
        <f t="shared" ca="1" si="0"/>
        <v>0.13333333333333333</v>
      </c>
      <c r="O22" s="6">
        <f t="shared" ca="1" si="1"/>
        <v>0.5</v>
      </c>
      <c r="P22" s="6">
        <v>5</v>
      </c>
      <c r="Q22" s="6">
        <f ca="1">IFERROR((_xlfn.XLOOKUP(F22,'[1]DO NOT TOUCH'!$D$9:$D$14,'[1]DO NOT TOUCH'!$E$9:$E$14,)),"TBD")</f>
        <v>30</v>
      </c>
      <c r="R22" s="6">
        <f>[1]INPUT_OUTPUTS!$C$19</f>
        <v>0</v>
      </c>
      <c r="S22" s="5" t="s">
        <v>22</v>
      </c>
    </row>
    <row r="23" spans="1:19" ht="15" x14ac:dyDescent="0.25">
      <c r="A23" s="7" t="s">
        <v>24</v>
      </c>
      <c r="B23" s="8"/>
      <c r="C23" s="8"/>
      <c r="D23" s="8"/>
      <c r="E23" s="9"/>
      <c r="F23" s="9"/>
      <c r="G23" s="9"/>
      <c r="H23" s="9"/>
      <c r="I23" s="9"/>
      <c r="J23" s="9"/>
      <c r="K23" s="9"/>
      <c r="L23" s="9"/>
      <c r="M23" s="9">
        <f ca="1">SUBTOTAL(109,AH1_VAV_table[MIN MBH])</f>
        <v>91.799999999999983</v>
      </c>
      <c r="N23" s="9"/>
      <c r="O23" s="10">
        <f ca="1">SUBTOTAL(109,AH1_VAV_table[GPM])</f>
        <v>9.5200000000000014</v>
      </c>
      <c r="P23" s="9"/>
      <c r="Q23" s="9"/>
      <c r="R23" s="9"/>
      <c r="S23" s="11"/>
    </row>
  </sheetData>
  <phoneticPr fontId="5" type="noConversion"/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1]!AddRowsToTableWithUserInput" altText="HUMIDIFICATION">
                <anchor moveWithCells="1" sizeWithCells="1">
                  <from>
                    <xdr:col>0</xdr:col>
                    <xdr:colOff>579120</xdr:colOff>
                    <xdr:row>0</xdr:row>
                    <xdr:rowOff>60960</xdr:rowOff>
                  </from>
                  <to>
                    <xdr:col>1</xdr:col>
                    <xdr:colOff>1074420</xdr:colOff>
                    <xdr:row>2</xdr:row>
                    <xdr:rowOff>91440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A7BA-1CEB-45AE-843E-AB35C1D3DEA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AH1_VAV_SCHEDULES</vt:lpstr>
      <vt:lpstr>Sheet1</vt:lpstr>
      <vt:lpstr>AH1_VAV_SCHEDULES!VAV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Rushikesh Patil</dc:creator>
  <cp:lastModifiedBy>Rushikesh Patil</cp:lastModifiedBy>
  <dcterms:created xsi:type="dcterms:W3CDTF">2024-06-05T23:23:35Z</dcterms:created>
  <dcterms:modified xsi:type="dcterms:W3CDTF">2024-06-05T23:49:40Z</dcterms:modified>
</cp:coreProperties>
</file>