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 Projects\PsychroCalc\"/>
    </mc:Choice>
  </mc:AlternateContent>
  <xr:revisionPtr revIDLastSave="0" documentId="13_ncr:1_{608EB19D-9E66-4804-8A5A-776C4A558557}" xr6:coauthVersionLast="47" xr6:coauthVersionMax="47" xr10:uidLastSave="{00000000-0000-0000-0000-000000000000}"/>
  <bookViews>
    <workbookView xWindow="-108" yWindow="-108" windowWidth="23256" windowHeight="13896" xr2:uid="{255CF481-9D8E-4326-9236-7F323F1440D3}"/>
  </bookViews>
  <sheets>
    <sheet name="AH1_VAV_SCHEDULES" sheetId="2" r:id="rId1"/>
    <sheet name="Sheet1" sheetId="1" r:id="rId2"/>
  </sheets>
  <externalReferences>
    <externalReference r:id="rId3"/>
  </externalReferences>
  <definedNames>
    <definedName name="_CAV1">#REF!</definedName>
    <definedName name="_CAV1.">#REF!</definedName>
    <definedName name="_CAV2">#REF!</definedName>
    <definedName name="_CAV3">#REF!</definedName>
    <definedName name="_CAV4">#REF!</definedName>
    <definedName name="AHU_1AC_AV">#REF!</definedName>
    <definedName name="CAV_1A_SCHEDULE">#REF!</definedName>
    <definedName name="CAV_1B_SCHEDULE">#REF!</definedName>
    <definedName name="CAV_1C_SCHEDULE">#REF!</definedName>
    <definedName name="CAV_2_SCHEDULE">#REF!</definedName>
    <definedName name="CAV_3_SCHEDULE">#REF!</definedName>
    <definedName name="FCU">#REF!</definedName>
    <definedName name="VENTILATION_SCHEDULE_AHU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F6" i="2" s="1"/>
  <c r="Q6" i="2" s="1"/>
  <c r="D6" i="2"/>
  <c r="H6" i="2" s="1"/>
  <c r="S6" i="2"/>
  <c r="R6" i="2"/>
  <c r="P6" i="2"/>
  <c r="L6" i="2"/>
  <c r="K6" i="2"/>
  <c r="J6" i="2"/>
  <c r="I6" i="2"/>
  <c r="G6" i="2"/>
  <c r="R5" i="2"/>
  <c r="J5" i="2"/>
  <c r="I5" i="2"/>
  <c r="M6" i="2" l="1"/>
  <c r="N6" i="2" s="1"/>
  <c r="O6" i="2" s="1"/>
  <c r="E5" i="2" l="1"/>
  <c r="D5" i="2"/>
  <c r="F5" i="2" l="1"/>
  <c r="Q5" i="2" s="1"/>
  <c r="H5" i="2" l="1"/>
  <c r="M5" i="2" s="1"/>
  <c r="M7" i="2" l="1"/>
  <c r="N5" i="2"/>
  <c r="O5" i="2" s="1"/>
  <c r="O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tc={1CC13B16-4C20-403A-AC1C-35A7DA0101B2}</author>
  </authors>
  <commentList>
    <comment ref="A4" authorId="0" shapeId="0" xr:uid="{1CC13B16-4C20-403A-AC1C-35A7DA0101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or decrease number of rows in this table to match the number of zones.</t>
      </text>
    </comment>
  </commentList>
</comments>
</file>

<file path=xl/sharedStrings.xml><?xml version="1.0" encoding="utf-8"?>
<sst xmlns="http://schemas.openxmlformats.org/spreadsheetml/2006/main" count="27" uniqueCount="25">
  <si>
    <t>ZONE</t>
  </si>
  <si>
    <t>BASIS OF DESIGN 
MANUFACTURER</t>
  </si>
  <si>
    <t>DESCRIPTION</t>
  </si>
  <si>
    <t>MIN VAV
(CFM)</t>
  </si>
  <si>
    <t>MAX VAV
(CFM)</t>
  </si>
  <si>
    <t>VAV INLET SIZE
(IN)</t>
  </si>
  <si>
    <t>MAX TOTAL VAV PD 
(IN W.G.)</t>
  </si>
  <si>
    <t>HEATING AIRFLOW 
(CFM)</t>
  </si>
  <si>
    <t>EWT</t>
  </si>
  <si>
    <t>DESIGN 
LWT</t>
  </si>
  <si>
    <t>EAT</t>
  </si>
  <si>
    <t>DESIGN 
LAT</t>
  </si>
  <si>
    <t>MIN MBH</t>
  </si>
  <si>
    <t>AGPM</t>
  </si>
  <si>
    <t>GPM</t>
  </si>
  <si>
    <t>MAX WATER 
PD (FT)</t>
  </si>
  <si>
    <t>OPER 
WEIGHT
(LBS)</t>
  </si>
  <si>
    <t>MTG 
DETAIL</t>
  </si>
  <si>
    <t>REMARKS</t>
  </si>
  <si>
    <t>VAV-1-01</t>
  </si>
  <si>
    <t>TITUS</t>
  </si>
  <si>
    <t>SINGLE DUCT REHEAT ZONE</t>
  </si>
  <si>
    <t>1, 2</t>
  </si>
  <si>
    <t>VAV-1-02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</si>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</sst>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2"/>
      <color rgb="FF00B050"/>
      <name val="Calibri"/>
      <family val="2"/>
    </font>
    <font>
      <sz val="10"/>
      <name val="Arial"/>
    </font>
    <font>
      <sz val="12"/>
      <color theme="1"/>
      <name val="Arial"/>
      <family val="2"/>
    </font>
    <font>
      <sz val="12"/>
      <name val="Arial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0" borderId="0" xfId="1"/>
    <xf numFmtId="0" fontId="3" fillId="0" borderId="1" xfId="1" applyFont="1" applyBorder="1" applyAlignment="1" applyProtection="1">
      <alignment horizontal="center" vertical="center"/>
      <protection locked="0"/>
    </xf>
    <xf numFmtId="1" fontId="3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164" fontId="4" fillId="0" borderId="1" xfId="1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164" fontId="4" fillId="0" borderId="3" xfId="1" applyNumberFormat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2BEF4A22-EF41-4147-BABC-84CF8CD79B6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2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579120</xdr:colOff>
          <xdr:row>0</xdr:row>
          <xdr:rowOff>60960</xdr:rowOff>
        </xdr:from>
        <xdr:to>
          <xdr:col>1</xdr:col>
          <xdr:colOff>1074420</xdr:colOff>
          <xdr:row>2</xdr:row>
          <xdr:rowOff>91440</xdr:rowOff>
        </xdr:to>
        <xdr:sp macro="" textlink="">
          <xdr:nvSpPr>
            <xdr:cNvPr id="2049" name="Button 1" descr="HUMIDIFICATION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433A2705-7D24-45C4-BD22-182E6DDC0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B050"/>
                  </a:solidFill>
                  <a:latin typeface="Calibri"/>
                  <a:ea typeface="Calibri"/>
                  <a:cs typeface="Calibri"/>
                </a:rPr>
                <a:t>ADD ROWS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%20Projects\PsychroCalc\AHU%20Calc%20Sheet.xlsm" TargetMode="External"/><Relationship Id="rId1" Type="http://schemas.openxmlformats.org/officeDocument/2006/relationships/externalLinkPath" Target="AHU%20Calc%20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_OUTPUTS"/>
      <sheetName val="AshraeTable4a"/>
      <sheetName val="CAV_SCHEDULES"/>
      <sheetName val="62.1_MULTI_ZONE"/>
      <sheetName val="VAV_SCHEDULES"/>
      <sheetName val="Room Temperature"/>
      <sheetName val="AH1"/>
      <sheetName val="AHU_SCHEDULES"/>
      <sheetName val="62.1_SINGLE_ZONE"/>
      <sheetName val="FCU_SCHEDULES"/>
      <sheetName val="CH_and_Boiler_Schedule "/>
      <sheetName val="Misc_Rooms"/>
      <sheetName val="ASHRAE Table"/>
      <sheetName val="UMC Table 4-A"/>
      <sheetName val="DO NOT TOUCH"/>
    </sheetNames>
    <definedNames>
      <definedName name="AddRowsToTableWithUserInput"/>
    </definedNames>
    <sheetDataSet>
      <sheetData sheetId="0">
        <row r="16">
          <cell r="C16">
            <v>140</v>
          </cell>
        </row>
        <row r="17">
          <cell r="C17">
            <v>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>
            <v>1</v>
          </cell>
          <cell r="D9">
            <v>6</v>
          </cell>
          <cell r="E9">
            <v>30</v>
          </cell>
        </row>
        <row r="10">
          <cell r="C10">
            <v>400</v>
          </cell>
          <cell r="D10">
            <v>8</v>
          </cell>
          <cell r="E10">
            <v>30</v>
          </cell>
        </row>
        <row r="11">
          <cell r="C11">
            <v>700</v>
          </cell>
          <cell r="D11">
            <v>10</v>
          </cell>
          <cell r="E11">
            <v>35</v>
          </cell>
        </row>
        <row r="12">
          <cell r="C12">
            <v>1000</v>
          </cell>
          <cell r="D12">
            <v>12</v>
          </cell>
          <cell r="E12">
            <v>45</v>
          </cell>
        </row>
        <row r="13">
          <cell r="C13">
            <v>1500</v>
          </cell>
          <cell r="D13">
            <v>14</v>
          </cell>
          <cell r="E13">
            <v>55</v>
          </cell>
        </row>
        <row r="14">
          <cell r="C14">
            <v>2100</v>
          </cell>
          <cell r="D14">
            <v>16</v>
          </cell>
          <cell r="E14">
            <v>60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ushikesh Patil" id="{5E313C26-8C82-4988-B6C0-99D50F1B0F4E}" userId="S::rdp352@nyu.edu::e20300c4-5136-4b7e-8e5f-b0b27a3a319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5CE1B-3CC1-45C3-BD85-3A7AD65EB02C}" name="AH1_VAV_table" displayName="AH1_VAV_table" ref="A4:S7" totalsRowCount="1" headerRowDxfId="43" dataDxfId="42" totalsRowDxfId="41" headerRowBorderDxfId="39" tableBorderDxfId="40" totalsRowBorderDxfId="38">
  <autoFilter ref="A4:S6" xr:uid="{13D566E9-CE9D-4920-9557-440C01DE1A40}"/>
  <tableColumns count="19">
    <tableColumn id="1" xr3:uid="{BDD53485-BD27-4C42-BCE6-4A791F13693B}" name="ZONE" totalsRowLabel="Total" dataDxfId="37" totalsRowDxfId="18" totalsRowCellStyle="Normal 2"/>
    <tableColumn id="2" xr3:uid="{87D39EA5-B0A4-4FD0-8141-476AD3CFAF7B}" name="BASIS OF DESIGN _x000a_MANUFACTURER" dataDxfId="36" totalsRowDxfId="17" totalsRowCellStyle="Normal 2"/>
    <tableColumn id="3" xr3:uid="{1F4067F0-0958-440B-887B-D04A70FA8DD0}" name="DESCRIPTION" dataDxfId="35" totalsRowDxfId="16" totalsRowCellStyle="Normal 2"/>
    <tableColumn id="18" xr3:uid="{D0A6DBCB-AF09-4AFE-AC42-84877BED6114}" name="MIN VAV_x000a_(CFM)" dataDxfId="34" totalsRowDxfId="15" totalsRowCellStyle="Normal 2">
      <calculatedColumnFormula>SUMIF([1]!Ahu_Ashrae_Generic[Zone],AH1_VAV_table[[#This Row],[ZONE]],[1]!Ahu_Ashrae_Generic[DESIGN VAV MIN SA(CFM)])</calculatedColumnFormula>
    </tableColumn>
    <tableColumn id="20" xr3:uid="{352CF6FC-C856-4BE2-B724-4E6C7232D62C}" name="MAX VAV_x000a_(CFM)" dataDxfId="33" totalsRowDxfId="14" totalsRowCellStyle="Normal 2">
      <calculatedColumnFormula>SUMIF([1]!Ahu_Ashrae_Generic[Zone],AH1_VAV_table[[#This Row],[ZONE]],[1]!Ahu_Ashrae_Generic[DESIGN VAV MAX SA(CFM)])</calculatedColumnFormula>
    </tableColumn>
    <tableColumn id="5" xr3:uid="{404404D6-B6A1-4A11-B2D1-D270924F965F}" name="VAV INLET SIZE_x000a_(IN)" dataDxfId="32" totalsRowDxfId="13" totalsRowCellStyle="Normal 2">
      <calculatedColumnFormula>IFERROR((VLOOKUP(AH1_VAV_table[[#This Row],[MAX VAV
(CFM)]],'[1]DO NOT TOUCH'!$C$9:$D$14,2,TRUE)),"TBD")</calculatedColumnFormula>
    </tableColumn>
    <tableColumn id="6" xr3:uid="{595BB365-8C94-434E-9DA5-22F5899737CD}" name="MAX TOTAL VAV PD _x000a_(IN W.G.)" dataDxfId="31" totalsRowDxfId="12" totalsRowCellStyle="Normal 2">
      <calculatedColumnFormula>G4</calculatedColumnFormula>
    </tableColumn>
    <tableColumn id="19" xr3:uid="{4929FBB0-9F69-49AD-8474-3FB76AF65216}" name="HEATING AIRFLOW _x000a_(CFM)" dataDxfId="30" totalsRowDxfId="11" totalsRowCellStyle="Normal 2">
      <calculatedColumnFormula>AH1_VAV_table[[#This Row],[MIN VAV
(CFM)]]</calculatedColumnFormula>
    </tableColumn>
    <tableColumn id="7" xr3:uid="{D7CEB7B1-16A0-44D7-8021-26537126FF1E}" name="EWT" dataDxfId="29" totalsRowDxfId="10" totalsRowCellStyle="Normal 2">
      <calculatedColumnFormula>[1]INPUT_OUTPUTS!$C$16</calculatedColumnFormula>
    </tableColumn>
    <tableColumn id="8" xr3:uid="{2754C70A-0BE7-49EF-ABB4-70F0D2E16A23}" name="DESIGN _x000a_LWT" dataDxfId="28" totalsRowDxfId="9" totalsRowCellStyle="Normal 2">
      <calculatedColumnFormula>[1]INPUT_OUTPUTS!$C$17</calculatedColumnFormula>
    </tableColumn>
    <tableColumn id="9" xr3:uid="{050EE4BC-75A7-4F08-B96D-2070C39C239D}" name="EAT" dataDxfId="27" totalsRowDxfId="8" totalsRowCellStyle="Normal 2">
      <calculatedColumnFormula>K4</calculatedColumnFormula>
    </tableColumn>
    <tableColumn id="10" xr3:uid="{8329506B-9326-4532-862F-5C8CFCF33C58}" name="DESIGN _x000a_LAT" dataDxfId="26" totalsRowDxfId="7" totalsRowCellStyle="Normal 2">
      <calculatedColumnFormula>L4</calculatedColumnFormula>
    </tableColumn>
    <tableColumn id="11" xr3:uid="{EFA26FC8-2332-45C3-9221-B2360BD518B7}" name="MIN MBH" totalsRowFunction="sum" dataDxfId="25" totalsRowDxfId="6" totalsRowCellStyle="Normal 2">
      <calculatedColumnFormula>MROUND((1.08*(L5-K5)*AH1_VAV_table[[#This Row],[HEATING AIRFLOW 
(CFM)]])/1000,0.1)</calculatedColumnFormula>
    </tableColumn>
    <tableColumn id="12" xr3:uid="{51403382-CC86-4920-9FF2-88434A5DB79B}" name="AGPM" dataDxfId="24" totalsRowDxfId="5" totalsRowCellStyle="Normal 2">
      <calculatedColumnFormula>(M5*1000)/(500*(I5-J5))</calculatedColumnFormula>
    </tableColumn>
    <tableColumn id="13" xr3:uid="{47868698-B0D7-4E5A-AE85-D43DC77ABD0F}" name="GPM" totalsRowFunction="sum" dataDxfId="23" totalsRowDxfId="4" totalsRowCellStyle="Normal 2">
      <calculatedColumnFormula>IF(N5&lt;0.5,0.5,N5)</calculatedColumnFormula>
    </tableColumn>
    <tableColumn id="14" xr3:uid="{32CB265C-DCAD-4F2F-8A05-E71F6A4AD20F}" name="MAX WATER _x000a_PD (FT)" dataDxfId="22" totalsRowDxfId="3" totalsRowCellStyle="Normal 2">
      <calculatedColumnFormula>P4</calculatedColumnFormula>
    </tableColumn>
    <tableColumn id="15" xr3:uid="{642BF388-2DE1-4713-A96F-551DB0C45771}" name="OPER _x000a_WEIGHT_x000a_(LBS)" dataDxfId="21" totalsRowDxfId="2" totalsRowCellStyle="Normal 2">
      <calculatedColumnFormula>IFERROR((_xlfn.XLOOKUP(F5,'[1]DO NOT TOUCH'!$D$9:$D$14,'[1]DO NOT TOUCH'!$E$9:$E$14,)),"TBD")</calculatedColumnFormula>
    </tableColumn>
    <tableColumn id="16" xr3:uid="{CE1A1E7F-A6E2-406E-BB2F-7E83197E726E}" name="MTG _x000a_DETAIL" dataDxfId="20" totalsRowDxfId="1" totalsRowCellStyle="Normal 2">
      <calculatedColumnFormula>[1]INPUT_OUTPUTS!$C$19</calculatedColumnFormula>
    </tableColumn>
    <tableColumn id="17" xr3:uid="{DC6D9DC0-9003-4385-AB10-A97D3FD3AB65}" name="REMARKS" dataDxfId="19" totalsRowDxfId="0" totalsRowCellStyle="Normal 2">
      <calculatedColumnFormula>S4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3-01-20T03:02:14.75" personId="{5E313C26-8C82-4988-B6C0-99D50F1B0F4E}" id="{1CC13B16-4C20-403A-AC1C-35A7DA0101B2}">
    <text>Increase or decrease number of rows in this table to match the number of zones.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09B6-F8DF-40DD-B96E-3A4B43207C79}">
  <sheetPr codeName="Sheet14">
    <tabColor rgb="FF0000FF"/>
  </sheetPr>
  <dimension ref="A4:S7"/>
  <sheetViews>
    <sheetView showGridLines="0" showRowColHeaders="0" tabSelected="1" zoomScale="90" zoomScaleNormal="85" workbookViewId="0">
      <selection activeCell="F16" sqref="F16"/>
    </sheetView>
  </sheetViews>
  <sheetFormatPr defaultRowHeight="13.2" x14ac:dyDescent="0.25"/>
  <cols>
    <col min="1" max="1" width="12.109375" style="2" bestFit="1" customWidth="1"/>
    <col min="2" max="2" width="26.5546875" style="2" bestFit="1" customWidth="1"/>
    <col min="3" max="3" width="33.44140625" style="2" bestFit="1" customWidth="1"/>
    <col min="4" max="4" width="15.33203125" style="2" bestFit="1" customWidth="1"/>
    <col min="5" max="5" width="16.109375" style="2" bestFit="1" customWidth="1"/>
    <col min="6" max="6" width="12.5546875" style="2" bestFit="1" customWidth="1"/>
    <col min="7" max="7" width="15.109375" style="2" bestFit="1" customWidth="1"/>
    <col min="8" max="8" width="16.44140625" style="2" bestFit="1" customWidth="1"/>
    <col min="9" max="9" width="11" style="2" bestFit="1" customWidth="1"/>
    <col min="10" max="10" width="13" style="2" bestFit="1" customWidth="1"/>
    <col min="11" max="11" width="10.44140625" style="2" bestFit="1" customWidth="1"/>
    <col min="12" max="12" width="13" style="2" bestFit="1" customWidth="1"/>
    <col min="13" max="13" width="11.109375" style="2" bestFit="1" customWidth="1"/>
    <col min="14" max="14" width="12.5546875" style="2" bestFit="1" customWidth="1"/>
    <col min="15" max="15" width="11" style="2" bestFit="1" customWidth="1"/>
    <col min="16" max="16" width="12.5546875" style="2" bestFit="1" customWidth="1"/>
    <col min="17" max="17" width="13.5546875" style="2" bestFit="1" customWidth="1"/>
    <col min="18" max="18" width="12.6640625" style="2" bestFit="1" customWidth="1"/>
    <col min="19" max="19" width="12.5546875" style="2" bestFit="1" customWidth="1"/>
    <col min="20" max="16384" width="8.88671875" style="2"/>
  </cols>
  <sheetData>
    <row r="4" spans="1:19" ht="4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  <row r="5" spans="1:19" ht="15" x14ac:dyDescent="0.25">
      <c r="A5" s="3" t="s">
        <v>19</v>
      </c>
      <c r="B5" s="3" t="s">
        <v>20</v>
      </c>
      <c r="C5" s="3" t="s">
        <v>21</v>
      </c>
      <c r="D5" s="4">
        <f ca="1">SUMIF([1]!AH1_Ashrae_table[Zone],AH1_VAV_table[[#This Row],[ZONE]],[1]!AH1_Ashrae_table[DESIGN VAV MIN SA(CFM)])</f>
        <v>3240</v>
      </c>
      <c r="E5" s="3">
        <f ca="1">SUMIF([1]!AH1_Ashrae_table[Zone],AH1_VAV_table[[#This Row],[ZONE]],[1]!AH1_Ashrae_table[DESIGN VAV MAX SA(CFM)])</f>
        <v>6900</v>
      </c>
      <c r="F5" s="5">
        <f ca="1">IFERROR((VLOOKUP(AH1_VAV_table[[#This Row],[MAX VAV
(CFM)]],'[1]DO NOT TOUCH'!$C$9:$D$14,2,TRUE)),"TBD")</f>
        <v>16</v>
      </c>
      <c r="G5" s="5">
        <v>0.5</v>
      </c>
      <c r="H5" s="5">
        <f ca="1">AH1_VAV_table[[#This Row],[MIN VAV
(CFM)]]</f>
        <v>3240</v>
      </c>
      <c r="I5" s="5">
        <f>[1]INPUT_OUTPUTS!$C$16</f>
        <v>140</v>
      </c>
      <c r="J5" s="5">
        <f>[1]INPUT_OUTPUTS!$C$17</f>
        <v>110</v>
      </c>
      <c r="K5" s="5">
        <v>55</v>
      </c>
      <c r="L5" s="5">
        <v>80</v>
      </c>
      <c r="M5" s="5">
        <f ca="1">MROUND((1.08*(L5-K5)*AH1_VAV_table[[#This Row],[HEATING AIRFLOW 
(CFM)]])/1000,0.1)</f>
        <v>87.5</v>
      </c>
      <c r="N5" s="6">
        <f ca="1">(M5*1000)/(500*(I5-J5))</f>
        <v>5.833333333333333</v>
      </c>
      <c r="O5" s="6">
        <f ca="1">IF(N5&lt;0.5,0.5,N5)</f>
        <v>5.833333333333333</v>
      </c>
      <c r="P5" s="6">
        <v>5</v>
      </c>
      <c r="Q5" s="6">
        <f ca="1">IFERROR((_xlfn.XLOOKUP(F5,'[1]DO NOT TOUCH'!$D$9:$D$14,'[1]DO NOT TOUCH'!$E$9:$E$14,)),"TBD")</f>
        <v>60</v>
      </c>
      <c r="R5" s="6">
        <f>[1]INPUT_OUTPUTS!$C$19</f>
        <v>0</v>
      </c>
      <c r="S5" s="5" t="s">
        <v>22</v>
      </c>
    </row>
    <row r="6" spans="1:19" ht="15" x14ac:dyDescent="0.25">
      <c r="A6" s="3" t="s">
        <v>23</v>
      </c>
      <c r="B6" s="3" t="s">
        <v>20</v>
      </c>
      <c r="C6" s="3" t="s">
        <v>21</v>
      </c>
      <c r="D6" s="4">
        <f>SUMIF([1]!AH1_Ashrae_table[Zone],AH1_VAV_table[[#This Row],[ZONE]],[1]!AH1_Ashrae_table[DESIGN VAV MIN SA(CFM)])</f>
        <v>0</v>
      </c>
      <c r="E6" s="3">
        <f>SUMIF([1]!AH1_Ashrae_table[Zone],AH1_VAV_table[[#This Row],[ZONE]],[1]!AH1_Ashrae_table[DESIGN VAV MAX SA(CFM)])</f>
        <v>0</v>
      </c>
      <c r="F6" s="5" t="str">
        <f>IFERROR((VLOOKUP(AH1_VAV_table[[#This Row],[MAX VAV
(CFM)]],'[1]DO NOT TOUCH'!$C$9:$D$14,2,TRUE)),"TBD")</f>
        <v>TBD</v>
      </c>
      <c r="G6" s="5">
        <f>G5</f>
        <v>0.5</v>
      </c>
      <c r="H6" s="5">
        <f>AH1_VAV_table[[#This Row],[MIN VAV
(CFM)]]</f>
        <v>0</v>
      </c>
      <c r="I6" s="5">
        <f>[1]INPUT_OUTPUTS!$C$16</f>
        <v>140</v>
      </c>
      <c r="J6" s="5">
        <f>[1]INPUT_OUTPUTS!$C$17</f>
        <v>110</v>
      </c>
      <c r="K6" s="5">
        <f>K5</f>
        <v>55</v>
      </c>
      <c r="L6" s="5">
        <f>L5</f>
        <v>80</v>
      </c>
      <c r="M6" s="5">
        <f>MROUND((1.08*(L6-K6)*AH1_VAV_table[[#This Row],[HEATING AIRFLOW 
(CFM)]])/1000,0.1)</f>
        <v>0</v>
      </c>
      <c r="N6" s="6">
        <f>(M6*1000)/(500*(I6-J6))</f>
        <v>0</v>
      </c>
      <c r="O6" s="6">
        <f>IF(N6&lt;0.5,0.5,N6)</f>
        <v>0.5</v>
      </c>
      <c r="P6" s="6">
        <f>P5</f>
        <v>5</v>
      </c>
      <c r="Q6" s="6" t="str">
        <f>IFERROR((_xlfn.XLOOKUP(F6,'[1]DO NOT TOUCH'!$D$9:$D$14,'[1]DO NOT TOUCH'!$E$9:$E$14,)),"TBD")</f>
        <v>TBD</v>
      </c>
      <c r="R6" s="6">
        <f>[1]INPUT_OUTPUTS!$C$19</f>
        <v>0</v>
      </c>
      <c r="S6" s="5" t="str">
        <f>S5</f>
        <v>1, 2</v>
      </c>
    </row>
    <row r="7" spans="1:19" ht="15" x14ac:dyDescent="0.25">
      <c r="A7" s="7" t="s">
        <v>24</v>
      </c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>
        <f ca="1">SUBTOTAL(109,AH1_VAV_table[MIN MBH])</f>
        <v>87.5</v>
      </c>
      <c r="N7" s="9"/>
      <c r="O7" s="10">
        <f ca="1">SUBTOTAL(109,AH1_VAV_table[GPM])</f>
        <v>6.333333333333333</v>
      </c>
      <c r="P7" s="9"/>
      <c r="Q7" s="9"/>
      <c r="R7" s="9"/>
      <c r="S7" s="1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AddRowsToTableWithUserInput" altText="HUMIDIFICATION">
                <anchor moveWithCells="1" sizeWithCells="1">
                  <from>
                    <xdr:col>0</xdr:col>
                    <xdr:colOff>579120</xdr:colOff>
                    <xdr:row>0</xdr:row>
                    <xdr:rowOff>60960</xdr:rowOff>
                  </from>
                  <to>
                    <xdr:col>1</xdr:col>
                    <xdr:colOff>1074420</xdr:colOff>
                    <xdr:row>2</xdr:row>
                    <xdr:rowOff>91440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204D-BC52-4CFB-93D8-7D022F7D17A0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AH1_VAV_SCHEDULES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Patil</dc:creator>
  <cp:lastModifiedBy>Rushikesh Patil</cp:lastModifiedBy>
  <dcterms:created xsi:type="dcterms:W3CDTF">2024-03-13T20:10:46Z</dcterms:created>
  <dcterms:modified xsi:type="dcterms:W3CDTF">2024-03-13T20:10:47Z</dcterms:modified>
</cp:coreProperties>
</file>