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 Projects\PsychroCalc\"/>
    </mc:Choice>
  </mc:AlternateContent>
  <xr:revisionPtr revIDLastSave="0" documentId="13_ncr:1_{5B22CF4A-06A8-46C5-8F86-EF50D00A98B8}" xr6:coauthVersionLast="47" xr6:coauthVersionMax="47" xr10:uidLastSave="{00000000-0000-0000-0000-000000000000}"/>
  <bookViews>
    <workbookView xWindow="-108" yWindow="-108" windowWidth="23256" windowHeight="13896" xr2:uid="{723E3896-8EE3-4930-BC4B-2B609D23150B}"/>
  </bookViews>
  <sheets>
    <sheet name="AH22_VAV_SCHEDULES" sheetId="2" r:id="rId1"/>
    <sheet name="Sheet1" sheetId="1" r:id="rId2"/>
  </sheets>
  <externalReferences>
    <externalReference r:id="rId3"/>
  </externalReferences>
  <definedNames>
    <definedName name="_CAV1">#REF!</definedName>
    <definedName name="_CAV1.">#REF!</definedName>
    <definedName name="_CAV2">#REF!</definedName>
    <definedName name="_CAV3">#REF!</definedName>
    <definedName name="_CAV4">#REF!</definedName>
    <definedName name="AHU_1AC_AV">#REF!</definedName>
    <definedName name="CAV_1A_SCHEDULE">#REF!</definedName>
    <definedName name="CAV_1B_SCHEDULE">#REF!</definedName>
    <definedName name="CAV_1C_SCHEDULE">#REF!</definedName>
    <definedName name="CAV_2_SCHEDULE">#REF!</definedName>
    <definedName name="CAV_3_SCHEDULE">#REF!</definedName>
    <definedName name="FCU">#REF!</definedName>
    <definedName name="VENTILATION_SCHEDULE_AHU_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F6" i="2" s="1"/>
  <c r="Q6" i="2" s="1"/>
  <c r="D6" i="2"/>
  <c r="H6" i="2" s="1"/>
  <c r="M6" i="2" s="1"/>
  <c r="N6" i="2" s="1"/>
  <c r="O6" i="2" s="1"/>
  <c r="S6" i="2"/>
  <c r="R6" i="2"/>
  <c r="P6" i="2"/>
  <c r="L6" i="2"/>
  <c r="K6" i="2"/>
  <c r="J6" i="2"/>
  <c r="I6" i="2"/>
  <c r="G6" i="2"/>
  <c r="R5" i="2"/>
  <c r="J5" i="2"/>
  <c r="I5" i="2"/>
  <c r="E5" i="2" l="1"/>
  <c r="D5" i="2"/>
  <c r="F5" i="2" l="1"/>
  <c r="Q5" i="2" s="1"/>
  <c r="H5" i="2" l="1"/>
  <c r="M5" i="2" s="1"/>
  <c r="N5" i="2" l="1"/>
  <c r="O5" i="2" s="1"/>
  <c r="O7" i="2" s="1"/>
  <c r="M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tc={3CBBAA8D-C30C-4DA8-B15F-D0FBCB6B6E5F}</author>
  </authors>
  <commentList>
    <comment ref="A4" authorId="0" shapeId="0" xr:uid="{3CBBAA8D-C30C-4DA8-B15F-D0FBCB6B6E5F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or decrease number of rows in this table to match the number of zones.</t>
      </text>
    </comment>
  </commentList>
</comments>
</file>

<file path=xl/sharedStrings.xml><?xml version="1.0" encoding="utf-8"?>
<sst xmlns="http://schemas.openxmlformats.org/spreadsheetml/2006/main" count="27" uniqueCount="25">
  <si>
    <t>ZONE</t>
  </si>
  <si>
    <t>BASIS OF DESIGN 
MANUFACTURER</t>
  </si>
  <si>
    <t>DESCRIPTION</t>
  </si>
  <si>
    <t>MIN VAV
(CFM)</t>
  </si>
  <si>
    <t>MAX VAV
(CFM)</t>
  </si>
  <si>
    <t>VAV INLET SIZE
(IN)</t>
  </si>
  <si>
    <t>MAX TOTAL VAV PD 
(IN W.G.)</t>
  </si>
  <si>
    <t>HEATING AIRFLOW 
(CFM)</t>
  </si>
  <si>
    <t>EWT</t>
  </si>
  <si>
    <t>DESIGN 
LWT</t>
  </si>
  <si>
    <t>EAT</t>
  </si>
  <si>
    <t>DESIGN 
LAT</t>
  </si>
  <si>
    <t>MIN MBH</t>
  </si>
  <si>
    <t>AGPM</t>
  </si>
  <si>
    <t>GPM</t>
  </si>
  <si>
    <t>MAX WATER 
PD (FT)</t>
  </si>
  <si>
    <t>OPER 
WEIGHT
(LBS)</t>
  </si>
  <si>
    <t>MTG 
DETAIL</t>
  </si>
  <si>
    <t>REMARKS</t>
  </si>
  <si>
    <t>VAV-1-01</t>
  </si>
  <si>
    <t>TITUS</t>
  </si>
  <si>
    <t>SINGLE DUCT REHEAT ZONE</t>
  </si>
  <si>
    <t>1, 2</t>
  </si>
  <si>
    <t>VAV-1-02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</si>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</sst>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2"/>
      <color rgb="FF00B050"/>
      <name val="Calibri"/>
      <family val="2"/>
    </font>
    <font>
      <sz val="1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2" borderId="1" xfId="1" applyFont="1" applyFill="1" applyBorder="1" applyAlignment="1" applyProtection="1">
      <alignment horizontal="center" vertical="center" wrapText="1"/>
      <protection locked="0"/>
    </xf>
    <xf numFmtId="0" fontId="2" fillId="0" borderId="0" xfId="1"/>
    <xf numFmtId="0" fontId="3" fillId="0" borderId="1" xfId="1" applyFont="1" applyBorder="1" applyAlignment="1" applyProtection="1">
      <alignment horizontal="center" vertical="center"/>
      <protection locked="0"/>
    </xf>
    <xf numFmtId="1" fontId="3" fillId="0" borderId="1" xfId="1" applyNumberFormat="1" applyFont="1" applyBorder="1" applyAlignment="1" applyProtection="1">
      <alignment horizontal="center" vertical="center"/>
      <protection locked="0"/>
    </xf>
    <xf numFmtId="0" fontId="4" fillId="0" borderId="1" xfId="1" applyFont="1" applyBorder="1" applyAlignment="1" applyProtection="1">
      <alignment horizontal="center" vertical="center"/>
      <protection locked="0"/>
    </xf>
    <xf numFmtId="164" fontId="4" fillId="0" borderId="1" xfId="1" applyNumberFormat="1" applyFont="1" applyBorder="1" applyAlignment="1" applyProtection="1">
      <alignment horizontal="center" vertical="center"/>
      <protection locked="0"/>
    </xf>
    <xf numFmtId="0" fontId="3" fillId="0" borderId="2" xfId="1" applyFont="1" applyBorder="1" applyAlignment="1" applyProtection="1">
      <alignment horizontal="center" vertical="center" wrapText="1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4" fillId="0" borderId="3" xfId="1" applyFont="1" applyBorder="1" applyAlignment="1" applyProtection="1">
      <alignment horizontal="center" vertical="center"/>
      <protection locked="0"/>
    </xf>
    <xf numFmtId="164" fontId="4" fillId="0" borderId="3" xfId="1" applyNumberFormat="1" applyFont="1" applyBorder="1" applyAlignment="1" applyProtection="1">
      <alignment horizontal="center" vertical="center"/>
      <protection locked="0"/>
    </xf>
    <xf numFmtId="0" fontId="4" fillId="0" borderId="4" xfId="1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1ACAAAED-CBA8-418D-8A83-9C4D91646FFD}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sz val="12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579120</xdr:colOff>
          <xdr:row>0</xdr:row>
          <xdr:rowOff>60960</xdr:rowOff>
        </xdr:from>
        <xdr:to>
          <xdr:col>1</xdr:col>
          <xdr:colOff>1074420</xdr:colOff>
          <xdr:row>2</xdr:row>
          <xdr:rowOff>91440</xdr:rowOff>
        </xdr:to>
        <xdr:sp macro="" textlink="">
          <xdr:nvSpPr>
            <xdr:cNvPr id="2049" name="Button 1" descr="HUMIDIFICATION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1DD08B56-9308-4401-B242-37921E99A0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200" b="0" i="0" u="none" strike="noStrike" baseline="0">
                  <a:solidFill>
                    <a:srgbClr val="00B050"/>
                  </a:solidFill>
                  <a:latin typeface="Calibri"/>
                  <a:ea typeface="Calibri"/>
                  <a:cs typeface="Calibri"/>
                </a:rPr>
                <a:t>ADD ROWS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it%20Projects\PsychroCalc\AHU%20Calc%20Sheet.xlsm" TargetMode="External"/><Relationship Id="rId1" Type="http://schemas.openxmlformats.org/officeDocument/2006/relationships/externalLinkPath" Target="AHU%20Calc%20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_OUTPUTS"/>
      <sheetName val="Humidifier_Schedule"/>
      <sheetName val="AshraeTable4a"/>
      <sheetName val="CAV_SCHEDULES"/>
      <sheetName val="62.1_MULTI_ZONE"/>
      <sheetName val="VAV_SCHEDULES"/>
      <sheetName val="Room Temperature"/>
      <sheetName val="AH11"/>
      <sheetName val="AH22"/>
      <sheetName val="AHU_SCHEDULES"/>
      <sheetName val="62.1_SINGLE_ZONE"/>
      <sheetName val="CH_and_Boiler_Schedule "/>
      <sheetName val="Misc_Rooms"/>
      <sheetName val="FCU_SCHEDULES"/>
      <sheetName val="ASHRAE Table"/>
      <sheetName val="UMC Table 4-A"/>
      <sheetName val="DO NOT TOUCH"/>
    </sheetNames>
    <definedNames>
      <definedName name="AddRowsToTableWithUserInput"/>
    </definedNames>
    <sheetDataSet>
      <sheetData sheetId="0">
        <row r="16">
          <cell r="C16">
            <v>140</v>
          </cell>
        </row>
        <row r="17">
          <cell r="C17">
            <v>110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9">
          <cell r="C9">
            <v>1</v>
          </cell>
          <cell r="D9">
            <v>6</v>
          </cell>
          <cell r="E9">
            <v>30</v>
          </cell>
        </row>
        <row r="10">
          <cell r="C10">
            <v>400</v>
          </cell>
          <cell r="D10">
            <v>8</v>
          </cell>
          <cell r="E10">
            <v>30</v>
          </cell>
        </row>
        <row r="11">
          <cell r="C11">
            <v>700</v>
          </cell>
          <cell r="D11">
            <v>10</v>
          </cell>
          <cell r="E11">
            <v>35</v>
          </cell>
        </row>
        <row r="12">
          <cell r="C12">
            <v>1000</v>
          </cell>
          <cell r="D12">
            <v>12</v>
          </cell>
          <cell r="E12">
            <v>45</v>
          </cell>
        </row>
        <row r="13">
          <cell r="C13">
            <v>1500</v>
          </cell>
          <cell r="D13">
            <v>14</v>
          </cell>
          <cell r="E13">
            <v>55</v>
          </cell>
        </row>
        <row r="14">
          <cell r="C14">
            <v>2100</v>
          </cell>
          <cell r="D14">
            <v>16</v>
          </cell>
          <cell r="E14">
            <v>60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ushikesh Patil" id="{68495914-0FB7-4080-A2CF-61EBBE6CAF58}" userId="S::rdp352@nyu.edu::e20300c4-5136-4b7e-8e5f-b0b27a3a319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79FCE9-3F95-473A-AD7D-A2A90CE42C4E}" name="AH22_VAV_table" displayName="AH22_VAV_table" ref="A4:S7" totalsRowCount="1" headerRowDxfId="43" dataDxfId="42" totalsRowDxfId="41" headerRowBorderDxfId="39" tableBorderDxfId="40" totalsRowBorderDxfId="38">
  <autoFilter ref="A4:S6" xr:uid="{13D566E9-CE9D-4920-9557-440C01DE1A40}"/>
  <tableColumns count="19">
    <tableColumn id="1" xr3:uid="{0F8211BB-6592-4DB2-BF37-2FCCBFF1133A}" name="ZONE" totalsRowLabel="Total" dataDxfId="37" totalsRowDxfId="18" totalsRowCellStyle="Normal 2"/>
    <tableColumn id="2" xr3:uid="{71AA1749-FB1A-4C46-A186-C8AB05B9998D}" name="BASIS OF DESIGN _x000a_MANUFACTURER" dataDxfId="36" totalsRowDxfId="17" totalsRowCellStyle="Normal 2"/>
    <tableColumn id="3" xr3:uid="{C0EFFF65-4244-46E6-B7EC-67312D92D33C}" name="DESCRIPTION" dataDxfId="35" totalsRowDxfId="16" totalsRowCellStyle="Normal 2"/>
    <tableColumn id="18" xr3:uid="{3E553283-295C-4D3A-853F-A1647023D432}" name="MIN VAV_x000a_(CFM)" dataDxfId="34" totalsRowDxfId="15" totalsRowCellStyle="Normal 2">
      <calculatedColumnFormula>SUMIF([1]!Ahu_Ashrae_Generic[Zone],AH22_VAV_table[[#This Row],[ZONE]],[1]!Ahu_Ashrae_Generic[DESIGN VAV MIN SA(CFM)])</calculatedColumnFormula>
    </tableColumn>
    <tableColumn id="20" xr3:uid="{0EC4B1C5-EE4F-49A1-AFAB-F0D730A91B13}" name="MAX VAV_x000a_(CFM)" dataDxfId="33" totalsRowDxfId="14" totalsRowCellStyle="Normal 2">
      <calculatedColumnFormula>SUMIF([1]!Ahu_Ashrae_Generic[Zone],AH22_VAV_table[[#This Row],[ZONE]],[1]!Ahu_Ashrae_Generic[DESIGN VAV MAX SA(CFM)])</calculatedColumnFormula>
    </tableColumn>
    <tableColumn id="5" xr3:uid="{3BB01EB1-12AE-4D27-AE65-FB1EDCE94B38}" name="VAV INLET SIZE_x000a_(IN)" dataDxfId="32" totalsRowDxfId="13" totalsRowCellStyle="Normal 2">
      <calculatedColumnFormula>IFERROR((VLOOKUP(AH22_VAV_table[[#This Row],[MAX VAV
(CFM)]],'[1]DO NOT TOUCH'!$C$9:$D$14,2,TRUE)),"TBD")</calculatedColumnFormula>
    </tableColumn>
    <tableColumn id="6" xr3:uid="{FA5D450C-CC44-4854-8591-F4050BEDD53F}" name="MAX TOTAL VAV PD _x000a_(IN W.G.)" dataDxfId="31" totalsRowDxfId="12" totalsRowCellStyle="Normal 2">
      <calculatedColumnFormula>G4</calculatedColumnFormula>
    </tableColumn>
    <tableColumn id="19" xr3:uid="{EAA26E7D-0EA4-49C5-9BE2-05921662B900}" name="HEATING AIRFLOW _x000a_(CFM)" dataDxfId="30" totalsRowDxfId="11" totalsRowCellStyle="Normal 2">
      <calculatedColumnFormula>AH22_VAV_table[[#This Row],[MIN VAV
(CFM)]]</calculatedColumnFormula>
    </tableColumn>
    <tableColumn id="7" xr3:uid="{2B680831-6A21-4B70-AB0D-EE9C984D1733}" name="EWT" dataDxfId="29" totalsRowDxfId="10" totalsRowCellStyle="Normal 2">
      <calculatedColumnFormula>[1]INPUT_OUTPUTS!$C$16</calculatedColumnFormula>
    </tableColumn>
    <tableColumn id="8" xr3:uid="{A4232F63-2191-47AB-861C-3A3E52CE45FA}" name="DESIGN _x000a_LWT" dataDxfId="28" totalsRowDxfId="9" totalsRowCellStyle="Normal 2">
      <calculatedColumnFormula>[1]INPUT_OUTPUTS!$C$17</calculatedColumnFormula>
    </tableColumn>
    <tableColumn id="9" xr3:uid="{0F677DDF-2A8D-4E86-85A6-819352FB2116}" name="EAT" dataDxfId="27" totalsRowDxfId="8" totalsRowCellStyle="Normal 2">
      <calculatedColumnFormula>K4</calculatedColumnFormula>
    </tableColumn>
    <tableColumn id="10" xr3:uid="{4D32D8CC-35BF-436D-8F23-561F3E62C915}" name="DESIGN _x000a_LAT" dataDxfId="26" totalsRowDxfId="7" totalsRowCellStyle="Normal 2">
      <calculatedColumnFormula>L4</calculatedColumnFormula>
    </tableColumn>
    <tableColumn id="11" xr3:uid="{D10A89FE-5913-43E9-83BC-A3CD3E0510C8}" name="MIN MBH" totalsRowFunction="sum" dataDxfId="25" totalsRowDxfId="6" totalsRowCellStyle="Normal 2">
      <calculatedColumnFormula>MROUND((1.08*(L5-K5)*AH22_VAV_table[[#This Row],[HEATING AIRFLOW 
(CFM)]])/1000,0.1)</calculatedColumnFormula>
    </tableColumn>
    <tableColumn id="12" xr3:uid="{662B8BE4-832D-40EA-A6CE-EACFD7B15578}" name="AGPM" dataDxfId="24" totalsRowDxfId="5" totalsRowCellStyle="Normal 2">
      <calculatedColumnFormula>(M5*1000)/(500*(I5-J5))</calculatedColumnFormula>
    </tableColumn>
    <tableColumn id="13" xr3:uid="{6D918336-D6F3-4F81-B8FC-CC94C4119F99}" name="GPM" totalsRowFunction="sum" dataDxfId="23" totalsRowDxfId="4" totalsRowCellStyle="Normal 2">
      <calculatedColumnFormula>IF(N5&lt;0.5,0.5,N5)</calculatedColumnFormula>
    </tableColumn>
    <tableColumn id="14" xr3:uid="{11EEAAFD-867A-4132-BEC1-8C30F015A328}" name="MAX WATER _x000a_PD (FT)" dataDxfId="22" totalsRowDxfId="3" totalsRowCellStyle="Normal 2">
      <calculatedColumnFormula>P4</calculatedColumnFormula>
    </tableColumn>
    <tableColumn id="15" xr3:uid="{2AA0B1E4-A854-449E-B820-330493E6BF7D}" name="OPER _x000a_WEIGHT_x000a_(LBS)" dataDxfId="21" totalsRowDxfId="2" totalsRowCellStyle="Normal 2">
      <calculatedColumnFormula>IFERROR((_xlfn.XLOOKUP(F5,'[1]DO NOT TOUCH'!$D$9:$D$14,'[1]DO NOT TOUCH'!$E$9:$E$14,)),"TBD")</calculatedColumnFormula>
    </tableColumn>
    <tableColumn id="16" xr3:uid="{94EBEA7D-FD89-42E9-871E-5FF81715A646}" name="MTG _x000a_DETAIL" dataDxfId="20" totalsRowDxfId="1" totalsRowCellStyle="Normal 2">
      <calculatedColumnFormula>[1]INPUT_OUTPUTS!$C$19</calculatedColumnFormula>
    </tableColumn>
    <tableColumn id="17" xr3:uid="{AD0439E6-4D78-4B59-9C36-4A7945F9C09F}" name="REMARKS" dataDxfId="19" totalsRowDxfId="0" totalsRowCellStyle="Normal 2">
      <calculatedColumnFormula>S4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" dT="2023-01-20T03:02:14.75" personId="{68495914-0FB7-4080-A2CF-61EBBE6CAF58}" id="{3CBBAA8D-C30C-4DA8-B15F-D0FBCB6B6E5F}">
    <text>Increase or decrease number of rows in this table to match the number of zones.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EF299-9A8A-465E-91FA-29FCD8611DA5}">
  <sheetPr codeName="Sheet14">
    <tabColor rgb="FF0000FF"/>
  </sheetPr>
  <dimension ref="A4:S7"/>
  <sheetViews>
    <sheetView showGridLines="0" showRowColHeaders="0" tabSelected="1" zoomScale="90" zoomScaleNormal="85" workbookViewId="0">
      <selection activeCell="F16" sqref="F16"/>
    </sheetView>
  </sheetViews>
  <sheetFormatPr defaultRowHeight="13.2" x14ac:dyDescent="0.25"/>
  <cols>
    <col min="1" max="1" width="12.109375" style="2" bestFit="1" customWidth="1"/>
    <col min="2" max="2" width="26.5546875" style="2" bestFit="1" customWidth="1"/>
    <col min="3" max="3" width="33.44140625" style="2" bestFit="1" customWidth="1"/>
    <col min="4" max="4" width="15.33203125" style="2" bestFit="1" customWidth="1"/>
    <col min="5" max="5" width="16.109375" style="2" bestFit="1" customWidth="1"/>
    <col min="6" max="6" width="12.5546875" style="2" bestFit="1" customWidth="1"/>
    <col min="7" max="7" width="15.109375" style="2" bestFit="1" customWidth="1"/>
    <col min="8" max="8" width="16.44140625" style="2" bestFit="1" customWidth="1"/>
    <col min="9" max="9" width="11" style="2" bestFit="1" customWidth="1"/>
    <col min="10" max="10" width="13" style="2" bestFit="1" customWidth="1"/>
    <col min="11" max="11" width="10.44140625" style="2" bestFit="1" customWidth="1"/>
    <col min="12" max="12" width="13" style="2" bestFit="1" customWidth="1"/>
    <col min="13" max="13" width="11.109375" style="2" bestFit="1" customWidth="1"/>
    <col min="14" max="14" width="12.5546875" style="2" bestFit="1" customWidth="1"/>
    <col min="15" max="15" width="11" style="2" bestFit="1" customWidth="1"/>
    <col min="16" max="16" width="12.5546875" style="2" bestFit="1" customWidth="1"/>
    <col min="17" max="17" width="13.5546875" style="2" bestFit="1" customWidth="1"/>
    <col min="18" max="18" width="12.6640625" style="2" bestFit="1" customWidth="1"/>
    <col min="19" max="19" width="12.5546875" style="2" bestFit="1" customWidth="1"/>
    <col min="20" max="16384" width="8.88671875" style="2"/>
  </cols>
  <sheetData>
    <row r="4" spans="1:19" ht="4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 t="s">
        <v>17</v>
      </c>
      <c r="S4" s="1" t="s">
        <v>18</v>
      </c>
    </row>
    <row r="5" spans="1:19" ht="15" x14ac:dyDescent="0.25">
      <c r="A5" s="3" t="s">
        <v>19</v>
      </c>
      <c r="B5" s="3" t="s">
        <v>20</v>
      </c>
      <c r="C5" s="3" t="s">
        <v>21</v>
      </c>
      <c r="D5" s="4">
        <f ca="1">SUMIF([1]!AH22_Ashrae_table[Zone],AH22_VAV_table[[#This Row],[ZONE]],[1]!AH22_Ashrae_table[DESIGN VAV MIN SA(CFM)])</f>
        <v>3015</v>
      </c>
      <c r="E5" s="3">
        <f ca="1">SUMIF([1]!AH22_Ashrae_table[Zone],AH22_VAV_table[[#This Row],[ZONE]],[1]!AH22_Ashrae_table[DESIGN VAV MAX SA(CFM)])</f>
        <v>6850</v>
      </c>
      <c r="F5" s="5">
        <f ca="1">IFERROR((VLOOKUP(AH22_VAV_table[[#This Row],[MAX VAV
(CFM)]],'[1]DO NOT TOUCH'!$C$9:$D$14,2,TRUE)),"TBD")</f>
        <v>16</v>
      </c>
      <c r="G5" s="5">
        <v>0.5</v>
      </c>
      <c r="H5" s="5">
        <f ca="1">AH22_VAV_table[[#This Row],[MIN VAV
(CFM)]]</f>
        <v>3015</v>
      </c>
      <c r="I5" s="5">
        <f>[1]INPUT_OUTPUTS!$C$16</f>
        <v>140</v>
      </c>
      <c r="J5" s="5">
        <f>[1]INPUT_OUTPUTS!$C$17</f>
        <v>110</v>
      </c>
      <c r="K5" s="5">
        <v>55</v>
      </c>
      <c r="L5" s="5">
        <v>80</v>
      </c>
      <c r="M5" s="5">
        <f ca="1">MROUND((1.08*(L5-K5)*AH22_VAV_table[[#This Row],[HEATING AIRFLOW 
(CFM)]])/1000,0.1)</f>
        <v>81.400000000000006</v>
      </c>
      <c r="N5" s="6">
        <f ca="1">(M5*1000)/(500*(I5-J5))</f>
        <v>5.4266666666666667</v>
      </c>
      <c r="O5" s="6">
        <f ca="1">IF(N5&lt;0.5,0.5,N5)</f>
        <v>5.4266666666666667</v>
      </c>
      <c r="P5" s="6">
        <v>5</v>
      </c>
      <c r="Q5" s="6">
        <f ca="1">IFERROR((_xlfn.XLOOKUP(F5,'[1]DO NOT TOUCH'!$D$9:$D$14,'[1]DO NOT TOUCH'!$E$9:$E$14,)),"TBD")</f>
        <v>60</v>
      </c>
      <c r="R5" s="6">
        <f>[1]INPUT_OUTPUTS!$C$19</f>
        <v>0</v>
      </c>
      <c r="S5" s="5" t="s">
        <v>22</v>
      </c>
    </row>
    <row r="6" spans="1:19" ht="15" x14ac:dyDescent="0.25">
      <c r="A6" s="3" t="s">
        <v>23</v>
      </c>
      <c r="B6" s="3" t="s">
        <v>20</v>
      </c>
      <c r="C6" s="3" t="s">
        <v>21</v>
      </c>
      <c r="D6" s="4">
        <f>SUMIF([1]!AH22_Ashrae_table[Zone],AH22_VAV_table[[#This Row],[ZONE]],[1]!AH22_Ashrae_table[DESIGN VAV MIN SA(CFM)])</f>
        <v>0</v>
      </c>
      <c r="E6" s="3">
        <f>SUMIF([1]!AH22_Ashrae_table[Zone],AH22_VAV_table[[#This Row],[ZONE]],[1]!AH22_Ashrae_table[DESIGN VAV MAX SA(CFM)])</f>
        <v>0</v>
      </c>
      <c r="F6" s="5" t="str">
        <f>IFERROR((VLOOKUP(AH22_VAV_table[[#This Row],[MAX VAV
(CFM)]],'[1]DO NOT TOUCH'!$C$9:$D$14,2,TRUE)),"TBD")</f>
        <v>TBD</v>
      </c>
      <c r="G6" s="5">
        <f>G5</f>
        <v>0.5</v>
      </c>
      <c r="H6" s="5">
        <f>AH22_VAV_table[[#This Row],[MIN VAV
(CFM)]]</f>
        <v>0</v>
      </c>
      <c r="I6" s="5">
        <f>[1]INPUT_OUTPUTS!$C$16</f>
        <v>140</v>
      </c>
      <c r="J6" s="5">
        <f>[1]INPUT_OUTPUTS!$C$17</f>
        <v>110</v>
      </c>
      <c r="K6" s="5">
        <f>K5</f>
        <v>55</v>
      </c>
      <c r="L6" s="5">
        <f>L5</f>
        <v>80</v>
      </c>
      <c r="M6" s="5">
        <f>MROUND((1.08*(L6-K6)*AH22_VAV_table[[#This Row],[HEATING AIRFLOW 
(CFM)]])/1000,0.1)</f>
        <v>0</v>
      </c>
      <c r="N6" s="6">
        <f>(M6*1000)/(500*(I6-J6))</f>
        <v>0</v>
      </c>
      <c r="O6" s="6">
        <f>IF(N6&lt;0.5,0.5,N6)</f>
        <v>0.5</v>
      </c>
      <c r="P6" s="6">
        <f>P5</f>
        <v>5</v>
      </c>
      <c r="Q6" s="6" t="str">
        <f>IFERROR((_xlfn.XLOOKUP(F6,'[1]DO NOT TOUCH'!$D$9:$D$14,'[1]DO NOT TOUCH'!$E$9:$E$14,)),"TBD")</f>
        <v>TBD</v>
      </c>
      <c r="R6" s="6">
        <f>[1]INPUT_OUTPUTS!$C$19</f>
        <v>0</v>
      </c>
      <c r="S6" s="5" t="str">
        <f>S5</f>
        <v>1, 2</v>
      </c>
    </row>
    <row r="7" spans="1:19" ht="15" x14ac:dyDescent="0.25">
      <c r="A7" s="7" t="s">
        <v>24</v>
      </c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>
        <f ca="1">SUBTOTAL(109,AH22_VAV_table[MIN MBH])</f>
        <v>81.400000000000006</v>
      </c>
      <c r="N7" s="9"/>
      <c r="O7" s="10">
        <f ca="1">SUBTOTAL(109,AH22_VAV_table[GPM])</f>
        <v>5.9266666666666667</v>
      </c>
      <c r="P7" s="9"/>
      <c r="Q7" s="9"/>
      <c r="R7" s="9"/>
      <c r="S7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 macro="[1]!AddRowsToTableWithUserInput" altText="HUMIDIFICATION">
                <anchor moveWithCells="1" sizeWithCells="1">
                  <from>
                    <xdr:col>0</xdr:col>
                    <xdr:colOff>579120</xdr:colOff>
                    <xdr:row>0</xdr:row>
                    <xdr:rowOff>60960</xdr:rowOff>
                  </from>
                  <to>
                    <xdr:col>1</xdr:col>
                    <xdr:colOff>1074420</xdr:colOff>
                    <xdr:row>2</xdr:row>
                    <xdr:rowOff>91440</xdr:rowOff>
                  </to>
                </anchor>
              </controlPr>
            </control>
          </mc:Choice>
        </mc:AlternateContent>
      </controls>
    </mc:Choice>
  </mc:AlternateContent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7E373-8075-4B7A-97B1-96A4C46F27A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AH22_VAV_SCHEDULES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Rushikesh Patil</dc:creator>
  <cp:lastModifiedBy>Rushikesh Patil</cp:lastModifiedBy>
  <dcterms:created xsi:type="dcterms:W3CDTF">2024-05-06T19:24:39Z</dcterms:created>
  <dcterms:modified xsi:type="dcterms:W3CDTF">2024-05-06T19:24:40Z</dcterms:modified>
</cp:coreProperties>
</file>